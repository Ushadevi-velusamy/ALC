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8E1E8893-4771-4897-8C69-02179B5D9A6A}" xr6:coauthVersionLast="46" xr6:coauthVersionMax="46" xr10:uidLastSave="{00000000-0000-0000-0000-000000000000}"/>
  <workbookProtection workbookAlgorithmName="SHA-512" workbookHashValue="twD43MBm6c9Z9PTV+RZYaC8iVXoLKUAGr+gxS6lD8NLKRF+JVn99+6YiuDQspkkSuYQ0euOJjYzslE6SoHv6OA==" workbookSaltValue="SC50M36gAWTjaG1OEU4B1g==" workbookSpinCount="100000" lockStructure="1"/>
  <bookViews>
    <workbookView xWindow="-120" yWindow="-120" windowWidth="20730" windowHeight="11160" tabRatio="909" firstSheet="1" activeTab="3"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83" i="72" l="1"/>
  <c r="M80" i="72"/>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Q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D26" i="65" l="1"/>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<sst xmlns="http://schemas.openxmlformats.org/spreadsheetml/2006/main" count="4511" uniqueCount="1416">
  <si>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</si>
  <si>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</si>
  <si>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</si>
  <si>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</si>
  <si>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</si>
  <si>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</si>
  <si>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</si>
  <si>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</si>
  <si>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</si>
  <si>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</si>
  <si>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</si>
  <si>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</si>
  <si>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</si>
  <si>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</si>
  <si>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</si>
  <si>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</si>
  <si>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</si>
  <si>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</si>
  <si>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</si>
  <si>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</si>
  <si>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</si>
  <si>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</si>
  <si>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</si>
  <si>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</si>
  <si>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</si>
  <si>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</si>
  <si>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</si>
  <si>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</si>
  <si>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</si>
  <si>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</si>
  <si>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</si>
  <si>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</si>
  <si>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</si>
  <si>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</si>
  <si>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</si>
  <si>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</si>
  <si>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</si>
  <si>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</si>
  <si>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</si>
  <si>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</si>
  <si>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</si>
  <si>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</si>
  <si>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</si>
  <si>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</si>
  <si>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</si>
  <si>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</si>
  <si>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</si>
  <si>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</si>
  <si>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</si>
  <si>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</si>
  <si>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</si>
  <si>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</si>
  <si>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</si>
  <si>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</si>
  <si>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</si>
  <si>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</si>
  <si>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</si>
  <si>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</si>
  <si>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</si>
  <si>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</si>
  <si>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</si>
  <si>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</si>
  <si>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</si>
  <si>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</si>
  <si>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</si>
  <si>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</si>
  <si>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</si>
  <si>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</si>
  <si>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</si>
  <si>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</si>
  <si>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</si>
  <si>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</si>
  <si>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</si>
  <si>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</si>
  <si>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</si>
  <si>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</si>
  <si>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</si>
  <si>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</si>
  <si>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</si>
  <si>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</si>
  <si>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</si>
  <si>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</si>
  <si>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</si>
  <si>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</si>
  <si>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</si>
  <si>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</si>
  <si>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</si>
  <si>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</si>
  <si>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</si>
  <si>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</si>
  <si>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</si>
  <si>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</si>
  <si>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</si>
  <si>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</si>
  <si>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</si>
  <si>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</si>
  <si>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</si>
  <si>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</si>
  <si>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</si>
  <si>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</si>
  <si>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</si>
  <si>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</si>
  <si>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</si>
  <si>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</si>
  <si>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</si>
  <si>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</si>
  <si>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</si>
  <si>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</si>
  <si>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</si>
  <si>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</si>
  <si>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</si>
  <si>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</si>
  <si>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</si>
  <si>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</si>
  <si>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</si>
  <si>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</si>
  <si>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</si>
  <si>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</si>
  <si>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</si>
  <si>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</si>
  <si>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</si>
  <si>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</si>
  <si>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</si>
  <si>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</si>
  <si>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</si>
  <si>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</si>
  <si>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</si>
  <si>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</si>
  <si>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</si>
  <si>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</si>
  <si>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</si>
  <si>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</si>
  <si>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</si>
  <si>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</si>
  <si>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</si>
  <si>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</si>
  <si>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</si>
  <si>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</si>
  <si>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</si>
  <si>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</si>
  <si>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</si>
  <si>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</si>
  <si>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</si>
  <si>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</si>
  <si>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</si>
  <si>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</si>
  <si>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</si>
  <si>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</si>
  <si>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</si>
  <si>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</si>
  <si>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</si>
  <si>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</si>
  <si>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</si>
  <si>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</si>
  <si>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</si>
  <si>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</si>
  <si>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</si>
  <si>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</si>
  <si>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</si>
  <si>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</si>
  <si>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</si>
  <si>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</si>
  <si>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</si>
  <si>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</si>
  <si>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</si>
  <si>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</si>
  <si>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</si>
  <si>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</si>
  <si>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</si>
  <si>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</si>
  <si>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</si>
  <si>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</si>
  <si>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</si>
  <si>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</si>
  <si>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</si>
  <si>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</si>
  <si>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</si>
  <si>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</si>
  <si>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</si>
  <si>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</si>
  <si>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</si>
  <si>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</si>
  <si>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</si>
  <si>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</si>
  <si>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</si>
  <si>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</si>
  <si>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</si>
  <si>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</si>
  <si>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</si>
  <si>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</si>
  <si>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</si>
  <si>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</si>
  <si>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</si>
  <si>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</si>
  <si>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</si>
  <si>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</si>
  <si>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</si>
  <si>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</si>
  <si>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</si>
  <si>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</si>
  <si>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</si>
  <si>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</si>
  <si>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</si>
  <si>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</si>
  <si>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</si>
  <si>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</si>
  <si>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</si>
  <si>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</si>
  <si>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</si>
  <si>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</si>
  <si>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</si>
  <si>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</si>
  <si>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</si>
  <si>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</si>
  <si>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</si>
  <si>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</si>
  <si>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</si>
  <si>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</si>
  <si>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</si>
  <si>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</si>
  <si>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</si>
  <si>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</si>
  <si>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</si>
  <si>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</si>
  <si>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</si>
  <si>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</si>
  <si>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</si>
  <si>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</si>
  <si>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</si>
  <si>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</si>
  <si>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</si>
  <si>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</si>
  <si>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</si>
  <si>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</si>
  <si>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</si>
  <si>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</si>
  <si>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</si>
  <si>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</si>
  <si>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</si>
  <si>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</si>
  <si>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</si>
  <si>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</si>
  <si>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</si>
  <si>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</si>
  <si>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</si>
  <si>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</si>
  <si>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</si>
  <si>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</si>
  <si>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</si>
  <si>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</si>
  <si>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</si>
  <si>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</si>
  <si>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</si>
  <si>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</si>
  <si>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</si>
  <si>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</si>
  <si>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</si>
  <si>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</si>
  <si>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</si>
  <si>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</si>
  <si>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</si>
  <si>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</si>
  <si>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</si>
  <si>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</si>
  <si>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</si>
  <si>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</si>
  <si>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</si>
  <si>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</si>
  <si>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</si>
  <si>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</si>
  <si>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</si>
  <si>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</si>
  <si>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</si>
  <si>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</si>
  <si>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</si>
  <si>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</si>
  <si>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</si>
  <si>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</si>
  <si>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</si>
  <si>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</si>
  <si>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</si>
  <si>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</si>
  <si>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</si>
  <si>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</si>
  <si>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</si>
  <si>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</si>
  <si>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</si>
  <si>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</si>
  <si>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</si>
  <si>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</si>
  <si>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</si>
  <si>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</si>
  <si>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</si>
  <si>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</si>
  <si>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</si>
  <si>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</si>
  <si>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</si>
  <si>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</si>
  <si>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</si>
  <si>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</si>
  <si>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</si>
  <si>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</si>
  <si>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</si>
  <si>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</si>
  <si>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</si>
  <si>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</si>
  <si>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</si>
  <si>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</si>
  <si>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</si>
  <si>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</si>
  <si>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</si>
  <si>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</si>
  <si>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</si>
  <si>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</si>
  <si>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</si>
  <si>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</si>
  <si>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</si>
  <si>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</si>
  <si>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</si>
  <si>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</si>
  <si>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</si>
  <si>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</si>
  <si>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</si>
  <si>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</si>
  <si>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</si>
  <si>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</si>
  <si>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</si>
  <si>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</si>
  <si>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</si>
  <si>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</si>
  <si>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</si>
  <si>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</si>
  <si>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</si>
  <si>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</si>
  <si>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</si>
  <si>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</si>
  <si>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</si>
  <si>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</si>
  <si>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</si>
  <si>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</si>
  <si>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</si>
  <si>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</si>
  <si>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</si>
  <si>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</si>
  <si>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</si>
  <si>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</si>
  <si>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</si>
  <si>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</si>
  <si>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</si>
  <si>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</si>
  <si>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</si>
  <si>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</si>
  <si>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</si>
  <si>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</si>
  <si>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</si>
  <si>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</si>
  <si>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</si>
  <si>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</si>
  <si>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</si>
  <si>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</si>
  <si>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</si>
  <si>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</si>
  <si>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</si>
  <si>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</si>
  <si>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</si>
  <si>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</si>
  <si>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</si>
  <si>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</si>
  <si>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</si>
  <si>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</si>
  <si>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</si>
  <si>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</si>
  <si>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</si>
  <si>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</si>
  <si>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</si>
  <si>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</si>
  <si>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</si>
  <si>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</si>
  <si>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</si>
  <si>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</si>
  <si>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</si>
  <si>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</si>
  <si>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</si>
  <si>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</si>
  <si>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</si>
  <si>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</si>
  <si>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</si>
  <si>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</si>
  <si>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</si>
  <si>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</si>
  <si>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</si>
  <si>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</si>
  <si>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</si>
  <si>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</si>
  <si>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</si>
  <si>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</si>
  <si>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</si>
  <si>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</si>
  <si>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</si>
  <si>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</si>
  <si>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</si>
  <si>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</si>
  <si>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</si>
  <si>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</si>
  <si>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</si>
  <si>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</si>
  <si>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</si>
  <si>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</si>
  <si>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</si>
  <si>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</si>
  <si>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</si>
  <si>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</si>
  <si>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</si>
  <si>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</si>
  <si>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</si>
  <si>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</si>
  <si>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</si>
  <si>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</si>
  <si>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</si>
  <si>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</si>
  <si>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</si>
  <si>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</si>
  <si>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</si>
  <si>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</si>
  <si>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</si>
  <si>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</si>
  <si>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</si>
  <si>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</si>
  <si>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</si>
  <si>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</si>
  <si>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</si>
  <si>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</si>
  <si>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</si>
  <si>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</si>
  <si>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</si>
  <si>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</si>
  <si>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</si>
  <si>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</si>
  <si>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</si>
  <si>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</si>
  <si>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</si>
  <si>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</si>
  <si>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</si>
  <si>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</si>
  <si>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</si>
  <si>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</si>
  <si>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</si>
  <si>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</si>
  <si>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</si>
  <si>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</si>
  <si>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</si>
  <si>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</si>
  <si>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</si>
  <si>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</si>
  <si>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</si>
  <si>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</si>
  <si>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</si>
  <si>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</si>
  <si>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</si>
  <si>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</si>
  <si>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</si>
  <si>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</si>
  <si>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</si>
  <si>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</si>
  <si>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</si>
  <si>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</si>
  <si>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</si>
  <si>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</si>
  <si>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</si>
  <si>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</si>
  <si>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</si>
  <si>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</si>
  <si>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</si>
  <si>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</si>
  <si>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</si>
  <si>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</si>
  <si>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</si>
  <si>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</si>
  <si>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</si>
  <si>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</si>
  <si>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</si>
  <si>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</si>
  <si>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</si>
  <si>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</si>
  <si>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</si>
  <si>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</si>
  <si>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</si>
  <si>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</si>
  <si>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</si>
  <si>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</si>
  <si>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</si>
  <si>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</si>
  <si>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</si>
  <si>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</si>
  <si>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</si>
  <si>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</si>
  <si>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</si>
  <si>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</si>
  <si>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</si>
  <si>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</si>
  <si>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</si>
  <si>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</si>
  <si>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</si>
  <si>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</si>
  <si>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</si>
  <si>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</si>
  <si>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</si>
  <si>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</si>
  <si>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</si>
  <si>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</si>
  <si>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</si>
  <si>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</si>
  <si>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</si>
  <si>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</si>
  <si>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</si>
  <si>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</si>
  <si>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</si>
  <si>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</si>
  <si>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</si>
  <si>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</si>
  <si>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</si>
  <si>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</si>
  <si>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</si>
  <si>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</si>
  <si>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</si>
  <si>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</si>
  <si>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</si>
  <si>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</si>
  <si>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</si>
  <si>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</si>
  <si>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</si>
  <si>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</si>
  <si>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</si>
  <si>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</si>
  <si>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</si>
  <si>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</si>
  <si>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</si>
  <si>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</si>
  <si>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</si>
  <si>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</si>
  <si>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</si>
  <si>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</si>
  <si>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</si>
  <si>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</si>
  <si>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</si>
  <si>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</si>
  <si>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</si>
  <si>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</si>
  <si>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</si>
  <si>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</si>
  <si>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</si>
  <si>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</si>
  <si>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</si>
  <si>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</si>
  <si>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</si>
  <si>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</si>
  <si>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</si>
  <si>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</si>
  <si>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</si>
  <si>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</si>
  <si>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</si>
  <si>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</si>
  <si>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</si>
  <si>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</si>
  <si>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</si>
  <si>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</si>
  <si>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</si>
  <si>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</si>
  <si>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</si>
  <si>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</si>
  <si>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</si>
  <si>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</si>
  <si>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</si>
  <si>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</si>
  <si>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</si>
  <si>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</si>
  <si>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</si>
  <si>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</si>
  <si>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</si>
  <si>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</si>
  <si>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</si>
  <si>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</si>
  <si>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</si>
  <si>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</si>
  <si>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</si>
  <si>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</si>
  <si>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</si>
  <si>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</si>
  <si>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</si>
  <si>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</si>
  <si>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</si>
  <si>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</si>
  <si>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</si>
  <si>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</si>
  <si>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</si>
  <si>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</si>
  <si>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</si>
  <si>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</si>
  <si>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</si>
  <si>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</si>
  <si>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</si>
  <si>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</si>
  <si>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</si>
  <si>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</si>
  <si>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</si>
  <si>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</si>
  <si>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</si>
  <si>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</si>
  <si>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</si>
  <si>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</si>
  <si>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</si>
  <si>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</si>
  <si>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</si>
  <si>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</si>
  <si>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</si>
  <si>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</si>
  <si>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</si>
  <si>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</si>
  <si>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</si>
  <si>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</si>
  <si>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</si>
  <si>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</si>
  <si>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</si>
  <si>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</si>
  <si>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</si>
  <si>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</si>
  <si>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</si>
  <si>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</si>
  <si>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</si>
  <si>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</si>
  <si>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</si>
  <si>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</si>
  <si>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</si>
  <si>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</si>
  <si>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</si>
  <si>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</si>
  <si>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</si>
  <si>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</si>
  <si>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</si>
  <si>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</si>
  <si>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</si>
  <si>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</si>
  <si>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</si>
  <si>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</si>
  <si>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</si>
  <si>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</si>
  <si>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</si>
  <si>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</si>
  <si>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</si>
  <si>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</si>
  <si>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</si>
  <si>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</si>
  <si>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</si>
  <si>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</si>
  <si>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</si>
  <si>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</si>
  <si>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</si>
  <si>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</si>
  <si>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</si>
  <si>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</si>
  <si>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</si>
  <si>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</si>
  <si>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</si>
  <si>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</si>
  <si>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</si>
  <si>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</si>
  <si>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</si>
  <si>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</si>
  <si>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</si>
  <si>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</si>
  <si>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</si>
  <si>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</si>
  <si>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</si>
  <si>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</si>
  <si>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</si>
  <si>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</si>
  <si>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</si>
  <si>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</si>
  <si>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</si>
  <si>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</si>
  <si>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</si>
  <si>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</si>
  <si>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</si>
  <si>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</si>
  <si>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</si>
  <si>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</si>
  <si>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</si>
  <si>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</si>
  <si>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</si>
  <si>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</si>
  <si>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</si>
  <si>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</si>
  <si>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</si>
  <si>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</si>
  <si>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</si>
  <si>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</si>
  <si>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</si>
  <si>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</si>
  <si>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</si>
  <si>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</si>
  <si>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</si>
  <si>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</si>
  <si>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</si>
  <si>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</si>
  <si>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</si>
  <si>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</si>
  <si>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</si>
  <si>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</si>
  <si>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</si>
  <si>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</si>
  <si>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</si>
  <si>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</si>
  <si>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</si>
  <si>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</si>
  <si>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</si>
  <si>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</si>
  <si>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</si>
  <si>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</si>
  <si>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</si>
  <si>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</si>
  <si>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</si>
  <si>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</si>
  <si>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</si>
  <si>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</si>
  <si>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</si>
  <si>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</si>
  <si>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</si>
  <si>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</si>
  <si>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</si>
  <si>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</si>
  <si>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</si>
  <si>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</si>
  <si>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</si>
  <si>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</si>
  <si>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</si>
  <si>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</si>
  <si>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</si>
  <si>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</si>
  <si>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</si>
  <si>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</si>
  <si>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</si>
  <si>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</si>
  <si>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</si>
  <si>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</si>
  <si>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</si>
  <si>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</si>
  <si>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</si>
  <si>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</si>
  <si>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</si>
  <si>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</si>
  <si>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</si>
  <si>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</si>
  <si>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</si>
  <si>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</si>
  <si>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</si>
  <si>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</si>
  <si>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</si>
  <si>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</si>
  <si>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</si>
  <si>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</si>
  <si>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</si>
  <si>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</si>
  <si>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</si>
  <si>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</si>
  <si>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</si>
  <si>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</si>
  <si>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</si>
  <si>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</si>
  <si>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</si>
  <si>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</si>
  <si>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</si>
  <si>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</si>
  <si>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</si>
  <si>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</si>
  <si>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</si>
  <si>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</si>
  <si>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</si>
  <si>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</si>
  <si>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</si>
  <si>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</si>
  <si>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</si>
  <si>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</si>
  <si>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</si>
  <si>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</si>
  <si>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</si>
  <si>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</si>
  <si>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</si>
  <si>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</si>
  <si>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</si>
  <si>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</si>
  <si>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</si>
  <si>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</si>
  <si>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</si>
  <si>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</si>
  <si>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</si>
  <si>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</si>
  <si>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</si>
  <si>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</si>
  <si>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</si>
  <si>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</si>
  <si>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</si>
  <si>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</si>
  <si>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</si>
  <si>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</si>
  <si>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</si>
  <si>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</si>
  <si>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</si>
  <si>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</si>
  <si>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</si>
  <si>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</si>
  <si>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</si>
  <si>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</si>
  <si>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</si>
  <si>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</si>
  <si>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</si>
  <si>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</si>
  <si>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</si>
  <si>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</si>
  <si>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</si>
  <si>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</si>
  <si>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</si>
  <si>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</si>
  <si>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</si>
  <si>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</si>
  <si>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</si>
  <si>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</si>
  <si>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</si>
  <si>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</si>
  <si>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</si>
  <si>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</si>
  <si>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</si>
  <si>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</si>
  <si>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</si>
  <si>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</si>
  <si>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</si>
  <si>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</si>
  <si>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</si>
  <si>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</si>
  <si>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</si>
  <si>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</si>
  <si>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</si>
  <si>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</si>
  <si>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</si>
  <si>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</si>
  <si>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</si>
  <si>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</si>
  <si>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</si>
  <si>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</si>
  <si>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</si>
  <si>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</si>
  <si>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</si>
  <si>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</si>
  <si>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</si>
  <si>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</si>
  <si>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</si>
  <si>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</si>
  <si>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</si>
  <si>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</si>
  <si>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</si>
  <si>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</si>
  <si>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</si>
  <si>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</si>
  <si>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</si>
  <si>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</si>
  <si>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</si>
  <si>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</si>
  <si>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</si>
  <si>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</si>
  <si>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</si>
  <si>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</si>
  <si>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</si>
  <si>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</si>
  <si>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</si>
  <si>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</si>
  <si>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</si>
  <si>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</si>
  <si>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</si>
  <si>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</si>
  <si>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</si>
  <si>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</si>
  <si>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</si>
  <si>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</si>
  <si>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</si>
  <si>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</si>
  <si>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</si>
  <si>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</si>
  <si>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</si>
  <si>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</si>
  <si>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</si>
  <si>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</si>
  <si>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</si>
  <si>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</si>
  <si>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</si>
  <si>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</si>
  <si>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</si>
  <si>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</si>
  <si>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</si>
  <si>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</si>
  <si>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</si>
  <si>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</si>
  <si>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</si>
  <si>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</si>
  <si>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</si>
  <si>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</si>
  <si>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</si>
  <si>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</si>
  <si>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</si>
  <si>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</si>
  <si>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</si>
  <si>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</si>
  <si>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</si>
  <si>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</si>
  <si>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</si>
  <si>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</si>
  <si>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</si>
  <si>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</si>
  <si>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</si>
  <si>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</si>
  <si>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</si>
  <si>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</si>
  <si>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</si>
  <si>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</si>
  <si>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</si>
  <si>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</si>
  <si>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</si>
  <si>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</si>
  <si>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</si>
  <si>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</si>
  <si>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</si>
  <si>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</si>
  <si>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</si>
  <si>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</si>
  <si>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</si>
  <si>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</si>
  <si>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</si>
  <si>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</si>
  <si>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</si>
  <si>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</si>
  <si>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</si>
  <si>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</si>
  <si>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</si>
  <si>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</si>
  <si>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</si>
  <si>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</si>
  <si>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</si>
  <si>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</si>
  <si>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</si>
  <si>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</si>
  <si>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</si>
  <si>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</si>
  <si>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</si>
  <si>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</si>
  <si>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</si>
  <si>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</si>
  <si>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</si>
  <si>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</si>
  <si>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</si>
  <si>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</si>
  <si>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</si>
  <si>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</si>
  <si>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</si>
  <si>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</si>
  <si>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</si>
  <si>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</si>
  <si>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</si>
  <si>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</si>
  <si>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</si>
  <si>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</si>
  <si>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</si>
  <si>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</si>
  <si>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</si>
  <si>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</si>
  <si>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</si>
  <si>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</si>
  <si>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</si>
  <si>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</si>
  <si>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</si>
  <si>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</si>
  <si>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</si>
  <si>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</si>
  <si>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</si>
  <si>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</si>
  <si>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</si>
  <si>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</si>
  <si>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</si>
  <si>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</si>
  <si>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</si>
  <si>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</si>
  <si>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</si>
  <si>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</si>
  <si>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</si>
  <si>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</si>
  <si>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</si>
  <si>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</si>
  <si>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</si>
  <si>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</si>
  <si>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</si>
  <si>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</si>
  <si>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</si>
  <si>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</si>
  <si>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</si>
  <si>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</si>
  <si>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</si>
  <si>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</si>
  <si>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</si>
  <si>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</si>
  <si>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</si>
  <si>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</si>
  <si>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</si>
  <si>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</si>
  <si>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</si>
  <si>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</si>
  <si>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</si>
  <si>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</si>
  <si>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</si>
  <si>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</si>
  <si>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</si>
  <si>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</si>
  <si>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</si>
  <si>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</si>
  <si>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</si>
  <si>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</si>
  <si>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</si>
  <si>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</si>
  <si>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</si>
  <si>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</si>
  <si>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</si>
  <si>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</si>
  <si>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</si>
  <si>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</si>
  <si>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</si>
  <si>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</si>
  <si>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</si>
  <si>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</si>
  <si>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</si>
  <si>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</si>
  <si>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</si>
  <si>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</si>
  <si>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</si>
  <si>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</si>
  <si>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</si>
  <si>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</si>
  <si>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</si>
  <si>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</si>
  <si>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</si>
  <si>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</si>
  <si>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</si>
  <si>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</si>
  <si>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</si>
  <si>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</si>
  <si>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</si>
  <si>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</si>
  <si>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</si>
  <si>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</si>
  <si>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</si>
  <si>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</si>
  <si>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</si>
  <si>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</si>
  <si>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</si>
  <si>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</si>
  <si>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</si>
  <si>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</si>
  <si>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</si>
  <si>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</si>
  <si>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</si>
  <si>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</si>
  <si>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</si>
  <si>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</si>
  <si>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</si>
  <si>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</si>
  <si>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</si>
  <si>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</si>
  <si>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</si>
  <si>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</si>
  <si>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</si>
  <si>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</si>
  <si>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</si>
  <si>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</si>
  <si>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</si>
  <si>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</si>
  <si>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</si>
  <si>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</si>
  <si>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</si>
  <si>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</si>
  <si>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</si>
  <si>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</si>
  <si>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</si>
  <si>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</si>
  <si>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</si>
  <si>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</si>
  <si>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</si>
  <si>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</si>
  <si>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</si>
  <si>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</si>
  <si>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</si>
  <si>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</si>
  <si>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</si>
  <si>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</si>
  <si>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</si>
  <si>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</si>
  <si>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</si>
  <si>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</si>
  <si>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</si>
  <si>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</si>
  <si>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</si>
  <si>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</si>
  <si>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</si>
  <si>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</si>
  <si>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</si>
  <si>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</si>
  <si>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</si>
  <si>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</si>
  <si>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</si>
  <si>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</si>
  <si>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</si>
  <si>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</si>
  <si>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</si>
  <si>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</si>
  <si>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</si>
  <si>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</si>
  <si>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</si>
  <si>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</si>
  <si>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</si>
  <si>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</si>
  <si>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</si>
  <si>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</si>
  <si>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</si>
  <si>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</si>
  <si>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</si>
  <si>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</si>
  <si>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</si>
  <si>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</si>
  <si>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</si>
  <si>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</si>
  <si>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</si>
  <si>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</si>
  <si>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</si>
  <si>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</si>
  <si>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</si>
  <si>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</si>
  <si>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</si>
  <si>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</si>
  <si>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</si>
  <si>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</si>
  <si>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</si>
  <si>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</si>
  <si>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</si>
  <si>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</si>
  <si>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</si>
  <si>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</si>
  <si>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</si>
  <si>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</si>
  <si>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</si>
  <si>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</si>
  <si>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</si>
  <si>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</si>
  <si>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</si>
  <si>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</si>
  <si>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</si>
  <si>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</si>
  <si>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</si>
  <si>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</si>
  <si>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</si>
  <si>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</si>
  <si>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</si>
  <si>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</si>
  <si>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</si>
  <si>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</si>
  <si>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</si>
  <si>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</si>
  <si>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</si>
  <si>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</si>
  <si>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</si>
  <si>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</si>
  <si>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</si>
  <si>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</si>
  <si>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</si>
  <si>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</si>
  <si>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</si>
  <si>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</si>
  <si>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</si>
  <si>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</si>
  <si>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</si>
  <si>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</si>
  <si>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</si>
  <si>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</si>
  <si>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</si>
  <si>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</si>
  <si>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</si>
  <si>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</si>
  <si>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</si>
  <si>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</si>
  <si>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</si>
  <si>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</si>
  <si>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</si>
  <si>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</si>
  <si>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</si>
  <si>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</si>
  <si>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</si>
  <si>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</si>
  <si>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</si>
  <si>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</si>
  <si>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</si>
  <si>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</si>
  <si>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</si>
  <si>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</si>
  <si>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</si>
  <si>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</si>
  <si>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</si>
  <si>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</si>
  <si>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</si>
  <si>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</si>
  <si>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</si>
  <si>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</si>
  <si>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</si>
  <si>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</si>
  <si>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</si>
  <si>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</si>
  <si>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</si>
  <si>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</si>
  <si>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</si>
  <si>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</si>
  <si>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</si>
  <si>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</si>
  <si>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</si>
  <si>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</si>
  <si>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</si>
  <si>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</si>
  <si>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</si>
  <si>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</si>
  <si>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</si>
  <si>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</si>
  <si>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</si>
  <si>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</si>
  <si>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</si>
  <si>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</si>
  <si>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</si>
  <si>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</si>
  <si>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</si>
  <si>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</si>
  <si>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</si>
  <si>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</si>
  <si>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</si>
  <si>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</si>
  <si>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</si>
  <si>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</si>
  <si>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</si>
  <si>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</si>
  <si>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</si>
  <si>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</si>
  <si>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</si>
  <si>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</si>
  <si>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</si>
  <si>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</si>
  <si>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</si>
  <si>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</si>
  <si>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</si>
  <si>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</si>
  <si>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</si>
  <si>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</si>
  <si>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</si>
  <si>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</si>
  <si>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</si>
  <si>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</si>
  <si>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</si>
  <si>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</si>
  <si>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</si>
  <si>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</si>
  <si>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</si>
  <si>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</si>
  <si>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</si>
  <si>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</si>
  <si>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</si>
  <si>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</si>
  <si>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</si>
  <si>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</si>
  <si>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</si>
  <si>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</si>
  <si>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</si>
  <si>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</si>
  <si>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</si>
  <si>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</si>
  <si>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</si>
  <si>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</si>
  <si>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</si>
  <si>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</si>
  <si>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</si>
  <si>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</si>
  <si>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</si>
  <si>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</si>
  <si>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</si>
  <si>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</si>
  <si>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</si>
  <si>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</si>
  <si>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</si>
  <si>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</si>
  <si>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</si>
  <si>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</si>
  <si>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</si>
  <si>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</si>
  <si>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</si>
  <si>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</si>
  <si>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</si>
  <si>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</si>
  <si>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</si>
  <si>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</si>
  <si>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</si>
  <si>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</si>
  <si>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</si>
  <si>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</si>
  <si>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</si>
  <si>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</si>
  <si>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</si>
  <si>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</si>
  <si>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</si>
  <si>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</si>
  <si>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</si>
  <si>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</si>
  <si>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</si>
  <si>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</si>
  <si>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</si>
  <si>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</si>
  <si>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</si>
  <si>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</si>
  <si>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</si>
  <si>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</si>
  <si>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</si>
  <si>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</si>
  <si>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</si>
  <si>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</si>
  <si>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</si>
  <si>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</si>
  <si>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</si>
  <si>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</si>
  <si>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</si>
  <si>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</si>
  <si>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</si>
  <si>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</si>
  <si>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</si>
  <si>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</si>
  <si>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</si>
  <si>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</si>
  <si>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</si>
  <si>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</si>
  <si>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</si>
  <si>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</si>
  <si>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</si>
  <si>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</si>
  <si>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</si>
  <si>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</si>
  <si>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</si>
  <si>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</si>
  <si>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</si>
  <si>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</si>
  <si>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</si>
  <si>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</si>
  <si>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</si>
  <si>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</si>
  <si>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</si>
  <si>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</si>
  <si>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</si>
  <si>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</si>
  <si>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</si>
  <si>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</si>
  <si>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</si>
  <si>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</si>
  <si>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</si>
  <si>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</si>
  <si>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</si>
  <si>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</si>
  <si>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</si>
  <si>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</si>
  <si>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</si>
  <si>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</si>
  <si>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</si>
  <si>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</si>
  <si>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</si>
  <si>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</si>
  <si>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</si>
  <si>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</si>
  <si>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</si>
  <si>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</si>
  <si>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</si>
  <si>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</si>
  <si>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</si>
  <si>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</si>
  <si>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</si>
  <si>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</si>
  <si>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</si>
  <si>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</si>
  <si>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</si>
  <si>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</si>
  <si>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</si>
  <si>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</si>
  <si>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</si>
  <si>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</si>
  <si>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</si>
  <si>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</si>
  <si>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</si>
  <si>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</si>
  <si>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</si>
  <si>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</si>
  <si>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</si>
  <si>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</si>
  <si>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</si>
  <si>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</si>
  <si>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</si>
  <si>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New Orleans</t>
  </si>
  <si>
    <t>Total Annual Purchase Commitment:</t>
  </si>
  <si>
    <t>Margin Calculation MDA Language</t>
  </si>
  <si>
    <t>Per</t>
  </si>
  <si>
    <t>PIM CLASS DESCRIPTION</t>
  </si>
  <si>
    <t>Net Weight</t>
  </si>
  <si>
    <t>Gross TAGP</t>
  </si>
  <si>
    <t xml:space="preserve">Gross TAGP Percentage: </t>
  </si>
  <si>
    <t xml:space="preserve">Gross TAGP Rate Per 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</si>
</sst>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1">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96" t="s">
        <v>784</v>
      </c>
      <c r="B1" s="1096"/>
      <c r="C1" s="1096"/>
      <c r="D1" s="1096"/>
      <c r="E1" s="1096"/>
    </row>
    <row r="2" spans="1:5" x14ac:dyDescent="0.25">
      <c r="A2" s="1096" t="s">
        <v>785</v>
      </c>
      <c r="B2" s="1096"/>
      <c r="C2" s="1096"/>
      <c r="D2" s="1096"/>
      <c r="E2" s="1096"/>
    </row>
    <row r="3" spans="1:5" x14ac:dyDescent="0.25">
      <c r="A3" s="77"/>
    </row>
    <row r="4" spans="1:5" ht="78" customHeight="1" x14ac:dyDescent="0.25">
      <c r="A4" s="1114" t="s">
        <v>786</v>
      </c>
      <c r="B4" s="1114"/>
      <c r="C4" s="1114"/>
      <c r="D4" s="1114"/>
      <c r="E4" s="1114"/>
    </row>
    <row r="5" spans="1:5" x14ac:dyDescent="0.25">
      <c r="A5" s="77"/>
    </row>
    <row r="6" spans="1:5" ht="31.5" customHeight="1" x14ac:dyDescent="0.25">
      <c r="A6" s="1113" t="s">
        <v>787</v>
      </c>
      <c r="B6" s="1113"/>
      <c r="C6" s="1113"/>
      <c r="D6" s="1113"/>
      <c r="E6" s="1113"/>
    </row>
    <row r="7" spans="1:5" ht="15.75" thickBot="1" x14ac:dyDescent="0.3">
      <c r="A7" s="78"/>
    </row>
    <row r="8" spans="1:5" ht="15" customHeight="1" x14ac:dyDescent="0.25">
      <c r="A8" s="1107" t="s">
        <v>788</v>
      </c>
      <c r="B8" s="1108"/>
      <c r="C8" s="1108"/>
      <c r="D8" s="1108"/>
      <c r="E8" s="1109"/>
    </row>
    <row r="9" spans="1:5" ht="15" customHeight="1" thickBot="1" x14ac:dyDescent="0.3">
      <c r="A9" s="1110" t="s">
        <v>789</v>
      </c>
      <c r="B9" s="1111"/>
      <c r="C9" s="1111"/>
      <c r="D9" s="1111"/>
      <c r="E9" s="1112"/>
    </row>
    <row r="10" spans="1:5" x14ac:dyDescent="0.25">
      <c r="A10" s="79"/>
      <c r="B10" s="1104"/>
      <c r="C10" s="1104"/>
      <c r="D10" s="83"/>
    </row>
    <row r="11" spans="1:5" ht="31.5" customHeight="1" thickBot="1" x14ac:dyDescent="0.3">
      <c r="A11" s="81" t="s">
        <v>790</v>
      </c>
      <c r="B11" s="1105" t="s">
        <v>791</v>
      </c>
      <c r="C11" s="1105"/>
      <c r="D11" s="83">
        <f>Welcome!$D$4</f>
        <v>0</v>
      </c>
    </row>
    <row r="12" spans="1:5" ht="15.75" thickBot="1" x14ac:dyDescent="0.3">
      <c r="A12" s="81" t="s">
        <v>792</v>
      </c>
      <c r="B12" s="1106">
        <f>'MDA Worksheet'!$R$18</f>
        <v>0</v>
      </c>
      <c r="C12" s="1106"/>
      <c r="D12" s="79"/>
    </row>
    <row r="13" spans="1:5" x14ac:dyDescent="0.25">
      <c r="A13" s="81"/>
      <c r="B13" s="79"/>
      <c r="C13" s="80"/>
      <c r="D13" s="79"/>
    </row>
    <row r="14" spans="1:5" ht="30.75" thickBot="1" x14ac:dyDescent="0.3">
      <c r="A14" s="81" t="s">
        <v>793</v>
      </c>
      <c r="B14" s="138">
        <f>'MDA Worksheet'!$R$24</f>
        <v>0</v>
      </c>
      <c r="C14" s="79" t="s">
        <v>794</v>
      </c>
      <c r="D14" s="139" t="str">
        <f>Welcome!$D$14&amp;" Years"</f>
        <v>Select Term Years</v>
      </c>
    </row>
    <row r="15" spans="1:5" ht="15.75" thickBot="1" x14ac:dyDescent="0.3">
      <c r="A15" s="81" t="s">
        <v>795</v>
      </c>
      <c r="B15" s="126">
        <f>'MDA Worksheet'!$R$24</f>
        <v>0</v>
      </c>
      <c r="C15" s="79" t="s">
        <v>796</v>
      </c>
      <c r="D15" s="126" t="e">
        <f>'MDA Worksheet'!$AV$24</f>
        <v>#VALUE!</v>
      </c>
    </row>
    <row r="16" spans="1:5" x14ac:dyDescent="0.25">
      <c r="A16" s="79"/>
      <c r="B16" s="122"/>
      <c r="C16" s="79"/>
      <c r="D16" s="122"/>
    </row>
    <row r="17" spans="1:5" ht="15.75" thickBot="1" x14ac:dyDescent="0.3">
      <c r="A17" s="81" t="s">
        <v>797</v>
      </c>
      <c r="B17" s="1103"/>
      <c r="C17" s="1103"/>
      <c r="D17" s="1103"/>
      <c r="E17" s="1103"/>
    </row>
    <row r="18" spans="1:5" x14ac:dyDescent="0.25">
      <c r="A18" s="79"/>
      <c r="B18" s="122"/>
      <c r="C18" s="79"/>
      <c r="D18" s="122"/>
    </row>
    <row r="19" spans="1:5" ht="15.75" thickBot="1" x14ac:dyDescent="0.3">
      <c r="A19" s="81" t="s">
        <v>869</v>
      </c>
      <c r="B19" s="1103">
        <f>Welcome!$D$10</f>
        <v>0</v>
      </c>
      <c r="C19" s="1103"/>
      <c r="D19" s="1103"/>
      <c r="E19" s="1103"/>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709</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868</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870</v>
      </c>
      <c r="B34" s="12">
        <f>IFERROR($B$33/('Tracking &amp; Profitability'!E7*52),0)</f>
        <v>0</v>
      </c>
      <c r="C34" s="44"/>
      <c r="D34" s="44"/>
      <c r="E34" s="44"/>
    </row>
    <row r="35" spans="1:5" x14ac:dyDescent="0.25">
      <c r="A35" s="8" t="s">
        <v>906</v>
      </c>
      <c r="B35" s="137">
        <f>IFERROR(B33/B23,0)</f>
        <v>0</v>
      </c>
      <c r="C35" s="44"/>
      <c r="D35" s="44"/>
      <c r="E35" s="44"/>
    </row>
    <row r="36" spans="1:5" x14ac:dyDescent="0.25">
      <c r="A36" s="124"/>
      <c r="B36" s="44"/>
      <c r="C36" s="44"/>
      <c r="D36" s="128"/>
      <c r="E36" s="44"/>
    </row>
    <row r="37" spans="1:5" x14ac:dyDescent="0.25">
      <c r="A37" s="8" t="s">
        <v>798</v>
      </c>
      <c r="B37" s="12">
        <f>Incentives!$K$66</f>
        <v>0</v>
      </c>
      <c r="C37" s="44"/>
      <c r="D37" s="44"/>
      <c r="E37" s="44"/>
    </row>
    <row r="38" spans="1:5" x14ac:dyDescent="0.25">
      <c r="A38" s="8" t="s">
        <v>799</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115" t="s">
        <v>1296</v>
      </c>
      <c r="B42" s="1116"/>
      <c r="C42" s="1116"/>
      <c r="D42" s="1116"/>
      <c r="E42" s="1117"/>
    </row>
    <row r="43" spans="1:5" s="921" customFormat="1" x14ac:dyDescent="0.25">
      <c r="A43" s="1124"/>
      <c r="B43" s="1125"/>
      <c r="C43" s="1125"/>
      <c r="D43" s="1125"/>
      <c r="E43" s="1126"/>
    </row>
    <row r="44" spans="1:5" s="921" customFormat="1" ht="15.75" thickBot="1" x14ac:dyDescent="0.3">
      <c r="A44" s="1127"/>
      <c r="B44" s="1128"/>
      <c r="C44" s="1128"/>
      <c r="D44" s="1128"/>
      <c r="E44" s="1129"/>
    </row>
    <row r="45" spans="1:5" s="921" customFormat="1" ht="15.75" thickBot="1" x14ac:dyDescent="0.3">
      <c r="A45" s="979"/>
    </row>
    <row r="46" spans="1:5" s="921" customFormat="1" ht="15.75" thickBot="1" x14ac:dyDescent="0.3">
      <c r="A46" s="1115" t="s">
        <v>1285</v>
      </c>
      <c r="B46" s="1116"/>
      <c r="C46" s="1116"/>
      <c r="D46" s="1116"/>
      <c r="E46" s="1117"/>
    </row>
    <row r="47" spans="1:5" s="921" customFormat="1" ht="15.75" x14ac:dyDescent="0.25">
      <c r="A47" s="980" t="s">
        <v>1286</v>
      </c>
      <c r="B47" s="981"/>
      <c r="C47" s="992" t="s">
        <v>1287</v>
      </c>
      <c r="D47" s="982"/>
      <c r="E47" s="983"/>
    </row>
    <row r="48" spans="1:5" s="921" customFormat="1" ht="15" customHeight="1" x14ac:dyDescent="0.25">
      <c r="A48" s="980" t="s">
        <v>1288</v>
      </c>
      <c r="B48" s="981"/>
      <c r="C48" s="993"/>
      <c r="D48" s="986" t="s">
        <v>1289</v>
      </c>
      <c r="E48" s="994"/>
    </row>
    <row r="49" spans="1:5" s="921" customFormat="1" ht="15.75" x14ac:dyDescent="0.25">
      <c r="A49" s="980" t="s">
        <v>1290</v>
      </c>
      <c r="B49" s="981"/>
      <c r="C49" s="993"/>
      <c r="D49" s="982" t="s">
        <v>1291</v>
      </c>
      <c r="E49" s="994"/>
    </row>
    <row r="50" spans="1:5" s="921" customFormat="1" ht="15.75" x14ac:dyDescent="0.25">
      <c r="A50" s="980" t="s">
        <v>1292</v>
      </c>
      <c r="B50" s="981"/>
      <c r="C50" s="993"/>
      <c r="D50" s="982"/>
      <c r="E50" s="983"/>
    </row>
    <row r="51" spans="1:5" s="921" customFormat="1" ht="15.75" x14ac:dyDescent="0.25">
      <c r="A51" s="980" t="s">
        <v>1293</v>
      </c>
      <c r="B51" s="981"/>
      <c r="C51" s="993"/>
      <c r="D51" s="982" t="s">
        <v>1294</v>
      </c>
      <c r="E51" s="994"/>
    </row>
    <row r="52" spans="1:5" s="921" customFormat="1" ht="15.75" x14ac:dyDescent="0.25">
      <c r="A52" s="980" t="s">
        <v>1295</v>
      </c>
      <c r="B52" s="981"/>
      <c r="C52" s="984"/>
      <c r="D52" s="981"/>
      <c r="E52" s="985"/>
    </row>
    <row r="53" spans="1:5" s="921" customFormat="1" x14ac:dyDescent="0.25">
      <c r="A53" s="1118"/>
      <c r="B53" s="1119"/>
      <c r="C53" s="1119"/>
      <c r="D53" s="1119"/>
      <c r="E53" s="1120"/>
    </row>
    <row r="54" spans="1:5" s="921" customFormat="1" ht="15.75" thickBot="1" x14ac:dyDescent="0.3">
      <c r="A54" s="1121"/>
      <c r="B54" s="1122"/>
      <c r="C54" s="1122"/>
      <c r="D54" s="1122"/>
      <c r="E54" s="1123"/>
    </row>
    <row r="55" spans="1:5" ht="15.75" thickBot="1" x14ac:dyDescent="0.3">
      <c r="A55" s="979"/>
      <c r="B55" s="921"/>
      <c r="C55" s="921"/>
      <c r="D55" s="921"/>
      <c r="E55" s="921"/>
    </row>
    <row r="56" spans="1:5" ht="30.75" customHeight="1" thickBot="1" x14ac:dyDescent="0.3">
      <c r="A56" s="1097" t="s">
        <v>800</v>
      </c>
      <c r="B56" s="1098"/>
      <c r="C56" s="1098"/>
      <c r="D56" s="1098"/>
      <c r="E56" s="1099"/>
    </row>
    <row r="57" spans="1:5" ht="15" customHeight="1" x14ac:dyDescent="0.25">
      <c r="A57" s="82"/>
      <c r="B57" s="83"/>
      <c r="C57" s="83"/>
      <c r="D57" s="83"/>
    </row>
    <row r="58" spans="1:5" ht="30.95" customHeight="1" thickBot="1" x14ac:dyDescent="0.3">
      <c r="A58" s="84" t="s">
        <v>801</v>
      </c>
      <c r="B58" s="309"/>
      <c r="C58" s="85" t="s">
        <v>802</v>
      </c>
      <c r="D58" s="309"/>
    </row>
    <row r="59" spans="1:5" ht="30.95" customHeight="1" thickBot="1" x14ac:dyDescent="0.3">
      <c r="A59" s="86" t="s">
        <v>803</v>
      </c>
      <c r="B59" s="309"/>
      <c r="C59" s="85" t="s">
        <v>804</v>
      </c>
      <c r="D59" s="310" t="s">
        <v>805</v>
      </c>
    </row>
    <row r="60" spans="1:5" ht="30.95" customHeight="1" thickBot="1" x14ac:dyDescent="0.3">
      <c r="A60" s="84" t="s">
        <v>806</v>
      </c>
      <c r="B60" s="309"/>
      <c r="C60" s="85" t="s">
        <v>802</v>
      </c>
      <c r="D60" s="310"/>
    </row>
    <row r="61" spans="1:5" ht="30.6" customHeight="1" thickBot="1" x14ac:dyDescent="0.3">
      <c r="A61" s="86" t="s">
        <v>803</v>
      </c>
      <c r="B61" s="309"/>
      <c r="C61" s="85" t="s">
        <v>804</v>
      </c>
      <c r="D61" s="310" t="s">
        <v>807</v>
      </c>
    </row>
    <row r="62" spans="1:5" ht="30.75" customHeight="1" thickBot="1" x14ac:dyDescent="0.3">
      <c r="A62" s="84" t="s">
        <v>808</v>
      </c>
      <c r="B62" s="309"/>
      <c r="C62" s="85" t="s">
        <v>802</v>
      </c>
      <c r="D62" s="309"/>
    </row>
    <row r="63" spans="1:5" ht="30.75" customHeight="1" thickBot="1" x14ac:dyDescent="0.3">
      <c r="A63" s="86" t="s">
        <v>803</v>
      </c>
      <c r="B63" s="310"/>
      <c r="C63" s="85" t="s">
        <v>804</v>
      </c>
      <c r="D63" s="310" t="s">
        <v>809</v>
      </c>
    </row>
    <row r="64" spans="1:5" ht="30.75" customHeight="1" thickBot="1" x14ac:dyDescent="0.3">
      <c r="A64" s="84" t="s">
        <v>810</v>
      </c>
      <c r="B64" s="310"/>
      <c r="C64" s="85" t="s">
        <v>802</v>
      </c>
      <c r="D64" s="310"/>
    </row>
    <row r="65" spans="1:5" ht="30.95" customHeight="1" thickBot="1" x14ac:dyDescent="0.3">
      <c r="A65" s="86" t="s">
        <v>803</v>
      </c>
      <c r="B65" s="310"/>
      <c r="C65" s="85" t="s">
        <v>804</v>
      </c>
      <c r="D65" s="310" t="s">
        <v>811</v>
      </c>
    </row>
    <row r="66" spans="1:5" ht="15.75" thickBot="1" x14ac:dyDescent="0.3">
      <c r="A66" s="5"/>
    </row>
    <row r="67" spans="1:5" ht="15.75" thickBot="1" x14ac:dyDescent="0.3">
      <c r="A67" s="1100" t="s">
        <v>812</v>
      </c>
      <c r="B67" s="1101"/>
      <c r="C67" s="1101"/>
      <c r="D67" s="1101"/>
      <c r="E67" s="1102"/>
    </row>
    <row r="68" spans="1:5" x14ac:dyDescent="0.25">
      <c r="A68" s="82"/>
      <c r="B68" s="83"/>
      <c r="C68" s="83"/>
      <c r="D68" s="83"/>
    </row>
    <row r="69" spans="1:5" ht="30.95" customHeight="1" thickBot="1" x14ac:dyDescent="0.3">
      <c r="A69" s="84" t="s">
        <v>801</v>
      </c>
      <c r="B69" s="309"/>
      <c r="C69" s="85" t="s">
        <v>802</v>
      </c>
      <c r="D69" s="309"/>
    </row>
    <row r="70" spans="1:5" ht="30.95" customHeight="1" thickBot="1" x14ac:dyDescent="0.3">
      <c r="A70" s="86" t="s">
        <v>803</v>
      </c>
      <c r="B70" s="309"/>
      <c r="C70" s="85" t="s">
        <v>804</v>
      </c>
      <c r="D70" s="310" t="s">
        <v>813</v>
      </c>
    </row>
    <row r="71" spans="1:5" ht="30.95" customHeight="1" thickBot="1" x14ac:dyDescent="0.3">
      <c r="A71" s="84" t="s">
        <v>806</v>
      </c>
      <c r="B71" s="309"/>
      <c r="C71" s="85" t="s">
        <v>802</v>
      </c>
      <c r="D71" s="309"/>
    </row>
    <row r="72" spans="1:5" ht="30.95" customHeight="1" thickBot="1" x14ac:dyDescent="0.3">
      <c r="A72" s="86" t="s">
        <v>803</v>
      </c>
      <c r="B72" s="310"/>
      <c r="C72" s="85" t="s">
        <v>804</v>
      </c>
      <c r="D72" s="310" t="s">
        <v>814</v>
      </c>
    </row>
    <row r="73" spans="1:5" ht="15.75" thickBot="1" x14ac:dyDescent="0.3"/>
    <row r="74" spans="1:5" ht="15.75" thickBot="1" x14ac:dyDescent="0.3">
      <c r="A74" s="1130" t="s">
        <v>1297</v>
      </c>
      <c r="B74" s="1131"/>
      <c r="C74" s="1131"/>
      <c r="D74" s="1131"/>
      <c r="E74" s="1132"/>
    </row>
    <row r="75" spans="1:5" ht="30.95" customHeight="1" thickBot="1" x14ac:dyDescent="0.3">
      <c r="A75" s="990" t="s">
        <v>816</v>
      </c>
      <c r="B75" s="309"/>
      <c r="C75" s="987" t="s">
        <v>802</v>
      </c>
      <c r="D75" s="309"/>
    </row>
    <row r="76" spans="1:5" ht="30.95" customHeight="1" thickBot="1" x14ac:dyDescent="0.3">
      <c r="A76" s="990" t="s">
        <v>1298</v>
      </c>
      <c r="B76" s="309"/>
      <c r="C76" s="987" t="s">
        <v>804</v>
      </c>
      <c r="D76" s="991" t="s">
        <v>1299</v>
      </c>
    </row>
    <row r="77" spans="1:5" ht="15" customHeight="1" thickBot="1" x14ac:dyDescent="0.3">
      <c r="A77" s="988"/>
      <c r="B77" s="988"/>
      <c r="C77" s="989"/>
      <c r="D77" s="989"/>
      <c r="E77" s="989"/>
    </row>
    <row r="78" spans="1:5" ht="15.75" thickBot="1" x14ac:dyDescent="0.3">
      <c r="A78" s="1093" t="s">
        <v>815</v>
      </c>
      <c r="B78" s="1094"/>
      <c r="C78" s="1094"/>
      <c r="D78" s="1094"/>
      <c r="E78" s="1095"/>
    </row>
    <row r="79" spans="1:5" x14ac:dyDescent="0.25">
      <c r="A79" s="82"/>
      <c r="B79" s="83"/>
      <c r="C79" s="83"/>
      <c r="D79" s="83"/>
    </row>
    <row r="80" spans="1:5" ht="30.95" customHeight="1" thickBot="1" x14ac:dyDescent="0.3">
      <c r="A80" s="84" t="s">
        <v>816</v>
      </c>
      <c r="B80" s="309"/>
      <c r="C80" s="85" t="s">
        <v>802</v>
      </c>
      <c r="D80" s="309"/>
    </row>
    <row r="81" spans="1:5" ht="30.95" customHeight="1" thickBot="1" x14ac:dyDescent="0.3">
      <c r="A81" s="87" t="s">
        <v>803</v>
      </c>
      <c r="B81" s="309"/>
      <c r="C81" s="85" t="s">
        <v>804</v>
      </c>
      <c r="D81" s="309"/>
    </row>
    <row r="82" spans="1:5" ht="15.75" thickBot="1" x14ac:dyDescent="0.3">
      <c r="A82" s="5"/>
    </row>
    <row r="83" spans="1:5" ht="15.75" thickBot="1" x14ac:dyDescent="0.3">
      <c r="A83" s="1093" t="s">
        <v>817</v>
      </c>
      <c r="B83" s="1094"/>
      <c r="C83" s="1094"/>
      <c r="D83" s="1094"/>
      <c r="E83" s="1095"/>
    </row>
    <row r="84" spans="1:5" x14ac:dyDescent="0.25">
      <c r="A84" s="82"/>
      <c r="B84" s="83"/>
      <c r="C84" s="83"/>
      <c r="D84" s="83"/>
    </row>
    <row r="85" spans="1:5" ht="30.95" customHeight="1" thickBot="1" x14ac:dyDescent="0.3">
      <c r="A85" s="84" t="s">
        <v>816</v>
      </c>
      <c r="B85" s="309"/>
      <c r="C85" s="85" t="s">
        <v>802</v>
      </c>
      <c r="D85" s="309"/>
    </row>
    <row r="86" spans="1:5" ht="30.95" customHeight="1" thickBot="1" x14ac:dyDescent="0.3">
      <c r="A86" s="87" t="s">
        <v>803</v>
      </c>
      <c r="B86" s="309"/>
      <c r="C86" s="85" t="s">
        <v>804</v>
      </c>
      <c r="D86" s="309"/>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200" priority="7">
      <formula>NOT(ISBLANK(C48))</formula>
    </cfRule>
  </conditionalFormatting>
  <conditionalFormatting sqref="E48">
    <cfRule type="expression" dxfId="199" priority="6">
      <formula>NOT(ISBLANK(E48))</formula>
    </cfRule>
  </conditionalFormatting>
  <conditionalFormatting sqref="E49">
    <cfRule type="expression" dxfId="198" priority="5">
      <formula>NOT(ISBLANK(E49))</formula>
    </cfRule>
  </conditionalFormatting>
  <conditionalFormatting sqref="E51">
    <cfRule type="expression" dxfId="197" priority="4">
      <formula>NOT(ISBLANK(E51))</formula>
    </cfRule>
  </conditionalFormatting>
  <conditionalFormatting sqref="C49">
    <cfRule type="expression" dxfId="196" priority="3">
      <formula>NOT(ISBLANK(C49))</formula>
    </cfRule>
  </conditionalFormatting>
  <conditionalFormatting sqref="C50">
    <cfRule type="expression" dxfId="195" priority="2">
      <formula>NOT(ISBLANK(C50))</formula>
    </cfRule>
  </conditionalFormatting>
  <conditionalFormatting sqref="C51">
    <cfRule type="expression" dxfId="19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1027</v>
      </c>
      <c r="AA1" s="140"/>
      <c r="AB1" s="140"/>
      <c r="AC1" s="140"/>
    </row>
    <row r="2" spans="1:29" ht="21" customHeight="1" x14ac:dyDescent="0.3">
      <c r="A2" s="147"/>
      <c r="B2" s="362"/>
      <c r="C2" s="385" t="s">
        <v>914</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33" t="s">
        <v>1264</v>
      </c>
      <c r="D3" s="113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907</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1310</v>
      </c>
      <c r="D6" s="1017" t="s">
        <v>1311</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1009</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1312</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1222</v>
      </c>
      <c r="Z11" s="140">
        <f>D10</f>
        <v>0</v>
      </c>
      <c r="AA11" s="140"/>
      <c r="AB11" s="140"/>
      <c r="AC11" s="140"/>
    </row>
    <row r="12" spans="1:29" hidden="1" x14ac:dyDescent="0.25">
      <c r="A12" s="147"/>
      <c r="B12" s="402"/>
      <c r="C12" s="388" t="s">
        <v>1223</v>
      </c>
      <c r="D12" s="389" t="s">
        <v>675</v>
      </c>
      <c r="E12" s="147"/>
      <c r="F12" s="147"/>
      <c r="G12" s="147"/>
      <c r="H12" s="147"/>
      <c r="I12" s="384"/>
      <c r="J12" s="147"/>
      <c r="K12" s="140"/>
      <c r="L12" s="140"/>
      <c r="M12" s="140"/>
      <c r="N12" s="140"/>
      <c r="O12" s="140"/>
      <c r="P12" s="140"/>
      <c r="Q12" s="140"/>
      <c r="R12" s="140"/>
      <c r="S12" s="140"/>
      <c r="T12" s="140"/>
      <c r="U12" s="140"/>
      <c r="V12" s="140"/>
      <c r="W12" s="140"/>
      <c r="X12" s="140"/>
      <c r="Y12" s="140" t="s">
        <v>1221</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1313</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1208</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1314</v>
      </c>
      <c r="D20" s="389" t="s">
        <v>675</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1315</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679</v>
      </c>
      <c r="E27" s="1025" t="s">
        <v>1316</v>
      </c>
      <c r="F27" s="1025" t="s">
        <v>1317</v>
      </c>
      <c r="G27" s="1024" t="s">
        <v>271</v>
      </c>
      <c r="H27" s="1023" t="s">
        <v>1318</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44" t="s">
        <v>1319</v>
      </c>
      <c r="C31" s="1145"/>
      <c r="D31" s="1145"/>
      <c r="E31" s="1145"/>
      <c r="F31" s="1145"/>
      <c r="G31" s="1145"/>
      <c r="H31" s="1145"/>
      <c r="I31" s="114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35"/>
      <c r="C32" s="1136"/>
      <c r="D32" s="1136"/>
      <c r="E32" s="1136"/>
      <c r="F32" s="1136"/>
      <c r="G32" s="1136"/>
      <c r="H32" s="1136"/>
      <c r="I32" s="113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38"/>
      <c r="C33" s="1139"/>
      <c r="D33" s="1139"/>
      <c r="E33" s="1139"/>
      <c r="F33" s="1139"/>
      <c r="G33" s="1139"/>
      <c r="H33" s="1139"/>
      <c r="I33" s="114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38"/>
      <c r="C34" s="1139"/>
      <c r="D34" s="1139"/>
      <c r="E34" s="1139"/>
      <c r="F34" s="1139"/>
      <c r="G34" s="1139"/>
      <c r="H34" s="1139"/>
      <c r="I34" s="114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38"/>
      <c r="C35" s="1139"/>
      <c r="D35" s="1139"/>
      <c r="E35" s="1139"/>
      <c r="F35" s="1139"/>
      <c r="G35" s="1139"/>
      <c r="H35" s="1139"/>
      <c r="I35" s="114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38"/>
      <c r="C36" s="1139"/>
      <c r="D36" s="1139"/>
      <c r="E36" s="1139"/>
      <c r="F36" s="1139"/>
      <c r="G36" s="1139"/>
      <c r="H36" s="1139"/>
      <c r="I36" s="114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41"/>
      <c r="C37" s="1142"/>
      <c r="D37" s="1142"/>
      <c r="E37" s="1142"/>
      <c r="F37" s="1142"/>
      <c r="G37" s="1142"/>
      <c r="H37" s="1142"/>
      <c r="I37" s="114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47" t="s">
        <v>1209</v>
      </c>
      <c r="C39" s="1148"/>
      <c r="D39" s="1148"/>
      <c r="E39" s="1148"/>
      <c r="F39" s="1148"/>
      <c r="G39" s="1148"/>
      <c r="H39" s="1148"/>
      <c r="I39" s="114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35"/>
      <c r="C40" s="1136"/>
      <c r="D40" s="1136"/>
      <c r="E40" s="1136"/>
      <c r="F40" s="1136"/>
      <c r="G40" s="1136"/>
      <c r="H40" s="1136"/>
      <c r="I40" s="113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38"/>
      <c r="C41" s="1139"/>
      <c r="D41" s="1139"/>
      <c r="E41" s="1139"/>
      <c r="F41" s="1139"/>
      <c r="G41" s="1139"/>
      <c r="H41" s="1139"/>
      <c r="I41" s="114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38"/>
      <c r="C42" s="1139"/>
      <c r="D42" s="1139"/>
      <c r="E42" s="1139"/>
      <c r="F42" s="1139"/>
      <c r="G42" s="1139"/>
      <c r="H42" s="1139"/>
      <c r="I42" s="114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38"/>
      <c r="C43" s="1139"/>
      <c r="D43" s="1139"/>
      <c r="E43" s="1139"/>
      <c r="F43" s="1139"/>
      <c r="G43" s="1139"/>
      <c r="H43" s="1139"/>
      <c r="I43" s="114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38"/>
      <c r="C44" s="1139"/>
      <c r="D44" s="1139"/>
      <c r="E44" s="1139"/>
      <c r="F44" s="1139"/>
      <c r="G44" s="1139"/>
      <c r="H44" s="1139"/>
      <c r="I44" s="114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41"/>
      <c r="C45" s="1142"/>
      <c r="D45" s="1142"/>
      <c r="E45" s="1142"/>
      <c r="F45" s="1142"/>
      <c r="G45" s="1142"/>
      <c r="H45" s="1142"/>
      <c r="I45" s="114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93"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50" t="s">
        <v>949</v>
      </c>
      <c r="G2" s="115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63"/>
      <c r="K3" s="1163"/>
      <c r="L3" s="1163"/>
      <c r="M3" s="812"/>
      <c r="N3" s="1151" t="str">
        <f>IF(COUNTIFS($N$6:$N$15,"&gt;0")&lt;$C$4,"Must Enter Expected Sales for All Locations","")</f>
        <v/>
      </c>
      <c r="O3" s="1151"/>
      <c r="P3" s="115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52" t="str">
        <f>IF(COUNTIFS($N$6:$N$15,"&gt;0")&lt;$C$4,"VVVVV","")</f>
        <v/>
      </c>
      <c r="N4" s="1152"/>
      <c r="O4" s="115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1077</v>
      </c>
      <c r="G5" s="703" t="s">
        <v>759</v>
      </c>
      <c r="H5" s="810" t="s">
        <v>1343</v>
      </c>
      <c r="I5" s="1039" t="s">
        <v>946</v>
      </c>
      <c r="J5" s="704" t="s">
        <v>1344</v>
      </c>
      <c r="K5" s="704" t="s">
        <v>1351</v>
      </c>
      <c r="L5" s="704" t="s">
        <v>944</v>
      </c>
      <c r="M5" s="705" t="s">
        <v>1345</v>
      </c>
      <c r="N5" s="821" t="s">
        <v>1346</v>
      </c>
      <c r="O5" s="822" t="s">
        <v>1347</v>
      </c>
      <c r="P5" s="822" t="s">
        <v>1348</v>
      </c>
      <c r="Q5" s="822" t="s">
        <v>207</v>
      </c>
      <c r="R5" s="1046" t="s">
        <v>1349</v>
      </c>
      <c r="S5" s="1048" t="s">
        <v>1350</v>
      </c>
      <c r="T5" s="1052" t="s">
        <v>1263</v>
      </c>
      <c r="U5" s="679"/>
      <c r="V5" s="674" t="s">
        <v>471</v>
      </c>
      <c r="W5" s="56" t="s">
        <v>947</v>
      </c>
      <c r="X5" s="56" t="s">
        <v>207</v>
      </c>
      <c r="Y5" s="56" t="s">
        <v>522</v>
      </c>
      <c r="Z5" s="140"/>
      <c r="AA5" t="s">
        <v>964</v>
      </c>
      <c r="AB5">
        <f>MAX(AB6:AB15)</f>
        <v>0</v>
      </c>
      <c r="AC5" s="2"/>
      <c r="AD5" s="140"/>
      <c r="AF5" s="140"/>
      <c r="AG5" s="140"/>
      <c r="AH5" s="140"/>
      <c r="AI5" s="140" t="s">
        <v>1173</v>
      </c>
      <c r="AJ5" s="140" t="s">
        <v>1174</v>
      </c>
      <c r="AK5" s="140" t="s">
        <v>1175</v>
      </c>
      <c r="AL5" s="140" t="s">
        <v>1176</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55" t="s">
        <v>948</v>
      </c>
      <c r="H17" s="1153">
        <f>SUM($I$6:$I$15)</f>
        <v>0</v>
      </c>
      <c r="I17" s="811"/>
      <c r="J17" s="811"/>
      <c r="K17" s="811"/>
      <c r="L17" s="1157" t="s">
        <v>1408</v>
      </c>
      <c r="M17" s="1158"/>
      <c r="N17" s="1153">
        <f>SUMIF($F$6:$F$15,"&gt;0",$N$6:$N$15)</f>
        <v>0</v>
      </c>
      <c r="O17" s="116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62"/>
      <c r="Q17" s="811"/>
      <c r="R17" s="811"/>
      <c r="S17" s="811"/>
      <c r="T17" s="811"/>
      <c r="U17" s="679"/>
      <c r="V17" s="140"/>
      <c r="W17" s="140"/>
      <c r="X17" s="140"/>
      <c r="Y17" s="140"/>
      <c r="Z17" s="140" t="s">
        <v>1092</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56"/>
      <c r="H18" s="1154"/>
      <c r="I18" s="811"/>
      <c r="J18" s="811"/>
      <c r="K18" s="811"/>
      <c r="L18" s="1159"/>
      <c r="M18" s="1160"/>
      <c r="N18" s="1154"/>
      <c r="O18" s="1161"/>
      <c r="P18" s="116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lNdnyrBZyXYZ05SaA6QgoEla4OacF0N0hBtzSmzu5SaMElpx7sXaHVcuNvVIa8qGMghti2cbsB5yo2yHg91MFQ==" saltValue="KKJ276mi4yd9AV/UI5uwQ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92" priority="20">
      <formula>$I6&lt;&gt;"Enter Spend&gt;&gt;&gt;"</formula>
    </cfRule>
  </conditionalFormatting>
  <conditionalFormatting sqref="G6:H15">
    <cfRule type="notContainsBlanks" dxfId="191" priority="17">
      <formula>LEN(TRIM(G6))&gt;0</formula>
    </cfRule>
    <cfRule type="expression" dxfId="190" priority="18">
      <formula>$F6&lt;&gt;""</formula>
    </cfRule>
  </conditionalFormatting>
  <conditionalFormatting sqref="M6:M15 J6:J15">
    <cfRule type="expression" dxfId="189" priority="16">
      <formula>O6&lt;&gt;""</formula>
    </cfRule>
  </conditionalFormatting>
  <conditionalFormatting sqref="N6:Q15">
    <cfRule type="expression" dxfId="188" priority="21">
      <formula>$F6=""</formula>
    </cfRule>
    <cfRule type="notContainsBlanks" dxfId="187" priority="22">
      <formula>LEN(TRIM(N6))&gt;0</formula>
    </cfRule>
  </conditionalFormatting>
  <conditionalFormatting sqref="Q6:Q15">
    <cfRule type="expression" dxfId="186" priority="14">
      <formula>$U6="Zip Code Not Serviced"</formula>
    </cfRule>
  </conditionalFormatting>
  <conditionalFormatting sqref="J3:L3">
    <cfRule type="expression" dxfId="185" priority="10">
      <formula>$AL$4&gt;0</formula>
    </cfRule>
  </conditionalFormatting>
  <conditionalFormatting sqref="N6:Q15">
    <cfRule type="expression" dxfId="184" priority="8">
      <formula>$AL6="FLAG"</formula>
    </cfRule>
  </conditionalFormatting>
  <conditionalFormatting sqref="R6:T15">
    <cfRule type="expression" dxfId="183" priority="5">
      <formula>$I6&lt;&gt;"Enter Spend&gt;&gt;&gt;"</formula>
    </cfRule>
  </conditionalFormatting>
  <conditionalFormatting sqref="R6:T15">
    <cfRule type="expression" dxfId="182" priority="6">
      <formula>$F6=""</formula>
    </cfRule>
    <cfRule type="notContainsBlanks" dxfId="181" priority="7">
      <formula>LEN(TRIM(R6))&gt;0</formula>
    </cfRule>
  </conditionalFormatting>
  <conditionalFormatting sqref="R6:T15">
    <cfRule type="expression" dxfId="180" priority="4">
      <formula>$AL6="FLAG"</formula>
    </cfRule>
  </conditionalFormatting>
  <conditionalFormatting sqref="R6:R15">
    <cfRule type="expression" dxfId="179" priority="3">
      <formula>$U6="Zip Code Not Serviced"</formula>
    </cfRule>
  </conditionalFormatting>
  <conditionalFormatting sqref="R6:R15">
    <cfRule type="expression" dxfId="178" priority="2">
      <formula>$U6="Zip Code Not Serviced"</formula>
    </cfRule>
  </conditionalFormatting>
  <conditionalFormatting sqref="S6:S15">
    <cfRule type="expression" dxfId="177"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abSelected="1" zoomScale="80" zoomScaleNormal="80" zoomScaleSheetLayoutView="80" workbookViewId="0">
      <selection activeCell="F6" sqref="F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1312</v>
      </c>
      <c r="E3" s="425">
        <f>Welcome!$D$10</f>
        <v>0</v>
      </c>
      <c r="F3" s="145"/>
      <c r="G3" s="523" t="s">
        <v>110</v>
      </c>
      <c r="H3" s="1175" t="e">
        <f>VLOOKUP($H$4,'Market Geography'!$D:$G,4,FALSE)</f>
        <v>#N/A</v>
      </c>
      <c r="I3" s="1176"/>
      <c r="J3" s="1176"/>
      <c r="K3" s="117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1313</v>
      </c>
      <c r="E4" s="393" t="str">
        <f>Welcome!$D$14</f>
        <v>Select Term</v>
      </c>
      <c r="F4" s="145"/>
      <c r="G4" s="524" t="s">
        <v>907</v>
      </c>
      <c r="H4" s="1172">
        <f>Welcome!$D$4</f>
        <v>0</v>
      </c>
      <c r="I4" s="1173"/>
      <c r="J4" s="1173"/>
      <c r="K4" s="117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1320</v>
      </c>
      <c r="E5" s="149">
        <f>$G$31</f>
        <v>0</v>
      </c>
      <c r="F5" s="145"/>
      <c r="G5" s="524" t="s">
        <v>107</v>
      </c>
      <c r="H5" s="1172" t="str">
        <f>'Multi-Customer'!$M$47</f>
        <v>Enter Customer(s)</v>
      </c>
      <c r="I5" s="1173"/>
      <c r="J5" s="1173"/>
      <c r="K5" s="117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1321</v>
      </c>
      <c r="E6" s="150">
        <f>IFERROR('Variable Costs (Back)'!$K$26,0)</f>
        <v>0</v>
      </c>
      <c r="F6" s="145"/>
      <c r="G6" s="524" t="s">
        <v>1330</v>
      </c>
      <c r="H6" s="1172" t="str">
        <f>'Multi-Customer'!$M$83</f>
        <v>MULTIPLE TYPES</v>
      </c>
      <c r="I6" s="1173"/>
      <c r="J6" s="1173"/>
      <c r="K6" s="117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1322</v>
      </c>
      <c r="E7" s="426">
        <f>IFERROR('PIM Ranges'!$AU$3,0)</f>
        <v>0</v>
      </c>
      <c r="F7" s="145"/>
      <c r="G7" s="525" t="s">
        <v>1323</v>
      </c>
      <c r="H7" s="1178" t="s">
        <v>209</v>
      </c>
      <c r="I7" s="1179"/>
      <c r="J7" s="1179"/>
      <c r="K7" s="1180"/>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516</v>
      </c>
      <c r="U8" s="152"/>
      <c r="V8" s="145"/>
      <c r="W8" s="417" t="s">
        <v>507</v>
      </c>
      <c r="X8" s="145"/>
      <c r="Y8" s="527" t="s">
        <v>995</v>
      </c>
      <c r="Z8" s="145"/>
      <c r="AA8" s="145"/>
      <c r="AB8" s="145"/>
      <c r="AC8" s="145"/>
      <c r="AD8" s="145"/>
      <c r="AE8" s="145"/>
      <c r="AF8" s="145"/>
      <c r="AG8" s="145"/>
      <c r="AH8" s="145"/>
      <c r="AI8" s="145"/>
      <c r="AJ8" s="145"/>
      <c r="AK8" s="145"/>
      <c r="AL8" s="145"/>
      <c r="AM8" s="145"/>
    </row>
    <row r="9" spans="1:39" ht="30" customHeight="1" thickBot="1" x14ac:dyDescent="0.3">
      <c r="A9" s="145"/>
      <c r="B9" s="547" t="s">
        <v>961</v>
      </c>
      <c r="C9" s="548" t="s">
        <v>1041</v>
      </c>
      <c r="D9" s="548" t="s">
        <v>1410</v>
      </c>
      <c r="E9" s="419" t="s">
        <v>476</v>
      </c>
      <c r="F9" s="154" t="s">
        <v>1411</v>
      </c>
      <c r="G9" s="155" t="s">
        <v>405</v>
      </c>
      <c r="H9" s="156" t="s">
        <v>83</v>
      </c>
      <c r="I9" s="157" t="s">
        <v>1412</v>
      </c>
      <c r="J9" s="154" t="s">
        <v>1413</v>
      </c>
      <c r="K9" s="158" t="s">
        <v>230</v>
      </c>
      <c r="L9" s="159"/>
      <c r="M9" s="160" t="s">
        <v>991</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705</v>
      </c>
      <c r="AE9" s="145"/>
      <c r="AF9" s="690" t="s">
        <v>1047</v>
      </c>
      <c r="AG9" s="145" t="s">
        <v>1048</v>
      </c>
      <c r="AH9" s="145" t="s">
        <v>498</v>
      </c>
      <c r="AI9" s="145"/>
      <c r="AJ9" s="145"/>
      <c r="AK9" s="145"/>
      <c r="AL9" s="145"/>
      <c r="AM9" s="145"/>
    </row>
    <row r="10" spans="1:39" ht="17.25" x14ac:dyDescent="0.25">
      <c r="A10" s="145"/>
      <c r="B10" s="650">
        <v>0</v>
      </c>
      <c r="C10" s="656"/>
      <c r="D10" s="1031" t="s">
        <v>493</v>
      </c>
      <c r="E10" s="651" t="s">
        <v>1000</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1000</v>
      </c>
      <c r="F11" s="170" t="s">
        <v>523</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t="e">
        <f>VLOOKUP($F11&amp;'Multi-Customer'!$AG13,'IMargin Quartiles'!$A:$H,6,FALSE)*'PIM Ranges'!AP13</f>
        <v>#N/A</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1000</v>
      </c>
      <c r="F12" s="170" t="s">
        <v>524</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t="e">
        <f>VLOOKUP($F12&amp;'Multi-Customer'!$AG14,'IMargin Quartiles'!$A:$H,6,FALSE)*'PIM Ranges'!AP14</f>
        <v>#N/A</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1000</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1000</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1000</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1000</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1000</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1000</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1000</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1000</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1000</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1000</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t="e">
        <f>VLOOKUP($F22&amp;'Multi-Customer'!$AG24,'IMargin Quartiles'!$A:$H,6,FALSE)*'PIM Ranges'!AP24</f>
        <v>#N/A</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1000</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1000</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t="e">
        <f>VLOOKUP($F24&amp;'Multi-Customer'!$AG26,'IMargin Quartiles'!$A:$H,6,FALSE)*'PIM Ranges'!AP26</f>
        <v>#N/A</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1000</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t="e">
        <f>VLOOKUP($F25&amp;'Multi-Customer'!$AG27,'IMargin Quartiles'!$A:$H,6,FALSE)*'PIM Ranges'!AP27</f>
        <v>#N/A</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1000</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t="e">
        <f>VLOOKUP($F26&amp;'Multi-Customer'!$AG28,'IMargin Quartiles'!$A:$H,6,FALSE)*'PIM Ranges'!AP28</f>
        <v>#N/A</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1000</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t="e">
        <f>VLOOKUP($F27&amp;'Multi-Customer'!$AG29,'IMargin Quartiles'!$A:$H,6,FALSE)*'PIM Ranges'!AO29</f>
        <v>#N/A</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1000</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1000</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t="e">
        <f>VLOOKUP($F29&amp;'Multi-Customer'!$AG31,'IMargin Quartiles'!$A:$H,6,FALSE)*'PIM Ranges'!AP31</f>
        <v>#N/A</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1000</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t="e">
        <f>VLOOKUP($F30&amp;'Multi-Customer'!$AG32,'IMargin Quartiles'!$A:$H,6,FALSE)*'PIM Ranges'!AP32</f>
        <v>#N/A</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69" t="s">
        <v>119</v>
      </c>
      <c r="H33" s="1170"/>
      <c r="I33" s="517" t="e">
        <f>IF($E$3="MDA",'PIM Ranges'!$AX$7,'PIM Ranges'!$BJ$7)</f>
        <v>#DIV/0!</v>
      </c>
      <c r="J33" s="140"/>
      <c r="K33" s="1171" t="str">
        <f>IF(COUNTIF($AB$10:$AB$30,"ERROR")&lt;1,"",IF(COUNTIF($AB$10:$AB$30,"ERROR")&lt;2,(COUNTIF($AB$10:$AB$30,"ERROR")&amp;" Margin Missing Above"),(COUNTIF($AB$10:$AB$30,"ERROR")&amp;" Margins Missing Above")))</f>
        <v/>
      </c>
      <c r="L33" s="1171"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64" t="s">
        <v>502</v>
      </c>
      <c r="H34" s="1165"/>
      <c r="I34" s="513">
        <f>J31</f>
        <v>0</v>
      </c>
      <c r="J34" s="140"/>
      <c r="K34" s="1171" t="str">
        <f>IF(COUNTIFS($L$10:$L$30,"X",$AF$10:$AF$30,"BELOW")&lt;1,"",IF(COUNTIFS($L$10:$L$30,"X",$AF$10:$AF$30,"BELOW")&lt;2,(COUNTIFS($L$10:$L$30,"X",$AF$10:$AF$30,"BELOW")&amp;" Margin Below Minimum"),(COUNTIFS($L$10:$L$30,"X",$AF$10:$AF$30,"BELOW")&amp;" Margins Below Minimum")))</f>
        <v/>
      </c>
      <c r="L34" s="1171"/>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64" t="s">
        <v>1414</v>
      </c>
      <c r="H35" s="1165"/>
      <c r="I35" s="514" t="str">
        <f>IFERROR(I34/G31,"")</f>
        <v/>
      </c>
      <c r="K35" s="1171" t="str">
        <f>IF(COUNTIFS($L$10:$L$30,"X",$AF$10:$AF$30,"ABOVE")&lt;1,"",IF(COUNTIFS($L$10:$L$30,"X",$AF$10:$AF$30,"ABOVE")&lt;2,(COUNTIFS($L$10:$L$30,"X",$AF$10:$AF$30,"ABOVE")&amp;" Margin Above Maximum"),(COUNTIFS($L$10:$L$30,"X",$AF$10:$AF$30,"ABOVE")&amp;" Margins Above Maximum")))</f>
        <v/>
      </c>
      <c r="L35" s="1171"/>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64"/>
      <c r="H36" s="116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64" t="str">
        <f>IFERROR(IF(I35&gt;I33,"","Below Recommended TAGP: "),"")</f>
        <v/>
      </c>
      <c r="H37" s="116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64"/>
      <c r="H38" s="116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64" t="s">
        <v>1415</v>
      </c>
      <c r="H39" s="116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66" t="s">
        <v>503</v>
      </c>
      <c r="H40" s="1167"/>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68"/>
      <c r="G52" s="116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68"/>
      <c r="G53" s="116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68"/>
      <c r="G54" s="116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YaXgX79EfvsgCoyuWSk0b+MZ6XdsYD8bXLQxHVODi3VrDllza31j/Xoa1b7ffH70PltDP6o+bqnlWPc8gKFEJQ==" saltValue="2LeqbZ59Em67h942M94l/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6" priority="20">
      <formula>$D10&lt;&gt;"%"</formula>
    </cfRule>
  </conditionalFormatting>
  <conditionalFormatting sqref="B10:J30">
    <cfRule type="expression" dxfId="175" priority="14">
      <formula>$E10="EXCLUDE"</formula>
    </cfRule>
  </conditionalFormatting>
  <conditionalFormatting sqref="O8:O30">
    <cfRule type="expression" dxfId="174" priority="16">
      <formula>$E$3="CIA"</formula>
    </cfRule>
  </conditionalFormatting>
  <conditionalFormatting sqref="Q8:Q30">
    <cfRule type="expression" dxfId="173" priority="15">
      <formula>$E$3="CIA"</formula>
    </cfRule>
  </conditionalFormatting>
  <conditionalFormatting sqref="K9:K30">
    <cfRule type="expression" dxfId="172" priority="5">
      <formula>$E$3="CIA"</formula>
    </cfRule>
  </conditionalFormatting>
  <conditionalFormatting sqref="L10:L30">
    <cfRule type="expression" dxfId="171" priority="6">
      <formula>$AF10="ABOVE"</formula>
    </cfRule>
  </conditionalFormatting>
  <conditionalFormatting sqref="I35">
    <cfRule type="expression" dxfId="170" priority="76">
      <formula>$K$36&gt;0</formula>
    </cfRule>
    <cfRule type="expression" dxfId="169" priority="77">
      <formula>$I$35&lt;$I$33</formula>
    </cfRule>
    <cfRule type="expression" dxfId="168" priority="78">
      <formula>$I$35&gt;$I$33</formula>
    </cfRule>
  </conditionalFormatting>
  <conditionalFormatting sqref="D10:D30">
    <cfRule type="expression" dxfId="167" priority="17">
      <formula>$E$3="CIA"</formula>
    </cfRule>
  </conditionalFormatting>
  <conditionalFormatting sqref="K10:K30">
    <cfRule type="expression" dxfId="166" priority="4">
      <formula>$D10&lt;&gt;"%"</formula>
    </cfRule>
  </conditionalFormatting>
  <conditionalFormatting sqref="K27">
    <cfRule type="expression" dxfId="16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75" t="e">
        <f>VLOOKUP($L$4,'Market Geography'!$D:$G,4,FALSE)</f>
        <v>#N/A</v>
      </c>
      <c r="M3" s="1176" t="e">
        <f>IF(#REF!="New Business",#REF!,#REF!)</f>
        <v>#REF!</v>
      </c>
      <c r="N3" s="1177"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517</v>
      </c>
      <c r="J4" s="189"/>
      <c r="K4" s="524" t="s">
        <v>120</v>
      </c>
      <c r="L4" s="1172">
        <f>Welcome!$D$4</f>
        <v>0</v>
      </c>
      <c r="M4" s="1173"/>
      <c r="N4" s="1174"/>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72" t="str">
        <f>'Multi-Customer'!$M$47</f>
        <v>Enter Customer(s)</v>
      </c>
      <c r="M5" s="1173"/>
      <c r="N5" s="1174"/>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72" t="str">
        <f>'Multi-Customer'!$M$83</f>
        <v>MULTIPLE TYPES</v>
      </c>
      <c r="M6" s="1173"/>
      <c r="N6" s="1174"/>
      <c r="O6" s="186"/>
      <c r="P6" s="184"/>
      <c r="Q6" s="187"/>
      <c r="R6" s="184"/>
      <c r="S6" s="184"/>
      <c r="T6" s="184"/>
      <c r="U6" s="184"/>
      <c r="V6" s="184"/>
      <c r="W6" s="184"/>
      <c r="X6" s="184"/>
      <c r="Y6" s="184"/>
      <c r="Z6" s="184"/>
      <c r="AA6" s="184"/>
      <c r="AB6" s="184"/>
      <c r="AC6" s="184"/>
    </row>
    <row r="7" spans="2:29" s="5" customFormat="1" ht="15.75" thickBot="1" x14ac:dyDescent="0.3">
      <c r="B7" s="185"/>
      <c r="F7" s="525" t="s">
        <v>541</v>
      </c>
      <c r="G7" s="431">
        <f>IFERROR('PIM Ranges'!$AU$3,0)</f>
        <v>0</v>
      </c>
      <c r="I7"/>
      <c r="J7"/>
      <c r="K7" s="525" t="s">
        <v>223</v>
      </c>
      <c r="L7" s="1194" t="s">
        <v>209</v>
      </c>
      <c r="M7" s="1195"/>
      <c r="N7" s="119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926</v>
      </c>
      <c r="H9" s="1197">
        <f>IFERROR('PIM Model'!$G$31,0)</f>
        <v>0</v>
      </c>
      <c r="I9" s="1198"/>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927</v>
      </c>
      <c r="H10" s="1205">
        <f>IFERROR('PIM Model'!$G$32,0)</f>
        <v>0</v>
      </c>
      <c r="I10" s="1206"/>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99"/>
      <c r="H12" s="1200"/>
      <c r="I12" s="197"/>
      <c r="J12" s="1204"/>
      <c r="K12" s="1204"/>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1224</v>
      </c>
      <c r="H13" s="709"/>
      <c r="I13" s="259" t="s">
        <v>916</v>
      </c>
      <c r="J13" s="44"/>
      <c r="K13" s="259" t="s">
        <v>897</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928</v>
      </c>
      <c r="E14" s="201"/>
      <c r="F14" s="202"/>
      <c r="G14" s="434" t="s">
        <v>1234</v>
      </c>
      <c r="H14" s="802"/>
      <c r="I14" s="434" t="s">
        <v>1081</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547</v>
      </c>
      <c r="E15" s="73" t="s">
        <v>550</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536</v>
      </c>
      <c r="H16" s="709"/>
      <c r="I16" s="208" t="s">
        <v>537</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929</v>
      </c>
      <c r="E17" s="201"/>
      <c r="F17" s="211" t="s">
        <v>521</v>
      </c>
      <c r="G17" s="244">
        <f>$H$9/52</f>
        <v>0</v>
      </c>
      <c r="H17" s="709"/>
      <c r="I17" s="861"/>
      <c r="J17" s="151"/>
      <c r="K17" s="212"/>
      <c r="L17" s="151"/>
      <c r="M17" s="6" t="s">
        <v>504</v>
      </c>
      <c r="N17" s="203"/>
      <c r="O17" s="186"/>
      <c r="P17" s="184"/>
      <c r="Q17" s="757"/>
      <c r="R17" s="184"/>
      <c r="S17" s="184"/>
      <c r="T17" s="184"/>
      <c r="U17" s="184"/>
      <c r="V17" s="184"/>
      <c r="W17" s="184"/>
      <c r="X17" s="184"/>
      <c r="Y17" s="184"/>
      <c r="Z17" s="184"/>
      <c r="AA17" s="184"/>
    </row>
    <row r="18" spans="2:27" s="5" customFormat="1" ht="15.75" x14ac:dyDescent="0.25">
      <c r="B18" s="185"/>
      <c r="C18" s="199"/>
      <c r="D18" s="214" t="s">
        <v>544</v>
      </c>
      <c r="E18" s="552">
        <f>IF(G18="",0,(G18-$G$17)/$G$17)</f>
        <v>0</v>
      </c>
      <c r="F18" s="211" t="s">
        <v>923</v>
      </c>
      <c r="G18" s="556"/>
      <c r="H18" s="709"/>
      <c r="I18" s="862">
        <v>0.01</v>
      </c>
      <c r="J18" s="1201" t="str">
        <f>IF($E$15="YES","**Tier 1 used for modeling purposes**","")</f>
        <v/>
      </c>
      <c r="K18" s="1202"/>
      <c r="L18" s="1203"/>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545</v>
      </c>
      <c r="E19" s="552">
        <f t="shared" ref="E19:E20" si="0">IF(G19="",0,(G19-$G$17)/$G$17)</f>
        <v>0</v>
      </c>
      <c r="F19" s="211" t="s">
        <v>924</v>
      </c>
      <c r="G19" s="556"/>
      <c r="H19" s="709"/>
      <c r="I19" s="862">
        <v>1.4999999999999999E-2</v>
      </c>
      <c r="J19" s="151"/>
      <c r="K19" s="1182"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546</v>
      </c>
      <c r="E20" s="552">
        <f t="shared" si="0"/>
        <v>0</v>
      </c>
      <c r="F20" s="211" t="s">
        <v>925</v>
      </c>
      <c r="G20" s="556"/>
      <c r="H20" s="709"/>
      <c r="I20" s="862">
        <v>0.02</v>
      </c>
      <c r="J20" s="151"/>
      <c r="K20" s="1182"/>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1224</v>
      </c>
      <c r="H24" s="709"/>
      <c r="I24" s="259" t="s">
        <v>916</v>
      </c>
      <c r="J24" s="44"/>
      <c r="K24" s="259" t="s">
        <v>897</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543</v>
      </c>
      <c r="E25" s="240"/>
      <c r="F25" s="202"/>
      <c r="G25" s="434" t="s">
        <v>1234</v>
      </c>
      <c r="H25" s="709"/>
      <c r="I25" s="434" t="s">
        <v>1081</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547</v>
      </c>
      <c r="E26" s="73" t="s">
        <v>550</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746</v>
      </c>
      <c r="H27" s="709"/>
      <c r="I27" s="208" t="s">
        <v>552</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540</v>
      </c>
      <c r="E28" s="201"/>
      <c r="F28" s="211" t="s">
        <v>745</v>
      </c>
      <c r="G28" s="244">
        <f>IFERROR($G$5/($G$6*52*Welcome!$D$16),0)</f>
        <v>0</v>
      </c>
      <c r="H28" s="709"/>
      <c r="I28" s="861">
        <v>0</v>
      </c>
      <c r="J28" s="151"/>
      <c r="K28" s="212"/>
      <c r="L28" s="151"/>
      <c r="M28" s="6" t="s">
        <v>504</v>
      </c>
      <c r="N28" s="203"/>
      <c r="O28" s="186"/>
      <c r="P28" s="184"/>
      <c r="Q28" s="757"/>
      <c r="R28" s="184"/>
      <c r="S28" s="184"/>
      <c r="T28" s="184"/>
      <c r="U28" s="184"/>
      <c r="V28" s="184"/>
      <c r="W28" s="184"/>
      <c r="X28" s="184"/>
      <c r="Y28" s="184"/>
      <c r="Z28" s="184"/>
      <c r="AA28" s="184"/>
    </row>
    <row r="29" spans="2:27" s="5" customFormat="1" ht="15.75" x14ac:dyDescent="0.25">
      <c r="B29" s="185"/>
      <c r="C29" s="199"/>
      <c r="D29" s="214" t="s">
        <v>544</v>
      </c>
      <c r="E29" s="552">
        <f>IF(G29="",0,(G29-$G$28)/$G$28)</f>
        <v>0</v>
      </c>
      <c r="F29" s="211" t="s">
        <v>518</v>
      </c>
      <c r="G29" s="556"/>
      <c r="H29" s="709"/>
      <c r="I29" s="862">
        <v>0.01</v>
      </c>
      <c r="J29" s="1201" t="str">
        <f>IF($E$26="YES","**Tier 1 used for modeling purposes**","")</f>
        <v/>
      </c>
      <c r="K29" s="1202"/>
      <c r="L29" s="1203"/>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545</v>
      </c>
      <c r="E30" s="552">
        <f>IF(G30="",0,(G30-$G$28)/$G$28)</f>
        <v>0</v>
      </c>
      <c r="F30" s="211" t="s">
        <v>519</v>
      </c>
      <c r="G30" s="556"/>
      <c r="H30" s="709"/>
      <c r="I30" s="862">
        <v>1.4999999999999999E-2</v>
      </c>
      <c r="J30" s="151"/>
      <c r="K30" s="1182"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546</v>
      </c>
      <c r="E31" s="552">
        <f>IF(G31="",0,(G31-$G$28)/$G$28)</f>
        <v>0</v>
      </c>
      <c r="F31" s="211" t="s">
        <v>520</v>
      </c>
      <c r="G31" s="556"/>
      <c r="H31" s="709"/>
      <c r="I31" s="862">
        <v>0.02</v>
      </c>
      <c r="J31" s="44"/>
      <c r="K31" s="1182"/>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1224</v>
      </c>
      <c r="H35" s="709"/>
      <c r="I35" s="259" t="s">
        <v>916</v>
      </c>
      <c r="J35" s="44"/>
      <c r="K35" s="259" t="s">
        <v>897</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549</v>
      </c>
      <c r="E36" s="240"/>
      <c r="F36" s="44"/>
      <c r="G36" s="434" t="s">
        <v>1234</v>
      </c>
      <c r="H36" s="709"/>
      <c r="I36" s="434" t="s">
        <v>1081</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547</v>
      </c>
      <c r="E37" s="73" t="s">
        <v>550</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1082</v>
      </c>
      <c r="H38" s="44"/>
      <c r="I38" s="208" t="s">
        <v>553</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749</v>
      </c>
      <c r="G39" s="74">
        <f>IFERROR('EB_CM (Back)'!$B$7,"")</f>
        <v>0</v>
      </c>
      <c r="H39" s="201"/>
      <c r="I39" s="861">
        <v>0</v>
      </c>
      <c r="J39" s="209"/>
      <c r="K39" s="44"/>
      <c r="L39" s="201"/>
      <c r="M39" s="6" t="s">
        <v>504</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518</v>
      </c>
      <c r="G40" s="45"/>
      <c r="H40" s="201"/>
      <c r="I40" s="862">
        <v>0.01</v>
      </c>
      <c r="J40" s="1201" t="str">
        <f>IF($E$37="YES","**Tier 1 payout used for modeling purposes**","")</f>
        <v/>
      </c>
      <c r="K40" s="1202"/>
      <c r="L40" s="1203"/>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519</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520</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1224</v>
      </c>
      <c r="H46" s="201"/>
      <c r="I46" s="259" t="s">
        <v>916</v>
      </c>
      <c r="J46" s="44"/>
      <c r="K46" s="259" t="s">
        <v>897</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1225</v>
      </c>
      <c r="E47" s="44"/>
      <c r="F47" s="151"/>
      <c r="G47" s="434" t="s">
        <v>1234</v>
      </c>
      <c r="H47" s="201"/>
      <c r="I47" s="434" t="s">
        <v>1081</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547</v>
      </c>
      <c r="E48" s="73" t="s">
        <v>550</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1226</v>
      </c>
      <c r="H49" s="201"/>
      <c r="I49" s="259" t="s">
        <v>1227</v>
      </c>
      <c r="J49" s="209"/>
      <c r="K49" s="241"/>
      <c r="L49" s="201"/>
      <c r="M49" s="6" t="s">
        <v>504</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1224</v>
      </c>
      <c r="H54" s="201"/>
      <c r="I54" s="259" t="s">
        <v>916</v>
      </c>
      <c r="J54" s="44"/>
      <c r="K54" s="259" t="s">
        <v>897</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747</v>
      </c>
      <c r="E55" s="44"/>
      <c r="F55" s="151"/>
      <c r="G55" s="434" t="s">
        <v>1234</v>
      </c>
      <c r="H55" s="201"/>
      <c r="I55" s="434" t="s">
        <v>1081</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547</v>
      </c>
      <c r="E56" s="73" t="s">
        <v>550</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1300</v>
      </c>
      <c r="H57" s="201"/>
      <c r="I57" s="530"/>
      <c r="J57" s="209"/>
      <c r="K57" s="259" t="s">
        <v>553</v>
      </c>
      <c r="L57" s="201"/>
      <c r="M57" s="6" t="s">
        <v>504</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542</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1270</v>
      </c>
      <c r="H62" s="201"/>
      <c r="I62" s="259" t="s">
        <v>916</v>
      </c>
      <c r="J62" s="44"/>
      <c r="K62" s="259" t="s">
        <v>897</v>
      </c>
      <c r="L62" s="201"/>
      <c r="M62" s="201"/>
      <c r="N62" s="275"/>
      <c r="O62" s="186"/>
      <c r="Q62" s="760"/>
    </row>
    <row r="63" spans="2:27" s="899" customFormat="1" ht="18.75" x14ac:dyDescent="0.25">
      <c r="B63" s="185"/>
      <c r="C63" s="274"/>
      <c r="D63" s="257" t="s">
        <v>1265</v>
      </c>
      <c r="E63" s="201"/>
      <c r="F63" s="211"/>
      <c r="G63" s="938" t="s">
        <v>550</v>
      </c>
      <c r="H63" s="201"/>
      <c r="I63" s="911" t="s">
        <v>1081</v>
      </c>
      <c r="J63" s="151"/>
      <c r="K63" s="435" t="str">
        <f>IF(I63="Credit Memo","Corp Credit Memo",IF(I63="Check","Corp Check | AP number needed",""))</f>
        <v/>
      </c>
      <c r="L63" s="201"/>
      <c r="M63" s="953"/>
      <c r="N63" s="275"/>
      <c r="O63" s="186"/>
      <c r="Q63" s="760"/>
    </row>
    <row r="64" spans="2:27" s="899" customFormat="1" x14ac:dyDescent="0.25">
      <c r="B64" s="185"/>
      <c r="C64" s="274"/>
      <c r="D64" s="204" t="s">
        <v>547</v>
      </c>
      <c r="E64" s="73" t="s">
        <v>550</v>
      </c>
      <c r="F64" s="151"/>
      <c r="G64" s="201"/>
      <c r="H64" s="201"/>
      <c r="I64" s="118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86"/>
      <c r="J65" s="209"/>
      <c r="K65" s="259" t="s">
        <v>551</v>
      </c>
      <c r="L65" s="201"/>
      <c r="M65" s="6" t="s">
        <v>504</v>
      </c>
      <c r="N65" s="275"/>
      <c r="O65" s="186"/>
      <c r="Q65" s="760"/>
    </row>
    <row r="66" spans="2:17" s="899" customFormat="1" ht="15.75" x14ac:dyDescent="0.25">
      <c r="B66" s="185"/>
      <c r="C66" s="274"/>
      <c r="D66" s="201"/>
      <c r="E66" s="201"/>
      <c r="F66" s="913" t="s">
        <v>956</v>
      </c>
      <c r="G66" s="916" t="str">
        <f>IF($E$64="YES","CASH","")</f>
        <v/>
      </c>
      <c r="H66" s="201"/>
      <c r="I66" s="1186"/>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87"/>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88" t="s">
        <v>1272</v>
      </c>
      <c r="E70" s="948"/>
      <c r="F70" s="947"/>
      <c r="G70" s="259" t="s">
        <v>1273</v>
      </c>
      <c r="H70" s="948"/>
      <c r="I70" s="259" t="s">
        <v>916</v>
      </c>
      <c r="J70" s="949"/>
      <c r="K70" s="259" t="s">
        <v>1271</v>
      </c>
      <c r="L70" s="948"/>
      <c r="M70" s="259" t="s">
        <v>1283</v>
      </c>
      <c r="N70" s="275"/>
      <c r="O70" s="186"/>
      <c r="Q70" s="760"/>
    </row>
    <row r="71" spans="2:17" s="943" customFormat="1" ht="17.45" customHeight="1" x14ac:dyDescent="0.25">
      <c r="B71" s="185"/>
      <c r="C71" s="274"/>
      <c r="D71" s="1189"/>
      <c r="E71" s="201"/>
      <c r="F71" s="947"/>
      <c r="G71" s="956"/>
      <c r="H71" s="948"/>
      <c r="I71" s="434" t="s">
        <v>1081</v>
      </c>
      <c r="J71" s="949"/>
      <c r="K71" s="956"/>
      <c r="L71" s="948"/>
      <c r="M71" s="213">
        <f>G71+K71</f>
        <v>0</v>
      </c>
      <c r="N71" s="275"/>
      <c r="O71" s="186"/>
      <c r="Q71" s="760"/>
    </row>
    <row r="72" spans="2:17" s="943" customFormat="1" ht="14.45" customHeight="1" x14ac:dyDescent="0.25">
      <c r="B72" s="185"/>
      <c r="C72" s="274"/>
      <c r="D72" s="204" t="s">
        <v>547</v>
      </c>
      <c r="E72" s="73" t="s">
        <v>550</v>
      </c>
      <c r="F72" s="947"/>
      <c r="G72" s="950"/>
      <c r="H72" s="948"/>
      <c r="I72" s="267"/>
      <c r="J72" s="949"/>
      <c r="K72" s="239"/>
      <c r="L72" s="948"/>
      <c r="M72" s="1192" t="str">
        <f>IF($M$71&gt;=10000,"The amount entered is $10,000 or above. This model can be submitted but will require additional approved before the agreement can be generated. Business Context will need to be provided","")</f>
        <v/>
      </c>
      <c r="N72" s="1193"/>
      <c r="O72" s="186"/>
      <c r="Q72" s="760"/>
    </row>
    <row r="73" spans="2:17" s="936" customFormat="1" ht="34.5" customHeight="1" x14ac:dyDescent="0.25">
      <c r="B73" s="185"/>
      <c r="C73" s="274"/>
      <c r="D73" s="1191" t="s">
        <v>1301</v>
      </c>
      <c r="E73" s="1191"/>
      <c r="F73" s="947"/>
      <c r="G73" s="1190" t="s">
        <v>1302</v>
      </c>
      <c r="H73" s="1190"/>
      <c r="I73" s="1190"/>
      <c r="J73" s="1190"/>
      <c r="K73" s="1190"/>
      <c r="L73" s="201"/>
      <c r="M73" s="1192"/>
      <c r="N73" s="1193"/>
      <c r="O73" s="186"/>
      <c r="Q73" s="760"/>
    </row>
    <row r="74" spans="2:17" s="936" customFormat="1" ht="16.5" customHeight="1" x14ac:dyDescent="0.25">
      <c r="B74" s="185"/>
      <c r="C74" s="274"/>
      <c r="D74" s="201"/>
      <c r="E74" s="151"/>
      <c r="F74" s="912"/>
      <c r="G74" s="946" t="s">
        <v>1268</v>
      </c>
      <c r="H74" s="209"/>
      <c r="I74" s="6" t="s">
        <v>1269</v>
      </c>
      <c r="J74" s="201"/>
      <c r="K74" s="259" t="s">
        <v>1267</v>
      </c>
      <c r="L74" s="201"/>
      <c r="M74" s="6" t="s">
        <v>504</v>
      </c>
      <c r="N74" s="275"/>
      <c r="O74" s="186"/>
      <c r="Q74" s="760"/>
    </row>
    <row r="75" spans="2:17" s="936" customFormat="1" ht="18" customHeight="1" x14ac:dyDescent="0.25">
      <c r="B75" s="185"/>
      <c r="C75" s="274"/>
      <c r="D75" s="201"/>
      <c r="E75" s="201"/>
      <c r="F75" s="913" t="s">
        <v>1200</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1201</v>
      </c>
      <c r="H79" s="201"/>
      <c r="I79" s="259" t="s">
        <v>916</v>
      </c>
      <c r="J79" s="44"/>
      <c r="K79" s="259" t="s">
        <v>897</v>
      </c>
      <c r="L79" s="201"/>
      <c r="M79" s="241"/>
      <c r="N79" s="275"/>
      <c r="O79" s="186"/>
      <c r="Q79" s="760"/>
    </row>
    <row r="80" spans="2:17" s="5" customFormat="1" ht="18.75" x14ac:dyDescent="0.25">
      <c r="B80" s="185"/>
      <c r="C80" s="274"/>
      <c r="D80" s="257" t="s">
        <v>1200</v>
      </c>
      <c r="E80" s="201"/>
      <c r="F80" s="211"/>
      <c r="G80" s="938" t="s">
        <v>1235</v>
      </c>
      <c r="H80" s="201"/>
      <c r="I80" s="434" t="s">
        <v>1081</v>
      </c>
      <c r="J80" s="151"/>
      <c r="K80" s="435" t="str">
        <f>IF(I80="Credit Memo","Individual Customers",IF(I80="Check","Corp Check | AP number needed",""))</f>
        <v/>
      </c>
      <c r="L80" s="201"/>
      <c r="M80" s="241"/>
      <c r="N80" s="275"/>
      <c r="O80" s="186"/>
      <c r="Q80" s="760"/>
    </row>
    <row r="81" spans="2:20" s="5" customFormat="1" x14ac:dyDescent="0.25">
      <c r="B81" s="185"/>
      <c r="C81" s="274"/>
      <c r="D81" s="204" t="s">
        <v>547</v>
      </c>
      <c r="E81" s="73" t="s">
        <v>550</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551</v>
      </c>
      <c r="L82" s="201"/>
      <c r="M82" s="6" t="s">
        <v>504</v>
      </c>
      <c r="N82" s="275"/>
      <c r="O82" s="186"/>
      <c r="Q82" s="760"/>
    </row>
    <row r="83" spans="2:20" s="5" customFormat="1" ht="18" customHeight="1" x14ac:dyDescent="0.25">
      <c r="B83" s="185"/>
      <c r="C83" s="274"/>
      <c r="D83" s="201"/>
      <c r="E83" s="201"/>
      <c r="F83" s="913" t="s">
        <v>1200</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81" t="s">
        <v>1211</v>
      </c>
      <c r="G87" s="1181"/>
      <c r="H87" s="151"/>
      <c r="I87" s="259" t="s">
        <v>916</v>
      </c>
      <c r="J87" s="151"/>
      <c r="K87" s="259" t="s">
        <v>897</v>
      </c>
      <c r="L87" s="151"/>
      <c r="M87" s="151"/>
      <c r="N87" s="787"/>
      <c r="O87" s="283"/>
    </row>
    <row r="88" spans="2:20" s="183" customFormat="1" ht="18" customHeight="1" x14ac:dyDescent="0.25">
      <c r="B88" s="281"/>
      <c r="C88" s="199"/>
      <c r="D88" s="257" t="s">
        <v>1093</v>
      </c>
      <c r="E88" s="151"/>
      <c r="F88" s="1181"/>
      <c r="G88" s="1181"/>
      <c r="H88" s="151"/>
      <c r="I88" s="434" t="s">
        <v>1081</v>
      </c>
      <c r="J88" s="151"/>
      <c r="K88" s="435" t="str">
        <f>IF(I88="Credit Memo","Individual Customers",IF(I88="Check","Corp Check | AP number needed",""))</f>
        <v/>
      </c>
      <c r="L88" s="151"/>
      <c r="M88" s="151"/>
      <c r="N88" s="787"/>
      <c r="O88" s="283"/>
    </row>
    <row r="89" spans="2:20" s="183" customFormat="1" x14ac:dyDescent="0.25">
      <c r="B89" s="281"/>
      <c r="C89" s="199"/>
      <c r="D89" s="204" t="s">
        <v>547</v>
      </c>
      <c r="E89" s="73" t="s">
        <v>550</v>
      </c>
      <c r="F89" s="1181"/>
      <c r="G89" s="1181"/>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1095</v>
      </c>
      <c r="H90" s="151"/>
      <c r="I90" s="151"/>
      <c r="J90" s="151"/>
      <c r="K90" s="530"/>
      <c r="L90" s="201"/>
      <c r="M90" s="6" t="s">
        <v>504</v>
      </c>
      <c r="N90" s="787"/>
      <c r="O90" s="283"/>
    </row>
    <row r="91" spans="2:20" s="183" customFormat="1" ht="18" customHeight="1" x14ac:dyDescent="0.25">
      <c r="B91" s="281"/>
      <c r="C91" s="199"/>
      <c r="D91" s="151"/>
      <c r="E91" s="762"/>
      <c r="F91" s="211" t="s">
        <v>1094</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83"/>
      <c r="D98" s="1183"/>
      <c r="I98" s="722"/>
      <c r="L98" s="5"/>
      <c r="M98" s="1184"/>
      <c r="N98" s="1184"/>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63" priority="43">
      <formula>$M$97&gt;0</formula>
    </cfRule>
    <cfRule type="cellIs" dxfId="162" priority="65" operator="lessThan">
      <formula>$N$96</formula>
    </cfRule>
    <cfRule type="cellIs" dxfId="161" priority="66" operator="greaterThan">
      <formula>$N$96</formula>
    </cfRule>
  </conditionalFormatting>
  <conditionalFormatting sqref="G18:G20 I18:I20 I14">
    <cfRule type="expression" dxfId="160" priority="56">
      <formula>$E$15="YES"</formula>
    </cfRule>
  </conditionalFormatting>
  <conditionalFormatting sqref="I29:I31 I25 G29:G31">
    <cfRule type="expression" dxfId="159" priority="55">
      <formula>$E$26="YES"</formula>
    </cfRule>
  </conditionalFormatting>
  <conditionalFormatting sqref="K83 I80">
    <cfRule type="expression" dxfId="158" priority="53">
      <formula>$E$81="YES"</formula>
    </cfRule>
  </conditionalFormatting>
  <conditionalFormatting sqref="K58 I55">
    <cfRule type="expression" dxfId="157" priority="51">
      <formula>$E$56="YES"</formula>
    </cfRule>
  </conditionalFormatting>
  <conditionalFormatting sqref="I36 G40:G42 I39:I42">
    <cfRule type="expression" dxfId="156" priority="47">
      <formula>$E$37="YES"</formula>
    </cfRule>
  </conditionalFormatting>
  <conditionalFormatting sqref="G58">
    <cfRule type="expression" dxfId="155" priority="49">
      <formula>$E$56="YES"</formula>
    </cfRule>
  </conditionalFormatting>
  <conditionalFormatting sqref="I88">
    <cfRule type="expression" dxfId="154" priority="40">
      <formula>$E$89="YES"</formula>
    </cfRule>
  </conditionalFormatting>
  <conditionalFormatting sqref="G80">
    <cfRule type="expression" dxfId="153" priority="31">
      <formula>$E$81="YES"</formula>
    </cfRule>
  </conditionalFormatting>
  <conditionalFormatting sqref="G14">
    <cfRule type="expression" dxfId="152" priority="27">
      <formula>$E$15="YES"</formula>
    </cfRule>
  </conditionalFormatting>
  <conditionalFormatting sqref="G47 I47 G50 I50">
    <cfRule type="expression" dxfId="151" priority="24">
      <formula>$E$48="YES"</formula>
    </cfRule>
  </conditionalFormatting>
  <conditionalFormatting sqref="K66 I63">
    <cfRule type="expression" dxfId="150" priority="22">
      <formula>$E$64="YES"</formula>
    </cfRule>
  </conditionalFormatting>
  <conditionalFormatting sqref="G63">
    <cfRule type="expression" dxfId="149" priority="21">
      <formula>$E$64="YES"</formula>
    </cfRule>
  </conditionalFormatting>
  <conditionalFormatting sqref="G25">
    <cfRule type="expression" dxfId="148" priority="18">
      <formula>$E$26="YES"</formula>
    </cfRule>
  </conditionalFormatting>
  <conditionalFormatting sqref="G36">
    <cfRule type="expression" dxfId="147" priority="17">
      <formula>$E$37="YES"</formula>
    </cfRule>
  </conditionalFormatting>
  <conditionalFormatting sqref="G55">
    <cfRule type="expression" dxfId="146" priority="16">
      <formula>$E$56="YES"</formula>
    </cfRule>
  </conditionalFormatting>
  <conditionalFormatting sqref="G91">
    <cfRule type="expression" dxfId="145" priority="11">
      <formula>$E$89="YES"</formula>
    </cfRule>
  </conditionalFormatting>
  <conditionalFormatting sqref="K71 I71 G75 K75 I75">
    <cfRule type="expression" dxfId="144" priority="119">
      <formula>$E$72="YES"</formula>
    </cfRule>
  </conditionalFormatting>
  <conditionalFormatting sqref="G71">
    <cfRule type="expression" dxfId="143" priority="6">
      <formula>$E$72="YES"</formula>
    </cfRule>
  </conditionalFormatting>
  <conditionalFormatting sqref="I64">
    <cfRule type="expression" dxfId="142" priority="120">
      <formula>$K$66+$K$71&gt;=10000</formula>
    </cfRule>
  </conditionalFormatting>
  <conditionalFormatting sqref="M72">
    <cfRule type="expression" dxfId="14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1305</v>
      </c>
      <c r="B1" t="s">
        <v>1303</v>
      </c>
      <c r="C1" t="s">
        <v>131</v>
      </c>
    </row>
    <row r="2" spans="1:3" x14ac:dyDescent="0.25">
      <c r="A2" t="s">
        <v>1093</v>
      </c>
      <c r="B2">
        <v>50</v>
      </c>
      <c r="C2" t="s">
        <v>1304</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220" t="s">
        <v>213</v>
      </c>
      <c r="D2" s="1220"/>
      <c r="E2" s="1220"/>
      <c r="F2" s="557"/>
      <c r="G2" s="179"/>
      <c r="H2" s="179"/>
      <c r="I2" s="179"/>
      <c r="J2" s="179"/>
      <c r="K2" s="179"/>
      <c r="L2" s="182"/>
    </row>
    <row r="3" spans="2:23" x14ac:dyDescent="0.25">
      <c r="B3" s="185"/>
      <c r="C3" s="1226" t="s">
        <v>1312</v>
      </c>
      <c r="D3" s="1227"/>
      <c r="E3" s="425">
        <f>Welcome!$D$10</f>
        <v>0</v>
      </c>
      <c r="F3" s="429"/>
      <c r="G3" s="523" t="s">
        <v>110</v>
      </c>
      <c r="H3" s="1224" t="str">
        <f>IFERROR(VLOOKUP($H$4,'Market Geography'!$D:$G,4,FALSE),"Select Market")</f>
        <v>Select Market</v>
      </c>
      <c r="I3" s="1224"/>
      <c r="J3" s="1224"/>
      <c r="K3" s="1225"/>
      <c r="L3" s="186"/>
    </row>
    <row r="4" spans="2:23" x14ac:dyDescent="0.25">
      <c r="B4" s="185"/>
      <c r="C4" s="1211" t="s">
        <v>1313</v>
      </c>
      <c r="D4" s="1212"/>
      <c r="E4" s="393" t="str">
        <f>Welcome!$D$14</f>
        <v>Select Term</v>
      </c>
      <c r="F4" s="558"/>
      <c r="G4" s="524" t="s">
        <v>907</v>
      </c>
      <c r="H4" s="1207">
        <f>Welcome!$D$4</f>
        <v>0</v>
      </c>
      <c r="I4" s="1207"/>
      <c r="J4" s="1207"/>
      <c r="K4" s="1208"/>
      <c r="L4" s="186"/>
    </row>
    <row r="5" spans="2:23" x14ac:dyDescent="0.25">
      <c r="B5" s="185"/>
      <c r="C5" s="1211" t="s">
        <v>1320</v>
      </c>
      <c r="D5" s="1212"/>
      <c r="E5" s="149">
        <f>'PIM Model'!$G$31</f>
        <v>0</v>
      </c>
      <c r="F5" s="559"/>
      <c r="G5" s="524" t="s">
        <v>107</v>
      </c>
      <c r="H5" s="1207" t="str">
        <f>'Multi-Customer'!$M$47</f>
        <v>Enter Customer(s)</v>
      </c>
      <c r="I5" s="1207"/>
      <c r="J5" s="1207"/>
      <c r="K5" s="1208"/>
      <c r="L5" s="186"/>
    </row>
    <row r="6" spans="2:23" x14ac:dyDescent="0.25">
      <c r="B6" s="185"/>
      <c r="C6" s="1211" t="s">
        <v>1321</v>
      </c>
      <c r="D6" s="1212"/>
      <c r="E6" s="150">
        <f>'PIM Model'!$E$6</f>
        <v>0</v>
      </c>
      <c r="F6" s="429"/>
      <c r="G6" s="524" t="s">
        <v>1330</v>
      </c>
      <c r="H6" s="1207" t="str">
        <f>IF('Multi-Customer'!$M$83 = "MULTIPLE MENU TYPES","MULTIPLE TYPES",'Multi-Customer'!$M$83)</f>
        <v>MULTIPLE TYPES</v>
      </c>
      <c r="I6" s="1207"/>
      <c r="J6" s="1207"/>
      <c r="K6" s="1208"/>
      <c r="L6" s="186"/>
      <c r="R6" s="560"/>
    </row>
    <row r="7" spans="2:23" ht="15.75" thickBot="1" x14ac:dyDescent="0.3">
      <c r="B7" s="185"/>
      <c r="C7" s="1213" t="s">
        <v>1322</v>
      </c>
      <c r="D7" s="1214"/>
      <c r="E7" s="426">
        <f>IFERROR('PIM Ranges'!$AU$3,0)</f>
        <v>0</v>
      </c>
      <c r="F7" s="184"/>
      <c r="G7" s="525" t="s">
        <v>1323</v>
      </c>
      <c r="H7" s="1209" t="s">
        <v>209</v>
      </c>
      <c r="I7" s="1209"/>
      <c r="J7" s="1209"/>
      <c r="K7" s="1210"/>
      <c r="L7" s="186"/>
      <c r="P7" s="184"/>
      <c r="Q7" s="159"/>
      <c r="R7" s="561"/>
      <c r="S7" s="140"/>
      <c r="T7" s="159"/>
      <c r="U7" s="184"/>
      <c r="V7" s="159"/>
      <c r="W7" s="184"/>
    </row>
    <row r="8" spans="2:23" ht="13.9" customHeight="1" x14ac:dyDescent="0.25">
      <c r="B8" s="185"/>
      <c r="D8" s="142"/>
      <c r="E8" s="1168"/>
      <c r="F8" s="1168"/>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1324</v>
      </c>
      <c r="F10" s="201"/>
      <c r="G10" s="712" t="s">
        <v>1325</v>
      </c>
      <c r="H10" s="201"/>
      <c r="I10" s="1215" t="s">
        <v>912</v>
      </c>
      <c r="J10" s="1215"/>
      <c r="K10" s="275"/>
      <c r="L10" s="186"/>
      <c r="P10" s="184"/>
      <c r="Q10" s="184"/>
      <c r="R10" s="566"/>
      <c r="S10" s="184"/>
      <c r="T10" s="184"/>
      <c r="U10" s="184"/>
      <c r="V10" s="184"/>
      <c r="W10" s="184"/>
    </row>
    <row r="11" spans="2:23" ht="23.45" customHeight="1" x14ac:dyDescent="0.25">
      <c r="B11" s="185"/>
      <c r="C11" s="274"/>
      <c r="D11" s="567" t="s">
        <v>1326</v>
      </c>
      <c r="E11" s="568">
        <f>'Variable Costs (Back)'!$AE$25</f>
        <v>0</v>
      </c>
      <c r="F11" s="201"/>
      <c r="G11" s="569">
        <f>IFERROR(E11/'PIM Model'!$H$31,0)</f>
        <v>0</v>
      </c>
      <c r="H11" s="201"/>
      <c r="I11" s="1219" t="str">
        <f>IFERROR($E11/$E$5,"")</f>
        <v/>
      </c>
      <c r="J11" s="1219"/>
      <c r="K11" s="275"/>
      <c r="L11" s="186"/>
      <c r="R11" s="560"/>
    </row>
    <row r="12" spans="2:23" ht="36" customHeight="1" x14ac:dyDescent="0.25">
      <c r="B12" s="185"/>
      <c r="C12" s="274"/>
      <c r="D12" s="1217" t="s">
        <v>706</v>
      </c>
      <c r="E12" s="1217"/>
      <c r="F12" s="570"/>
      <c r="G12" s="571"/>
      <c r="H12" s="201"/>
      <c r="I12" s="572"/>
      <c r="J12" s="573"/>
      <c r="K12" s="275"/>
      <c r="L12" s="186"/>
    </row>
    <row r="13" spans="2:23" s="856" customFormat="1" ht="23.45" customHeight="1" x14ac:dyDescent="0.25">
      <c r="B13" s="185"/>
      <c r="C13" s="274"/>
      <c r="D13" s="567" t="s">
        <v>1328</v>
      </c>
      <c r="E13" s="568">
        <f>'Tracking &amp; Profitability'!E26*-1</f>
        <v>0</v>
      </c>
      <c r="F13" s="201"/>
      <c r="G13" s="569">
        <f>'Tracking &amp; Profitability'!G26*-1</f>
        <v>0</v>
      </c>
      <c r="H13" s="201"/>
      <c r="I13" s="1219" t="str">
        <f>IFERROR(E13/E5,"")</f>
        <v/>
      </c>
      <c r="J13" s="1219"/>
      <c r="K13" s="275"/>
      <c r="L13" s="186"/>
    </row>
    <row r="14" spans="2:23" s="856" customFormat="1" ht="36.6" customHeight="1" x14ac:dyDescent="0.25">
      <c r="B14" s="185"/>
      <c r="C14" s="274"/>
      <c r="D14" s="1217" t="s">
        <v>1212</v>
      </c>
      <c r="E14" s="1217"/>
      <c r="F14" s="570"/>
      <c r="G14" s="571"/>
      <c r="H14" s="201"/>
      <c r="I14" s="572"/>
      <c r="J14" s="573"/>
      <c r="K14" s="275"/>
      <c r="L14" s="186"/>
    </row>
    <row r="15" spans="2:23" ht="23.45" customHeight="1" x14ac:dyDescent="0.25">
      <c r="B15" s="185"/>
      <c r="C15" s="274"/>
      <c r="D15" s="567" t="s">
        <v>1327</v>
      </c>
      <c r="E15" s="568">
        <f>'Variable Costs (Back)'!$AF$25</f>
        <v>0</v>
      </c>
      <c r="F15" s="201"/>
      <c r="G15" s="569">
        <f>IFERROR(E15/'PIM Model'!$H$31,0)</f>
        <v>0</v>
      </c>
      <c r="H15" s="201"/>
      <c r="I15" s="1219" t="str">
        <f>IFERROR($E15/$E$5,"")</f>
        <v/>
      </c>
      <c r="J15" s="1219"/>
      <c r="K15" s="275"/>
      <c r="L15" s="186"/>
    </row>
    <row r="16" spans="2:23" ht="26.45" customHeight="1" x14ac:dyDescent="0.25">
      <c r="B16" s="185"/>
      <c r="C16" s="274"/>
      <c r="D16" s="1216" t="s">
        <v>708</v>
      </c>
      <c r="E16" s="1216"/>
      <c r="F16" s="570"/>
      <c r="G16" s="571"/>
      <c r="H16" s="201"/>
      <c r="I16" s="572"/>
      <c r="J16" s="573"/>
      <c r="K16" s="275"/>
      <c r="L16" s="186"/>
    </row>
    <row r="17" spans="2:12" ht="23.45" customHeight="1" thickBot="1" x14ac:dyDescent="0.3">
      <c r="B17" s="185"/>
      <c r="C17" s="274"/>
      <c r="D17" s="567" t="s">
        <v>1329</v>
      </c>
      <c r="E17" s="574">
        <f>'Variable Costs (Back)'!$AD$25</f>
        <v>0</v>
      </c>
      <c r="F17" s="201"/>
      <c r="G17" s="575">
        <f>IFERROR(E17/'PIM Model'!$H$31,0)</f>
        <v>0</v>
      </c>
      <c r="H17" s="201"/>
      <c r="I17" s="1221" t="str">
        <f>IFERROR($E17/$E$5,"")</f>
        <v/>
      </c>
      <c r="J17" s="1221"/>
      <c r="K17" s="275"/>
      <c r="L17" s="186"/>
    </row>
    <row r="18" spans="2:12" ht="25.9" customHeight="1" thickTop="1" x14ac:dyDescent="0.25">
      <c r="B18" s="185"/>
      <c r="C18" s="274"/>
      <c r="D18" s="1216" t="s">
        <v>707</v>
      </c>
      <c r="E18" s="1218"/>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222" t="str">
        <f>IFERROR($E19/$E$5,"")</f>
        <v/>
      </c>
      <c r="J19" s="122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979</v>
      </c>
      <c r="E23" s="584">
        <f>IFERROR('EB_CM (Back)'!$J$47,0)</f>
        <v>0</v>
      </c>
      <c r="F23" s="201"/>
      <c r="G23" s="585">
        <f>IFERROR(E23/'PIM Model'!$H$31,0)</f>
        <v>0</v>
      </c>
      <c r="H23" s="201"/>
      <c r="I23" s="1219" t="str">
        <f>IFERROR($E23/$E$5,"")</f>
        <v/>
      </c>
      <c r="J23" s="1219"/>
      <c r="K23" s="275"/>
      <c r="L23" s="186"/>
    </row>
    <row r="24" spans="2:12" ht="16.149999999999999" customHeight="1" x14ac:dyDescent="0.25">
      <c r="B24" s="185"/>
      <c r="C24" s="274"/>
      <c r="D24" s="1223" t="s">
        <v>960</v>
      </c>
      <c r="E24" s="122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1324</v>
      </c>
      <c r="F28" s="201"/>
      <c r="G28" s="712" t="s">
        <v>1325</v>
      </c>
      <c r="H28" s="201"/>
      <c r="I28" s="1215" t="s">
        <v>912</v>
      </c>
      <c r="J28" s="1215"/>
      <c r="K28" s="275"/>
      <c r="L28" s="186"/>
    </row>
    <row r="29" spans="2:12" ht="25.15" customHeight="1" x14ac:dyDescent="0.25">
      <c r="B29" s="185"/>
      <c r="C29" s="274"/>
      <c r="D29" s="583" t="s">
        <v>226</v>
      </c>
      <c r="E29" s="584">
        <f>IFERROR('EB_CM (Back)'!$I$47,0)</f>
        <v>0</v>
      </c>
      <c r="F29" s="201"/>
      <c r="G29" s="569">
        <f>IFERROR(E29/'PIM Model'!$H$31,0)</f>
        <v>0</v>
      </c>
      <c r="H29" s="201"/>
      <c r="I29" s="1219" t="str">
        <f>IFERROR($E29/$E$5,"")</f>
        <v/>
      </c>
      <c r="J29" s="1219"/>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219" t="str">
        <f>IFERROR($E30/$E$5,"")</f>
        <v/>
      </c>
      <c r="J30" s="1219"/>
      <c r="K30" s="275"/>
      <c r="L30" s="186"/>
    </row>
    <row r="31" spans="2:12" ht="27.6" customHeight="1" x14ac:dyDescent="0.25">
      <c r="B31" s="185"/>
      <c r="C31" s="589"/>
      <c r="D31" s="1216" t="s">
        <v>235</v>
      </c>
      <c r="E31" s="1216"/>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topLeftCell="A2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538</v>
      </c>
      <c r="Q1" s="760" t="str">
        <f>J22</f>
        <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226" t="s">
        <v>379</v>
      </c>
      <c r="D4" s="1227"/>
      <c r="E4" s="714">
        <f>Welcome!$D$10</f>
        <v>0</v>
      </c>
      <c r="F4" s="145"/>
      <c r="G4" s="523" t="s">
        <v>110</v>
      </c>
      <c r="H4" s="1224" t="str">
        <f>IFERROR(VLOOKUP($H$5,'Market Geography'!$D:$G,4,FALSE),"Select Market")</f>
        <v>Select Market</v>
      </c>
      <c r="I4" s="1224"/>
      <c r="J4" s="1224"/>
      <c r="K4" s="1225"/>
      <c r="L4" s="905"/>
      <c r="M4" s="907"/>
      <c r="N4" s="812"/>
      <c r="O4" s="595"/>
    </row>
    <row r="5" spans="1:27" x14ac:dyDescent="0.25">
      <c r="B5" s="185"/>
      <c r="C5" s="1211" t="s">
        <v>214</v>
      </c>
      <c r="D5" s="1212"/>
      <c r="E5" s="393" t="str">
        <f>Welcome!$D$14</f>
        <v>Select Term</v>
      </c>
      <c r="F5" s="145"/>
      <c r="G5" s="524" t="s">
        <v>120</v>
      </c>
      <c r="H5" s="1207">
        <f>Welcome!$D$4</f>
        <v>0</v>
      </c>
      <c r="I5" s="1207"/>
      <c r="J5" s="1207"/>
      <c r="K5" s="1208"/>
      <c r="L5" s="905"/>
      <c r="M5" s="907"/>
      <c r="N5" s="812"/>
      <c r="O5" s="595"/>
    </row>
    <row r="6" spans="1:27" x14ac:dyDescent="0.25">
      <c r="B6" s="185"/>
      <c r="C6" s="1211" t="s">
        <v>201</v>
      </c>
      <c r="D6" s="1212"/>
      <c r="E6" s="394">
        <f>IFERROR('PIM Model'!$G$31,0)</f>
        <v>0</v>
      </c>
      <c r="F6" s="428"/>
      <c r="G6" s="524" t="s">
        <v>107</v>
      </c>
      <c r="H6" s="1207" t="str">
        <f>'Multi-Customer'!$M$47</f>
        <v>Enter Customer(s)</v>
      </c>
      <c r="I6" s="1207"/>
      <c r="J6" s="1207"/>
      <c r="K6" s="1208"/>
      <c r="L6" s="905"/>
      <c r="M6" s="907"/>
      <c r="N6" s="812"/>
      <c r="O6" s="595"/>
    </row>
    <row r="7" spans="1:27" x14ac:dyDescent="0.25">
      <c r="B7" s="185"/>
      <c r="C7" s="1211" t="s">
        <v>490</v>
      </c>
      <c r="D7" s="1212"/>
      <c r="E7" s="596">
        <f>IFERROR('Variable Costs (Back)'!$K$26,0)</f>
        <v>0</v>
      </c>
      <c r="F7" s="184"/>
      <c r="G7" s="524" t="s">
        <v>407</v>
      </c>
      <c r="H7" s="1207" t="str">
        <f>'Multi-Customer'!$M$83</f>
        <v>MULTIPLE TYPES</v>
      </c>
      <c r="I7" s="1207"/>
      <c r="J7" s="1207"/>
      <c r="K7" s="1208"/>
      <c r="L7" s="905"/>
      <c r="M7" s="907"/>
      <c r="N7" s="812"/>
      <c r="O7" s="595"/>
    </row>
    <row r="8" spans="1:27" ht="15.75" thickBot="1" x14ac:dyDescent="0.3">
      <c r="B8" s="185"/>
      <c r="C8" s="1213" t="s">
        <v>541</v>
      </c>
      <c r="D8" s="1214"/>
      <c r="E8" s="426">
        <f>IFERROR('PIM Ranges'!$AU$3,0)</f>
        <v>0</v>
      </c>
      <c r="F8" s="429"/>
      <c r="G8" s="525" t="s">
        <v>223</v>
      </c>
      <c r="H8" s="1229" t="s">
        <v>209</v>
      </c>
      <c r="I8" s="1229"/>
      <c r="J8" s="1229"/>
      <c r="K8" s="123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235" t="s">
        <v>1263</v>
      </c>
      <c r="N11" s="1235"/>
      <c r="O11" s="186"/>
      <c r="P11" s="5"/>
    </row>
    <row r="12" spans="1:27" ht="21" customHeight="1" x14ac:dyDescent="0.25">
      <c r="B12" s="185"/>
      <c r="C12" s="274"/>
      <c r="D12" s="775" t="s">
        <v>709</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748</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1083</v>
      </c>
      <c r="E16" s="780">
        <v>0</v>
      </c>
      <c r="F16" s="129"/>
      <c r="G16" s="773"/>
      <c r="H16" s="772"/>
      <c r="I16" s="773"/>
      <c r="J16" s="774"/>
      <c r="K16" s="603"/>
      <c r="L16"/>
      <c r="M16" s="903"/>
      <c r="N16" s="900"/>
      <c r="O16" s="186"/>
      <c r="P16" s="5"/>
    </row>
    <row r="17" spans="2:16" ht="24" customHeight="1" x14ac:dyDescent="0.25">
      <c r="B17" s="185"/>
      <c r="C17" s="274"/>
      <c r="D17" s="16" t="s">
        <v>979</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748</v>
      </c>
      <c r="J19" s="607"/>
      <c r="K19" s="606"/>
      <c r="L19"/>
      <c r="M19" s="903"/>
      <c r="N19" s="900"/>
      <c r="O19" s="186"/>
      <c r="P19" s="5"/>
    </row>
    <row r="20" spans="2:16" ht="21.6" customHeight="1" x14ac:dyDescent="0.25">
      <c r="B20" s="185"/>
      <c r="C20" s="274"/>
      <c r="D20" s="8" t="s">
        <v>982</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233" t="s">
        <v>1263</v>
      </c>
      <c r="N21" s="1234"/>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IF(M22="Yes","Approve",IF(E22=0,"",IF(AND(Incentives!$E$89="YES",Welcome!D16="NO"),"Reject",IF(Incentives!$G$91&gt;ROUNDUP((((VLOOKUP('Variable Selling'!$A$2,'CC MARKET EXPENSE'!$A:$D,4,0))*100)*50/100)/0.25,0)*0.25/100,"Reject",IF(Incentives!M71&gt;=10000,"Caution",IF(Incentives!K66+K74&gt;=10000,"Caution","Approve"))))))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1210</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232" t="s">
        <v>235</v>
      </c>
      <c r="E32" s="1232"/>
      <c r="F32" s="1232"/>
      <c r="G32" s="1232"/>
      <c r="H32" s="614"/>
      <c r="I32" s="1231" t="str">
        <f>IF($I$33=0,IF($J$33=0,"","Customer EB % Missing"),IF($J$33=0,"Customer Drops/Wk Missing","Customer EB % &amp; Drops/Wk Missing"))</f>
        <v/>
      </c>
      <c r="J32" s="123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233" t="s">
        <v>1263</v>
      </c>
      <c r="N33" s="1234"/>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228"/>
      <c r="C37" s="1228"/>
      <c r="D37" s="1228"/>
      <c r="J37" s="1184"/>
      <c r="K37" s="1184"/>
      <c r="L37" s="1184"/>
      <c r="M37" s="1184"/>
      <c r="N37" s="1184"/>
      <c r="O37" s="1184"/>
    </row>
    <row r="38" spans="2:16" x14ac:dyDescent="0.25">
      <c r="O38" s="621"/>
    </row>
  </sheetData>
  <sheetProtection algorithmName="SHA-512" hashValue="G3p7r3gGhDHyAtTC34gimDXJR77nANhCG5i6uMENPUjQJxdVZQ08PCszDVtox7s2rWbLlzeCwL61QVyNBBYpCA==" saltValue="OxW2P8zspncTeaGdUIYlUg=="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7" priority="70" operator="containsText" text="Below Average">
      <formula>NOT(ISERROR(SEARCH("Below Average",I25)))</formula>
    </cfRule>
  </conditionalFormatting>
  <conditionalFormatting sqref="J34">
    <cfRule type="expression" dxfId="136" priority="52">
      <formula>$H$33&gt;0</formula>
    </cfRule>
    <cfRule type="containsText" dxfId="135" priority="56" operator="containsText" text="Reject">
      <formula>NOT(ISERROR(SEARCH("Reject",J34)))</formula>
    </cfRule>
    <cfRule type="expression" dxfId="134" priority="67">
      <formula>$M$34="Yes"</formula>
    </cfRule>
    <cfRule type="expression" dxfId="133" priority="68">
      <formula>J34="Approve"</formula>
    </cfRule>
  </conditionalFormatting>
  <conditionalFormatting sqref="J12">
    <cfRule type="expression" dxfId="132" priority="45">
      <formula>$M$12="yes"</formula>
    </cfRule>
    <cfRule type="containsText" dxfId="131" priority="61" operator="containsText" text="Spend">
      <formula>NOT(ISERROR(SEARCH("Spend",J12)))</formula>
    </cfRule>
    <cfRule type="containsText" dxfId="130" priority="65" operator="containsText" text="Approve">
      <formula>NOT(ISERROR(SEARCH("Approve",J12)))</formula>
    </cfRule>
  </conditionalFormatting>
  <conditionalFormatting sqref="J13:J16">
    <cfRule type="containsText" dxfId="129" priority="60" operator="containsText" text="Reject">
      <formula>NOT(ISERROR(SEARCH("Reject",J13)))</formula>
    </cfRule>
    <cfRule type="containsText" dxfId="128" priority="64" operator="containsText" text="Approve">
      <formula>NOT(ISERROR(SEARCH("Approve",J13)))</formula>
    </cfRule>
  </conditionalFormatting>
  <conditionalFormatting sqref="H34">
    <cfRule type="expression" dxfId="127" priority="126">
      <formula>#REF!="Approve"</formula>
    </cfRule>
  </conditionalFormatting>
  <conditionalFormatting sqref="E16">
    <cfRule type="cellIs" dxfId="126" priority="57" operator="notEqual">
      <formula>0</formula>
    </cfRule>
  </conditionalFormatting>
  <conditionalFormatting sqref="M33:N34">
    <cfRule type="expression" dxfId="125" priority="51">
      <formula>H34&lt;0</formula>
    </cfRule>
  </conditionalFormatting>
  <conditionalFormatting sqref="J13">
    <cfRule type="expression" dxfId="124" priority="42">
      <formula>$M$13="Yes"</formula>
    </cfRule>
  </conditionalFormatting>
  <conditionalFormatting sqref="M11:N11">
    <cfRule type="expression" dxfId="123" priority="36">
      <formula>OR($J$13="Reject",$J$13="")</formula>
    </cfRule>
    <cfRule type="expression" dxfId="122" priority="39">
      <formula>$J$12="Spend"</formula>
    </cfRule>
  </conditionalFormatting>
  <conditionalFormatting sqref="M12:N12">
    <cfRule type="expression" dxfId="121" priority="38">
      <formula>$J$12="spend"</formula>
    </cfRule>
  </conditionalFormatting>
  <conditionalFormatting sqref="M13:N13">
    <cfRule type="expression" dxfId="120" priority="37">
      <formula>OR($J$13="Reject",$J$13="")</formula>
    </cfRule>
  </conditionalFormatting>
  <conditionalFormatting sqref="N22">
    <cfRule type="containsText" dxfId="119" priority="31" operator="containsText" text="Caution">
      <formula>NOT(ISERROR(SEARCH("Caution",N22)))</formula>
    </cfRule>
  </conditionalFormatting>
  <conditionalFormatting sqref="J22">
    <cfRule type="expression" dxfId="118" priority="22">
      <formula>$I$22="**Missing Incentive Payment Method**"</formula>
    </cfRule>
    <cfRule type="containsText" dxfId="117" priority="23" operator="containsText" text="Reject">
      <formula>NOT(ISERROR(SEARCH("Reject",J22)))</formula>
    </cfRule>
    <cfRule type="containsText" dxfId="116" priority="24" operator="containsText" text="Caution">
      <formula>NOT(ISERROR(SEARCH("Caution",J22)))</formula>
    </cfRule>
    <cfRule type="expression" dxfId="115" priority="20" stopIfTrue="1">
      <formula>$M$22="Yes"</formula>
    </cfRule>
    <cfRule type="expression" dxfId="114" priority="25">
      <formula>$J$22="Approve"</formula>
    </cfRule>
  </conditionalFormatting>
  <conditionalFormatting sqref="M21:N21">
    <cfRule type="expression" dxfId="113" priority="6">
      <formula>$Q$1=""</formula>
    </cfRule>
    <cfRule type="expression" dxfId="112" priority="7">
      <formula>$Q$1="Caution"</formula>
    </cfRule>
    <cfRule type="expression" dxfId="111" priority="8">
      <formula>$Q$1="Reject"</formula>
    </cfRule>
    <cfRule type="expression" dxfId="110" priority="9">
      <formula>AND($M$22&lt;&gt;"Yes",$Q$1="Approve")</formula>
    </cfRule>
    <cfRule type="expression" dxfId="109" priority="10">
      <formula>AND($M$22="Yes",$Q$1="Approve")</formula>
    </cfRule>
  </conditionalFormatting>
  <conditionalFormatting sqref="M22:N22">
    <cfRule type="expression" dxfId="108" priority="1">
      <formula>$Q$1=""</formula>
    </cfRule>
    <cfRule type="expression" dxfId="107" priority="2">
      <formula>$Q$1="Caution"</formula>
    </cfRule>
    <cfRule type="expression" dxfId="106" priority="3">
      <formula>$Q$1="Reject"</formula>
    </cfRule>
    <cfRule type="expression" dxfId="105" priority="4">
      <formula>AND($M$22&lt;&gt;"Yes",$Q$1="Approve")</formula>
    </cfRule>
    <cfRule type="expression" dxfId="104" priority="5">
      <formula>AND($M$22="Yes",$Q$1="Approve")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1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6" id="{0991CCE1-8916-4103-ABCA-1CD8AE3CEB8D}">
            <xm:f>Incentives!$K$66+Incentives!$M$71&lt;10000</xm:f>
            <x14:dxf/>
          </x14:cfRule>
          <x14:cfRule type="expression" priority="1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21" id="{35364305-5EBF-4F8A-AD4C-CE98152733EC}">
            <xm:f>AND($J$22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1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1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M23" sqref="M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668</v>
      </c>
      <c r="R1" s="294" t="s">
        <v>669</v>
      </c>
      <c r="S1" s="294" t="s">
        <v>670</v>
      </c>
      <c r="T1" s="140"/>
      <c r="V1" s="438" t="s">
        <v>962</v>
      </c>
    </row>
    <row r="2" spans="3:22" s="5" customFormat="1" ht="22.5" customHeight="1" x14ac:dyDescent="0.25">
      <c r="C2" s="1238" t="s">
        <v>671</v>
      </c>
      <c r="D2" s="1239"/>
      <c r="E2" s="1239"/>
      <c r="F2" s="1239"/>
      <c r="G2" s="1239"/>
      <c r="H2" s="1239"/>
      <c r="I2" s="1239"/>
      <c r="J2" s="1239"/>
      <c r="K2" s="1239"/>
      <c r="L2" s="1239"/>
      <c r="M2" s="1239"/>
      <c r="N2" s="1239"/>
      <c r="O2" s="1240"/>
      <c r="Q2" s="295" t="s">
        <v>672</v>
      </c>
      <c r="R2" s="295" t="s">
        <v>673</v>
      </c>
      <c r="S2" s="295" t="s">
        <v>496</v>
      </c>
      <c r="U2" s="5" t="s">
        <v>963</v>
      </c>
      <c r="V2" s="5">
        <f>IF(Welcome!D16=V3,0,Welcome!D16)</f>
        <v>0</v>
      </c>
    </row>
    <row r="3" spans="3:22" x14ac:dyDescent="0.25">
      <c r="C3" s="671"/>
      <c r="D3" s="296"/>
      <c r="E3" s="296"/>
      <c r="F3" s="296"/>
      <c r="G3" s="296"/>
      <c r="H3" s="296"/>
      <c r="I3" s="296"/>
      <c r="J3" s="296"/>
      <c r="K3" s="296"/>
      <c r="L3" s="296"/>
      <c r="M3" s="296"/>
      <c r="N3" s="296"/>
      <c r="O3" s="672"/>
      <c r="Q3" s="1" t="s">
        <v>674</v>
      </c>
      <c r="R3" s="1" t="s">
        <v>675</v>
      </c>
      <c r="S3" s="1" t="s">
        <v>495</v>
      </c>
      <c r="V3" t="s">
        <v>467</v>
      </c>
    </row>
    <row r="4" spans="3:22" x14ac:dyDescent="0.25">
      <c r="C4" s="143"/>
      <c r="E4" s="440" t="s">
        <v>913</v>
      </c>
      <c r="F4" s="1241"/>
      <c r="G4" s="1241"/>
      <c r="O4" s="673"/>
      <c r="S4" s="1" t="s">
        <v>494</v>
      </c>
    </row>
    <row r="5" spans="3:22" x14ac:dyDescent="0.25">
      <c r="C5" s="143"/>
      <c r="E5" s="440"/>
      <c r="O5" s="144"/>
    </row>
    <row r="6" spans="3:22" x14ac:dyDescent="0.25">
      <c r="C6" s="143"/>
      <c r="E6" s="142" t="s">
        <v>1331</v>
      </c>
      <c r="F6" s="1241"/>
      <c r="G6" s="1241"/>
      <c r="O6" s="144"/>
    </row>
    <row r="7" spans="3:22" x14ac:dyDescent="0.25">
      <c r="C7" s="143"/>
      <c r="E7" s="142"/>
      <c r="O7" s="144"/>
    </row>
    <row r="8" spans="3:22" x14ac:dyDescent="0.25">
      <c r="C8" s="143"/>
      <c r="E8" s="142" t="s">
        <v>1332</v>
      </c>
      <c r="F8" s="1241"/>
      <c r="G8" s="1241"/>
      <c r="O8" s="144"/>
    </row>
    <row r="9" spans="3:22" x14ac:dyDescent="0.25">
      <c r="C9" s="143"/>
      <c r="E9" s="142" t="s">
        <v>1333</v>
      </c>
      <c r="F9" s="1241"/>
      <c r="G9" s="1241"/>
      <c r="O9" s="144"/>
    </row>
    <row r="10" spans="3:22" x14ac:dyDescent="0.25">
      <c r="C10" s="143"/>
      <c r="E10" s="142" t="s">
        <v>903</v>
      </c>
      <c r="F10" s="1241"/>
      <c r="G10" s="1241"/>
      <c r="O10" s="144"/>
    </row>
    <row r="11" spans="3:22" x14ac:dyDescent="0.25">
      <c r="C11" s="143"/>
      <c r="E11" s="142" t="s">
        <v>855</v>
      </c>
      <c r="F11" s="1241"/>
      <c r="G11" s="1241"/>
      <c r="O11" s="144"/>
    </row>
    <row r="12" spans="3:22" x14ac:dyDescent="0.25">
      <c r="C12" s="143"/>
      <c r="E12" s="142" t="s">
        <v>1334</v>
      </c>
      <c r="F12" s="1241"/>
      <c r="G12" s="1241"/>
      <c r="O12" s="144"/>
    </row>
    <row r="13" spans="3:22" x14ac:dyDescent="0.25">
      <c r="C13" s="143"/>
      <c r="E13" s="142"/>
      <c r="F13" s="1243"/>
      <c r="G13" s="1243"/>
      <c r="O13" s="144"/>
    </row>
    <row r="14" spans="3:22" x14ac:dyDescent="0.25">
      <c r="C14" s="143"/>
      <c r="E14" s="142" t="s">
        <v>1335</v>
      </c>
      <c r="F14" s="1242"/>
      <c r="G14" s="1242"/>
      <c r="H14" s="686"/>
      <c r="O14" s="144"/>
      <c r="P14" s="866">
        <f>WEEKDAY(F14,2)</f>
        <v>6</v>
      </c>
    </row>
    <row r="15" spans="3:22" s="1033" customFormat="1" ht="13.5" customHeight="1" x14ac:dyDescent="0.25">
      <c r="C15" s="143"/>
      <c r="F15" s="58" t="s">
        <v>1042</v>
      </c>
      <c r="G15" s="58" t="str">
        <f>IF(F14="","",TEXT(F14,"dddd"))</f>
        <v/>
      </c>
      <c r="O15" s="144"/>
    </row>
    <row r="16" spans="3:22" s="1033" customFormat="1" ht="13.5" customHeight="1" x14ac:dyDescent="0.25">
      <c r="C16" s="143"/>
      <c r="O16" s="144"/>
    </row>
    <row r="17" spans="1:16" s="1033" customFormat="1" ht="13.5" customHeight="1" x14ac:dyDescent="0.25">
      <c r="C17" s="143"/>
      <c r="E17" s="142" t="s">
        <v>1336</v>
      </c>
      <c r="F17" s="1244" t="str">
        <f>IF(F14="","",F14+(363*IF(OR(Welcome!D14="Select Term",Welcome!D14=""),0,Welcome!D14))+6)</f>
        <v/>
      </c>
      <c r="G17" s="1244"/>
      <c r="O17" s="144"/>
    </row>
    <row r="18" spans="1:16" ht="13.5" customHeight="1" x14ac:dyDescent="0.25">
      <c r="C18" s="143"/>
      <c r="O18" s="144"/>
    </row>
    <row r="19" spans="1:16" s="860" customFormat="1" ht="14.25" customHeight="1" x14ac:dyDescent="0.25">
      <c r="C19" s="143"/>
      <c r="E19" s="142" t="s">
        <v>1337</v>
      </c>
      <c r="F19" s="1236">
        <f>Welcome!D10</f>
        <v>0</v>
      </c>
      <c r="G19" s="123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1165</v>
      </c>
      <c r="O21" s="144"/>
    </row>
    <row r="22" spans="1:16" ht="44.25" customHeight="1" thickBot="1" x14ac:dyDescent="0.3">
      <c r="C22" s="143"/>
      <c r="E22" s="1034" t="s">
        <v>1338</v>
      </c>
      <c r="F22" s="441" t="s">
        <v>819</v>
      </c>
      <c r="G22" s="441" t="s">
        <v>1339</v>
      </c>
      <c r="H22" s="441" t="s">
        <v>825</v>
      </c>
      <c r="I22" s="441" t="s">
        <v>826</v>
      </c>
      <c r="J22" s="441" t="s">
        <v>207</v>
      </c>
      <c r="K22" s="441" t="s">
        <v>818</v>
      </c>
      <c r="L22" s="441" t="s">
        <v>1340</v>
      </c>
      <c r="M22" s="1034" t="s">
        <v>1341</v>
      </c>
      <c r="N22" s="1034" t="s">
        <v>1342</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673</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673</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673</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673</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673</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673</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673</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673</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673</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673</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X4NBVr5Oaxv5SqV552XyTEMUyUXZGaURnXOH/lldklw/lSC/yMv8M44ypLhtRnkwjHWxSo7lEMn7VWYWon1VuA==" saltValue="9ejwWxpNrDJwVgBgkC6o1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061"/>
      <c r="C1" s="1061"/>
      <c r="D1" s="1061"/>
      <c r="E1" s="1061"/>
      <c r="F1" s="1061"/>
      <c r="G1" s="1061"/>
      <c r="H1" s="1061"/>
      <c r="I1" s="1061"/>
      <c r="J1" s="1061"/>
      <c r="K1" s="1061"/>
      <c r="L1" s="1061"/>
      <c r="M1" s="1061"/>
      <c r="N1" s="1061"/>
      <c r="O1" s="1061"/>
      <c r="P1" s="1061"/>
      <c r="Q1" s="1061"/>
      <c r="R1" s="1061"/>
      <c r="S1" s="1053"/>
    </row>
    <row r="2" spans="1:19" ht="15.75" thickBot="1" x14ac:dyDescent="0.3">
      <c r="A2" s="1061"/>
      <c r="B2" s="1245" t="s">
        <v>1358</v>
      </c>
      <c r="C2" s="1246"/>
      <c r="D2" s="1246"/>
      <c r="E2" s="1246"/>
      <c r="F2" s="1246"/>
      <c r="G2" s="1246"/>
      <c r="H2" s="1246"/>
      <c r="I2" s="1247"/>
      <c r="J2" s="1061"/>
      <c r="K2" s="1061"/>
      <c r="L2" s="1061"/>
      <c r="M2" s="1248" t="s">
        <v>1359</v>
      </c>
      <c r="N2" s="1248"/>
      <c r="O2" s="1248"/>
      <c r="P2" s="1061"/>
      <c r="Q2" s="1061"/>
      <c r="R2" s="1061"/>
      <c r="S2" s="1053"/>
    </row>
    <row r="3" spans="1:19" x14ac:dyDescent="0.25">
      <c r="A3" s="1061"/>
      <c r="B3" s="1062"/>
      <c r="C3" s="1063"/>
      <c r="D3" s="1063"/>
      <c r="E3" s="1063"/>
      <c r="F3" s="1063"/>
      <c r="G3" s="1063"/>
      <c r="H3" s="1063"/>
      <c r="I3" s="1064"/>
      <c r="J3" s="1061"/>
      <c r="K3" s="1061"/>
      <c r="L3" s="1061"/>
      <c r="M3" s="1065" t="s">
        <v>1360</v>
      </c>
      <c r="N3" s="1065">
        <v>500</v>
      </c>
      <c r="O3" s="1065">
        <v>25</v>
      </c>
      <c r="P3" s="1061"/>
      <c r="Q3" s="1061" t="s">
        <v>1360</v>
      </c>
      <c r="R3" s="1061"/>
      <c r="S3" s="1053"/>
    </row>
    <row r="4" spans="1:19" ht="25.5" x14ac:dyDescent="0.25">
      <c r="A4" s="1061"/>
      <c r="B4" s="1066" t="s">
        <v>383</v>
      </c>
      <c r="C4" s="1067" t="s">
        <v>1361</v>
      </c>
      <c r="D4" s="1067" t="s">
        <v>1362</v>
      </c>
      <c r="E4" s="1067" t="s">
        <v>1363</v>
      </c>
      <c r="F4" s="1067" t="s">
        <v>1364</v>
      </c>
      <c r="G4" s="1068" t="s">
        <v>1365</v>
      </c>
      <c r="H4" s="1068" t="s">
        <v>1366</v>
      </c>
      <c r="I4" s="1069" t="s">
        <v>1367</v>
      </c>
      <c r="J4" s="1061"/>
      <c r="K4" s="1061"/>
      <c r="L4" s="1061"/>
      <c r="M4" s="1065" t="s">
        <v>1368</v>
      </c>
      <c r="N4" s="1065">
        <v>500</v>
      </c>
      <c r="O4" s="1065">
        <v>35</v>
      </c>
      <c r="P4" s="1061"/>
      <c r="Q4" s="1061" t="s">
        <v>1368</v>
      </c>
      <c r="R4" s="1061"/>
      <c r="S4" s="1053"/>
    </row>
    <row r="5" spans="1:19" ht="15.75" thickBot="1" x14ac:dyDescent="0.3">
      <c r="A5" s="1061"/>
      <c r="B5" s="1070">
        <f>'Existing Customers'!$AB$2</f>
        <v>0</v>
      </c>
      <c r="C5" s="1055" t="s">
        <v>673</v>
      </c>
      <c r="D5" s="1055" t="s">
        <v>1369</v>
      </c>
      <c r="E5" s="1055" t="s">
        <v>675</v>
      </c>
      <c r="F5" s="1055" t="s">
        <v>673</v>
      </c>
      <c r="G5" s="1071">
        <f>IF(OR('PIM Model'!G31=0,'PIM Model'!I40=0),0,'PIM Model'!G31/'PIM Model'!I40)</f>
        <v>0</v>
      </c>
      <c r="H5" s="1071">
        <f>IF(OR('PIM Model'!H31=0,'PIM Model'!I40=0),0,'PIM Model'!H31/'PIM Model'!I40)</f>
        <v>0</v>
      </c>
      <c r="I5" s="1072">
        <f>IF(OR('PIM Model'!H31=0,'PIM Model'!G31=0),0,'PIM Model'!H31/'PIM Model'!G31)</f>
        <v>0</v>
      </c>
      <c r="J5" s="1061"/>
      <c r="K5" s="1061"/>
      <c r="L5" s="1061"/>
      <c r="M5" s="1065" t="s">
        <v>1370</v>
      </c>
      <c r="N5" s="1065">
        <v>500</v>
      </c>
      <c r="O5" s="1065">
        <v>50</v>
      </c>
      <c r="P5" s="1061"/>
      <c r="Q5" s="1061" t="s">
        <v>1370</v>
      </c>
      <c r="R5" s="1061"/>
      <c r="S5" s="1053"/>
    </row>
    <row r="6" spans="1:19" ht="15.75" thickBot="1" x14ac:dyDescent="0.3">
      <c r="A6" s="1061"/>
      <c r="B6" s="1061"/>
      <c r="C6" s="1061"/>
      <c r="D6" s="1061"/>
      <c r="E6" s="1061"/>
      <c r="F6" s="1061"/>
      <c r="G6" s="1061"/>
      <c r="H6" s="1061"/>
      <c r="I6" s="1061"/>
      <c r="J6" s="1061"/>
      <c r="K6" s="1061"/>
      <c r="L6" s="1061"/>
      <c r="M6" s="1065"/>
      <c r="N6" s="1065"/>
      <c r="O6" s="1065"/>
      <c r="P6" s="1061"/>
      <c r="Q6" s="1061" t="s">
        <v>1371</v>
      </c>
      <c r="R6" s="1061"/>
      <c r="S6" s="1053"/>
    </row>
    <row r="7" spans="1:19" ht="15.75" thickBot="1" x14ac:dyDescent="0.3">
      <c r="A7" s="1061"/>
      <c r="B7" s="1245" t="s">
        <v>1372</v>
      </c>
      <c r="C7" s="1246"/>
      <c r="D7" s="1246"/>
      <c r="E7" s="1246"/>
      <c r="F7" s="1246"/>
      <c r="G7" s="1246"/>
      <c r="H7" s="1246"/>
      <c r="I7" s="1247"/>
      <c r="J7" s="1061"/>
      <c r="K7" s="1061"/>
      <c r="L7" s="1061"/>
      <c r="M7" s="1065" t="s">
        <v>1371</v>
      </c>
      <c r="N7" s="1065">
        <v>600</v>
      </c>
      <c r="O7" s="1065">
        <v>35</v>
      </c>
      <c r="P7" s="1061"/>
      <c r="Q7" s="1061" t="s">
        <v>1373</v>
      </c>
      <c r="R7" s="1061"/>
      <c r="S7" s="1053"/>
    </row>
    <row r="8" spans="1:19" x14ac:dyDescent="0.25">
      <c r="A8" s="1061"/>
      <c r="B8" s="1073"/>
      <c r="C8" s="1074"/>
      <c r="D8" s="1074"/>
      <c r="E8" s="1074"/>
      <c r="F8" s="1074"/>
      <c r="G8" s="1074"/>
      <c r="H8" s="1074"/>
      <c r="I8" s="1075"/>
      <c r="J8" s="1061"/>
      <c r="K8" s="1061"/>
      <c r="L8" s="1061"/>
      <c r="M8" s="1065" t="s">
        <v>1373</v>
      </c>
      <c r="N8" s="1065">
        <v>600</v>
      </c>
      <c r="O8" s="1065">
        <v>50</v>
      </c>
      <c r="P8" s="1061"/>
      <c r="Q8" s="1061" t="s">
        <v>1374</v>
      </c>
      <c r="R8" s="1061"/>
      <c r="S8" s="1053"/>
    </row>
    <row r="9" spans="1:19" ht="65.25" customHeight="1" x14ac:dyDescent="0.25">
      <c r="A9" s="1061"/>
      <c r="B9" s="1076" t="s">
        <v>1375</v>
      </c>
      <c r="C9" s="1067" t="s">
        <v>1376</v>
      </c>
      <c r="D9" s="1067" t="s">
        <v>1377</v>
      </c>
      <c r="E9" s="1067" t="s">
        <v>1378</v>
      </c>
      <c r="F9" s="1067" t="s">
        <v>1379</v>
      </c>
      <c r="G9" s="1067" t="s">
        <v>1380</v>
      </c>
      <c r="H9" s="1067" t="s">
        <v>1381</v>
      </c>
      <c r="I9" s="1077" t="s">
        <v>1382</v>
      </c>
      <c r="J9" s="1061"/>
      <c r="K9" s="1061"/>
      <c r="L9" s="1061"/>
      <c r="M9" s="1065" t="s">
        <v>1374</v>
      </c>
      <c r="N9" s="1065">
        <v>750</v>
      </c>
      <c r="O9" s="1065">
        <v>35</v>
      </c>
      <c r="P9" s="1061"/>
      <c r="Q9" s="1061" t="s">
        <v>1374</v>
      </c>
      <c r="R9" s="1061"/>
      <c r="S9" s="1053"/>
    </row>
    <row r="10" spans="1:19" x14ac:dyDescent="0.25">
      <c r="A10" s="1061"/>
      <c r="B10" s="1085">
        <v>85</v>
      </c>
      <c r="C10" s="1086">
        <v>500</v>
      </c>
      <c r="D10" s="1087" t="s">
        <v>1368</v>
      </c>
      <c r="E10" s="1078">
        <f>VLOOKUP($D$10,$M$3:$O$17,2,FALSE)</f>
        <v>500</v>
      </c>
      <c r="F10" s="1078">
        <f>VLOOKUP($D$10,$M$3:$O$17,3,FALSE)</f>
        <v>35</v>
      </c>
      <c r="G10" s="1087"/>
      <c r="H10" s="1087" t="s">
        <v>673</v>
      </c>
      <c r="I10" s="1088" t="s">
        <v>1383</v>
      </c>
      <c r="J10" s="1061"/>
      <c r="K10" s="1061"/>
      <c r="L10" s="1061"/>
      <c r="M10" s="1065" t="s">
        <v>1384</v>
      </c>
      <c r="N10" s="1065">
        <v>750</v>
      </c>
      <c r="O10" s="1065">
        <v>50</v>
      </c>
      <c r="P10" s="1061"/>
      <c r="Q10" s="1061" t="s">
        <v>1385</v>
      </c>
      <c r="R10" s="1061"/>
      <c r="S10" s="1053"/>
    </row>
    <row r="11" spans="1:19" x14ac:dyDescent="0.25">
      <c r="A11" s="1061"/>
      <c r="B11" s="1079"/>
      <c r="C11" s="1063"/>
      <c r="D11" s="1063"/>
      <c r="E11" s="1080"/>
      <c r="F11" s="1080"/>
      <c r="G11" s="1063"/>
      <c r="H11" s="1080"/>
      <c r="I11" s="1064"/>
      <c r="J11" s="1061"/>
      <c r="K11" s="1061"/>
      <c r="L11" s="1061"/>
      <c r="M11" s="1065"/>
      <c r="N11" s="1065"/>
      <c r="O11" s="1065"/>
      <c r="P11" s="1061"/>
      <c r="Q11" s="1061" t="s">
        <v>1386</v>
      </c>
      <c r="R11" s="1061"/>
      <c r="S11" s="1053"/>
    </row>
    <row r="12" spans="1:19" ht="48.75" customHeight="1" x14ac:dyDescent="0.25">
      <c r="A12" s="1061"/>
      <c r="B12" s="1076" t="s">
        <v>1387</v>
      </c>
      <c r="C12" s="1067" t="s">
        <v>1388</v>
      </c>
      <c r="D12" s="1067" t="s">
        <v>1389</v>
      </c>
      <c r="E12" s="1067" t="s">
        <v>1390</v>
      </c>
      <c r="F12" s="1067" t="s">
        <v>1391</v>
      </c>
      <c r="G12" s="1067" t="s">
        <v>1392</v>
      </c>
      <c r="H12" s="1067" t="s">
        <v>1393</v>
      </c>
      <c r="I12" s="1077" t="s">
        <v>1394</v>
      </c>
      <c r="J12" s="1061"/>
      <c r="K12" s="1061"/>
      <c r="L12" s="1061"/>
      <c r="M12" s="1065" t="s">
        <v>1385</v>
      </c>
      <c r="N12" s="1065">
        <v>1000</v>
      </c>
      <c r="O12" s="1065">
        <v>35</v>
      </c>
      <c r="P12" s="1061"/>
      <c r="Q12" s="1061" t="s">
        <v>1395</v>
      </c>
      <c r="R12" s="1061"/>
      <c r="S12" s="1053"/>
    </row>
    <row r="13" spans="1:19" ht="51" customHeight="1" thickBot="1" x14ac:dyDescent="0.3">
      <c r="A13" s="1061"/>
      <c r="B13" s="1070" t="s">
        <v>675</v>
      </c>
      <c r="C13" s="1056">
        <v>30</v>
      </c>
      <c r="D13" s="1055" t="s">
        <v>493</v>
      </c>
      <c r="E13" s="1081" t="s">
        <v>675</v>
      </c>
      <c r="F13" s="1056">
        <v>2.25</v>
      </c>
      <c r="G13" s="1056">
        <v>30</v>
      </c>
      <c r="H13" s="1055" t="s">
        <v>493</v>
      </c>
      <c r="I13" s="1089" t="s">
        <v>1396</v>
      </c>
      <c r="J13" s="1061"/>
      <c r="K13" s="1061"/>
      <c r="L13" s="1061"/>
      <c r="M13" s="1065" t="s">
        <v>1386</v>
      </c>
      <c r="N13" s="1065">
        <v>1000</v>
      </c>
      <c r="O13" s="1065">
        <v>50</v>
      </c>
      <c r="P13" s="1061"/>
      <c r="Q13" s="1061" t="s">
        <v>1397</v>
      </c>
      <c r="R13" s="1061"/>
      <c r="S13" s="1053"/>
    </row>
    <row r="14" spans="1:19" ht="15.75" thickBot="1" x14ac:dyDescent="0.3">
      <c r="A14" s="1061"/>
      <c r="B14" s="1061"/>
      <c r="C14" s="1061"/>
      <c r="D14" s="1061"/>
      <c r="E14" s="1061"/>
      <c r="F14" s="1061"/>
      <c r="G14" s="1061"/>
      <c r="H14" s="1061"/>
      <c r="I14" s="1061"/>
      <c r="J14" s="1061"/>
      <c r="K14" s="1061"/>
      <c r="L14" s="1061"/>
      <c r="M14" s="1065"/>
      <c r="N14" s="1065"/>
      <c r="O14" s="1065"/>
      <c r="P14" s="1061"/>
      <c r="Q14" s="1061" t="s">
        <v>1398</v>
      </c>
      <c r="R14" s="1061"/>
      <c r="S14" s="1053"/>
    </row>
    <row r="15" spans="1:19" ht="15.75" thickBot="1" x14ac:dyDescent="0.3">
      <c r="A15" s="1061"/>
      <c r="B15" s="1249" t="s">
        <v>1399</v>
      </c>
      <c r="C15" s="1250"/>
      <c r="D15" s="1250"/>
      <c r="E15" s="1250"/>
      <c r="F15" s="1250"/>
      <c r="G15" s="1251"/>
      <c r="H15" s="1061"/>
      <c r="I15" s="1061"/>
      <c r="J15" s="1061"/>
      <c r="K15" s="1061"/>
      <c r="L15" s="1061"/>
      <c r="M15" s="1065" t="s">
        <v>1400</v>
      </c>
      <c r="N15" s="1065">
        <v>1500</v>
      </c>
      <c r="O15" s="1065">
        <v>35</v>
      </c>
      <c r="P15" s="1061"/>
      <c r="Q15" s="1061"/>
      <c r="R15" s="1061"/>
      <c r="S15" s="1053"/>
    </row>
    <row r="16" spans="1:19" x14ac:dyDescent="0.25">
      <c r="A16" s="1061"/>
      <c r="B16" s="1062"/>
      <c r="C16" s="1063"/>
      <c r="D16" s="1063"/>
      <c r="E16" s="1063"/>
      <c r="F16" s="1063"/>
      <c r="G16" s="1064"/>
      <c r="H16" s="1061"/>
      <c r="I16" s="1061"/>
      <c r="J16" s="1061"/>
      <c r="K16" s="1061"/>
      <c r="L16" s="1061"/>
      <c r="M16" s="1065" t="s">
        <v>1397</v>
      </c>
      <c r="N16" s="1065">
        <v>1500</v>
      </c>
      <c r="O16" s="1065">
        <v>50</v>
      </c>
      <c r="P16" s="1061"/>
      <c r="Q16" s="1061"/>
      <c r="R16" s="1061"/>
      <c r="S16" s="1053"/>
    </row>
    <row r="17" spans="1:19" ht="51" customHeight="1" x14ac:dyDescent="0.25">
      <c r="A17" s="1061"/>
      <c r="B17" s="1082" t="s">
        <v>1405</v>
      </c>
      <c r="C17" s="1083" t="s">
        <v>1401</v>
      </c>
      <c r="D17" s="1083" t="s">
        <v>1402</v>
      </c>
      <c r="E17" s="1083" t="s">
        <v>1406</v>
      </c>
      <c r="F17" s="1084" t="s">
        <v>1403</v>
      </c>
      <c r="G17" s="1069" t="s">
        <v>1409</v>
      </c>
      <c r="H17" s="1061"/>
      <c r="I17" s="1061"/>
      <c r="J17" s="1061"/>
      <c r="K17" s="1061"/>
      <c r="L17" s="1061"/>
      <c r="M17" s="1065" t="s">
        <v>1398</v>
      </c>
      <c r="N17" s="1065">
        <v>5000</v>
      </c>
      <c r="O17" s="1065">
        <v>100</v>
      </c>
      <c r="P17" s="1061"/>
      <c r="Q17" s="1061"/>
      <c r="R17" s="1061"/>
      <c r="S17" s="1053"/>
    </row>
    <row r="18" spans="1:19" ht="19.5" customHeight="1" thickBot="1" x14ac:dyDescent="0.3">
      <c r="A18" s="1061"/>
      <c r="B18" s="1058">
        <v>13</v>
      </c>
      <c r="C18" s="1057" t="s">
        <v>689</v>
      </c>
      <c r="D18" s="1059">
        <v>25</v>
      </c>
      <c r="E18" s="1057" t="s">
        <v>1404</v>
      </c>
      <c r="F18" s="1060">
        <v>2</v>
      </c>
      <c r="G18" s="1092"/>
      <c r="H18" s="1061"/>
      <c r="I18" s="1061"/>
      <c r="J18" s="1061"/>
      <c r="K18" s="1061"/>
      <c r="L18" s="1061"/>
      <c r="M18" s="1061"/>
      <c r="N18" s="1061"/>
      <c r="O18" s="1061"/>
      <c r="P18" s="1061"/>
      <c r="Q18" s="1061"/>
      <c r="R18" s="1061"/>
      <c r="S18" s="1053"/>
    </row>
    <row r="19" spans="1:19" x14ac:dyDescent="0.25">
      <c r="A19" s="1061"/>
      <c r="B19" s="1063"/>
      <c r="C19" s="1063"/>
      <c r="D19" s="1063"/>
      <c r="E19" s="1063"/>
      <c r="F19" s="1063"/>
      <c r="G19" s="1063"/>
      <c r="H19" s="1061"/>
      <c r="I19" s="1061"/>
      <c r="J19" s="1061"/>
      <c r="K19" s="1061"/>
      <c r="L19" s="1061"/>
      <c r="M19" s="1061"/>
      <c r="N19" s="1061"/>
      <c r="O19" s="1061"/>
      <c r="P19" s="1061"/>
      <c r="Q19" s="1061"/>
      <c r="R19" s="1061"/>
      <c r="S19" s="1053"/>
    </row>
    <row r="20" spans="1:19" x14ac:dyDescent="0.25">
      <c r="A20" s="1061"/>
      <c r="B20" s="1061"/>
      <c r="C20" s="1061"/>
      <c r="D20" s="1061"/>
      <c r="E20" s="1061"/>
      <c r="F20" s="1061"/>
      <c r="G20" s="1061"/>
      <c r="H20" s="1061"/>
      <c r="I20" s="1061"/>
      <c r="J20" s="1061"/>
      <c r="K20" s="1061"/>
      <c r="L20" s="1061"/>
      <c r="M20" s="1061"/>
      <c r="N20" s="1061"/>
      <c r="O20" s="1061"/>
      <c r="P20" s="1061"/>
      <c r="Q20" s="1061"/>
      <c r="R20" s="1061"/>
      <c r="S20" s="1053"/>
    </row>
    <row r="21" spans="1:19" x14ac:dyDescent="0.25">
      <c r="A21" s="1061"/>
      <c r="B21" s="1061"/>
      <c r="C21" s="1061"/>
      <c r="D21" s="1061"/>
      <c r="E21" s="1061"/>
      <c r="F21" s="1061"/>
      <c r="G21" s="1061"/>
      <c r="H21" s="1061"/>
      <c r="I21" s="1061"/>
      <c r="J21" s="1061"/>
      <c r="K21" s="1061"/>
      <c r="L21" s="1061"/>
      <c r="M21" s="1061"/>
      <c r="N21" s="1061"/>
      <c r="O21" s="1061"/>
      <c r="P21" s="1061"/>
      <c r="Q21" s="1061"/>
      <c r="R21" s="1061"/>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KeNH7eykmtmHS44ItY3RNs7KZdy/8fmiwtyYOBGuOG9VeRU5i+kaikNUrWkxR7GqXb4wp6Cw7uSB1XIckaAp1g==" saltValue="yw4dJek0BBFLFpydC+qE+Q=="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55"/>
      <c r="K2" s="1255"/>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951</v>
      </c>
      <c r="J3" s="1207" t="e">
        <f>VLOOKUP($J$4,'Market Geography'!$D:$G,4,FALSE)</f>
        <v>#N/A</v>
      </c>
      <c r="K3" s="1207"/>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952</v>
      </c>
      <c r="J4" s="1207">
        <f>Welcome!$D$4</f>
        <v>0</v>
      </c>
      <c r="K4" s="1207"/>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953</v>
      </c>
      <c r="J5" s="1256" t="e">
        <f>VLOOKUP($J$4,'Market Geography'!$D:$F,3,FALSE)</f>
        <v>#N/A</v>
      </c>
      <c r="K5" s="1256"/>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954</v>
      </c>
      <c r="J6" s="1207" t="s">
        <v>134</v>
      </c>
      <c r="K6" s="1207"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955</v>
      </c>
      <c r="J7" s="1207" t="str">
        <f>IF(Welcome!$D$10="MDA","C","N")</f>
        <v>N</v>
      </c>
      <c r="K7" s="1207"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52" t="s">
        <v>1011</v>
      </c>
      <c r="AE13" s="1253"/>
      <c r="AF13" s="1254"/>
      <c r="AH13" s="146" t="s">
        <v>60</v>
      </c>
      <c r="AI13" s="146" t="s">
        <v>1</v>
      </c>
      <c r="AJ13" s="146" t="s">
        <v>60</v>
      </c>
      <c r="AK13" s="800" t="s">
        <v>113</v>
      </c>
    </row>
    <row r="14" spans="1:37" ht="38.25" x14ac:dyDescent="0.2">
      <c r="A14" s="146" t="s">
        <v>1076</v>
      </c>
      <c r="B14" s="629" t="s">
        <v>931</v>
      </c>
      <c r="C14" s="629" t="s">
        <v>950</v>
      </c>
      <c r="D14" s="630" t="s">
        <v>1002</v>
      </c>
      <c r="E14" s="630" t="s">
        <v>1010</v>
      </c>
      <c r="F14" s="632" t="s">
        <v>1017</v>
      </c>
      <c r="G14" s="631" t="s">
        <v>1012</v>
      </c>
      <c r="H14" s="631" t="s">
        <v>1013</v>
      </c>
      <c r="I14" s="631" t="s">
        <v>207</v>
      </c>
      <c r="J14" s="631" t="s">
        <v>405</v>
      </c>
      <c r="K14" s="631" t="s">
        <v>208</v>
      </c>
      <c r="L14" s="631" t="s">
        <v>1014</v>
      </c>
      <c r="M14" s="631" t="s">
        <v>1075</v>
      </c>
      <c r="N14" s="633" t="s">
        <v>1020</v>
      </c>
      <c r="O14" s="632" t="s">
        <v>1021</v>
      </c>
      <c r="P14" s="632" t="s">
        <v>1022</v>
      </c>
      <c r="Q14" s="630" t="s">
        <v>1015</v>
      </c>
      <c r="R14" s="630" t="s">
        <v>1016</v>
      </c>
      <c r="S14" s="630" t="s">
        <v>1025</v>
      </c>
      <c r="T14" s="630" t="s">
        <v>1003</v>
      </c>
      <c r="U14" s="630" t="s">
        <v>1004</v>
      </c>
      <c r="V14" s="630" t="s">
        <v>1005</v>
      </c>
      <c r="W14" s="641" t="s">
        <v>1023</v>
      </c>
      <c r="X14" s="641" t="s">
        <v>1024</v>
      </c>
      <c r="Y14" s="641" t="s">
        <v>1026</v>
      </c>
      <c r="Z14" s="631" t="s">
        <v>1018</v>
      </c>
      <c r="AA14" s="631" t="s">
        <v>1019</v>
      </c>
      <c r="AB14" s="631"/>
      <c r="AC14" s="643" t="s">
        <v>856</v>
      </c>
      <c r="AD14" s="644" t="s">
        <v>857</v>
      </c>
      <c r="AE14" s="644" t="s">
        <v>858</v>
      </c>
      <c r="AF14" s="644" t="s">
        <v>859</v>
      </c>
      <c r="AG14" s="644" t="s">
        <v>1050</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837</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838</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839</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840</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841</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842</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843</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844</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845</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846</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983</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943</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58" t="s">
        <v>1056</v>
      </c>
      <c r="F1" s="1259"/>
      <c r="G1" s="1259"/>
      <c r="H1" s="1259"/>
      <c r="I1" s="1259"/>
      <c r="J1" s="1260"/>
      <c r="L1" s="1258" t="s">
        <v>1055</v>
      </c>
      <c r="M1" s="1260"/>
      <c r="Q1" s="1" t="s">
        <v>555</v>
      </c>
      <c r="R1" s="1" t="s">
        <v>554</v>
      </c>
    </row>
    <row r="2" spans="1:18" x14ac:dyDescent="0.25">
      <c r="E2" s="1">
        <v>0.1</v>
      </c>
      <c r="F2" s="54">
        <v>1.0999999999999999E-2</v>
      </c>
      <c r="G2" s="54">
        <v>2.7E-2</v>
      </c>
      <c r="H2" s="54">
        <v>3.2000000000000001E-2</v>
      </c>
      <c r="I2" s="54">
        <v>4.9000000000000002E-2</v>
      </c>
      <c r="J2" s="54">
        <v>6.4000000000000001E-2</v>
      </c>
      <c r="L2" s="858" t="s">
        <v>1179</v>
      </c>
      <c r="M2" s="49">
        <v>5.0000000000000001E-4</v>
      </c>
      <c r="O2" s="1" t="s">
        <v>556</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1180</v>
      </c>
      <c r="M3" s="49">
        <v>1E-3</v>
      </c>
      <c r="O3" s="1" t="s">
        <v>557</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1181</v>
      </c>
      <c r="M4" s="49">
        <v>1.5E-3</v>
      </c>
      <c r="O4" s="1" t="s">
        <v>558</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1182</v>
      </c>
      <c r="M5" s="49">
        <v>2E-3</v>
      </c>
      <c r="O5" s="1" t="s">
        <v>559</v>
      </c>
      <c r="P5" s="1" t="s">
        <v>272</v>
      </c>
      <c r="Q5" s="1" t="s">
        <v>14</v>
      </c>
      <c r="R5" s="54">
        <v>0.14499999999999999</v>
      </c>
    </row>
    <row r="6" spans="1:18" x14ac:dyDescent="0.25">
      <c r="A6" s="88" t="s">
        <v>971</v>
      </c>
      <c r="B6" t="str">
        <f>IF(B7&lt;0.25,"Q1",IF(B7&lt;0.5,"Q2",IF(B7&lt;0.75,"Q3","Q4")))</f>
        <v>Q1</v>
      </c>
      <c r="E6" s="1">
        <v>0.3</v>
      </c>
      <c r="F6" s="54">
        <v>3.2000000000000001E-2</v>
      </c>
      <c r="G6" s="54">
        <v>6.5000000000000002E-2</v>
      </c>
      <c r="H6" s="54">
        <v>7.6999999999999999E-2</v>
      </c>
      <c r="I6" s="54">
        <v>9.5000000000000001E-2</v>
      </c>
      <c r="J6" s="54">
        <v>0.12</v>
      </c>
      <c r="L6" s="858" t="s">
        <v>1183</v>
      </c>
      <c r="M6" s="49">
        <v>2.5000000000000001E-3</v>
      </c>
      <c r="O6" s="1" t="s">
        <v>560</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1184</v>
      </c>
      <c r="M7" s="49">
        <v>3.0000000000000001E-3</v>
      </c>
      <c r="O7" s="1" t="s">
        <v>561</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1185</v>
      </c>
      <c r="M8" s="49">
        <v>3.5000000000000001E-3</v>
      </c>
      <c r="O8" s="1" t="s">
        <v>562</v>
      </c>
      <c r="P8" s="1" t="s">
        <v>218</v>
      </c>
      <c r="Q8" s="1" t="s">
        <v>62</v>
      </c>
      <c r="R8" s="54">
        <v>0.106</v>
      </c>
    </row>
    <row r="9" spans="1:18" x14ac:dyDescent="0.25">
      <c r="A9" s="88" t="s">
        <v>972</v>
      </c>
      <c r="B9" t="str">
        <f>IF($B$4="Multiple Menu Types",B6&amp;B5,B6&amp;B4)</f>
        <v>Q1Enter Customer(s)</v>
      </c>
      <c r="E9" s="1">
        <v>0.45</v>
      </c>
      <c r="F9" s="54">
        <v>5.6000000000000001E-2</v>
      </c>
      <c r="G9" s="54">
        <v>8.6999999999999994E-2</v>
      </c>
      <c r="H9" s="54">
        <v>0.10100000000000001</v>
      </c>
      <c r="I9" s="54">
        <v>0.12</v>
      </c>
      <c r="J9" s="54">
        <v>0.16700000000000001</v>
      </c>
      <c r="L9" s="858" t="s">
        <v>1186</v>
      </c>
      <c r="M9" s="49">
        <v>4.0000000000000001E-3</v>
      </c>
      <c r="O9" s="1" t="s">
        <v>563</v>
      </c>
      <c r="P9" s="1" t="s">
        <v>272</v>
      </c>
      <c r="Q9" s="1" t="s">
        <v>62</v>
      </c>
      <c r="R9" s="54">
        <v>0.106</v>
      </c>
    </row>
    <row r="10" spans="1:18" x14ac:dyDescent="0.25">
      <c r="A10" s="88"/>
      <c r="E10" s="1">
        <v>0.5</v>
      </c>
      <c r="F10" s="54">
        <v>0.05</v>
      </c>
      <c r="G10" s="54">
        <v>9.1999999999999998E-2</v>
      </c>
      <c r="H10" s="54">
        <v>0.108</v>
      </c>
      <c r="I10" s="54">
        <v>0.124</v>
      </c>
      <c r="J10" s="54">
        <v>0.16600000000000001</v>
      </c>
      <c r="L10" s="858" t="s">
        <v>1187</v>
      </c>
      <c r="M10" s="49">
        <v>4.4999999999999997E-3</v>
      </c>
      <c r="O10" s="1" t="s">
        <v>564</v>
      </c>
      <c r="P10" s="1" t="s">
        <v>216</v>
      </c>
      <c r="Q10" s="1" t="s">
        <v>74</v>
      </c>
      <c r="R10" s="54">
        <v>7.1999999999999995E-2</v>
      </c>
    </row>
    <row r="11" spans="1:18" x14ac:dyDescent="0.25">
      <c r="A11" s="88" t="s">
        <v>973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1188</v>
      </c>
      <c r="M11" s="49">
        <v>5.0000000000000001E-3</v>
      </c>
      <c r="O11" s="1" t="s">
        <v>565</v>
      </c>
      <c r="P11" s="1" t="s">
        <v>217</v>
      </c>
      <c r="Q11" s="1" t="s">
        <v>74</v>
      </c>
      <c r="R11" s="54">
        <v>0.109</v>
      </c>
    </row>
    <row r="12" spans="1:18" x14ac:dyDescent="0.25">
      <c r="A12" s="88" t="s">
        <v>974</v>
      </c>
      <c r="B12">
        <f>IFERROR(VLOOKUP($B$9,$O:$R,4,FALSE),0)</f>
        <v>0</v>
      </c>
      <c r="E12" s="1">
        <v>0.6</v>
      </c>
      <c r="F12" s="54">
        <v>6.6000000000000003E-2</v>
      </c>
      <c r="G12" s="54">
        <v>0.10299999999999999</v>
      </c>
      <c r="H12" s="54">
        <v>0.11899999999999999</v>
      </c>
      <c r="I12" s="54">
        <v>0.13700000000000001</v>
      </c>
      <c r="J12" s="54">
        <v>0.184</v>
      </c>
      <c r="L12" s="858" t="s">
        <v>1189</v>
      </c>
      <c r="M12" s="49">
        <v>5.4999999999999997E-3</v>
      </c>
      <c r="O12" s="1" t="s">
        <v>566</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1190</v>
      </c>
      <c r="M13" s="49">
        <v>6.0000000000000001E-3</v>
      </c>
      <c r="O13" s="1" t="s">
        <v>567</v>
      </c>
      <c r="P13" s="1" t="s">
        <v>272</v>
      </c>
      <c r="Q13" s="1" t="s">
        <v>74</v>
      </c>
      <c r="R13" s="54">
        <v>0.14299999999999999</v>
      </c>
    </row>
    <row r="14" spans="1:18" x14ac:dyDescent="0.25">
      <c r="A14" s="88" t="s">
        <v>932</v>
      </c>
      <c r="B14" s="41">
        <f>'PIM Model'!$G$31</f>
        <v>0</v>
      </c>
      <c r="E14" s="1">
        <v>0.7</v>
      </c>
      <c r="F14" s="54">
        <v>0.08</v>
      </c>
      <c r="G14" s="54">
        <v>0.113</v>
      </c>
      <c r="H14" s="54">
        <v>0.126</v>
      </c>
      <c r="I14" s="54">
        <v>0.15</v>
      </c>
      <c r="J14" s="54">
        <v>0.20200000000000001</v>
      </c>
      <c r="L14" s="858" t="s">
        <v>1191</v>
      </c>
      <c r="M14" s="49">
        <v>6.4999999999999997E-3</v>
      </c>
      <c r="O14" s="1" t="s">
        <v>568</v>
      </c>
      <c r="P14" s="1" t="s">
        <v>216</v>
      </c>
      <c r="Q14" s="1" t="s">
        <v>34</v>
      </c>
      <c r="R14" s="54">
        <v>6.2E-2</v>
      </c>
    </row>
    <row r="15" spans="1:18" x14ac:dyDescent="0.25">
      <c r="A15" s="88" t="s">
        <v>975</v>
      </c>
      <c r="B15" s="41">
        <f>B12*B14</f>
        <v>0</v>
      </c>
      <c r="E15" s="1">
        <v>0.75</v>
      </c>
      <c r="F15" s="54">
        <v>7.8E-2</v>
      </c>
      <c r="G15" s="54">
        <v>0.108</v>
      </c>
      <c r="H15" s="54">
        <v>0.128</v>
      </c>
      <c r="I15" s="54">
        <v>0.154</v>
      </c>
      <c r="J15" s="54">
        <v>0.21</v>
      </c>
      <c r="L15" s="858" t="s">
        <v>1192</v>
      </c>
      <c r="M15" s="49">
        <v>7.0000000000000001E-3</v>
      </c>
      <c r="O15" s="1" t="s">
        <v>569</v>
      </c>
      <c r="P15" s="1" t="s">
        <v>217</v>
      </c>
      <c r="Q15" s="1" t="s">
        <v>34</v>
      </c>
      <c r="R15" s="54">
        <v>0.10199999999999999</v>
      </c>
    </row>
    <row r="16" spans="1:18" x14ac:dyDescent="0.25">
      <c r="A16" s="88" t="s">
        <v>973</v>
      </c>
      <c r="B16">
        <f>B14*B11</f>
        <v>0</v>
      </c>
      <c r="E16" s="1">
        <v>0.8</v>
      </c>
      <c r="F16" s="54">
        <v>9.7000000000000003E-2</v>
      </c>
      <c r="G16" s="54">
        <v>0.13200000000000001</v>
      </c>
      <c r="H16" s="54">
        <v>0.129</v>
      </c>
      <c r="I16" s="54">
        <v>0.156</v>
      </c>
      <c r="J16" s="54">
        <v>0.17</v>
      </c>
      <c r="L16" s="858" t="s">
        <v>1193</v>
      </c>
      <c r="M16" s="49">
        <v>7.4999999999999997E-3</v>
      </c>
      <c r="O16" s="1" t="s">
        <v>570</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1194</v>
      </c>
      <c r="M17" s="49">
        <v>8.0000000000000002E-3</v>
      </c>
      <c r="O17" s="1" t="s">
        <v>571</v>
      </c>
      <c r="P17" s="1" t="s">
        <v>272</v>
      </c>
      <c r="Q17" s="1" t="s">
        <v>34</v>
      </c>
      <c r="R17" s="54">
        <v>0.11700000000000001</v>
      </c>
    </row>
    <row r="18" spans="2:18" x14ac:dyDescent="0.25">
      <c r="L18" s="858" t="s">
        <v>1195</v>
      </c>
      <c r="M18" s="49">
        <v>8.5000000000000006E-3</v>
      </c>
      <c r="O18" s="1" t="s">
        <v>572</v>
      </c>
      <c r="P18" s="1" t="s">
        <v>216</v>
      </c>
      <c r="Q18" s="1" t="s">
        <v>0</v>
      </c>
      <c r="R18" s="54">
        <v>5.3999999999999999E-2</v>
      </c>
    </row>
    <row r="19" spans="2:18" x14ac:dyDescent="0.25">
      <c r="B19" t="s">
        <v>1062</v>
      </c>
      <c r="C19">
        <f>IF(Welcome!$D$16="Select # of Locations",0,Welcome!$D$16)</f>
        <v>0</v>
      </c>
      <c r="L19" s="858" t="s">
        <v>1196</v>
      </c>
      <c r="M19" s="49">
        <v>8.9999999999999993E-3</v>
      </c>
      <c r="O19" s="1" t="s">
        <v>573</v>
      </c>
      <c r="P19" s="1" t="s">
        <v>217</v>
      </c>
      <c r="Q19" s="1" t="s">
        <v>0</v>
      </c>
      <c r="R19" s="54">
        <v>8.7999999999999995E-2</v>
      </c>
    </row>
    <row r="20" spans="2:18" x14ac:dyDescent="0.25">
      <c r="B20">
        <f>'PIM Model'!$E$3</f>
        <v>0</v>
      </c>
      <c r="E20" s="1258" t="s">
        <v>1057</v>
      </c>
      <c r="F20" s="1259"/>
      <c r="G20" s="1260"/>
      <c r="L20" s="1"/>
      <c r="M20" s="49">
        <v>9.4999999999999998E-3</v>
      </c>
      <c r="O20" s="1" t="s">
        <v>574</v>
      </c>
      <c r="P20" s="1" t="s">
        <v>218</v>
      </c>
      <c r="Q20" s="1" t="s">
        <v>0</v>
      </c>
      <c r="R20" s="54">
        <v>0.112</v>
      </c>
    </row>
    <row r="21" spans="2:18" x14ac:dyDescent="0.25">
      <c r="B21" t="s">
        <v>499</v>
      </c>
      <c r="C21" s="41">
        <f>'PIM Model'!$G$31</f>
        <v>0</v>
      </c>
      <c r="E21" s="90" t="s">
        <v>1064</v>
      </c>
      <c r="F21" s="719">
        <v>2600</v>
      </c>
      <c r="G21" s="54">
        <v>5.6000000000000001E-2</v>
      </c>
      <c r="H21" s="24"/>
      <c r="O21" s="1" t="s">
        <v>575</v>
      </c>
      <c r="P21" s="1" t="s">
        <v>272</v>
      </c>
      <c r="Q21" s="1" t="s">
        <v>0</v>
      </c>
      <c r="R21" s="54">
        <v>0.112</v>
      </c>
    </row>
    <row r="22" spans="2:18" x14ac:dyDescent="0.25">
      <c r="B22" t="s">
        <v>500</v>
      </c>
      <c r="C22" s="41">
        <f>$C$21/52</f>
        <v>0</v>
      </c>
      <c r="D22" t="s">
        <v>1079</v>
      </c>
      <c r="E22" s="90" t="s">
        <v>1065</v>
      </c>
      <c r="F22" s="719">
        <v>4600</v>
      </c>
      <c r="G22" s="54">
        <v>6.3E-2</v>
      </c>
      <c r="H22" s="24"/>
      <c r="L22" s="1257" t="s">
        <v>113</v>
      </c>
      <c r="M22" s="1257"/>
      <c r="O22" s="1" t="s">
        <v>576</v>
      </c>
      <c r="P22" s="1" t="s">
        <v>216</v>
      </c>
      <c r="Q22" s="1" t="s">
        <v>69</v>
      </c>
      <c r="R22" s="54">
        <v>7.6999999999999999E-2</v>
      </c>
    </row>
    <row r="23" spans="2:18" x14ac:dyDescent="0.25">
      <c r="B23" t="s">
        <v>1063</v>
      </c>
      <c r="C23" s="41" t="e">
        <f>$C$22/C19</f>
        <v>#DIV/0!</v>
      </c>
      <c r="E23" s="90" t="s">
        <v>1066</v>
      </c>
      <c r="F23" s="719">
        <v>8300</v>
      </c>
      <c r="G23" s="54">
        <v>5.2999999999999999E-2</v>
      </c>
      <c r="H23" s="24"/>
      <c r="L23" s="1258" t="s">
        <v>1055</v>
      </c>
      <c r="M23" s="1260"/>
      <c r="O23" s="1" t="s">
        <v>577</v>
      </c>
      <c r="P23" s="1" t="s">
        <v>217</v>
      </c>
      <c r="Q23" s="1" t="s">
        <v>69</v>
      </c>
      <c r="R23" s="54">
        <v>0.122</v>
      </c>
    </row>
    <row r="24" spans="2:18" x14ac:dyDescent="0.25">
      <c r="B24" t="s">
        <v>1059</v>
      </c>
      <c r="C24" s="24">
        <v>0.08</v>
      </c>
      <c r="D24" s="24" t="e">
        <f>IF($C$23&lt;$F$21,$G$21,IF($C$23&lt;$F$22,$G$22,IF($C$23&lt;$F$23,$G$23,IF($C$23&lt;$F$24,$G$24,$G$25))))</f>
        <v>#DIV/0!</v>
      </c>
      <c r="E24" s="90" t="s">
        <v>1067</v>
      </c>
      <c r="F24" s="719">
        <v>17000</v>
      </c>
      <c r="G24" s="54">
        <v>7.2999999999999995E-2</v>
      </c>
      <c r="H24" s="24"/>
      <c r="L24" s="432" t="s">
        <v>1179</v>
      </c>
      <c r="M24" s="49">
        <f t="shared" ref="M24:M29" si="0">M25-0.0005</f>
        <v>4.9999999999999975E-3</v>
      </c>
      <c r="O24" s="1" t="s">
        <v>578</v>
      </c>
      <c r="P24" s="1" t="s">
        <v>218</v>
      </c>
      <c r="Q24" s="1" t="s">
        <v>69</v>
      </c>
      <c r="R24" s="54">
        <v>0.151</v>
      </c>
    </row>
    <row r="25" spans="2:18" x14ac:dyDescent="0.25">
      <c r="B25" t="s">
        <v>1060</v>
      </c>
      <c r="C25" s="24">
        <v>0.08</v>
      </c>
      <c r="D25" s="24" t="e">
        <f>IF($C$23&lt;$F$29,$G$29,IF($C$23&lt;$F$30,$G$30,IF($C$23&lt;$F$31,$G$31,IF($C$23&lt;$F$32,$G$32,$G$33))))</f>
        <v>#DIV/0!</v>
      </c>
      <c r="E25" s="90" t="s">
        <v>1068</v>
      </c>
      <c r="F25" s="719"/>
      <c r="G25" s="54">
        <v>6.0999999999999999E-2</v>
      </c>
      <c r="H25" s="24"/>
      <c r="K25" s="817"/>
      <c r="L25" s="432" t="s">
        <v>1180</v>
      </c>
      <c r="M25" s="49">
        <f t="shared" si="0"/>
        <v>5.4999999999999979E-3</v>
      </c>
      <c r="O25" s="1" t="s">
        <v>579</v>
      </c>
      <c r="P25" s="1" t="s">
        <v>272</v>
      </c>
      <c r="Q25" s="1" t="s">
        <v>69</v>
      </c>
      <c r="R25" s="54">
        <v>0.151</v>
      </c>
    </row>
    <row r="26" spans="2:18" x14ac:dyDescent="0.25">
      <c r="B26" t="s">
        <v>1061</v>
      </c>
      <c r="C26" s="24">
        <f>IF($B$20="MDA",$C$24,$C$25)</f>
        <v>0.08</v>
      </c>
      <c r="E26" s="88"/>
      <c r="G26" s="24"/>
      <c r="H26" s="24"/>
      <c r="K26" s="817"/>
      <c r="L26" s="432" t="s">
        <v>1181</v>
      </c>
      <c r="M26" s="49">
        <f t="shared" si="0"/>
        <v>5.9999999999999984E-3</v>
      </c>
      <c r="O26" s="1" t="s">
        <v>580</v>
      </c>
      <c r="P26" s="1" t="s">
        <v>216</v>
      </c>
      <c r="Q26" s="1" t="s">
        <v>4</v>
      </c>
      <c r="R26" s="54">
        <v>6.5000000000000002E-2</v>
      </c>
    </row>
    <row r="27" spans="2:18" x14ac:dyDescent="0.25">
      <c r="B27" t="s">
        <v>498</v>
      </c>
      <c r="C27" s="24">
        <f>'Tracking &amp; Profitability'!$I$34</f>
        <v>0</v>
      </c>
      <c r="E27" s="88"/>
      <c r="K27" s="817"/>
      <c r="L27" s="432" t="s">
        <v>1182</v>
      </c>
      <c r="M27" s="49">
        <f t="shared" si="0"/>
        <v>6.4999999999999988E-3</v>
      </c>
      <c r="O27" s="1" t="s">
        <v>581</v>
      </c>
      <c r="P27" s="1" t="s">
        <v>217</v>
      </c>
      <c r="Q27" s="1" t="s">
        <v>4</v>
      </c>
      <c r="R27" s="54">
        <v>9.2999999999999999E-2</v>
      </c>
    </row>
    <row r="28" spans="2:18" x14ac:dyDescent="0.25">
      <c r="C28" s="24">
        <f>IFERROR(IF($C$27&gt;$C$26,"Approved",C26-C27),0)</f>
        <v>0.08</v>
      </c>
      <c r="E28" s="1257" t="s">
        <v>1058</v>
      </c>
      <c r="F28" s="1257"/>
      <c r="G28" s="1257"/>
      <c r="K28" s="817"/>
      <c r="L28" s="432" t="s">
        <v>1183</v>
      </c>
      <c r="M28" s="49">
        <f t="shared" si="0"/>
        <v>6.9999999999999993E-3</v>
      </c>
      <c r="O28" s="1" t="s">
        <v>582</v>
      </c>
      <c r="P28" s="1" t="s">
        <v>218</v>
      </c>
      <c r="Q28" s="1" t="s">
        <v>4</v>
      </c>
      <c r="R28" s="54">
        <v>0.11600000000000001</v>
      </c>
    </row>
    <row r="29" spans="2:18" x14ac:dyDescent="0.25">
      <c r="E29" s="90" t="s">
        <v>1069</v>
      </c>
      <c r="F29" s="719">
        <v>1500</v>
      </c>
      <c r="G29" s="54">
        <v>8.3000000000000004E-2</v>
      </c>
      <c r="H29" s="24"/>
      <c r="K29" s="817"/>
      <c r="L29" s="432" t="s">
        <v>1184</v>
      </c>
      <c r="M29" s="49">
        <f t="shared" si="0"/>
        <v>7.4999999999999997E-3</v>
      </c>
      <c r="O29" s="1" t="s">
        <v>583</v>
      </c>
      <c r="P29" s="1" t="s">
        <v>272</v>
      </c>
      <c r="Q29" s="1" t="s">
        <v>4</v>
      </c>
      <c r="R29" s="54">
        <v>0.11600000000000001</v>
      </c>
    </row>
    <row r="30" spans="2:18" x14ac:dyDescent="0.25">
      <c r="E30" s="90" t="s">
        <v>1070</v>
      </c>
      <c r="F30" s="719">
        <v>2400</v>
      </c>
      <c r="G30" s="54">
        <v>8.3000000000000004E-2</v>
      </c>
      <c r="H30" s="24"/>
      <c r="K30" s="817"/>
      <c r="L30" s="833" t="s">
        <v>1185</v>
      </c>
      <c r="M30" s="834">
        <v>8.0000000000000002E-3</v>
      </c>
      <c r="O30" s="1" t="s">
        <v>584</v>
      </c>
      <c r="P30" s="1" t="s">
        <v>216</v>
      </c>
      <c r="Q30" s="1" t="s">
        <v>35</v>
      </c>
      <c r="R30" s="54">
        <v>8.6999999999999994E-2</v>
      </c>
    </row>
    <row r="31" spans="2:18" x14ac:dyDescent="0.25">
      <c r="E31" s="90" t="s">
        <v>1071</v>
      </c>
      <c r="F31" s="719">
        <v>4100</v>
      </c>
      <c r="G31" s="54">
        <v>8.3000000000000004E-2</v>
      </c>
      <c r="H31" s="24"/>
      <c r="K31" s="817"/>
      <c r="L31" s="432" t="s">
        <v>1186</v>
      </c>
      <c r="M31" s="49">
        <f>M30+0.0005</f>
        <v>8.5000000000000006E-3</v>
      </c>
      <c r="O31" s="1" t="s">
        <v>585</v>
      </c>
      <c r="P31" s="1" t="s">
        <v>217</v>
      </c>
      <c r="Q31" s="1" t="s">
        <v>35</v>
      </c>
      <c r="R31" s="54">
        <v>8.6999999999999994E-2</v>
      </c>
    </row>
    <row r="32" spans="2:18" x14ac:dyDescent="0.25">
      <c r="E32" s="90" t="s">
        <v>1072</v>
      </c>
      <c r="F32" s="719">
        <v>8000</v>
      </c>
      <c r="G32" s="54">
        <v>8.2000000000000003E-2</v>
      </c>
      <c r="H32" s="24"/>
      <c r="K32" s="817"/>
      <c r="L32" s="432" t="s">
        <v>1187</v>
      </c>
      <c r="M32" s="49">
        <f>M31+0.0005</f>
        <v>9.0000000000000011E-3</v>
      </c>
      <c r="O32" s="1" t="s">
        <v>586</v>
      </c>
      <c r="P32" s="1" t="s">
        <v>218</v>
      </c>
      <c r="Q32" s="1" t="s">
        <v>35</v>
      </c>
      <c r="R32" s="54">
        <v>0.11700000000000001</v>
      </c>
    </row>
    <row r="33" spans="1:18" x14ac:dyDescent="0.25">
      <c r="E33" s="90" t="s">
        <v>1073</v>
      </c>
      <c r="F33" s="719"/>
      <c r="G33" s="54">
        <v>7.9000000000000001E-2</v>
      </c>
      <c r="H33" s="24"/>
      <c r="K33" s="817"/>
      <c r="L33" s="432" t="s">
        <v>1188</v>
      </c>
      <c r="M33" s="49">
        <f t="shared" ref="M33:M42" si="1">M32+0.0005</f>
        <v>9.5000000000000015E-3</v>
      </c>
      <c r="O33" s="1" t="s">
        <v>587</v>
      </c>
      <c r="P33" s="1" t="s">
        <v>272</v>
      </c>
      <c r="Q33" s="1" t="s">
        <v>35</v>
      </c>
      <c r="R33" s="54">
        <v>0.11700000000000001</v>
      </c>
    </row>
    <row r="34" spans="1:18" ht="15.75" thickBot="1" x14ac:dyDescent="0.3">
      <c r="G34" s="24"/>
      <c r="H34" s="24"/>
      <c r="K34" s="817"/>
      <c r="L34" s="432" t="s">
        <v>1189</v>
      </c>
      <c r="M34" s="49">
        <f t="shared" si="1"/>
        <v>1.0000000000000002E-2</v>
      </c>
      <c r="O34" s="1" t="s">
        <v>588</v>
      </c>
      <c r="P34" s="1" t="s">
        <v>216</v>
      </c>
      <c r="Q34" s="1" t="s">
        <v>6</v>
      </c>
      <c r="R34" s="54">
        <v>0.06</v>
      </c>
    </row>
    <row r="35" spans="1:18" ht="15.75" thickBot="1" x14ac:dyDescent="0.3">
      <c r="A35" s="462" t="s">
        <v>978</v>
      </c>
      <c r="K35" s="817"/>
      <c r="L35" s="432" t="s">
        <v>1190</v>
      </c>
      <c r="M35" s="49">
        <f t="shared" si="1"/>
        <v>1.0500000000000002E-2</v>
      </c>
      <c r="O35" s="1" t="s">
        <v>589</v>
      </c>
      <c r="P35" s="1" t="s">
        <v>217</v>
      </c>
      <c r="Q35" s="1" t="s">
        <v>6</v>
      </c>
      <c r="R35" s="54">
        <v>0.106</v>
      </c>
    </row>
    <row r="36" spans="1:18" ht="15.75" thickBot="1" x14ac:dyDescent="0.3">
      <c r="A36" s="458" t="s">
        <v>966</v>
      </c>
      <c r="B36" s="455" t="s">
        <v>931</v>
      </c>
      <c r="C36" s="452" t="s">
        <v>470</v>
      </c>
      <c r="D36" s="452" t="s">
        <v>967</v>
      </c>
      <c r="E36" s="452" t="s">
        <v>970</v>
      </c>
      <c r="F36" s="452" t="s">
        <v>249</v>
      </c>
      <c r="G36" s="452" t="s">
        <v>969</v>
      </c>
      <c r="H36" s="453" t="s">
        <v>976</v>
      </c>
      <c r="I36" s="454" t="s">
        <v>968</v>
      </c>
      <c r="J36" s="453" t="s">
        <v>977</v>
      </c>
      <c r="K36" s="817"/>
      <c r="L36" s="432" t="s">
        <v>1191</v>
      </c>
      <c r="M36" s="49">
        <f t="shared" si="1"/>
        <v>1.1000000000000003E-2</v>
      </c>
      <c r="O36" s="1" t="s">
        <v>590</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1192</v>
      </c>
      <c r="M37" s="49">
        <f t="shared" si="1"/>
        <v>1.1500000000000003E-2</v>
      </c>
      <c r="O37" s="1" t="s">
        <v>591</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1193</v>
      </c>
      <c r="M38" s="49">
        <f t="shared" si="1"/>
        <v>1.2000000000000004E-2</v>
      </c>
      <c r="O38" s="1" t="s">
        <v>592</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1194</v>
      </c>
      <c r="M39" s="49">
        <f t="shared" si="1"/>
        <v>1.2500000000000004E-2</v>
      </c>
      <c r="O39" s="1" t="s">
        <v>593</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1195</v>
      </c>
      <c r="M40" s="49">
        <f t="shared" si="1"/>
        <v>1.3000000000000005E-2</v>
      </c>
      <c r="O40" s="1" t="s">
        <v>594</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1196</v>
      </c>
      <c r="M41" s="49">
        <f t="shared" si="1"/>
        <v>1.3500000000000005E-2</v>
      </c>
      <c r="O41" s="1" t="s">
        <v>595</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1197</v>
      </c>
      <c r="M42" s="49">
        <f t="shared" si="1"/>
        <v>1.4000000000000005E-2</v>
      </c>
      <c r="O42" s="1" t="s">
        <v>596</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597</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598</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599</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600</v>
      </c>
      <c r="P46" s="1" t="s">
        <v>216</v>
      </c>
      <c r="Q46" s="1" t="s">
        <v>45</v>
      </c>
      <c r="R46" s="54">
        <v>5.1999999999999998E-2</v>
      </c>
    </row>
    <row r="47" spans="1:18" ht="15.75" thickBot="1" x14ac:dyDescent="0.3">
      <c r="I47" s="463">
        <f>SUM(I37:I46)</f>
        <v>0</v>
      </c>
      <c r="J47" s="464">
        <f>SUM(J37:J46)</f>
        <v>0</v>
      </c>
      <c r="O47" s="1" t="s">
        <v>601</v>
      </c>
      <c r="P47" s="1" t="s">
        <v>217</v>
      </c>
      <c r="Q47" s="1" t="s">
        <v>45</v>
      </c>
      <c r="R47" s="54">
        <v>6.3E-2</v>
      </c>
    </row>
    <row r="48" spans="1:18" x14ac:dyDescent="0.25">
      <c r="O48" s="1" t="s">
        <v>602</v>
      </c>
      <c r="P48" s="1" t="s">
        <v>218</v>
      </c>
      <c r="Q48" s="1" t="s">
        <v>45</v>
      </c>
      <c r="R48" s="54">
        <v>0.115</v>
      </c>
    </row>
    <row r="49" spans="4:18" x14ac:dyDescent="0.25">
      <c r="O49" s="1" t="s">
        <v>603</v>
      </c>
      <c r="P49" s="1" t="s">
        <v>272</v>
      </c>
      <c r="Q49" s="1" t="s">
        <v>45</v>
      </c>
      <c r="R49" s="54">
        <v>0.115</v>
      </c>
    </row>
    <row r="50" spans="4:18" x14ac:dyDescent="0.25">
      <c r="O50" s="1" t="s">
        <v>604</v>
      </c>
      <c r="P50" s="1" t="s">
        <v>216</v>
      </c>
      <c r="Q50" s="1" t="s">
        <v>263</v>
      </c>
      <c r="R50" s="54">
        <v>5.9000000000000004E-2</v>
      </c>
    </row>
    <row r="51" spans="4:18" x14ac:dyDescent="0.25">
      <c r="O51" s="1" t="s">
        <v>605</v>
      </c>
      <c r="P51" s="1" t="s">
        <v>217</v>
      </c>
      <c r="Q51" s="1" t="s">
        <v>263</v>
      </c>
      <c r="R51" s="54">
        <v>9.9000000000000005E-2</v>
      </c>
    </row>
    <row r="52" spans="4:18" x14ac:dyDescent="0.25">
      <c r="O52" s="1" t="s">
        <v>606</v>
      </c>
      <c r="P52" s="1" t="s">
        <v>218</v>
      </c>
      <c r="Q52" s="1" t="s">
        <v>263</v>
      </c>
      <c r="R52" s="54">
        <v>0.11900000000000001</v>
      </c>
    </row>
    <row r="53" spans="4:18" x14ac:dyDescent="0.25">
      <c r="O53" s="1" t="s">
        <v>607</v>
      </c>
      <c r="P53" s="1" t="s">
        <v>272</v>
      </c>
      <c r="Q53" s="1" t="s">
        <v>263</v>
      </c>
      <c r="R53" s="54">
        <v>0.15</v>
      </c>
    </row>
    <row r="54" spans="4:18" x14ac:dyDescent="0.25">
      <c r="D54" s="62"/>
      <c r="H54" s="832"/>
      <c r="O54" s="1" t="s">
        <v>608</v>
      </c>
      <c r="P54" s="1" t="s">
        <v>216</v>
      </c>
      <c r="Q54" s="1" t="s">
        <v>48</v>
      </c>
      <c r="R54" s="54">
        <v>5.8999999999999997E-2</v>
      </c>
    </row>
    <row r="55" spans="4:18" x14ac:dyDescent="0.25">
      <c r="E55" s="42"/>
      <c r="G55" s="62"/>
      <c r="O55" s="1" t="s">
        <v>609</v>
      </c>
      <c r="P55" s="1" t="s">
        <v>217</v>
      </c>
      <c r="Q55" s="1" t="s">
        <v>48</v>
      </c>
      <c r="R55" s="54">
        <v>9.9000000000000005E-2</v>
      </c>
    </row>
    <row r="56" spans="4:18" x14ac:dyDescent="0.25">
      <c r="D56" s="42"/>
      <c r="O56" s="1" t="s">
        <v>610</v>
      </c>
      <c r="P56" s="1" t="s">
        <v>218</v>
      </c>
      <c r="Q56" s="1" t="s">
        <v>48</v>
      </c>
      <c r="R56" s="54">
        <v>0.13900000000000001</v>
      </c>
    </row>
    <row r="57" spans="4:18" x14ac:dyDescent="0.25">
      <c r="O57" s="1" t="s">
        <v>611</v>
      </c>
      <c r="P57" s="1" t="s">
        <v>272</v>
      </c>
      <c r="Q57" s="1" t="s">
        <v>48</v>
      </c>
      <c r="R57" s="54">
        <v>0.13900000000000001</v>
      </c>
    </row>
    <row r="58" spans="4:18" x14ac:dyDescent="0.25">
      <c r="O58" s="1" t="s">
        <v>612</v>
      </c>
      <c r="P58" s="1" t="s">
        <v>216</v>
      </c>
      <c r="Q58" s="1" t="s">
        <v>264</v>
      </c>
      <c r="R58" s="54">
        <v>5.9000000000000004E-2</v>
      </c>
    </row>
    <row r="59" spans="4:18" x14ac:dyDescent="0.25">
      <c r="O59" s="1" t="s">
        <v>613</v>
      </c>
      <c r="P59" s="1" t="s">
        <v>217</v>
      </c>
      <c r="Q59" s="1" t="s">
        <v>264</v>
      </c>
      <c r="R59" s="54">
        <v>9.9000000000000005E-2</v>
      </c>
    </row>
    <row r="60" spans="4:18" x14ac:dyDescent="0.25">
      <c r="O60" s="1" t="s">
        <v>614</v>
      </c>
      <c r="P60" s="1" t="s">
        <v>218</v>
      </c>
      <c r="Q60" s="1" t="s">
        <v>264</v>
      </c>
      <c r="R60" s="54">
        <v>0.11900000000000001</v>
      </c>
    </row>
    <row r="61" spans="4:18" x14ac:dyDescent="0.25">
      <c r="O61" s="1" t="s">
        <v>615</v>
      </c>
      <c r="P61" s="1" t="s">
        <v>272</v>
      </c>
      <c r="Q61" s="1" t="s">
        <v>264</v>
      </c>
      <c r="R61" s="54">
        <v>0.15</v>
      </c>
    </row>
    <row r="62" spans="4:18" x14ac:dyDescent="0.25">
      <c r="O62" s="1" t="s">
        <v>616</v>
      </c>
      <c r="P62" s="1" t="s">
        <v>216</v>
      </c>
      <c r="Q62" s="1" t="s">
        <v>265</v>
      </c>
      <c r="R62" s="54">
        <v>5.9000000000000004E-2</v>
      </c>
    </row>
    <row r="63" spans="4:18" x14ac:dyDescent="0.25">
      <c r="O63" s="1" t="s">
        <v>617</v>
      </c>
      <c r="P63" s="1" t="s">
        <v>217</v>
      </c>
      <c r="Q63" s="1" t="s">
        <v>265</v>
      </c>
      <c r="R63" s="54">
        <v>9.9000000000000005E-2</v>
      </c>
    </row>
    <row r="64" spans="4:18" x14ac:dyDescent="0.25">
      <c r="O64" s="1" t="s">
        <v>618</v>
      </c>
      <c r="P64" s="1" t="s">
        <v>218</v>
      </c>
      <c r="Q64" s="1" t="s">
        <v>265</v>
      </c>
      <c r="R64" s="54">
        <v>0.11900000000000001</v>
      </c>
    </row>
    <row r="65" spans="15:18" x14ac:dyDescent="0.25">
      <c r="O65" s="1" t="s">
        <v>619</v>
      </c>
      <c r="P65" s="1" t="s">
        <v>272</v>
      </c>
      <c r="Q65" s="1" t="s">
        <v>265</v>
      </c>
      <c r="R65" s="54">
        <v>0.15</v>
      </c>
    </row>
    <row r="66" spans="15:18" x14ac:dyDescent="0.25">
      <c r="O66" s="1" t="s">
        <v>620</v>
      </c>
      <c r="P66" s="1" t="s">
        <v>216</v>
      </c>
      <c r="Q66" s="1" t="s">
        <v>266</v>
      </c>
      <c r="R66" s="54">
        <v>5.0999999999999997E-2</v>
      </c>
    </row>
    <row r="67" spans="15:18" x14ac:dyDescent="0.25">
      <c r="O67" s="1" t="s">
        <v>621</v>
      </c>
      <c r="P67" s="1" t="s">
        <v>217</v>
      </c>
      <c r="Q67" s="1" t="s">
        <v>266</v>
      </c>
      <c r="R67" s="54">
        <v>0.108</v>
      </c>
    </row>
    <row r="68" spans="15:18" x14ac:dyDescent="0.25">
      <c r="O68" s="1" t="s">
        <v>622</v>
      </c>
      <c r="P68" s="1" t="s">
        <v>218</v>
      </c>
      <c r="Q68" s="1" t="s">
        <v>266</v>
      </c>
      <c r="R68" s="54">
        <v>0.121</v>
      </c>
    </row>
    <row r="69" spans="15:18" x14ac:dyDescent="0.25">
      <c r="O69" s="1" t="s">
        <v>623</v>
      </c>
      <c r="P69" s="1" t="s">
        <v>272</v>
      </c>
      <c r="Q69" s="1" t="s">
        <v>266</v>
      </c>
      <c r="R69" s="54">
        <v>0.155</v>
      </c>
    </row>
    <row r="70" spans="15:18" x14ac:dyDescent="0.25">
      <c r="O70" s="1" t="s">
        <v>624</v>
      </c>
      <c r="P70" s="1" t="s">
        <v>216</v>
      </c>
      <c r="Q70" s="1" t="s">
        <v>60</v>
      </c>
      <c r="R70" s="54">
        <v>5.0999999999999997E-2</v>
      </c>
    </row>
    <row r="71" spans="15:18" x14ac:dyDescent="0.25">
      <c r="O71" s="1" t="s">
        <v>625</v>
      </c>
      <c r="P71" s="1" t="s">
        <v>217</v>
      </c>
      <c r="Q71" s="1" t="s">
        <v>60</v>
      </c>
      <c r="R71" s="54">
        <v>0.108</v>
      </c>
    </row>
    <row r="72" spans="15:18" x14ac:dyDescent="0.25">
      <c r="O72" s="1" t="s">
        <v>626</v>
      </c>
      <c r="P72" s="1" t="s">
        <v>218</v>
      </c>
      <c r="Q72" s="1" t="s">
        <v>60</v>
      </c>
      <c r="R72" s="54">
        <v>0.121</v>
      </c>
    </row>
    <row r="73" spans="15:18" x14ac:dyDescent="0.25">
      <c r="O73" s="1" t="s">
        <v>627</v>
      </c>
      <c r="P73" s="1" t="s">
        <v>272</v>
      </c>
      <c r="Q73" s="1" t="s">
        <v>60</v>
      </c>
      <c r="R73" s="54">
        <v>0.155</v>
      </c>
    </row>
    <row r="74" spans="15:18" x14ac:dyDescent="0.25">
      <c r="O74" s="1" t="s">
        <v>628</v>
      </c>
      <c r="P74" s="1" t="s">
        <v>216</v>
      </c>
      <c r="Q74" s="1" t="s">
        <v>20</v>
      </c>
      <c r="R74" s="54">
        <v>7.0999999999999994E-2</v>
      </c>
    </row>
    <row r="75" spans="15:18" x14ac:dyDescent="0.25">
      <c r="O75" s="1" t="s">
        <v>629</v>
      </c>
      <c r="P75" s="1" t="s">
        <v>217</v>
      </c>
      <c r="Q75" s="1" t="s">
        <v>20</v>
      </c>
      <c r="R75" s="54">
        <v>8.7999999999999995E-2</v>
      </c>
    </row>
    <row r="76" spans="15:18" x14ac:dyDescent="0.25">
      <c r="O76" s="1" t="s">
        <v>630</v>
      </c>
      <c r="P76" s="1" t="s">
        <v>218</v>
      </c>
      <c r="Q76" s="1" t="s">
        <v>20</v>
      </c>
      <c r="R76" s="54">
        <v>0.107</v>
      </c>
    </row>
    <row r="77" spans="15:18" x14ac:dyDescent="0.25">
      <c r="O77" s="1" t="s">
        <v>631</v>
      </c>
      <c r="P77" s="1" t="s">
        <v>272</v>
      </c>
      <c r="Q77" s="1" t="s">
        <v>20</v>
      </c>
      <c r="R77" s="54">
        <v>0.107</v>
      </c>
    </row>
    <row r="78" spans="15:18" x14ac:dyDescent="0.25">
      <c r="O78" s="1" t="s">
        <v>632</v>
      </c>
      <c r="P78" s="1" t="s">
        <v>216</v>
      </c>
      <c r="Q78" s="1" t="s">
        <v>267</v>
      </c>
      <c r="R78" s="54">
        <v>5.9000000000000004E-2</v>
      </c>
    </row>
    <row r="79" spans="15:18" x14ac:dyDescent="0.25">
      <c r="O79" s="1" t="s">
        <v>633</v>
      </c>
      <c r="P79" s="1" t="s">
        <v>217</v>
      </c>
      <c r="Q79" s="1" t="s">
        <v>267</v>
      </c>
      <c r="R79" s="54">
        <v>9.9000000000000005E-2</v>
      </c>
    </row>
    <row r="80" spans="15:18" x14ac:dyDescent="0.25">
      <c r="O80" s="1" t="s">
        <v>634</v>
      </c>
      <c r="P80" s="1" t="s">
        <v>218</v>
      </c>
      <c r="Q80" s="1" t="s">
        <v>267</v>
      </c>
      <c r="R80" s="54">
        <v>0.11900000000000001</v>
      </c>
    </row>
    <row r="81" spans="15:18" x14ac:dyDescent="0.25">
      <c r="O81" s="1" t="s">
        <v>635</v>
      </c>
      <c r="P81" s="1" t="s">
        <v>272</v>
      </c>
      <c r="Q81" s="1" t="s">
        <v>267</v>
      </c>
      <c r="R81" s="54">
        <v>0.15</v>
      </c>
    </row>
    <row r="82" spans="15:18" x14ac:dyDescent="0.25">
      <c r="O82" s="1" t="s">
        <v>636</v>
      </c>
      <c r="P82" s="1" t="s">
        <v>216</v>
      </c>
      <c r="Q82" s="1" t="s">
        <v>268</v>
      </c>
      <c r="R82" s="54">
        <v>5.9000000000000004E-2</v>
      </c>
    </row>
    <row r="83" spans="15:18" x14ac:dyDescent="0.25">
      <c r="O83" s="1" t="s">
        <v>637</v>
      </c>
      <c r="P83" s="1" t="s">
        <v>217</v>
      </c>
      <c r="Q83" s="1" t="s">
        <v>268</v>
      </c>
      <c r="R83" s="54">
        <v>9.9000000000000005E-2</v>
      </c>
    </row>
    <row r="84" spans="15:18" x14ac:dyDescent="0.25">
      <c r="O84" s="1" t="s">
        <v>638</v>
      </c>
      <c r="P84" s="1" t="s">
        <v>218</v>
      </c>
      <c r="Q84" s="1" t="s">
        <v>268</v>
      </c>
      <c r="R84" s="54">
        <v>0.11900000000000001</v>
      </c>
    </row>
    <row r="85" spans="15:18" x14ac:dyDescent="0.25">
      <c r="O85" s="1" t="s">
        <v>639</v>
      </c>
      <c r="P85" s="1" t="s">
        <v>272</v>
      </c>
      <c r="Q85" s="1" t="s">
        <v>268</v>
      </c>
      <c r="R85" s="54">
        <v>0.15</v>
      </c>
    </row>
    <row r="86" spans="15:18" x14ac:dyDescent="0.25">
      <c r="O86" s="1" t="s">
        <v>640</v>
      </c>
      <c r="P86" s="1" t="s">
        <v>216</v>
      </c>
      <c r="Q86" s="1" t="s">
        <v>36</v>
      </c>
      <c r="R86" s="54">
        <v>4.3999999999999997E-2</v>
      </c>
    </row>
    <row r="87" spans="15:18" x14ac:dyDescent="0.25">
      <c r="O87" s="1" t="s">
        <v>641</v>
      </c>
      <c r="P87" s="1" t="s">
        <v>217</v>
      </c>
      <c r="Q87" s="1" t="s">
        <v>36</v>
      </c>
      <c r="R87" s="54">
        <v>8.6999999999999994E-2</v>
      </c>
    </row>
    <row r="88" spans="15:18" x14ac:dyDescent="0.25">
      <c r="O88" s="1" t="s">
        <v>642</v>
      </c>
      <c r="P88" s="1" t="s">
        <v>218</v>
      </c>
      <c r="Q88" s="1" t="s">
        <v>36</v>
      </c>
      <c r="R88" s="54">
        <v>9.2999999999999999E-2</v>
      </c>
    </row>
    <row r="89" spans="15:18" x14ac:dyDescent="0.25">
      <c r="O89" s="1" t="s">
        <v>643</v>
      </c>
      <c r="P89" s="1" t="s">
        <v>272</v>
      </c>
      <c r="Q89" s="1" t="s">
        <v>36</v>
      </c>
      <c r="R89" s="54">
        <v>0.14899999999999999</v>
      </c>
    </row>
    <row r="90" spans="15:18" x14ac:dyDescent="0.25">
      <c r="O90" s="1" t="s">
        <v>644</v>
      </c>
      <c r="P90" s="1" t="s">
        <v>216</v>
      </c>
      <c r="Q90" s="1" t="s">
        <v>71</v>
      </c>
      <c r="R90" s="54">
        <v>5.9000000000000004E-2</v>
      </c>
    </row>
    <row r="91" spans="15:18" x14ac:dyDescent="0.25">
      <c r="O91" s="1" t="s">
        <v>645</v>
      </c>
      <c r="P91" s="1" t="s">
        <v>217</v>
      </c>
      <c r="Q91" s="1" t="s">
        <v>71</v>
      </c>
      <c r="R91" s="54">
        <v>9.9000000000000005E-2</v>
      </c>
    </row>
    <row r="92" spans="15:18" x14ac:dyDescent="0.25">
      <c r="O92" s="1" t="s">
        <v>646</v>
      </c>
      <c r="P92" s="1" t="s">
        <v>218</v>
      </c>
      <c r="Q92" s="1" t="s">
        <v>71</v>
      </c>
      <c r="R92" s="54">
        <v>0.11900000000000001</v>
      </c>
    </row>
    <row r="93" spans="15:18" x14ac:dyDescent="0.25">
      <c r="O93" s="1" t="s">
        <v>647</v>
      </c>
      <c r="P93" s="1" t="s">
        <v>272</v>
      </c>
      <c r="Q93" s="1" t="s">
        <v>71</v>
      </c>
      <c r="R93" s="54">
        <v>0.15</v>
      </c>
    </row>
    <row r="94" spans="15:18" x14ac:dyDescent="0.25">
      <c r="O94" s="1" t="s">
        <v>648</v>
      </c>
      <c r="P94" s="1" t="s">
        <v>216</v>
      </c>
      <c r="Q94" s="1" t="s">
        <v>11</v>
      </c>
      <c r="R94" s="54">
        <v>6.2E-2</v>
      </c>
    </row>
    <row r="95" spans="15:18" x14ac:dyDescent="0.25">
      <c r="O95" s="1" t="s">
        <v>649</v>
      </c>
      <c r="P95" s="1" t="s">
        <v>217</v>
      </c>
      <c r="Q95" s="1" t="s">
        <v>11</v>
      </c>
      <c r="R95" s="54">
        <v>9.4E-2</v>
      </c>
    </row>
    <row r="96" spans="15:18" x14ac:dyDescent="0.25">
      <c r="O96" s="1" t="s">
        <v>650</v>
      </c>
      <c r="P96" s="1" t="s">
        <v>218</v>
      </c>
      <c r="Q96" s="1" t="s">
        <v>11</v>
      </c>
      <c r="R96" s="54">
        <v>0.112</v>
      </c>
    </row>
    <row r="97" spans="15:18" x14ac:dyDescent="0.25">
      <c r="O97" s="1" t="s">
        <v>651</v>
      </c>
      <c r="P97" s="1" t="s">
        <v>272</v>
      </c>
      <c r="Q97" s="1" t="s">
        <v>11</v>
      </c>
      <c r="R97" s="54">
        <v>0.112</v>
      </c>
    </row>
    <row r="98" spans="15:18" x14ac:dyDescent="0.25">
      <c r="O98" s="1" t="s">
        <v>652</v>
      </c>
      <c r="P98" s="1" t="s">
        <v>216</v>
      </c>
      <c r="Q98" s="1" t="s">
        <v>269</v>
      </c>
      <c r="R98" s="54">
        <v>5.9000000000000004E-2</v>
      </c>
    </row>
    <row r="99" spans="15:18" x14ac:dyDescent="0.25">
      <c r="O99" s="1" t="s">
        <v>653</v>
      </c>
      <c r="P99" s="1" t="s">
        <v>217</v>
      </c>
      <c r="Q99" s="1" t="s">
        <v>269</v>
      </c>
      <c r="R99" s="54">
        <v>9.9000000000000005E-2</v>
      </c>
    </row>
    <row r="100" spans="15:18" x14ac:dyDescent="0.25">
      <c r="O100" s="1" t="s">
        <v>654</v>
      </c>
      <c r="P100" s="1" t="s">
        <v>218</v>
      </c>
      <c r="Q100" s="1" t="s">
        <v>269</v>
      </c>
      <c r="R100" s="54">
        <v>0.11900000000000001</v>
      </c>
    </row>
    <row r="101" spans="15:18" x14ac:dyDescent="0.25">
      <c r="O101" s="1" t="s">
        <v>655</v>
      </c>
      <c r="P101" s="1" t="s">
        <v>272</v>
      </c>
      <c r="Q101" s="1" t="s">
        <v>269</v>
      </c>
      <c r="R101" s="54">
        <v>0.15</v>
      </c>
    </row>
    <row r="102" spans="15:18" x14ac:dyDescent="0.25">
      <c r="O102" s="1" t="s">
        <v>656</v>
      </c>
      <c r="P102" s="1" t="s">
        <v>216</v>
      </c>
      <c r="Q102" s="1" t="s">
        <v>270</v>
      </c>
      <c r="R102" s="54">
        <v>5.9000000000000004E-2</v>
      </c>
    </row>
    <row r="103" spans="15:18" x14ac:dyDescent="0.25">
      <c r="O103" s="1" t="s">
        <v>657</v>
      </c>
      <c r="P103" s="1" t="s">
        <v>217</v>
      </c>
      <c r="Q103" s="1" t="s">
        <v>270</v>
      </c>
      <c r="R103" s="54">
        <v>9.9000000000000005E-2</v>
      </c>
    </row>
    <row r="104" spans="15:18" x14ac:dyDescent="0.25">
      <c r="O104" s="1" t="s">
        <v>658</v>
      </c>
      <c r="P104" s="1" t="s">
        <v>218</v>
      </c>
      <c r="Q104" s="1" t="s">
        <v>270</v>
      </c>
      <c r="R104" s="54">
        <v>0.11900000000000001</v>
      </c>
    </row>
    <row r="105" spans="15:18" x14ac:dyDescent="0.25">
      <c r="O105" s="1" t="s">
        <v>659</v>
      </c>
      <c r="P105" s="1" t="s">
        <v>272</v>
      </c>
      <c r="Q105" s="1" t="s">
        <v>270</v>
      </c>
      <c r="R105" s="54">
        <v>0.15</v>
      </c>
    </row>
    <row r="106" spans="15:18" x14ac:dyDescent="0.25">
      <c r="O106" s="1" t="s">
        <v>660</v>
      </c>
      <c r="P106" s="1" t="s">
        <v>216</v>
      </c>
      <c r="Q106" s="1" t="s">
        <v>9</v>
      </c>
      <c r="R106" s="54">
        <v>5.0999999999999997E-2</v>
      </c>
    </row>
    <row r="107" spans="15:18" x14ac:dyDescent="0.25">
      <c r="O107" s="1" t="s">
        <v>661</v>
      </c>
      <c r="P107" s="1" t="s">
        <v>217</v>
      </c>
      <c r="Q107" s="1" t="s">
        <v>9</v>
      </c>
      <c r="R107" s="54">
        <v>0.10100000000000001</v>
      </c>
    </row>
    <row r="108" spans="15:18" x14ac:dyDescent="0.25">
      <c r="O108" s="1" t="s">
        <v>662</v>
      </c>
      <c r="P108" s="1" t="s">
        <v>218</v>
      </c>
      <c r="Q108" s="1" t="s">
        <v>9</v>
      </c>
      <c r="R108" s="54">
        <v>0.14199999999999999</v>
      </c>
    </row>
    <row r="109" spans="15:18" x14ac:dyDescent="0.25">
      <c r="O109" s="1" t="s">
        <v>663</v>
      </c>
      <c r="P109" s="1" t="s">
        <v>272</v>
      </c>
      <c r="Q109" s="1" t="s">
        <v>9</v>
      </c>
      <c r="R109" s="54">
        <v>0.14199999999999999</v>
      </c>
    </row>
    <row r="110" spans="15:18" x14ac:dyDescent="0.25">
      <c r="O110" s="1" t="s">
        <v>664</v>
      </c>
      <c r="P110" s="1" t="s">
        <v>216</v>
      </c>
      <c r="Q110" s="1" t="s">
        <v>38</v>
      </c>
      <c r="R110" s="54">
        <v>6.5000000000000002E-2</v>
      </c>
    </row>
    <row r="111" spans="15:18" x14ac:dyDescent="0.25">
      <c r="O111" s="1" t="s">
        <v>665</v>
      </c>
      <c r="P111" s="1" t="s">
        <v>217</v>
      </c>
      <c r="Q111" s="1" t="s">
        <v>38</v>
      </c>
      <c r="R111" s="54">
        <v>0.09</v>
      </c>
    </row>
    <row r="112" spans="15:18" x14ac:dyDescent="0.25">
      <c r="O112" s="1" t="s">
        <v>666</v>
      </c>
      <c r="P112" s="1" t="s">
        <v>218</v>
      </c>
      <c r="Q112" s="1" t="s">
        <v>38</v>
      </c>
      <c r="R112" s="54">
        <v>0.09</v>
      </c>
    </row>
    <row r="113" spans="15:18" x14ac:dyDescent="0.25">
      <c r="O113" s="1" t="s">
        <v>667</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1" t="s">
        <v>863</v>
      </c>
      <c r="O1" s="1261"/>
      <c r="P1">
        <f>COUNTIF($AT$1:$DX$1,"New Location")</f>
        <v>0</v>
      </c>
      <c r="AT1" s="90" t="s">
        <v>827</v>
      </c>
      <c r="AU1" s="91">
        <f>'Customer Inputs'!$G$6</f>
        <v>0</v>
      </c>
      <c r="BC1" s="90" t="s">
        <v>828</v>
      </c>
      <c r="BD1" s="91">
        <f>'Customer Inputs'!$G$7</f>
        <v>0</v>
      </c>
      <c r="BL1" s="90" t="s">
        <v>829</v>
      </c>
      <c r="BM1" s="91">
        <f>'Customer Inputs'!$G$8</f>
        <v>0</v>
      </c>
      <c r="BU1" s="90" t="s">
        <v>830</v>
      </c>
      <c r="BV1" s="396">
        <f>'Customer Inputs'!$G$9</f>
        <v>0</v>
      </c>
      <c r="CD1" s="90" t="s">
        <v>831</v>
      </c>
      <c r="CE1" s="91">
        <f>'Customer Inputs'!$G$10</f>
        <v>0</v>
      </c>
      <c r="CM1" s="90" t="s">
        <v>832</v>
      </c>
      <c r="CN1" s="91">
        <f>'Customer Inputs'!$G$11</f>
        <v>0</v>
      </c>
      <c r="CV1" s="90" t="s">
        <v>833</v>
      </c>
      <c r="CW1" s="91">
        <f>'Customer Inputs'!$G$12</f>
        <v>0</v>
      </c>
      <c r="DE1" s="90" t="s">
        <v>834</v>
      </c>
      <c r="DF1" s="91">
        <f>'Customer Inputs'!$G$13</f>
        <v>0</v>
      </c>
      <c r="DN1" s="90" t="s">
        <v>835</v>
      </c>
      <c r="DO1" s="91">
        <f>'Customer Inputs'!$G$14</f>
        <v>0</v>
      </c>
      <c r="DW1" s="90" t="s">
        <v>836</v>
      </c>
      <c r="DX1" s="91">
        <f>'Customer Inputs'!$G$15</f>
        <v>0</v>
      </c>
    </row>
    <row r="2" spans="2:150" x14ac:dyDescent="0.25">
      <c r="N2" s="88"/>
      <c r="O2" s="88"/>
      <c r="AT2" s="88" t="s">
        <v>933</v>
      </c>
      <c r="AU2" s="91" t="str">
        <f>'Customer Inputs'!$I$6</f>
        <v/>
      </c>
      <c r="BC2" s="88" t="s">
        <v>933</v>
      </c>
      <c r="BD2" s="91" t="str">
        <f>'Customer Inputs'!$I$7</f>
        <v/>
      </c>
      <c r="BL2" s="88" t="s">
        <v>933</v>
      </c>
      <c r="BM2" s="91" t="str">
        <f>'Customer Inputs'!$I$8</f>
        <v/>
      </c>
      <c r="BU2" s="88" t="s">
        <v>933</v>
      </c>
      <c r="BV2" s="91" t="str">
        <f>'Customer Inputs'!$I$9</f>
        <v/>
      </c>
      <c r="CD2" s="88" t="s">
        <v>933</v>
      </c>
      <c r="CE2" s="91" t="str">
        <f>'Customer Inputs'!$I$10</f>
        <v/>
      </c>
      <c r="CM2" s="88" t="s">
        <v>933</v>
      </c>
      <c r="CN2" s="91" t="str">
        <f>'Customer Inputs'!$I$11</f>
        <v/>
      </c>
      <c r="CV2" s="88" t="s">
        <v>933</v>
      </c>
      <c r="CW2" s="91" t="str">
        <f>'Customer Inputs'!$I$12</f>
        <v/>
      </c>
      <c r="DE2" s="88" t="s">
        <v>933</v>
      </c>
      <c r="DF2" s="91" t="str">
        <f>'Customer Inputs'!$I$13</f>
        <v/>
      </c>
      <c r="DN2" s="88" t="s">
        <v>933</v>
      </c>
      <c r="DO2" s="91" t="str">
        <f>'Customer Inputs'!$I$14</f>
        <v/>
      </c>
      <c r="DW2" s="88" t="s">
        <v>933</v>
      </c>
      <c r="DX2" s="91" t="str">
        <f>'Customer Inputs'!$I$15</f>
        <v/>
      </c>
    </row>
    <row r="3" spans="2:150" x14ac:dyDescent="0.25">
      <c r="N3" s="88"/>
      <c r="O3" s="88"/>
      <c r="AT3" s="88" t="s">
        <v>934</v>
      </c>
      <c r="AU3" s="91">
        <f>'Customer Inputs'!$N$6</f>
        <v>0</v>
      </c>
      <c r="BC3" s="88" t="s">
        <v>934</v>
      </c>
      <c r="BD3" s="91">
        <f>'Customer Inputs'!$N$7</f>
        <v>0</v>
      </c>
      <c r="BL3" s="88" t="s">
        <v>934</v>
      </c>
      <c r="BM3" s="91">
        <f>'Customer Inputs'!$N$8</f>
        <v>0</v>
      </c>
      <c r="BU3" s="88" t="s">
        <v>934</v>
      </c>
      <c r="BV3" s="91">
        <f>'Customer Inputs'!$N$9</f>
        <v>0</v>
      </c>
      <c r="CD3" s="88" t="s">
        <v>934</v>
      </c>
      <c r="CE3" s="91">
        <f>'Customer Inputs'!$N$10</f>
        <v>0</v>
      </c>
      <c r="CM3" s="88" t="s">
        <v>934</v>
      </c>
      <c r="CN3" s="91">
        <f>'Customer Inputs'!$N$11</f>
        <v>0</v>
      </c>
      <c r="CV3" s="88" t="s">
        <v>934</v>
      </c>
      <c r="CW3" s="91">
        <f>'Customer Inputs'!$N$12</f>
        <v>0</v>
      </c>
      <c r="DE3" s="88" t="s">
        <v>934</v>
      </c>
      <c r="DF3" s="91">
        <f>'Customer Inputs'!$N$13</f>
        <v>0</v>
      </c>
      <c r="DN3" s="88" t="s">
        <v>934</v>
      </c>
      <c r="DO3" s="91">
        <f>'Customer Inputs'!$N$14</f>
        <v>0</v>
      </c>
      <c r="DW3" s="88" t="s">
        <v>934</v>
      </c>
      <c r="DX3" s="91">
        <f>'Customer Inputs'!$N$15</f>
        <v>0</v>
      </c>
    </row>
    <row r="4" spans="2:150" x14ac:dyDescent="0.25">
      <c r="N4" s="88"/>
      <c r="O4" s="88"/>
      <c r="AT4" s="88" t="s">
        <v>937</v>
      </c>
      <c r="AU4" s="397" t="e">
        <f>AU3/AU2</f>
        <v>#VALUE!</v>
      </c>
      <c r="BC4" s="88" t="s">
        <v>937</v>
      </c>
      <c r="BD4" s="397" t="e">
        <f>BD3/BD2</f>
        <v>#VALUE!</v>
      </c>
      <c r="BL4" s="88" t="s">
        <v>937</v>
      </c>
      <c r="BM4" s="397" t="e">
        <f>BM3/BM2</f>
        <v>#VALUE!</v>
      </c>
      <c r="BU4" s="88" t="s">
        <v>937</v>
      </c>
      <c r="BV4" s="397" t="e">
        <f>BV3/BV2</f>
        <v>#VALUE!</v>
      </c>
      <c r="CD4" s="88" t="s">
        <v>937</v>
      </c>
      <c r="CE4" s="397" t="e">
        <f>CE3/CE2</f>
        <v>#VALUE!</v>
      </c>
      <c r="CM4" s="88" t="s">
        <v>937</v>
      </c>
      <c r="CN4" s="397" t="e">
        <f>CN3/CN2</f>
        <v>#VALUE!</v>
      </c>
      <c r="CV4" s="88" t="s">
        <v>937</v>
      </c>
      <c r="CW4" s="397" t="e">
        <f>CW3/CW2</f>
        <v>#VALUE!</v>
      </c>
      <c r="DE4" s="88" t="s">
        <v>937</v>
      </c>
      <c r="DF4" s="397" t="e">
        <f>DF3/DF2</f>
        <v>#VALUE!</v>
      </c>
      <c r="DN4" s="88" t="s">
        <v>937</v>
      </c>
      <c r="DO4" s="397" t="e">
        <f>DO3/DO2</f>
        <v>#VALUE!</v>
      </c>
      <c r="DW4" s="88" t="s">
        <v>937</v>
      </c>
      <c r="DX4" s="397" t="e">
        <f>DX3/DX2</f>
        <v>#VALUE!</v>
      </c>
    </row>
    <row r="5" spans="2:150" x14ac:dyDescent="0.25">
      <c r="N5" s="1261" t="s">
        <v>864</v>
      </c>
      <c r="O5" s="1261"/>
      <c r="P5">
        <f>COUNT(AU1,BD1,BM1,BV1,CE1,CN1,CW1,DF1,DO1,DX1)</f>
        <v>10</v>
      </c>
      <c r="AT5" s="88" t="s">
        <v>965</v>
      </c>
      <c r="AU5">
        <f>IFERROR(VLOOKUP(AU$1,'Existing Customers'!$A:$F,6,FALSE),AU6)</f>
        <v>0</v>
      </c>
      <c r="BC5" s="88" t="s">
        <v>965</v>
      </c>
      <c r="BD5">
        <f>IFERROR(VLOOKUP(BD$1,'Existing Customers'!$A:$F,6,FALSE),BD6)</f>
        <v>0</v>
      </c>
      <c r="BL5" s="88" t="s">
        <v>965</v>
      </c>
      <c r="BM5">
        <f>IFERROR(VLOOKUP(BM$1,'Existing Customers'!$A:$F,6,FALSE),BM6)</f>
        <v>0</v>
      </c>
      <c r="BU5" s="88" t="s">
        <v>965</v>
      </c>
      <c r="BV5">
        <f>IFERROR(VLOOKUP(BV$1,'Existing Customers'!$A:$F,6,FALSE),BV6)</f>
        <v>0</v>
      </c>
      <c r="CD5" s="88" t="s">
        <v>965</v>
      </c>
      <c r="CE5">
        <f>IFERROR(VLOOKUP(CE$1,'Existing Customers'!$A:$F,6,FALSE),CE6)</f>
        <v>0</v>
      </c>
      <c r="CM5" s="88" t="s">
        <v>965</v>
      </c>
      <c r="CN5">
        <f>IFERROR(VLOOKUP(CN$1,'Existing Customers'!$A:$F,6,FALSE),CN6)</f>
        <v>0</v>
      </c>
      <c r="CV5" s="88" t="s">
        <v>965</v>
      </c>
      <c r="CW5">
        <f>IFERROR(VLOOKUP(CW$1,'Existing Customers'!$A:$F,6,FALSE),CW6)</f>
        <v>0</v>
      </c>
      <c r="DE5" s="88" t="s">
        <v>965</v>
      </c>
      <c r="DF5">
        <f>IFERROR(VLOOKUP(DF$1,'Existing Customers'!$A:$F,6,FALSE),DF6)</f>
        <v>0</v>
      </c>
      <c r="DN5" s="88" t="s">
        <v>965</v>
      </c>
      <c r="DO5">
        <f>IFERROR(VLOOKUP(DO$1,'Existing Customers'!$A:$F,6,FALSE),DO6)</f>
        <v>0</v>
      </c>
      <c r="DW5" s="88" t="s">
        <v>965</v>
      </c>
      <c r="DX5">
        <f>IFERROR(VLOOKUP(DX$1,'Existing Customers'!$A:$F,6,FALSE),DX6)</f>
        <v>0</v>
      </c>
    </row>
    <row r="6" spans="2:150" x14ac:dyDescent="0.25">
      <c r="N6" s="1261"/>
      <c r="O6" s="1261"/>
      <c r="AT6" s="88" t="s">
        <v>935</v>
      </c>
      <c r="AU6" s="442">
        <f>'Customer Inputs'!$P$6</f>
        <v>0</v>
      </c>
      <c r="BC6" s="88" t="s">
        <v>935</v>
      </c>
      <c r="BD6" s="91">
        <f>'Customer Inputs'!$P$7</f>
        <v>0</v>
      </c>
      <c r="BL6" s="88" t="s">
        <v>935</v>
      </c>
      <c r="BM6" s="91">
        <f>'Customer Inputs'!$P$8</f>
        <v>0</v>
      </c>
      <c r="BU6" s="88" t="s">
        <v>935</v>
      </c>
      <c r="BV6" s="91">
        <f>'Customer Inputs'!$P$9</f>
        <v>0</v>
      </c>
      <c r="CD6" s="88" t="s">
        <v>935</v>
      </c>
      <c r="CE6" s="91">
        <f>'Customer Inputs'!$P$10</f>
        <v>0</v>
      </c>
      <c r="CM6" s="88" t="s">
        <v>935</v>
      </c>
      <c r="CN6" s="91">
        <f>'Customer Inputs'!$P$11</f>
        <v>0</v>
      </c>
      <c r="CV6" s="88" t="s">
        <v>935</v>
      </c>
      <c r="CW6" s="91">
        <f>'Customer Inputs'!$P$12</f>
        <v>0</v>
      </c>
      <c r="DE6" s="88" t="s">
        <v>935</v>
      </c>
      <c r="DF6" s="91">
        <f>'Customer Inputs'!$P$13</f>
        <v>0</v>
      </c>
      <c r="DN6" s="88" t="s">
        <v>935</v>
      </c>
      <c r="DO6" s="91">
        <f>'Customer Inputs'!$P$14</f>
        <v>0</v>
      </c>
      <c r="DW6" s="88" t="s">
        <v>935</v>
      </c>
      <c r="DX6" s="91">
        <f>'Customer Inputs'!$P$15</f>
        <v>0</v>
      </c>
    </row>
    <row r="7" spans="2:150" x14ac:dyDescent="0.25">
      <c r="N7" s="88"/>
      <c r="O7" s="88"/>
      <c r="AT7" s="88" t="s">
        <v>945</v>
      </c>
      <c r="AU7" s="420">
        <f>IFERROR(SUMIFS('Existing Customers'!$AC:$AC,'Existing Customers'!$A:$A,'Multi-Customer'!AU$1)/SUMIFS('Existing Customers'!$Q:$Q,'Existing Customers'!$A:$A,'Multi-Customer'!AU$1),0)</f>
        <v>0</v>
      </c>
      <c r="BC7" s="88" t="s">
        <v>945</v>
      </c>
      <c r="BD7" s="420">
        <f>IFERROR(SUMIFS('Existing Customers'!$AC:$AC,'Existing Customers'!$A:$A,'Multi-Customer'!BD$1)/SUMIFS('Existing Customers'!$Q:$Q,'Existing Customers'!$A:$A,'Multi-Customer'!BD$1),0)</f>
        <v>0</v>
      </c>
      <c r="BL7" s="88" t="s">
        <v>945</v>
      </c>
      <c r="BM7" s="420">
        <f>IFERROR(SUMIFS('Existing Customers'!$AC:$AC,'Existing Customers'!$A:$A,'Multi-Customer'!BM$1)/SUMIFS('Existing Customers'!$Q:$Q,'Existing Customers'!$A:$A,'Multi-Customer'!BM$1),0)</f>
        <v>0</v>
      </c>
      <c r="BU7" s="88" t="s">
        <v>945</v>
      </c>
      <c r="BV7" s="420">
        <f>IFERROR(SUMIFS('Existing Customers'!$AC:$AC,'Existing Customers'!$A:$A,'Multi-Customer'!BV$1)/SUMIFS('Existing Customers'!$Q:$Q,'Existing Customers'!$A:$A,'Multi-Customer'!BV$1),0)</f>
        <v>0</v>
      </c>
      <c r="CD7" s="88" t="s">
        <v>945</v>
      </c>
      <c r="CE7" s="420">
        <f>IFERROR(SUMIFS('Existing Customers'!$AC:$AC,'Existing Customers'!$A:$A,'Multi-Customer'!CE$1)/SUMIFS('Existing Customers'!$Q:$Q,'Existing Customers'!$A:$A,'Multi-Customer'!CE$1),0)</f>
        <v>0</v>
      </c>
      <c r="CM7" s="88" t="s">
        <v>945</v>
      </c>
      <c r="CN7" s="420">
        <f>IFERROR(SUMIFS('Existing Customers'!$AC:$AC,'Existing Customers'!$A:$A,'Multi-Customer'!CN$1)/SUMIFS('Existing Customers'!$Q:$Q,'Existing Customers'!$A:$A,'Multi-Customer'!CN$1),0)</f>
        <v>0</v>
      </c>
      <c r="CV7" s="88" t="s">
        <v>945</v>
      </c>
      <c r="CW7" s="420">
        <f>IFERROR(SUMIFS('Existing Customers'!$AC:$AC,'Existing Customers'!$A:$A,'Multi-Customer'!CW$1)/SUMIFS('Existing Customers'!$Q:$Q,'Existing Customers'!$A:$A,'Multi-Customer'!CW$1),0)</f>
        <v>0</v>
      </c>
      <c r="DE7" s="88" t="s">
        <v>945</v>
      </c>
      <c r="DF7" s="420">
        <f>IFERROR(SUMIFS('Existing Customers'!$AC:$AC,'Existing Customers'!$A:$A,'Multi-Customer'!DF$1)/SUMIFS('Existing Customers'!$Q:$Q,'Existing Customers'!$A:$A,'Multi-Customer'!DF$1),0)</f>
        <v>0</v>
      </c>
      <c r="DN7" s="88" t="s">
        <v>945</v>
      </c>
      <c r="DO7" s="420">
        <f>IFERROR(SUMIFS('Existing Customers'!$AC:$AC,'Existing Customers'!$A:$A,'Multi-Customer'!DO$1)/SUMIFS('Existing Customers'!$Q:$Q,'Existing Customers'!$A:$A,'Multi-Customer'!DO$1),0)</f>
        <v>0</v>
      </c>
      <c r="DW7" s="88" t="s">
        <v>945</v>
      </c>
      <c r="DX7" s="420">
        <f>IFERROR(SUMIFS('Existing Customers'!$AC:$AC,'Existing Customers'!$A:$A,'Multi-Customer'!DX$1)/SUMIFS('Existing Customers'!$Q:$Q,'Existing Customers'!$A:$A,'Multi-Customer'!DX$1),0)</f>
        <v>0</v>
      </c>
    </row>
    <row r="8" spans="2:150" x14ac:dyDescent="0.25">
      <c r="AT8" s="88" t="s">
        <v>938</v>
      </c>
      <c r="AU8" s="399">
        <f>'Customer Inputs'!$R$6</f>
        <v>0</v>
      </c>
      <c r="BC8" s="88" t="s">
        <v>938</v>
      </c>
      <c r="BD8" s="399">
        <f>'Customer Inputs'!$R$7</f>
        <v>0</v>
      </c>
      <c r="BL8" s="88" t="s">
        <v>938</v>
      </c>
      <c r="BM8" s="399">
        <f>'Customer Inputs'!$R$8</f>
        <v>0</v>
      </c>
      <c r="BU8" s="88" t="s">
        <v>938</v>
      </c>
      <c r="BV8" s="399">
        <f>'Customer Inputs'!$R$9</f>
        <v>0</v>
      </c>
      <c r="CD8" s="88" t="s">
        <v>938</v>
      </c>
      <c r="CE8" s="399">
        <f>'Customer Inputs'!$R$10</f>
        <v>0</v>
      </c>
      <c r="CM8" s="88" t="s">
        <v>938</v>
      </c>
      <c r="CN8" s="399">
        <f>'Customer Inputs'!$R$11</f>
        <v>0</v>
      </c>
      <c r="CV8" s="88" t="s">
        <v>938</v>
      </c>
      <c r="CW8" s="399">
        <f>'Customer Inputs'!$R$12</f>
        <v>0</v>
      </c>
      <c r="DE8" s="88" t="s">
        <v>938</v>
      </c>
      <c r="DF8" s="399">
        <f>'Customer Inputs'!$R$13</f>
        <v>0</v>
      </c>
      <c r="DN8" s="88" t="s">
        <v>938</v>
      </c>
      <c r="DO8" s="399">
        <f>'Customer Inputs'!$R$14</f>
        <v>0</v>
      </c>
      <c r="DW8" s="88" t="s">
        <v>938</v>
      </c>
      <c r="DX8" s="399">
        <f>'Customer Inputs'!$R$15</f>
        <v>0</v>
      </c>
    </row>
    <row r="9" spans="2:150" ht="15.75" thickBot="1" x14ac:dyDescent="0.3">
      <c r="M9" s="88" t="s">
        <v>847</v>
      </c>
      <c r="O9" t="s">
        <v>981</v>
      </c>
      <c r="P9" s="24">
        <f>IFERROR(P33/O33,0)</f>
        <v>0</v>
      </c>
      <c r="W9" t="s">
        <v>984</v>
      </c>
      <c r="AB9" t="s">
        <v>1039</v>
      </c>
      <c r="AO9" s="1262" t="s">
        <v>1040</v>
      </c>
      <c r="EE9" t="s">
        <v>1036</v>
      </c>
      <c r="EN9" t="s">
        <v>1037</v>
      </c>
    </row>
    <row r="10" spans="2:150" ht="13.9" customHeight="1" thickBot="1" x14ac:dyDescent="0.3">
      <c r="C10" t="s">
        <v>985</v>
      </c>
      <c r="M10" s="88"/>
      <c r="V10" s="480" t="s">
        <v>940</v>
      </c>
      <c r="W10" s="481" t="s">
        <v>941</v>
      </c>
      <c r="X10" s="482" t="s">
        <v>942</v>
      </c>
      <c r="Y10" s="483"/>
      <c r="Z10" s="483"/>
      <c r="AC10" s="480" t="s">
        <v>1038</v>
      </c>
      <c r="AD10" s="483"/>
      <c r="AE10" s="483"/>
      <c r="AO10" s="1262"/>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512</v>
      </c>
      <c r="G11" s="486" t="s">
        <v>409</v>
      </c>
      <c r="H11" s="503" t="s">
        <v>539</v>
      </c>
      <c r="M11" s="93" t="s">
        <v>108</v>
      </c>
      <c r="N11" s="115" t="s">
        <v>82</v>
      </c>
      <c r="O11" s="95" t="s">
        <v>83</v>
      </c>
      <c r="P11" s="95" t="s">
        <v>408</v>
      </c>
      <c r="Q11" s="95" t="s">
        <v>512</v>
      </c>
      <c r="R11" s="96" t="s">
        <v>409</v>
      </c>
      <c r="S11" s="112" t="s">
        <v>539</v>
      </c>
      <c r="T11" s="398"/>
      <c r="U11" s="398"/>
      <c r="V11" s="484" t="s">
        <v>405</v>
      </c>
      <c r="W11" s="485" t="s">
        <v>409</v>
      </c>
      <c r="X11" s="485" t="s">
        <v>200</v>
      </c>
      <c r="Y11" s="485" t="s">
        <v>539</v>
      </c>
      <c r="Z11" s="486" t="s">
        <v>939</v>
      </c>
      <c r="AA11" s="398"/>
      <c r="AB11" s="398"/>
      <c r="AC11" s="484" t="s">
        <v>405</v>
      </c>
      <c r="AD11" s="485" t="s">
        <v>409</v>
      </c>
      <c r="AE11" s="486" t="s">
        <v>939</v>
      </c>
      <c r="AF11" s="398"/>
      <c r="AG11" s="398"/>
      <c r="AH11" s="398"/>
      <c r="AI11" s="398"/>
      <c r="AJ11" s="522" t="s">
        <v>1027</v>
      </c>
      <c r="AK11" s="522"/>
      <c r="AL11" s="522" t="s">
        <v>1078</v>
      </c>
      <c r="AM11" s="398"/>
      <c r="AN11" s="398"/>
      <c r="AO11" s="1262"/>
      <c r="AP11" s="398"/>
      <c r="AQ11" s="398"/>
      <c r="AR11" s="398"/>
      <c r="AS11" s="67" t="s">
        <v>936</v>
      </c>
      <c r="AT11" s="93" t="s">
        <v>108</v>
      </c>
      <c r="AU11" s="94" t="s">
        <v>82</v>
      </c>
      <c r="AV11" s="95" t="s">
        <v>83</v>
      </c>
      <c r="AW11" s="95" t="s">
        <v>408</v>
      </c>
      <c r="AX11" s="95" t="s">
        <v>512</v>
      </c>
      <c r="AY11" s="405" t="s">
        <v>409</v>
      </c>
      <c r="AZ11" s="96" t="s">
        <v>200</v>
      </c>
      <c r="BA11" s="398"/>
      <c r="BB11" s="67" t="s">
        <v>936</v>
      </c>
      <c r="BC11" s="93" t="s">
        <v>108</v>
      </c>
      <c r="BD11" s="94" t="s">
        <v>82</v>
      </c>
      <c r="BE11" s="95" t="s">
        <v>83</v>
      </c>
      <c r="BF11" s="95" t="s">
        <v>408</v>
      </c>
      <c r="BG11" s="95" t="s">
        <v>512</v>
      </c>
      <c r="BH11" s="96" t="s">
        <v>409</v>
      </c>
      <c r="BI11" s="96" t="s">
        <v>200</v>
      </c>
      <c r="BJ11" s="398"/>
      <c r="BK11" s="67" t="s">
        <v>936</v>
      </c>
      <c r="BL11" s="93" t="s">
        <v>108</v>
      </c>
      <c r="BM11" s="94" t="s">
        <v>82</v>
      </c>
      <c r="BN11" s="95" t="s">
        <v>83</v>
      </c>
      <c r="BO11" s="95" t="s">
        <v>408</v>
      </c>
      <c r="BP11" s="95" t="s">
        <v>512</v>
      </c>
      <c r="BQ11" s="96" t="s">
        <v>409</v>
      </c>
      <c r="BR11" s="96" t="s">
        <v>200</v>
      </c>
      <c r="BS11" s="398"/>
      <c r="BT11" s="67" t="s">
        <v>936</v>
      </c>
      <c r="BU11" s="93" t="s">
        <v>108</v>
      </c>
      <c r="BV11" s="94" t="s">
        <v>82</v>
      </c>
      <c r="BW11" s="95" t="s">
        <v>83</v>
      </c>
      <c r="BX11" s="95" t="s">
        <v>408</v>
      </c>
      <c r="BY11" s="95" t="s">
        <v>512</v>
      </c>
      <c r="BZ11" s="96" t="s">
        <v>409</v>
      </c>
      <c r="CA11" s="96" t="s">
        <v>200</v>
      </c>
      <c r="CB11" s="398"/>
      <c r="CC11" s="67" t="s">
        <v>936</v>
      </c>
      <c r="CD11" s="93" t="s">
        <v>108</v>
      </c>
      <c r="CE11" s="94" t="s">
        <v>82</v>
      </c>
      <c r="CF11" s="95" t="s">
        <v>83</v>
      </c>
      <c r="CG11" s="95" t="s">
        <v>408</v>
      </c>
      <c r="CH11" s="95" t="s">
        <v>512</v>
      </c>
      <c r="CI11" s="96" t="s">
        <v>409</v>
      </c>
      <c r="CJ11" s="96" t="s">
        <v>200</v>
      </c>
      <c r="CK11" s="398"/>
      <c r="CL11" s="67" t="s">
        <v>936</v>
      </c>
      <c r="CM11" s="93" t="s">
        <v>108</v>
      </c>
      <c r="CN11" s="94" t="s">
        <v>82</v>
      </c>
      <c r="CO11" s="95" t="s">
        <v>83</v>
      </c>
      <c r="CP11" s="95" t="s">
        <v>408</v>
      </c>
      <c r="CQ11" s="95" t="s">
        <v>512</v>
      </c>
      <c r="CR11" s="96" t="s">
        <v>409</v>
      </c>
      <c r="CS11" s="96" t="s">
        <v>200</v>
      </c>
      <c r="CT11" s="398"/>
      <c r="CU11" s="67" t="s">
        <v>936</v>
      </c>
      <c r="CV11" s="93" t="s">
        <v>108</v>
      </c>
      <c r="CW11" s="94" t="s">
        <v>82</v>
      </c>
      <c r="CX11" s="95" t="s">
        <v>83</v>
      </c>
      <c r="CY11" s="95" t="s">
        <v>408</v>
      </c>
      <c r="CZ11" s="95" t="s">
        <v>512</v>
      </c>
      <c r="DA11" s="96" t="s">
        <v>409</v>
      </c>
      <c r="DB11" s="96" t="s">
        <v>200</v>
      </c>
      <c r="DC11" s="398"/>
      <c r="DD11" s="67" t="s">
        <v>936</v>
      </c>
      <c r="DE11" s="93" t="s">
        <v>108</v>
      </c>
      <c r="DF11" s="94" t="s">
        <v>82</v>
      </c>
      <c r="DG11" s="95" t="s">
        <v>83</v>
      </c>
      <c r="DH11" s="95" t="s">
        <v>408</v>
      </c>
      <c r="DI11" s="95" t="s">
        <v>512</v>
      </c>
      <c r="DJ11" s="96" t="s">
        <v>409</v>
      </c>
      <c r="DK11" s="96" t="s">
        <v>200</v>
      </c>
      <c r="DL11" s="398"/>
      <c r="DM11" s="67" t="s">
        <v>936</v>
      </c>
      <c r="DN11" s="93" t="s">
        <v>108</v>
      </c>
      <c r="DO11" s="94" t="s">
        <v>82</v>
      </c>
      <c r="DP11" s="95" t="s">
        <v>83</v>
      </c>
      <c r="DQ11" s="95" t="s">
        <v>408</v>
      </c>
      <c r="DR11" s="95" t="s">
        <v>512</v>
      </c>
      <c r="DS11" s="405" t="s">
        <v>409</v>
      </c>
      <c r="DT11" s="96" t="s">
        <v>200</v>
      </c>
      <c r="DU11" s="398"/>
      <c r="DV11" s="67" t="s">
        <v>936</v>
      </c>
      <c r="DW11" s="93" t="s">
        <v>108</v>
      </c>
      <c r="DX11" s="409" t="s">
        <v>82</v>
      </c>
      <c r="DY11" s="410" t="s">
        <v>83</v>
      </c>
      <c r="DZ11" s="410" t="s">
        <v>408</v>
      </c>
      <c r="EA11" s="410" t="s">
        <v>512</v>
      </c>
      <c r="EB11" s="411" t="s">
        <v>409</v>
      </c>
      <c r="EC11" s="412" t="s">
        <v>200</v>
      </c>
      <c r="EE11" s="93" t="s">
        <v>108</v>
      </c>
      <c r="EF11" s="94" t="s">
        <v>82</v>
      </c>
      <c r="EG11" s="95" t="s">
        <v>83</v>
      </c>
      <c r="EH11" s="95" t="s">
        <v>408</v>
      </c>
      <c r="EI11" s="95" t="s">
        <v>512</v>
      </c>
      <c r="EJ11" s="405" t="s">
        <v>409</v>
      </c>
      <c r="EK11" s="96" t="s">
        <v>200</v>
      </c>
      <c r="EL11" s="398"/>
      <c r="EM11" s="67" t="s">
        <v>936</v>
      </c>
      <c r="EN11" s="93" t="s">
        <v>108</v>
      </c>
      <c r="EO11" s="409" t="s">
        <v>82</v>
      </c>
      <c r="EP11" s="410" t="s">
        <v>83</v>
      </c>
      <c r="EQ11" s="410" t="s">
        <v>408</v>
      </c>
      <c r="ER11" s="410" t="s">
        <v>512</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523</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523</v>
      </c>
      <c r="V13" s="491">
        <f t="shared" si="4"/>
        <v>0</v>
      </c>
      <c r="W13" s="492">
        <f t="shared" si="4"/>
        <v>0</v>
      </c>
      <c r="X13" s="492">
        <f t="shared" si="4"/>
        <v>0</v>
      </c>
      <c r="Y13" s="493">
        <f t="shared" ref="Y13:Y32" si="16">IFERROR(W13/V13,0)</f>
        <v>0</v>
      </c>
      <c r="Z13" s="494">
        <f t="shared" ref="Z13:Z32" si="17">IFERROR(X13/V13,0)</f>
        <v>0</v>
      </c>
      <c r="AA13" s="404"/>
      <c r="AB13" s="105" t="s">
        <v>523</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523</v>
      </c>
      <c r="EF13" s="100"/>
      <c r="EG13" s="92"/>
      <c r="EH13" s="92"/>
      <c r="EI13" s="92"/>
      <c r="EJ13" s="117"/>
      <c r="EK13" s="101"/>
      <c r="EL13" s="132"/>
      <c r="EN13" s="105" t="s">
        <v>523</v>
      </c>
      <c r="EO13" s="100"/>
      <c r="EP13" s="92"/>
      <c r="EQ13" s="92"/>
      <c r="ER13" s="92"/>
      <c r="ES13" s="117"/>
      <c r="ET13" s="101"/>
    </row>
    <row r="14" spans="2:150" x14ac:dyDescent="0.25">
      <c r="B14" s="105" t="s">
        <v>524</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524</v>
      </c>
      <c r="N14" s="100">
        <f t="shared" si="14"/>
        <v>0</v>
      </c>
      <c r="O14" s="92">
        <f t="shared" si="0"/>
        <v>0</v>
      </c>
      <c r="P14" s="92">
        <f t="shared" si="1"/>
        <v>0</v>
      </c>
      <c r="Q14" s="92">
        <f t="shared" si="2"/>
        <v>0</v>
      </c>
      <c r="R14" s="117">
        <f t="shared" si="3"/>
        <v>0</v>
      </c>
      <c r="S14" s="120">
        <f t="shared" si="15"/>
        <v>0</v>
      </c>
      <c r="T14" s="404"/>
      <c r="U14" s="105" t="s">
        <v>524</v>
      </c>
      <c r="V14" s="491">
        <f t="shared" si="4"/>
        <v>0</v>
      </c>
      <c r="W14" s="492">
        <f t="shared" si="4"/>
        <v>0</v>
      </c>
      <c r="X14" s="492">
        <f t="shared" si="4"/>
        <v>0</v>
      </c>
      <c r="Y14" s="493">
        <f t="shared" si="16"/>
        <v>0</v>
      </c>
      <c r="Z14" s="494">
        <f t="shared" si="17"/>
        <v>0</v>
      </c>
      <c r="AA14" s="404"/>
      <c r="AB14" s="105" t="s">
        <v>524</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524</v>
      </c>
      <c r="EF14" s="100"/>
      <c r="EG14" s="92"/>
      <c r="EH14" s="92"/>
      <c r="EI14" s="92"/>
      <c r="EJ14" s="117"/>
      <c r="EK14" s="101"/>
      <c r="EL14" s="132"/>
      <c r="EN14" s="105" t="s">
        <v>524</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861</v>
      </c>
      <c r="N35" s="365"/>
    </row>
    <row r="36" spans="3:150" x14ac:dyDescent="0.25">
      <c r="L36" s="468">
        <f>RANK(N36,$N$37:$N$41)</f>
        <v>1</v>
      </c>
      <c r="M36" s="466" t="s">
        <v>958</v>
      </c>
      <c r="N36" s="469">
        <f t="shared" ref="N36" si="32">COUNTIF($AU$45:$DX$45,M36)</f>
        <v>0</v>
      </c>
      <c r="AT36" s="107" t="s">
        <v>848</v>
      </c>
      <c r="AU36" s="89">
        <f>AU1</f>
        <v>0</v>
      </c>
      <c r="BC36" s="107" t="s">
        <v>848</v>
      </c>
      <c r="BD36" s="89">
        <f>BD1</f>
        <v>0</v>
      </c>
      <c r="BL36" s="107" t="s">
        <v>848</v>
      </c>
      <c r="BM36" s="89">
        <f>BM1</f>
        <v>0</v>
      </c>
      <c r="BU36" s="107" t="s">
        <v>848</v>
      </c>
      <c r="BV36" s="89">
        <f>BV1</f>
        <v>0</v>
      </c>
      <c r="CD36" s="107" t="s">
        <v>848</v>
      </c>
      <c r="CE36" s="89">
        <f>CE1</f>
        <v>0</v>
      </c>
      <c r="CM36" s="107" t="s">
        <v>848</v>
      </c>
      <c r="CN36" s="89">
        <f>CN1</f>
        <v>0</v>
      </c>
      <c r="CV36" s="107" t="s">
        <v>848</v>
      </c>
      <c r="CW36" s="89">
        <f>CW1</f>
        <v>0</v>
      </c>
      <c r="DE36" s="107" t="s">
        <v>848</v>
      </c>
      <c r="DF36" s="89">
        <f>DF1</f>
        <v>0</v>
      </c>
      <c r="DN36" s="107" t="s">
        <v>848</v>
      </c>
      <c r="DO36" s="89">
        <f>DO1</f>
        <v>0</v>
      </c>
      <c r="DW36" s="107" t="s">
        <v>848</v>
      </c>
      <c r="DX36" s="89">
        <f>DX1</f>
        <v>0</v>
      </c>
    </row>
    <row r="37" spans="3:150" x14ac:dyDescent="0.25">
      <c r="L37" s="468">
        <f t="shared" ref="L37:L45" si="33">RANK(N37,$N$37:$N$45)</f>
        <v>1</v>
      </c>
      <c r="M37" s="466" t="s">
        <v>1</v>
      </c>
      <c r="N37" s="469">
        <f>COUNTIF('Variable Costs (Back)'!$C$15:$C$24,M37)</f>
        <v>0</v>
      </c>
      <c r="AT37" s="107" t="s">
        <v>849</v>
      </c>
      <c r="AU37" s="89" t="e">
        <f>VLOOKUP(AU$1,'Existing Customers'!$A:$AA,2,FALSE)</f>
        <v>#N/A</v>
      </c>
      <c r="BC37" s="107" t="s">
        <v>849</v>
      </c>
      <c r="BD37" s="89" t="e">
        <f>VLOOKUP(BD$1,'Existing Customers'!$A:$AA,2,FALSE)</f>
        <v>#N/A</v>
      </c>
      <c r="BL37" s="107" t="s">
        <v>849</v>
      </c>
      <c r="BM37" s="89" t="e">
        <f>VLOOKUP(BM$1,'Existing Customers'!$A:$AA,2,FALSE)</f>
        <v>#N/A</v>
      </c>
      <c r="BU37" s="107" t="s">
        <v>849</v>
      </c>
      <c r="BV37" s="89" t="e">
        <f>VLOOKUP(BV$1,'Existing Customers'!$A:$AA,2,FALSE)</f>
        <v>#N/A</v>
      </c>
      <c r="CD37" s="107" t="s">
        <v>849</v>
      </c>
      <c r="CE37" s="89" t="e">
        <f>VLOOKUP(CE$1,'Existing Customers'!$A:$AA,2,FALSE)</f>
        <v>#N/A</v>
      </c>
      <c r="CM37" s="107" t="s">
        <v>849</v>
      </c>
      <c r="CN37" s="89" t="e">
        <f>VLOOKUP(CN$1,'Existing Customers'!$A:$AA,2,FALSE)</f>
        <v>#N/A</v>
      </c>
      <c r="CV37" s="107" t="s">
        <v>849</v>
      </c>
      <c r="CW37" s="89" t="e">
        <f>VLOOKUP(CW$1,'Existing Customers'!$A:$AA,2,FALSE)</f>
        <v>#N/A</v>
      </c>
      <c r="DE37" s="107" t="s">
        <v>849</v>
      </c>
      <c r="DF37" s="89" t="e">
        <f>VLOOKUP(DF$1,'Existing Customers'!$A:$AA,2,FALSE)</f>
        <v>#N/A</v>
      </c>
      <c r="DN37" s="107" t="s">
        <v>849</v>
      </c>
      <c r="DO37" s="89" t="e">
        <f>VLOOKUP(DO$1,'Existing Customers'!$A:$AA,2,FALSE)</f>
        <v>#N/A</v>
      </c>
      <c r="DW37" s="107" t="s">
        <v>849</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850</v>
      </c>
      <c r="AU39" s="89" t="e">
        <f>VLOOKUP(AU$1,'Existing Customers'!$A:$AA,25,FALSE)</f>
        <v>#N/A</v>
      </c>
      <c r="BC39" s="107" t="s">
        <v>850</v>
      </c>
      <c r="BD39" s="89" t="e">
        <f>VLOOKUP(BD$1,'Existing Customers'!$A:$AA,25,FALSE)</f>
        <v>#N/A</v>
      </c>
      <c r="BL39" s="107" t="s">
        <v>850</v>
      </c>
      <c r="BM39" s="89" t="e">
        <f>VLOOKUP(BM$1,'Existing Customers'!$A:$AA,25,FALSE)</f>
        <v>#N/A</v>
      </c>
      <c r="BU39" s="107" t="s">
        <v>850</v>
      </c>
      <c r="BV39" s="89" t="e">
        <f>VLOOKUP(BV$1,'Existing Customers'!$A:$AA,25,FALSE)</f>
        <v>#N/A</v>
      </c>
      <c r="CD39" s="107" t="s">
        <v>850</v>
      </c>
      <c r="CE39" s="89" t="e">
        <f>VLOOKUP(CE$1,'Existing Customers'!$A:$AA,25,FALSE)</f>
        <v>#N/A</v>
      </c>
      <c r="CM39" s="107" t="s">
        <v>850</v>
      </c>
      <c r="CN39" s="89" t="e">
        <f>VLOOKUP(CN$1,'Existing Customers'!$A:$AA,25,FALSE)</f>
        <v>#N/A</v>
      </c>
      <c r="CV39" s="107" t="s">
        <v>850</v>
      </c>
      <c r="CW39" s="89" t="e">
        <f>VLOOKUP(CW$1,'Existing Customers'!$A:$AA,25,FALSE)</f>
        <v>#N/A</v>
      </c>
      <c r="DE39" s="107" t="s">
        <v>850</v>
      </c>
      <c r="DF39" s="89" t="e">
        <f>VLOOKUP(DF$1,'Existing Customers'!$A:$AA,25,FALSE)</f>
        <v>#N/A</v>
      </c>
      <c r="DN39" s="107" t="s">
        <v>850</v>
      </c>
      <c r="DO39" s="89" t="e">
        <f>VLOOKUP(DO$1,'Existing Customers'!$A:$AA,25,FALSE)</f>
        <v>#N/A</v>
      </c>
      <c r="DW39" s="107" t="s">
        <v>850</v>
      </c>
      <c r="DX39" s="89" t="e">
        <f>VLOOKUP(DX$1,'Existing Customers'!$A:$AA,25,FALSE)</f>
        <v>#N/A</v>
      </c>
    </row>
    <row r="40" spans="3:150" x14ac:dyDescent="0.25">
      <c r="L40" s="468">
        <f t="shared" si="33"/>
        <v>1</v>
      </c>
      <c r="M40" s="466" t="s">
        <v>112</v>
      </c>
      <c r="N40" s="469">
        <f>COUNTIF('Variable Costs (Back)'!$C$15:$C$24,M40)</f>
        <v>0</v>
      </c>
      <c r="AT40" s="107" t="s">
        <v>851</v>
      </c>
      <c r="AU40" s="89" t="e">
        <f>VLOOKUP(AU$1,'Existing Customers'!$A:$AA,26,FALSE)</f>
        <v>#N/A</v>
      </c>
      <c r="BC40" s="107" t="s">
        <v>851</v>
      </c>
      <c r="BD40" s="89" t="e">
        <f>VLOOKUP(BD$1,'Existing Customers'!$A:$AA,26,FALSE)</f>
        <v>#N/A</v>
      </c>
      <c r="BL40" s="107" t="s">
        <v>851</v>
      </c>
      <c r="BM40" s="89" t="e">
        <f>VLOOKUP(BM$1,'Existing Customers'!$A:$AA,26,FALSE)</f>
        <v>#N/A</v>
      </c>
      <c r="BU40" s="107" t="s">
        <v>851</v>
      </c>
      <c r="BV40" s="89" t="e">
        <f>VLOOKUP(BV$1,'Existing Customers'!$A:$AA,26,FALSE)</f>
        <v>#N/A</v>
      </c>
      <c r="CD40" s="107" t="s">
        <v>851</v>
      </c>
      <c r="CE40" s="89" t="e">
        <f>VLOOKUP(CE$1,'Existing Customers'!$A:$AA,26,FALSE)</f>
        <v>#N/A</v>
      </c>
      <c r="CM40" s="107" t="s">
        <v>851</v>
      </c>
      <c r="CN40" s="89" t="e">
        <f>VLOOKUP(CN$1,'Existing Customers'!$A:$AA,26,FALSE)</f>
        <v>#N/A</v>
      </c>
      <c r="CV40" s="107" t="s">
        <v>851</v>
      </c>
      <c r="CW40" s="89" t="e">
        <f>VLOOKUP(CW$1,'Existing Customers'!$A:$AA,26,FALSE)</f>
        <v>#N/A</v>
      </c>
      <c r="DE40" s="107" t="s">
        <v>851</v>
      </c>
      <c r="DF40" s="89" t="e">
        <f>VLOOKUP(DF$1,'Existing Customers'!$A:$AA,26,FALSE)</f>
        <v>#N/A</v>
      </c>
      <c r="DN40" s="107" t="s">
        <v>851</v>
      </c>
      <c r="DO40" s="89" t="e">
        <f>VLOOKUP(DO$1,'Existing Customers'!$A:$AA,26,FALSE)</f>
        <v>#N/A</v>
      </c>
      <c r="DW40" s="107" t="s">
        <v>851</v>
      </c>
      <c r="DX40" s="89" t="e">
        <f>VLOOKUP(DX$1,'Existing Customers'!$A:$AA,26,FALSE)</f>
        <v>#N/A</v>
      </c>
    </row>
    <row r="41" spans="3:150" x14ac:dyDescent="0.25">
      <c r="L41" s="468">
        <f t="shared" si="33"/>
        <v>1</v>
      </c>
      <c r="M41" s="466" t="s">
        <v>113</v>
      </c>
      <c r="N41" s="469">
        <f>COUNTIF('Variable Costs (Back)'!$C$15:$C$24,M41)</f>
        <v>0</v>
      </c>
      <c r="AT41" s="107" t="s">
        <v>852</v>
      </c>
      <c r="AU41" s="89" t="e">
        <f>VLOOKUP(AU$1,'Existing Customers'!$A:$AA,23,FALSE)</f>
        <v>#N/A</v>
      </c>
      <c r="BC41" s="107" t="s">
        <v>852</v>
      </c>
      <c r="BD41" s="89" t="e">
        <f>VLOOKUP(BD$1,'Existing Customers'!$A:$AA,23,FALSE)</f>
        <v>#N/A</v>
      </c>
      <c r="BL41" s="107" t="s">
        <v>852</v>
      </c>
      <c r="BM41" s="89" t="e">
        <f>VLOOKUP(BM$1,'Existing Customers'!$A:$AA,23,FALSE)</f>
        <v>#N/A</v>
      </c>
      <c r="BU41" s="107" t="s">
        <v>852</v>
      </c>
      <c r="BV41" s="89" t="e">
        <f>VLOOKUP(BV$1,'Existing Customers'!$A:$AA,23,FALSE)</f>
        <v>#N/A</v>
      </c>
      <c r="CD41" s="107" t="s">
        <v>852</v>
      </c>
      <c r="CE41" s="89" t="e">
        <f>VLOOKUP(CE$1,'Existing Customers'!$A:$AA,23,FALSE)</f>
        <v>#N/A</v>
      </c>
      <c r="CM41" s="107" t="s">
        <v>852</v>
      </c>
      <c r="CN41" s="89" t="e">
        <f>VLOOKUP(CN$1,'Existing Customers'!$A:$AA,23,FALSE)</f>
        <v>#N/A</v>
      </c>
      <c r="CV41" s="107" t="s">
        <v>852</v>
      </c>
      <c r="CW41" s="89" t="e">
        <f>VLOOKUP(CW$1,'Existing Customers'!$A:$AA,23,FALSE)</f>
        <v>#N/A</v>
      </c>
      <c r="DE41" s="107" t="s">
        <v>852</v>
      </c>
      <c r="DF41" s="89" t="e">
        <f>VLOOKUP(DF$1,'Existing Customers'!$A:$AA,23,FALSE)</f>
        <v>#N/A</v>
      </c>
      <c r="DN41" s="107" t="s">
        <v>852</v>
      </c>
      <c r="DO41" s="89" t="e">
        <f>VLOOKUP(DO$1,'Existing Customers'!$A:$AA,23,FALSE)</f>
        <v>#N/A</v>
      </c>
      <c r="DW41" s="107" t="s">
        <v>852</v>
      </c>
      <c r="DX41" s="89" t="e">
        <f>VLOOKUP(DX$1,'Existing Customers'!$A:$AA,23,FALSE)</f>
        <v>#N/A</v>
      </c>
    </row>
    <row r="42" spans="3:150" x14ac:dyDescent="0.25">
      <c r="L42" s="468">
        <f t="shared" si="33"/>
        <v>1</v>
      </c>
      <c r="M42" s="466" t="s">
        <v>111</v>
      </c>
      <c r="N42" s="469">
        <f>COUNTIF('Variable Costs (Back)'!$C$15:$C$24,M42)</f>
        <v>0</v>
      </c>
      <c r="AT42" s="107" t="s">
        <v>853</v>
      </c>
      <c r="AU42" s="89" t="e">
        <f>VLOOKUP(AU$1,'Existing Customers'!$A:$AA,24,FALSE)</f>
        <v>#N/A</v>
      </c>
      <c r="BC42" s="107" t="s">
        <v>853</v>
      </c>
      <c r="BD42" s="89" t="e">
        <f>VLOOKUP(BD$1,'Existing Customers'!$A:$AA,24,FALSE)</f>
        <v>#N/A</v>
      </c>
      <c r="BL42" s="107" t="s">
        <v>853</v>
      </c>
      <c r="BM42" s="89" t="e">
        <f>VLOOKUP(BM$1,'Existing Customers'!$A:$AA,24,FALSE)</f>
        <v>#N/A</v>
      </c>
      <c r="BU42" s="107" t="s">
        <v>853</v>
      </c>
      <c r="BV42" s="89" t="e">
        <f>VLOOKUP(BV$1,'Existing Customers'!$A:$AA,24,FALSE)</f>
        <v>#N/A</v>
      </c>
      <c r="CD42" s="107" t="s">
        <v>853</v>
      </c>
      <c r="CE42" s="89" t="e">
        <f>VLOOKUP(CE$1,'Existing Customers'!$A:$AA,24,FALSE)</f>
        <v>#N/A</v>
      </c>
      <c r="CM42" s="107" t="s">
        <v>853</v>
      </c>
      <c r="CN42" s="89" t="e">
        <f>VLOOKUP(CN$1,'Existing Customers'!$A:$AA,24,FALSE)</f>
        <v>#N/A</v>
      </c>
      <c r="CV42" s="107" t="s">
        <v>853</v>
      </c>
      <c r="CW42" s="89" t="e">
        <f>VLOOKUP(CW$1,'Existing Customers'!$A:$AA,24,FALSE)</f>
        <v>#N/A</v>
      </c>
      <c r="DE42" s="107" t="s">
        <v>853</v>
      </c>
      <c r="DF42" s="89" t="e">
        <f>VLOOKUP(DF$1,'Existing Customers'!$A:$AA,24,FALSE)</f>
        <v>#N/A</v>
      </c>
      <c r="DN42" s="107" t="s">
        <v>853</v>
      </c>
      <c r="DO42" s="89" t="e">
        <f>VLOOKUP(DO$1,'Existing Customers'!$A:$AA,24,FALSE)</f>
        <v>#N/A</v>
      </c>
      <c r="DW42" s="107" t="s">
        <v>853</v>
      </c>
      <c r="DX42" s="89" t="e">
        <f>VLOOKUP(DX$1,'Existing Customers'!$A:$AA,24,FALSE)</f>
        <v>#N/A</v>
      </c>
    </row>
    <row r="43" spans="3:150" x14ac:dyDescent="0.25">
      <c r="L43" s="468">
        <f t="shared" si="33"/>
        <v>1</v>
      </c>
      <c r="M43" s="466" t="s">
        <v>118</v>
      </c>
      <c r="N43" s="469">
        <f>COUNTIF('Variable Costs (Back)'!$C$15:$C$24,M43)</f>
        <v>0</v>
      </c>
      <c r="AT43" s="107" t="s">
        <v>854</v>
      </c>
      <c r="AU43" s="89" t="e">
        <f>VLOOKUP(AU$1,'Existing Customers'!$A:$AA,9,FALSE)</f>
        <v>#N/A</v>
      </c>
      <c r="BC43" s="107" t="s">
        <v>854</v>
      </c>
      <c r="BD43" s="89" t="e">
        <f>VLOOKUP(BD$1,'Existing Customers'!$A:$AA,9,FALSE)</f>
        <v>#N/A</v>
      </c>
      <c r="BL43" s="107" t="s">
        <v>854</v>
      </c>
      <c r="BM43" s="89" t="e">
        <f>VLOOKUP(BM$1,'Existing Customers'!$A:$AA,9,FALSE)</f>
        <v>#N/A</v>
      </c>
      <c r="BU43" s="107" t="s">
        <v>854</v>
      </c>
      <c r="BV43" s="89" t="e">
        <f>VLOOKUP(BV$1,'Existing Customers'!$A:$AA,9,FALSE)</f>
        <v>#N/A</v>
      </c>
      <c r="CD43" s="107" t="s">
        <v>854</v>
      </c>
      <c r="CE43" s="89" t="e">
        <f>VLOOKUP(CE$1,'Existing Customers'!$A:$AA,9,FALSE)</f>
        <v>#N/A</v>
      </c>
      <c r="CM43" s="107" t="s">
        <v>854</v>
      </c>
      <c r="CN43" s="89" t="e">
        <f>VLOOKUP(CN$1,'Existing Customers'!$A:$AA,9,FALSE)</f>
        <v>#N/A</v>
      </c>
      <c r="CV43" s="107" t="s">
        <v>854</v>
      </c>
      <c r="CW43" s="89" t="e">
        <f>VLOOKUP(CW$1,'Existing Customers'!$A:$AA,9,FALSE)</f>
        <v>#N/A</v>
      </c>
      <c r="DE43" s="107" t="s">
        <v>854</v>
      </c>
      <c r="DF43" s="89" t="e">
        <f>VLOOKUP(DF$1,'Existing Customers'!$A:$AA,9,FALSE)</f>
        <v>#N/A</v>
      </c>
      <c r="DN43" s="107" t="s">
        <v>854</v>
      </c>
      <c r="DO43" s="89" t="e">
        <f>VLOOKUP(DO$1,'Existing Customers'!$A:$AA,9,FALSE)</f>
        <v>#N/A</v>
      </c>
      <c r="DW43" s="107" t="s">
        <v>854</v>
      </c>
      <c r="DX43" s="89" t="e">
        <f>VLOOKUP(DX$1,'Existing Customers'!$A:$AA,9,FALSE)</f>
        <v>#N/A</v>
      </c>
    </row>
    <row r="44" spans="3:150" x14ac:dyDescent="0.25">
      <c r="L44" s="468">
        <f t="shared" si="33"/>
        <v>1</v>
      </c>
      <c r="M44" s="466" t="s">
        <v>115</v>
      </c>
      <c r="N44" s="469">
        <f>COUNTIF('Variable Costs (Back)'!$C$15:$C$24,M44)</f>
        <v>0</v>
      </c>
      <c r="AT44" s="107" t="s">
        <v>855</v>
      </c>
      <c r="AU44" s="89" t="e">
        <f>VLOOKUP(AU$1,'Existing Customers'!$A:$AA,27,FALSE)</f>
        <v>#N/A</v>
      </c>
      <c r="BC44" s="107" t="s">
        <v>855</v>
      </c>
      <c r="BD44" s="89" t="e">
        <f>VLOOKUP(BD$1,'Existing Customers'!$A:$AA,27,FALSE)</f>
        <v>#N/A</v>
      </c>
      <c r="BL44" s="107" t="s">
        <v>855</v>
      </c>
      <c r="BM44" s="89" t="e">
        <f>VLOOKUP(BM$1,'Existing Customers'!$A:$AA,27,FALSE)</f>
        <v>#N/A</v>
      </c>
      <c r="BU44" s="107" t="s">
        <v>855</v>
      </c>
      <c r="BV44" s="89" t="e">
        <f>VLOOKUP(BV$1,'Existing Customers'!$A:$AA,27,FALSE)</f>
        <v>#N/A</v>
      </c>
      <c r="CD44" s="107" t="s">
        <v>855</v>
      </c>
      <c r="CE44" s="89" t="e">
        <f>VLOOKUP(CE$1,'Existing Customers'!$A:$AA,27,FALSE)</f>
        <v>#N/A</v>
      </c>
      <c r="CM44" s="107" t="s">
        <v>855</v>
      </c>
      <c r="CN44" s="89" t="e">
        <f>VLOOKUP(CN$1,'Existing Customers'!$A:$AA,27,FALSE)</f>
        <v>#N/A</v>
      </c>
      <c r="CV44" s="107" t="s">
        <v>855</v>
      </c>
      <c r="CW44" s="89" t="e">
        <f>VLOOKUP(CW$1,'Existing Customers'!$A:$AA,27,FALSE)</f>
        <v>#N/A</v>
      </c>
      <c r="DE44" s="107" t="s">
        <v>855</v>
      </c>
      <c r="DF44" s="89" t="e">
        <f>VLOOKUP(DF$1,'Existing Customers'!$A:$AA,27,FALSE)</f>
        <v>#N/A</v>
      </c>
      <c r="DN44" s="107" t="s">
        <v>855</v>
      </c>
      <c r="DO44" s="89" t="e">
        <f>VLOOKUP(DO$1,'Existing Customers'!$A:$AA,27,FALSE)</f>
        <v>#N/A</v>
      </c>
      <c r="DW44" s="107" t="s">
        <v>855</v>
      </c>
      <c r="DX44" s="89" t="e">
        <f>VLOOKUP(DX$1,'Existing Customers'!$A:$AA,27,FALSE)</f>
        <v>#N/A</v>
      </c>
    </row>
    <row r="45" spans="3:150" x14ac:dyDescent="0.25">
      <c r="L45" s="468">
        <f t="shared" si="33"/>
        <v>1</v>
      </c>
      <c r="M45" s="466" t="s">
        <v>117</v>
      </c>
      <c r="N45" s="469">
        <f>COUNTIF('Variable Costs (Back)'!$C$15:$C$24,M45)</f>
        <v>0</v>
      </c>
      <c r="AT45" s="107" t="s">
        <v>1009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860</v>
      </c>
      <c r="AU46" s="89">
        <f>IFERROR(VLOOKUP(AU$1,'Existing Customers'!$A:$AA,6,FALSE),AU6)</f>
        <v>0</v>
      </c>
      <c r="BC46" s="107" t="s">
        <v>860</v>
      </c>
      <c r="BD46" s="89">
        <f>IFERROR(VLOOKUP(BD$1,'Existing Customers'!$A:$AA,6,FALSE),BD5)</f>
        <v>0</v>
      </c>
      <c r="BL46" s="107" t="s">
        <v>860</v>
      </c>
      <c r="BM46" s="89">
        <f>IFERROR(VLOOKUP(BM$1,'Existing Customers'!$A:$AA,6,FALSE),BM6)</f>
        <v>0</v>
      </c>
      <c r="BU46" s="107" t="s">
        <v>860</v>
      </c>
      <c r="BV46" s="89">
        <f>IFERROR(VLOOKUP(BV$1,'Existing Customers'!$A:$AA,6,FALSE),BV6)</f>
        <v>0</v>
      </c>
      <c r="CD46" s="107" t="s">
        <v>860</v>
      </c>
      <c r="CE46" s="89">
        <f>IFERROR(VLOOKUP(CE$1,'Existing Customers'!$A:$AA,6,FALSE),CE6)</f>
        <v>0</v>
      </c>
      <c r="CM46" s="107" t="s">
        <v>860</v>
      </c>
      <c r="CN46" s="89">
        <f>IFERROR(VLOOKUP(CN$1,'Existing Customers'!$A:$AA,6,FALSE),CN6)</f>
        <v>0</v>
      </c>
      <c r="CV46" s="107" t="s">
        <v>860</v>
      </c>
      <c r="CW46" s="89">
        <f>IFERROR(VLOOKUP(CW$1,'Existing Customers'!$A:$AA,6,FALSE),CW6)</f>
        <v>0</v>
      </c>
      <c r="DE46" s="107" t="s">
        <v>860</v>
      </c>
      <c r="DF46" s="89">
        <f>IFERROR(VLOOKUP(DF$1,'Existing Customers'!$A:$AA,6,FALSE),DF6)</f>
        <v>0</v>
      </c>
      <c r="DN46" s="107" t="s">
        <v>860</v>
      </c>
      <c r="DO46" s="89">
        <f>IFERROR(VLOOKUP(DO$1,'Existing Customers'!$A:$AA,6,FALSE),DO6)</f>
        <v>0</v>
      </c>
      <c r="DW46" s="107" t="s">
        <v>860</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1008</v>
      </c>
      <c r="AU47" s="89" t="str">
        <f>IFERROR(ROUND(VLOOKUP(AU36,'Existing Customer Variable Exp'!$B:$F,5,FALSE)/52,1),"Enter Drops &gt;")</f>
        <v>Enter Drops &gt;</v>
      </c>
      <c r="BC47" s="107" t="s">
        <v>865</v>
      </c>
      <c r="BD47" s="89" t="str">
        <f>IFERROR(ROUND(VLOOKUP(BD36,'Existing Customer Variable Exp'!$B:$F,5,FALSE)/52,1),"Enter Drops &gt;")</f>
        <v>Enter Drops &gt;</v>
      </c>
      <c r="BL47" s="107" t="s">
        <v>865</v>
      </c>
      <c r="BM47" s="89" t="str">
        <f>IFERROR(ROUND(VLOOKUP(BM36,'Existing Customer Variable Exp'!$B:$F,5,FALSE)/52,1),"Enter Drops &gt;")</f>
        <v>Enter Drops &gt;</v>
      </c>
      <c r="BU47" s="107" t="s">
        <v>865</v>
      </c>
      <c r="BV47" s="89" t="str">
        <f>IFERROR(ROUND(VLOOKUP(BV36,'Existing Customer Variable Exp'!$B:$F,5,FALSE)/52,1),"Enter Drops &gt;")</f>
        <v>Enter Drops &gt;</v>
      </c>
      <c r="CD47" s="107" t="s">
        <v>865</v>
      </c>
      <c r="CE47" s="89" t="str">
        <f>IFERROR(ROUND(VLOOKUP(CE36,'Existing Customer Variable Exp'!$B:$F,5,FALSE)/52,1),"Enter Drops &gt;")</f>
        <v>Enter Drops &gt;</v>
      </c>
      <c r="CM47" s="107" t="s">
        <v>865</v>
      </c>
      <c r="CN47" s="89" t="str">
        <f>IFERROR(ROUND(VLOOKUP(CN36,'Existing Customer Variable Exp'!$B:$F,5,FALSE)/52,1),"Enter Drops &gt;")</f>
        <v>Enter Drops &gt;</v>
      </c>
      <c r="CV47" s="107" t="s">
        <v>865</v>
      </c>
      <c r="CW47" s="89" t="str">
        <f>IFERROR(ROUND(VLOOKUP(CW36,'Existing Customer Variable Exp'!$B:$F,5,FALSE)/52,1),"Enter Drops &gt;")</f>
        <v>Enter Drops &gt;</v>
      </c>
      <c r="DE47" s="107" t="s">
        <v>865</v>
      </c>
      <c r="DF47" s="89" t="str">
        <f>IFERROR(ROUND(VLOOKUP(DF36,'Existing Customer Variable Exp'!$B:$F,5,FALSE)/52,1),"Enter Drops &gt;")</f>
        <v>Enter Drops &gt;</v>
      </c>
      <c r="DN47" s="107" t="s">
        <v>865</v>
      </c>
      <c r="DO47" s="89" t="str">
        <f>IFERROR(ROUND(VLOOKUP(DO36,'Existing Customer Variable Exp'!$B:$F,5,FALSE)/52,1),"Enter Drops &gt;")</f>
        <v>Enter Drops &gt;</v>
      </c>
      <c r="DW47" s="107" t="s">
        <v>865</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862</v>
      </c>
      <c r="N49" s="474"/>
      <c r="Q49" s="107"/>
      <c r="R49" s="132"/>
      <c r="AT49" s="107" t="s">
        <v>1007</v>
      </c>
      <c r="AU49" s="111">
        <f>SUMIFS('Existing Customers'!$N:$N,'Existing Customers'!$A:$A,'Multi-Customer'!AU$36)</f>
        <v>0</v>
      </c>
      <c r="BC49" s="107" t="s">
        <v>1001</v>
      </c>
      <c r="BD49" s="111">
        <f>SUMIFS('Existing Customers'!$N:$N,'Existing Customers'!$A:$A,'Multi-Customer'!BD$36)</f>
        <v>0</v>
      </c>
      <c r="BL49" s="107" t="s">
        <v>1001</v>
      </c>
      <c r="BM49" s="111">
        <f>SUMIFS('Existing Customers'!$N:$N,'Existing Customers'!$A:$A,'Multi-Customer'!BM$36)</f>
        <v>0</v>
      </c>
      <c r="BU49" s="107" t="s">
        <v>1001</v>
      </c>
      <c r="BV49" s="111">
        <f>SUMIFS('Existing Customers'!$N:$N,'Existing Customers'!$A:$A,'Multi-Customer'!BV$36)</f>
        <v>0</v>
      </c>
      <c r="CD49" s="107" t="s">
        <v>1001</v>
      </c>
      <c r="CE49" s="111">
        <f>SUMIFS('Existing Customers'!$N:$N,'Existing Customers'!$A:$A,'Multi-Customer'!CE$36)</f>
        <v>0</v>
      </c>
      <c r="CM49" s="107" t="s">
        <v>1001</v>
      </c>
      <c r="CN49" s="111">
        <f>SUMIFS('Existing Customers'!$N:$N,'Existing Customers'!$A:$A,'Multi-Customer'!CN$36)</f>
        <v>0</v>
      </c>
      <c r="CV49" s="107" t="s">
        <v>1001</v>
      </c>
      <c r="CW49" s="111">
        <f>SUMIFS('Existing Customers'!$N:$N,'Existing Customers'!$A:$A,'Multi-Customer'!CW$36)</f>
        <v>0</v>
      </c>
      <c r="DE49" s="107" t="s">
        <v>1001</v>
      </c>
      <c r="DF49" s="111">
        <f>SUMIFS('Existing Customers'!$N:$N,'Existing Customers'!$A:$A,'Multi-Customer'!DF$36)</f>
        <v>0</v>
      </c>
      <c r="DN49" s="107" t="s">
        <v>1001</v>
      </c>
      <c r="DO49" s="111">
        <f>SUMIFS('Existing Customers'!$N:$N,'Existing Customers'!$A:$A,'Multi-Customer'!DO$36)</f>
        <v>0</v>
      </c>
      <c r="DW49" s="107" t="s">
        <v>1001</v>
      </c>
      <c r="DX49" s="111">
        <f>SUMIFS('Existing Customers'!$N:$N,'Existing Customers'!$A:$A,'Multi-Customer'!DX$36)</f>
        <v>0</v>
      </c>
    </row>
    <row r="50" spans="12:128" x14ac:dyDescent="0.25">
      <c r="L50" s="468">
        <f t="shared" ref="L50:L78" si="34">RANK(N50,$N$50:$N$78)</f>
        <v>1</v>
      </c>
      <c r="M50" s="466" t="s">
        <v>958</v>
      </c>
      <c r="N50" s="469">
        <f t="shared" ref="N50:N78" si="35">COUNTIF($AT$46:$DX$46,M50)</f>
        <v>0</v>
      </c>
      <c r="Q50" s="107"/>
      <c r="R50" s="133"/>
      <c r="AT50" s="107" t="s">
        <v>1006</v>
      </c>
      <c r="AU50" s="111">
        <f>IFERROR(VLOOKUP(AU$36,'Existing Customer Variable Exp'!$B:$F,5,FALSE),0)</f>
        <v>0</v>
      </c>
      <c r="BC50" s="107" t="s">
        <v>1006</v>
      </c>
      <c r="BD50" s="111">
        <f>IFERROR(VLOOKUP(BD$36,'Existing Customer Variable Exp'!$B:$F,5,FALSE),0)</f>
        <v>0</v>
      </c>
      <c r="BL50" s="107" t="s">
        <v>1006</v>
      </c>
      <c r="BM50" s="111">
        <f>IFERROR(VLOOKUP(BM$36,'Existing Customer Variable Exp'!$B:$F,5,FALSE),0)</f>
        <v>0</v>
      </c>
      <c r="BU50" s="107" t="s">
        <v>1006</v>
      </c>
      <c r="BV50" s="111">
        <f>IFERROR(VLOOKUP(BV$36,'Existing Customer Variable Exp'!$B:$F,5,FALSE),0)</f>
        <v>0</v>
      </c>
      <c r="CD50" s="107" t="s">
        <v>1006</v>
      </c>
      <c r="CE50" s="111">
        <f>IFERROR(VLOOKUP(CE$36,'Existing Customer Variable Exp'!$B:$F,5,FALSE),0)</f>
        <v>0</v>
      </c>
      <c r="CM50" s="107" t="s">
        <v>1006</v>
      </c>
      <c r="CN50" s="111">
        <f>IFERROR(VLOOKUP(CN$36,'Existing Customer Variable Exp'!$B:$F,5,FALSE),0)</f>
        <v>0</v>
      </c>
      <c r="CV50" s="107" t="s">
        <v>1006</v>
      </c>
      <c r="CW50" s="111">
        <f>IFERROR(VLOOKUP(CW$36,'Existing Customer Variable Exp'!$B:$F,5,FALSE),0)</f>
        <v>0</v>
      </c>
      <c r="DE50" s="107" t="s">
        <v>1006</v>
      </c>
      <c r="DF50" s="111">
        <f>IFERROR(VLOOKUP(DF$36,'Existing Customer Variable Exp'!$B:$F,5,FALSE),0)</f>
        <v>0</v>
      </c>
      <c r="DN50" s="107" t="s">
        <v>1006</v>
      </c>
      <c r="DO50" s="111">
        <f>IFERROR(VLOOKUP(DO$36,'Existing Customer Variable Exp'!$B:$F,5,FALSE),0)</f>
        <v>0</v>
      </c>
      <c r="DW50" s="107" t="s">
        <v>1006</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TYPES",VLOOKUP(L80,$L$50:$M$78,2,FALSE))</f>
        <v>MULTIPLE TYPES</v>
      </c>
      <c r="N80" s="144"/>
    </row>
    <row r="81" spans="12:14" x14ac:dyDescent="0.25">
      <c r="L81" s="476" t="s">
        <v>867</v>
      </c>
      <c r="M81" s="477">
        <f>COUNTIF($L$50:$L$78,1)</f>
        <v>29</v>
      </c>
      <c r="N81" s="144"/>
    </row>
    <row r="82" spans="12:14" x14ac:dyDescent="0.25">
      <c r="L82" s="476" t="s">
        <v>866</v>
      </c>
      <c r="M82" s="477" t="str">
        <f>VLOOKUP(L80,$L$50:$M$78,2,FALSE)</f>
        <v>Enter Customer(s)</v>
      </c>
      <c r="N82" s="144"/>
    </row>
    <row r="83" spans="12:14" ht="15.75" thickBot="1" x14ac:dyDescent="0.3">
      <c r="L83" s="478" t="s">
        <v>980</v>
      </c>
      <c r="M83" s="479" t="str">
        <f>IF(COUNTIF($N$51:$N$78,"&gt;0")&gt;1,"MULTIPLE TYPES",$M$80)</f>
        <v>MULTIPLE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959</v>
      </c>
      <c r="AU2" s="41" t="e">
        <f>$AL$33</f>
        <v>#DIV/0!</v>
      </c>
      <c r="AY2" s="537" t="s">
        <v>998</v>
      </c>
      <c r="AZ2" s="292"/>
      <c r="BA2" s="292"/>
      <c r="BB2" s="292"/>
      <c r="BC2" s="292"/>
      <c r="BD2" s="292"/>
      <c r="BE2" s="292"/>
      <c r="BF2" s="292"/>
      <c r="BK2" s="537" t="s">
        <v>998</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63" t="s">
        <v>996</v>
      </c>
      <c r="AX5" s="1264"/>
      <c r="AY5" s="540">
        <v>1757315</v>
      </c>
      <c r="AZ5" s="318" t="s">
        <v>218</v>
      </c>
      <c r="BA5" s="1" t="s">
        <v>218</v>
      </c>
      <c r="BB5" s="533">
        <v>3.2000000000000001E-2</v>
      </c>
      <c r="BC5" s="533">
        <v>6.9000000000000006E-2</v>
      </c>
      <c r="BD5" s="533">
        <v>8.2000000000000003E-2</v>
      </c>
      <c r="BE5" s="533">
        <v>9.6000000000000002E-2</v>
      </c>
      <c r="BF5" s="534">
        <v>0.13300000000000001</v>
      </c>
      <c r="BI5" s="1263" t="s">
        <v>997</v>
      </c>
      <c r="BJ5" s="1264"/>
      <c r="BK5" s="540">
        <v>1554219</v>
      </c>
      <c r="BL5" s="318" t="s">
        <v>218</v>
      </c>
      <c r="BM5" s="1" t="s">
        <v>218</v>
      </c>
      <c r="BN5" s="533">
        <v>3.6999999999999998E-2</v>
      </c>
      <c r="BO5" s="533">
        <v>7.8E-2</v>
      </c>
      <c r="BP5" s="533">
        <v>9.4E-2</v>
      </c>
      <c r="BQ5" s="533">
        <v>0.11</v>
      </c>
      <c r="BR5" s="533">
        <v>0.151</v>
      </c>
    </row>
    <row r="6" spans="1:70" ht="15.75" thickBot="1" x14ac:dyDescent="0.3">
      <c r="AW6" s="51" t="s">
        <v>505</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505</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506</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506</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986</v>
      </c>
      <c r="D10" s="2" t="s">
        <v>473</v>
      </c>
      <c r="E10" s="2" t="s">
        <v>473</v>
      </c>
      <c r="F10" s="2" t="s">
        <v>473</v>
      </c>
      <c r="G10" s="2" t="s">
        <v>473</v>
      </c>
      <c r="H10" s="2" t="s">
        <v>473</v>
      </c>
      <c r="I10" s="2" t="s">
        <v>473</v>
      </c>
      <c r="J10" s="2"/>
      <c r="K10" s="2"/>
      <c r="L10" s="2"/>
      <c r="N10" s="509" t="s">
        <v>987</v>
      </c>
      <c r="O10" s="2" t="s">
        <v>473</v>
      </c>
      <c r="P10" s="2" t="s">
        <v>473</v>
      </c>
      <c r="Q10" s="2" t="s">
        <v>473</v>
      </c>
      <c r="R10" s="2" t="s">
        <v>473</v>
      </c>
      <c r="S10" s="2" t="s">
        <v>473</v>
      </c>
      <c r="T10" s="2" t="s">
        <v>473</v>
      </c>
      <c r="U10" s="2"/>
      <c r="V10" s="2"/>
      <c r="W10" s="408" t="str">
        <f>IF('Multi-Customer'!$M$80="MULTIPLE MENU TYPES","INDEPENDENT RESTAURATEURS (PYR)",'Multi-Customer'!$M$80)</f>
        <v>MULTIPLE TYPES</v>
      </c>
      <c r="X10" s="2"/>
      <c r="Y10" s="2"/>
      <c r="Z10" s="2"/>
      <c r="AA10" s="2"/>
      <c r="AB10" s="2"/>
      <c r="AC10" s="2"/>
      <c r="AD10" s="2" t="s">
        <v>1034</v>
      </c>
      <c r="AE10" s="2"/>
      <c r="AF10" s="2"/>
      <c r="AG10" s="2"/>
      <c r="AH10" s="2"/>
      <c r="AI10" s="2"/>
      <c r="AJ10" s="2"/>
      <c r="AK10" s="509" t="s">
        <v>989</v>
      </c>
      <c r="AL10" s="43" t="s">
        <v>473</v>
      </c>
      <c r="AM10" s="43" t="s">
        <v>473</v>
      </c>
      <c r="AN10" s="43" t="s">
        <v>473</v>
      </c>
      <c r="AO10" s="43" t="s">
        <v>473</v>
      </c>
      <c r="AP10" s="43" t="s">
        <v>473</v>
      </c>
      <c r="AQ10" s="1266" t="s">
        <v>994</v>
      </c>
      <c r="AR10" s="1266"/>
      <c r="AW10" s="1265" t="s">
        <v>992</v>
      </c>
      <c r="AX10" s="1265"/>
      <c r="AY10" s="1265"/>
      <c r="AZ10" s="1265"/>
      <c r="BA10" s="1265"/>
      <c r="BD10" s="1265" t="s">
        <v>993</v>
      </c>
      <c r="BE10" s="1265"/>
      <c r="BF10" s="1265"/>
      <c r="BG10" s="1265"/>
      <c r="BH10" s="1265"/>
    </row>
    <row r="11" spans="1:70" x14ac:dyDescent="0.25">
      <c r="A11" s="2" t="s">
        <v>936</v>
      </c>
      <c r="C11" t="s">
        <v>259</v>
      </c>
      <c r="D11" s="2" t="s">
        <v>405</v>
      </c>
      <c r="E11" s="2" t="s">
        <v>83</v>
      </c>
      <c r="F11" s="2" t="s">
        <v>408</v>
      </c>
      <c r="G11" s="2" t="s">
        <v>512</v>
      </c>
      <c r="H11" s="2" t="s">
        <v>515</v>
      </c>
      <c r="I11" s="2" t="s">
        <v>513</v>
      </c>
      <c r="J11" s="2"/>
      <c r="K11" s="2"/>
      <c r="L11" s="2" t="s">
        <v>936</v>
      </c>
      <c r="N11" s="2" t="s">
        <v>259</v>
      </c>
      <c r="O11" s="2" t="s">
        <v>405</v>
      </c>
      <c r="P11" s="2" t="s">
        <v>83</v>
      </c>
      <c r="Q11" s="2" t="s">
        <v>408</v>
      </c>
      <c r="R11" s="2" t="s">
        <v>512</v>
      </c>
      <c r="S11" s="2" t="s">
        <v>515</v>
      </c>
      <c r="T11" s="2" t="s">
        <v>513</v>
      </c>
      <c r="U11" s="2"/>
      <c r="V11" s="2" t="s">
        <v>1028</v>
      </c>
      <c r="W11" s="2" t="s">
        <v>1029</v>
      </c>
      <c r="X11" s="2" t="s">
        <v>1030</v>
      </c>
      <c r="Y11" s="2"/>
      <c r="Z11" s="2"/>
      <c r="AA11" s="2" t="s">
        <v>988</v>
      </c>
      <c r="AB11" s="2" t="s">
        <v>1033</v>
      </c>
      <c r="AC11" s="2" t="s">
        <v>1031</v>
      </c>
      <c r="AD11" s="2" t="s">
        <v>1032</v>
      </c>
      <c r="AE11" s="2"/>
      <c r="AF11" s="2" t="s">
        <v>988</v>
      </c>
      <c r="AG11" s="2"/>
      <c r="AH11" s="2"/>
      <c r="AI11" s="2"/>
      <c r="AJ11" s="2"/>
      <c r="AK11" s="43" t="s">
        <v>259</v>
      </c>
      <c r="AL11" s="43" t="s">
        <v>405</v>
      </c>
      <c r="AM11" s="43" t="s">
        <v>83</v>
      </c>
      <c r="AN11" s="43" t="s">
        <v>512</v>
      </c>
      <c r="AO11" s="43" t="s">
        <v>515</v>
      </c>
      <c r="AP11" s="43" t="s">
        <v>513</v>
      </c>
      <c r="AQ11" s="522" t="s">
        <v>380</v>
      </c>
      <c r="AR11" s="522" t="s">
        <v>1027</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t="e">
        <f>IFERROR($O12/P12,VLOOKUP($W$10,'Basket Composition'!$A$34:$W$62,'PIM Ranges'!$M12,FALSE))</f>
        <v>#N/A</v>
      </c>
      <c r="T12" s="19" t="e">
        <f>IFERROR(O12/R12,VLOOKUP($W$10,'Basket Composition'!$A$65:$W$92,'PIM Ranges'!$M12,FALSE))</f>
        <v>#N/A</v>
      </c>
      <c r="U12" s="19"/>
      <c r="V12" s="2">
        <f>'PIM Model'!$C$10</f>
        <v>0</v>
      </c>
      <c r="W12" s="659">
        <f>VLOOKUP($W$10,'Basket Composition'!$A$3:$W$30,'PIM Ranges'!$AJ12)</f>
        <v>2.2200000000000001E-2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t="e">
        <f t="shared" ref="AO12:AO32" si="10">S12</f>
        <v>#N/A</v>
      </c>
      <c r="AP12" s="512"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523</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523</v>
      </c>
      <c r="O13" s="355" t="e">
        <f t="shared" si="1"/>
        <v>#DIV/0!</v>
      </c>
      <c r="P13" s="355" t="e">
        <f t="shared" si="2"/>
        <v>#DIV/0!</v>
      </c>
      <c r="Q13" s="355" t="e">
        <f t="shared" si="3"/>
        <v>#DIV/0!</v>
      </c>
      <c r="R13" s="355" t="e">
        <f t="shared" si="4"/>
        <v>#DIV/0!</v>
      </c>
      <c r="S13" s="355" t="e">
        <f>IFERROR($O13/P13,VLOOKUP($W$10,'Basket Composition'!$A$34:$W$62,'PIM Ranges'!$M13,FALSE))</f>
        <v>#N/A</v>
      </c>
      <c r="T13" s="19" t="e">
        <f>IFERROR(O13/R13,VLOOKUP($W$10,'Basket Composition'!$A$65:$W$92,'PIM Ranges'!$M13,FALSE))</f>
        <v>#N/A</v>
      </c>
      <c r="U13" s="19"/>
      <c r="V13" s="2">
        <f>'PIM Model'!$C$11</f>
        <v>0</v>
      </c>
      <c r="W13" s="659">
        <f>VLOOKUP($W$10,'Basket Composition'!$A$3:$W$30,'PIM Ranges'!$AJ13)</f>
        <v>7.3499999999999996E-2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523</v>
      </c>
      <c r="AL13" s="511" t="e">
        <f t="shared" si="7"/>
        <v>#DIV/0!</v>
      </c>
      <c r="AM13" s="511">
        <f t="shared" si="8"/>
        <v>0</v>
      </c>
      <c r="AN13" s="511">
        <f t="shared" si="9"/>
        <v>0</v>
      </c>
      <c r="AO13" s="512" t="e">
        <f>S13</f>
        <v>#N/A</v>
      </c>
      <c r="AP13" s="512"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523</v>
      </c>
      <c r="AX13" s="544">
        <v>9726</v>
      </c>
      <c r="AY13" s="544">
        <v>36145</v>
      </c>
      <c r="AZ13" s="544">
        <v>112255</v>
      </c>
      <c r="BA13" s="544">
        <v>235495</v>
      </c>
      <c r="BD13" s="60" t="s">
        <v>523</v>
      </c>
      <c r="BE13" s="544">
        <v>10238</v>
      </c>
      <c r="BF13" s="544">
        <v>41074</v>
      </c>
      <c r="BG13" s="544">
        <v>127563</v>
      </c>
      <c r="BH13" s="544">
        <v>301917</v>
      </c>
    </row>
    <row r="14" spans="1:70" x14ac:dyDescent="0.25">
      <c r="A14" t="e">
        <f t="shared" si="13"/>
        <v>#DIV/0!</v>
      </c>
      <c r="B14">
        <v>5</v>
      </c>
      <c r="C14" t="s">
        <v>524</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524</v>
      </c>
      <c r="O14" s="355" t="e">
        <f t="shared" si="1"/>
        <v>#DIV/0!</v>
      </c>
      <c r="P14" s="355" t="e">
        <f t="shared" si="2"/>
        <v>#DIV/0!</v>
      </c>
      <c r="Q14" s="355" t="e">
        <f t="shared" si="3"/>
        <v>#DIV/0!</v>
      </c>
      <c r="R14" s="355" t="e">
        <f t="shared" si="4"/>
        <v>#DIV/0!</v>
      </c>
      <c r="S14" s="355" t="e">
        <f>IFERROR($O14/P14,VLOOKUP($W$10,'Basket Composition'!$A$34:$W$62,'PIM Ranges'!$M14,FALSE))</f>
        <v>#N/A</v>
      </c>
      <c r="T14" s="19" t="e">
        <f>IFERROR(O14/R14,VLOOKUP($W$10,'Basket Composition'!$A$65:$W$92,'PIM Ranges'!$M14,FALSE))</f>
        <v>#N/A</v>
      </c>
      <c r="U14" s="19"/>
      <c r="V14" s="2">
        <f>'PIM Model'!$C$12</f>
        <v>0</v>
      </c>
      <c r="W14" s="659">
        <f>VLOOKUP($W$10,'Basket Composition'!$A$3:$W$30,'PIM Ranges'!$AJ14)</f>
        <v>0.1148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524</v>
      </c>
      <c r="AL14" s="511" t="e">
        <f t="shared" si="7"/>
        <v>#DIV/0!</v>
      </c>
      <c r="AM14" s="511">
        <f t="shared" si="8"/>
        <v>0</v>
      </c>
      <c r="AN14" s="511">
        <f t="shared" si="9"/>
        <v>0</v>
      </c>
      <c r="AO14" s="512" t="e">
        <f t="shared" si="10"/>
        <v>#N/A</v>
      </c>
      <c r="AP14" s="512"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524</v>
      </c>
      <c r="AX14" s="544">
        <v>7627</v>
      </c>
      <c r="AY14" s="544">
        <v>25048</v>
      </c>
      <c r="AZ14" s="544">
        <v>65918</v>
      </c>
      <c r="BA14" s="544">
        <v>149490</v>
      </c>
      <c r="BD14" s="60" t="s">
        <v>524</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t="e">
        <f>IFERROR($O15/P15,VLOOKUP($W$10,'Basket Composition'!$A$34:$W$62,'PIM Ranges'!$M15,FALSE))</f>
        <v>#N/A</v>
      </c>
      <c r="T15" s="19" t="e">
        <f>IFERROR(O15/R15,VLOOKUP($W$10,'Basket Composition'!$A$65:$W$92,'PIM Ranges'!$M15,FALSE))</f>
        <v>#N/A</v>
      </c>
      <c r="U15" s="19"/>
      <c r="V15" s="2">
        <f>'PIM Model'!$C$13</f>
        <v>0</v>
      </c>
      <c r="W15" s="659">
        <f>VLOOKUP($W$10,'Basket Composition'!$A$3:$W$30,'PIM Ranges'!$AJ15)</f>
        <v>5.4800000000000001E-2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t="e">
        <f t="shared" si="10"/>
        <v>#N/A</v>
      </c>
      <c r="AP15" s="512"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t="e">
        <f>IFERROR($O16/P16,VLOOKUP($W$10,'Basket Composition'!$A$34:$W$62,'PIM Ranges'!$M16,FALSE))</f>
        <v>#N/A</v>
      </c>
      <c r="T16" s="19" t="e">
        <f>IFERROR(O16/R16,VLOOKUP($W$10,'Basket Composition'!$A$65:$W$92,'PIM Ranges'!$M16,FALSE))</f>
        <v>#N/A</v>
      </c>
      <c r="U16" s="19"/>
      <c r="V16" s="2">
        <f>'PIM Model'!$C$14</f>
        <v>0</v>
      </c>
      <c r="W16" s="659">
        <f>VLOOKUP($W$10,'Basket Composition'!$A$3:$W$30,'PIM Ranges'!$AJ16)</f>
        <v>9.4500000000000001E-2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t="e">
        <f t="shared" si="10"/>
        <v>#N/A</v>
      </c>
      <c r="AP16" s="512"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t="e">
        <f>IFERROR($O17/P17,VLOOKUP($W$10,'Basket Composition'!$A$34:$W$62,'PIM Ranges'!$M17,FALSE))</f>
        <v>#N/A</v>
      </c>
      <c r="T17" s="19" t="e">
        <f>IFERROR(O17/R17,VLOOKUP($W$10,'Basket Composition'!$A$65:$W$92,'PIM Ranges'!$M17,FALSE))</f>
        <v>#N/A</v>
      </c>
      <c r="U17" s="19"/>
      <c r="V17" s="2">
        <f>'PIM Model'!$C$15</f>
        <v>0</v>
      </c>
      <c r="W17" s="659">
        <f>VLOOKUP($W$10,'Basket Composition'!$A$3:$W$30,'PIM Ranges'!$AJ17)</f>
        <v>1.61E-2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t="e">
        <f t="shared" si="10"/>
        <v>#N/A</v>
      </c>
      <c r="AP17" s="512"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t="e">
        <f>IFERROR($O18/P18,VLOOKUP($W$10,'Basket Composition'!$A$34:$W$62,'PIM Ranges'!$M18,FALSE))</f>
        <v>#N/A</v>
      </c>
      <c r="T18" s="19" t="e">
        <f>IFERROR(O18/R18,VLOOKUP($W$10,'Basket Composition'!$A$65:$W$92,'PIM Ranges'!$M18,FALSE))</f>
        <v>#N/A</v>
      </c>
      <c r="U18" s="19"/>
      <c r="V18" s="2">
        <f>'PIM Model'!$C$16</f>
        <v>0</v>
      </c>
      <c r="W18" s="659">
        <f>VLOOKUP($W$10,'Basket Composition'!$A$3:$W$30,'PIM Ranges'!$AJ18)</f>
        <v>3.44E-2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t="e">
        <f t="shared" si="10"/>
        <v>#N/A</v>
      </c>
      <c r="AP18" s="512"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t="e">
        <f>IFERROR($O19/P19,VLOOKUP($W$10,'Basket Composition'!$A$34:$W$62,'PIM Ranges'!$M19,FALSE))</f>
        <v>#N/A</v>
      </c>
      <c r="T19" s="19" t="e">
        <f>IFERROR(O19/R19,VLOOKUP($W$10,'Basket Composition'!$A$65:$W$92,'PIM Ranges'!$M19,FALSE))</f>
        <v>#N/A</v>
      </c>
      <c r="U19" s="19"/>
      <c r="V19" s="2">
        <f>'PIM Model'!$C$17</f>
        <v>0</v>
      </c>
      <c r="W19" s="659">
        <f>VLOOKUP($W$10,'Basket Composition'!$A$3:$W$30,'PIM Ranges'!$AJ19)</f>
        <v>8.7800000000000003E-2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t="e">
        <f t="shared" si="10"/>
        <v>#N/A</v>
      </c>
      <c r="AP19" s="512"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t="e">
        <f>IFERROR($O20/P20,VLOOKUP($W$10,'Basket Composition'!$A$34:$W$62,'PIM Ranges'!$M20,FALSE))</f>
        <v>#N/A</v>
      </c>
      <c r="T20" s="19" t="e">
        <f>IFERROR(O20/R20,VLOOKUP($W$10,'Basket Composition'!$A$65:$W$92,'PIM Ranges'!$M20,FALSE))</f>
        <v>#N/A</v>
      </c>
      <c r="U20" s="19"/>
      <c r="V20" s="2">
        <f>'PIM Model'!$C$18</f>
        <v>0</v>
      </c>
      <c r="W20" s="659">
        <f>VLOOKUP($W$10,'Basket Composition'!$A$3:$W$30,'PIM Ranges'!$AJ20)</f>
        <v>1.3299999999999999E-2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t="e">
        <f t="shared" si="10"/>
        <v>#N/A</v>
      </c>
      <c r="AP20" s="512"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t="e">
        <f>IFERROR($O21/P21,VLOOKUP($W$10,'Basket Composition'!$A$34:$W$62,'PIM Ranges'!$M21,FALSE))</f>
        <v>#N/A</v>
      </c>
      <c r="T21" s="19" t="e">
        <f>IFERROR(O21/R21,VLOOKUP($W$10,'Basket Composition'!$A$65:$W$92,'PIM Ranges'!$M21,FALSE))</f>
        <v>#N/A</v>
      </c>
      <c r="U21" s="19"/>
      <c r="V21" s="2">
        <f>'PIM Model'!$C$19</f>
        <v>0</v>
      </c>
      <c r="W21" s="659">
        <f>VLOOKUP($W$10,'Basket Composition'!$A$3:$W$30,'PIM Ranges'!$AJ21)</f>
        <v>4.3700000000000003E-2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t="e">
        <f t="shared" si="10"/>
        <v>#N/A</v>
      </c>
      <c r="AP21" s="512"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t="e">
        <f>IFERROR($O22/P22,VLOOKUP($W$10,'Basket Composition'!$A$34:$W$62,'PIM Ranges'!$M22,FALSE))</f>
        <v>#N/A</v>
      </c>
      <c r="T22" s="19" t="e">
        <f>IFERROR(O22/R22,VLOOKUP($W$10,'Basket Composition'!$A$65:$W$92,'PIM Ranges'!$M22,FALSE))</f>
        <v>#N/A</v>
      </c>
      <c r="U22" s="19"/>
      <c r="V22" s="2">
        <f>'PIM Model'!$C$20</f>
        <v>0</v>
      </c>
      <c r="W22" s="659">
        <f>VLOOKUP($W$10,'Basket Composition'!$A$3:$W$30,'PIM Ranges'!$AJ22)</f>
        <v>9.7600000000000117E-2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t="e">
        <f t="shared" si="10"/>
        <v>#N/A</v>
      </c>
      <c r="AP22" s="512"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t="e">
        <f>IFERROR($O23/P23,VLOOKUP($W$10,'Basket Composition'!$A$34:$W$62,'PIM Ranges'!$M23,FALSE))</f>
        <v>#N/A</v>
      </c>
      <c r="T23" s="19" t="e">
        <f>IFERROR(O23/R23,VLOOKUP($W$10,'Basket Composition'!$A$65:$W$92,'PIM Ranges'!$M23,FALSE))</f>
        <v>#N/A</v>
      </c>
      <c r="U23" s="19"/>
      <c r="V23" s="2">
        <f>'PIM Model'!$C$21</f>
        <v>0</v>
      </c>
      <c r="W23" s="659">
        <f>VLOOKUP($W$10,'Basket Composition'!$A$3:$W$30,'PIM Ranges'!$AJ23)</f>
        <v>6.2700000000000006E-2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t="e">
        <f t="shared" si="10"/>
        <v>#N/A</v>
      </c>
      <c r="AP23" s="512"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t="e">
        <f>IFERROR($O24/P24,VLOOKUP($W$10,'Basket Composition'!$A$34:$W$62,'PIM Ranges'!$M24,FALSE))</f>
        <v>#N/A</v>
      </c>
      <c r="T24" s="19" t="e">
        <f>IFERROR(O24/R24,VLOOKUP($W$10,'Basket Composition'!$A$65:$W$92,'PIM Ranges'!$M24,FALSE))</f>
        <v>#N/A</v>
      </c>
      <c r="U24" s="19"/>
      <c r="V24" s="2">
        <f>'PIM Model'!$C$22</f>
        <v>0</v>
      </c>
      <c r="W24" s="659">
        <f>VLOOKUP($W$10,'Basket Composition'!$A$3:$W$30,'PIM Ranges'!$AJ24)</f>
        <v>2.0999999999999999E-3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t="e">
        <f t="shared" si="10"/>
        <v>#N/A</v>
      </c>
      <c r="AP24" s="512"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t="e">
        <f>IFERROR($O25/P25,VLOOKUP($W$10,'Basket Composition'!$A$34:$W$62,'PIM Ranges'!$M25,FALSE))</f>
        <v>#N/A</v>
      </c>
      <c r="T25" s="19" t="e">
        <f>IFERROR(O25/R25,VLOOKUP($W$10,'Basket Composition'!$A$65:$W$92,'PIM Ranges'!$M25,FALSE))</f>
        <v>#N/A</v>
      </c>
      <c r="U25" s="19"/>
      <c r="V25" s="2">
        <f>'PIM Model'!$C$23</f>
        <v>0</v>
      </c>
      <c r="W25" s="659">
        <f>VLOOKUP($W$10,'Basket Composition'!$A$3:$W$30,'PIM Ranges'!$AJ25)</f>
        <v>3.2599999999999997E-2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t="e">
        <f t="shared" si="10"/>
        <v>#N/A</v>
      </c>
      <c r="AP25" s="512"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t="e">
        <f>IFERROR($O26/P26,VLOOKUP($W$10,'Basket Composition'!$A$34:$W$62,'PIM Ranges'!$M26,FALSE))</f>
        <v>#N/A</v>
      </c>
      <c r="T26" s="19" t="e">
        <f>IFERROR(O26/R26,VLOOKUP($W$10,'Basket Composition'!$A$65:$W$92,'PIM Ranges'!$M26,FALSE))</f>
        <v>#N/A</v>
      </c>
      <c r="U26" s="19"/>
      <c r="V26" s="2">
        <f>'PIM Model'!$C$24</f>
        <v>0</v>
      </c>
      <c r="W26" s="659">
        <f>VLOOKUP($W$10,'Basket Composition'!$A$3:$W$30,'PIM Ranges'!$AJ26)</f>
        <v>2.9700000000000001E-2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t="e">
        <f t="shared" si="10"/>
        <v>#N/A</v>
      </c>
      <c r="AP26" s="512"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t="e">
        <f>IFERROR($O27/P27,VLOOKUP($W$10,'Basket Composition'!$A$34:$W$62,'PIM Ranges'!$M27,FALSE))</f>
        <v>#N/A</v>
      </c>
      <c r="T27" s="19" t="e">
        <f>IFERROR(O27/R27,VLOOKUP($W$10,'Basket Composition'!$A$65:$W$92,'PIM Ranges'!$M27,FALSE))</f>
        <v>#N/A</v>
      </c>
      <c r="U27" s="19"/>
      <c r="V27" s="2">
        <f>'PIM Model'!$C$25</f>
        <v>0</v>
      </c>
      <c r="W27" s="659">
        <f>VLOOKUP($W$10,'Basket Composition'!$A$3:$W$30,'PIM Ranges'!$AJ27)</f>
        <v>9.9400000000000002E-2</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t="e">
        <f t="shared" si="10"/>
        <v>#N/A</v>
      </c>
      <c r="AP27" s="512"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t="e">
        <f>IFERROR($O28/P28,VLOOKUP($W$10,'Basket Composition'!$A$34:$W$62,'PIM Ranges'!$M28,FALSE))</f>
        <v>#N/A</v>
      </c>
      <c r="T28" s="19" t="e">
        <f>IFERROR(O28/R28,VLOOKUP($W$10,'Basket Composition'!$A$65:$W$92,'PIM Ranges'!$M28,FALSE))</f>
        <v>#N/A</v>
      </c>
      <c r="U28" s="19"/>
      <c r="V28" s="2">
        <f>'PIM Model'!$C$26</f>
        <v>0</v>
      </c>
      <c r="W28" s="659">
        <f>VLOOKUP($W$10,'Basket Composition'!$A$3:$W$30,'PIM Ranges'!$AJ28)</f>
        <v>4.8999999999999998E-3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t="e">
        <f t="shared" si="10"/>
        <v>#N/A</v>
      </c>
      <c r="AP28" s="512"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t="e">
        <f>IFERROR($O29/P29,VLOOKUP($W$10,'Basket Composition'!$A$34:$W$62,'PIM Ranges'!$M29,FALSE))</f>
        <v>#N/A</v>
      </c>
      <c r="T29" s="19" t="e">
        <f>IFERROR(O29/R29,VLOOKUP($W$10,'Basket Composition'!$A$65:$W$92,'PIM Ranges'!$M29,FALSE))</f>
        <v>#N/A</v>
      </c>
      <c r="U29" s="19"/>
      <c r="V29" s="2">
        <f>'PIM Model'!$C$27</f>
        <v>0</v>
      </c>
      <c r="W29" s="659">
        <f>VLOOKUP($W$10,'Basket Composition'!$A$3:$W$30,'PIM Ranges'!$AJ29)</f>
        <v>7.1499999999999994E-2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t="e">
        <f t="shared" si="10"/>
        <v>#N/A</v>
      </c>
      <c r="AP29" s="512"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t="e">
        <f>IFERROR($O30/P30,VLOOKUP($W$10,'Basket Composition'!$A$34:$W$62,'PIM Ranges'!$M30,FALSE))</f>
        <v>#N/A</v>
      </c>
      <c r="T30" s="19" t="e">
        <f>IFERROR(O30/R30,VLOOKUP($W$10,'Basket Composition'!$A$65:$W$92,'PIM Ranges'!$M30,FALSE))</f>
        <v>#N/A</v>
      </c>
      <c r="U30" s="19"/>
      <c r="V30" s="2">
        <f>'PIM Model'!$C$28</f>
        <v>0</v>
      </c>
      <c r="W30" s="659">
        <f>VLOOKUP($W$10,'Basket Composition'!$A$3:$W$30,'PIM Ranges'!$AJ30)</f>
        <v>1E-3</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t="e">
        <f t="shared" si="10"/>
        <v>#N/A</v>
      </c>
      <c r="AP30" s="512"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t="e">
        <f>IFERROR($O31/P31,VLOOKUP($W$10,'Basket Composition'!$A$34:$W$62,'PIM Ranges'!$M31,FALSE))</f>
        <v>#N/A</v>
      </c>
      <c r="T31" s="19" t="e">
        <f>IFERROR(O31/R31,VLOOKUP($W$10,'Basket Composition'!$A$65:$W$92,'PIM Ranges'!$M31,FALSE))</f>
        <v>#N/A</v>
      </c>
      <c r="U31" s="19"/>
      <c r="V31" s="2">
        <f>'PIM Model'!$C$29</f>
        <v>0</v>
      </c>
      <c r="W31" s="659">
        <f>VLOOKUP($W$10,'Basket Composition'!$A$3:$W$30,'PIM Ranges'!$AJ31)</f>
        <v>4.24E-2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t="e">
        <f t="shared" si="10"/>
        <v>#N/A</v>
      </c>
      <c r="AP31" s="512"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t="e">
        <f>IFERROR($O32/P32,VLOOKUP($W$10,'Basket Composition'!$A$34:$W$62,'PIM Ranges'!$M32,FALSE))</f>
        <v>#N/A</v>
      </c>
      <c r="T32" s="19" t="e">
        <f>IFERROR(O32/R32,VLOOKUP($W$10,'Basket Composition'!$A$65:$W$92,'PIM Ranges'!$M32,FALSE))</f>
        <v>#N/A</v>
      </c>
      <c r="U32" s="19"/>
      <c r="V32" s="2">
        <f>'PIM Model'!$C$30</f>
        <v>0</v>
      </c>
      <c r="W32" s="659">
        <f>VLOOKUP($W$10,'Basket Composition'!$A$3:$W$30,'PIM Ranges'!$AJ32)</f>
        <v>1E-3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t="e">
        <f t="shared" si="10"/>
        <v>#N/A</v>
      </c>
      <c r="AP32" s="512"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71" t="s">
        <v>824</v>
      </c>
      <c r="B1" s="1271"/>
      <c r="C1" s="1271"/>
      <c r="D1" s="1271"/>
      <c r="F1" s="1272" t="s">
        <v>753</v>
      </c>
      <c r="G1" s="1272"/>
      <c r="I1" s="1273" t="s">
        <v>823</v>
      </c>
      <c r="J1" s="1274"/>
      <c r="K1" s="1274"/>
      <c r="L1" s="1274"/>
      <c r="M1" s="1274"/>
      <c r="N1" s="1274"/>
      <c r="O1" s="1274"/>
      <c r="P1" s="1274"/>
      <c r="Q1" s="1274"/>
      <c r="R1" s="1274"/>
      <c r="S1" s="1274"/>
      <c r="T1" s="1274"/>
      <c r="U1" s="1274"/>
      <c r="V1" s="1275"/>
    </row>
    <row r="2" spans="1:23" x14ac:dyDescent="0.25">
      <c r="I2" s="362"/>
      <c r="J2" s="141"/>
      <c r="K2" s="141"/>
      <c r="L2" s="141"/>
      <c r="M2" s="141"/>
      <c r="N2" s="141"/>
      <c r="O2" s="141"/>
      <c r="P2" s="141"/>
      <c r="Q2" s="141"/>
      <c r="R2" s="141"/>
      <c r="S2" s="141"/>
      <c r="T2" s="141"/>
      <c r="U2" s="141"/>
      <c r="V2" s="365"/>
    </row>
    <row r="3" spans="1:23" x14ac:dyDescent="0.25">
      <c r="A3" t="s">
        <v>250</v>
      </c>
      <c r="B3" s="1276">
        <f>Welcome!$D$4</f>
        <v>0</v>
      </c>
      <c r="C3" s="1276"/>
      <c r="I3" s="357">
        <v>1</v>
      </c>
      <c r="J3" t="s">
        <v>779</v>
      </c>
      <c r="L3" s="1276" t="str">
        <f>"ALC "&amp;'Required Info to Submit'!$F$6</f>
        <v xml:space="preserve">ALC </v>
      </c>
      <c r="M3" s="1276"/>
      <c r="N3" s="1276"/>
      <c r="O3" s="1276"/>
      <c r="P3" s="1276"/>
      <c r="R3"/>
      <c r="V3" s="144"/>
    </row>
    <row r="4" spans="1:23" ht="45" x14ac:dyDescent="0.25">
      <c r="A4" t="s">
        <v>760</v>
      </c>
      <c r="B4" s="1277">
        <f>'Required Info to Submit'!$F$6</f>
        <v>0</v>
      </c>
      <c r="C4" s="1277"/>
      <c r="D4" s="2" t="s">
        <v>915</v>
      </c>
      <c r="F4" s="272" t="s">
        <v>754</v>
      </c>
      <c r="G4" s="692">
        <f>Incentives!$H$9</f>
        <v>0</v>
      </c>
      <c r="H4" s="314"/>
      <c r="I4" s="357">
        <v>2</v>
      </c>
      <c r="J4" t="s">
        <v>755</v>
      </c>
      <c r="L4" s="366">
        <f>'Required Info to Submit'!$F$14</f>
        <v>0</v>
      </c>
      <c r="M4" s="366"/>
      <c r="N4" s="366"/>
      <c r="O4" s="367">
        <v>3</v>
      </c>
      <c r="P4" s="1276" t="s">
        <v>757</v>
      </c>
      <c r="Q4" s="1276"/>
      <c r="R4" s="1276"/>
      <c r="S4" s="1279" t="e">
        <f>$L$4+(364*$G$5)+6</f>
        <v>#VALUE!</v>
      </c>
      <c r="T4" s="1279"/>
      <c r="U4" s="366"/>
      <c r="V4" s="144"/>
    </row>
    <row r="5" spans="1:23" x14ac:dyDescent="0.25">
      <c r="A5" t="s">
        <v>1053</v>
      </c>
      <c r="B5" s="1281">
        <f>'Required Info to Submit'!$F$8</f>
        <v>0</v>
      </c>
      <c r="C5" s="1281"/>
      <c r="D5" t="e">
        <f>G5*12</f>
        <v>#VALUE!</v>
      </c>
      <c r="F5" s="272" t="s">
        <v>756</v>
      </c>
      <c r="G5" s="313" t="str">
        <f>Welcome!$D$14</f>
        <v>Select Term</v>
      </c>
      <c r="H5" s="314"/>
      <c r="I5" s="358"/>
      <c r="M5"/>
      <c r="O5" s="2"/>
      <c r="P5" s="304"/>
      <c r="Q5" s="304"/>
      <c r="R5" s="304"/>
      <c r="S5" s="304"/>
      <c r="T5" s="304"/>
      <c r="V5" s="144"/>
    </row>
    <row r="6" spans="1:23" x14ac:dyDescent="0.25">
      <c r="A6" t="s">
        <v>818</v>
      </c>
      <c r="B6" s="1278">
        <f>'Required Info to Submit'!$F$14</f>
        <v>0</v>
      </c>
      <c r="C6" s="1278"/>
      <c r="F6" t="s">
        <v>758</v>
      </c>
      <c r="G6" s="790">
        <f>IF(L4&lt;43827,43827-L4+1,IF(L4&lt;43918,43918-L4+1,IF(L4&lt;44009,44009-L4+1,IF(L4&lt;44198,44198-L4+1,IF(L4&lt;44289,44289-L4+1,IF(L4&lt;44380,44380-L4+1,IF(L4&lt;44471,44471-L4+1,44562-L4+1)))))))/7</f>
        <v>6261.1428571428569</v>
      </c>
      <c r="H6" s="315"/>
      <c r="I6" s="357">
        <v>5</v>
      </c>
      <c r="J6" t="s">
        <v>759</v>
      </c>
      <c r="L6" s="304">
        <f>'MDA Worksheet'!$D$95</f>
        <v>0</v>
      </c>
      <c r="M6"/>
      <c r="O6" s="367">
        <v>7</v>
      </c>
      <c r="P6" s="1276" t="s">
        <v>780</v>
      </c>
      <c r="Q6" s="1276"/>
      <c r="R6" s="1276"/>
      <c r="S6" s="1280">
        <f>-('Tracking &amp; Profitability'!$E$22)</f>
        <v>0</v>
      </c>
      <c r="T6" s="1280"/>
      <c r="U6" s="20"/>
      <c r="V6" s="144"/>
    </row>
    <row r="7" spans="1:23" x14ac:dyDescent="0.25">
      <c r="A7" t="s">
        <v>819</v>
      </c>
      <c r="B7" s="1276">
        <f>'Required Info to Submit'!$F$10</f>
        <v>0</v>
      </c>
      <c r="C7" s="1276"/>
      <c r="F7" s="892" t="str">
        <f>IF(Incentives!E15="Yes","VB","")</f>
        <v/>
      </c>
      <c r="G7" s="892" t="str">
        <f>IF(Incentives!E26="YES","DS","")</f>
        <v/>
      </c>
      <c r="I7" s="357">
        <v>6</v>
      </c>
      <c r="J7" t="s">
        <v>781</v>
      </c>
      <c r="L7" s="1276" t="str">
        <f>'MDA Worksheet'!$K$95</f>
        <v/>
      </c>
      <c r="M7" s="1276"/>
      <c r="N7" s="1276"/>
      <c r="O7" s="367">
        <v>8</v>
      </c>
      <c r="P7" s="1276" t="s">
        <v>895</v>
      </c>
      <c r="Q7" s="1276"/>
      <c r="R7" s="1276"/>
      <c r="S7" s="1276">
        <f>'Required Info to Submit'!$F$10</f>
        <v>0</v>
      </c>
      <c r="T7" s="1276"/>
      <c r="V7" s="144"/>
    </row>
    <row r="8" spans="1:23" x14ac:dyDescent="0.25">
      <c r="A8" t="s">
        <v>820</v>
      </c>
      <c r="B8" s="1276">
        <f>'Required Info to Submit'!$F$9</f>
        <v>0</v>
      </c>
      <c r="C8" s="1276"/>
      <c r="F8" s="892" t="str">
        <f>IF(Incentives!E37="Yes","EB","")</f>
        <v/>
      </c>
      <c r="G8" s="892" t="str">
        <f>IF(Incentives!E48="Yes","SG","")</f>
        <v/>
      </c>
      <c r="I8" s="143"/>
      <c r="M8"/>
      <c r="R8"/>
      <c r="V8" s="144"/>
    </row>
    <row r="9" spans="1:23" x14ac:dyDescent="0.25">
      <c r="A9" t="s">
        <v>676</v>
      </c>
      <c r="B9" s="1276">
        <f>'Required Info to Submit'!$F$12</f>
        <v>0</v>
      </c>
      <c r="C9" s="1276"/>
      <c r="F9" s="892" t="str">
        <f>IF(Incentives!E56="Yes","EC","")</f>
        <v/>
      </c>
      <c r="G9" s="892" t="str">
        <f>IF(Incentives!E89="Yes","CC","")</f>
        <v/>
      </c>
      <c r="I9" s="368" t="s">
        <v>897</v>
      </c>
      <c r="J9" s="317" t="s">
        <v>957</v>
      </c>
      <c r="K9" s="316" t="s">
        <v>886</v>
      </c>
      <c r="L9" s="317" t="s">
        <v>898</v>
      </c>
      <c r="M9" s="317"/>
      <c r="N9" s="317"/>
      <c r="O9" s="316" t="s">
        <v>899</v>
      </c>
      <c r="P9" s="317"/>
      <c r="Q9" s="318"/>
      <c r="R9"/>
      <c r="V9" s="144"/>
    </row>
    <row r="10" spans="1:23" ht="15.75" thickBot="1" x14ac:dyDescent="0.3">
      <c r="A10" t="s">
        <v>821</v>
      </c>
      <c r="B10" s="1276">
        <f>'Required Info to Submit'!$F$11</f>
        <v>0</v>
      </c>
      <c r="C10" s="1276"/>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67"/>
      <c r="C11" s="1267"/>
      <c r="F11" s="964" t="str">
        <f>IF(Incentives!E72="Yes","Roll","")</f>
        <v/>
      </c>
      <c r="I11" s="1268" t="s">
        <v>761</v>
      </c>
      <c r="J11" s="1269"/>
      <c r="K11" s="1269"/>
      <c r="L11" s="1270"/>
      <c r="M11" s="320"/>
      <c r="N11" s="1268" t="s">
        <v>488</v>
      </c>
      <c r="O11" s="1269"/>
      <c r="P11" s="1269"/>
      <c r="Q11" s="1270"/>
      <c r="R11" s="320"/>
      <c r="S11" s="1268" t="s">
        <v>549</v>
      </c>
      <c r="T11" s="1269"/>
      <c r="U11" s="1269"/>
      <c r="V11" s="1270"/>
    </row>
    <row r="12" spans="1:23" ht="15.75" thickBot="1" x14ac:dyDescent="0.3">
      <c r="A12" s="1303" t="s">
        <v>761</v>
      </c>
      <c r="B12" s="1304"/>
      <c r="C12" s="1304"/>
      <c r="D12" s="1305"/>
      <c r="E12" s="931"/>
      <c r="F12" s="141"/>
      <c r="G12" s="141"/>
      <c r="H12" s="855"/>
      <c r="I12" s="1294" t="s">
        <v>762</v>
      </c>
      <c r="J12" s="1295"/>
      <c r="K12" s="1295"/>
      <c r="L12" s="1296"/>
      <c r="M12" s="320"/>
      <c r="N12" s="1294" t="s">
        <v>763</v>
      </c>
      <c r="O12" s="1295"/>
      <c r="P12" s="1295"/>
      <c r="Q12" s="1296"/>
      <c r="R12" s="320"/>
      <c r="S12" s="1294" t="s">
        <v>764</v>
      </c>
      <c r="T12" s="1295"/>
      <c r="U12" s="1295"/>
      <c r="V12" s="1296"/>
    </row>
    <row r="13" spans="1:23" x14ac:dyDescent="0.25">
      <c r="A13" s="321" t="s">
        <v>765</v>
      </c>
      <c r="B13" s="322">
        <f>$L$4</f>
        <v>0</v>
      </c>
      <c r="C13" s="323" t="s">
        <v>766</v>
      </c>
      <c r="D13" s="327" t="e">
        <f>$S$4</f>
        <v>#VALUE!</v>
      </c>
      <c r="E13" s="324"/>
      <c r="F13" s="323"/>
      <c r="G13" s="323"/>
      <c r="H13" s="325"/>
      <c r="I13" s="359" t="s">
        <v>767</v>
      </c>
      <c r="J13" s="322">
        <f>L4</f>
        <v>0</v>
      </c>
      <c r="K13" s="326" t="s">
        <v>768</v>
      </c>
      <c r="L13" s="327" t="e">
        <f>D13</f>
        <v>#VALUE!</v>
      </c>
      <c r="M13" s="325"/>
      <c r="N13" s="351" t="s">
        <v>767</v>
      </c>
      <c r="O13" s="329">
        <f>$L$4</f>
        <v>0</v>
      </c>
      <c r="P13" s="88" t="s">
        <v>768</v>
      </c>
      <c r="Q13" s="352" t="e">
        <f>$S$4</f>
        <v>#VALUE!</v>
      </c>
      <c r="R13" s="325"/>
      <c r="S13" s="143" t="s">
        <v>767</v>
      </c>
      <c r="T13" s="329">
        <f>$L$4</f>
        <v>0</v>
      </c>
      <c r="U13" s="88" t="s">
        <v>768</v>
      </c>
      <c r="V13" s="352" t="e">
        <f>$S$4</f>
        <v>#VALUE!</v>
      </c>
      <c r="W13" s="314"/>
    </row>
    <row r="14" spans="1:23" ht="45" x14ac:dyDescent="0.25">
      <c r="A14" s="328" t="s">
        <v>899</v>
      </c>
      <c r="B14" s="835" t="str">
        <f>Incentives!$I$14</f>
        <v>Select Payment Method</v>
      </c>
      <c r="C14" s="893"/>
      <c r="D14" s="333"/>
      <c r="E14" s="330"/>
      <c r="F14" s="272"/>
      <c r="G14" s="272"/>
      <c r="H14" s="314"/>
      <c r="I14" s="360" t="s">
        <v>917</v>
      </c>
      <c r="J14" s="329" t="str">
        <f>Incentives!$I$14</f>
        <v>Select Payment Method</v>
      </c>
      <c r="K14" s="332" t="str">
        <f>IF(J14="Check","Check","Credit Memo")</f>
        <v>Credit Memo</v>
      </c>
      <c r="L14" s="693" t="str">
        <f>Incentives!$K$14</f>
        <v/>
      </c>
      <c r="M14" s="314"/>
      <c r="N14" s="360" t="s">
        <v>918</v>
      </c>
      <c r="O14" s="329" t="str">
        <f>Incentives!$I$25</f>
        <v>Select Payment Method</v>
      </c>
      <c r="P14" s="332" t="str">
        <f>IF(O14="Check","Check","Credit Memo")</f>
        <v>Credit Memo</v>
      </c>
      <c r="Q14" s="693" t="str">
        <f>Incentives!$K$25</f>
        <v/>
      </c>
      <c r="R14" s="314"/>
      <c r="S14" s="328" t="s">
        <v>918</v>
      </c>
      <c r="T14" s="329" t="str">
        <f>Incentives!$I$36</f>
        <v>Select Payment Method</v>
      </c>
      <c r="U14" s="332" t="str">
        <f>IF(T14="Check","Check","Credit Memo")</f>
        <v>Credit Memo</v>
      </c>
      <c r="V14" s="693" t="str">
        <f>Incentives!$K$36</f>
        <v/>
      </c>
      <c r="W14" s="314"/>
    </row>
    <row r="15" spans="1:23" x14ac:dyDescent="0.25">
      <c r="A15" s="328" t="s">
        <v>1229</v>
      </c>
      <c r="B15" s="835" t="str">
        <f>Incentives!$G$14</f>
        <v>Quarterly</v>
      </c>
      <c r="C15" s="893"/>
      <c r="D15" s="333"/>
      <c r="E15" s="330"/>
      <c r="F15" s="272"/>
      <c r="G15" s="272"/>
      <c r="H15" s="314"/>
      <c r="I15" s="781" t="s">
        <v>1229</v>
      </c>
      <c r="J15" s="329" t="str">
        <f>B15</f>
        <v>Quarterly</v>
      </c>
      <c r="K15" s="332"/>
      <c r="L15" s="333"/>
      <c r="M15" s="314"/>
      <c r="N15" s="143"/>
      <c r="O15" s="88" t="s">
        <v>911</v>
      </c>
      <c r="P15" t="s">
        <v>912</v>
      </c>
      <c r="Q15" s="144"/>
      <c r="R15" s="314"/>
      <c r="S15" s="143"/>
      <c r="T15" s="88" t="s">
        <v>911</v>
      </c>
      <c r="U15" t="s">
        <v>912</v>
      </c>
      <c r="V15" s="144"/>
      <c r="W15" s="314"/>
    </row>
    <row r="16" spans="1:23" x14ac:dyDescent="0.25">
      <c r="A16" s="328"/>
      <c r="B16" s="835"/>
      <c r="C16" s="893"/>
      <c r="D16" s="333"/>
      <c r="E16" s="330"/>
      <c r="F16" s="272"/>
      <c r="G16" s="272"/>
      <c r="H16" s="314"/>
      <c r="I16" s="360"/>
      <c r="J16" s="88" t="s">
        <v>910</v>
      </c>
      <c r="K16" s="331">
        <f>Incentives!$I$18</f>
        <v>0.01</v>
      </c>
      <c r="L16" s="333"/>
      <c r="M16" s="314"/>
      <c r="N16" s="781" t="s">
        <v>1229</v>
      </c>
      <c r="O16" s="910" t="str">
        <f>B27</f>
        <v>Quarterly</v>
      </c>
      <c r="P16" s="332"/>
      <c r="Q16" s="333"/>
      <c r="R16" s="314"/>
      <c r="S16" s="781" t="s">
        <v>1229</v>
      </c>
      <c r="T16" s="910" t="str">
        <f>B37</f>
        <v>Quarterly</v>
      </c>
      <c r="U16" s="332"/>
      <c r="V16" s="333"/>
      <c r="W16" s="314"/>
    </row>
    <row r="17" spans="1:23" x14ac:dyDescent="0.25">
      <c r="A17" s="143"/>
      <c r="B17" s="812"/>
      <c r="C17" s="812"/>
      <c r="D17" s="144"/>
      <c r="I17" s="143"/>
      <c r="J17" s="88" t="s">
        <v>911</v>
      </c>
      <c r="K17" t="s">
        <v>912</v>
      </c>
      <c r="L17" s="144"/>
      <c r="M17" s="334"/>
      <c r="N17" s="143"/>
      <c r="Q17" s="361"/>
      <c r="S17" s="143"/>
      <c r="V17" s="144"/>
    </row>
    <row r="18" spans="1:23" ht="30" x14ac:dyDescent="0.25">
      <c r="A18" s="335"/>
      <c r="B18" s="336" t="s">
        <v>769</v>
      </c>
      <c r="C18" s="336" t="s">
        <v>770</v>
      </c>
      <c r="D18" s="766" t="s">
        <v>771</v>
      </c>
      <c r="E18" s="337"/>
      <c r="F18" s="338"/>
      <c r="G18" s="338" t="s">
        <v>772</v>
      </c>
      <c r="H18" s="339"/>
      <c r="I18" s="781">
        <v>3</v>
      </c>
      <c r="J18" s="338"/>
      <c r="K18" s="782" t="s">
        <v>1088</v>
      </c>
      <c r="L18" s="783" t="s">
        <v>1089</v>
      </c>
      <c r="M18" s="339"/>
      <c r="N18" s="781">
        <v>3</v>
      </c>
      <c r="P18" s="782" t="s">
        <v>1088</v>
      </c>
      <c r="Q18" s="783" t="s">
        <v>1089</v>
      </c>
      <c r="R18" s="339"/>
      <c r="S18" s="781">
        <v>2</v>
      </c>
      <c r="U18" s="782" t="s">
        <v>1090</v>
      </c>
      <c r="V18" s="783" t="s">
        <v>1091</v>
      </c>
      <c r="W18" s="339"/>
    </row>
    <row r="19" spans="1:23" x14ac:dyDescent="0.25">
      <c r="A19" s="143"/>
      <c r="B19" s="918">
        <v>0</v>
      </c>
      <c r="C19" s="377">
        <f>IF(ISERROR(B20-0.01),"",B20-0.01)</f>
        <v>-0.01</v>
      </c>
      <c r="D19" s="932">
        <f>Incentives!$I$17</f>
        <v>0</v>
      </c>
      <c r="E19" s="341"/>
      <c r="I19" s="358" t="s">
        <v>1084</v>
      </c>
      <c r="K19">
        <v>0</v>
      </c>
      <c r="L19" s="770">
        <f>D19</f>
        <v>0</v>
      </c>
      <c r="N19" s="358" t="s">
        <v>1084</v>
      </c>
      <c r="P19" s="374">
        <f>B29</f>
        <v>0</v>
      </c>
      <c r="Q19" s="771">
        <f>D29</f>
        <v>0</v>
      </c>
      <c r="S19" s="358" t="s">
        <v>1084</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1085</v>
      </c>
      <c r="J20" t="str">
        <f>IF(AND($B$20=0, B21=0),"Flat Rate",0)</f>
        <v>Flat Rate</v>
      </c>
      <c r="K20" t="str">
        <f>IF($B$20=0,"",ROUND($B$20,0))</f>
        <v/>
      </c>
      <c r="L20" s="771">
        <f t="shared" ref="L20:L22" si="0">D20</f>
        <v>0.01</v>
      </c>
      <c r="N20" s="358" t="s">
        <v>1085</v>
      </c>
      <c r="P20" s="375">
        <f>B30</f>
        <v>0</v>
      </c>
      <c r="Q20" s="771">
        <f>D30</f>
        <v>0.01</v>
      </c>
      <c r="S20" s="358" t="s">
        <v>1085</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1086</v>
      </c>
      <c r="K21">
        <f>IF($B$21="","",ROUND($B$21,0))</f>
        <v>0</v>
      </c>
      <c r="L21" s="771">
        <f t="shared" si="0"/>
        <v>1.4999999999999999E-2</v>
      </c>
      <c r="N21" s="358" t="s">
        <v>1086</v>
      </c>
      <c r="P21" s="375">
        <f>B31</f>
        <v>0</v>
      </c>
      <c r="Q21" s="771">
        <f>D31</f>
        <v>1.4999999999999999E-2</v>
      </c>
      <c r="S21" s="358" t="s">
        <v>1086</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1087</v>
      </c>
      <c r="J22" s="292"/>
      <c r="K22" s="292">
        <f>IF($B$22="","",ROUND($B$22,0))</f>
        <v>0</v>
      </c>
      <c r="L22" s="863">
        <f t="shared" si="0"/>
        <v>0.02</v>
      </c>
      <c r="M22" s="350"/>
      <c r="N22" s="358" t="s">
        <v>1087</v>
      </c>
      <c r="O22" s="292"/>
      <c r="P22" s="376">
        <f>B32</f>
        <v>0</v>
      </c>
      <c r="Q22" s="863">
        <f>D32</f>
        <v>0.02</v>
      </c>
      <c r="R22" s="350"/>
      <c r="S22" s="358" t="s">
        <v>1087</v>
      </c>
      <c r="U22" s="59">
        <f>B42</f>
        <v>0</v>
      </c>
      <c r="V22" s="770">
        <f>D42</f>
        <v>0.02</v>
      </c>
    </row>
    <row r="23" spans="1:23" ht="16.5" thickBot="1" x14ac:dyDescent="0.3">
      <c r="E23" s="926"/>
      <c r="H23" s="855"/>
      <c r="I23" s="1268" t="s">
        <v>1218</v>
      </c>
      <c r="J23" s="1269"/>
      <c r="K23" s="1269"/>
      <c r="L23" s="1270"/>
      <c r="M23" s="854"/>
      <c r="N23" s="1291" t="s">
        <v>1219</v>
      </c>
      <c r="O23" s="1292"/>
      <c r="P23" s="1292"/>
      <c r="Q23" s="1293"/>
      <c r="R23" s="854"/>
      <c r="S23" s="1268" t="s">
        <v>1207</v>
      </c>
      <c r="T23" s="1269"/>
      <c r="U23" s="1269"/>
      <c r="V23" s="1270"/>
    </row>
    <row r="24" spans="1:23" ht="15.75" thickBot="1" x14ac:dyDescent="0.3">
      <c r="A24" s="1303" t="s">
        <v>488</v>
      </c>
      <c r="B24" s="1304"/>
      <c r="C24" s="1304"/>
      <c r="D24" s="1305"/>
      <c r="E24" s="319"/>
      <c r="F24" s="141"/>
      <c r="G24" s="141"/>
      <c r="H24" s="320"/>
      <c r="I24" s="1294" t="s">
        <v>773</v>
      </c>
      <c r="J24" s="1295"/>
      <c r="K24" s="1295"/>
      <c r="L24" s="1296"/>
      <c r="M24" s="854"/>
      <c r="N24" s="1300" t="s">
        <v>773</v>
      </c>
      <c r="O24" s="1301"/>
      <c r="P24" s="1301"/>
      <c r="Q24" s="1302"/>
      <c r="R24" s="854"/>
      <c r="S24" s="1294" t="s">
        <v>774</v>
      </c>
      <c r="T24" s="1295"/>
      <c r="U24" s="1295"/>
      <c r="V24" s="1296"/>
    </row>
    <row r="25" spans="1:23" x14ac:dyDescent="0.25">
      <c r="A25" s="328" t="s">
        <v>755</v>
      </c>
      <c r="B25" s="835">
        <f>$L$4</f>
        <v>0</v>
      </c>
      <c r="C25" s="893" t="s">
        <v>766</v>
      </c>
      <c r="D25" s="333" t="e">
        <f>$S$4</f>
        <v>#VALUE!</v>
      </c>
      <c r="I25" s="951" t="s">
        <v>767</v>
      </c>
      <c r="J25" s="322">
        <f>$L$4</f>
        <v>0</v>
      </c>
      <c r="K25" s="363" t="s">
        <v>768</v>
      </c>
      <c r="L25" s="364" t="e">
        <f>$S$4</f>
        <v>#VALUE!</v>
      </c>
      <c r="N25" s="143"/>
      <c r="O25" s="812"/>
      <c r="P25" s="812"/>
      <c r="Q25" s="144"/>
      <c r="S25" s="143" t="s">
        <v>767</v>
      </c>
      <c r="T25" s="835">
        <f>$L$4</f>
        <v>0</v>
      </c>
      <c r="U25" s="837" t="s">
        <v>768</v>
      </c>
      <c r="V25" s="352" t="e">
        <f>$S$4</f>
        <v>#VALUE!</v>
      </c>
    </row>
    <row r="26" spans="1:23" ht="30" x14ac:dyDescent="0.25">
      <c r="A26" s="328" t="s">
        <v>899</v>
      </c>
      <c r="B26" s="835" t="str">
        <f>Incentives!$I$25</f>
        <v>Select Payment Method</v>
      </c>
      <c r="C26" s="893"/>
      <c r="D26" s="333"/>
      <c r="I26" s="945"/>
      <c r="J26" s="837" t="str">
        <f>IF(Incentives!$I$63="Check","Check","Credit Memo")</f>
        <v>Credit Memo</v>
      </c>
      <c r="K26" s="812" t="str">
        <f>Incentives!$K$63</f>
        <v/>
      </c>
      <c r="L26" s="352"/>
      <c r="N26" s="143"/>
      <c r="O26" s="841" t="s">
        <v>1199</v>
      </c>
      <c r="P26" s="841"/>
      <c r="Q26" s="842">
        <f>D62</f>
        <v>0</v>
      </c>
      <c r="S26" s="328" t="s">
        <v>918</v>
      </c>
      <c r="T26" s="835" t="str">
        <f>Incentives!$I$80</f>
        <v>Select Payment Method</v>
      </c>
      <c r="U26" s="836" t="str">
        <f>IF($T$26="Check","Check","Credit Memo")</f>
        <v>Credit Memo</v>
      </c>
      <c r="V26" s="693" t="str">
        <f>Incentives!$K$80</f>
        <v/>
      </c>
    </row>
    <row r="27" spans="1:23" x14ac:dyDescent="0.25">
      <c r="A27" s="143" t="s">
        <v>1229</v>
      </c>
      <c r="B27" s="812" t="str">
        <f>Incentives!$G$25</f>
        <v>Quarterly</v>
      </c>
      <c r="C27" s="812"/>
      <c r="D27" s="144"/>
      <c r="I27" s="143"/>
      <c r="J27" s="812"/>
      <c r="K27" s="812"/>
      <c r="L27" s="144"/>
      <c r="N27" s="843" t="s">
        <v>1198</v>
      </c>
      <c r="O27" s="841" t="s">
        <v>767</v>
      </c>
      <c r="P27" s="841" t="s">
        <v>768</v>
      </c>
      <c r="Q27" s="844"/>
      <c r="S27" s="143"/>
      <c r="T27" s="812" t="s">
        <v>896</v>
      </c>
      <c r="U27" s="812"/>
      <c r="V27" s="144"/>
    </row>
    <row r="28" spans="1:23" ht="30" x14ac:dyDescent="0.25">
      <c r="A28" s="143"/>
      <c r="B28" s="336" t="s">
        <v>126</v>
      </c>
      <c r="C28" s="336" t="s">
        <v>128</v>
      </c>
      <c r="D28" s="766" t="s">
        <v>771</v>
      </c>
      <c r="E28" s="353"/>
      <c r="I28" s="143"/>
      <c r="J28" s="812"/>
      <c r="K28" s="812"/>
      <c r="L28" s="144"/>
      <c r="N28" s="845" t="s">
        <v>1202</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776</v>
      </c>
      <c r="K29" s="839">
        <f>IF(B60="YES - Purchase Commitment",Incentives!$M$66,Incentives!$K$66)</f>
        <v>0</v>
      </c>
      <c r="L29" s="144"/>
      <c r="N29" s="845" t="s">
        <v>1203</v>
      </c>
      <c r="O29" s="846">
        <f>P28+1</f>
        <v>364</v>
      </c>
      <c r="P29" s="846">
        <f>O29+370</f>
        <v>734</v>
      </c>
      <c r="Q29" s="847" t="e">
        <f>$C$62/$B$62</f>
        <v>#VALUE!</v>
      </c>
      <c r="S29" s="357">
        <v>2</v>
      </c>
      <c r="T29" s="838" t="s">
        <v>776</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900</v>
      </c>
      <c r="N30" s="845" t="s">
        <v>1204</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782</v>
      </c>
      <c r="N31" s="845" t="s">
        <v>1205</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1206</v>
      </c>
      <c r="O32" s="849">
        <f>P31+1</f>
        <v>1463</v>
      </c>
      <c r="P32" s="849">
        <f>O32+363</f>
        <v>1826</v>
      </c>
      <c r="Q32" s="850" t="e">
        <f>$C$62/$B$62</f>
        <v>#VALUE!</v>
      </c>
      <c r="S32" s="291"/>
      <c r="T32" s="292"/>
      <c r="U32" s="292"/>
      <c r="V32" s="293"/>
    </row>
    <row r="33" spans="1:22" ht="16.5" thickBot="1" x14ac:dyDescent="0.3">
      <c r="E33" s="926"/>
      <c r="H33" s="855"/>
      <c r="I33" s="1297" t="s">
        <v>775</v>
      </c>
      <c r="J33" s="1298"/>
      <c r="K33" s="1298"/>
      <c r="L33" s="1299"/>
      <c r="M33" s="855"/>
      <c r="N33" s="1285" t="s">
        <v>1096</v>
      </c>
      <c r="O33" s="1286"/>
      <c r="P33" s="1286"/>
      <c r="Q33" s="1287"/>
      <c r="R33" s="855"/>
      <c r="S33" s="1285" t="s">
        <v>1230</v>
      </c>
      <c r="T33" s="1286"/>
      <c r="U33" s="1286"/>
      <c r="V33" s="1287"/>
    </row>
    <row r="34" spans="1:22" ht="15.75" thickBot="1" x14ac:dyDescent="0.3">
      <c r="A34" s="1303" t="s">
        <v>549</v>
      </c>
      <c r="B34" s="1304"/>
      <c r="C34" s="1304"/>
      <c r="D34" s="1305"/>
      <c r="E34" s="319"/>
      <c r="F34" s="141"/>
      <c r="G34" s="141"/>
      <c r="H34" s="320"/>
      <c r="I34" s="1282" t="s">
        <v>778</v>
      </c>
      <c r="J34" s="1283"/>
      <c r="K34" s="1283"/>
      <c r="L34" s="1284"/>
      <c r="M34" s="855"/>
      <c r="N34" s="1288" t="s">
        <v>777</v>
      </c>
      <c r="O34" s="1289"/>
      <c r="P34" s="1289"/>
      <c r="Q34" s="1290"/>
      <c r="R34" s="855"/>
      <c r="S34" s="1294" t="s">
        <v>1238</v>
      </c>
      <c r="T34" s="1295"/>
      <c r="U34" s="1295"/>
      <c r="V34" s="1296"/>
    </row>
    <row r="35" spans="1:22" x14ac:dyDescent="0.25">
      <c r="A35" s="328" t="s">
        <v>755</v>
      </c>
      <c r="B35" s="329">
        <f>$L$4</f>
        <v>0</v>
      </c>
      <c r="C35" s="272" t="s">
        <v>766</v>
      </c>
      <c r="D35" s="333" t="e">
        <f>$S$4</f>
        <v>#VALUE!</v>
      </c>
      <c r="I35" s="362" t="s">
        <v>767</v>
      </c>
      <c r="J35" s="322">
        <f>$L$4</f>
        <v>0</v>
      </c>
      <c r="K35" s="363" t="s">
        <v>768</v>
      </c>
      <c r="L35" s="364" t="e">
        <f>$S$4</f>
        <v>#VALUE!</v>
      </c>
      <c r="N35" s="143" t="s">
        <v>1097</v>
      </c>
      <c r="O35" s="366">
        <f>$L$4</f>
        <v>0</v>
      </c>
      <c r="P35" t="s">
        <v>768</v>
      </c>
      <c r="Q35" s="352" t="e">
        <f>$S$4</f>
        <v>#VALUE!</v>
      </c>
      <c r="S35" s="873" t="s">
        <v>826</v>
      </c>
      <c r="T35" s="879">
        <f>$L$4</f>
        <v>0</v>
      </c>
      <c r="U35" s="881" t="s">
        <v>768</v>
      </c>
      <c r="V35" s="880" t="e">
        <f>$S$4</f>
        <v>#VALUE!</v>
      </c>
    </row>
    <row r="36" spans="1:22" ht="45" x14ac:dyDescent="0.25">
      <c r="A36" s="328" t="s">
        <v>919</v>
      </c>
      <c r="B36" s="329" t="str">
        <f>Incentives!$I$36</f>
        <v>Select Payment Method</v>
      </c>
      <c r="C36" s="272"/>
      <c r="D36" s="333"/>
      <c r="I36" s="328" t="s">
        <v>918</v>
      </c>
      <c r="J36" s="835" t="str">
        <f>Incentives!$I$55</f>
        <v>Select Payment Method</v>
      </c>
      <c r="K36" s="836" t="str">
        <f>IF(J36="Check","Check","Credit Memo")</f>
        <v>Credit Memo</v>
      </c>
      <c r="L36" s="693" t="str">
        <f>Incentives!$K$55</f>
        <v/>
      </c>
      <c r="N36" s="328" t="s">
        <v>918</v>
      </c>
      <c r="O36" s="272" t="str">
        <f>$B$82</f>
        <v>Select Payment Method</v>
      </c>
      <c r="Q36" s="144"/>
      <c r="S36" s="882" t="s">
        <v>1232</v>
      </c>
      <c r="T36" s="883" t="str">
        <f>$B$46</f>
        <v>Select Payment Method</v>
      </c>
      <c r="U36" s="874"/>
      <c r="V36" s="875"/>
    </row>
    <row r="37" spans="1:22" x14ac:dyDescent="0.25">
      <c r="A37" s="873" t="s">
        <v>1229</v>
      </c>
      <c r="B37" s="921" t="str">
        <f>Incentives!$G$36</f>
        <v>Quarterly</v>
      </c>
      <c r="D37" s="144"/>
      <c r="I37" s="781" t="s">
        <v>1229</v>
      </c>
      <c r="J37" s="910" t="str">
        <f>B54</f>
        <v>Quarterly</v>
      </c>
      <c r="K37" s="812"/>
      <c r="L37" s="144"/>
      <c r="N37" s="143"/>
      <c r="Q37" s="144"/>
      <c r="S37" s="873" t="s">
        <v>1233</v>
      </c>
      <c r="T37" s="874" t="str">
        <f>$B$47</f>
        <v>Quarterly</v>
      </c>
      <c r="U37" s="874"/>
      <c r="V37" s="875"/>
    </row>
    <row r="38" spans="1:22" ht="30" x14ac:dyDescent="0.25">
      <c r="A38" s="143"/>
      <c r="B38" s="336" t="s">
        <v>126</v>
      </c>
      <c r="C38" s="336" t="s">
        <v>128</v>
      </c>
      <c r="D38" s="766" t="s">
        <v>537</v>
      </c>
      <c r="I38" s="781">
        <v>3</v>
      </c>
      <c r="J38" s="838" t="s">
        <v>1237</v>
      </c>
      <c r="K38" s="865">
        <f>D55</f>
        <v>0</v>
      </c>
      <c r="L38" s="144"/>
      <c r="N38" s="143"/>
      <c r="O38" t="s">
        <v>776</v>
      </c>
      <c r="P38" s="22">
        <f>D84</f>
        <v>0</v>
      </c>
      <c r="Q38" s="144"/>
      <c r="S38" s="873"/>
      <c r="T38" s="874"/>
      <c r="U38" s="874" t="s">
        <v>1226</v>
      </c>
      <c r="V38" s="885">
        <f>$C$48</f>
        <v>0</v>
      </c>
    </row>
    <row r="39" spans="1:22" x14ac:dyDescent="0.25">
      <c r="A39" s="143"/>
      <c r="B39" s="764">
        <v>0</v>
      </c>
      <c r="C39" s="765">
        <f>IF(ISERROR(B40-0.01),"",(B40-0.0001))</f>
        <v>-1E-4</v>
      </c>
      <c r="D39" s="767">
        <v>0</v>
      </c>
      <c r="I39" s="781">
        <v>4</v>
      </c>
      <c r="J39" s="838" t="s">
        <v>1236</v>
      </c>
      <c r="K39" s="865">
        <f>$C$55</f>
        <v>0</v>
      </c>
      <c r="L39" s="144"/>
      <c r="N39" s="143"/>
      <c r="Q39" s="144"/>
      <c r="S39" s="873"/>
      <c r="T39" s="874"/>
      <c r="U39" s="874" t="s">
        <v>1228</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68" t="s">
        <v>1281</v>
      </c>
      <c r="O41" s="1269"/>
      <c r="P41" s="1269"/>
      <c r="Q41" s="1270"/>
      <c r="S41" s="1268"/>
      <c r="T41" s="1269"/>
      <c r="U41" s="1269"/>
      <c r="V41" s="1270"/>
    </row>
    <row r="42" spans="1:22" ht="15.75" thickBot="1" x14ac:dyDescent="0.3">
      <c r="A42" s="291"/>
      <c r="B42" s="346">
        <f>Incentives!$G$42</f>
        <v>0</v>
      </c>
      <c r="C42" s="356">
        <v>1</v>
      </c>
      <c r="D42" s="768">
        <f>Incentives!$I$42</f>
        <v>0.02</v>
      </c>
      <c r="E42" s="354"/>
      <c r="F42" s="812"/>
      <c r="G42" s="812"/>
      <c r="H42" s="923"/>
      <c r="I42" s="812"/>
      <c r="N42" s="1294" t="s">
        <v>1282</v>
      </c>
      <c r="O42" s="1295"/>
      <c r="P42" s="1295"/>
      <c r="Q42" s="1296"/>
      <c r="R42" s="973"/>
      <c r="S42" s="1294"/>
      <c r="T42" s="1295"/>
      <c r="U42" s="1295"/>
      <c r="V42" s="1296"/>
    </row>
    <row r="43" spans="1:22" ht="15.75" thickBot="1" x14ac:dyDescent="0.3">
      <c r="E43" s="926"/>
      <c r="F43" s="927"/>
      <c r="G43" s="929"/>
      <c r="H43" s="855"/>
      <c r="I43" s="851"/>
      <c r="J43" s="370" t="s">
        <v>759</v>
      </c>
      <c r="K43" s="852" t="s">
        <v>760</v>
      </c>
      <c r="L43" s="853"/>
      <c r="N43" s="951" t="s">
        <v>767</v>
      </c>
      <c r="O43" s="322">
        <f>$L$4</f>
        <v>0</v>
      </c>
      <c r="P43" s="363" t="s">
        <v>768</v>
      </c>
      <c r="Q43" s="364" t="e">
        <f>$S$4</f>
        <v>#VALUE!</v>
      </c>
      <c r="S43" s="951"/>
      <c r="T43" s="322"/>
      <c r="U43" s="363"/>
      <c r="V43" s="364"/>
    </row>
    <row r="44" spans="1:22" x14ac:dyDescent="0.25">
      <c r="A44" s="1303" t="s">
        <v>1230</v>
      </c>
      <c r="B44" s="1304"/>
      <c r="C44" s="1304"/>
      <c r="D44" s="1305"/>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765</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899</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1229</v>
      </c>
      <c r="B47" s="812" t="str">
        <f>Incentives!$G$47</f>
        <v>Quarterly</v>
      </c>
      <c r="C47" s="897" t="s">
        <v>1226</v>
      </c>
      <c r="D47" s="898" t="s">
        <v>1228</v>
      </c>
      <c r="F47" s="917"/>
      <c r="G47" s="917"/>
      <c r="H47" s="923"/>
      <c r="I47" s="925">
        <v>4</v>
      </c>
      <c r="J47" s="298">
        <f>IFERROR('MDA Worksheet'!D98,"")</f>
        <v>0</v>
      </c>
      <c r="K47" s="1" t="str">
        <f>IFERROR('MDA Worksheet'!K98,"")</f>
        <v/>
      </c>
      <c r="N47" s="357">
        <v>1</v>
      </c>
      <c r="O47" s="838" t="s">
        <v>776</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900</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782</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303" t="s">
        <v>775</v>
      </c>
      <c r="B51" s="1304"/>
      <c r="C51" s="1304"/>
      <c r="D51" s="1305"/>
      <c r="E51" s="319"/>
      <c r="F51" s="812"/>
      <c r="G51" s="812"/>
      <c r="I51" s="925">
        <v>8</v>
      </c>
      <c r="J51" s="298">
        <f>IFERROR('MDA Worksheet'!D102,"")</f>
        <v>0</v>
      </c>
      <c r="K51" s="1" t="str">
        <f>IFERROR('MDA Worksheet'!K102,"")</f>
        <v/>
      </c>
      <c r="N51" s="143" t="s">
        <v>1284</v>
      </c>
      <c r="O51" s="1306" t="str">
        <f>"Amount to be paid to the customer $ "&amp;TEXT(D69,"#,###,###.00")</f>
        <v>Amount to be paid to the customer $ .00</v>
      </c>
      <c r="P51" s="1306"/>
      <c r="Q51" s="1307"/>
      <c r="S51" s="873"/>
      <c r="T51" s="1007"/>
      <c r="U51" s="1007"/>
      <c r="V51" s="1008"/>
    </row>
    <row r="52" spans="1:23" x14ac:dyDescent="0.25">
      <c r="A52" s="328" t="s">
        <v>755</v>
      </c>
      <c r="B52" s="835">
        <f>$L$4</f>
        <v>0</v>
      </c>
      <c r="C52" s="893" t="s">
        <v>766</v>
      </c>
      <c r="D52" s="333" t="e">
        <f>$S$4</f>
        <v>#VALUE!</v>
      </c>
      <c r="E52" s="895"/>
      <c r="I52" s="925">
        <v>9</v>
      </c>
      <c r="J52" s="298">
        <f>IFERROR('MDA Worksheet'!D103,"")</f>
        <v>0</v>
      </c>
      <c r="K52" s="1" t="str">
        <f>IFERROR('MDA Worksheet'!K103,"")</f>
        <v/>
      </c>
      <c r="N52" s="143"/>
      <c r="O52" s="1306" t="str">
        <f>"Claw Back Amount $ "&amp;TEXT(D71,"#,###,###.00")</f>
        <v>Claw Back Amount $ .00</v>
      </c>
      <c r="P52" s="1306"/>
      <c r="Q52" s="1307"/>
      <c r="S52" s="873"/>
      <c r="T52" s="1007"/>
      <c r="U52" s="1007"/>
      <c r="V52" s="1008"/>
    </row>
    <row r="53" spans="1:23" ht="15.75" thickBot="1" x14ac:dyDescent="0.3">
      <c r="A53" s="143" t="s">
        <v>899</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1229</v>
      </c>
      <c r="B54" s="910" t="str">
        <f>Incentives!$G$55</f>
        <v>Quarterly</v>
      </c>
      <c r="C54" s="336" t="s">
        <v>537</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303" t="s">
        <v>1218</v>
      </c>
      <c r="B57" s="1304"/>
      <c r="C57" s="1304"/>
      <c r="D57" s="1305"/>
      <c r="F57" s="812"/>
      <c r="G57" s="812"/>
    </row>
    <row r="58" spans="1:23" x14ac:dyDescent="0.25">
      <c r="A58" s="328" t="s">
        <v>755</v>
      </c>
      <c r="B58" s="835">
        <f>$L$4</f>
        <v>0</v>
      </c>
      <c r="C58" s="893" t="s">
        <v>766</v>
      </c>
      <c r="D58" s="333" t="e">
        <f>$S$4</f>
        <v>#VALUE!</v>
      </c>
      <c r="E58" s="895"/>
    </row>
    <row r="59" spans="1:23" x14ac:dyDescent="0.25">
      <c r="A59" s="143" t="s">
        <v>899</v>
      </c>
      <c r="B59" s="812" t="str">
        <f>Incentives!$I$63</f>
        <v>Select Payment Method</v>
      </c>
      <c r="C59" s="812"/>
      <c r="D59" s="144"/>
      <c r="H59" s="923"/>
    </row>
    <row r="60" spans="1:23" x14ac:dyDescent="0.25">
      <c r="A60" s="143" t="s">
        <v>1178</v>
      </c>
      <c r="B60" s="812" t="str">
        <f>Incentives!G63</f>
        <v>NO</v>
      </c>
      <c r="C60" s="812"/>
      <c r="D60" s="144"/>
    </row>
    <row r="61" spans="1:23" x14ac:dyDescent="0.25">
      <c r="A61" s="143"/>
      <c r="B61" s="965" t="s">
        <v>1279</v>
      </c>
      <c r="C61" s="965" t="s">
        <v>776</v>
      </c>
      <c r="D61" s="894" t="s">
        <v>822</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1280</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303" t="s">
        <v>1266</v>
      </c>
      <c r="B66" s="1304"/>
      <c r="C66" s="1304"/>
      <c r="D66" s="1305"/>
      <c r="E66" s="926"/>
      <c r="F66" s="927"/>
      <c r="G66" s="929"/>
      <c r="H66" s="855"/>
      <c r="I66"/>
      <c r="M66" s="312"/>
      <c r="R66" s="312"/>
      <c r="W66" s="312"/>
    </row>
    <row r="67" spans="1:23" s="937" customFormat="1" x14ac:dyDescent="0.25">
      <c r="A67" s="321" t="s">
        <v>755</v>
      </c>
      <c r="B67" s="322">
        <f>$L$4</f>
        <v>0</v>
      </c>
      <c r="C67" s="323" t="s">
        <v>766</v>
      </c>
      <c r="D67" s="327" t="e">
        <f>$S$4</f>
        <v>#VALUE!</v>
      </c>
      <c r="E67" s="895"/>
      <c r="F67" s="812"/>
      <c r="G67" s="812"/>
      <c r="H67" s="923"/>
      <c r="M67" s="312"/>
      <c r="R67" s="312"/>
      <c r="W67" s="312"/>
    </row>
    <row r="68" spans="1:23" s="937" customFormat="1" x14ac:dyDescent="0.25">
      <c r="A68" s="143" t="s">
        <v>899</v>
      </c>
      <c r="B68" s="944" t="str">
        <f>Incentives!$I$71</f>
        <v>Select Payment Method</v>
      </c>
      <c r="C68" s="812"/>
      <c r="D68" s="144"/>
      <c r="E68" s="895"/>
      <c r="F68" s="812"/>
      <c r="G68" s="812"/>
      <c r="H68" s="923"/>
      <c r="M68" s="312"/>
      <c r="R68" s="312"/>
      <c r="W68" s="312"/>
    </row>
    <row r="69" spans="1:23" s="937" customFormat="1" x14ac:dyDescent="0.25">
      <c r="A69" s="966" t="s">
        <v>1277</v>
      </c>
      <c r="B69" s="957">
        <f>Incentives!$M$71</f>
        <v>0</v>
      </c>
      <c r="C69" s="967" t="s">
        <v>1273</v>
      </c>
      <c r="D69" s="960">
        <f>Incentives!$G$71</f>
        <v>0</v>
      </c>
      <c r="E69" s="895"/>
      <c r="F69" s="812"/>
      <c r="G69" s="812"/>
      <c r="H69" s="923"/>
      <c r="M69" s="312"/>
      <c r="R69" s="312"/>
      <c r="W69" s="312"/>
    </row>
    <row r="70" spans="1:23" s="937" customFormat="1" x14ac:dyDescent="0.25">
      <c r="A70" s="966" t="s">
        <v>1274</v>
      </c>
      <c r="B70" s="958">
        <f>Incentives!$G$75</f>
        <v>0</v>
      </c>
      <c r="C70" s="968" t="s">
        <v>818</v>
      </c>
      <c r="D70" s="961">
        <f>Incentives!$I$75</f>
        <v>0</v>
      </c>
      <c r="E70" s="895"/>
      <c r="F70" s="812"/>
      <c r="G70" s="812"/>
      <c r="H70" s="923"/>
      <c r="M70" s="312"/>
      <c r="R70" s="312"/>
      <c r="W70" s="312"/>
    </row>
    <row r="71" spans="1:23" s="942" customFormat="1" x14ac:dyDescent="0.25">
      <c r="A71" s="966" t="s">
        <v>1275</v>
      </c>
      <c r="B71" s="959">
        <f>Incentives!$K$75</f>
        <v>0</v>
      </c>
      <c r="C71" s="968" t="s">
        <v>1276</v>
      </c>
      <c r="D71" s="960">
        <f>Incentives!$K$71</f>
        <v>0</v>
      </c>
      <c r="E71" s="895"/>
      <c r="F71" s="812"/>
      <c r="G71" s="812"/>
      <c r="H71" s="923"/>
      <c r="M71" s="312"/>
      <c r="R71" s="312"/>
      <c r="W71" s="312"/>
    </row>
    <row r="72" spans="1:23" s="937" customFormat="1" ht="15.75" thickBot="1" x14ac:dyDescent="0.3">
      <c r="A72" s="291"/>
      <c r="B72" s="292"/>
      <c r="C72" s="969" t="s">
        <v>1278</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303" t="str">
        <f>Incentives!G80</f>
        <v>CHECK Business Tools (General)</v>
      </c>
      <c r="B74" s="1304"/>
      <c r="C74" s="1304"/>
      <c r="D74" s="1304"/>
      <c r="E74" s="895"/>
      <c r="F74" s="812"/>
      <c r="G74" s="812"/>
      <c r="H74" s="923"/>
    </row>
    <row r="75" spans="1:23" x14ac:dyDescent="0.25">
      <c r="A75" s="328" t="s">
        <v>755</v>
      </c>
      <c r="B75" s="329">
        <f>$L$4</f>
        <v>0</v>
      </c>
      <c r="C75" s="272" t="s">
        <v>766</v>
      </c>
      <c r="D75" s="329" t="e">
        <f>$S$4</f>
        <v>#VALUE!</v>
      </c>
    </row>
    <row r="76" spans="1:23" x14ac:dyDescent="0.25">
      <c r="A76" s="143" t="s">
        <v>899</v>
      </c>
      <c r="B76" t="str">
        <f>Incentives!$I$80</f>
        <v>Select Payment Method</v>
      </c>
    </row>
    <row r="77" spans="1:23" x14ac:dyDescent="0.25">
      <c r="A77" s="143"/>
      <c r="C77" s="1" t="s">
        <v>822</v>
      </c>
      <c r="D77" s="1" t="s">
        <v>776</v>
      </c>
    </row>
    <row r="78" spans="1:23" ht="15.75" thickBot="1" x14ac:dyDescent="0.3">
      <c r="A78" s="291"/>
      <c r="B78" s="292"/>
      <c r="C78" s="369">
        <f>Incentives!$H$9</f>
        <v>0</v>
      </c>
      <c r="D78" s="344">
        <f>Incentives!$K$83</f>
        <v>3</v>
      </c>
    </row>
    <row r="79" spans="1:23" ht="15.75" thickBot="1" x14ac:dyDescent="0.3"/>
    <row r="80" spans="1:23" ht="15.75" thickBot="1" x14ac:dyDescent="0.3">
      <c r="A80" s="1303" t="s">
        <v>1093</v>
      </c>
      <c r="B80" s="1304"/>
      <c r="C80" s="1304"/>
      <c r="D80" s="1305"/>
      <c r="E80" s="926"/>
      <c r="F80" s="927"/>
      <c r="G80" s="928"/>
      <c r="H80" s="930"/>
    </row>
    <row r="81" spans="1:4" x14ac:dyDescent="0.25">
      <c r="A81" s="143" t="s">
        <v>755</v>
      </c>
      <c r="B81" s="812"/>
      <c r="C81" s="812" t="s">
        <v>757</v>
      </c>
      <c r="D81" s="144"/>
    </row>
    <row r="82" spans="1:4" x14ac:dyDescent="0.25">
      <c r="A82" s="143" t="s">
        <v>919</v>
      </c>
      <c r="B82" s="812" t="str">
        <f>Incentives!$I$88</f>
        <v>Select Payment Method</v>
      </c>
      <c r="C82" s="812"/>
      <c r="D82" s="144"/>
    </row>
    <row r="83" spans="1:4" x14ac:dyDescent="0.25">
      <c r="A83" s="143"/>
      <c r="B83" s="812"/>
      <c r="C83" s="918"/>
      <c r="D83" s="920" t="s">
        <v>776</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94" t="s">
        <v>744</v>
      </c>
      <c r="C2" s="1395"/>
      <c r="D2" s="1395"/>
      <c r="E2" s="1395"/>
      <c r="F2" s="1395"/>
      <c r="G2" s="1395"/>
      <c r="H2" s="1395"/>
      <c r="I2" s="1395"/>
      <c r="J2" s="1395"/>
      <c r="K2" s="1395"/>
      <c r="L2" s="1395"/>
      <c r="M2" s="1395"/>
      <c r="N2" s="1395"/>
      <c r="O2" s="1395"/>
      <c r="P2" s="1395"/>
      <c r="Q2" s="1395"/>
      <c r="R2" s="1395"/>
      <c r="S2" s="1395"/>
      <c r="T2" s="1395"/>
      <c r="U2" s="1395"/>
      <c r="V2" s="1395"/>
      <c r="W2" s="1395"/>
      <c r="X2" s="1395"/>
      <c r="Y2" s="1395"/>
      <c r="Z2" s="1395"/>
      <c r="AA2" s="1395"/>
      <c r="AB2" s="1395"/>
      <c r="AC2" s="1395"/>
      <c r="AD2" s="1395"/>
      <c r="AE2" s="1395"/>
      <c r="AF2" s="1395"/>
      <c r="AG2" s="1395"/>
      <c r="AH2" s="1395"/>
      <c r="AI2" s="1395"/>
      <c r="AJ2" s="1395"/>
      <c r="AK2" s="1395"/>
      <c r="AL2" s="1395"/>
      <c r="AM2" s="1395"/>
      <c r="AN2" s="1395"/>
      <c r="AO2" s="1395"/>
      <c r="AP2" s="1395"/>
      <c r="AQ2" s="1395"/>
      <c r="AR2" s="1395"/>
      <c r="AS2" s="1395"/>
      <c r="AT2" s="1395"/>
      <c r="AU2" s="1395"/>
      <c r="AV2" s="1395"/>
      <c r="AW2" s="1395"/>
      <c r="AX2" s="1395"/>
      <c r="AY2" s="1395"/>
      <c r="AZ2" s="1395"/>
      <c r="BA2" s="1395"/>
      <c r="BB2" s="1395"/>
      <c r="BC2" s="1395"/>
      <c r="BD2" s="1395"/>
      <c r="BE2" s="1395"/>
      <c r="BF2" s="1396"/>
    </row>
    <row r="3" spans="2:68" x14ac:dyDescent="0.25">
      <c r="B3" s="1397"/>
      <c r="C3" s="1362"/>
      <c r="D3" s="1362"/>
      <c r="E3" s="1362"/>
      <c r="F3" s="1362"/>
      <c r="G3" s="1362"/>
      <c r="H3" s="1362"/>
      <c r="I3" s="1362"/>
      <c r="J3" s="1362"/>
      <c r="K3" s="1362"/>
      <c r="L3" s="1362"/>
      <c r="M3" s="1362"/>
      <c r="N3" s="1362"/>
      <c r="O3" s="1362"/>
      <c r="P3" s="1362"/>
      <c r="Q3" s="1362"/>
      <c r="R3" s="1362"/>
      <c r="S3" s="1362"/>
      <c r="T3" s="1362"/>
      <c r="U3" s="1362"/>
      <c r="V3" s="1362"/>
      <c r="W3" s="1362"/>
      <c r="X3" s="1362"/>
      <c r="Y3" s="1362"/>
      <c r="Z3" s="1362"/>
      <c r="AA3" s="1362"/>
      <c r="AB3" s="1362"/>
      <c r="AC3" s="1362"/>
      <c r="AD3" s="1362"/>
      <c r="AE3" s="1362"/>
      <c r="AF3" s="1362"/>
      <c r="AG3" s="1362"/>
      <c r="AH3" s="1362"/>
      <c r="AI3" s="1362"/>
      <c r="AJ3" s="1362"/>
      <c r="AK3" s="1362"/>
      <c r="AL3" s="1362"/>
      <c r="AM3" s="1362"/>
      <c r="AN3" s="1362"/>
      <c r="AO3" s="1362"/>
      <c r="AP3" s="1362"/>
      <c r="AQ3" s="1362"/>
      <c r="AR3" s="1362"/>
      <c r="AS3" s="1362"/>
      <c r="AT3" s="1362"/>
      <c r="AU3" s="1362"/>
      <c r="AV3" s="1362"/>
      <c r="AW3" s="1362"/>
      <c r="AX3" s="1362"/>
      <c r="AY3" s="1362"/>
      <c r="AZ3" s="1362"/>
      <c r="BA3" s="1362"/>
      <c r="BB3" s="1362"/>
      <c r="BC3" s="1362"/>
      <c r="BD3" s="1362"/>
      <c r="BE3" s="1362"/>
      <c r="BF3" s="1398"/>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78" t="s">
        <v>671</v>
      </c>
      <c r="C8" s="1379"/>
      <c r="D8" s="1379"/>
      <c r="E8" s="1379"/>
      <c r="F8" s="1379"/>
      <c r="G8" s="1379"/>
      <c r="H8" s="1379"/>
      <c r="I8" s="1379"/>
      <c r="J8" s="1379"/>
      <c r="K8" s="1379"/>
      <c r="L8" s="1379"/>
      <c r="M8" s="1379"/>
      <c r="N8" s="1379"/>
      <c r="O8" s="1379"/>
      <c r="P8" s="1379"/>
      <c r="Q8" s="1379"/>
      <c r="R8" s="1379"/>
      <c r="S8" s="1379"/>
      <c r="T8" s="1379"/>
      <c r="U8" s="1379"/>
      <c r="V8" s="1379"/>
      <c r="W8" s="1379"/>
      <c r="X8" s="1379"/>
      <c r="Y8" s="1379"/>
      <c r="Z8" s="1379"/>
      <c r="AA8" s="1379"/>
      <c r="AB8" s="1379"/>
      <c r="AC8" s="1379"/>
      <c r="AD8" s="1379"/>
      <c r="AE8" s="1379"/>
      <c r="AF8" s="1379"/>
      <c r="AG8" s="1379"/>
      <c r="AH8" s="1379"/>
      <c r="AI8" s="1379"/>
      <c r="AJ8" s="1379"/>
      <c r="AK8" s="1379"/>
      <c r="AL8" s="1379"/>
      <c r="AM8" s="1379"/>
      <c r="AN8" s="1379"/>
      <c r="AO8" s="1379"/>
      <c r="AP8" s="1379"/>
      <c r="AQ8" s="1379"/>
      <c r="AR8" s="1379"/>
      <c r="AS8" s="1379"/>
      <c r="AT8" s="1379"/>
      <c r="AU8" s="1379"/>
      <c r="AV8" s="1379"/>
      <c r="AW8" s="1379"/>
      <c r="AX8" s="1379"/>
      <c r="AY8" s="1379"/>
      <c r="AZ8" s="1379"/>
      <c r="BA8" s="1379"/>
      <c r="BB8" s="1379"/>
      <c r="BC8" s="1379"/>
      <c r="BD8" s="1379"/>
      <c r="BE8" s="1379"/>
      <c r="BF8" s="1380"/>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74" t="s">
        <v>907</v>
      </c>
      <c r="C10" s="1261"/>
      <c r="D10" s="1261"/>
      <c r="E10" s="1261"/>
      <c r="F10" s="1261"/>
      <c r="G10" s="1261"/>
      <c r="H10" s="1261"/>
      <c r="I10" s="1261"/>
      <c r="J10" s="1261"/>
      <c r="K10" s="1370">
        <f>'Tracking &amp; Profitability'!$H$5</f>
        <v>0</v>
      </c>
      <c r="L10" s="1370"/>
      <c r="M10" s="1370"/>
      <c r="N10" s="1370"/>
      <c r="O10" s="1370"/>
      <c r="P10" s="1370"/>
      <c r="Q10" s="1370"/>
      <c r="R10" s="1370"/>
      <c r="S10" s="1370"/>
      <c r="T10" s="1370"/>
      <c r="U10" s="1370"/>
      <c r="V10" s="1370"/>
      <c r="W10" s="1370"/>
      <c r="X10" s="1370"/>
      <c r="Y10" s="1370"/>
      <c r="Z10" s="1370"/>
      <c r="AA10" s="1370"/>
      <c r="AB10" s="1370"/>
      <c r="AC10" s="1370"/>
      <c r="AD10" s="1370"/>
      <c r="AE10" s="1370"/>
      <c r="AI10" s="1261" t="s">
        <v>743</v>
      </c>
      <c r="AJ10" s="1261"/>
      <c r="AK10" s="1261"/>
      <c r="AL10" s="1261"/>
      <c r="AM10" s="1261"/>
      <c r="AN10" s="1261"/>
      <c r="AO10" s="1261"/>
      <c r="AP10" s="1261"/>
      <c r="AQ10" s="1261"/>
      <c r="AR10" s="1261"/>
      <c r="AT10" s="1389"/>
      <c r="AU10" s="1389"/>
      <c r="AV10" s="1389"/>
      <c r="AW10" s="1389"/>
      <c r="AX10" s="1389"/>
      <c r="AY10" s="1389"/>
      <c r="AZ10" s="1389"/>
      <c r="BA10" s="1389"/>
      <c r="BB10" s="1389"/>
      <c r="BC10" s="1389"/>
      <c r="BD10" s="1389"/>
      <c r="BF10" s="144"/>
    </row>
    <row r="11" spans="2:68" x14ac:dyDescent="0.25">
      <c r="B11" s="143"/>
      <c r="AL11" s="2"/>
      <c r="AM11" s="2"/>
      <c r="AN11" s="2"/>
      <c r="AO11" s="2"/>
      <c r="AP11" s="2"/>
      <c r="AQ11" s="2"/>
      <c r="AR11" s="2"/>
      <c r="AS11" s="2"/>
      <c r="AT11" s="2"/>
      <c r="AU11" s="2"/>
      <c r="AV11" s="2"/>
      <c r="BF11" s="144"/>
    </row>
    <row r="12" spans="2:68" x14ac:dyDescent="0.25">
      <c r="B12" s="1373" t="s">
        <v>908</v>
      </c>
      <c r="C12" s="1366"/>
      <c r="D12" s="1366"/>
      <c r="E12" s="1366"/>
      <c r="F12" s="1366"/>
      <c r="G12" s="1366"/>
      <c r="H12" s="1366"/>
      <c r="I12" s="1366"/>
      <c r="J12" s="1366"/>
      <c r="K12" s="1345">
        <f>'Required Info to Submit'!$F$4</f>
        <v>0</v>
      </c>
      <c r="L12" s="1345"/>
      <c r="M12" s="1345"/>
      <c r="N12" s="1345"/>
      <c r="O12" s="1345"/>
      <c r="P12" s="1345"/>
      <c r="Q12" s="1345"/>
      <c r="R12" s="1345"/>
      <c r="S12" s="1345"/>
      <c r="T12" s="1345"/>
      <c r="U12" s="1345"/>
      <c r="V12" s="1345"/>
      <c r="W12" s="1345"/>
      <c r="X12" s="1345"/>
      <c r="Y12" s="1345"/>
      <c r="Z12" s="1345"/>
      <c r="AA12" s="1345"/>
      <c r="AB12" s="1345"/>
      <c r="AC12" s="1345"/>
      <c r="AD12" s="1345"/>
      <c r="AE12" s="1345"/>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73" t="s">
        <v>930</v>
      </c>
      <c r="C14" s="1366"/>
      <c r="D14" s="1366"/>
      <c r="E14" s="1366"/>
      <c r="F14" s="1366"/>
      <c r="G14" s="1366"/>
      <c r="H14" s="1366"/>
      <c r="I14" s="1366"/>
      <c r="J14" s="1366"/>
      <c r="K14" s="1366"/>
      <c r="L14" s="1366"/>
      <c r="M14" s="1366"/>
      <c r="N14" s="1366"/>
      <c r="O14" s="1366"/>
      <c r="P14" s="1366"/>
      <c r="Q14" s="1366"/>
      <c r="R14" s="1384">
        <f>'Required Info to Submit'!$F$6</f>
        <v>0</v>
      </c>
      <c r="S14" s="1384"/>
      <c r="T14" s="1384"/>
      <c r="U14" s="1384"/>
      <c r="V14" s="1384"/>
      <c r="W14" s="1384"/>
      <c r="X14" s="1384"/>
      <c r="Y14" s="1384"/>
      <c r="Z14" s="1384"/>
      <c r="AA14" s="1384"/>
      <c r="AB14" s="1384"/>
      <c r="AC14" s="1384"/>
      <c r="AD14" s="1384"/>
      <c r="AE14" s="1384"/>
      <c r="AF14" s="1384"/>
      <c r="AG14" s="1384"/>
      <c r="AH14" s="1384"/>
      <c r="AI14" s="1384"/>
      <c r="AJ14" s="1384"/>
      <c r="AK14" s="1384"/>
      <c r="AL14" s="1384"/>
      <c r="AM14" s="1384"/>
      <c r="AN14" s="1384"/>
      <c r="AO14" s="1384"/>
      <c r="AP14" s="1384"/>
      <c r="AQ14" s="1384"/>
      <c r="AR14" s="1384"/>
      <c r="AS14" s="1384"/>
      <c r="AT14" s="1384"/>
      <c r="AU14" s="1384"/>
      <c r="AV14" s="1384"/>
      <c r="AW14" s="1384"/>
      <c r="AX14" s="1384"/>
      <c r="AY14" s="1384"/>
      <c r="AZ14" s="1384"/>
      <c r="BA14" s="1384"/>
      <c r="BB14" s="1384"/>
      <c r="BC14" s="1384"/>
      <c r="BD14" s="1384"/>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73" t="s">
        <v>742</v>
      </c>
      <c r="C16" s="1366"/>
      <c r="D16" s="1366"/>
      <c r="E16" s="1366"/>
      <c r="F16" s="1366"/>
      <c r="G16" s="1366"/>
      <c r="H16" s="1366"/>
      <c r="I16" s="1366"/>
      <c r="J16" s="1366"/>
      <c r="K16" s="1366"/>
      <c r="L16" s="1366"/>
      <c r="M16" s="1366"/>
      <c r="N16" s="1366"/>
      <c r="O16" s="1366"/>
      <c r="P16" s="1366"/>
      <c r="Q16" s="1366"/>
      <c r="R16" s="1345" t="s">
        <v>246</v>
      </c>
      <c r="S16" s="1345"/>
      <c r="T16" s="1362" t="s">
        <v>672</v>
      </c>
      <c r="U16" s="1362"/>
      <c r="V16" s="1362"/>
      <c r="W16" s="1362"/>
      <c r="X16" s="1362"/>
      <c r="Y16" s="1362"/>
      <c r="Z16" s="1362"/>
      <c r="AA16" s="1362"/>
      <c r="AB16" s="1362"/>
      <c r="AC16" s="1362"/>
      <c r="AD16" s="1362"/>
      <c r="AE16" s="1362"/>
      <c r="AF16" s="1362"/>
      <c r="AG16" s="1362"/>
      <c r="AH16" s="1362"/>
      <c r="AI16" s="1362"/>
      <c r="AJ16" s="1362"/>
      <c r="AK16" s="1362"/>
      <c r="AL16" s="1362"/>
      <c r="AO16" s="1362"/>
      <c r="AP16" s="1362"/>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85" t="s">
        <v>901</v>
      </c>
      <c r="C18" s="1386"/>
      <c r="D18" s="1386"/>
      <c r="E18" s="1386"/>
      <c r="F18" s="1386"/>
      <c r="G18" s="1386"/>
      <c r="H18" s="1386"/>
      <c r="I18" s="1386"/>
      <c r="J18" s="1386"/>
      <c r="K18" s="1386"/>
      <c r="L18" s="1386"/>
      <c r="M18" s="1386"/>
      <c r="N18" s="1386"/>
      <c r="O18" s="1386"/>
      <c r="P18" s="1386"/>
      <c r="Q18" s="1386"/>
      <c r="R18" s="1370">
        <f>'Required Info to Submit'!$F$8</f>
        <v>0</v>
      </c>
      <c r="S18" s="1370"/>
      <c r="T18" s="1370"/>
      <c r="U18" s="1370"/>
      <c r="V18" s="1370"/>
      <c r="W18" s="1370"/>
      <c r="X18" s="1370"/>
      <c r="Y18" s="1370"/>
      <c r="Z18" s="1370"/>
      <c r="AA18" s="1370"/>
      <c r="AB18" s="1370"/>
      <c r="AC18" s="1370"/>
      <c r="AD18" s="1370"/>
      <c r="AE18" s="1370"/>
      <c r="AF18" s="1370"/>
      <c r="AG18" s="1370"/>
      <c r="AH18" s="1370"/>
      <c r="AI18" s="1370"/>
      <c r="AJ18" s="1370"/>
      <c r="AK18" s="1370"/>
      <c r="AL18" s="1370"/>
      <c r="AN18" s="1366" t="s">
        <v>903</v>
      </c>
      <c r="AO18" s="1366"/>
      <c r="AP18" s="1366"/>
      <c r="AQ18" s="1366"/>
      <c r="AR18" s="1366"/>
      <c r="AS18" s="1366"/>
      <c r="AT18" s="1366"/>
      <c r="AU18" s="1366"/>
      <c r="AV18" s="1370">
        <f>'Required Info to Submit'!F10</f>
        <v>0</v>
      </c>
      <c r="AW18" s="1370"/>
      <c r="AX18" s="1370"/>
      <c r="AY18" s="1370"/>
      <c r="AZ18" s="1370"/>
      <c r="BA18" s="1370"/>
      <c r="BB18" s="1370"/>
      <c r="BC18" s="1370"/>
      <c r="BD18" s="1370"/>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73" t="s">
        <v>902</v>
      </c>
      <c r="C20" s="1366"/>
      <c r="D20" s="1366"/>
      <c r="E20" s="1366"/>
      <c r="F20" s="1366"/>
      <c r="G20" s="1366"/>
      <c r="H20" s="1366"/>
      <c r="I20" s="1366"/>
      <c r="J20" s="1366"/>
      <c r="K20" s="1366"/>
      <c r="L20" s="1366"/>
      <c r="M20" s="1366"/>
      <c r="N20" s="1366"/>
      <c r="O20" s="1366"/>
      <c r="P20" s="1366"/>
      <c r="Q20" s="1366"/>
      <c r="R20" s="1370">
        <f>'Required Info to Submit'!F9</f>
        <v>0</v>
      </c>
      <c r="S20" s="1370"/>
      <c r="T20" s="1370"/>
      <c r="U20" s="1370"/>
      <c r="V20" s="1370"/>
      <c r="W20" s="1370"/>
      <c r="X20" s="1370"/>
      <c r="Y20" s="1370"/>
      <c r="Z20" s="1370"/>
      <c r="AA20" s="1370"/>
      <c r="AB20" s="1370"/>
      <c r="AC20" s="1370"/>
      <c r="AD20" s="1370"/>
      <c r="AE20" s="1370"/>
      <c r="AF20" s="1370"/>
      <c r="AG20" s="1370"/>
      <c r="AH20" s="1370"/>
      <c r="AI20" s="1370"/>
      <c r="AJ20" s="1370"/>
      <c r="AK20" s="1370"/>
      <c r="AL20" s="1370"/>
      <c r="AN20" s="1366" t="s">
        <v>855</v>
      </c>
      <c r="AO20" s="1366"/>
      <c r="AP20" s="1366"/>
      <c r="AQ20" s="1366"/>
      <c r="AR20" s="1366"/>
      <c r="AS20" s="1366"/>
      <c r="AT20" s="1366"/>
      <c r="AU20" s="1366"/>
      <c r="AV20" s="1370">
        <f>'Required Info to Submit'!F11</f>
        <v>0</v>
      </c>
      <c r="AW20" s="1370"/>
      <c r="AX20" s="1370"/>
      <c r="AY20" s="1370"/>
      <c r="AZ20" s="1370"/>
      <c r="BA20" s="1370"/>
      <c r="BB20" s="1370"/>
      <c r="BC20" s="1370"/>
      <c r="BD20" s="1370"/>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73" t="s">
        <v>904</v>
      </c>
      <c r="C22" s="1366"/>
      <c r="D22" s="1366"/>
      <c r="E22" s="1366"/>
      <c r="F22" s="1366"/>
      <c r="G22" s="1366"/>
      <c r="H22" s="1366"/>
      <c r="I22" s="1366"/>
      <c r="J22" s="1366"/>
      <c r="K22" s="1366"/>
      <c r="L22" s="1366"/>
      <c r="M22" s="1366"/>
      <c r="N22" s="1366"/>
      <c r="O22" s="1366"/>
      <c r="P22" s="1366"/>
      <c r="Q22" s="1366"/>
      <c r="R22" s="1370">
        <f>'Required Info to Submit'!F12</f>
        <v>0</v>
      </c>
      <c r="S22" s="1370"/>
      <c r="T22" s="1370"/>
      <c r="U22" s="1370"/>
      <c r="V22" s="1370"/>
      <c r="W22" s="1370"/>
      <c r="X22" s="1370"/>
      <c r="Y22" s="1370"/>
      <c r="Z22" s="1370"/>
      <c r="AA22" s="1370"/>
      <c r="AB22" s="1370"/>
      <c r="AC22" s="1370"/>
      <c r="AD22" s="1370"/>
      <c r="AE22" s="1370"/>
      <c r="AF22" s="1370"/>
      <c r="AG22" s="1370"/>
      <c r="AH22" s="1370"/>
      <c r="AI22" s="1370"/>
      <c r="AJ22" s="1370"/>
      <c r="AK22" s="1370"/>
      <c r="AL22" s="1370"/>
      <c r="AN22" s="1366"/>
      <c r="AO22" s="1366"/>
      <c r="AP22" s="1366"/>
      <c r="AQ22" s="1366"/>
      <c r="AR22" s="1366"/>
      <c r="AS22" s="1366"/>
      <c r="AT22" s="1366"/>
      <c r="AU22" s="1366"/>
      <c r="AV22" s="1387"/>
      <c r="AW22" s="1387"/>
      <c r="AX22" s="1387"/>
      <c r="AY22" s="1387"/>
      <c r="AZ22" s="1387"/>
      <c r="BA22" s="1387"/>
      <c r="BB22" s="1387"/>
      <c r="BC22" s="1387"/>
      <c r="BD22" s="1387"/>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73" t="s">
        <v>905</v>
      </c>
      <c r="C24" s="1366"/>
      <c r="D24" s="1366"/>
      <c r="E24" s="1366"/>
      <c r="F24" s="1366"/>
      <c r="G24" s="1366"/>
      <c r="H24" s="1366"/>
      <c r="I24" s="1366"/>
      <c r="J24" s="1366"/>
      <c r="K24" s="1366"/>
      <c r="L24" s="1366"/>
      <c r="M24" s="1366"/>
      <c r="N24" s="1366"/>
      <c r="O24" s="1366"/>
      <c r="P24" s="1366"/>
      <c r="Q24" s="1366"/>
      <c r="R24" s="1382">
        <f>'Required Info to Submit'!$F$14</f>
        <v>0</v>
      </c>
      <c r="S24" s="1382"/>
      <c r="T24" s="1382"/>
      <c r="U24" s="1382"/>
      <c r="V24" s="1382"/>
      <c r="W24" s="1382"/>
      <c r="X24" s="1382"/>
      <c r="Y24" s="1382"/>
      <c r="Z24" s="1382"/>
      <c r="AA24" s="1382"/>
      <c r="AB24" s="1382"/>
      <c r="AC24" s="1382"/>
      <c r="AN24" s="1261" t="s">
        <v>909</v>
      </c>
      <c r="AO24" s="1261"/>
      <c r="AP24" s="1261"/>
      <c r="AQ24" s="1261"/>
      <c r="AR24" s="1261"/>
      <c r="AS24" s="1261"/>
      <c r="AT24" s="1261"/>
      <c r="AU24" s="1261"/>
      <c r="AV24" s="1388" t="e">
        <f>'Incentive Setup'!$S$4</f>
        <v>#VALUE!</v>
      </c>
      <c r="AW24" s="1388"/>
      <c r="AX24" s="1388"/>
      <c r="AY24" s="1388"/>
      <c r="AZ24" s="1388"/>
      <c r="BA24" s="1388"/>
      <c r="BB24" s="1388"/>
      <c r="BC24" s="1388"/>
      <c r="BD24" s="1388"/>
      <c r="BF24" s="144"/>
    </row>
    <row r="25" spans="2:68" ht="17.25" x14ac:dyDescent="0.25">
      <c r="B25" s="143"/>
      <c r="C25" s="302"/>
      <c r="D25" s="302"/>
      <c r="E25" s="302"/>
      <c r="F25" s="302"/>
      <c r="G25" s="302"/>
      <c r="H25" s="1381" t="s">
        <v>741</v>
      </c>
      <c r="I25" s="1381"/>
      <c r="J25" s="1381"/>
      <c r="K25" s="1381"/>
      <c r="L25" s="1381"/>
      <c r="M25" s="1381"/>
      <c r="N25" s="1381"/>
      <c r="O25" s="1381"/>
      <c r="P25" s="1381"/>
      <c r="Q25" s="302"/>
      <c r="AN25" s="1381" t="s">
        <v>740</v>
      </c>
      <c r="AO25" s="1381"/>
      <c r="AP25" s="1381"/>
      <c r="AQ25" s="1381"/>
      <c r="AR25" s="1381"/>
      <c r="AS25" s="1381"/>
      <c r="AT25" s="1381"/>
      <c r="BF25" s="144"/>
    </row>
    <row r="26" spans="2:68" ht="18.75" x14ac:dyDescent="0.3">
      <c r="B26" s="1378" t="s">
        <v>677</v>
      </c>
      <c r="C26" s="1379"/>
      <c r="D26" s="1379"/>
      <c r="E26" s="1379"/>
      <c r="F26" s="1379"/>
      <c r="G26" s="1379"/>
      <c r="H26" s="1379"/>
      <c r="I26" s="1379"/>
      <c r="J26" s="1379"/>
      <c r="K26" s="1379"/>
      <c r="L26" s="1379"/>
      <c r="M26" s="1379"/>
      <c r="N26" s="1379"/>
      <c r="O26" s="1379"/>
      <c r="P26" s="1379"/>
      <c r="Q26" s="1379"/>
      <c r="R26" s="1379"/>
      <c r="S26" s="1379"/>
      <c r="T26" s="1379"/>
      <c r="U26" s="1379"/>
      <c r="V26" s="1379"/>
      <c r="W26" s="1379"/>
      <c r="X26" s="1379"/>
      <c r="Y26" s="1379"/>
      <c r="Z26" s="1379"/>
      <c r="AA26" s="1379"/>
      <c r="AB26" s="1379"/>
      <c r="AC26" s="1379"/>
      <c r="AD26" s="1379"/>
      <c r="AE26" s="1379"/>
      <c r="AF26" s="1379"/>
      <c r="AG26" s="1379"/>
      <c r="AH26" s="1379"/>
      <c r="AI26" s="1379"/>
      <c r="AJ26" s="1379"/>
      <c r="AK26" s="1379"/>
      <c r="AL26" s="1379"/>
      <c r="AM26" s="1379"/>
      <c r="AN26" s="1379"/>
      <c r="AO26" s="1379"/>
      <c r="AP26" s="1379"/>
      <c r="AQ26" s="1379"/>
      <c r="AR26" s="1379"/>
      <c r="AS26" s="1379"/>
      <c r="AT26" s="1379"/>
      <c r="AU26" s="1379"/>
      <c r="AV26" s="1379"/>
      <c r="AW26" s="1379"/>
      <c r="AX26" s="1379"/>
      <c r="AY26" s="1379"/>
      <c r="AZ26" s="1379"/>
      <c r="BA26" s="1379"/>
      <c r="BB26" s="1379"/>
      <c r="BC26" s="1379"/>
      <c r="BD26" s="1379"/>
      <c r="BE26" s="1379"/>
      <c r="BF26" s="1380"/>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71" t="s">
        <v>678</v>
      </c>
      <c r="C28" s="1372"/>
      <c r="D28" s="1372"/>
      <c r="E28" s="1372"/>
      <c r="F28" s="1372"/>
      <c r="G28" s="1372"/>
      <c r="H28" s="1372"/>
      <c r="I28" s="1372"/>
      <c r="J28" s="1372"/>
      <c r="K28" s="1372"/>
      <c r="L28" s="1372"/>
      <c r="M28" s="1372"/>
      <c r="N28" s="1372"/>
      <c r="O28" s="1372"/>
      <c r="P28" s="1372"/>
      <c r="Q28" s="1372"/>
      <c r="T28" s="1375">
        <f>'Tracking &amp; Profitability'!$E$6</f>
        <v>0</v>
      </c>
      <c r="U28" s="1375"/>
      <c r="V28" s="1375"/>
      <c r="W28" s="1375"/>
      <c r="X28" s="1375"/>
      <c r="Y28" s="1375"/>
      <c r="Z28" s="1375"/>
      <c r="AA28" s="1375"/>
      <c r="AB28" s="1375"/>
      <c r="AF28" t="s">
        <v>739</v>
      </c>
      <c r="AO28" s="1345">
        <v>5</v>
      </c>
      <c r="AP28" s="1345"/>
      <c r="AQ28" s="1345"/>
      <c r="AR28" s="1362" t="s">
        <v>679</v>
      </c>
      <c r="AS28" s="1362"/>
      <c r="AU28" s="1345">
        <v>5</v>
      </c>
      <c r="AV28" s="1345"/>
      <c r="AW28" s="1345"/>
      <c r="AX28" s="1362" t="s">
        <v>738</v>
      </c>
      <c r="AY28" s="1362"/>
      <c r="BA28" s="1345">
        <v>5</v>
      </c>
      <c r="BB28" s="1345"/>
      <c r="BC28" s="1345"/>
      <c r="BD28" s="1362" t="s">
        <v>680</v>
      </c>
      <c r="BE28" s="1362"/>
      <c r="BF28" s="144"/>
    </row>
    <row r="29" spans="2:68" ht="17.25" x14ac:dyDescent="0.25">
      <c r="B29" s="143"/>
      <c r="T29" s="140"/>
      <c r="U29" s="140"/>
      <c r="V29" s="140"/>
      <c r="W29" s="140"/>
      <c r="X29" s="140"/>
      <c r="Y29" s="140"/>
      <c r="Z29" s="140"/>
      <c r="AA29" s="140"/>
      <c r="AB29" s="140"/>
      <c r="AF29" s="1381" t="s">
        <v>737</v>
      </c>
      <c r="AG29" s="1381"/>
      <c r="AH29" s="1381"/>
      <c r="AI29" s="1381"/>
      <c r="AJ29" s="1381"/>
      <c r="AK29" s="1381"/>
      <c r="AL29" s="1381"/>
      <c r="AM29" s="1381"/>
      <c r="AN29" s="1381"/>
      <c r="AO29" s="1381"/>
      <c r="AP29" s="1381"/>
      <c r="AQ29" s="1381"/>
      <c r="AR29" s="1381"/>
      <c r="AS29" s="1381"/>
      <c r="AT29" s="1381"/>
      <c r="AU29" s="1381"/>
      <c r="AV29" s="1381"/>
      <c r="AW29" s="1381"/>
      <c r="AX29" s="1381"/>
      <c r="AY29" s="1381"/>
      <c r="AZ29" s="1381"/>
      <c r="BA29" s="1381"/>
      <c r="BB29" s="1381"/>
      <c r="BC29" s="1381"/>
      <c r="BD29" s="1381"/>
      <c r="BE29" s="1381"/>
      <c r="BF29" s="144"/>
    </row>
    <row r="30" spans="2:68" x14ac:dyDescent="0.25">
      <c r="B30" s="1374" t="s">
        <v>734</v>
      </c>
      <c r="C30" s="1261"/>
      <c r="D30" s="1261"/>
      <c r="E30" s="1261"/>
      <c r="F30" s="1261"/>
      <c r="G30" s="1261"/>
      <c r="H30" s="1261"/>
      <c r="I30" s="1261"/>
      <c r="J30" s="1261"/>
      <c r="K30" s="1261"/>
      <c r="L30" s="1261"/>
      <c r="M30" s="1261"/>
      <c r="N30" s="1261"/>
      <c r="O30" s="1261"/>
      <c r="P30" s="1261"/>
      <c r="Q30" s="1261"/>
      <c r="T30" s="1377">
        <v>1</v>
      </c>
      <c r="U30" s="1377"/>
      <c r="V30" s="1377"/>
      <c r="W30" s="1377"/>
      <c r="AF30" s="1276" t="s">
        <v>736</v>
      </c>
      <c r="AG30" s="1276"/>
      <c r="AH30" s="1276"/>
      <c r="AI30" s="1276"/>
      <c r="AJ30" s="1276"/>
      <c r="AK30" s="1276"/>
      <c r="AL30" s="1276"/>
      <c r="AM30" s="1276"/>
      <c r="AN30" s="1276"/>
      <c r="AO30" s="1276"/>
      <c r="AP30" s="1345" t="s">
        <v>1080</v>
      </c>
      <c r="AQ30" s="1345"/>
      <c r="AR30" s="1345"/>
      <c r="AT30" s="1276" t="s">
        <v>735</v>
      </c>
      <c r="AU30" s="1276"/>
      <c r="AV30" s="1276"/>
      <c r="AW30" s="1276"/>
      <c r="AX30" s="1276"/>
      <c r="AY30" s="1276"/>
      <c r="AZ30" s="1276"/>
      <c r="BA30" s="1276"/>
      <c r="BB30" s="1276"/>
      <c r="BC30" s="1276"/>
      <c r="BF30" s="144"/>
    </row>
    <row r="31" spans="2:68" x14ac:dyDescent="0.25">
      <c r="B31" s="143"/>
      <c r="BF31" s="144"/>
      <c r="BP31" s="301"/>
    </row>
    <row r="32" spans="2:68" x14ac:dyDescent="0.25">
      <c r="B32" s="1374" t="s">
        <v>731</v>
      </c>
      <c r="C32" s="1261"/>
      <c r="D32" s="1261"/>
      <c r="E32" s="1261"/>
      <c r="F32" s="1261"/>
      <c r="G32" s="1261"/>
      <c r="H32" s="1261"/>
      <c r="I32" s="1261"/>
      <c r="J32" s="1261"/>
      <c r="K32" s="1261"/>
      <c r="L32" s="1261"/>
      <c r="M32" s="1261"/>
      <c r="N32" s="1261"/>
      <c r="O32" s="1261"/>
      <c r="P32" s="1261"/>
      <c r="Q32" s="1261"/>
      <c r="T32" s="1383" t="s">
        <v>1054</v>
      </c>
      <c r="U32" s="1383"/>
      <c r="V32" s="1383"/>
      <c r="W32" s="1383"/>
      <c r="X32" s="1383"/>
      <c r="Y32" s="1383"/>
      <c r="Z32" s="1383"/>
      <c r="AA32" s="1383"/>
      <c r="AB32" s="1383"/>
      <c r="AC32" s="1383"/>
      <c r="AD32" s="1383"/>
      <c r="AE32" s="1383"/>
      <c r="AF32" s="1383"/>
      <c r="AG32" s="1383"/>
      <c r="AH32" s="1383"/>
      <c r="AI32" s="1383"/>
      <c r="AJ32" s="1383"/>
      <c r="AK32" s="1383"/>
      <c r="AL32" s="1383"/>
      <c r="AM32" s="1383"/>
      <c r="AN32" s="1383"/>
      <c r="AO32" s="1383"/>
      <c r="BF32" s="144"/>
    </row>
    <row r="33" spans="2:92" x14ac:dyDescent="0.25">
      <c r="B33" s="143"/>
      <c r="BF33" s="144"/>
    </row>
    <row r="34" spans="2:92" x14ac:dyDescent="0.25">
      <c r="B34" s="143"/>
      <c r="C34" s="88"/>
      <c r="D34" s="88"/>
      <c r="E34" s="88"/>
      <c r="F34" s="88"/>
      <c r="G34" s="88"/>
      <c r="H34" s="88"/>
      <c r="I34" s="1345"/>
      <c r="J34" s="1345"/>
      <c r="K34" s="1362" t="s">
        <v>496</v>
      </c>
      <c r="L34" s="1362"/>
      <c r="M34" s="1362"/>
      <c r="N34" s="1362"/>
      <c r="O34" s="1362"/>
      <c r="P34" s="1362"/>
      <c r="Q34" s="1362"/>
      <c r="R34" s="1345" t="s">
        <v>246</v>
      </c>
      <c r="S34" s="1345"/>
      <c r="T34" s="1362" t="s">
        <v>495</v>
      </c>
      <c r="U34" s="1362"/>
      <c r="V34" s="1362"/>
      <c r="W34" s="1362"/>
      <c r="X34" s="1345"/>
      <c r="Y34" s="1345"/>
      <c r="Z34" s="1362" t="s">
        <v>494</v>
      </c>
      <c r="AA34" s="1362"/>
      <c r="AB34" s="1362"/>
      <c r="AF34" t="s">
        <v>733</v>
      </c>
      <c r="AL34" s="1345">
        <v>5</v>
      </c>
      <c r="AM34" s="1345"/>
      <c r="AN34" s="1345"/>
      <c r="AO34" t="s">
        <v>732</v>
      </c>
      <c r="BF34" s="144"/>
    </row>
    <row r="35" spans="2:92" x14ac:dyDescent="0.25">
      <c r="B35" s="143"/>
      <c r="BF35" s="144"/>
      <c r="BP35" s="303"/>
      <c r="CN35" s="301"/>
    </row>
    <row r="36" spans="2:92" x14ac:dyDescent="0.25">
      <c r="B36" s="1371" t="s">
        <v>730</v>
      </c>
      <c r="C36" s="1372"/>
      <c r="D36" s="1372"/>
      <c r="E36" s="1372"/>
      <c r="F36" s="1372"/>
      <c r="G36" s="1372"/>
      <c r="H36" s="1372"/>
      <c r="I36" s="1372"/>
      <c r="J36" s="1372"/>
      <c r="K36" s="1372"/>
      <c r="L36" s="1372"/>
      <c r="M36" s="1372"/>
      <c r="N36" s="1372"/>
      <c r="O36" s="1372"/>
      <c r="P36" s="1372"/>
      <c r="Q36" s="1372"/>
      <c r="R36" s="1372"/>
      <c r="T36" s="1353" t="str">
        <f>IFERROR($T$28/('Tracking &amp; Profitability'!$E$7*52*Welcome!$D$16),"Error on A La Carte")</f>
        <v>Error on A La Carte</v>
      </c>
      <c r="U36" s="1353"/>
      <c r="V36" s="1353"/>
      <c r="W36" s="1353"/>
      <c r="X36" s="1353"/>
      <c r="Y36" s="1353"/>
      <c r="Z36" s="1353"/>
      <c r="AA36" s="1353"/>
      <c r="AB36" s="1353"/>
      <c r="AF36" s="1372" t="s">
        <v>491</v>
      </c>
      <c r="AG36" s="1372"/>
      <c r="AH36" s="1372"/>
      <c r="AI36" s="1372"/>
      <c r="AJ36" s="1372"/>
      <c r="AK36" s="1372"/>
      <c r="AL36" s="1372"/>
      <c r="AM36" s="1372"/>
      <c r="AN36" s="1372"/>
      <c r="AO36" s="1372"/>
      <c r="AP36" s="1372"/>
      <c r="AQ36" s="1372"/>
      <c r="AR36" s="1372"/>
      <c r="AS36" s="1372"/>
      <c r="AU36" s="1345" t="e">
        <f>ROUND(((1-(('PIM Model'!$G$15+'PIM Model'!$G$17+'PIM Model'!$G$18)/'PIM Model'!$G$31))*100),0)&amp;"%/"&amp;ROUND((('PIM Model'!$G$15+'PIM Model'!$G$17+'PIM Model'!$G$18)/'PIM Model'!$G$31*100),0)&amp;"%"</f>
        <v>#DIV/0!</v>
      </c>
      <c r="AV36" s="1345"/>
      <c r="AW36" s="1345"/>
      <c r="AX36" s="1345"/>
      <c r="AY36" s="1345"/>
      <c r="AZ36" s="1345"/>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1" t="s">
        <v>728</v>
      </c>
      <c r="C38" s="1372"/>
      <c r="D38" s="1372"/>
      <c r="E38" s="1372"/>
      <c r="F38" s="1372"/>
      <c r="G38" s="1372"/>
      <c r="H38" s="1372"/>
      <c r="I38" s="1372"/>
      <c r="J38" s="1372"/>
      <c r="K38" s="1372"/>
      <c r="L38" s="1372"/>
      <c r="M38" s="1372"/>
      <c r="N38" s="1372"/>
      <c r="O38" s="1372"/>
      <c r="P38" s="1372"/>
      <c r="Q38" s="1372"/>
      <c r="R38" s="1372"/>
      <c r="T38" s="1354" t="str">
        <f>IFERROR('PIM Model'!$H$31/('PIM Model'!$E$6*52*Welcome!$D$16),"Error on A La Carte")</f>
        <v>Error on A La Carte</v>
      </c>
      <c r="U38" s="1354"/>
      <c r="V38" s="1354"/>
      <c r="W38" s="1354"/>
      <c r="X38" s="1354"/>
      <c r="Y38" s="1354"/>
      <c r="Z38" s="1354"/>
      <c r="AA38" s="1354"/>
      <c r="AB38" s="1354"/>
      <c r="AC38" s="304"/>
      <c r="AD38" s="304"/>
      <c r="AF38" s="1261" t="s">
        <v>681</v>
      </c>
      <c r="AG38" s="1261"/>
      <c r="AH38" s="1261"/>
      <c r="AI38" s="1261"/>
      <c r="AJ38" s="1261"/>
      <c r="AK38" s="1261"/>
      <c r="AL38" s="1261"/>
      <c r="AM38" s="1261"/>
      <c r="AN38" s="1261"/>
      <c r="AO38" s="1261"/>
      <c r="AP38" s="1261"/>
      <c r="AQ38" s="1261"/>
      <c r="AR38" s="1261"/>
      <c r="AS38" s="1261"/>
      <c r="AU38" s="1345">
        <f>COUNTIF('PIM Model'!$E$10:$E$30,"Include")</f>
        <v>21</v>
      </c>
      <c r="AV38" s="1345"/>
      <c r="AW38" s="1345"/>
      <c r="AX38" s="1345"/>
      <c r="AY38" s="1345"/>
      <c r="AZ38" s="1345"/>
      <c r="BF38" s="144"/>
    </row>
    <row r="39" spans="2:92" x14ac:dyDescent="0.25">
      <c r="B39" s="143"/>
      <c r="BF39" s="144"/>
    </row>
    <row r="40" spans="2:92" x14ac:dyDescent="0.25">
      <c r="B40" s="1371" t="s">
        <v>726</v>
      </c>
      <c r="C40" s="1372"/>
      <c r="D40" s="1372"/>
      <c r="E40" s="1372"/>
      <c r="F40" s="1372"/>
      <c r="G40" s="1372"/>
      <c r="H40" s="1372"/>
      <c r="I40" s="1372"/>
      <c r="J40" s="1372"/>
      <c r="K40" s="1372"/>
      <c r="L40" s="1372"/>
      <c r="M40" s="1372"/>
      <c r="N40" s="1372"/>
      <c r="O40" s="1372"/>
      <c r="P40" s="1372"/>
      <c r="Q40" s="1372"/>
      <c r="R40" s="1372"/>
      <c r="T40" s="1375">
        <f>IFERROR('PIM Model'!$G$31/'PIM Model'!$H$31,0)</f>
        <v>0</v>
      </c>
      <c r="U40" s="1375"/>
      <c r="V40" s="1375"/>
      <c r="W40" s="1375"/>
      <c r="X40" s="1375"/>
      <c r="Y40" s="1375"/>
      <c r="Z40" s="1375"/>
      <c r="AA40" s="1375"/>
      <c r="AB40" s="1375"/>
      <c r="AF40" s="1261" t="s">
        <v>729</v>
      </c>
      <c r="AG40" s="1261"/>
      <c r="AH40" s="1261"/>
      <c r="AI40" s="1261"/>
      <c r="AJ40" s="1261"/>
      <c r="AK40" s="1261"/>
      <c r="AL40" s="1261"/>
      <c r="AM40" s="1261"/>
      <c r="AN40" s="1261"/>
      <c r="AO40" s="1261"/>
      <c r="AP40" s="1261"/>
      <c r="AQ40" s="1261"/>
      <c r="AR40" s="1261"/>
      <c r="AS40" s="1261"/>
      <c r="AU40" s="1345">
        <f>$AO$28+$AU$28+$BA$28</f>
        <v>15</v>
      </c>
      <c r="AV40" s="1345"/>
      <c r="AW40" s="1345"/>
      <c r="BC40" s="1362"/>
      <c r="BD40" s="1362"/>
      <c r="BE40" s="1362"/>
      <c r="BF40" s="144"/>
    </row>
    <row r="41" spans="2:92" x14ac:dyDescent="0.25">
      <c r="B41" s="143"/>
      <c r="BF41" s="144"/>
      <c r="BP41" s="301"/>
      <c r="CN41" s="303"/>
    </row>
    <row r="42" spans="2:92" x14ac:dyDescent="0.25">
      <c r="B42" s="1374" t="s">
        <v>724</v>
      </c>
      <c r="C42" s="1261"/>
      <c r="D42" s="1261"/>
      <c r="E42" s="1261"/>
      <c r="F42" s="1261"/>
      <c r="G42" s="1261"/>
      <c r="H42" s="1261"/>
      <c r="I42" s="1261"/>
      <c r="J42" s="1261"/>
      <c r="K42" s="1261"/>
      <c r="L42" s="1261"/>
      <c r="M42" s="1261"/>
      <c r="N42" s="1261"/>
      <c r="O42" s="1261"/>
      <c r="P42" s="1261"/>
      <c r="Q42" s="1261"/>
      <c r="R42" s="1261"/>
      <c r="T42" s="1375" t="s">
        <v>783</v>
      </c>
      <c r="U42" s="1375"/>
      <c r="V42" s="1375"/>
      <c r="W42" s="1375"/>
      <c r="X42" s="1375"/>
      <c r="Y42" s="1375"/>
      <c r="Z42" s="1375"/>
      <c r="AA42" s="1375"/>
      <c r="AB42" s="1375"/>
      <c r="AF42" s="1261" t="s">
        <v>727</v>
      </c>
      <c r="AG42" s="1261"/>
      <c r="AH42" s="1261"/>
      <c r="AI42" s="1261"/>
      <c r="AJ42" s="1261"/>
      <c r="AK42" s="1261"/>
      <c r="AL42" s="1261"/>
      <c r="AM42" s="1261"/>
      <c r="AN42" s="1261"/>
      <c r="AO42" s="1261"/>
      <c r="AP42" s="1261"/>
      <c r="AQ42" s="1261"/>
      <c r="AR42" s="1261"/>
      <c r="AS42" s="1261"/>
      <c r="AU42" s="1345" t="s">
        <v>673</v>
      </c>
      <c r="AV42" s="1345"/>
      <c r="AW42" s="1345"/>
      <c r="BC42" s="1362"/>
      <c r="BD42" s="1362"/>
      <c r="BE42" s="1362"/>
      <c r="BF42" s="144"/>
    </row>
    <row r="43" spans="2:92" x14ac:dyDescent="0.25">
      <c r="B43" s="143"/>
      <c r="BF43" s="144"/>
      <c r="BP43" s="301"/>
      <c r="CN43" s="303"/>
    </row>
    <row r="44" spans="2:92" x14ac:dyDescent="0.25">
      <c r="B44" s="1371" t="s">
        <v>722</v>
      </c>
      <c r="C44" s="1372"/>
      <c r="D44" s="1372"/>
      <c r="E44" s="1372"/>
      <c r="F44" s="1372"/>
      <c r="G44" s="1372"/>
      <c r="H44" s="1372"/>
      <c r="I44" s="1372"/>
      <c r="J44" s="1372"/>
      <c r="K44" s="1372"/>
      <c r="L44" s="1372"/>
      <c r="M44" s="1372"/>
      <c r="N44" s="1372"/>
      <c r="O44" s="1372"/>
      <c r="P44" s="1372"/>
      <c r="Q44" s="1372"/>
      <c r="R44" s="1372"/>
      <c r="T44" s="1376">
        <f>'Tracking &amp; Profitability'!$E$7</f>
        <v>0</v>
      </c>
      <c r="U44" s="1376"/>
      <c r="V44" s="1376"/>
      <c r="W44" s="1376"/>
      <c r="X44" s="1376"/>
      <c r="Y44" s="1376"/>
      <c r="Z44" s="1376"/>
      <c r="AA44" s="1376"/>
      <c r="AB44" s="1376"/>
      <c r="AF44" s="1261" t="s">
        <v>725</v>
      </c>
      <c r="AG44" s="1261"/>
      <c r="AH44" s="1261"/>
      <c r="AI44" s="1261"/>
      <c r="AJ44" s="1261"/>
      <c r="AK44" s="1261"/>
      <c r="AL44" s="1261"/>
      <c r="AM44" s="1261"/>
      <c r="AN44" s="1261"/>
      <c r="AO44" s="1261"/>
      <c r="AP44" s="1261"/>
      <c r="AQ44" s="1261"/>
      <c r="AR44" s="1261"/>
      <c r="AS44" s="1261"/>
      <c r="AU44" s="1345" t="s">
        <v>673</v>
      </c>
      <c r="AV44" s="1345"/>
      <c r="AW44" s="1345"/>
      <c r="BC44" s="1362"/>
      <c r="BD44" s="1362"/>
      <c r="BE44" s="1362"/>
      <c r="BF44" s="144"/>
    </row>
    <row r="45" spans="2:92" x14ac:dyDescent="0.25">
      <c r="B45" s="143"/>
      <c r="BF45" s="144"/>
      <c r="CN45" s="303"/>
    </row>
    <row r="46" spans="2:92" x14ac:dyDescent="0.25">
      <c r="B46" s="1368" t="s">
        <v>682</v>
      </c>
      <c r="C46" s="1369"/>
      <c r="D46" s="1369"/>
      <c r="E46" s="1369"/>
      <c r="F46" s="1369"/>
      <c r="G46" s="1369"/>
      <c r="H46" s="1369"/>
      <c r="I46" s="1369"/>
      <c r="J46" s="1369"/>
      <c r="K46" s="1369"/>
      <c r="L46" s="1369"/>
      <c r="M46" s="1369"/>
      <c r="N46" s="1369"/>
      <c r="O46" s="1369"/>
      <c r="P46" s="1369"/>
      <c r="Q46" s="1369"/>
      <c r="R46" s="1369"/>
      <c r="T46" s="1370">
        <v>150</v>
      </c>
      <c r="U46" s="1370"/>
      <c r="V46" s="1370"/>
      <c r="W46" s="1370"/>
      <c r="X46" s="1370"/>
      <c r="Y46" s="1370"/>
      <c r="Z46" s="1370"/>
      <c r="AA46" s="1370"/>
      <c r="AB46" s="1370"/>
      <c r="AF46" s="1351" t="s">
        <v>723</v>
      </c>
      <c r="AG46" s="1351"/>
      <c r="AH46" s="1351"/>
      <c r="AI46" s="1351"/>
      <c r="AJ46" s="1351"/>
      <c r="AK46" s="1351"/>
      <c r="AL46" s="1351"/>
      <c r="AM46" s="1351"/>
      <c r="AN46" s="1351"/>
      <c r="AO46" s="1351"/>
      <c r="AP46" s="1351"/>
      <c r="AQ46" s="1351"/>
      <c r="AR46" s="1351"/>
      <c r="AS46" s="1351"/>
      <c r="AU46" s="1358">
        <v>0.3</v>
      </c>
      <c r="AV46" s="1358"/>
      <c r="AW46" s="1358"/>
      <c r="AX46" s="1358"/>
      <c r="AY46" s="1358"/>
      <c r="AZ46" s="1358"/>
      <c r="BF46" s="144"/>
    </row>
    <row r="47" spans="2:92" x14ac:dyDescent="0.25">
      <c r="B47" s="143"/>
      <c r="BF47" s="144"/>
      <c r="CN47" s="303"/>
    </row>
    <row r="48" spans="2:92" x14ac:dyDescent="0.25">
      <c r="B48" s="1371" t="s">
        <v>492</v>
      </c>
      <c r="C48" s="1372"/>
      <c r="D48" s="1372"/>
      <c r="E48" s="1372"/>
      <c r="F48" s="1372"/>
      <c r="G48" s="1372"/>
      <c r="H48" s="1372"/>
      <c r="I48" s="1372"/>
      <c r="J48" s="1372"/>
      <c r="K48" s="1372"/>
      <c r="L48" s="1372"/>
      <c r="M48" s="1372"/>
      <c r="N48" s="1372"/>
      <c r="O48" s="1372"/>
      <c r="P48" s="1372"/>
      <c r="Q48" s="1372"/>
      <c r="R48" s="1372"/>
      <c r="T48" s="1370">
        <f>$K$10</f>
        <v>0</v>
      </c>
      <c r="U48" s="1370"/>
      <c r="V48" s="1370"/>
      <c r="W48" s="1370"/>
      <c r="X48" s="1370"/>
      <c r="Y48" s="1370"/>
      <c r="Z48" s="1370"/>
      <c r="AA48" s="1370"/>
      <c r="AB48" s="1370"/>
      <c r="AF48" s="1351" t="s">
        <v>721</v>
      </c>
      <c r="AG48" s="1351"/>
      <c r="AH48" s="1351"/>
      <c r="AI48" s="1351"/>
      <c r="AJ48" s="1351"/>
      <c r="AK48" s="1351"/>
      <c r="AL48" s="1351"/>
      <c r="AM48" s="1351"/>
      <c r="AN48" s="1351"/>
      <c r="AO48" s="1351"/>
      <c r="AP48" s="1351"/>
      <c r="AQ48" s="1351"/>
      <c r="AR48" s="1351"/>
      <c r="AS48" s="1351"/>
      <c r="AU48" s="1343">
        <v>2.25</v>
      </c>
      <c r="AV48" s="1344"/>
      <c r="AW48" s="1344"/>
      <c r="AX48" s="1344"/>
      <c r="AY48" s="1344"/>
      <c r="AZ48" s="1344"/>
      <c r="BF48" s="144"/>
    </row>
    <row r="49" spans="2:92" x14ac:dyDescent="0.25">
      <c r="B49" s="143"/>
      <c r="BF49" s="144"/>
      <c r="CN49" s="303"/>
    </row>
    <row r="50" spans="2:92" x14ac:dyDescent="0.25">
      <c r="B50" s="1350" t="s">
        <v>720</v>
      </c>
      <c r="C50" s="1351"/>
      <c r="D50" s="1351"/>
      <c r="E50" s="1351"/>
      <c r="F50" s="1351"/>
      <c r="G50" s="1351"/>
      <c r="H50" s="1351"/>
      <c r="I50" s="1351"/>
      <c r="J50" s="1351"/>
      <c r="K50" s="1351"/>
      <c r="L50" s="1351"/>
      <c r="M50" s="1351"/>
      <c r="N50" s="1351"/>
      <c r="O50" s="1351"/>
      <c r="P50" s="1351"/>
      <c r="Q50" s="1351"/>
      <c r="R50" s="1351"/>
      <c r="T50" s="1352">
        <v>500</v>
      </c>
      <c r="U50" s="1352"/>
      <c r="V50" s="1352"/>
      <c r="W50" s="1352"/>
      <c r="X50" s="1352"/>
      <c r="Y50" s="1352"/>
      <c r="Z50" s="1261" t="s">
        <v>719</v>
      </c>
      <c r="AA50" s="1261"/>
      <c r="AB50" s="1261"/>
      <c r="AC50" s="1352">
        <v>35</v>
      </c>
      <c r="AD50" s="1352"/>
      <c r="AE50" s="1352"/>
      <c r="AF50" s="1352"/>
      <c r="AG50" s="135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55" t="s">
        <v>703</v>
      </c>
      <c r="C53" s="1356"/>
      <c r="D53" s="1356"/>
      <c r="E53" s="1356"/>
      <c r="F53" s="1356"/>
      <c r="G53" s="1356"/>
      <c r="H53" s="1356"/>
      <c r="I53" s="1356"/>
      <c r="J53" s="1356"/>
      <c r="K53" s="1356"/>
      <c r="L53" s="1356"/>
      <c r="M53" s="1356"/>
      <c r="N53" s="1356"/>
      <c r="O53" s="1356"/>
      <c r="P53" s="1356"/>
      <c r="Q53" s="1356"/>
      <c r="R53" s="1356"/>
      <c r="S53" s="1356"/>
      <c r="T53" s="1356"/>
      <c r="U53" s="1356"/>
      <c r="V53" s="1356"/>
      <c r="W53" s="1356"/>
      <c r="X53" s="1356"/>
      <c r="Y53" s="1356"/>
      <c r="Z53" s="1356"/>
      <c r="AA53" s="1356"/>
      <c r="AB53" s="1356"/>
      <c r="AC53" s="1356"/>
      <c r="AD53" s="1356"/>
      <c r="AE53" s="1356"/>
      <c r="AF53" s="1356"/>
      <c r="AG53" s="1356"/>
      <c r="AH53" s="1356"/>
      <c r="AI53" s="1356"/>
      <c r="AJ53" s="1356"/>
      <c r="AK53" s="1356"/>
      <c r="AL53" s="1356"/>
      <c r="AM53" s="1356"/>
      <c r="AN53" s="1356"/>
      <c r="AO53" s="1356"/>
      <c r="AP53" s="1356"/>
      <c r="AQ53" s="1356"/>
      <c r="AR53" s="1356"/>
      <c r="AS53" s="1356"/>
      <c r="AT53" s="1356"/>
      <c r="AU53" s="1356"/>
      <c r="AV53" s="1356"/>
      <c r="AW53" s="1356"/>
      <c r="AX53" s="1356"/>
      <c r="AY53" s="1356"/>
      <c r="AZ53" s="1356"/>
      <c r="BA53" s="1356"/>
      <c r="BB53" s="1356"/>
      <c r="BC53" s="1356"/>
      <c r="BD53" s="1356"/>
      <c r="BE53" s="1356"/>
      <c r="BF53" s="1357"/>
    </row>
    <row r="54" spans="2:92" x14ac:dyDescent="0.25">
      <c r="B54" s="1359" t="s">
        <v>718</v>
      </c>
      <c r="C54" s="1360"/>
      <c r="D54" s="1360"/>
      <c r="E54" s="1360"/>
      <c r="F54" s="1360"/>
      <c r="G54" s="1360"/>
      <c r="H54" s="1360"/>
      <c r="I54" s="1360"/>
      <c r="J54" s="1360"/>
      <c r="K54" s="1360"/>
      <c r="L54" s="1360"/>
      <c r="M54" s="1360"/>
      <c r="N54" s="1360"/>
      <c r="O54" s="1360"/>
      <c r="P54" s="1360"/>
      <c r="Q54" s="1360"/>
      <c r="R54" s="1360"/>
      <c r="S54" s="1360"/>
      <c r="T54" s="1360"/>
      <c r="U54" s="1360"/>
      <c r="V54" s="1360"/>
      <c r="W54" s="1360"/>
      <c r="X54" s="1360"/>
      <c r="Y54" s="1360"/>
      <c r="Z54" s="1360"/>
      <c r="AA54" s="1360"/>
      <c r="AB54" s="1360"/>
      <c r="AC54" s="1360"/>
      <c r="AD54" s="1360"/>
      <c r="AE54" s="1360"/>
      <c r="AF54" s="1360"/>
      <c r="AG54" s="1360"/>
      <c r="AH54" s="1360"/>
      <c r="AI54" s="1360"/>
      <c r="AJ54" s="1360"/>
      <c r="AK54" s="1360"/>
      <c r="AL54" s="1360"/>
      <c r="AM54" s="1360"/>
      <c r="AN54" s="1360"/>
      <c r="AO54" s="1360"/>
      <c r="AP54" s="1360"/>
      <c r="AQ54" s="1360"/>
      <c r="AR54" s="1360"/>
      <c r="AS54" s="1360"/>
      <c r="AT54" s="1360"/>
      <c r="AU54" s="1360"/>
      <c r="AV54" s="1360"/>
      <c r="AW54" s="1360"/>
      <c r="AX54" s="1360"/>
      <c r="AY54" s="1360"/>
      <c r="AZ54" s="1360"/>
      <c r="BA54" s="1360"/>
      <c r="BB54" s="1360"/>
      <c r="BC54" s="1360"/>
      <c r="BD54" s="1360"/>
      <c r="BE54" s="1360"/>
      <c r="BF54" s="1361"/>
      <c r="BP54" s="301"/>
    </row>
    <row r="55" spans="2:92" x14ac:dyDescent="0.25">
      <c r="B55" s="143"/>
      <c r="AC55" s="306"/>
      <c r="AD55" s="306"/>
      <c r="AE55" s="306"/>
      <c r="AF55" s="306"/>
      <c r="AG55" s="306"/>
      <c r="AH55" s="306"/>
      <c r="AK55" s="1366"/>
      <c r="AL55" s="1366"/>
      <c r="AM55" s="1366"/>
      <c r="AN55" s="1366"/>
      <c r="AO55" s="1243"/>
      <c r="AP55" s="1243"/>
      <c r="AQ55" s="1243"/>
      <c r="AR55" s="140"/>
      <c r="AS55" s="140"/>
      <c r="AT55" s="1243"/>
      <c r="AU55" s="1243"/>
      <c r="AV55" s="1243"/>
      <c r="AW55" s="140"/>
      <c r="AX55" s="140"/>
      <c r="AY55" s="1243"/>
      <c r="AZ55" s="1243"/>
      <c r="BA55" s="1243"/>
      <c r="BB55" s="140"/>
      <c r="BC55" s="140"/>
      <c r="BD55" s="1243"/>
      <c r="BE55" s="1243"/>
      <c r="BF55" s="1342"/>
      <c r="BP55" s="307"/>
    </row>
    <row r="56" spans="2:92" x14ac:dyDescent="0.25">
      <c r="B56" s="143"/>
      <c r="C56" s="1276" t="s">
        <v>103</v>
      </c>
      <c r="D56" s="1276"/>
      <c r="E56" s="1276"/>
      <c r="F56" s="1276"/>
      <c r="G56" s="1276"/>
      <c r="H56" s="1276"/>
      <c r="I56" s="1276"/>
      <c r="J56" s="1276"/>
      <c r="K56" s="1276"/>
      <c r="L56" s="1276"/>
      <c r="M56" s="1276"/>
      <c r="N56" s="1276"/>
      <c r="O56" s="1276"/>
      <c r="P56" s="1276"/>
      <c r="Q56" s="1276"/>
      <c r="R56" s="1276"/>
      <c r="S56" s="1276"/>
      <c r="T56" s="1276"/>
      <c r="U56" s="1276"/>
      <c r="V56" s="1276"/>
      <c r="W56" s="1276"/>
      <c r="X56" s="1276"/>
      <c r="Y56" s="1276"/>
      <c r="Z56" s="1276"/>
      <c r="AC56" s="1345" t="str">
        <f>'PIM Model'!$AD$11</f>
        <v/>
      </c>
      <c r="AD56" s="1345"/>
      <c r="AE56" s="1345" t="str">
        <f>'PIM Model'!$D$11</f>
        <v>%</v>
      </c>
      <c r="AF56" s="1345"/>
      <c r="AG56" s="1345" t="str">
        <f>'PIM Model'!$D$11</f>
        <v>%</v>
      </c>
      <c r="AH56" s="1345"/>
      <c r="AI56" s="1362" t="str">
        <f>'PIM Model'!$D$11</f>
        <v>%</v>
      </c>
      <c r="AJ56" s="1362"/>
      <c r="AK56" s="140"/>
      <c r="AL56" s="140"/>
      <c r="AM56" s="140"/>
      <c r="AN56" s="140"/>
      <c r="AO56" s="1243"/>
      <c r="AP56" s="1243"/>
      <c r="AQ56" s="1243"/>
      <c r="AR56" s="140"/>
      <c r="AS56" s="140"/>
      <c r="AT56" s="1243"/>
      <c r="AU56" s="1243"/>
      <c r="AV56" s="1243"/>
      <c r="AW56" s="140"/>
      <c r="AX56" s="140"/>
      <c r="AY56" s="1243"/>
      <c r="AZ56" s="1243"/>
      <c r="BA56" s="1243"/>
      <c r="BB56" s="140"/>
      <c r="BC56" s="140"/>
      <c r="BD56" s="1243"/>
      <c r="BE56" s="1243"/>
      <c r="BF56" s="1342"/>
      <c r="BP56" s="301"/>
    </row>
    <row r="57" spans="2:92" x14ac:dyDescent="0.25">
      <c r="B57" s="143"/>
      <c r="C57" s="1276" t="s">
        <v>102</v>
      </c>
      <c r="D57" s="1276"/>
      <c r="E57" s="1276"/>
      <c r="F57" s="1276"/>
      <c r="G57" s="1276"/>
      <c r="H57" s="1276"/>
      <c r="I57" s="1276"/>
      <c r="J57" s="1276"/>
      <c r="K57" s="1276"/>
      <c r="L57" s="1276"/>
      <c r="M57" s="1276"/>
      <c r="N57" s="1276"/>
      <c r="O57" s="1276"/>
      <c r="P57" s="1276"/>
      <c r="Q57" s="1276"/>
      <c r="R57" s="1276"/>
      <c r="S57" s="1276"/>
      <c r="T57" s="1276"/>
      <c r="U57" s="1276"/>
      <c r="V57" s="1276"/>
      <c r="W57" s="1276"/>
      <c r="X57" s="1276"/>
      <c r="Y57" s="1276"/>
      <c r="Z57" s="1276"/>
      <c r="AC57" s="1365" t="str">
        <f>'PIM Model'!$AD$13</f>
        <v/>
      </c>
      <c r="AD57" s="1365"/>
      <c r="AE57" s="1365" t="str">
        <f>'PIM Model'!$D$13</f>
        <v>%</v>
      </c>
      <c r="AF57" s="1365"/>
      <c r="AG57" s="1365" t="str">
        <f>'PIM Model'!$D$13</f>
        <v>%</v>
      </c>
      <c r="AH57" s="1365"/>
      <c r="AI57" s="1362" t="str">
        <f>'PIM Model'!$D$13</f>
        <v>%</v>
      </c>
      <c r="AJ57" s="1362"/>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76" t="s">
        <v>101</v>
      </c>
      <c r="D58" s="1276"/>
      <c r="E58" s="1276"/>
      <c r="F58" s="1276"/>
      <c r="G58" s="1276"/>
      <c r="H58" s="1276"/>
      <c r="I58" s="1276"/>
      <c r="J58" s="1276"/>
      <c r="K58" s="1276"/>
      <c r="L58" s="1276"/>
      <c r="M58" s="1276"/>
      <c r="N58" s="1276"/>
      <c r="O58" s="1276"/>
      <c r="P58" s="1276"/>
      <c r="Q58" s="1276"/>
      <c r="R58" s="1276"/>
      <c r="S58" s="1276"/>
      <c r="T58" s="1276"/>
      <c r="U58" s="1276"/>
      <c r="V58" s="1276"/>
      <c r="W58" s="1276"/>
      <c r="X58" s="1276"/>
      <c r="Y58" s="1276"/>
      <c r="Z58" s="1276"/>
      <c r="AC58" s="1365" t="str">
        <f>'PIM Model'!$AD$19</f>
        <v/>
      </c>
      <c r="AD58" s="1365"/>
      <c r="AE58" s="1365" t="str">
        <f>'PIM Model'!$D$19</f>
        <v>%</v>
      </c>
      <c r="AF58" s="1365"/>
      <c r="AG58" s="1365" t="str">
        <f>'PIM Model'!$D$19</f>
        <v>%</v>
      </c>
      <c r="AH58" s="1365"/>
      <c r="AI58" s="1362" t="str">
        <f>'PIM Model'!$D$19</f>
        <v>%</v>
      </c>
      <c r="AJ58" s="1362"/>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76" t="s">
        <v>100</v>
      </c>
      <c r="D59" s="1276"/>
      <c r="E59" s="1276"/>
      <c r="F59" s="1276"/>
      <c r="G59" s="1276"/>
      <c r="H59" s="1276"/>
      <c r="I59" s="1276"/>
      <c r="J59" s="1276"/>
      <c r="K59" s="1276"/>
      <c r="L59" s="1276"/>
      <c r="M59" s="1276"/>
      <c r="N59" s="1276"/>
      <c r="O59" s="1276"/>
      <c r="P59" s="1276"/>
      <c r="Q59" s="1276"/>
      <c r="R59" s="1276"/>
      <c r="S59" s="1276"/>
      <c r="T59" s="1276"/>
      <c r="U59" s="1276"/>
      <c r="V59" s="1276"/>
      <c r="W59" s="1276"/>
      <c r="X59" s="1276"/>
      <c r="Y59" s="1276"/>
      <c r="Z59" s="1276"/>
      <c r="AC59" s="1365" t="str">
        <f>'PIM Model'!$AD$14</f>
        <v/>
      </c>
      <c r="AD59" s="1365"/>
      <c r="AE59" s="1365" t="str">
        <f>'PIM Model'!$D$14</f>
        <v>%</v>
      </c>
      <c r="AF59" s="1365"/>
      <c r="AG59" s="1365" t="str">
        <f>'PIM Model'!$D$14</f>
        <v>%</v>
      </c>
      <c r="AH59" s="1365"/>
      <c r="AI59" s="1362" t="str">
        <f>'PIM Model'!$D$14</f>
        <v>%</v>
      </c>
      <c r="AJ59" s="1362"/>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76" t="s">
        <v>104</v>
      </c>
      <c r="D60" s="1276"/>
      <c r="E60" s="1276"/>
      <c r="F60" s="1276"/>
      <c r="G60" s="1276"/>
      <c r="H60" s="1276"/>
      <c r="I60" s="1276"/>
      <c r="J60" s="1276"/>
      <c r="K60" s="1276"/>
      <c r="L60" s="1276"/>
      <c r="M60" s="1276"/>
      <c r="N60" s="1276"/>
      <c r="O60" s="1276"/>
      <c r="P60" s="1276"/>
      <c r="Q60" s="1276"/>
      <c r="R60" s="1276"/>
      <c r="S60" s="1276"/>
      <c r="T60" s="1276"/>
      <c r="U60" s="1276"/>
      <c r="V60" s="1276"/>
      <c r="W60" s="1276"/>
      <c r="X60" s="1276"/>
      <c r="Y60" s="1276"/>
      <c r="Z60" s="1276"/>
      <c r="AC60" s="1365" t="str">
        <f>'PIM Model'!$AD$15</f>
        <v/>
      </c>
      <c r="AD60" s="1365"/>
      <c r="AE60" s="1365" t="str">
        <f>'PIM Model'!$D$15</f>
        <v>%</v>
      </c>
      <c r="AF60" s="1365"/>
      <c r="AG60" s="1365" t="str">
        <f>'PIM Model'!$D$15</f>
        <v>%</v>
      </c>
      <c r="AH60" s="1365"/>
      <c r="AI60" s="1362" t="str">
        <f>'PIM Model'!$D$15</f>
        <v>%</v>
      </c>
      <c r="AJ60" s="1362"/>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76" t="s">
        <v>99</v>
      </c>
      <c r="D61" s="1276"/>
      <c r="E61" s="1276"/>
      <c r="F61" s="1276"/>
      <c r="G61" s="1276"/>
      <c r="H61" s="1276"/>
      <c r="I61" s="1276"/>
      <c r="J61" s="1276"/>
      <c r="K61" s="1276"/>
      <c r="L61" s="1276"/>
      <c r="M61" s="1276"/>
      <c r="N61" s="1276"/>
      <c r="O61" s="1276"/>
      <c r="P61" s="1276"/>
      <c r="Q61" s="1276"/>
      <c r="R61" s="1276"/>
      <c r="S61" s="1276"/>
      <c r="T61" s="1276"/>
      <c r="U61" s="1276"/>
      <c r="V61" s="1276"/>
      <c r="W61" s="1276"/>
      <c r="X61" s="1276"/>
      <c r="Y61" s="1276"/>
      <c r="Z61" s="1276"/>
      <c r="AC61" s="1365" t="str">
        <f>'PIM Model'!$AD$10</f>
        <v/>
      </c>
      <c r="AD61" s="1365"/>
      <c r="AE61" s="1365" t="str">
        <f>'PIM Model'!$D$10</f>
        <v>%</v>
      </c>
      <c r="AF61" s="1365"/>
      <c r="AG61" s="1365" t="str">
        <f>'PIM Model'!$D$10</f>
        <v>%</v>
      </c>
      <c r="AH61" s="1365"/>
      <c r="AI61" s="1362" t="str">
        <f>'PIM Model'!$D$10</f>
        <v>%</v>
      </c>
      <c r="AJ61" s="1362"/>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83" t="s">
        <v>98</v>
      </c>
      <c r="D62" s="1183"/>
      <c r="E62" s="1183"/>
      <c r="F62" s="1183"/>
      <c r="G62" s="1183"/>
      <c r="H62" s="1183"/>
      <c r="I62" s="1183"/>
      <c r="J62" s="1183"/>
      <c r="K62" s="1183"/>
      <c r="L62" s="1183"/>
      <c r="M62" s="1183"/>
      <c r="N62" s="1183"/>
      <c r="O62" s="1183"/>
      <c r="P62" s="1183"/>
      <c r="Q62" s="1183"/>
      <c r="R62" s="1183"/>
      <c r="S62" s="1183"/>
      <c r="T62" s="1183"/>
      <c r="U62" s="1183"/>
      <c r="V62" s="1183"/>
      <c r="W62" s="1183"/>
      <c r="X62" s="1183"/>
      <c r="Y62" s="1183"/>
      <c r="Z62" s="1183"/>
      <c r="AC62" s="1365" t="str">
        <f>'PIM Model'!$AD$16</f>
        <v/>
      </c>
      <c r="AD62" s="1365"/>
      <c r="AE62" s="1365" t="str">
        <f>'PIM Model'!$D$16</f>
        <v>%</v>
      </c>
      <c r="AF62" s="1365"/>
      <c r="AG62" s="1365" t="str">
        <f>'PIM Model'!$D$16</f>
        <v>%</v>
      </c>
      <c r="AH62" s="1365"/>
      <c r="AI62" s="1362" t="str">
        <f>'PIM Model'!$D$16</f>
        <v>%</v>
      </c>
      <c r="AJ62" s="1362"/>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83" t="s">
        <v>97</v>
      </c>
      <c r="D63" s="1183"/>
      <c r="E63" s="1183"/>
      <c r="F63" s="1183"/>
      <c r="G63" s="1183"/>
      <c r="H63" s="1183"/>
      <c r="I63" s="1183"/>
      <c r="J63" s="1183"/>
      <c r="K63" s="1183"/>
      <c r="L63" s="1183"/>
      <c r="M63" s="1183"/>
      <c r="N63" s="1183"/>
      <c r="O63" s="1183"/>
      <c r="P63" s="1183"/>
      <c r="Q63" s="1183"/>
      <c r="R63" s="1183"/>
      <c r="S63" s="1183"/>
      <c r="T63" s="1183"/>
      <c r="U63" s="1183"/>
      <c r="V63" s="1183"/>
      <c r="W63" s="1183"/>
      <c r="X63" s="1183"/>
      <c r="Y63" s="1183"/>
      <c r="Z63" s="1183"/>
      <c r="AC63" s="1365" t="str">
        <f>'PIM Model'!$AD$20</f>
        <v/>
      </c>
      <c r="AD63" s="1365"/>
      <c r="AE63" s="1365" t="str">
        <f>'PIM Model'!$D$20</f>
        <v>%</v>
      </c>
      <c r="AF63" s="1365"/>
      <c r="AG63" s="1365" t="str">
        <f>'PIM Model'!$D$20</f>
        <v>%</v>
      </c>
      <c r="AH63" s="1365"/>
      <c r="AI63" s="1362" t="str">
        <f>'PIM Model'!$D$20</f>
        <v>%</v>
      </c>
      <c r="AJ63" s="1362"/>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83" t="s">
        <v>96</v>
      </c>
      <c r="D64" s="1183"/>
      <c r="E64" s="1183"/>
      <c r="F64" s="1183"/>
      <c r="G64" s="1183"/>
      <c r="H64" s="1183"/>
      <c r="I64" s="1183"/>
      <c r="J64" s="1183"/>
      <c r="K64" s="1183"/>
      <c r="L64" s="1183"/>
      <c r="M64" s="1183"/>
      <c r="N64" s="1183"/>
      <c r="O64" s="1183"/>
      <c r="P64" s="1183"/>
      <c r="Q64" s="1183"/>
      <c r="R64" s="1183"/>
      <c r="S64" s="1183"/>
      <c r="T64" s="1183"/>
      <c r="U64" s="1183"/>
      <c r="V64" s="1183"/>
      <c r="W64" s="1183"/>
      <c r="X64" s="1183"/>
      <c r="Y64" s="1183"/>
      <c r="Z64" s="1183"/>
      <c r="AC64" s="1365" t="str">
        <f>'PIM Model'!$AD$18</f>
        <v/>
      </c>
      <c r="AD64" s="1365"/>
      <c r="AE64" s="1365" t="str">
        <f>'PIM Model'!$D$18</f>
        <v>%</v>
      </c>
      <c r="AF64" s="1365"/>
      <c r="AG64" s="1365" t="str">
        <f>'PIM Model'!$D$18</f>
        <v>%</v>
      </c>
      <c r="AH64" s="1365"/>
      <c r="AI64" s="1362" t="str">
        <f>'PIM Model'!$D$18</f>
        <v>%</v>
      </c>
      <c r="AJ64" s="1362"/>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83" t="s">
        <v>95</v>
      </c>
      <c r="D65" s="1183"/>
      <c r="E65" s="1183"/>
      <c r="F65" s="1183"/>
      <c r="G65" s="1183"/>
      <c r="H65" s="1183"/>
      <c r="I65" s="1183"/>
      <c r="J65" s="1183"/>
      <c r="K65" s="1183"/>
      <c r="L65" s="1183"/>
      <c r="M65" s="1183"/>
      <c r="N65" s="1183"/>
      <c r="O65" s="1183"/>
      <c r="P65" s="1183"/>
      <c r="Q65" s="1183"/>
      <c r="R65" s="1183"/>
      <c r="S65" s="1183"/>
      <c r="T65" s="1183"/>
      <c r="U65" s="1183"/>
      <c r="V65" s="1183"/>
      <c r="W65" s="1183"/>
      <c r="X65" s="1183"/>
      <c r="Y65" s="1183"/>
      <c r="Z65" s="1183"/>
      <c r="AC65" s="1365" t="str">
        <f>'PIM Model'!$AD$17</f>
        <v/>
      </c>
      <c r="AD65" s="1365"/>
      <c r="AE65" s="1365" t="str">
        <f>'PIM Model'!$D$17</f>
        <v>%</v>
      </c>
      <c r="AF65" s="1365"/>
      <c r="AG65" s="1365" t="str">
        <f>'PIM Model'!$D$17</f>
        <v>%</v>
      </c>
      <c r="AH65" s="1365"/>
      <c r="AI65" s="1362" t="str">
        <f>'PIM Model'!$D$17</f>
        <v>%</v>
      </c>
      <c r="AJ65" s="1362"/>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83" t="s">
        <v>94</v>
      </c>
      <c r="D66" s="1183"/>
      <c r="E66" s="1183"/>
      <c r="F66" s="1183"/>
      <c r="G66" s="1183"/>
      <c r="H66" s="1183"/>
      <c r="I66" s="1183"/>
      <c r="J66" s="1183"/>
      <c r="K66" s="1183"/>
      <c r="L66" s="1183"/>
      <c r="M66" s="1183"/>
      <c r="N66" s="1183"/>
      <c r="O66" s="1183"/>
      <c r="P66" s="1183"/>
      <c r="Q66" s="1183"/>
      <c r="R66" s="1183"/>
      <c r="S66" s="1183"/>
      <c r="T66" s="1183"/>
      <c r="U66" s="1183"/>
      <c r="V66" s="1183"/>
      <c r="W66" s="1183"/>
      <c r="X66" s="1183"/>
      <c r="Y66" s="1183"/>
      <c r="Z66" s="1183"/>
      <c r="AC66" s="1365" t="str">
        <f>'PIM Model'!$AD$27</f>
        <v/>
      </c>
      <c r="AD66" s="1365"/>
      <c r="AE66" s="1365" t="str">
        <f>'PIM Model'!$D$27</f>
        <v>%</v>
      </c>
      <c r="AF66" s="1365"/>
      <c r="AG66" s="1365" t="str">
        <f>'PIM Model'!$D$27</f>
        <v>%</v>
      </c>
      <c r="AH66" s="1365"/>
      <c r="AI66" s="1362" t="str">
        <f>'PIM Model'!$D$27</f>
        <v>%</v>
      </c>
      <c r="AJ66" s="1362"/>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62" t="s">
        <v>717</v>
      </c>
      <c r="F67" s="1362"/>
      <c r="G67" s="1362"/>
      <c r="H67" s="1362"/>
      <c r="I67" s="1362"/>
      <c r="J67" s="1362"/>
      <c r="K67" s="1362"/>
      <c r="M67" s="1363" t="s">
        <v>246</v>
      </c>
      <c r="N67" s="1363"/>
      <c r="O67" s="1363"/>
      <c r="P67" t="s">
        <v>673</v>
      </c>
      <c r="S67" s="1364"/>
      <c r="T67" s="1364"/>
      <c r="U67" s="1364"/>
      <c r="V67" s="1362" t="s">
        <v>675</v>
      </c>
      <c r="W67" s="1362"/>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83" t="s">
        <v>93</v>
      </c>
      <c r="D68" s="1183"/>
      <c r="E68" s="1183"/>
      <c r="F68" s="1183"/>
      <c r="G68" s="1183"/>
      <c r="H68" s="1183"/>
      <c r="I68" s="1183"/>
      <c r="J68" s="1183"/>
      <c r="K68" s="1183"/>
      <c r="L68" s="1183"/>
      <c r="M68" s="1183"/>
      <c r="N68" s="1183"/>
      <c r="O68" s="1183"/>
      <c r="P68" s="1183"/>
      <c r="Q68" s="1183"/>
      <c r="R68" s="1183"/>
      <c r="S68" s="1183"/>
      <c r="T68" s="1183"/>
      <c r="U68" s="1183"/>
      <c r="V68" s="1183"/>
      <c r="W68" s="1183"/>
      <c r="X68" s="1183"/>
      <c r="Y68" s="1183"/>
      <c r="Z68" s="1183"/>
      <c r="AC68" s="1365" t="str">
        <f>'PIM Model'!$AD$21</f>
        <v/>
      </c>
      <c r="AD68" s="1365"/>
      <c r="AE68" s="1365" t="str">
        <f>'PIM Model'!$D$21</f>
        <v>%</v>
      </c>
      <c r="AF68" s="1365"/>
      <c r="AG68" s="1365" t="str">
        <f>'PIM Model'!$D$21</f>
        <v>%</v>
      </c>
      <c r="AH68" s="1365"/>
      <c r="AI68" s="1362" t="str">
        <f>'PIM Model'!$D$21</f>
        <v>%</v>
      </c>
      <c r="AJ68" s="1362"/>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83" t="s">
        <v>92</v>
      </c>
      <c r="D69" s="1183"/>
      <c r="E69" s="1183"/>
      <c r="F69" s="1183"/>
      <c r="G69" s="1183"/>
      <c r="H69" s="1183"/>
      <c r="I69" s="1183"/>
      <c r="J69" s="1183"/>
      <c r="K69" s="1183"/>
      <c r="L69" s="1183"/>
      <c r="M69" s="1183"/>
      <c r="N69" s="1183"/>
      <c r="O69" s="1183"/>
      <c r="P69" s="1183"/>
      <c r="Q69" s="1183"/>
      <c r="R69" s="1183"/>
      <c r="S69" s="1183"/>
      <c r="T69" s="1183"/>
      <c r="U69" s="1183"/>
      <c r="V69" s="1183"/>
      <c r="W69" s="1183"/>
      <c r="X69" s="1183"/>
      <c r="Y69" s="1183"/>
      <c r="Z69" s="1183"/>
      <c r="AC69" s="1365" t="str">
        <f>'PIM Model'!$AD$23</f>
        <v/>
      </c>
      <c r="AD69" s="1365"/>
      <c r="AE69" s="1365" t="str">
        <f>'PIM Model'!$D$23</f>
        <v>%</v>
      </c>
      <c r="AF69" s="1365"/>
      <c r="AG69" s="1365" t="str">
        <f>'PIM Model'!$D$23</f>
        <v>%</v>
      </c>
      <c r="AH69" s="1365"/>
      <c r="AI69" s="1362" t="str">
        <f>'PIM Model'!$D$23</f>
        <v>%</v>
      </c>
      <c r="AJ69" s="1362"/>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83" t="s">
        <v>91</v>
      </c>
      <c r="D70" s="1183"/>
      <c r="E70" s="1183"/>
      <c r="F70" s="1183"/>
      <c r="G70" s="1183"/>
      <c r="H70" s="1183"/>
      <c r="I70" s="1183"/>
      <c r="J70" s="1183"/>
      <c r="K70" s="1183"/>
      <c r="L70" s="1183"/>
      <c r="M70" s="1183"/>
      <c r="N70" s="1183"/>
      <c r="O70" s="1183"/>
      <c r="P70" s="1183"/>
      <c r="Q70" s="1183"/>
      <c r="R70" s="1183"/>
      <c r="S70" s="1183"/>
      <c r="T70" s="1183"/>
      <c r="U70" s="1183"/>
      <c r="V70" s="1183"/>
      <c r="W70" s="1183"/>
      <c r="X70" s="1183"/>
      <c r="Y70" s="1183"/>
      <c r="Z70" s="1183"/>
      <c r="AC70" s="1365" t="str">
        <f>'PIM Model'!$AD$24</f>
        <v/>
      </c>
      <c r="AD70" s="1365"/>
      <c r="AE70" s="1365" t="str">
        <f>'PIM Model'!$D$24</f>
        <v>%</v>
      </c>
      <c r="AF70" s="1365"/>
      <c r="AG70" s="1365" t="str">
        <f>'PIM Model'!$D$24</f>
        <v>%</v>
      </c>
      <c r="AH70" s="1365"/>
      <c r="AI70" s="1362" t="str">
        <f>'PIM Model'!$D$24</f>
        <v>%</v>
      </c>
      <c r="AJ70" s="1362"/>
      <c r="AK70" s="140"/>
      <c r="AL70" s="140"/>
      <c r="AM70" s="140"/>
      <c r="AN70" s="140"/>
      <c r="AO70" s="1243"/>
      <c r="AP70" s="1243"/>
      <c r="AQ70" s="1243"/>
      <c r="AR70" s="140"/>
      <c r="AS70" s="140"/>
      <c r="AT70" s="1243"/>
      <c r="AU70" s="1243"/>
      <c r="AV70" s="1243"/>
      <c r="AW70" s="140"/>
      <c r="AX70" s="140"/>
      <c r="AY70" s="1243"/>
      <c r="AZ70" s="1243"/>
      <c r="BA70" s="1243"/>
      <c r="BB70" s="140"/>
      <c r="BC70" s="140"/>
      <c r="BD70" s="1243"/>
      <c r="BE70" s="1243"/>
      <c r="BF70" s="1342"/>
    </row>
    <row r="71" spans="2:70" x14ac:dyDescent="0.25">
      <c r="B71" s="143"/>
      <c r="C71" s="1183" t="s">
        <v>90</v>
      </c>
      <c r="D71" s="1183"/>
      <c r="E71" s="1183"/>
      <c r="F71" s="1183"/>
      <c r="G71" s="1183"/>
      <c r="H71" s="1183"/>
      <c r="I71" s="1183"/>
      <c r="J71" s="1183"/>
      <c r="K71" s="1183"/>
      <c r="L71" s="1183"/>
      <c r="M71" s="1183"/>
      <c r="N71" s="1183"/>
      <c r="O71" s="1183"/>
      <c r="P71" s="1183"/>
      <c r="Q71" s="1183"/>
      <c r="R71" s="1183"/>
      <c r="S71" s="1183"/>
      <c r="T71" s="1183"/>
      <c r="U71" s="1183"/>
      <c r="V71" s="1183"/>
      <c r="W71" s="1183"/>
      <c r="X71" s="1183"/>
      <c r="Y71" s="1183"/>
      <c r="Z71" s="1183"/>
      <c r="AC71" s="1365" t="str">
        <f>'PIM Model'!$AD$25</f>
        <v/>
      </c>
      <c r="AD71" s="1365"/>
      <c r="AE71" s="1365" t="str">
        <f>'PIM Model'!$D$25</f>
        <v>%</v>
      </c>
      <c r="AF71" s="1365"/>
      <c r="AG71" s="1365" t="str">
        <f>'PIM Model'!$D$25</f>
        <v>%</v>
      </c>
      <c r="AH71" s="1365"/>
      <c r="AI71" s="1362" t="str">
        <f>'PIM Model'!$D$25</f>
        <v>%</v>
      </c>
      <c r="AJ71" s="1362"/>
      <c r="AK71" s="140"/>
      <c r="AL71" s="140"/>
      <c r="AM71" s="140"/>
      <c r="AN71" s="140"/>
      <c r="AO71" s="1243"/>
      <c r="AP71" s="1243"/>
      <c r="AQ71" s="1243"/>
      <c r="AR71" s="140"/>
      <c r="AS71" s="140"/>
      <c r="AT71" s="1243"/>
      <c r="AU71" s="1243"/>
      <c r="AV71" s="1243"/>
      <c r="AW71" s="140"/>
      <c r="AX71" s="140"/>
      <c r="AY71" s="1243"/>
      <c r="AZ71" s="1243"/>
      <c r="BA71" s="1243"/>
      <c r="BB71" s="140"/>
      <c r="BC71" s="140"/>
      <c r="BD71" s="1243"/>
      <c r="BE71" s="1243"/>
      <c r="BF71" s="1342"/>
    </row>
    <row r="72" spans="2:70" x14ac:dyDescent="0.25">
      <c r="B72" s="143"/>
      <c r="C72" s="1183" t="s">
        <v>89</v>
      </c>
      <c r="D72" s="1183"/>
      <c r="E72" s="1183"/>
      <c r="F72" s="1183"/>
      <c r="G72" s="1183"/>
      <c r="H72" s="1183"/>
      <c r="I72" s="1183"/>
      <c r="J72" s="1183"/>
      <c r="K72" s="1183"/>
      <c r="L72" s="1183"/>
      <c r="M72" s="1183"/>
      <c r="N72" s="1183"/>
      <c r="O72" s="1183"/>
      <c r="P72" s="1183"/>
      <c r="Q72" s="1183"/>
      <c r="R72" s="1183"/>
      <c r="S72" s="1183"/>
      <c r="T72" s="1183"/>
      <c r="U72" s="1183"/>
      <c r="V72" s="1183"/>
      <c r="W72" s="1183"/>
      <c r="X72" s="1183"/>
      <c r="Y72" s="1183"/>
      <c r="Z72" s="1183"/>
      <c r="AC72" s="1365" t="str">
        <f>'PIM Model'!$AD$26</f>
        <v/>
      </c>
      <c r="AD72" s="1365"/>
      <c r="AE72" s="1365" t="str">
        <f>'PIM Model'!$D$26</f>
        <v>%</v>
      </c>
      <c r="AF72" s="1365"/>
      <c r="AG72" s="1365" t="str">
        <f>'PIM Model'!$D$26</f>
        <v>%</v>
      </c>
      <c r="AH72" s="1365"/>
      <c r="AI72" s="1362" t="str">
        <f>'PIM Model'!$D$26</f>
        <v>%</v>
      </c>
      <c r="AJ72" s="1362"/>
      <c r="AK72" s="140"/>
      <c r="AL72" s="140"/>
      <c r="AM72" s="140"/>
      <c r="AN72" s="140"/>
      <c r="AO72" s="1243"/>
      <c r="AP72" s="1243"/>
      <c r="AQ72" s="1243"/>
      <c r="AR72" s="140"/>
      <c r="AS72" s="140"/>
      <c r="AT72" s="1243"/>
      <c r="AU72" s="1243"/>
      <c r="AV72" s="1243"/>
      <c r="AW72" s="140"/>
      <c r="AX72" s="140"/>
      <c r="AY72" s="1243"/>
      <c r="AZ72" s="1243"/>
      <c r="BA72" s="1243"/>
      <c r="BB72" s="140"/>
      <c r="BC72" s="140"/>
      <c r="BD72" s="1243"/>
      <c r="BE72" s="1243"/>
      <c r="BF72" s="1342"/>
    </row>
    <row r="73" spans="2:70" x14ac:dyDescent="0.25">
      <c r="B73" s="143"/>
      <c r="C73" s="1183" t="s">
        <v>88</v>
      </c>
      <c r="D73" s="1183"/>
      <c r="E73" s="1183"/>
      <c r="F73" s="1183"/>
      <c r="G73" s="1183"/>
      <c r="H73" s="1183"/>
      <c r="I73" s="1183"/>
      <c r="J73" s="1183"/>
      <c r="K73" s="1183"/>
      <c r="L73" s="1183"/>
      <c r="M73" s="1183"/>
      <c r="N73" s="1183"/>
      <c r="O73" s="1183"/>
      <c r="P73" s="1183"/>
      <c r="Q73" s="1183"/>
      <c r="R73" s="1183"/>
      <c r="S73" s="1183"/>
      <c r="T73" s="1183"/>
      <c r="U73" s="1183"/>
      <c r="V73" s="1183"/>
      <c r="W73" s="1183"/>
      <c r="X73" s="1183"/>
      <c r="Y73" s="1183"/>
      <c r="Z73" s="1183"/>
      <c r="AC73" s="1365" t="str">
        <f>'PIM Model'!$AD$29</f>
        <v/>
      </c>
      <c r="AD73" s="1365"/>
      <c r="AE73" s="1365" t="str">
        <f>'PIM Model'!$D$29</f>
        <v>%</v>
      </c>
      <c r="AF73" s="1365"/>
      <c r="AG73" s="1365" t="str">
        <f>'PIM Model'!$D$29</f>
        <v>%</v>
      </c>
      <c r="AH73" s="1365"/>
      <c r="AI73" s="1362" t="str">
        <f>'PIM Model'!$D$29</f>
        <v>%</v>
      </c>
      <c r="AJ73" s="1362"/>
      <c r="AK73" s="140"/>
      <c r="AL73" s="140"/>
      <c r="AM73" s="140"/>
      <c r="AN73" s="140"/>
      <c r="AO73" s="1243"/>
      <c r="AP73" s="1243"/>
      <c r="AQ73" s="1243"/>
      <c r="AR73" s="140"/>
      <c r="AS73" s="140"/>
      <c r="AT73" s="1243"/>
      <c r="AU73" s="1243"/>
      <c r="AV73" s="1243"/>
      <c r="AW73" s="140"/>
      <c r="AX73" s="140"/>
      <c r="AY73" s="1243"/>
      <c r="AZ73" s="1243"/>
      <c r="BA73" s="1243"/>
      <c r="BB73" s="140"/>
      <c r="BC73" s="140"/>
      <c r="BD73" s="1243"/>
      <c r="BE73" s="1243"/>
      <c r="BF73" s="1342"/>
    </row>
    <row r="74" spans="2:70" x14ac:dyDescent="0.25">
      <c r="B74" s="143"/>
      <c r="C74" s="1183" t="s">
        <v>87</v>
      </c>
      <c r="D74" s="1183"/>
      <c r="E74" s="1183"/>
      <c r="F74" s="1183"/>
      <c r="G74" s="1183"/>
      <c r="H74" s="1183"/>
      <c r="I74" s="1183"/>
      <c r="J74" s="1183"/>
      <c r="K74" s="1183"/>
      <c r="L74" s="1183"/>
      <c r="M74" s="1183"/>
      <c r="N74" s="1183"/>
      <c r="O74" s="1183"/>
      <c r="P74" s="1183"/>
      <c r="Q74" s="1183"/>
      <c r="R74" s="1183"/>
      <c r="S74" s="1183"/>
      <c r="T74" s="1183"/>
      <c r="U74" s="1183"/>
      <c r="V74" s="1183"/>
      <c r="W74" s="1183"/>
      <c r="X74" s="1183"/>
      <c r="Y74" s="1183"/>
      <c r="Z74" s="1183"/>
      <c r="AC74" s="1365" t="str">
        <f>'PIM Model'!$AD$30</f>
        <v/>
      </c>
      <c r="AD74" s="1365"/>
      <c r="AE74" s="1365" t="str">
        <f>'PIM Model'!$D$30</f>
        <v>%</v>
      </c>
      <c r="AF74" s="1365"/>
      <c r="AG74" s="1365" t="str">
        <f>'PIM Model'!$D$30</f>
        <v>%</v>
      </c>
      <c r="AH74" s="1365"/>
      <c r="AI74" s="1362" t="str">
        <f>'PIM Model'!$D$30</f>
        <v>%</v>
      </c>
      <c r="AJ74" s="1362"/>
      <c r="AK74" s="140"/>
      <c r="AL74" s="140"/>
      <c r="AM74" s="140"/>
      <c r="AN74" s="140"/>
      <c r="AO74" s="1243"/>
      <c r="AP74" s="1243"/>
      <c r="AQ74" s="1243"/>
      <c r="AR74" s="140"/>
      <c r="AS74" s="140"/>
      <c r="AT74" s="1243"/>
      <c r="AU74" s="1243"/>
      <c r="AV74" s="1243"/>
      <c r="AW74" s="140"/>
      <c r="AX74" s="140"/>
      <c r="AY74" s="1243"/>
      <c r="AZ74" s="1243"/>
      <c r="BA74" s="1243"/>
      <c r="BB74" s="140"/>
      <c r="BC74" s="140"/>
      <c r="BD74" s="1243"/>
      <c r="BE74" s="1243"/>
      <c r="BF74" s="1342"/>
    </row>
    <row r="75" spans="2:70" x14ac:dyDescent="0.25">
      <c r="B75" s="143"/>
      <c r="C75" s="1183" t="s">
        <v>86</v>
      </c>
      <c r="D75" s="1183"/>
      <c r="E75" s="1183"/>
      <c r="F75" s="1183"/>
      <c r="G75" s="1183"/>
      <c r="H75" s="1183"/>
      <c r="I75" s="1183"/>
      <c r="J75" s="1183"/>
      <c r="K75" s="1183"/>
      <c r="L75" s="1183"/>
      <c r="M75" s="1183"/>
      <c r="N75" s="1183"/>
      <c r="O75" s="1183"/>
      <c r="P75" s="1183"/>
      <c r="Q75" s="1183"/>
      <c r="R75" s="1183"/>
      <c r="S75" s="1183"/>
      <c r="T75" s="1183"/>
      <c r="U75" s="1183"/>
      <c r="V75" s="1183"/>
      <c r="W75" s="1183"/>
      <c r="X75" s="1183"/>
      <c r="Y75" s="1183"/>
      <c r="Z75" s="1183"/>
      <c r="AC75" s="1365" t="str">
        <f>'PIM Model'!$AD$28</f>
        <v/>
      </c>
      <c r="AD75" s="1365"/>
      <c r="AE75" s="1365" t="str">
        <f>'PIM Model'!$D$28</f>
        <v>%</v>
      </c>
      <c r="AF75" s="1365"/>
      <c r="AG75" s="1365" t="str">
        <f>'PIM Model'!$D$28</f>
        <v>%</v>
      </c>
      <c r="AH75" s="1365"/>
      <c r="AI75" s="1362" t="str">
        <f>'PIM Model'!$D$28</f>
        <v>%</v>
      </c>
      <c r="AJ75" s="1362"/>
      <c r="BF75" s="144"/>
    </row>
    <row r="76" spans="2:70" x14ac:dyDescent="0.25">
      <c r="B76" s="143"/>
      <c r="C76" s="1183" t="s">
        <v>105</v>
      </c>
      <c r="D76" s="1183"/>
      <c r="E76" s="1183"/>
      <c r="F76" s="1183"/>
      <c r="G76" s="1183"/>
      <c r="H76" s="1183"/>
      <c r="I76" s="1183"/>
      <c r="J76" s="1183"/>
      <c r="K76" s="1183"/>
      <c r="L76" s="1183"/>
      <c r="M76" s="1183"/>
      <c r="N76" s="1183"/>
      <c r="O76" s="1183"/>
      <c r="P76" s="1183"/>
      <c r="Q76" s="1183"/>
      <c r="R76" s="1183"/>
      <c r="S76" s="1183"/>
      <c r="T76" s="1183"/>
      <c r="U76" s="1183"/>
      <c r="V76" s="1183"/>
      <c r="W76" s="1183"/>
      <c r="X76" s="1183"/>
      <c r="Y76" s="1183"/>
      <c r="Z76" s="1183"/>
      <c r="AC76" s="1365" t="str">
        <f>'PIM Model'!$AD$22</f>
        <v/>
      </c>
      <c r="AD76" s="1365"/>
      <c r="AE76" s="1365" t="str">
        <f>'PIM Model'!$D$22</f>
        <v>%</v>
      </c>
      <c r="AF76" s="1365"/>
      <c r="AG76" s="1365" t="str">
        <f>'PIM Model'!$D$22</f>
        <v>%</v>
      </c>
      <c r="AH76" s="1365"/>
      <c r="AI76" s="1362" t="str">
        <f>'PIM Model'!$D$22</f>
        <v>%</v>
      </c>
      <c r="AJ76" s="1362"/>
      <c r="BF76" s="144"/>
    </row>
    <row r="77" spans="2:70" x14ac:dyDescent="0.25">
      <c r="B77" s="736"/>
      <c r="C77" s="1367" t="s">
        <v>751</v>
      </c>
      <c r="D77" s="1367"/>
      <c r="E77" s="1367"/>
      <c r="F77" s="1367"/>
      <c r="G77" s="1367"/>
      <c r="H77" s="1367"/>
      <c r="I77" s="1367"/>
      <c r="J77" s="1367"/>
      <c r="K77" s="1367"/>
      <c r="L77" s="1367"/>
      <c r="M77" s="1367"/>
      <c r="N77" s="1367"/>
      <c r="O77" s="1367"/>
      <c r="P77" s="1367"/>
      <c r="Q77" s="1367"/>
      <c r="R77" s="1367"/>
      <c r="S77" s="1367"/>
      <c r="T77" s="1367"/>
      <c r="U77" s="1367"/>
      <c r="V77" s="1367"/>
      <c r="W77" s="1367"/>
      <c r="X77" s="1367"/>
      <c r="Y77" s="1367"/>
      <c r="Z77" s="1367"/>
      <c r="AC77" s="1365" t="str">
        <f>'PIM Model'!$AD$12</f>
        <v/>
      </c>
      <c r="AD77" s="1365"/>
      <c r="AE77" s="1365" t="str">
        <f>'PIM Model'!$D$12</f>
        <v>%</v>
      </c>
      <c r="AF77" s="1365"/>
      <c r="AG77" s="1365" t="str">
        <f>'PIM Model'!$D$12</f>
        <v>%</v>
      </c>
      <c r="AH77" s="1365"/>
      <c r="AI77" s="1362" t="str">
        <f>'PIM Model'!$D$12</f>
        <v>%</v>
      </c>
      <c r="AJ77" s="1362"/>
      <c r="BF77" s="144"/>
    </row>
    <row r="78" spans="2:70" x14ac:dyDescent="0.25">
      <c r="B78" s="143"/>
      <c r="C78" s="1367" t="s">
        <v>752</v>
      </c>
      <c r="D78" s="1367"/>
      <c r="E78" s="1367"/>
      <c r="F78" s="1367"/>
      <c r="G78" s="1367"/>
      <c r="H78" s="1367"/>
      <c r="I78" s="1367"/>
      <c r="J78" s="1367"/>
      <c r="K78" s="1367"/>
      <c r="L78" s="1367"/>
      <c r="M78" s="1367"/>
      <c r="N78" s="1367"/>
      <c r="O78" s="1367"/>
      <c r="P78" s="1367"/>
      <c r="Q78" s="1367"/>
      <c r="R78" s="1367"/>
      <c r="S78" s="1367"/>
      <c r="T78" s="1367"/>
      <c r="U78" s="1367"/>
      <c r="V78" s="1367"/>
      <c r="W78" s="1367"/>
      <c r="X78" s="1367"/>
      <c r="Y78" s="1367"/>
      <c r="Z78" s="1367"/>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62" t="s">
        <v>716</v>
      </c>
      <c r="E81" s="1362"/>
      <c r="F81" s="1362"/>
      <c r="G81" s="1362"/>
      <c r="H81" s="1362"/>
      <c r="I81" s="1362"/>
      <c r="J81" s="1362"/>
      <c r="K81" s="1362"/>
      <c r="L81" s="1362"/>
      <c r="M81" s="1362"/>
      <c r="N81" s="1362"/>
      <c r="O81" s="1362"/>
      <c r="P81" s="1362"/>
      <c r="Q81" s="1362"/>
      <c r="R81" s="1362"/>
      <c r="S81" s="1362"/>
      <c r="T81" s="1362"/>
      <c r="U81" s="1362"/>
      <c r="V81" s="1362"/>
      <c r="W81" s="1362"/>
      <c r="X81" s="1362"/>
      <c r="Y81" s="1362"/>
      <c r="Z81" s="1362"/>
      <c r="AA81" s="1362"/>
      <c r="AB81" s="1362"/>
      <c r="AC81" s="1362"/>
      <c r="AD81" s="1362"/>
      <c r="AE81" s="1362"/>
      <c r="AF81" s="1362"/>
      <c r="AG81" s="1362"/>
      <c r="AH81" s="1362"/>
      <c r="AI81" s="1362"/>
      <c r="AJ81" s="1362"/>
      <c r="AK81" s="1362"/>
      <c r="AL81" s="1362"/>
      <c r="AM81" s="1362"/>
      <c r="AN81" s="1362"/>
      <c r="AO81" s="1362"/>
      <c r="AP81" s="1362"/>
      <c r="AQ81" s="1362"/>
      <c r="AR81" s="1362"/>
      <c r="AS81" s="1362"/>
      <c r="AT81" s="1362"/>
      <c r="AU81" s="1362"/>
      <c r="AV81" s="1362"/>
      <c r="AW81" s="1362"/>
      <c r="AX81" s="1362"/>
      <c r="AY81" s="1362"/>
      <c r="AZ81" s="1362"/>
      <c r="BA81" s="1362"/>
      <c r="BB81" s="1362"/>
      <c r="BC81" s="1362"/>
      <c r="BD81" s="1362"/>
      <c r="BF81" s="144"/>
    </row>
    <row r="82" spans="1:70" x14ac:dyDescent="0.25">
      <c r="B82" s="143"/>
      <c r="D82" s="1363" t="s">
        <v>246</v>
      </c>
      <c r="E82" s="1363"/>
      <c r="F82" s="1362" t="s">
        <v>715</v>
      </c>
      <c r="G82" s="1362"/>
      <c r="H82" s="1362"/>
      <c r="I82" s="1362"/>
      <c r="J82" s="1362"/>
      <c r="K82" s="1362"/>
      <c r="L82" s="1362"/>
      <c r="M82" s="1362"/>
      <c r="N82" s="1362"/>
      <c r="O82" s="1362"/>
      <c r="P82" s="1362"/>
      <c r="Q82" s="1362"/>
      <c r="R82" s="1362"/>
      <c r="S82" s="1362"/>
      <c r="T82" s="1362"/>
      <c r="U82" s="1362"/>
      <c r="V82" s="1362"/>
      <c r="W82" s="1362"/>
      <c r="X82" s="1362"/>
      <c r="Y82" s="1362"/>
      <c r="Z82" s="1362"/>
      <c r="AA82" s="1362"/>
      <c r="AB82" s="1362"/>
      <c r="AC82" s="1362"/>
      <c r="AD82" s="1362"/>
      <c r="AE82" s="1362"/>
      <c r="AF82" s="1362"/>
      <c r="AG82" s="1362"/>
      <c r="AH82" s="1362"/>
      <c r="AI82" s="1362"/>
      <c r="AJ82" s="1362"/>
      <c r="AK82" s="1362"/>
      <c r="AL82" s="1362"/>
      <c r="AM82" s="1362"/>
      <c r="AN82" s="1362"/>
      <c r="AO82" s="1362"/>
      <c r="AP82" s="1362"/>
      <c r="AQ82" s="1362"/>
      <c r="AR82" s="1362"/>
      <c r="AS82" s="1362"/>
      <c r="AT82" s="1362"/>
      <c r="AU82" s="1362"/>
      <c r="AV82" s="1362"/>
      <c r="AW82" s="1362"/>
      <c r="AX82" s="1362"/>
      <c r="AY82" s="1362"/>
      <c r="AZ82" s="1362"/>
      <c r="BA82" s="1362"/>
      <c r="BB82" s="1362"/>
      <c r="BC82" s="1362"/>
      <c r="BD82" s="1362"/>
      <c r="BF82" s="144"/>
    </row>
    <row r="83" spans="1:70" x14ac:dyDescent="0.25">
      <c r="B83" s="143"/>
      <c r="D83" s="1364"/>
      <c r="E83" s="1364"/>
      <c r="F83" s="1362" t="s">
        <v>714</v>
      </c>
      <c r="G83" s="1362"/>
      <c r="H83" s="1362"/>
      <c r="I83" s="1362"/>
      <c r="J83" s="1362"/>
      <c r="K83" s="1362"/>
      <c r="L83" s="1362"/>
      <c r="M83" s="1362"/>
      <c r="N83" s="1362"/>
      <c r="O83" s="1362"/>
      <c r="P83" s="1362"/>
      <c r="Q83" s="1362"/>
      <c r="R83" s="1362"/>
      <c r="S83" s="1362"/>
      <c r="T83" s="1362"/>
      <c r="U83" s="1362"/>
      <c r="V83" s="1362"/>
      <c r="W83" s="1362"/>
      <c r="X83" s="1362"/>
      <c r="Y83" s="1362"/>
      <c r="Z83" s="1362"/>
      <c r="AA83" s="1362"/>
      <c r="AB83" s="1362"/>
      <c r="AC83" s="1362"/>
      <c r="AD83" s="1362"/>
      <c r="AE83" s="1362"/>
      <c r="AF83" s="1362"/>
      <c r="AG83" s="1362"/>
      <c r="AH83" s="1362"/>
      <c r="AI83" s="1362"/>
      <c r="AJ83" s="1362"/>
      <c r="AK83" s="1362"/>
      <c r="AL83" s="1362"/>
      <c r="AM83" s="1362"/>
      <c r="AN83" s="1362"/>
      <c r="AO83" s="1362"/>
      <c r="AP83" s="1362"/>
      <c r="AQ83" s="1362"/>
      <c r="AR83" s="1362"/>
      <c r="AS83" s="1362"/>
      <c r="AT83" s="1362"/>
      <c r="AU83" s="1362"/>
      <c r="AV83" s="1362"/>
      <c r="AW83" s="1362"/>
      <c r="AX83" s="1362"/>
      <c r="AY83" s="1362"/>
      <c r="AZ83" s="1362"/>
      <c r="BA83" s="1362"/>
      <c r="BB83" s="1362"/>
      <c r="BC83" s="1362"/>
      <c r="BD83" s="1362"/>
      <c r="BF83" s="144"/>
    </row>
    <row r="84" spans="1:70" x14ac:dyDescent="0.25">
      <c r="A84" s="308"/>
      <c r="B84" s="143"/>
      <c r="D84" s="1364"/>
      <c r="E84" s="1364"/>
      <c r="F84" s="1362" t="s">
        <v>713</v>
      </c>
      <c r="G84" s="1362"/>
      <c r="H84" s="1362"/>
      <c r="I84" s="1362"/>
      <c r="J84" s="1362"/>
      <c r="K84" s="1362"/>
      <c r="L84" s="1362"/>
      <c r="M84" s="1362"/>
      <c r="N84" s="1362"/>
      <c r="O84" s="1362"/>
      <c r="P84" s="1362"/>
      <c r="Q84" s="1362"/>
      <c r="R84" s="1362"/>
      <c r="S84" s="1362"/>
      <c r="T84" s="1362"/>
      <c r="U84" s="1362"/>
      <c r="V84" s="1362"/>
      <c r="W84" s="1362"/>
      <c r="X84" s="1362"/>
      <c r="Y84" s="1362"/>
      <c r="Z84" s="1362"/>
      <c r="AA84" s="1362"/>
      <c r="AB84" s="1362"/>
      <c r="AC84" s="1362"/>
      <c r="AD84" s="1362"/>
      <c r="AE84" s="1362"/>
      <c r="AF84" s="1362"/>
      <c r="AG84" s="1362"/>
      <c r="AH84" s="1362"/>
      <c r="AI84" s="1362"/>
      <c r="AJ84" s="1362"/>
      <c r="AK84" s="1362"/>
      <c r="AL84" s="1362"/>
      <c r="AM84" s="1362"/>
      <c r="AN84" s="1362"/>
      <c r="AO84" s="1362"/>
      <c r="AP84" s="1362"/>
      <c r="AQ84" s="1362"/>
      <c r="AR84" s="1362"/>
      <c r="AS84" s="1362"/>
      <c r="AT84" s="1362"/>
      <c r="AU84" s="1362"/>
      <c r="AV84" s="1362"/>
      <c r="AW84" s="1362"/>
      <c r="AX84" s="1362"/>
      <c r="AY84" s="1362"/>
      <c r="AZ84" s="1362"/>
      <c r="BA84" s="1362"/>
      <c r="BB84" s="1362"/>
      <c r="BC84" s="1362"/>
      <c r="BD84" s="1362"/>
      <c r="BF84" s="144"/>
    </row>
    <row r="85" spans="1:70" x14ac:dyDescent="0.25">
      <c r="B85" s="143"/>
      <c r="BF85" s="144"/>
    </row>
    <row r="86" spans="1:70" x14ac:dyDescent="0.25">
      <c r="B86" s="143"/>
      <c r="D86" s="1362" t="s">
        <v>712</v>
      </c>
      <c r="E86" s="1362"/>
      <c r="F86" s="1362"/>
      <c r="G86" s="1362"/>
      <c r="H86" s="1362"/>
      <c r="I86" s="1362"/>
      <c r="J86" s="1362"/>
      <c r="K86" s="1362"/>
      <c r="L86" s="1362"/>
      <c r="M86" s="1362"/>
      <c r="N86" s="1362"/>
      <c r="O86" s="1362"/>
      <c r="P86" s="1362"/>
      <c r="Q86" s="1362"/>
      <c r="R86" s="1362"/>
      <c r="S86" s="1362"/>
      <c r="T86" s="1362"/>
      <c r="U86" s="1362"/>
      <c r="V86" s="1362"/>
      <c r="W86" s="1362"/>
      <c r="X86" s="1362"/>
      <c r="Y86" s="1362"/>
      <c r="Z86" s="1362"/>
      <c r="AA86" s="1362"/>
      <c r="AB86" s="1362"/>
      <c r="AC86" s="1362"/>
      <c r="AD86" s="1362"/>
      <c r="AE86" s="1362"/>
      <c r="AF86" s="1362"/>
      <c r="AG86" s="1362"/>
      <c r="AH86" s="1362"/>
      <c r="AI86" s="1362"/>
      <c r="AJ86" s="1362"/>
      <c r="AK86" s="1362"/>
      <c r="AL86" s="1362"/>
      <c r="AM86" s="1362"/>
      <c r="AN86" s="1362"/>
      <c r="AO86" s="1362"/>
      <c r="AP86" s="1362"/>
      <c r="AQ86" s="1362"/>
      <c r="AR86" s="1362"/>
      <c r="AS86" s="1362"/>
      <c r="AT86" s="1362"/>
      <c r="AU86" s="1362"/>
      <c r="AV86" s="1362"/>
      <c r="AW86" s="1362"/>
      <c r="AX86" s="1362"/>
      <c r="AY86" s="1362"/>
      <c r="AZ86" s="1362"/>
      <c r="BA86" s="1362"/>
      <c r="BB86" s="1362"/>
      <c r="BC86" s="1362"/>
      <c r="BD86" s="1362"/>
      <c r="BF86" s="144"/>
    </row>
    <row r="87" spans="1:70" x14ac:dyDescent="0.25">
      <c r="B87" s="143"/>
      <c r="D87" s="1363" t="s">
        <v>246</v>
      </c>
      <c r="E87" s="1363"/>
      <c r="F87" s="1362" t="s">
        <v>711</v>
      </c>
      <c r="G87" s="1362"/>
      <c r="H87" s="1362"/>
      <c r="I87" s="1362"/>
      <c r="J87" s="1362"/>
      <c r="K87" s="1362"/>
      <c r="L87" s="1362"/>
      <c r="M87" s="1362"/>
      <c r="N87" s="1362"/>
      <c r="O87" s="1362"/>
      <c r="P87" s="1362"/>
      <c r="Q87" s="1362"/>
      <c r="R87" s="1362"/>
      <c r="S87" s="1362"/>
      <c r="T87" s="1362"/>
      <c r="U87" s="1362"/>
      <c r="V87" s="1362"/>
      <c r="W87" s="1362"/>
      <c r="X87" s="1362"/>
      <c r="Y87" s="1362"/>
      <c r="Z87" s="1362"/>
      <c r="AA87" s="1362"/>
      <c r="AB87" s="1362"/>
      <c r="AC87" s="1362"/>
      <c r="AD87" s="1362"/>
      <c r="AE87" s="1362"/>
      <c r="AF87" s="1362"/>
      <c r="AG87" s="1362"/>
      <c r="AH87" s="1362"/>
      <c r="AI87" s="1362"/>
      <c r="AJ87" s="1362"/>
      <c r="AK87" s="1362"/>
      <c r="AL87" s="1362"/>
      <c r="AM87" s="1362"/>
      <c r="AN87" s="1362"/>
      <c r="AO87" s="1362"/>
      <c r="AP87" s="1362"/>
      <c r="AQ87" s="1362"/>
      <c r="AR87" s="1362"/>
      <c r="AS87" s="1362"/>
      <c r="AT87" s="1362"/>
      <c r="AU87" s="1362"/>
      <c r="AV87" s="1362"/>
      <c r="AW87" s="1362"/>
      <c r="AX87" s="1362"/>
      <c r="AY87" s="1362"/>
      <c r="AZ87" s="1362"/>
      <c r="BA87" s="1362"/>
      <c r="BB87" s="1362"/>
      <c r="BC87" s="1362"/>
      <c r="BD87" s="1362"/>
      <c r="BF87" s="144"/>
    </row>
    <row r="88" spans="1:70" x14ac:dyDescent="0.25">
      <c r="B88" s="143"/>
      <c r="D88" s="1364"/>
      <c r="E88" s="1364"/>
      <c r="F88" s="1362" t="s">
        <v>710</v>
      </c>
      <c r="G88" s="1362"/>
      <c r="H88" s="1362"/>
      <c r="I88" s="1362"/>
      <c r="J88" s="1362"/>
      <c r="K88" s="1362"/>
      <c r="L88" s="1362"/>
      <c r="M88" s="1362"/>
      <c r="N88" s="1362"/>
      <c r="O88" s="1362"/>
      <c r="P88" s="1362"/>
      <c r="Q88" s="1362"/>
      <c r="R88" s="1362"/>
      <c r="S88" s="1362"/>
      <c r="T88" s="1362"/>
      <c r="U88" s="1362"/>
      <c r="V88" s="1362"/>
      <c r="W88" s="1362"/>
      <c r="X88" s="1362"/>
      <c r="Y88" s="1362"/>
      <c r="Z88" s="1362"/>
      <c r="AA88" s="1362"/>
      <c r="AB88" s="1362"/>
      <c r="AC88" s="1362"/>
      <c r="AD88" s="1362"/>
      <c r="AE88" s="1362"/>
      <c r="AF88" s="1362"/>
      <c r="AG88" s="1362"/>
      <c r="AH88" s="1362"/>
      <c r="AI88" s="1362"/>
      <c r="AJ88" s="1362"/>
      <c r="AK88" s="1362"/>
      <c r="AL88" s="1362"/>
      <c r="AM88" s="1362"/>
      <c r="AN88" s="1362"/>
      <c r="AO88" s="1362"/>
      <c r="AP88" s="1362"/>
      <c r="AQ88" s="1362"/>
      <c r="AR88" s="1362"/>
      <c r="AS88" s="1362"/>
      <c r="AT88" s="1362"/>
      <c r="AU88" s="1362"/>
      <c r="AV88" s="1362"/>
      <c r="AW88" s="1362"/>
      <c r="AX88" s="1362"/>
      <c r="AY88" s="1362"/>
      <c r="AZ88" s="1362"/>
      <c r="BA88" s="1362"/>
      <c r="BB88" s="1362"/>
      <c r="BC88" s="1362"/>
      <c r="BD88" s="1362"/>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78" t="s">
        <v>1043</v>
      </c>
      <c r="C92" s="1379"/>
      <c r="D92" s="1379"/>
      <c r="E92" s="1379"/>
      <c r="F92" s="1379"/>
      <c r="G92" s="1379"/>
      <c r="H92" s="1379"/>
      <c r="I92" s="1379"/>
      <c r="J92" s="1379"/>
      <c r="K92" s="1379"/>
      <c r="L92" s="1379"/>
      <c r="M92" s="1379"/>
      <c r="N92" s="1379"/>
      <c r="O92" s="1379"/>
      <c r="P92" s="1379"/>
      <c r="Q92" s="1379"/>
      <c r="R92" s="1379"/>
      <c r="S92" s="1379"/>
      <c r="T92" s="1379"/>
      <c r="U92" s="1379"/>
      <c r="V92" s="1379"/>
      <c r="W92" s="1379"/>
      <c r="X92" s="1379"/>
      <c r="Y92" s="1379"/>
      <c r="Z92" s="1379"/>
      <c r="AA92" s="1379"/>
      <c r="AB92" s="1379"/>
      <c r="AC92" s="1379"/>
      <c r="AD92" s="1379"/>
      <c r="AE92" s="1379"/>
      <c r="AF92" s="1379"/>
      <c r="AG92" s="1379"/>
      <c r="AH92" s="1379"/>
      <c r="AI92" s="1379"/>
      <c r="AJ92" s="1379"/>
      <c r="AK92" s="1379"/>
      <c r="AL92" s="1379"/>
      <c r="AM92" s="1379"/>
      <c r="AN92" s="1379"/>
      <c r="AO92" s="1379"/>
      <c r="AP92" s="1379"/>
      <c r="AQ92" s="1379"/>
      <c r="AR92" s="1379"/>
      <c r="AS92" s="1379"/>
      <c r="AT92" s="1379"/>
      <c r="AU92" s="1379"/>
      <c r="AV92" s="1379"/>
      <c r="AW92" s="1379"/>
      <c r="AX92" s="1379"/>
      <c r="AY92" s="1379"/>
      <c r="AZ92" s="1379"/>
      <c r="BA92" s="1379"/>
      <c r="BB92" s="1379"/>
      <c r="BC92" s="1379"/>
      <c r="BD92" s="1379"/>
      <c r="BE92" s="1379"/>
      <c r="BF92" s="1380"/>
    </row>
    <row r="93" spans="1:70" ht="15.75" thickBot="1" x14ac:dyDescent="0.3">
      <c r="B93" s="143"/>
      <c r="BF93" s="144"/>
      <c r="BR93" s="301"/>
    </row>
    <row r="94" spans="1:70" ht="15.75" thickBot="1" x14ac:dyDescent="0.3">
      <c r="B94" s="143"/>
      <c r="D94" s="1392" t="s">
        <v>759</v>
      </c>
      <c r="E94" s="1393"/>
      <c r="F94" s="1393"/>
      <c r="G94" s="1393"/>
      <c r="H94" s="1393"/>
      <c r="I94" s="1393"/>
      <c r="J94" s="1393"/>
      <c r="K94" s="1399" t="s">
        <v>760</v>
      </c>
      <c r="L94" s="1393"/>
      <c r="M94" s="1393"/>
      <c r="N94" s="1393"/>
      <c r="O94" s="1393"/>
      <c r="P94" s="1393"/>
      <c r="Q94" s="1393"/>
      <c r="R94" s="1393"/>
      <c r="S94" s="1393"/>
      <c r="T94" s="1393"/>
      <c r="U94" s="1399" t="s">
        <v>820</v>
      </c>
      <c r="V94" s="1393"/>
      <c r="W94" s="1393"/>
      <c r="X94" s="1393"/>
      <c r="Y94" s="1393"/>
      <c r="Z94" s="1393"/>
      <c r="AA94" s="1393"/>
      <c r="AB94" s="1393"/>
      <c r="AC94" s="1393"/>
      <c r="AD94" s="1393"/>
      <c r="AE94" s="1393"/>
      <c r="AF94" s="1393"/>
      <c r="AG94" s="1393"/>
      <c r="AH94" s="1393"/>
      <c r="AI94" s="1393"/>
      <c r="AJ94" s="1399" t="s">
        <v>825</v>
      </c>
      <c r="AK94" s="1393"/>
      <c r="AL94" s="1393"/>
      <c r="AM94" s="1393"/>
      <c r="AN94" s="1393"/>
      <c r="AO94" s="1393"/>
      <c r="AP94" s="1393"/>
      <c r="AQ94" s="1393"/>
      <c r="AR94" s="1393"/>
      <c r="AS94" s="1393"/>
      <c r="AT94" s="1411"/>
      <c r="AU94" s="1399" t="s">
        <v>826</v>
      </c>
      <c r="AV94" s="1393"/>
      <c r="AW94" s="1393"/>
      <c r="AX94" s="1411"/>
      <c r="AY94" s="1399" t="s">
        <v>871</v>
      </c>
      <c r="AZ94" s="1393"/>
      <c r="BA94" s="1393"/>
      <c r="BB94" s="1393"/>
      <c r="BC94" s="1421"/>
      <c r="BF94" s="144"/>
    </row>
    <row r="95" spans="1:70" x14ac:dyDescent="0.25">
      <c r="B95" s="143"/>
      <c r="C95" s="687">
        <v>1</v>
      </c>
      <c r="D95" s="1391">
        <f>'Customer Inputs'!$B$6</f>
        <v>0</v>
      </c>
      <c r="E95" s="1391"/>
      <c r="F95" s="1391"/>
      <c r="G95" s="1391"/>
      <c r="H95" s="1391"/>
      <c r="I95" s="1391"/>
      <c r="J95" s="1391"/>
      <c r="K95" s="1347" t="str">
        <f>IFERROR(IFERROR('Multi-Customer'!$AU$37,VLOOKUP($D95,'Required Info to Submit'!$E$23:$J$32,2,FALSE)),"")</f>
        <v/>
      </c>
      <c r="L95" s="1347"/>
      <c r="M95" s="1347"/>
      <c r="N95" s="1347"/>
      <c r="O95" s="1347"/>
      <c r="P95" s="1347"/>
      <c r="Q95" s="1347"/>
      <c r="R95" s="1347"/>
      <c r="S95" s="1347"/>
      <c r="T95" s="1347"/>
      <c r="U95" s="1347" t="str">
        <f>IFERROR(IFERROR('Multi-Customer'!$AU$39&amp;" "&amp;'Multi-Customer'!$AU$40,VLOOKUP($D95,'Required Info to Submit'!$E$23:$J$32,3,FALSE)),"")</f>
        <v/>
      </c>
      <c r="V95" s="1347"/>
      <c r="W95" s="1347"/>
      <c r="X95" s="1347"/>
      <c r="Y95" s="1347"/>
      <c r="Z95" s="1347"/>
      <c r="AA95" s="1347"/>
      <c r="AB95" s="1347"/>
      <c r="AC95" s="1347"/>
      <c r="AD95" s="1347"/>
      <c r="AE95" s="1347"/>
      <c r="AF95" s="1347"/>
      <c r="AG95" s="1347"/>
      <c r="AH95" s="1347"/>
      <c r="AI95" s="1347"/>
      <c r="AJ95" s="1408" t="str">
        <f>IFERROR(IFERROR('Multi-Customer'!$AU$41,VLOOKUP($D95,'Required Info to Submit'!$E$23:$J$32,4,FALSE)),"")</f>
        <v/>
      </c>
      <c r="AK95" s="1409"/>
      <c r="AL95" s="1409"/>
      <c r="AM95" s="1409"/>
      <c r="AN95" s="1409"/>
      <c r="AO95" s="1409"/>
      <c r="AP95" s="1409"/>
      <c r="AQ95" s="1409"/>
      <c r="AR95" s="1409"/>
      <c r="AS95" s="1409"/>
      <c r="AT95" s="1410"/>
      <c r="AU95" s="1412" t="str">
        <f>IFERROR(IFERROR('Multi-Customer'!$AU$42,VLOOKUP($D95,'Required Info to Submit'!$E$23:$J$32,5,FALSE)),"")</f>
        <v/>
      </c>
      <c r="AV95" s="1413"/>
      <c r="AW95" s="1413"/>
      <c r="AX95" s="1414"/>
      <c r="AY95" s="1418" t="str">
        <f>IFERROR(IFERROR('Multi-Customer'!$AU$43,VLOOKUP($D95,'Required Info to Submit'!$E$23:$J$32,6,FALSE)),"")</f>
        <v/>
      </c>
      <c r="AZ95" s="1419"/>
      <c r="BA95" s="1419"/>
      <c r="BB95" s="1419"/>
      <c r="BC95" s="1420"/>
      <c r="BF95" s="144"/>
    </row>
    <row r="96" spans="1:70" x14ac:dyDescent="0.25">
      <c r="B96" s="143"/>
      <c r="C96" s="688">
        <v>2</v>
      </c>
      <c r="D96" s="1390">
        <f>'Customer Inputs'!$B$7</f>
        <v>0</v>
      </c>
      <c r="E96" s="1390"/>
      <c r="F96" s="1390"/>
      <c r="G96" s="1390"/>
      <c r="H96" s="1390"/>
      <c r="I96" s="1390"/>
      <c r="J96" s="1390"/>
      <c r="K96" s="1334" t="str">
        <f>IFERROR(IFERROR('Multi-Customer'!$BD$37,VLOOKUP($D96,'Required Info to Submit'!$E$23:$J$32,2,FALSE)),"")</f>
        <v/>
      </c>
      <c r="L96" s="1334"/>
      <c r="M96" s="1334"/>
      <c r="N96" s="1334"/>
      <c r="O96" s="1334"/>
      <c r="P96" s="1334"/>
      <c r="Q96" s="1334"/>
      <c r="R96" s="1334"/>
      <c r="S96" s="1334"/>
      <c r="T96" s="1334"/>
      <c r="U96" s="1334" t="str">
        <f>IFERROR(IFERROR('Multi-Customer'!$BD$39&amp;" "&amp;'Multi-Customer'!$BD$40,VLOOKUP($D96,'Required Info to Submit'!$E$23:$J$32,3,FALSE)),"")</f>
        <v/>
      </c>
      <c r="V96" s="1334"/>
      <c r="W96" s="1334"/>
      <c r="X96" s="1334"/>
      <c r="Y96" s="1334"/>
      <c r="Z96" s="1334"/>
      <c r="AA96" s="1334"/>
      <c r="AB96" s="1334"/>
      <c r="AC96" s="1334"/>
      <c r="AD96" s="1334"/>
      <c r="AE96" s="1334"/>
      <c r="AF96" s="1334"/>
      <c r="AG96" s="1334"/>
      <c r="AH96" s="1334"/>
      <c r="AI96" s="1334"/>
      <c r="AJ96" s="1405" t="str">
        <f>IFERROR(IFERROR('Multi-Customer'!$BD$41,VLOOKUP($D96,'Required Info to Submit'!$E$23:$J$32,4,FALSE)),"")</f>
        <v/>
      </c>
      <c r="AK96" s="1406"/>
      <c r="AL96" s="1406"/>
      <c r="AM96" s="1406"/>
      <c r="AN96" s="1406"/>
      <c r="AO96" s="1406"/>
      <c r="AP96" s="1406"/>
      <c r="AQ96" s="1406"/>
      <c r="AR96" s="1406"/>
      <c r="AS96" s="1406"/>
      <c r="AT96" s="1407"/>
      <c r="AU96" s="1258" t="str">
        <f>IFERROR(IFERROR('Multi-Customer'!$BD$42,VLOOKUP($D96,'Required Info to Submit'!$E$23:$J$32,5,FALSE)),"")</f>
        <v/>
      </c>
      <c r="AV96" s="1259"/>
      <c r="AW96" s="1259"/>
      <c r="AX96" s="1260"/>
      <c r="AY96" s="1325" t="str">
        <f>IFERROR(IFERROR('Multi-Customer'!$BD$43,VLOOKUP($D96,'Required Info to Submit'!$E$23:$J$32,6,FALSE)),"")</f>
        <v/>
      </c>
      <c r="AZ96" s="1326"/>
      <c r="BA96" s="1326"/>
      <c r="BB96" s="1326"/>
      <c r="BC96" s="1327"/>
      <c r="BF96" s="144"/>
    </row>
    <row r="97" spans="2:58" x14ac:dyDescent="0.25">
      <c r="B97" s="143"/>
      <c r="C97" s="688">
        <v>3</v>
      </c>
      <c r="D97" s="1390">
        <f>'Customer Inputs'!$B$8</f>
        <v>0</v>
      </c>
      <c r="E97" s="1390"/>
      <c r="F97" s="1390"/>
      <c r="G97" s="1390"/>
      <c r="H97" s="1390"/>
      <c r="I97" s="1390"/>
      <c r="J97" s="1390"/>
      <c r="K97" s="1334" t="str">
        <f>IFERROR(IFERROR('Multi-Customer'!$BM$37,VLOOKUP($D97,'Required Info to Submit'!$E$23:$J$32,2,FALSE)),"")</f>
        <v/>
      </c>
      <c r="L97" s="1334"/>
      <c r="M97" s="1334"/>
      <c r="N97" s="1334"/>
      <c r="O97" s="1334"/>
      <c r="P97" s="1334"/>
      <c r="Q97" s="1334"/>
      <c r="R97" s="1334"/>
      <c r="S97" s="1334"/>
      <c r="T97" s="1334"/>
      <c r="U97" s="1334" t="str">
        <f>IFERROR(IFERROR('Multi-Customer'!$BM$39&amp;" "&amp;'Multi-Customer'!$BM$40,VLOOKUP($D97,'Required Info to Submit'!$E$23:$J$32,3,FALSE)),"")</f>
        <v/>
      </c>
      <c r="V97" s="1334"/>
      <c r="W97" s="1334"/>
      <c r="X97" s="1334"/>
      <c r="Y97" s="1334"/>
      <c r="Z97" s="1334"/>
      <c r="AA97" s="1334"/>
      <c r="AB97" s="1334"/>
      <c r="AC97" s="1334"/>
      <c r="AD97" s="1334"/>
      <c r="AE97" s="1334"/>
      <c r="AF97" s="1334"/>
      <c r="AG97" s="1334"/>
      <c r="AH97" s="1334"/>
      <c r="AI97" s="1334"/>
      <c r="AJ97" s="1405" t="str">
        <f>IFERROR(IFERROR('Multi-Customer'!$BM$41,VLOOKUP($D97,'Required Info to Submit'!$E$23:$J$32,4,FALSE)),"")</f>
        <v/>
      </c>
      <c r="AK97" s="1406"/>
      <c r="AL97" s="1406"/>
      <c r="AM97" s="1406"/>
      <c r="AN97" s="1406"/>
      <c r="AO97" s="1406"/>
      <c r="AP97" s="1406"/>
      <c r="AQ97" s="1406"/>
      <c r="AR97" s="1406"/>
      <c r="AS97" s="1406"/>
      <c r="AT97" s="1407"/>
      <c r="AU97" s="1258" t="str">
        <f>IFERROR(IFERROR('Multi-Customer'!$BM$42,VLOOKUP($D97,'Required Info to Submit'!$E$23:$J$32,5,FALSE)),"")</f>
        <v/>
      </c>
      <c r="AV97" s="1259"/>
      <c r="AW97" s="1259"/>
      <c r="AX97" s="1260"/>
      <c r="AY97" s="1325" t="str">
        <f>IFERROR(IFERROR('Multi-Customer'!$BM$43,VLOOKUP($D97,'Required Info to Submit'!$E$23:$J$32,6,FALSE)),"")</f>
        <v/>
      </c>
      <c r="AZ97" s="1326"/>
      <c r="BA97" s="1326"/>
      <c r="BB97" s="1326"/>
      <c r="BC97" s="1327"/>
      <c r="BF97" s="144"/>
    </row>
    <row r="98" spans="2:58" x14ac:dyDescent="0.25">
      <c r="B98" s="143"/>
      <c r="C98" s="688">
        <v>4</v>
      </c>
      <c r="D98" s="1390">
        <f>'Customer Inputs'!$B$9</f>
        <v>0</v>
      </c>
      <c r="E98" s="1390"/>
      <c r="F98" s="1390"/>
      <c r="G98" s="1390"/>
      <c r="H98" s="1390"/>
      <c r="I98" s="1390"/>
      <c r="J98" s="1390"/>
      <c r="K98" s="1334" t="str">
        <f>IFERROR(IFERROR('Multi-Customer'!$BV$37,VLOOKUP($D98,'Required Info to Submit'!$E$23:$J$32,2,FALSE)),"")</f>
        <v/>
      </c>
      <c r="L98" s="1334"/>
      <c r="M98" s="1334"/>
      <c r="N98" s="1334"/>
      <c r="O98" s="1334"/>
      <c r="P98" s="1334"/>
      <c r="Q98" s="1334"/>
      <c r="R98" s="1334"/>
      <c r="S98" s="1334"/>
      <c r="T98" s="1334"/>
      <c r="U98" s="1334" t="str">
        <f>IFERROR(IFERROR('Multi-Customer'!$BV$39&amp;" "&amp;'Multi-Customer'!$BV$40,VLOOKUP($D98,'Required Info to Submit'!$E$23:$J$32,3,FALSE)),"")</f>
        <v/>
      </c>
      <c r="V98" s="1334"/>
      <c r="W98" s="1334"/>
      <c r="X98" s="1334"/>
      <c r="Y98" s="1334"/>
      <c r="Z98" s="1334"/>
      <c r="AA98" s="1334"/>
      <c r="AB98" s="1334"/>
      <c r="AC98" s="1334"/>
      <c r="AD98" s="1334"/>
      <c r="AE98" s="1334"/>
      <c r="AF98" s="1334"/>
      <c r="AG98" s="1334"/>
      <c r="AH98" s="1334"/>
      <c r="AI98" s="1334"/>
      <c r="AJ98" s="1405" t="str">
        <f>IFERROR(IFERROR('Multi-Customer'!$BV$41,VLOOKUP($D98,'Required Info to Submit'!$E$23:$J$32,4,FALSE)),"")</f>
        <v/>
      </c>
      <c r="AK98" s="1406"/>
      <c r="AL98" s="1406"/>
      <c r="AM98" s="1406"/>
      <c r="AN98" s="1406"/>
      <c r="AO98" s="1406"/>
      <c r="AP98" s="1406"/>
      <c r="AQ98" s="1406"/>
      <c r="AR98" s="1406"/>
      <c r="AS98" s="1406"/>
      <c r="AT98" s="1407"/>
      <c r="AU98" s="1258" t="str">
        <f>IFERROR(IFERROR('Multi-Customer'!$BV$42,VLOOKUP($D98,'Required Info to Submit'!$E$23:$J$32,5,FALSE)),"")</f>
        <v/>
      </c>
      <c r="AV98" s="1259"/>
      <c r="AW98" s="1259"/>
      <c r="AX98" s="1260"/>
      <c r="AY98" s="1325" t="str">
        <f>IFERROR(IFERROR('Multi-Customer'!$BV$43,VLOOKUP($D98,'Required Info to Submit'!$E$23:$J$32,6,FALSE)),"")</f>
        <v/>
      </c>
      <c r="AZ98" s="1326"/>
      <c r="BA98" s="1326"/>
      <c r="BB98" s="1326"/>
      <c r="BC98" s="1327"/>
      <c r="BF98" s="144"/>
    </row>
    <row r="99" spans="2:58" x14ac:dyDescent="0.25">
      <c r="B99" s="143"/>
      <c r="C99" s="688">
        <v>5</v>
      </c>
      <c r="D99" s="1390">
        <f>'Customer Inputs'!$B$10</f>
        <v>0</v>
      </c>
      <c r="E99" s="1390"/>
      <c r="F99" s="1390"/>
      <c r="G99" s="1390"/>
      <c r="H99" s="1390"/>
      <c r="I99" s="1390"/>
      <c r="J99" s="1390"/>
      <c r="K99" s="1334" t="str">
        <f>IFERROR(IFERROR('Multi-Customer'!$CE$37,VLOOKUP($D99,'Required Info to Submit'!$E$23:$J$32,2,FALSE)),"")</f>
        <v/>
      </c>
      <c r="L99" s="1334"/>
      <c r="M99" s="1334"/>
      <c r="N99" s="1334"/>
      <c r="O99" s="1334"/>
      <c r="P99" s="1334"/>
      <c r="Q99" s="1334"/>
      <c r="R99" s="1334"/>
      <c r="S99" s="1334"/>
      <c r="T99" s="1334"/>
      <c r="U99" s="1334" t="str">
        <f>IFERROR(IFERROR('Multi-Customer'!$CE$39&amp;" "&amp;'Multi-Customer'!$CE$40,VLOOKUP($D99,'Required Info to Submit'!$E$23:$J$32,3,FALSE)),"")</f>
        <v/>
      </c>
      <c r="V99" s="1334"/>
      <c r="W99" s="1334"/>
      <c r="X99" s="1334"/>
      <c r="Y99" s="1334"/>
      <c r="Z99" s="1334"/>
      <c r="AA99" s="1334"/>
      <c r="AB99" s="1334"/>
      <c r="AC99" s="1334"/>
      <c r="AD99" s="1334"/>
      <c r="AE99" s="1334"/>
      <c r="AF99" s="1334"/>
      <c r="AG99" s="1334"/>
      <c r="AH99" s="1334"/>
      <c r="AI99" s="1334"/>
      <c r="AJ99" s="1405" t="str">
        <f>IFERROR(IFERROR('Multi-Customer'!$CE$41,VLOOKUP($D99,'Required Info to Submit'!$E$23:$J$32,4,FALSE)),"")</f>
        <v/>
      </c>
      <c r="AK99" s="1406"/>
      <c r="AL99" s="1406"/>
      <c r="AM99" s="1406"/>
      <c r="AN99" s="1406"/>
      <c r="AO99" s="1406"/>
      <c r="AP99" s="1406"/>
      <c r="AQ99" s="1406"/>
      <c r="AR99" s="1406"/>
      <c r="AS99" s="1406"/>
      <c r="AT99" s="1407"/>
      <c r="AU99" s="1258" t="str">
        <f>IFERROR(IFERROR('Multi-Customer'!$CE$42,VLOOKUP($D99,'Required Info to Submit'!$E$23:$J$32,5,FALSE)),"")</f>
        <v/>
      </c>
      <c r="AV99" s="1259"/>
      <c r="AW99" s="1259"/>
      <c r="AX99" s="1260"/>
      <c r="AY99" s="1325" t="str">
        <f>IFERROR(IFERROR('Multi-Customer'!$CE$43,VLOOKUP($D99,'Required Info to Submit'!$E$23:$J$32,6,FALSE)),"")</f>
        <v/>
      </c>
      <c r="AZ99" s="1326"/>
      <c r="BA99" s="1326"/>
      <c r="BB99" s="1326"/>
      <c r="BC99" s="1327"/>
      <c r="BF99" s="144"/>
    </row>
    <row r="100" spans="2:58" x14ac:dyDescent="0.25">
      <c r="B100" s="143"/>
      <c r="C100" s="688">
        <v>6</v>
      </c>
      <c r="D100" s="1390">
        <f>'Customer Inputs'!$B$11</f>
        <v>0</v>
      </c>
      <c r="E100" s="1390"/>
      <c r="F100" s="1390"/>
      <c r="G100" s="1390"/>
      <c r="H100" s="1390"/>
      <c r="I100" s="1390"/>
      <c r="J100" s="1390"/>
      <c r="K100" s="1334" t="str">
        <f>IFERROR(IFERROR('Multi-Customer'!$CN$37,VLOOKUP($D100,'Required Info to Submit'!$E$23:$J$32,2,FALSE)),"")</f>
        <v/>
      </c>
      <c r="L100" s="1334"/>
      <c r="M100" s="1334"/>
      <c r="N100" s="1334"/>
      <c r="O100" s="1334"/>
      <c r="P100" s="1334"/>
      <c r="Q100" s="1334"/>
      <c r="R100" s="1334"/>
      <c r="S100" s="1334"/>
      <c r="T100" s="1334"/>
      <c r="U100" s="1334" t="str">
        <f>IFERROR(IFERROR('Multi-Customer'!$CN$39&amp;" "&amp;'Multi-Customer'!$CN$40,VLOOKUP($D100,'Required Info to Submit'!$E$23:$J$32,3,FALSE)),"")</f>
        <v/>
      </c>
      <c r="V100" s="1334"/>
      <c r="W100" s="1334"/>
      <c r="X100" s="1334"/>
      <c r="Y100" s="1334"/>
      <c r="Z100" s="1334"/>
      <c r="AA100" s="1334"/>
      <c r="AB100" s="1334"/>
      <c r="AC100" s="1334"/>
      <c r="AD100" s="1334"/>
      <c r="AE100" s="1334"/>
      <c r="AF100" s="1334"/>
      <c r="AG100" s="1334"/>
      <c r="AH100" s="1334"/>
      <c r="AI100" s="1334"/>
      <c r="AJ100" s="1405" t="str">
        <f>IFERROR(IFERROR('Multi-Customer'!$CN$41,VLOOKUP($D100,'Required Info to Submit'!$E$23:$J$32,4,FALSE)),"")</f>
        <v/>
      </c>
      <c r="AK100" s="1406"/>
      <c r="AL100" s="1406"/>
      <c r="AM100" s="1406"/>
      <c r="AN100" s="1406"/>
      <c r="AO100" s="1406"/>
      <c r="AP100" s="1406"/>
      <c r="AQ100" s="1406"/>
      <c r="AR100" s="1406"/>
      <c r="AS100" s="1406"/>
      <c r="AT100" s="1407"/>
      <c r="AU100" s="1258" t="str">
        <f>IFERROR(IFERROR('Multi-Customer'!$CN$42,VLOOKUP($D100,'Required Info to Submit'!$E$23:$J$32,5,FALSE)),"")</f>
        <v/>
      </c>
      <c r="AV100" s="1259"/>
      <c r="AW100" s="1259"/>
      <c r="AX100" s="1260"/>
      <c r="AY100" s="1325" t="str">
        <f>IFERROR(IFERROR('Multi-Customer'!$CN$43,VLOOKUP($D100,'Required Info to Submit'!$E$23:$J$32,6,FALSE)),"")</f>
        <v/>
      </c>
      <c r="AZ100" s="1326"/>
      <c r="BA100" s="1326"/>
      <c r="BB100" s="1326"/>
      <c r="BC100" s="1327"/>
      <c r="BF100" s="144"/>
    </row>
    <row r="101" spans="2:58" x14ac:dyDescent="0.25">
      <c r="B101" s="143"/>
      <c r="C101" s="688">
        <v>7</v>
      </c>
      <c r="D101" s="1390">
        <f>'Customer Inputs'!$B$12</f>
        <v>0</v>
      </c>
      <c r="E101" s="1390"/>
      <c r="F101" s="1390"/>
      <c r="G101" s="1390"/>
      <c r="H101" s="1390"/>
      <c r="I101" s="1390"/>
      <c r="J101" s="1390"/>
      <c r="K101" s="1334" t="str">
        <f>IFERROR(IFERROR('Multi-Customer'!$CW$37,VLOOKUP($D101,'Required Info to Submit'!$E$23:$J$32,2,FALSE)),"")</f>
        <v/>
      </c>
      <c r="L101" s="1334"/>
      <c r="M101" s="1334"/>
      <c r="N101" s="1334"/>
      <c r="O101" s="1334"/>
      <c r="P101" s="1334"/>
      <c r="Q101" s="1334"/>
      <c r="R101" s="1334"/>
      <c r="S101" s="1334"/>
      <c r="T101" s="1334"/>
      <c r="U101" s="1334" t="str">
        <f>IFERROR(IFERROR('Multi-Customer'!$CW$39&amp;" "&amp;'Multi-Customer'!$CW$40,VLOOKUP($D101,'Required Info to Submit'!$E$23:$J$32,3,FALSE)),"")</f>
        <v/>
      </c>
      <c r="V101" s="1334"/>
      <c r="W101" s="1334"/>
      <c r="X101" s="1334"/>
      <c r="Y101" s="1334"/>
      <c r="Z101" s="1334"/>
      <c r="AA101" s="1334"/>
      <c r="AB101" s="1334"/>
      <c r="AC101" s="1334"/>
      <c r="AD101" s="1334"/>
      <c r="AE101" s="1334"/>
      <c r="AF101" s="1334"/>
      <c r="AG101" s="1334"/>
      <c r="AH101" s="1334"/>
      <c r="AI101" s="1334"/>
      <c r="AJ101" s="1405" t="str">
        <f>IFERROR(IFERROR('Multi-Customer'!$CW$41,VLOOKUP($D101,'Required Info to Submit'!$E$23:$J$32,4,FALSE)),"")</f>
        <v/>
      </c>
      <c r="AK101" s="1406"/>
      <c r="AL101" s="1406"/>
      <c r="AM101" s="1406"/>
      <c r="AN101" s="1406"/>
      <c r="AO101" s="1406"/>
      <c r="AP101" s="1406"/>
      <c r="AQ101" s="1406"/>
      <c r="AR101" s="1406"/>
      <c r="AS101" s="1406"/>
      <c r="AT101" s="1407"/>
      <c r="AU101" s="1258" t="str">
        <f>IFERROR(IFERROR('Multi-Customer'!$CW$42,VLOOKUP($D101,'Required Info to Submit'!$E$23:$J$32,5,FALSE)),"")</f>
        <v/>
      </c>
      <c r="AV101" s="1259"/>
      <c r="AW101" s="1259"/>
      <c r="AX101" s="1260"/>
      <c r="AY101" s="1325" t="str">
        <f>IFERROR(IFERROR('Multi-Customer'!$CW$43,VLOOKUP($D101,'Required Info to Submit'!$E$23:$J$32,6,FALSE)),"")</f>
        <v/>
      </c>
      <c r="AZ101" s="1326"/>
      <c r="BA101" s="1326"/>
      <c r="BB101" s="1326"/>
      <c r="BC101" s="1327"/>
      <c r="BF101" s="144"/>
    </row>
    <row r="102" spans="2:58" x14ac:dyDescent="0.25">
      <c r="B102" s="143"/>
      <c r="C102" s="688">
        <v>8</v>
      </c>
      <c r="D102" s="1390">
        <f>'Customer Inputs'!$B$13</f>
        <v>0</v>
      </c>
      <c r="E102" s="1390"/>
      <c r="F102" s="1390"/>
      <c r="G102" s="1390"/>
      <c r="H102" s="1390"/>
      <c r="I102" s="1390"/>
      <c r="J102" s="1390"/>
      <c r="K102" s="1334" t="str">
        <f>IFERROR(IFERROR('Multi-Customer'!$DF$37,VLOOKUP($D102,'Required Info to Submit'!$E$23:$J$32,2,FALSE)),"")</f>
        <v/>
      </c>
      <c r="L102" s="1334"/>
      <c r="M102" s="1334"/>
      <c r="N102" s="1334"/>
      <c r="O102" s="1334"/>
      <c r="P102" s="1334"/>
      <c r="Q102" s="1334"/>
      <c r="R102" s="1334"/>
      <c r="S102" s="1334"/>
      <c r="T102" s="1334"/>
      <c r="U102" s="1334" t="str">
        <f>IFERROR(IFERROR('Multi-Customer'!$DF$39&amp;" "&amp;'Multi-Customer'!$DF$40,VLOOKUP($D102,'Required Info to Submit'!$E$23:$J$32,3,FALSE)),"")</f>
        <v/>
      </c>
      <c r="V102" s="1334"/>
      <c r="W102" s="1334"/>
      <c r="X102" s="1334"/>
      <c r="Y102" s="1334"/>
      <c r="Z102" s="1334"/>
      <c r="AA102" s="1334"/>
      <c r="AB102" s="1334"/>
      <c r="AC102" s="1334"/>
      <c r="AD102" s="1334"/>
      <c r="AE102" s="1334"/>
      <c r="AF102" s="1334"/>
      <c r="AG102" s="1334"/>
      <c r="AH102" s="1334"/>
      <c r="AI102" s="1334"/>
      <c r="AJ102" s="1405" t="str">
        <f>IFERROR(IFERROR('Multi-Customer'!$DF$41,VLOOKUP($D102,'Required Info to Submit'!$E$23:$J$32,4,FALSE)),"")</f>
        <v/>
      </c>
      <c r="AK102" s="1406"/>
      <c r="AL102" s="1406"/>
      <c r="AM102" s="1406"/>
      <c r="AN102" s="1406"/>
      <c r="AO102" s="1406"/>
      <c r="AP102" s="1406"/>
      <c r="AQ102" s="1406"/>
      <c r="AR102" s="1406"/>
      <c r="AS102" s="1406"/>
      <c r="AT102" s="1407"/>
      <c r="AU102" s="1258" t="str">
        <f>IFERROR(IFERROR('Multi-Customer'!$DF$42,VLOOKUP($D102,'Required Info to Submit'!$E$23:$J$32,5,FALSE)),"")</f>
        <v/>
      </c>
      <c r="AV102" s="1259"/>
      <c r="AW102" s="1259"/>
      <c r="AX102" s="1260"/>
      <c r="AY102" s="1325" t="str">
        <f>IFERROR(IFERROR('Multi-Customer'!$DF$43,VLOOKUP($D102,'Required Info to Submit'!$E$23:$J$32,6,FALSE)),"")</f>
        <v/>
      </c>
      <c r="AZ102" s="1326"/>
      <c r="BA102" s="1326"/>
      <c r="BB102" s="1326"/>
      <c r="BC102" s="1327"/>
      <c r="BF102" s="144"/>
    </row>
    <row r="103" spans="2:58" x14ac:dyDescent="0.25">
      <c r="B103" s="143"/>
      <c r="C103" s="688">
        <v>9</v>
      </c>
      <c r="D103" s="1390">
        <f>'Customer Inputs'!$B$14</f>
        <v>0</v>
      </c>
      <c r="E103" s="1390"/>
      <c r="F103" s="1390"/>
      <c r="G103" s="1390"/>
      <c r="H103" s="1390"/>
      <c r="I103" s="1390"/>
      <c r="J103" s="1390"/>
      <c r="K103" s="1334" t="str">
        <f>IFERROR(IFERROR('Multi-Customer'!$DO$37,VLOOKUP($D103,'Required Info to Submit'!$E$23:$J$32,2,FALSE)),"")</f>
        <v/>
      </c>
      <c r="L103" s="1334"/>
      <c r="M103" s="1334"/>
      <c r="N103" s="1334"/>
      <c r="O103" s="1334"/>
      <c r="P103" s="1334"/>
      <c r="Q103" s="1334"/>
      <c r="R103" s="1334"/>
      <c r="S103" s="1334"/>
      <c r="T103" s="1334"/>
      <c r="U103" s="1334" t="str">
        <f>IFERROR(IFERROR('Multi-Customer'!$DO$39&amp;" "&amp;'Multi-Customer'!$DO$40,VLOOKUP($D103,'Required Info to Submit'!$E$23:$J$32,3,FALSE)),"")</f>
        <v/>
      </c>
      <c r="V103" s="1334"/>
      <c r="W103" s="1334"/>
      <c r="X103" s="1334"/>
      <c r="Y103" s="1334"/>
      <c r="Z103" s="1334"/>
      <c r="AA103" s="1334"/>
      <c r="AB103" s="1334"/>
      <c r="AC103" s="1334"/>
      <c r="AD103" s="1334"/>
      <c r="AE103" s="1334"/>
      <c r="AF103" s="1334"/>
      <c r="AG103" s="1334"/>
      <c r="AH103" s="1334"/>
      <c r="AI103" s="1334"/>
      <c r="AJ103" s="1405" t="str">
        <f>IFERROR(IFERROR('Multi-Customer'!$DO$41,VLOOKUP($D103,'Required Info to Submit'!$E$23:$J$32,4,FALSE)),"")</f>
        <v/>
      </c>
      <c r="AK103" s="1406"/>
      <c r="AL103" s="1406"/>
      <c r="AM103" s="1406"/>
      <c r="AN103" s="1406"/>
      <c r="AO103" s="1406"/>
      <c r="AP103" s="1406"/>
      <c r="AQ103" s="1406"/>
      <c r="AR103" s="1406"/>
      <c r="AS103" s="1406"/>
      <c r="AT103" s="1407"/>
      <c r="AU103" s="1258" t="str">
        <f>IFERROR(IFERROR('Multi-Customer'!$DO$42,VLOOKUP($D103,'Required Info to Submit'!$E$23:$J$32,5,FALSE)),"")</f>
        <v/>
      </c>
      <c r="AV103" s="1259"/>
      <c r="AW103" s="1259"/>
      <c r="AX103" s="1260"/>
      <c r="AY103" s="1325" t="str">
        <f>IFERROR(IFERROR('Multi-Customer'!$DO$43,VLOOKUP($D103,'Required Info to Submit'!$E$23:$J$32,6,FALSE)),"")</f>
        <v/>
      </c>
      <c r="AZ103" s="1326"/>
      <c r="BA103" s="1326"/>
      <c r="BB103" s="1326"/>
      <c r="BC103" s="1327"/>
      <c r="BF103" s="144"/>
    </row>
    <row r="104" spans="2:58" ht="15.75" thickBot="1" x14ac:dyDescent="0.3">
      <c r="B104" s="143"/>
      <c r="C104" s="689">
        <v>10</v>
      </c>
      <c r="D104" s="1401">
        <f>'Customer Inputs'!$B$15</f>
        <v>0</v>
      </c>
      <c r="E104" s="1401"/>
      <c r="F104" s="1401"/>
      <c r="G104" s="1401"/>
      <c r="H104" s="1401"/>
      <c r="I104" s="1401"/>
      <c r="J104" s="1401"/>
      <c r="K104" s="1400" t="str">
        <f>IFERROR(IFERROR('Multi-Customer'!$DX$37,VLOOKUP($D104,'Required Info to Submit'!$E$23:$J$32,2,FALSE)),"")</f>
        <v/>
      </c>
      <c r="L104" s="1400"/>
      <c r="M104" s="1400"/>
      <c r="N104" s="1400"/>
      <c r="O104" s="1400"/>
      <c r="P104" s="1400"/>
      <c r="Q104" s="1400"/>
      <c r="R104" s="1400"/>
      <c r="S104" s="1400"/>
      <c r="T104" s="1400"/>
      <c r="U104" s="1400" t="str">
        <f>IFERROR(IFERROR('Multi-Customer'!$DX$39&amp;" "&amp;'Multi-Customer'!$DX$40,VLOOKUP($D104,'Required Info to Submit'!$E$23:$J$32,3,FALSE)),"")</f>
        <v/>
      </c>
      <c r="V104" s="1400"/>
      <c r="W104" s="1400"/>
      <c r="X104" s="1400"/>
      <c r="Y104" s="1400"/>
      <c r="Z104" s="1400"/>
      <c r="AA104" s="1400"/>
      <c r="AB104" s="1400"/>
      <c r="AC104" s="1400"/>
      <c r="AD104" s="1400"/>
      <c r="AE104" s="1400"/>
      <c r="AF104" s="1400"/>
      <c r="AG104" s="1400"/>
      <c r="AH104" s="1400"/>
      <c r="AI104" s="1400"/>
      <c r="AJ104" s="1402" t="str">
        <f>IFERROR(IFERROR('Multi-Customer'!$DX$41,VLOOKUP($D104,'Required Info to Submit'!$E$23:$J$32,4,FALSE)),"")</f>
        <v/>
      </c>
      <c r="AK104" s="1403"/>
      <c r="AL104" s="1403"/>
      <c r="AM104" s="1403"/>
      <c r="AN104" s="1403"/>
      <c r="AO104" s="1403"/>
      <c r="AP104" s="1403"/>
      <c r="AQ104" s="1403"/>
      <c r="AR104" s="1403"/>
      <c r="AS104" s="1403"/>
      <c r="AT104" s="1404"/>
      <c r="AU104" s="1422" t="str">
        <f>IFERROR(IFERROR('Multi-Customer'!$DX$42,VLOOKUP($D104,'Required Info to Submit'!$E$23:$J$32,5,FALSE)),"")</f>
        <v/>
      </c>
      <c r="AV104" s="1423"/>
      <c r="AW104" s="1423"/>
      <c r="AX104" s="1424"/>
      <c r="AY104" s="1415" t="str">
        <f>IFERROR(IFERROR('Multi-Customer'!$DX$43,VLOOKUP($D104,'Required Info to Submit'!$E$23:$J$32,6,FALSE)),"")</f>
        <v/>
      </c>
      <c r="AZ104" s="1416"/>
      <c r="BA104" s="1416"/>
      <c r="BB104" s="1416"/>
      <c r="BC104" s="1417"/>
      <c r="BF104" s="144"/>
    </row>
    <row r="105" spans="2:58" x14ac:dyDescent="0.25">
      <c r="B105" s="143"/>
      <c r="BF105" s="144"/>
    </row>
    <row r="106" spans="2:58" x14ac:dyDescent="0.25">
      <c r="B106" s="143"/>
      <c r="BF106" s="144"/>
    </row>
    <row r="107" spans="2:58" ht="18.75" x14ac:dyDescent="0.3">
      <c r="B107" s="1378" t="s">
        <v>1051</v>
      </c>
      <c r="C107" s="1379"/>
      <c r="D107" s="1379"/>
      <c r="E107" s="1379"/>
      <c r="F107" s="1379"/>
      <c r="G107" s="1379"/>
      <c r="H107" s="1379"/>
      <c r="I107" s="1379"/>
      <c r="J107" s="1379"/>
      <c r="K107" s="1379"/>
      <c r="L107" s="1379"/>
      <c r="M107" s="1379"/>
      <c r="N107" s="1379"/>
      <c r="O107" s="1379"/>
      <c r="P107" s="1379"/>
      <c r="Q107" s="1379"/>
      <c r="R107" s="1379"/>
      <c r="S107" s="1379"/>
      <c r="T107" s="1379"/>
      <c r="U107" s="1379"/>
      <c r="V107" s="1379"/>
      <c r="W107" s="1379"/>
      <c r="X107" s="1379"/>
      <c r="Y107" s="1379"/>
      <c r="Z107" s="1379"/>
      <c r="AA107" s="1379"/>
      <c r="AB107" s="1379"/>
      <c r="AC107" s="1379"/>
      <c r="AD107" s="1379"/>
      <c r="AE107" s="1379"/>
      <c r="AF107" s="1379"/>
      <c r="AG107" s="1379"/>
      <c r="AH107" s="1379"/>
      <c r="AI107" s="1379"/>
      <c r="AJ107" s="1379"/>
      <c r="AK107" s="1379"/>
      <c r="AL107" s="1379"/>
      <c r="AM107" s="1379"/>
      <c r="AN107" s="1379"/>
      <c r="AO107" s="1379"/>
      <c r="AP107" s="1379"/>
      <c r="AQ107" s="1379"/>
      <c r="AR107" s="1379"/>
      <c r="AS107" s="1379"/>
      <c r="AT107" s="1379"/>
      <c r="AU107" s="1379"/>
      <c r="AV107" s="1379"/>
      <c r="AW107" s="1379"/>
      <c r="AX107" s="1379"/>
      <c r="AY107" s="1379"/>
      <c r="AZ107" s="1379"/>
      <c r="BA107" s="1379"/>
      <c r="BB107" s="1379"/>
      <c r="BC107" s="1379"/>
      <c r="BD107" s="1379"/>
      <c r="BE107" s="1379"/>
      <c r="BF107" s="1380"/>
    </row>
    <row r="108" spans="2:58" ht="15.75" thickBot="1" x14ac:dyDescent="0.3">
      <c r="B108" s="143"/>
      <c r="BF108" s="144"/>
    </row>
    <row r="109" spans="2:58" ht="29.45" customHeight="1" thickBot="1" x14ac:dyDescent="0.3">
      <c r="B109" s="738" t="s">
        <v>1044</v>
      </c>
      <c r="D109" s="272"/>
      <c r="E109" s="272"/>
      <c r="F109" s="272"/>
      <c r="G109" s="272"/>
      <c r="H109" s="272"/>
      <c r="I109" s="272"/>
      <c r="J109" s="272"/>
      <c r="K109" s="272"/>
      <c r="L109" s="272"/>
      <c r="M109" s="272"/>
      <c r="N109" s="272"/>
      <c r="O109" s="272"/>
      <c r="P109" s="272"/>
      <c r="Q109" s="272"/>
      <c r="R109" s="272"/>
      <c r="S109" s="272"/>
      <c r="T109" s="272"/>
      <c r="U109" s="1349" t="s">
        <v>1052</v>
      </c>
      <c r="V109" s="1320"/>
      <c r="W109" s="1320"/>
      <c r="X109" s="1320"/>
      <c r="Y109" s="1320"/>
      <c r="Z109" s="1320" t="s">
        <v>1045</v>
      </c>
      <c r="AA109" s="1320"/>
      <c r="AB109" s="1320"/>
      <c r="AC109" s="1320"/>
      <c r="AD109" s="1320"/>
      <c r="AE109" s="1320"/>
      <c r="AF109" s="1320" t="s">
        <v>1046</v>
      </c>
      <c r="AG109" s="1320"/>
      <c r="AH109" s="1320"/>
      <c r="AI109" s="1320"/>
      <c r="AJ109" s="1320"/>
      <c r="AK109" s="1320"/>
      <c r="AL109" s="1320"/>
      <c r="AM109" s="1320" t="s">
        <v>1049</v>
      </c>
      <c r="AN109" s="1320"/>
      <c r="AO109" s="1320"/>
      <c r="AP109" s="1320"/>
      <c r="AQ109" s="1320"/>
      <c r="AR109" s="1320"/>
      <c r="AS109" s="1321"/>
      <c r="AT109" s="272"/>
      <c r="AU109" s="272"/>
      <c r="AV109" s="272"/>
      <c r="AW109" s="272"/>
      <c r="AX109" s="272"/>
      <c r="AY109" s="272"/>
      <c r="AZ109" s="272"/>
      <c r="BA109" s="272"/>
      <c r="BB109" s="272"/>
      <c r="BC109" s="272"/>
      <c r="BD109" s="272"/>
      <c r="BE109" s="272"/>
      <c r="BF109" s="693"/>
    </row>
    <row r="110" spans="2:58" x14ac:dyDescent="0.25">
      <c r="B110" s="143"/>
      <c r="D110" s="1346" t="s">
        <v>99</v>
      </c>
      <c r="E110" s="1347"/>
      <c r="F110" s="1347"/>
      <c r="G110" s="1347"/>
      <c r="H110" s="1347"/>
      <c r="I110" s="1347"/>
      <c r="J110" s="1347"/>
      <c r="K110" s="1347"/>
      <c r="L110" s="1347"/>
      <c r="M110" s="1347"/>
      <c r="N110" s="1347"/>
      <c r="O110" s="1347"/>
      <c r="P110" s="1347"/>
      <c r="Q110" s="1347"/>
      <c r="R110" s="1347"/>
      <c r="S110" s="1347"/>
      <c r="T110" s="1348"/>
      <c r="U110" s="1337" t="str">
        <f>IF('PIM Model'!$B$10=0,"",'PIM Model'!$B$10)</f>
        <v/>
      </c>
      <c r="V110" s="1338"/>
      <c r="W110" s="1338"/>
      <c r="X110" s="1338"/>
      <c r="Y110" s="1338"/>
      <c r="Z110" s="1338" t="str">
        <f>'PIM Model'!$AF$10</f>
        <v/>
      </c>
      <c r="AA110" s="1338"/>
      <c r="AB110" s="1338"/>
      <c r="AC110" s="1338"/>
      <c r="AD110" s="1338"/>
      <c r="AE110" s="1338"/>
      <c r="AF110" s="1322" t="str">
        <f>'PIM Model'!$AG$10</f>
        <v/>
      </c>
      <c r="AG110" s="1323"/>
      <c r="AH110" s="1323"/>
      <c r="AI110" s="1323"/>
      <c r="AJ110" s="1323"/>
      <c r="AK110" s="1323"/>
      <c r="AL110" s="1330"/>
      <c r="AM110" s="1322" t="str">
        <f>'PIM Model'!$AH$10</f>
        <v/>
      </c>
      <c r="AN110" s="1323"/>
      <c r="AO110" s="1323"/>
      <c r="AP110" s="1323"/>
      <c r="AQ110" s="1323"/>
      <c r="AR110" s="1323"/>
      <c r="AS110" s="1324"/>
      <c r="BF110" s="144"/>
    </row>
    <row r="111" spans="2:58" x14ac:dyDescent="0.25">
      <c r="B111" s="143"/>
      <c r="D111" s="1333" t="s">
        <v>523</v>
      </c>
      <c r="E111" s="1334"/>
      <c r="F111" s="1334"/>
      <c r="G111" s="1334"/>
      <c r="H111" s="1334"/>
      <c r="I111" s="1334"/>
      <c r="J111" s="1334"/>
      <c r="K111" s="1334"/>
      <c r="L111" s="1334"/>
      <c r="M111" s="1334"/>
      <c r="N111" s="1334"/>
      <c r="O111" s="1334"/>
      <c r="P111" s="1334"/>
      <c r="Q111" s="1334"/>
      <c r="R111" s="1334"/>
      <c r="S111" s="1334"/>
      <c r="T111" s="1335"/>
      <c r="U111" s="1332" t="str">
        <f>IF('PIM Model'!$B$11=0,"",'PIM Model'!$B$11)</f>
        <v/>
      </c>
      <c r="V111" s="1257"/>
      <c r="W111" s="1257"/>
      <c r="X111" s="1257"/>
      <c r="Y111" s="1257"/>
      <c r="Z111" s="1257" t="str">
        <f>'PIM Model'!$AF$11</f>
        <v/>
      </c>
      <c r="AA111" s="1257"/>
      <c r="AB111" s="1257"/>
      <c r="AC111" s="1257"/>
      <c r="AD111" s="1257"/>
      <c r="AE111" s="1257"/>
      <c r="AF111" s="1325" t="str">
        <f>'PIM Model'!$AG$11</f>
        <v/>
      </c>
      <c r="AG111" s="1326"/>
      <c r="AH111" s="1326"/>
      <c r="AI111" s="1326"/>
      <c r="AJ111" s="1326"/>
      <c r="AK111" s="1326"/>
      <c r="AL111" s="1331"/>
      <c r="AM111" s="1325" t="str">
        <f>'PIM Model'!$AH$11</f>
        <v/>
      </c>
      <c r="AN111" s="1326"/>
      <c r="AO111" s="1326"/>
      <c r="AP111" s="1326"/>
      <c r="AQ111" s="1326"/>
      <c r="AR111" s="1326"/>
      <c r="AS111" s="1327"/>
      <c r="BF111" s="144"/>
    </row>
    <row r="112" spans="2:58" x14ac:dyDescent="0.25">
      <c r="B112" s="143"/>
      <c r="D112" s="1333" t="s">
        <v>524</v>
      </c>
      <c r="E112" s="1334"/>
      <c r="F112" s="1334"/>
      <c r="G112" s="1334"/>
      <c r="H112" s="1334"/>
      <c r="I112" s="1334"/>
      <c r="J112" s="1334"/>
      <c r="K112" s="1334"/>
      <c r="L112" s="1334"/>
      <c r="M112" s="1334"/>
      <c r="N112" s="1334"/>
      <c r="O112" s="1334"/>
      <c r="P112" s="1334"/>
      <c r="Q112" s="1334"/>
      <c r="R112" s="1334"/>
      <c r="S112" s="1334"/>
      <c r="T112" s="1335"/>
      <c r="U112" s="1332" t="str">
        <f>IF('PIM Model'!$B$12=0,"",'PIM Model'!$B$12)</f>
        <v/>
      </c>
      <c r="V112" s="1257"/>
      <c r="W112" s="1257"/>
      <c r="X112" s="1257"/>
      <c r="Y112" s="1257"/>
      <c r="Z112" s="1257" t="str">
        <f>'PIM Model'!$AF$12</f>
        <v/>
      </c>
      <c r="AA112" s="1257"/>
      <c r="AB112" s="1257"/>
      <c r="AC112" s="1257"/>
      <c r="AD112" s="1257"/>
      <c r="AE112" s="1257"/>
      <c r="AF112" s="1325" t="str">
        <f>'PIM Model'!$AG$12</f>
        <v/>
      </c>
      <c r="AG112" s="1326"/>
      <c r="AH112" s="1326"/>
      <c r="AI112" s="1326"/>
      <c r="AJ112" s="1326"/>
      <c r="AK112" s="1326"/>
      <c r="AL112" s="1331"/>
      <c r="AM112" s="1325" t="str">
        <f>'PIM Model'!$AH$12</f>
        <v/>
      </c>
      <c r="AN112" s="1326"/>
      <c r="AO112" s="1326"/>
      <c r="AP112" s="1326"/>
      <c r="AQ112" s="1326"/>
      <c r="AR112" s="1326"/>
      <c r="AS112" s="1327"/>
      <c r="BF112" s="144"/>
    </row>
    <row r="113" spans="2:58" x14ac:dyDescent="0.25">
      <c r="B113" s="143"/>
      <c r="D113" s="1333" t="s">
        <v>102</v>
      </c>
      <c r="E113" s="1334"/>
      <c r="F113" s="1334"/>
      <c r="G113" s="1334"/>
      <c r="H113" s="1334"/>
      <c r="I113" s="1334"/>
      <c r="J113" s="1334"/>
      <c r="K113" s="1334"/>
      <c r="L113" s="1334"/>
      <c r="M113" s="1334"/>
      <c r="N113" s="1334"/>
      <c r="O113" s="1334"/>
      <c r="P113" s="1334"/>
      <c r="Q113" s="1334"/>
      <c r="R113" s="1334"/>
      <c r="S113" s="1334"/>
      <c r="T113" s="1335"/>
      <c r="U113" s="1332" t="str">
        <f>IF('PIM Model'!$B$13=0,"",'PIM Model'!$B$13)</f>
        <v/>
      </c>
      <c r="V113" s="1257"/>
      <c r="W113" s="1257"/>
      <c r="X113" s="1257"/>
      <c r="Y113" s="1257"/>
      <c r="Z113" s="1257" t="str">
        <f>'PIM Model'!$AF$13</f>
        <v/>
      </c>
      <c r="AA113" s="1257"/>
      <c r="AB113" s="1257"/>
      <c r="AC113" s="1257"/>
      <c r="AD113" s="1257"/>
      <c r="AE113" s="1257"/>
      <c r="AF113" s="1325" t="str">
        <f>'PIM Model'!$AG$13</f>
        <v/>
      </c>
      <c r="AG113" s="1326"/>
      <c r="AH113" s="1326"/>
      <c r="AI113" s="1326"/>
      <c r="AJ113" s="1326"/>
      <c r="AK113" s="1326"/>
      <c r="AL113" s="1331"/>
      <c r="AM113" s="1325" t="str">
        <f>'PIM Model'!$AH$13</f>
        <v/>
      </c>
      <c r="AN113" s="1326"/>
      <c r="AO113" s="1326"/>
      <c r="AP113" s="1326"/>
      <c r="AQ113" s="1326"/>
      <c r="AR113" s="1326"/>
      <c r="AS113" s="1327"/>
      <c r="BF113" s="144"/>
    </row>
    <row r="114" spans="2:58" x14ac:dyDescent="0.25">
      <c r="B114" s="143"/>
      <c r="D114" s="1333" t="s">
        <v>100</v>
      </c>
      <c r="E114" s="1334"/>
      <c r="F114" s="1334"/>
      <c r="G114" s="1334"/>
      <c r="H114" s="1334"/>
      <c r="I114" s="1334"/>
      <c r="J114" s="1334"/>
      <c r="K114" s="1334"/>
      <c r="L114" s="1334"/>
      <c r="M114" s="1334"/>
      <c r="N114" s="1334"/>
      <c r="O114" s="1334"/>
      <c r="P114" s="1334"/>
      <c r="Q114" s="1334"/>
      <c r="R114" s="1334"/>
      <c r="S114" s="1334"/>
      <c r="T114" s="1335"/>
      <c r="U114" s="1332" t="str">
        <f>IF('PIM Model'!$B$14=0,"",'PIM Model'!$B$14)</f>
        <v/>
      </c>
      <c r="V114" s="1257"/>
      <c r="W114" s="1257"/>
      <c r="X114" s="1257"/>
      <c r="Y114" s="1257"/>
      <c r="Z114" s="1257" t="str">
        <f>'PIM Model'!$AF$14</f>
        <v/>
      </c>
      <c r="AA114" s="1257"/>
      <c r="AB114" s="1257"/>
      <c r="AC114" s="1257"/>
      <c r="AD114" s="1257"/>
      <c r="AE114" s="1257"/>
      <c r="AF114" s="1325" t="str">
        <f>'PIM Model'!$AG$14</f>
        <v/>
      </c>
      <c r="AG114" s="1326"/>
      <c r="AH114" s="1326"/>
      <c r="AI114" s="1326"/>
      <c r="AJ114" s="1326"/>
      <c r="AK114" s="1326"/>
      <c r="AL114" s="1331"/>
      <c r="AM114" s="1325" t="str">
        <f>'PIM Model'!$AH$14</f>
        <v/>
      </c>
      <c r="AN114" s="1326"/>
      <c r="AO114" s="1326"/>
      <c r="AP114" s="1326"/>
      <c r="AQ114" s="1326"/>
      <c r="AR114" s="1326"/>
      <c r="AS114" s="1327"/>
      <c r="BF114" s="144"/>
    </row>
    <row r="115" spans="2:58" x14ac:dyDescent="0.25">
      <c r="B115" s="143"/>
      <c r="D115" s="1333" t="s">
        <v>104</v>
      </c>
      <c r="E115" s="1334"/>
      <c r="F115" s="1334"/>
      <c r="G115" s="1334"/>
      <c r="H115" s="1334"/>
      <c r="I115" s="1334"/>
      <c r="J115" s="1334"/>
      <c r="K115" s="1334"/>
      <c r="L115" s="1334"/>
      <c r="M115" s="1334"/>
      <c r="N115" s="1334"/>
      <c r="O115" s="1334"/>
      <c r="P115" s="1334"/>
      <c r="Q115" s="1334"/>
      <c r="R115" s="1334"/>
      <c r="S115" s="1334"/>
      <c r="T115" s="1335"/>
      <c r="U115" s="1332" t="str">
        <f>IF('PIM Model'!$B$15=0,"",'PIM Model'!$B$15)</f>
        <v/>
      </c>
      <c r="V115" s="1257"/>
      <c r="W115" s="1257"/>
      <c r="X115" s="1257"/>
      <c r="Y115" s="1257"/>
      <c r="Z115" s="1257" t="str">
        <f>'PIM Model'!$AF$15</f>
        <v/>
      </c>
      <c r="AA115" s="1257"/>
      <c r="AB115" s="1257"/>
      <c r="AC115" s="1257"/>
      <c r="AD115" s="1257"/>
      <c r="AE115" s="1257"/>
      <c r="AF115" s="1325" t="str">
        <f>'PIM Model'!$AG$15</f>
        <v/>
      </c>
      <c r="AG115" s="1326"/>
      <c r="AH115" s="1326"/>
      <c r="AI115" s="1326"/>
      <c r="AJ115" s="1326"/>
      <c r="AK115" s="1326"/>
      <c r="AL115" s="1331"/>
      <c r="AM115" s="1325" t="str">
        <f>'PIM Model'!$AH$15</f>
        <v/>
      </c>
      <c r="AN115" s="1326"/>
      <c r="AO115" s="1326"/>
      <c r="AP115" s="1326"/>
      <c r="AQ115" s="1326"/>
      <c r="AR115" s="1326"/>
      <c r="AS115" s="1327"/>
      <c r="BF115" s="144"/>
    </row>
    <row r="116" spans="2:58" x14ac:dyDescent="0.25">
      <c r="B116" s="143"/>
      <c r="D116" s="1333" t="s">
        <v>98</v>
      </c>
      <c r="E116" s="1334"/>
      <c r="F116" s="1334"/>
      <c r="G116" s="1334"/>
      <c r="H116" s="1334"/>
      <c r="I116" s="1334"/>
      <c r="J116" s="1334"/>
      <c r="K116" s="1334"/>
      <c r="L116" s="1334"/>
      <c r="M116" s="1334"/>
      <c r="N116" s="1334"/>
      <c r="O116" s="1334"/>
      <c r="P116" s="1334"/>
      <c r="Q116" s="1334"/>
      <c r="R116" s="1334"/>
      <c r="S116" s="1334"/>
      <c r="T116" s="1335"/>
      <c r="U116" s="1332" t="str">
        <f>IF('PIM Model'!$B$16=0,"",'PIM Model'!$B$16)</f>
        <v/>
      </c>
      <c r="V116" s="1257"/>
      <c r="W116" s="1257"/>
      <c r="X116" s="1257"/>
      <c r="Y116" s="1257"/>
      <c r="Z116" s="1257" t="str">
        <f>'PIM Model'!$AF$16</f>
        <v/>
      </c>
      <c r="AA116" s="1257"/>
      <c r="AB116" s="1257"/>
      <c r="AC116" s="1257"/>
      <c r="AD116" s="1257"/>
      <c r="AE116" s="1257"/>
      <c r="AF116" s="1325" t="str">
        <f>'PIM Model'!$AG$16</f>
        <v/>
      </c>
      <c r="AG116" s="1326"/>
      <c r="AH116" s="1326"/>
      <c r="AI116" s="1326"/>
      <c r="AJ116" s="1326"/>
      <c r="AK116" s="1326"/>
      <c r="AL116" s="1331"/>
      <c r="AM116" s="1325" t="str">
        <f>'PIM Model'!$AH$16</f>
        <v/>
      </c>
      <c r="AN116" s="1326"/>
      <c r="AO116" s="1326"/>
      <c r="AP116" s="1326"/>
      <c r="AQ116" s="1326"/>
      <c r="AR116" s="1326"/>
      <c r="AS116" s="1327"/>
      <c r="BF116" s="144"/>
    </row>
    <row r="117" spans="2:58" x14ac:dyDescent="0.25">
      <c r="B117" s="143"/>
      <c r="D117" s="1333" t="s">
        <v>95</v>
      </c>
      <c r="E117" s="1334"/>
      <c r="F117" s="1334"/>
      <c r="G117" s="1334"/>
      <c r="H117" s="1334"/>
      <c r="I117" s="1334"/>
      <c r="J117" s="1334"/>
      <c r="K117" s="1334"/>
      <c r="L117" s="1334"/>
      <c r="M117" s="1334"/>
      <c r="N117" s="1334"/>
      <c r="O117" s="1334"/>
      <c r="P117" s="1334"/>
      <c r="Q117" s="1334"/>
      <c r="R117" s="1334"/>
      <c r="S117" s="1334"/>
      <c r="T117" s="1335"/>
      <c r="U117" s="1332" t="str">
        <f>IF('PIM Model'!$B$17=0,"",'PIM Model'!$B$17)</f>
        <v/>
      </c>
      <c r="V117" s="1257"/>
      <c r="W117" s="1257"/>
      <c r="X117" s="1257"/>
      <c r="Y117" s="1257"/>
      <c r="Z117" s="1257" t="str">
        <f>'PIM Model'!$AF$17</f>
        <v/>
      </c>
      <c r="AA117" s="1257"/>
      <c r="AB117" s="1257"/>
      <c r="AC117" s="1257"/>
      <c r="AD117" s="1257"/>
      <c r="AE117" s="1257"/>
      <c r="AF117" s="1325" t="str">
        <f>'PIM Model'!$AG$17</f>
        <v/>
      </c>
      <c r="AG117" s="1326"/>
      <c r="AH117" s="1326"/>
      <c r="AI117" s="1326"/>
      <c r="AJ117" s="1326"/>
      <c r="AK117" s="1326"/>
      <c r="AL117" s="1331"/>
      <c r="AM117" s="1325" t="str">
        <f>'PIM Model'!$AH$17</f>
        <v/>
      </c>
      <c r="AN117" s="1326"/>
      <c r="AO117" s="1326"/>
      <c r="AP117" s="1326"/>
      <c r="AQ117" s="1326"/>
      <c r="AR117" s="1326"/>
      <c r="AS117" s="1327"/>
      <c r="BF117" s="144"/>
    </row>
    <row r="118" spans="2:58" x14ac:dyDescent="0.25">
      <c r="B118" s="143"/>
      <c r="D118" s="1333" t="s">
        <v>96</v>
      </c>
      <c r="E118" s="1334"/>
      <c r="F118" s="1334"/>
      <c r="G118" s="1334"/>
      <c r="H118" s="1334"/>
      <c r="I118" s="1334"/>
      <c r="J118" s="1334"/>
      <c r="K118" s="1334"/>
      <c r="L118" s="1334"/>
      <c r="M118" s="1334"/>
      <c r="N118" s="1334"/>
      <c r="O118" s="1334"/>
      <c r="P118" s="1334"/>
      <c r="Q118" s="1334"/>
      <c r="R118" s="1334"/>
      <c r="S118" s="1334"/>
      <c r="T118" s="1335"/>
      <c r="U118" s="1332" t="str">
        <f>IF('PIM Model'!$B$18=0,"",'PIM Model'!$B$18)</f>
        <v/>
      </c>
      <c r="V118" s="1257"/>
      <c r="W118" s="1257"/>
      <c r="X118" s="1257"/>
      <c r="Y118" s="1257"/>
      <c r="Z118" s="1257" t="str">
        <f>'PIM Model'!$AF$18</f>
        <v/>
      </c>
      <c r="AA118" s="1257"/>
      <c r="AB118" s="1257"/>
      <c r="AC118" s="1257"/>
      <c r="AD118" s="1257"/>
      <c r="AE118" s="1257"/>
      <c r="AF118" s="1325" t="str">
        <f>'PIM Model'!$AG$18</f>
        <v/>
      </c>
      <c r="AG118" s="1326"/>
      <c r="AH118" s="1326"/>
      <c r="AI118" s="1326"/>
      <c r="AJ118" s="1326"/>
      <c r="AK118" s="1326"/>
      <c r="AL118" s="1331"/>
      <c r="AM118" s="1325" t="str">
        <f>'PIM Model'!$AH$18</f>
        <v/>
      </c>
      <c r="AN118" s="1326"/>
      <c r="AO118" s="1326"/>
      <c r="AP118" s="1326"/>
      <c r="AQ118" s="1326"/>
      <c r="AR118" s="1326"/>
      <c r="AS118" s="1327"/>
      <c r="BF118" s="144"/>
    </row>
    <row r="119" spans="2:58" x14ac:dyDescent="0.25">
      <c r="B119" s="143"/>
      <c r="D119" s="1333" t="s">
        <v>101</v>
      </c>
      <c r="E119" s="1334"/>
      <c r="F119" s="1334"/>
      <c r="G119" s="1334"/>
      <c r="H119" s="1334"/>
      <c r="I119" s="1334"/>
      <c r="J119" s="1334"/>
      <c r="K119" s="1334"/>
      <c r="L119" s="1334"/>
      <c r="M119" s="1334"/>
      <c r="N119" s="1334"/>
      <c r="O119" s="1334"/>
      <c r="P119" s="1334"/>
      <c r="Q119" s="1334"/>
      <c r="R119" s="1334"/>
      <c r="S119" s="1334"/>
      <c r="T119" s="1335"/>
      <c r="U119" s="1332" t="str">
        <f>IF('PIM Model'!$B$19=0,"",'PIM Model'!$B$19)</f>
        <v/>
      </c>
      <c r="V119" s="1257"/>
      <c r="W119" s="1257"/>
      <c r="X119" s="1257"/>
      <c r="Y119" s="1257"/>
      <c r="Z119" s="1257" t="str">
        <f>'PIM Model'!$AF$19</f>
        <v/>
      </c>
      <c r="AA119" s="1257"/>
      <c r="AB119" s="1257"/>
      <c r="AC119" s="1257"/>
      <c r="AD119" s="1257"/>
      <c r="AE119" s="1257"/>
      <c r="AF119" s="1325" t="str">
        <f>'PIM Model'!$AG$19</f>
        <v/>
      </c>
      <c r="AG119" s="1326"/>
      <c r="AH119" s="1326"/>
      <c r="AI119" s="1326"/>
      <c r="AJ119" s="1326"/>
      <c r="AK119" s="1326"/>
      <c r="AL119" s="1331"/>
      <c r="AM119" s="1325" t="str">
        <f>'PIM Model'!$AH$19</f>
        <v/>
      </c>
      <c r="AN119" s="1326"/>
      <c r="AO119" s="1326"/>
      <c r="AP119" s="1326"/>
      <c r="AQ119" s="1326"/>
      <c r="AR119" s="1326"/>
      <c r="AS119" s="1327"/>
      <c r="BF119" s="144"/>
    </row>
    <row r="120" spans="2:58" x14ac:dyDescent="0.25">
      <c r="B120" s="143"/>
      <c r="D120" s="1333" t="s">
        <v>97</v>
      </c>
      <c r="E120" s="1334"/>
      <c r="F120" s="1334"/>
      <c r="G120" s="1334"/>
      <c r="H120" s="1334"/>
      <c r="I120" s="1334"/>
      <c r="J120" s="1334"/>
      <c r="K120" s="1334"/>
      <c r="L120" s="1334"/>
      <c r="M120" s="1334"/>
      <c r="N120" s="1334"/>
      <c r="O120" s="1334"/>
      <c r="P120" s="1334"/>
      <c r="Q120" s="1334"/>
      <c r="R120" s="1334"/>
      <c r="S120" s="1334"/>
      <c r="T120" s="1335"/>
      <c r="U120" s="1332" t="str">
        <f>IF('PIM Model'!$B$20=0,"",'PIM Model'!$B$20)</f>
        <v/>
      </c>
      <c r="V120" s="1257"/>
      <c r="W120" s="1257"/>
      <c r="X120" s="1257"/>
      <c r="Y120" s="1257"/>
      <c r="Z120" s="1257" t="str">
        <f>'PIM Model'!$AF$20</f>
        <v/>
      </c>
      <c r="AA120" s="1257"/>
      <c r="AB120" s="1257"/>
      <c r="AC120" s="1257"/>
      <c r="AD120" s="1257"/>
      <c r="AE120" s="1257"/>
      <c r="AF120" s="1325" t="str">
        <f>'PIM Model'!$AG$20</f>
        <v/>
      </c>
      <c r="AG120" s="1326"/>
      <c r="AH120" s="1326"/>
      <c r="AI120" s="1326"/>
      <c r="AJ120" s="1326"/>
      <c r="AK120" s="1326"/>
      <c r="AL120" s="1331"/>
      <c r="AM120" s="1325" t="str">
        <f>'PIM Model'!$AH$20</f>
        <v/>
      </c>
      <c r="AN120" s="1326"/>
      <c r="AO120" s="1326"/>
      <c r="AP120" s="1326"/>
      <c r="AQ120" s="1326"/>
      <c r="AR120" s="1326"/>
      <c r="AS120" s="1327"/>
      <c r="BF120" s="144"/>
    </row>
    <row r="121" spans="2:58" x14ac:dyDescent="0.25">
      <c r="B121" s="143"/>
      <c r="D121" s="1333" t="s">
        <v>93</v>
      </c>
      <c r="E121" s="1334"/>
      <c r="F121" s="1334"/>
      <c r="G121" s="1334"/>
      <c r="H121" s="1334"/>
      <c r="I121" s="1334"/>
      <c r="J121" s="1334"/>
      <c r="K121" s="1334"/>
      <c r="L121" s="1334"/>
      <c r="M121" s="1334"/>
      <c r="N121" s="1334"/>
      <c r="O121" s="1334"/>
      <c r="P121" s="1334"/>
      <c r="Q121" s="1334"/>
      <c r="R121" s="1334"/>
      <c r="S121" s="1334"/>
      <c r="T121" s="1335"/>
      <c r="U121" s="1332" t="str">
        <f>IF('PIM Model'!$B$21=0,"",'PIM Model'!$B$21)</f>
        <v/>
      </c>
      <c r="V121" s="1257"/>
      <c r="W121" s="1257"/>
      <c r="X121" s="1257"/>
      <c r="Y121" s="1257"/>
      <c r="Z121" s="1257" t="str">
        <f>'PIM Model'!$AF$21</f>
        <v/>
      </c>
      <c r="AA121" s="1257"/>
      <c r="AB121" s="1257"/>
      <c r="AC121" s="1257"/>
      <c r="AD121" s="1257"/>
      <c r="AE121" s="1257"/>
      <c r="AF121" s="1325" t="str">
        <f>'PIM Model'!$AG$21</f>
        <v/>
      </c>
      <c r="AG121" s="1326"/>
      <c r="AH121" s="1326"/>
      <c r="AI121" s="1326"/>
      <c r="AJ121" s="1326"/>
      <c r="AK121" s="1326"/>
      <c r="AL121" s="1331"/>
      <c r="AM121" s="1325" t="str">
        <f>'PIM Model'!$AH$21</f>
        <v/>
      </c>
      <c r="AN121" s="1326"/>
      <c r="AO121" s="1326"/>
      <c r="AP121" s="1326"/>
      <c r="AQ121" s="1326"/>
      <c r="AR121" s="1326"/>
      <c r="AS121" s="1327"/>
      <c r="BF121" s="144"/>
    </row>
    <row r="122" spans="2:58" x14ac:dyDescent="0.25">
      <c r="B122" s="143"/>
      <c r="D122" s="1333" t="s">
        <v>105</v>
      </c>
      <c r="E122" s="1334"/>
      <c r="F122" s="1334"/>
      <c r="G122" s="1334"/>
      <c r="H122" s="1334"/>
      <c r="I122" s="1334"/>
      <c r="J122" s="1334"/>
      <c r="K122" s="1334"/>
      <c r="L122" s="1334"/>
      <c r="M122" s="1334"/>
      <c r="N122" s="1334"/>
      <c r="O122" s="1334"/>
      <c r="P122" s="1334"/>
      <c r="Q122" s="1334"/>
      <c r="R122" s="1334"/>
      <c r="S122" s="1334"/>
      <c r="T122" s="1335"/>
      <c r="U122" s="1332" t="str">
        <f>IF('PIM Model'!$B$22=0,"",'PIM Model'!$B$22)</f>
        <v/>
      </c>
      <c r="V122" s="1257"/>
      <c r="W122" s="1257"/>
      <c r="X122" s="1257"/>
      <c r="Y122" s="1257"/>
      <c r="Z122" s="1257" t="str">
        <f>'PIM Model'!$AF$22</f>
        <v/>
      </c>
      <c r="AA122" s="1257"/>
      <c r="AB122" s="1257"/>
      <c r="AC122" s="1257"/>
      <c r="AD122" s="1257"/>
      <c r="AE122" s="1257"/>
      <c r="AF122" s="1325" t="str">
        <f>'PIM Model'!$AG$22</f>
        <v/>
      </c>
      <c r="AG122" s="1326"/>
      <c r="AH122" s="1326"/>
      <c r="AI122" s="1326"/>
      <c r="AJ122" s="1326"/>
      <c r="AK122" s="1326"/>
      <c r="AL122" s="1331"/>
      <c r="AM122" s="1325" t="str">
        <f>'PIM Model'!$AH$22</f>
        <v/>
      </c>
      <c r="AN122" s="1326"/>
      <c r="AO122" s="1326"/>
      <c r="AP122" s="1326"/>
      <c r="AQ122" s="1326"/>
      <c r="AR122" s="1326"/>
      <c r="AS122" s="1327"/>
      <c r="BF122" s="144"/>
    </row>
    <row r="123" spans="2:58" x14ac:dyDescent="0.25">
      <c r="B123" s="143"/>
      <c r="D123" s="1333" t="s">
        <v>92</v>
      </c>
      <c r="E123" s="1334"/>
      <c r="F123" s="1334"/>
      <c r="G123" s="1334"/>
      <c r="H123" s="1334"/>
      <c r="I123" s="1334"/>
      <c r="J123" s="1334"/>
      <c r="K123" s="1334"/>
      <c r="L123" s="1334"/>
      <c r="M123" s="1334"/>
      <c r="N123" s="1334"/>
      <c r="O123" s="1334"/>
      <c r="P123" s="1334"/>
      <c r="Q123" s="1334"/>
      <c r="R123" s="1334"/>
      <c r="S123" s="1334"/>
      <c r="T123" s="1335"/>
      <c r="U123" s="1332" t="str">
        <f>IF('PIM Model'!$B$23=0,"",'PIM Model'!$B$23)</f>
        <v/>
      </c>
      <c r="V123" s="1257"/>
      <c r="W123" s="1257"/>
      <c r="X123" s="1257"/>
      <c r="Y123" s="1257"/>
      <c r="Z123" s="1257" t="str">
        <f>'PIM Model'!$AF$23</f>
        <v/>
      </c>
      <c r="AA123" s="1257"/>
      <c r="AB123" s="1257"/>
      <c r="AC123" s="1257"/>
      <c r="AD123" s="1257"/>
      <c r="AE123" s="1257"/>
      <c r="AF123" s="1325" t="str">
        <f>'PIM Model'!$AG$23</f>
        <v/>
      </c>
      <c r="AG123" s="1326"/>
      <c r="AH123" s="1326"/>
      <c r="AI123" s="1326"/>
      <c r="AJ123" s="1326"/>
      <c r="AK123" s="1326"/>
      <c r="AL123" s="1331"/>
      <c r="AM123" s="1325" t="str">
        <f>'PIM Model'!$AH$23</f>
        <v/>
      </c>
      <c r="AN123" s="1326"/>
      <c r="AO123" s="1326"/>
      <c r="AP123" s="1326"/>
      <c r="AQ123" s="1326"/>
      <c r="AR123" s="1326"/>
      <c r="AS123" s="1327"/>
      <c r="BF123" s="144"/>
    </row>
    <row r="124" spans="2:58" x14ac:dyDescent="0.25">
      <c r="B124" s="143"/>
      <c r="D124" s="1333" t="s">
        <v>91</v>
      </c>
      <c r="E124" s="1334"/>
      <c r="F124" s="1334"/>
      <c r="G124" s="1334"/>
      <c r="H124" s="1334"/>
      <c r="I124" s="1334"/>
      <c r="J124" s="1334"/>
      <c r="K124" s="1334"/>
      <c r="L124" s="1334"/>
      <c r="M124" s="1334"/>
      <c r="N124" s="1334"/>
      <c r="O124" s="1334"/>
      <c r="P124" s="1334"/>
      <c r="Q124" s="1334"/>
      <c r="R124" s="1334"/>
      <c r="S124" s="1334"/>
      <c r="T124" s="1335"/>
      <c r="U124" s="1332" t="str">
        <f>IF('PIM Model'!$B$24=0,"",'PIM Model'!$B$24)</f>
        <v/>
      </c>
      <c r="V124" s="1257"/>
      <c r="W124" s="1257"/>
      <c r="X124" s="1257"/>
      <c r="Y124" s="1257"/>
      <c r="Z124" s="1257" t="str">
        <f>'PIM Model'!$AF$24</f>
        <v/>
      </c>
      <c r="AA124" s="1257"/>
      <c r="AB124" s="1257"/>
      <c r="AC124" s="1257"/>
      <c r="AD124" s="1257"/>
      <c r="AE124" s="1257"/>
      <c r="AF124" s="1325" t="str">
        <f>'PIM Model'!$AG$24</f>
        <v/>
      </c>
      <c r="AG124" s="1326"/>
      <c r="AH124" s="1326"/>
      <c r="AI124" s="1326"/>
      <c r="AJ124" s="1326"/>
      <c r="AK124" s="1326"/>
      <c r="AL124" s="1331"/>
      <c r="AM124" s="1325" t="str">
        <f>'PIM Model'!$AH$24</f>
        <v/>
      </c>
      <c r="AN124" s="1326"/>
      <c r="AO124" s="1326"/>
      <c r="AP124" s="1326"/>
      <c r="AQ124" s="1326"/>
      <c r="AR124" s="1326"/>
      <c r="AS124" s="1327"/>
      <c r="BF124" s="144"/>
    </row>
    <row r="125" spans="2:58" x14ac:dyDescent="0.25">
      <c r="B125" s="143"/>
      <c r="D125" s="1333" t="s">
        <v>90</v>
      </c>
      <c r="E125" s="1334"/>
      <c r="F125" s="1334"/>
      <c r="G125" s="1334"/>
      <c r="H125" s="1334"/>
      <c r="I125" s="1334"/>
      <c r="J125" s="1334"/>
      <c r="K125" s="1334"/>
      <c r="L125" s="1334"/>
      <c r="M125" s="1334"/>
      <c r="N125" s="1334"/>
      <c r="O125" s="1334"/>
      <c r="P125" s="1334"/>
      <c r="Q125" s="1334"/>
      <c r="R125" s="1334"/>
      <c r="S125" s="1334"/>
      <c r="T125" s="1335"/>
      <c r="U125" s="1332" t="str">
        <f>IF('PIM Model'!$B$25=0,"",'PIM Model'!$B$25)</f>
        <v/>
      </c>
      <c r="V125" s="1257"/>
      <c r="W125" s="1257"/>
      <c r="X125" s="1257"/>
      <c r="Y125" s="1257"/>
      <c r="Z125" s="1257" t="str">
        <f>'PIM Model'!$AF$25</f>
        <v/>
      </c>
      <c r="AA125" s="1257"/>
      <c r="AB125" s="1257"/>
      <c r="AC125" s="1257"/>
      <c r="AD125" s="1257"/>
      <c r="AE125" s="1257"/>
      <c r="AF125" s="1325" t="str">
        <f>'PIM Model'!$AG$25</f>
        <v/>
      </c>
      <c r="AG125" s="1326"/>
      <c r="AH125" s="1326"/>
      <c r="AI125" s="1326"/>
      <c r="AJ125" s="1326"/>
      <c r="AK125" s="1326"/>
      <c r="AL125" s="1331"/>
      <c r="AM125" s="1325" t="str">
        <f>'PIM Model'!$AH$25</f>
        <v/>
      </c>
      <c r="AN125" s="1326"/>
      <c r="AO125" s="1326"/>
      <c r="AP125" s="1326"/>
      <c r="AQ125" s="1326"/>
      <c r="AR125" s="1326"/>
      <c r="AS125" s="1327"/>
      <c r="BF125" s="144"/>
    </row>
    <row r="126" spans="2:58" x14ac:dyDescent="0.25">
      <c r="B126" s="143"/>
      <c r="D126" s="1333" t="s">
        <v>89</v>
      </c>
      <c r="E126" s="1334"/>
      <c r="F126" s="1334"/>
      <c r="G126" s="1334"/>
      <c r="H126" s="1334"/>
      <c r="I126" s="1334"/>
      <c r="J126" s="1334"/>
      <c r="K126" s="1334"/>
      <c r="L126" s="1334"/>
      <c r="M126" s="1334"/>
      <c r="N126" s="1334"/>
      <c r="O126" s="1334"/>
      <c r="P126" s="1334"/>
      <c r="Q126" s="1334"/>
      <c r="R126" s="1334"/>
      <c r="S126" s="1334"/>
      <c r="T126" s="1335"/>
      <c r="U126" s="1332" t="str">
        <f>IF('PIM Model'!$B$26=0,"",'PIM Model'!$B$26)</f>
        <v/>
      </c>
      <c r="V126" s="1257"/>
      <c r="W126" s="1257"/>
      <c r="X126" s="1257"/>
      <c r="Y126" s="1257"/>
      <c r="Z126" s="1257" t="str">
        <f>'PIM Model'!$AF$26</f>
        <v/>
      </c>
      <c r="AA126" s="1257"/>
      <c r="AB126" s="1257"/>
      <c r="AC126" s="1257"/>
      <c r="AD126" s="1257"/>
      <c r="AE126" s="1257"/>
      <c r="AF126" s="1325" t="str">
        <f>'PIM Model'!$AG$26</f>
        <v/>
      </c>
      <c r="AG126" s="1326"/>
      <c r="AH126" s="1326"/>
      <c r="AI126" s="1326"/>
      <c r="AJ126" s="1326"/>
      <c r="AK126" s="1326"/>
      <c r="AL126" s="1331"/>
      <c r="AM126" s="1325" t="str">
        <f>'PIM Model'!$AH$26</f>
        <v/>
      </c>
      <c r="AN126" s="1326"/>
      <c r="AO126" s="1326"/>
      <c r="AP126" s="1326"/>
      <c r="AQ126" s="1326"/>
      <c r="AR126" s="1326"/>
      <c r="AS126" s="1327"/>
      <c r="BF126" s="144"/>
    </row>
    <row r="127" spans="2:58" x14ac:dyDescent="0.25">
      <c r="B127" s="143"/>
      <c r="D127" s="1333" t="s">
        <v>94</v>
      </c>
      <c r="E127" s="1334"/>
      <c r="F127" s="1334"/>
      <c r="G127" s="1334"/>
      <c r="H127" s="1334"/>
      <c r="I127" s="1334"/>
      <c r="J127" s="1334"/>
      <c r="K127" s="1334"/>
      <c r="L127" s="1334"/>
      <c r="M127" s="1334"/>
      <c r="N127" s="1334"/>
      <c r="O127" s="1334"/>
      <c r="P127" s="1334"/>
      <c r="Q127" s="1334"/>
      <c r="R127" s="1334"/>
      <c r="S127" s="1334"/>
      <c r="T127" s="1335"/>
      <c r="U127" s="1332" t="str">
        <f>IF('PIM Model'!$B$27=0,"",'PIM Model'!$B$27)</f>
        <v/>
      </c>
      <c r="V127" s="1257"/>
      <c r="W127" s="1257"/>
      <c r="X127" s="1257"/>
      <c r="Y127" s="1257"/>
      <c r="Z127" s="1257" t="str">
        <f>'PIM Model'!$AF$27</f>
        <v/>
      </c>
      <c r="AA127" s="1257"/>
      <c r="AB127" s="1257"/>
      <c r="AC127" s="1257"/>
      <c r="AD127" s="1257"/>
      <c r="AE127" s="1257"/>
      <c r="AF127" s="1325" t="str">
        <f>'PIM Model'!$AG$27</f>
        <v/>
      </c>
      <c r="AG127" s="1326"/>
      <c r="AH127" s="1326"/>
      <c r="AI127" s="1326"/>
      <c r="AJ127" s="1326"/>
      <c r="AK127" s="1326"/>
      <c r="AL127" s="1331"/>
      <c r="AM127" s="1325" t="str">
        <f>'PIM Model'!$AH$27</f>
        <v/>
      </c>
      <c r="AN127" s="1326"/>
      <c r="AO127" s="1326"/>
      <c r="AP127" s="1326"/>
      <c r="AQ127" s="1326"/>
      <c r="AR127" s="1326"/>
      <c r="AS127" s="1327"/>
      <c r="BF127" s="144"/>
    </row>
    <row r="128" spans="2:58" x14ac:dyDescent="0.25">
      <c r="B128" s="143"/>
      <c r="D128" s="1333" t="s">
        <v>86</v>
      </c>
      <c r="E128" s="1334"/>
      <c r="F128" s="1334"/>
      <c r="G128" s="1334"/>
      <c r="H128" s="1334"/>
      <c r="I128" s="1334"/>
      <c r="J128" s="1334"/>
      <c r="K128" s="1334"/>
      <c r="L128" s="1334"/>
      <c r="M128" s="1334"/>
      <c r="N128" s="1334"/>
      <c r="O128" s="1334"/>
      <c r="P128" s="1334"/>
      <c r="Q128" s="1334"/>
      <c r="R128" s="1334"/>
      <c r="S128" s="1334"/>
      <c r="T128" s="1335"/>
      <c r="U128" s="1332" t="str">
        <f>IF('PIM Model'!$B$28=0,"",'PIM Model'!$B$28)</f>
        <v/>
      </c>
      <c r="V128" s="1257"/>
      <c r="W128" s="1257"/>
      <c r="X128" s="1257"/>
      <c r="Y128" s="1257"/>
      <c r="Z128" s="1257" t="str">
        <f>'PIM Model'!$AF$28</f>
        <v/>
      </c>
      <c r="AA128" s="1257"/>
      <c r="AB128" s="1257"/>
      <c r="AC128" s="1257"/>
      <c r="AD128" s="1257"/>
      <c r="AE128" s="1257"/>
      <c r="AF128" s="1325" t="str">
        <f>'PIM Model'!$AG$28</f>
        <v/>
      </c>
      <c r="AG128" s="1326"/>
      <c r="AH128" s="1326"/>
      <c r="AI128" s="1326"/>
      <c r="AJ128" s="1326"/>
      <c r="AK128" s="1326"/>
      <c r="AL128" s="1331"/>
      <c r="AM128" s="1325" t="str">
        <f>'PIM Model'!$AH$28</f>
        <v/>
      </c>
      <c r="AN128" s="1326"/>
      <c r="AO128" s="1326"/>
      <c r="AP128" s="1326"/>
      <c r="AQ128" s="1326"/>
      <c r="AR128" s="1326"/>
      <c r="AS128" s="1327"/>
      <c r="BF128" s="144"/>
    </row>
    <row r="129" spans="2:58" x14ac:dyDescent="0.25">
      <c r="B129" s="143"/>
      <c r="D129" s="1333" t="s">
        <v>88</v>
      </c>
      <c r="E129" s="1334"/>
      <c r="F129" s="1334"/>
      <c r="G129" s="1334"/>
      <c r="H129" s="1334"/>
      <c r="I129" s="1334"/>
      <c r="J129" s="1334"/>
      <c r="K129" s="1334"/>
      <c r="L129" s="1334"/>
      <c r="M129" s="1334"/>
      <c r="N129" s="1334"/>
      <c r="O129" s="1334"/>
      <c r="P129" s="1334"/>
      <c r="Q129" s="1334"/>
      <c r="R129" s="1334"/>
      <c r="S129" s="1334"/>
      <c r="T129" s="1335"/>
      <c r="U129" s="1332" t="str">
        <f>IF('PIM Model'!$B$29=0,"",'PIM Model'!$B$29)</f>
        <v/>
      </c>
      <c r="V129" s="1257"/>
      <c r="W129" s="1257"/>
      <c r="X129" s="1257"/>
      <c r="Y129" s="1257"/>
      <c r="Z129" s="1257" t="str">
        <f>'PIM Model'!$AF$29</f>
        <v/>
      </c>
      <c r="AA129" s="1257"/>
      <c r="AB129" s="1257"/>
      <c r="AC129" s="1257"/>
      <c r="AD129" s="1257"/>
      <c r="AE129" s="1257"/>
      <c r="AF129" s="1325" t="str">
        <f>'PIM Model'!$AG$29</f>
        <v/>
      </c>
      <c r="AG129" s="1326"/>
      <c r="AH129" s="1326"/>
      <c r="AI129" s="1326"/>
      <c r="AJ129" s="1326"/>
      <c r="AK129" s="1326"/>
      <c r="AL129" s="1331"/>
      <c r="AM129" s="1325" t="str">
        <f>'PIM Model'!$AH$29</f>
        <v/>
      </c>
      <c r="AN129" s="1326"/>
      <c r="AO129" s="1326"/>
      <c r="AP129" s="1326"/>
      <c r="AQ129" s="1326"/>
      <c r="AR129" s="1326"/>
      <c r="AS129" s="1327"/>
      <c r="BF129" s="144"/>
    </row>
    <row r="130" spans="2:58" ht="15.75" thickBot="1" x14ac:dyDescent="0.3">
      <c r="B130" s="143"/>
      <c r="D130" s="1339" t="s">
        <v>87</v>
      </c>
      <c r="E130" s="1340"/>
      <c r="F130" s="1340"/>
      <c r="G130" s="1340"/>
      <c r="H130" s="1340"/>
      <c r="I130" s="1340"/>
      <c r="J130" s="1340"/>
      <c r="K130" s="1340"/>
      <c r="L130" s="1340"/>
      <c r="M130" s="1340"/>
      <c r="N130" s="1340"/>
      <c r="O130" s="1340"/>
      <c r="P130" s="1340"/>
      <c r="Q130" s="1340"/>
      <c r="R130" s="1340"/>
      <c r="S130" s="1340"/>
      <c r="T130" s="1341"/>
      <c r="U130" s="1336" t="str">
        <f>IF('PIM Model'!$B$30=0,"",'PIM Model'!$B$30)</f>
        <v/>
      </c>
      <c r="V130" s="1329"/>
      <c r="W130" s="1329"/>
      <c r="X130" s="1329"/>
      <c r="Y130" s="1329"/>
      <c r="Z130" s="1329" t="str">
        <f>'PIM Model'!$AF$30</f>
        <v/>
      </c>
      <c r="AA130" s="1329"/>
      <c r="AB130" s="1329"/>
      <c r="AC130" s="1329"/>
      <c r="AD130" s="1329"/>
      <c r="AE130" s="1329"/>
      <c r="AF130" s="1317" t="str">
        <f>'PIM Model'!$AG$30</f>
        <v/>
      </c>
      <c r="AG130" s="1318"/>
      <c r="AH130" s="1318"/>
      <c r="AI130" s="1318"/>
      <c r="AJ130" s="1318"/>
      <c r="AK130" s="1318"/>
      <c r="AL130" s="1319"/>
      <c r="AM130" s="1317" t="str">
        <f>'PIM Model'!$AH$30</f>
        <v/>
      </c>
      <c r="AN130" s="1318"/>
      <c r="AO130" s="1318"/>
      <c r="AP130" s="1318"/>
      <c r="AQ130" s="1318"/>
      <c r="AR130" s="1318"/>
      <c r="AS130" s="1328"/>
      <c r="BF130" s="144"/>
    </row>
    <row r="131" spans="2:58" ht="16.5" thickTop="1" thickBot="1" x14ac:dyDescent="0.3">
      <c r="B131" s="143"/>
      <c r="D131" s="1308" t="s">
        <v>1050</v>
      </c>
      <c r="E131" s="1309"/>
      <c r="F131" s="1309"/>
      <c r="G131" s="1309"/>
      <c r="H131" s="1309"/>
      <c r="I131" s="1309"/>
      <c r="J131" s="1309"/>
      <c r="K131" s="1309"/>
      <c r="L131" s="1309"/>
      <c r="M131" s="1309"/>
      <c r="N131" s="1309"/>
      <c r="O131" s="1309"/>
      <c r="P131" s="1309"/>
      <c r="Q131" s="1309"/>
      <c r="R131" s="1309"/>
      <c r="S131" s="1309"/>
      <c r="T131" s="1310"/>
      <c r="U131" s="1311">
        <f>COUNT($U$110:$Y$130)</f>
        <v>0</v>
      </c>
      <c r="V131" s="1312"/>
      <c r="W131" s="1312"/>
      <c r="X131" s="1312"/>
      <c r="Y131" s="1312"/>
      <c r="Z131" s="1309">
        <f>COUNTIF($Z$110:$AE$130,"ABOVE")+COUNTIF($Z$110:$AE$130,"BELOW")</f>
        <v>0</v>
      </c>
      <c r="AA131" s="1309"/>
      <c r="AB131" s="1309"/>
      <c r="AC131" s="1309"/>
      <c r="AD131" s="1309"/>
      <c r="AE131" s="1309"/>
      <c r="AF131" s="1313"/>
      <c r="AG131" s="1314"/>
      <c r="AH131" s="1314"/>
      <c r="AI131" s="1314"/>
      <c r="AJ131" s="1314"/>
      <c r="AK131" s="1314"/>
      <c r="AL131" s="1315"/>
      <c r="AM131" s="1313"/>
      <c r="AN131" s="1314"/>
      <c r="AO131" s="1314"/>
      <c r="AP131" s="1314"/>
      <c r="AQ131" s="1314"/>
      <c r="AR131" s="1314"/>
      <c r="AS131" s="131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704</v>
      </c>
      <c r="B1" s="64" t="s">
        <v>703</v>
      </c>
      <c r="C1" s="64" t="s">
        <v>750</v>
      </c>
      <c r="D1" s="64" t="s">
        <v>702</v>
      </c>
      <c r="E1" s="64" t="s">
        <v>701</v>
      </c>
      <c r="F1" s="66" t="s">
        <v>700</v>
      </c>
      <c r="G1" s="66" t="s">
        <v>699</v>
      </c>
      <c r="H1" s="64" t="s">
        <v>698</v>
      </c>
      <c r="I1" s="64" t="s">
        <v>697</v>
      </c>
      <c r="J1" s="64" t="s">
        <v>696</v>
      </c>
      <c r="K1" s="65" t="s">
        <v>695</v>
      </c>
      <c r="L1" s="64" t="s">
        <v>694</v>
      </c>
      <c r="M1" s="64" t="s">
        <v>693</v>
      </c>
      <c r="N1" s="64" t="s">
        <v>692</v>
      </c>
      <c r="O1" s="64" t="s">
        <v>691</v>
      </c>
      <c r="P1" s="64" t="s">
        <v>690</v>
      </c>
    </row>
    <row r="2" spans="1:16" x14ac:dyDescent="0.25">
      <c r="A2" s="63">
        <v>15</v>
      </c>
      <c r="B2" s="63">
        <v>0</v>
      </c>
      <c r="C2" s="63">
        <v>0</v>
      </c>
      <c r="D2" s="63" t="s">
        <v>687</v>
      </c>
      <c r="E2" s="63" t="s">
        <v>686</v>
      </c>
      <c r="F2" s="76" t="str">
        <f>'PIM Model'!$AD$11</f>
        <v/>
      </c>
      <c r="G2" s="69" t="str">
        <f>F2</f>
        <v/>
      </c>
      <c r="H2" s="76" t="str">
        <f>IF('PIM Model'!$D$11="$/LB","#","%")</f>
        <v>%</v>
      </c>
      <c r="I2" s="72" t="s">
        <v>689</v>
      </c>
      <c r="J2">
        <f>'MDA Worksheet'!$AU$48</f>
        <v>2.25</v>
      </c>
      <c r="K2" s="1090">
        <f>'MDA Worksheet'!$AU$46*100</f>
        <v>30</v>
      </c>
      <c r="L2" s="63" t="s">
        <v>493</v>
      </c>
    </row>
    <row r="3" spans="1:16" x14ac:dyDescent="0.25">
      <c r="A3" s="63">
        <v>15</v>
      </c>
      <c r="B3" s="63">
        <v>131</v>
      </c>
      <c r="C3" s="63">
        <v>0</v>
      </c>
      <c r="D3" s="63" t="s">
        <v>687</v>
      </c>
      <c r="E3" s="63" t="s">
        <v>686</v>
      </c>
      <c r="F3" s="76" t="str">
        <f>'PIM Model'!$AD$12</f>
        <v/>
      </c>
      <c r="G3" s="69" t="str">
        <f t="shared" ref="G3:G68" si="0">F3</f>
        <v/>
      </c>
      <c r="H3" s="76" t="str">
        <f>IF('PIM Model'!$D$12="$/LB","#","%")</f>
        <v>%</v>
      </c>
      <c r="I3" s="72" t="s">
        <v>689</v>
      </c>
      <c r="J3" s="1054">
        <f>'MDA Worksheet'!$AU$48</f>
        <v>2.25</v>
      </c>
      <c r="K3" s="1090">
        <f>'MDA Worksheet'!$AU$46*100</f>
        <v>30</v>
      </c>
      <c r="L3" s="63" t="s">
        <v>493</v>
      </c>
    </row>
    <row r="4" spans="1:16" x14ac:dyDescent="0.25">
      <c r="A4" s="63">
        <v>15</v>
      </c>
      <c r="B4" s="63">
        <v>254</v>
      </c>
      <c r="C4" s="63">
        <v>0</v>
      </c>
      <c r="D4" s="63" t="s">
        <v>687</v>
      </c>
      <c r="E4" s="63" t="s">
        <v>686</v>
      </c>
      <c r="F4" s="76" t="str">
        <f>'PIM Model'!$AD$12</f>
        <v/>
      </c>
      <c r="G4" s="69" t="str">
        <f t="shared" si="0"/>
        <v/>
      </c>
      <c r="H4" s="76" t="str">
        <f>IF('PIM Model'!$D$12="$/LB","#","%")</f>
        <v>%</v>
      </c>
      <c r="I4" s="72" t="s">
        <v>689</v>
      </c>
      <c r="J4" s="1054">
        <f>'MDA Worksheet'!$AU$48</f>
        <v>2.25</v>
      </c>
      <c r="K4" s="1090">
        <f>'MDA Worksheet'!$AU$46*100</f>
        <v>30</v>
      </c>
      <c r="L4" s="63" t="s">
        <v>493</v>
      </c>
    </row>
    <row r="5" spans="1:16" x14ac:dyDescent="0.25">
      <c r="A5" s="63">
        <v>15</v>
      </c>
      <c r="B5" s="63">
        <v>373</v>
      </c>
      <c r="C5" s="63">
        <v>0</v>
      </c>
      <c r="D5" s="63" t="s">
        <v>687</v>
      </c>
      <c r="E5" s="63" t="s">
        <v>686</v>
      </c>
      <c r="F5" s="76" t="str">
        <f>'PIM Model'!$AD$12</f>
        <v/>
      </c>
      <c r="G5" s="69" t="str">
        <f t="shared" si="0"/>
        <v/>
      </c>
      <c r="H5" s="76" t="str">
        <f>IF('PIM Model'!$D$12="$/LB","#","%")</f>
        <v>%</v>
      </c>
      <c r="I5" s="72" t="s">
        <v>689</v>
      </c>
      <c r="J5" s="1054">
        <f>'MDA Worksheet'!$AU$48</f>
        <v>2.25</v>
      </c>
      <c r="K5" s="1090">
        <f>'MDA Worksheet'!$AU$46*100</f>
        <v>30</v>
      </c>
      <c r="L5" s="63" t="s">
        <v>493</v>
      </c>
    </row>
    <row r="6" spans="1:16" x14ac:dyDescent="0.25">
      <c r="A6" s="63">
        <v>15</v>
      </c>
      <c r="B6" s="63">
        <v>132</v>
      </c>
      <c r="C6" s="63">
        <v>0</v>
      </c>
      <c r="D6" s="63" t="s">
        <v>687</v>
      </c>
      <c r="E6" s="63" t="s">
        <v>686</v>
      </c>
      <c r="F6" s="76" t="str">
        <f>'PIM Model'!$AD$12</f>
        <v/>
      </c>
      <c r="G6" s="69" t="str">
        <f t="shared" si="0"/>
        <v/>
      </c>
      <c r="H6" s="76" t="str">
        <f>IF('PIM Model'!$D$12="$/LB","#","%")</f>
        <v>%</v>
      </c>
      <c r="I6" s="72" t="s">
        <v>689</v>
      </c>
      <c r="J6" s="1054">
        <f>'MDA Worksheet'!$AU$48</f>
        <v>2.25</v>
      </c>
      <c r="K6" s="1090">
        <f>'MDA Worksheet'!$AU$46*100</f>
        <v>30</v>
      </c>
      <c r="L6" s="63" t="s">
        <v>493</v>
      </c>
    </row>
    <row r="7" spans="1:16" x14ac:dyDescent="0.25">
      <c r="A7" s="63">
        <v>15</v>
      </c>
      <c r="B7" s="63">
        <v>368</v>
      </c>
      <c r="C7" s="63">
        <v>0</v>
      </c>
      <c r="D7" s="63" t="s">
        <v>687</v>
      </c>
      <c r="E7" s="63" t="s">
        <v>686</v>
      </c>
      <c r="F7" s="76" t="str">
        <f>'PIM Model'!$AD$12</f>
        <v/>
      </c>
      <c r="G7" s="69" t="str">
        <f t="shared" si="0"/>
        <v/>
      </c>
      <c r="H7" s="76" t="str">
        <f>IF('PIM Model'!$D$12="$/LB","#","%")</f>
        <v>%</v>
      </c>
      <c r="I7" s="72" t="s">
        <v>689</v>
      </c>
      <c r="J7" s="1054">
        <f>'MDA Worksheet'!$AU$48</f>
        <v>2.25</v>
      </c>
      <c r="K7" s="1090">
        <f>'MDA Worksheet'!$AU$46*100</f>
        <v>30</v>
      </c>
      <c r="L7" s="63" t="s">
        <v>493</v>
      </c>
    </row>
    <row r="8" spans="1:16" x14ac:dyDescent="0.25">
      <c r="A8" s="63">
        <v>15</v>
      </c>
      <c r="B8" s="63">
        <v>369</v>
      </c>
      <c r="C8" s="63">
        <v>0</v>
      </c>
      <c r="D8" s="63" t="s">
        <v>687</v>
      </c>
      <c r="E8" s="63" t="s">
        <v>686</v>
      </c>
      <c r="F8" s="76" t="str">
        <f>'PIM Model'!$AD$12</f>
        <v/>
      </c>
      <c r="G8" s="69" t="str">
        <f t="shared" si="0"/>
        <v/>
      </c>
      <c r="H8" s="76" t="str">
        <f>IF('PIM Model'!$D$12="$/LB","#","%")</f>
        <v>%</v>
      </c>
      <c r="I8" s="72" t="s">
        <v>689</v>
      </c>
      <c r="J8" s="1054">
        <f>'MDA Worksheet'!$AU$48</f>
        <v>2.25</v>
      </c>
      <c r="K8" s="1090">
        <f>'MDA Worksheet'!$AU$46*100</f>
        <v>30</v>
      </c>
      <c r="L8" s="63" t="s">
        <v>493</v>
      </c>
    </row>
    <row r="9" spans="1:16" x14ac:dyDescent="0.25">
      <c r="A9" s="63">
        <v>15</v>
      </c>
      <c r="B9" s="63">
        <v>384</v>
      </c>
      <c r="C9" s="63">
        <v>0</v>
      </c>
      <c r="D9" s="63" t="s">
        <v>687</v>
      </c>
      <c r="E9" s="63" t="s">
        <v>686</v>
      </c>
      <c r="F9" s="76" t="str">
        <f>'PIM Model'!$AD$12</f>
        <v/>
      </c>
      <c r="G9" s="69" t="str">
        <f t="shared" si="0"/>
        <v/>
      </c>
      <c r="H9" s="76" t="str">
        <f>IF('PIM Model'!$D$12="$/LB","#","%")</f>
        <v>%</v>
      </c>
      <c r="I9" s="72" t="s">
        <v>689</v>
      </c>
      <c r="J9" s="1054">
        <f>'MDA Worksheet'!$AU$48</f>
        <v>2.25</v>
      </c>
      <c r="K9" s="1090">
        <f>'MDA Worksheet'!$AU$46*100</f>
        <v>30</v>
      </c>
      <c r="L9" s="63" t="s">
        <v>493</v>
      </c>
    </row>
    <row r="10" spans="1:16" x14ac:dyDescent="0.25">
      <c r="A10" s="63">
        <v>15</v>
      </c>
      <c r="B10" s="63">
        <v>381</v>
      </c>
      <c r="C10" s="63">
        <v>0</v>
      </c>
      <c r="D10" s="63" t="s">
        <v>687</v>
      </c>
      <c r="E10" s="63" t="s">
        <v>686</v>
      </c>
      <c r="F10" s="76" t="str">
        <f>'PIM Model'!$AD$12</f>
        <v/>
      </c>
      <c r="G10" s="69" t="str">
        <f t="shared" si="0"/>
        <v/>
      </c>
      <c r="H10" s="76" t="str">
        <f>IF('PIM Model'!$D$12="$/LB","#","%")</f>
        <v>%</v>
      </c>
      <c r="I10" s="72" t="s">
        <v>689</v>
      </c>
      <c r="J10" s="1054">
        <f>'MDA Worksheet'!$AU$48</f>
        <v>2.25</v>
      </c>
      <c r="K10" s="1090">
        <f>'MDA Worksheet'!$AU$46*100</f>
        <v>30</v>
      </c>
      <c r="L10" s="63" t="s">
        <v>493</v>
      </c>
    </row>
    <row r="11" spans="1:16" x14ac:dyDescent="0.25">
      <c r="A11" s="63">
        <v>15</v>
      </c>
      <c r="B11" s="63">
        <v>377</v>
      </c>
      <c r="C11" s="63">
        <v>0</v>
      </c>
      <c r="D11" s="63" t="s">
        <v>687</v>
      </c>
      <c r="E11" s="63" t="s">
        <v>686</v>
      </c>
      <c r="F11" s="76" t="str">
        <f>'PIM Model'!$AD$12</f>
        <v/>
      </c>
      <c r="G11" s="69" t="str">
        <f t="shared" si="0"/>
        <v/>
      </c>
      <c r="H11" s="76" t="str">
        <f>IF('PIM Model'!$D$12="$/LB","#","%")</f>
        <v>%</v>
      </c>
      <c r="I11" s="72" t="s">
        <v>689</v>
      </c>
      <c r="J11" s="1054">
        <f>'MDA Worksheet'!$AU$48</f>
        <v>2.25</v>
      </c>
      <c r="K11" s="1090">
        <f>'MDA Worksheet'!$AU$46*100</f>
        <v>30</v>
      </c>
      <c r="L11" s="63" t="s">
        <v>493</v>
      </c>
    </row>
    <row r="12" spans="1:16" x14ac:dyDescent="0.25">
      <c r="A12" s="63">
        <v>15</v>
      </c>
      <c r="B12" s="63">
        <v>388</v>
      </c>
      <c r="C12" s="63">
        <v>0</v>
      </c>
      <c r="D12" s="63" t="s">
        <v>687</v>
      </c>
      <c r="E12" s="63" t="s">
        <v>686</v>
      </c>
      <c r="F12" s="76" t="str">
        <f>'PIM Model'!$AD$12</f>
        <v/>
      </c>
      <c r="G12" s="69" t="str">
        <f t="shared" si="0"/>
        <v/>
      </c>
      <c r="H12" s="76" t="str">
        <f>IF('PIM Model'!$D$12="$/LB","#","%")</f>
        <v>%</v>
      </c>
      <c r="I12" s="72" t="s">
        <v>689</v>
      </c>
      <c r="J12" s="1054">
        <f>'MDA Worksheet'!$AU$48</f>
        <v>2.25</v>
      </c>
      <c r="K12" s="1090">
        <f>'MDA Worksheet'!$AU$46*100</f>
        <v>30</v>
      </c>
      <c r="L12" s="63" t="s">
        <v>493</v>
      </c>
    </row>
    <row r="13" spans="1:16" x14ac:dyDescent="0.25">
      <c r="A13" s="63">
        <v>16</v>
      </c>
      <c r="B13" s="63">
        <v>0</v>
      </c>
      <c r="C13" s="63">
        <v>0</v>
      </c>
      <c r="D13" s="63" t="s">
        <v>685</v>
      </c>
      <c r="E13" s="63" t="str">
        <f>IF('PRIME Headers'!$C$20="No","PWW","P07")</f>
        <v>P07</v>
      </c>
      <c r="F13" s="70" t="str">
        <f>'PIM Model'!$AD$13</f>
        <v/>
      </c>
      <c r="G13" s="69" t="str">
        <f t="shared" si="0"/>
        <v/>
      </c>
      <c r="H13" s="76" t="str">
        <f>'PIM Model'!$D$13</f>
        <v>%</v>
      </c>
      <c r="I13" s="72" t="s">
        <v>689</v>
      </c>
      <c r="J13" s="1054">
        <f>'MDA Worksheet'!$AU$48</f>
        <v>2.25</v>
      </c>
      <c r="K13" s="1090">
        <f>'MDA Worksheet'!$AU$46*100</f>
        <v>30</v>
      </c>
      <c r="L13" s="63" t="s">
        <v>493</v>
      </c>
    </row>
    <row r="14" spans="1:16" x14ac:dyDescent="0.25">
      <c r="A14" s="63">
        <v>16</v>
      </c>
      <c r="B14" s="63">
        <v>135</v>
      </c>
      <c r="C14" s="63">
        <v>0</v>
      </c>
      <c r="D14" s="63" t="s">
        <v>687</v>
      </c>
      <c r="E14" s="63" t="s">
        <v>686</v>
      </c>
      <c r="F14" s="70" t="str">
        <f>'PIM Model'!$AD$13</f>
        <v/>
      </c>
      <c r="G14" s="69" t="str">
        <f t="shared" si="0"/>
        <v/>
      </c>
      <c r="H14" s="76" t="str">
        <f>'PIM Model'!$D$13</f>
        <v>%</v>
      </c>
      <c r="I14" s="72" t="s">
        <v>689</v>
      </c>
      <c r="J14" s="1054">
        <f>'MDA Worksheet'!$AU$48</f>
        <v>2.25</v>
      </c>
      <c r="K14" s="1090">
        <f>'MDA Worksheet'!$AU$46*100</f>
        <v>30</v>
      </c>
      <c r="L14" s="63" t="s">
        <v>493</v>
      </c>
    </row>
    <row r="15" spans="1:16" x14ac:dyDescent="0.25">
      <c r="A15" s="63">
        <v>16</v>
      </c>
      <c r="B15" s="63">
        <v>136</v>
      </c>
      <c r="C15" s="63">
        <v>7626</v>
      </c>
      <c r="D15" s="63" t="s">
        <v>687</v>
      </c>
      <c r="E15" s="63" t="s">
        <v>686</v>
      </c>
      <c r="F15" s="70" t="str">
        <f>'PIM Model'!$AD$13</f>
        <v/>
      </c>
      <c r="G15" s="69" t="str">
        <f t="shared" si="0"/>
        <v/>
      </c>
      <c r="H15" s="76" t="str">
        <f>'PIM Model'!$D$13</f>
        <v>%</v>
      </c>
      <c r="I15" s="72" t="s">
        <v>689</v>
      </c>
      <c r="J15" s="1054">
        <f>'MDA Worksheet'!$AU$48</f>
        <v>2.25</v>
      </c>
      <c r="K15" s="1090">
        <f>'MDA Worksheet'!$AU$46*100</f>
        <v>30</v>
      </c>
      <c r="L15" s="63" t="s">
        <v>493</v>
      </c>
    </row>
    <row r="16" spans="1:16" x14ac:dyDescent="0.25">
      <c r="A16" s="63">
        <v>16</v>
      </c>
      <c r="B16" s="63">
        <v>136</v>
      </c>
      <c r="C16" s="63">
        <v>7627</v>
      </c>
      <c r="D16" s="63" t="s">
        <v>687</v>
      </c>
      <c r="E16" s="63" t="s">
        <v>686</v>
      </c>
      <c r="F16" s="70" t="str">
        <f>'PIM Model'!$AD$13</f>
        <v/>
      </c>
      <c r="G16" s="69" t="str">
        <f t="shared" si="0"/>
        <v/>
      </c>
      <c r="H16" s="76" t="str">
        <f>'PIM Model'!$D$13</f>
        <v>%</v>
      </c>
      <c r="I16" s="72" t="s">
        <v>689</v>
      </c>
      <c r="J16" s="1054">
        <f>'MDA Worksheet'!$AU$48</f>
        <v>2.25</v>
      </c>
      <c r="K16" s="1090">
        <f>'MDA Worksheet'!$AU$46*100</f>
        <v>30</v>
      </c>
      <c r="L16" s="63" t="s">
        <v>493</v>
      </c>
    </row>
    <row r="17" spans="1:12" x14ac:dyDescent="0.25">
      <c r="A17" s="63">
        <v>16</v>
      </c>
      <c r="B17" s="63">
        <v>136</v>
      </c>
      <c r="C17" s="63">
        <v>7628</v>
      </c>
      <c r="D17" s="63" t="s">
        <v>687</v>
      </c>
      <c r="E17" s="63" t="s">
        <v>686</v>
      </c>
      <c r="F17" s="70" t="str">
        <f>'PIM Model'!$AD$13</f>
        <v/>
      </c>
      <c r="G17" s="69" t="str">
        <f t="shared" si="0"/>
        <v/>
      </c>
      <c r="H17" s="76" t="str">
        <f>'PIM Model'!$D$13</f>
        <v>%</v>
      </c>
      <c r="I17" s="72" t="s">
        <v>689</v>
      </c>
      <c r="J17" s="1054">
        <f>'MDA Worksheet'!$AU$48</f>
        <v>2.25</v>
      </c>
      <c r="K17" s="1090">
        <f>'MDA Worksheet'!$AU$46*100</f>
        <v>30</v>
      </c>
      <c r="L17" s="63" t="s">
        <v>493</v>
      </c>
    </row>
    <row r="18" spans="1:12" x14ac:dyDescent="0.25">
      <c r="A18" s="63">
        <v>16</v>
      </c>
      <c r="B18" s="63">
        <v>136</v>
      </c>
      <c r="C18" s="63">
        <v>7629</v>
      </c>
      <c r="D18" s="63" t="s">
        <v>687</v>
      </c>
      <c r="E18" s="63" t="s">
        <v>686</v>
      </c>
      <c r="F18" s="70" t="str">
        <f>'PIM Model'!$AD$13</f>
        <v/>
      </c>
      <c r="G18" s="69" t="str">
        <f t="shared" si="0"/>
        <v/>
      </c>
      <c r="H18" s="76" t="str">
        <f>'PIM Model'!$D$13</f>
        <v>%</v>
      </c>
      <c r="I18" s="72" t="s">
        <v>689</v>
      </c>
      <c r="J18" s="1054">
        <f>'MDA Worksheet'!$AU$48</f>
        <v>2.25</v>
      </c>
      <c r="K18" s="1090">
        <f>'MDA Worksheet'!$AU$46*100</f>
        <v>30</v>
      </c>
      <c r="L18" s="63" t="s">
        <v>493</v>
      </c>
    </row>
    <row r="19" spans="1:12" x14ac:dyDescent="0.25">
      <c r="A19" s="63">
        <v>16</v>
      </c>
      <c r="B19" s="63">
        <v>136</v>
      </c>
      <c r="C19" s="63">
        <v>7643</v>
      </c>
      <c r="D19" s="63" t="s">
        <v>687</v>
      </c>
      <c r="E19" s="63" t="s">
        <v>686</v>
      </c>
      <c r="F19" s="70" t="str">
        <f>'PIM Model'!$AD$13</f>
        <v/>
      </c>
      <c r="G19" s="69" t="str">
        <f t="shared" si="0"/>
        <v/>
      </c>
      <c r="H19" s="76" t="str">
        <f>'PIM Model'!$D$13</f>
        <v>%</v>
      </c>
      <c r="I19" s="72" t="s">
        <v>689</v>
      </c>
      <c r="J19" s="1054">
        <f>'MDA Worksheet'!$AU$48</f>
        <v>2.25</v>
      </c>
      <c r="K19" s="1090">
        <f>'MDA Worksheet'!$AU$46*100</f>
        <v>30</v>
      </c>
      <c r="L19" s="63" t="s">
        <v>493</v>
      </c>
    </row>
    <row r="20" spans="1:12" x14ac:dyDescent="0.25">
      <c r="A20" s="63">
        <v>16</v>
      </c>
      <c r="B20" s="63">
        <v>136</v>
      </c>
      <c r="C20" s="63">
        <v>7644</v>
      </c>
      <c r="D20" s="63" t="s">
        <v>687</v>
      </c>
      <c r="E20" s="63" t="s">
        <v>686</v>
      </c>
      <c r="F20" s="70" t="str">
        <f>'PIM Model'!$AD$13</f>
        <v/>
      </c>
      <c r="G20" s="69" t="str">
        <f t="shared" si="0"/>
        <v/>
      </c>
      <c r="H20" s="76" t="str">
        <f>'PIM Model'!$D$13</f>
        <v>%</v>
      </c>
      <c r="I20" s="72" t="s">
        <v>689</v>
      </c>
      <c r="J20" s="1054">
        <f>'MDA Worksheet'!$AU$48</f>
        <v>2.25</v>
      </c>
      <c r="K20" s="1090">
        <f>'MDA Worksheet'!$AU$46*100</f>
        <v>30</v>
      </c>
      <c r="L20" s="63" t="s">
        <v>493</v>
      </c>
    </row>
    <row r="21" spans="1:12" x14ac:dyDescent="0.25">
      <c r="A21" s="63">
        <v>16</v>
      </c>
      <c r="B21" s="63">
        <v>136</v>
      </c>
      <c r="C21" s="63">
        <v>7645</v>
      </c>
      <c r="D21" s="63" t="s">
        <v>687</v>
      </c>
      <c r="E21" s="63" t="s">
        <v>686</v>
      </c>
      <c r="F21" s="70" t="str">
        <f>'PIM Model'!$AD$13</f>
        <v/>
      </c>
      <c r="G21" s="69" t="str">
        <f t="shared" si="0"/>
        <v/>
      </c>
      <c r="H21" s="76" t="str">
        <f>'PIM Model'!$D$13</f>
        <v>%</v>
      </c>
      <c r="I21" s="72" t="s">
        <v>689</v>
      </c>
      <c r="J21" s="1054">
        <f>'MDA Worksheet'!$AU$48</f>
        <v>2.25</v>
      </c>
      <c r="K21" s="1090">
        <f>'MDA Worksheet'!$AU$46*100</f>
        <v>30</v>
      </c>
      <c r="L21" s="63" t="s">
        <v>493</v>
      </c>
    </row>
    <row r="22" spans="1:12" x14ac:dyDescent="0.25">
      <c r="A22" s="63">
        <v>16</v>
      </c>
      <c r="B22" s="63">
        <v>136</v>
      </c>
      <c r="C22" s="63">
        <v>7646</v>
      </c>
      <c r="D22" s="63" t="s">
        <v>687</v>
      </c>
      <c r="E22" s="63" t="s">
        <v>686</v>
      </c>
      <c r="F22" s="70" t="str">
        <f>'PIM Model'!$AD$13</f>
        <v/>
      </c>
      <c r="G22" s="69" t="str">
        <f t="shared" si="0"/>
        <v/>
      </c>
      <c r="H22" s="76" t="str">
        <f>'PIM Model'!$D$13</f>
        <v>%</v>
      </c>
      <c r="I22" s="72" t="s">
        <v>689</v>
      </c>
      <c r="J22" s="1054">
        <f>'MDA Worksheet'!$AU$48</f>
        <v>2.25</v>
      </c>
      <c r="K22" s="1090">
        <f>'MDA Worksheet'!$AU$46*100</f>
        <v>30</v>
      </c>
      <c r="L22" s="63" t="s">
        <v>493</v>
      </c>
    </row>
    <row r="23" spans="1:12" x14ac:dyDescent="0.25">
      <c r="A23" s="63">
        <v>16</v>
      </c>
      <c r="B23" s="63">
        <v>136</v>
      </c>
      <c r="C23" s="63">
        <v>7647</v>
      </c>
      <c r="D23" s="63" t="s">
        <v>687</v>
      </c>
      <c r="E23" s="63" t="s">
        <v>686</v>
      </c>
      <c r="F23" s="70" t="str">
        <f>'PIM Model'!$AD$13</f>
        <v/>
      </c>
      <c r="G23" s="69" t="str">
        <f t="shared" si="0"/>
        <v/>
      </c>
      <c r="H23" s="76" t="str">
        <f>'PIM Model'!$D$13</f>
        <v>%</v>
      </c>
      <c r="I23" s="72" t="s">
        <v>689</v>
      </c>
      <c r="J23" s="1054">
        <f>'MDA Worksheet'!$AU$48</f>
        <v>2.25</v>
      </c>
      <c r="K23" s="1090">
        <f>'MDA Worksheet'!$AU$46*100</f>
        <v>30</v>
      </c>
      <c r="L23" s="63" t="s">
        <v>493</v>
      </c>
    </row>
    <row r="24" spans="1:12" x14ac:dyDescent="0.25">
      <c r="A24" s="63">
        <v>16</v>
      </c>
      <c r="B24" s="63">
        <v>136</v>
      </c>
      <c r="C24" s="63">
        <v>7648</v>
      </c>
      <c r="D24" s="63" t="s">
        <v>687</v>
      </c>
      <c r="E24" s="63" t="s">
        <v>686</v>
      </c>
      <c r="F24" s="70" t="str">
        <f>'PIM Model'!$AD$13</f>
        <v/>
      </c>
      <c r="G24" s="69" t="str">
        <f t="shared" si="0"/>
        <v/>
      </c>
      <c r="H24" s="76" t="str">
        <f>'PIM Model'!$D$13</f>
        <v>%</v>
      </c>
      <c r="I24" s="72" t="s">
        <v>689</v>
      </c>
      <c r="J24" s="1054">
        <f>'MDA Worksheet'!$AU$48</f>
        <v>2.25</v>
      </c>
      <c r="K24" s="1090">
        <f>'MDA Worksheet'!$AU$46*100</f>
        <v>30</v>
      </c>
      <c r="L24" s="63" t="s">
        <v>493</v>
      </c>
    </row>
    <row r="25" spans="1:12" x14ac:dyDescent="0.25">
      <c r="A25" s="63">
        <v>16</v>
      </c>
      <c r="B25" s="63">
        <v>136</v>
      </c>
      <c r="C25" s="63">
        <v>7649</v>
      </c>
      <c r="D25" s="63" t="s">
        <v>687</v>
      </c>
      <c r="E25" s="63" t="s">
        <v>686</v>
      </c>
      <c r="F25" s="70" t="str">
        <f>'PIM Model'!$AD$13</f>
        <v/>
      </c>
      <c r="G25" s="69" t="str">
        <f t="shared" si="0"/>
        <v/>
      </c>
      <c r="H25" s="76" t="str">
        <f>'PIM Model'!$D$13</f>
        <v>%</v>
      </c>
      <c r="I25" s="72" t="s">
        <v>689</v>
      </c>
      <c r="J25" s="1054">
        <f>'MDA Worksheet'!$AU$48</f>
        <v>2.25</v>
      </c>
      <c r="K25" s="1090">
        <f>'MDA Worksheet'!$AU$46*100</f>
        <v>30</v>
      </c>
      <c r="L25" s="63" t="s">
        <v>493</v>
      </c>
    </row>
    <row r="26" spans="1:12" x14ac:dyDescent="0.25">
      <c r="A26" s="63">
        <v>16</v>
      </c>
      <c r="B26" s="63">
        <v>136</v>
      </c>
      <c r="C26" s="63">
        <v>7738</v>
      </c>
      <c r="D26" s="63" t="s">
        <v>687</v>
      </c>
      <c r="E26" s="63" t="s">
        <v>686</v>
      </c>
      <c r="F26" s="70" t="str">
        <f>'PIM Model'!$AD$13</f>
        <v/>
      </c>
      <c r="G26" s="69" t="str">
        <f t="shared" si="0"/>
        <v/>
      </c>
      <c r="H26" s="76" t="str">
        <f>'PIM Model'!$D$13</f>
        <v>%</v>
      </c>
      <c r="I26" s="72" t="s">
        <v>689</v>
      </c>
      <c r="J26" s="1054">
        <f>'MDA Worksheet'!$AU$48</f>
        <v>2.25</v>
      </c>
      <c r="K26" s="1090">
        <f>'MDA Worksheet'!$AU$46*100</f>
        <v>30</v>
      </c>
      <c r="L26" s="63" t="s">
        <v>493</v>
      </c>
    </row>
    <row r="27" spans="1:12" x14ac:dyDescent="0.25">
      <c r="A27" s="63">
        <v>16</v>
      </c>
      <c r="B27" s="63">
        <v>136</v>
      </c>
      <c r="C27" s="63">
        <v>7739</v>
      </c>
      <c r="D27" s="63" t="s">
        <v>687</v>
      </c>
      <c r="E27" s="63" t="s">
        <v>686</v>
      </c>
      <c r="F27" s="70" t="str">
        <f>'PIM Model'!$AD$13</f>
        <v/>
      </c>
      <c r="G27" s="69" t="str">
        <f t="shared" si="0"/>
        <v/>
      </c>
      <c r="H27" s="76" t="str">
        <f>'PIM Model'!$D$13</f>
        <v>%</v>
      </c>
      <c r="I27" s="72" t="s">
        <v>689</v>
      </c>
      <c r="J27" s="1054">
        <f>'MDA Worksheet'!$AU$48</f>
        <v>2.25</v>
      </c>
      <c r="K27" s="1090">
        <f>'MDA Worksheet'!$AU$46*100</f>
        <v>30</v>
      </c>
      <c r="L27" s="63" t="s">
        <v>493</v>
      </c>
    </row>
    <row r="28" spans="1:12" x14ac:dyDescent="0.25">
      <c r="A28" s="63">
        <v>16</v>
      </c>
      <c r="B28" s="63">
        <v>136</v>
      </c>
      <c r="C28" s="63">
        <v>7744</v>
      </c>
      <c r="D28" s="63" t="s">
        <v>687</v>
      </c>
      <c r="E28" s="63" t="s">
        <v>686</v>
      </c>
      <c r="F28" s="70" t="str">
        <f>'PIM Model'!$AD$13</f>
        <v/>
      </c>
      <c r="G28" s="69" t="str">
        <f t="shared" si="0"/>
        <v/>
      </c>
      <c r="H28" s="76" t="str">
        <f>'PIM Model'!$D$13</f>
        <v>%</v>
      </c>
      <c r="I28" s="72" t="s">
        <v>689</v>
      </c>
      <c r="J28" s="1054">
        <f>'MDA Worksheet'!$AU$48</f>
        <v>2.25</v>
      </c>
      <c r="K28" s="1090">
        <f>'MDA Worksheet'!$AU$46*100</f>
        <v>30</v>
      </c>
      <c r="L28" s="63" t="s">
        <v>493</v>
      </c>
    </row>
    <row r="29" spans="1:12" x14ac:dyDescent="0.25">
      <c r="A29" s="63">
        <v>16</v>
      </c>
      <c r="B29" s="63">
        <v>136</v>
      </c>
      <c r="C29" s="63">
        <v>7745</v>
      </c>
      <c r="D29" s="63" t="s">
        <v>687</v>
      </c>
      <c r="E29" s="63" t="s">
        <v>686</v>
      </c>
      <c r="F29" s="70" t="str">
        <f>'PIM Model'!$AD$13</f>
        <v/>
      </c>
      <c r="G29" s="69" t="str">
        <f t="shared" si="0"/>
        <v/>
      </c>
      <c r="H29" s="76" t="str">
        <f>'PIM Model'!$D$13</f>
        <v>%</v>
      </c>
      <c r="I29" s="72" t="s">
        <v>689</v>
      </c>
      <c r="J29" s="1054">
        <f>'MDA Worksheet'!$AU$48</f>
        <v>2.25</v>
      </c>
      <c r="K29" s="1090">
        <f>'MDA Worksheet'!$AU$46*100</f>
        <v>30</v>
      </c>
      <c r="L29" s="63" t="s">
        <v>493</v>
      </c>
    </row>
    <row r="30" spans="1:12" x14ac:dyDescent="0.25">
      <c r="A30" s="63">
        <v>16</v>
      </c>
      <c r="B30" s="63">
        <v>136</v>
      </c>
      <c r="C30" s="63">
        <v>7746</v>
      </c>
      <c r="D30" s="63" t="s">
        <v>687</v>
      </c>
      <c r="E30" s="63" t="s">
        <v>686</v>
      </c>
      <c r="F30" s="70" t="str">
        <f>'PIM Model'!$AD$13</f>
        <v/>
      </c>
      <c r="G30" s="69" t="str">
        <f t="shared" si="0"/>
        <v/>
      </c>
      <c r="H30" s="76" t="str">
        <f>'PIM Model'!$D$13</f>
        <v>%</v>
      </c>
      <c r="I30" s="72" t="s">
        <v>689</v>
      </c>
      <c r="J30" s="1054">
        <f>'MDA Worksheet'!$AU$48</f>
        <v>2.25</v>
      </c>
      <c r="K30" s="1090">
        <f>'MDA Worksheet'!$AU$46*100</f>
        <v>30</v>
      </c>
      <c r="L30" s="63" t="s">
        <v>493</v>
      </c>
    </row>
    <row r="31" spans="1:12" x14ac:dyDescent="0.25">
      <c r="A31" s="63">
        <v>16</v>
      </c>
      <c r="B31" s="63">
        <v>136</v>
      </c>
      <c r="C31" s="63">
        <v>8216</v>
      </c>
      <c r="D31" s="63" t="s">
        <v>687</v>
      </c>
      <c r="E31" s="63" t="s">
        <v>686</v>
      </c>
      <c r="F31" s="70" t="str">
        <f>'PIM Model'!$AD$13</f>
        <v/>
      </c>
      <c r="G31" s="69" t="str">
        <f t="shared" ref="G31:G32" si="1">F31</f>
        <v/>
      </c>
      <c r="H31" s="76" t="str">
        <f>'PIM Model'!$D$13</f>
        <v>%</v>
      </c>
      <c r="I31" s="72" t="s">
        <v>689</v>
      </c>
      <c r="J31" s="1054">
        <f>'MDA Worksheet'!$AU$48</f>
        <v>2.25</v>
      </c>
      <c r="K31" s="1090">
        <f>'MDA Worksheet'!$AU$46*100</f>
        <v>30</v>
      </c>
      <c r="L31" s="63" t="s">
        <v>493</v>
      </c>
    </row>
    <row r="32" spans="1:12" x14ac:dyDescent="0.25">
      <c r="A32" s="63">
        <v>16</v>
      </c>
      <c r="B32" s="63">
        <v>136</v>
      </c>
      <c r="C32" s="63">
        <v>8219</v>
      </c>
      <c r="D32" s="63" t="s">
        <v>687</v>
      </c>
      <c r="E32" s="63" t="s">
        <v>686</v>
      </c>
      <c r="F32" s="70" t="str">
        <f>'PIM Model'!$AD$13</f>
        <v/>
      </c>
      <c r="G32" s="69" t="str">
        <f t="shared" si="1"/>
        <v/>
      </c>
      <c r="H32" s="76" t="str">
        <f>'PIM Model'!$D$13</f>
        <v>%</v>
      </c>
      <c r="I32" s="72" t="s">
        <v>689</v>
      </c>
      <c r="J32" s="1054">
        <f>'MDA Worksheet'!$AU$48</f>
        <v>2.25</v>
      </c>
      <c r="K32" s="1090">
        <f>'MDA Worksheet'!$AU$46*100</f>
        <v>30</v>
      </c>
      <c r="L32" s="63" t="s">
        <v>493</v>
      </c>
    </row>
    <row r="33" spans="1:12" x14ac:dyDescent="0.25">
      <c r="A33" s="63">
        <v>17</v>
      </c>
      <c r="B33" s="63">
        <v>0</v>
      </c>
      <c r="C33" s="63">
        <v>0</v>
      </c>
      <c r="D33" s="63" t="s">
        <v>685</v>
      </c>
      <c r="E33" s="63" t="str">
        <f>IF('PRIME Headers'!$C$20="No","PWW","P07")</f>
        <v>P07</v>
      </c>
      <c r="F33" s="70" t="str">
        <f>'PIM Model'!$AD$19</f>
        <v/>
      </c>
      <c r="G33" s="69" t="str">
        <f t="shared" si="0"/>
        <v/>
      </c>
      <c r="H33" s="76" t="str">
        <f>'PIM Model'!$D$19</f>
        <v>%</v>
      </c>
      <c r="I33" s="72" t="s">
        <v>689</v>
      </c>
      <c r="J33" s="1054">
        <f>'MDA Worksheet'!$AU$48</f>
        <v>2.25</v>
      </c>
      <c r="K33" s="1090">
        <f>'MDA Worksheet'!$AU$46*100</f>
        <v>30</v>
      </c>
      <c r="L33" s="63" t="s">
        <v>493</v>
      </c>
    </row>
    <row r="34" spans="1:12" x14ac:dyDescent="0.25">
      <c r="A34" s="63">
        <v>18</v>
      </c>
      <c r="B34" s="63">
        <v>0</v>
      </c>
      <c r="C34" s="63">
        <v>0</v>
      </c>
      <c r="D34" s="63" t="s">
        <v>687</v>
      </c>
      <c r="E34" s="63" t="s">
        <v>686</v>
      </c>
      <c r="F34" s="70" t="str">
        <f>'PIM Model'!$AD$14</f>
        <v/>
      </c>
      <c r="G34" s="69" t="str">
        <f t="shared" si="0"/>
        <v/>
      </c>
      <c r="H34" s="76" t="str">
        <f>'PIM Model'!$D$14</f>
        <v>%</v>
      </c>
      <c r="I34" s="72" t="s">
        <v>689</v>
      </c>
      <c r="J34" s="1054">
        <f>'MDA Worksheet'!$AU$48</f>
        <v>2.25</v>
      </c>
      <c r="K34" s="1090">
        <f>'MDA Worksheet'!$AU$46*100</f>
        <v>30</v>
      </c>
      <c r="L34" s="63" t="s">
        <v>493</v>
      </c>
    </row>
    <row r="35" spans="1:12" x14ac:dyDescent="0.25">
      <c r="A35" s="63">
        <v>19</v>
      </c>
      <c r="B35" s="63">
        <v>0</v>
      </c>
      <c r="C35" s="63">
        <v>0</v>
      </c>
      <c r="D35" s="63" t="s">
        <v>685</v>
      </c>
      <c r="E35" s="63" t="str">
        <f>IF('PRIME Headers'!$C$20="No","PWW","P07")</f>
        <v>P07</v>
      </c>
      <c r="F35" s="70" t="str">
        <f>'PIM Model'!$AD$15</f>
        <v/>
      </c>
      <c r="G35" s="69" t="str">
        <f t="shared" si="0"/>
        <v/>
      </c>
      <c r="H35" s="76" t="str">
        <f>'PIM Model'!$D$15</f>
        <v>%</v>
      </c>
      <c r="I35" s="72" t="s">
        <v>689</v>
      </c>
      <c r="J35" s="1054">
        <f>'MDA Worksheet'!$AU$48</f>
        <v>2.25</v>
      </c>
      <c r="K35" s="1090">
        <f>'MDA Worksheet'!$AU$46*100</f>
        <v>30</v>
      </c>
      <c r="L35" s="63" t="s">
        <v>493</v>
      </c>
    </row>
    <row r="36" spans="1:12" x14ac:dyDescent="0.25">
      <c r="A36" s="63">
        <v>20</v>
      </c>
      <c r="B36" s="63">
        <v>0</v>
      </c>
      <c r="C36" s="63">
        <v>0</v>
      </c>
      <c r="D36" s="63" t="s">
        <v>685</v>
      </c>
      <c r="E36" s="63" t="str">
        <f>IF('PRIME Headers'!$C$20="No","PWW","P07")</f>
        <v>P07</v>
      </c>
      <c r="F36" s="69" t="str">
        <f>'PIM Model'!$AD$10</f>
        <v/>
      </c>
      <c r="G36" s="69" t="str">
        <f t="shared" si="0"/>
        <v/>
      </c>
      <c r="H36" s="76" t="str">
        <f>'PIM Model'!$D$10</f>
        <v>%</v>
      </c>
      <c r="I36" s="72" t="s">
        <v>689</v>
      </c>
      <c r="J36" s="1054">
        <f>'MDA Worksheet'!$AU$48</f>
        <v>2.25</v>
      </c>
      <c r="K36" s="1090">
        <f>'MDA Worksheet'!$AU$46*100</f>
        <v>30</v>
      </c>
      <c r="L36" s="63" t="s">
        <v>493</v>
      </c>
    </row>
    <row r="37" spans="1:12" x14ac:dyDescent="0.25">
      <c r="A37" s="63">
        <v>21</v>
      </c>
      <c r="B37" s="63">
        <v>0</v>
      </c>
      <c r="C37" s="63">
        <v>0</v>
      </c>
      <c r="D37" s="63" t="s">
        <v>687</v>
      </c>
      <c r="E37" s="63" t="s">
        <v>686</v>
      </c>
      <c r="F37" s="70" t="str">
        <f>'PIM Model'!$AD$16</f>
        <v/>
      </c>
      <c r="G37" s="69" t="str">
        <f>F37</f>
        <v/>
      </c>
      <c r="H37" s="76" t="str">
        <f>'PIM Model'!$D$16</f>
        <v>%</v>
      </c>
      <c r="I37" s="72" t="s">
        <v>689</v>
      </c>
      <c r="J37" s="1054">
        <f>'MDA Worksheet'!$AU$48</f>
        <v>2.25</v>
      </c>
      <c r="K37" s="1090">
        <f>'MDA Worksheet'!$AU$46*100</f>
        <v>30</v>
      </c>
      <c r="L37" s="63" t="s">
        <v>493</v>
      </c>
    </row>
    <row r="38" spans="1:12" x14ac:dyDescent="0.25">
      <c r="A38" s="63">
        <v>21</v>
      </c>
      <c r="B38" s="63">
        <v>158</v>
      </c>
      <c r="C38" s="63">
        <v>1957</v>
      </c>
      <c r="D38" s="63" t="s">
        <v>685</v>
      </c>
      <c r="E38" s="63" t="str">
        <f>IF('PRIME Headers'!$C$20="No","PWW","P07")</f>
        <v>P07</v>
      </c>
      <c r="F38" s="70" t="str">
        <f>'PIM Model'!$AD$16</f>
        <v/>
      </c>
      <c r="G38" s="69" t="str">
        <f t="shared" si="0"/>
        <v/>
      </c>
      <c r="H38" s="76" t="str">
        <f>'PIM Model'!$D$16</f>
        <v>%</v>
      </c>
      <c r="I38" s="72" t="s">
        <v>689</v>
      </c>
      <c r="J38" s="1054">
        <f>'MDA Worksheet'!$AU$48</f>
        <v>2.25</v>
      </c>
      <c r="K38" s="1090">
        <f>'MDA Worksheet'!$AU$46*100</f>
        <v>30</v>
      </c>
      <c r="L38" s="63" t="s">
        <v>493</v>
      </c>
    </row>
    <row r="39" spans="1:12" x14ac:dyDescent="0.25">
      <c r="A39" s="63">
        <v>21</v>
      </c>
      <c r="B39" s="63">
        <v>158</v>
      </c>
      <c r="C39" s="63">
        <v>5800</v>
      </c>
      <c r="D39" s="63" t="s">
        <v>685</v>
      </c>
      <c r="E39" s="63" t="str">
        <f>IF('PRIME Headers'!$C$20="No","PWW","P07")</f>
        <v>P07</v>
      </c>
      <c r="F39" s="70" t="str">
        <f>'PIM Model'!$AD$16</f>
        <v/>
      </c>
      <c r="G39" s="69" t="str">
        <f t="shared" si="0"/>
        <v/>
      </c>
      <c r="H39" s="76" t="str">
        <f>'PIM Model'!$D$16</f>
        <v>%</v>
      </c>
      <c r="I39" s="72" t="s">
        <v>689</v>
      </c>
      <c r="J39" s="1054">
        <f>'MDA Worksheet'!$AU$48</f>
        <v>2.25</v>
      </c>
      <c r="K39" s="1090">
        <f>'MDA Worksheet'!$AU$46*100</f>
        <v>30</v>
      </c>
      <c r="L39" s="63" t="s">
        <v>493</v>
      </c>
    </row>
    <row r="40" spans="1:12" x14ac:dyDescent="0.25">
      <c r="A40" s="63">
        <v>21</v>
      </c>
      <c r="B40" s="63">
        <v>161</v>
      </c>
      <c r="C40" s="63">
        <v>0</v>
      </c>
      <c r="D40" s="63" t="s">
        <v>685</v>
      </c>
      <c r="E40" s="63" t="str">
        <f>IF('PRIME Headers'!$C$20="No","PWW","P07")</f>
        <v>P07</v>
      </c>
      <c r="F40" s="70" t="str">
        <f>'PIM Model'!$AD$16</f>
        <v/>
      </c>
      <c r="G40" s="69" t="str">
        <f t="shared" si="0"/>
        <v/>
      </c>
      <c r="H40" s="76" t="str">
        <f>'PIM Model'!$D$16</f>
        <v>%</v>
      </c>
      <c r="I40" s="72" t="s">
        <v>689</v>
      </c>
      <c r="J40" s="1054">
        <f>'MDA Worksheet'!$AU$48</f>
        <v>2.25</v>
      </c>
      <c r="K40" s="1090">
        <f>'MDA Worksheet'!$AU$46*100</f>
        <v>30</v>
      </c>
      <c r="L40" s="63" t="s">
        <v>493</v>
      </c>
    </row>
    <row r="41" spans="1:12" x14ac:dyDescent="0.25">
      <c r="A41" s="63">
        <v>21</v>
      </c>
      <c r="B41" s="63">
        <v>162</v>
      </c>
      <c r="C41" s="63">
        <v>1622</v>
      </c>
      <c r="D41" s="63" t="s">
        <v>685</v>
      </c>
      <c r="E41" s="63" t="str">
        <f>IF('PRIME Headers'!$C$20="No","PWW","P07")</f>
        <v>P07</v>
      </c>
      <c r="F41" s="70" t="str">
        <f>'PIM Model'!$AD$16</f>
        <v/>
      </c>
      <c r="G41" s="69" t="str">
        <f t="shared" si="0"/>
        <v/>
      </c>
      <c r="H41" s="76" t="str">
        <f>'PIM Model'!$D$16</f>
        <v>%</v>
      </c>
      <c r="I41" s="72" t="s">
        <v>689</v>
      </c>
      <c r="J41" s="1054">
        <f>'MDA Worksheet'!$AU$48</f>
        <v>2.25</v>
      </c>
      <c r="K41" s="1090">
        <f>'MDA Worksheet'!$AU$46*100</f>
        <v>30</v>
      </c>
      <c r="L41" s="63" t="s">
        <v>493</v>
      </c>
    </row>
    <row r="42" spans="1:12" x14ac:dyDescent="0.25">
      <c r="A42" s="63">
        <v>21</v>
      </c>
      <c r="B42" s="63">
        <v>162</v>
      </c>
      <c r="C42" s="63">
        <v>1623</v>
      </c>
      <c r="D42" s="63" t="s">
        <v>685</v>
      </c>
      <c r="E42" s="63" t="str">
        <f>IF('PRIME Headers'!$C$20="No","PWW","P07")</f>
        <v>P07</v>
      </c>
      <c r="F42" s="70" t="str">
        <f>'PIM Model'!$AD$16</f>
        <v/>
      </c>
      <c r="G42" s="69" t="str">
        <f t="shared" si="0"/>
        <v/>
      </c>
      <c r="H42" s="76" t="str">
        <f>'PIM Model'!$D$16</f>
        <v>%</v>
      </c>
      <c r="I42" s="72" t="s">
        <v>689</v>
      </c>
      <c r="J42" s="1054">
        <f>'MDA Worksheet'!$AU$48</f>
        <v>2.25</v>
      </c>
      <c r="K42" s="1090">
        <f>'MDA Worksheet'!$AU$46*100</f>
        <v>30</v>
      </c>
      <c r="L42" s="63" t="s">
        <v>493</v>
      </c>
    </row>
    <row r="43" spans="1:12" x14ac:dyDescent="0.25">
      <c r="A43" s="63">
        <v>21</v>
      </c>
      <c r="B43" s="63">
        <v>162</v>
      </c>
      <c r="C43" s="63">
        <v>3490</v>
      </c>
      <c r="D43" s="63" t="s">
        <v>685</v>
      </c>
      <c r="E43" s="63" t="str">
        <f>IF('PRIME Headers'!$C$20="No","PWW","P07")</f>
        <v>P07</v>
      </c>
      <c r="F43" s="70" t="str">
        <f>'PIM Model'!$AD$16</f>
        <v/>
      </c>
      <c r="G43" s="69" t="str">
        <f t="shared" si="0"/>
        <v/>
      </c>
      <c r="H43" s="76" t="str">
        <f>'PIM Model'!$D$16</f>
        <v>%</v>
      </c>
      <c r="I43" s="72" t="s">
        <v>689</v>
      </c>
      <c r="J43" s="1054">
        <f>'MDA Worksheet'!$AU$48</f>
        <v>2.25</v>
      </c>
      <c r="K43" s="1090">
        <f>'MDA Worksheet'!$AU$46*100</f>
        <v>30</v>
      </c>
      <c r="L43" s="63" t="s">
        <v>493</v>
      </c>
    </row>
    <row r="44" spans="1:12" x14ac:dyDescent="0.25">
      <c r="A44" s="63">
        <v>21</v>
      </c>
      <c r="B44" s="63">
        <v>162</v>
      </c>
      <c r="C44" s="63">
        <v>3500</v>
      </c>
      <c r="D44" s="63" t="s">
        <v>685</v>
      </c>
      <c r="E44" s="63" t="str">
        <f>IF('PRIME Headers'!$C$20="No","PWW","P07")</f>
        <v>P07</v>
      </c>
      <c r="F44" s="70" t="str">
        <f>'PIM Model'!$AD$16</f>
        <v/>
      </c>
      <c r="G44" s="69" t="str">
        <f t="shared" si="0"/>
        <v/>
      </c>
      <c r="H44" s="76" t="str">
        <f>'PIM Model'!$D$16</f>
        <v>%</v>
      </c>
      <c r="I44" s="72" t="s">
        <v>689</v>
      </c>
      <c r="J44" s="1054">
        <f>'MDA Worksheet'!$AU$48</f>
        <v>2.25</v>
      </c>
      <c r="K44" s="1090">
        <f>'MDA Worksheet'!$AU$46*100</f>
        <v>30</v>
      </c>
      <c r="L44" s="63" t="s">
        <v>493</v>
      </c>
    </row>
    <row r="45" spans="1:12" x14ac:dyDescent="0.25">
      <c r="A45" s="63">
        <v>21</v>
      </c>
      <c r="B45" s="63">
        <v>162</v>
      </c>
      <c r="C45" s="63">
        <v>7625</v>
      </c>
      <c r="D45" s="63" t="s">
        <v>685</v>
      </c>
      <c r="E45" s="63" t="str">
        <f>IF('PRIME Headers'!$C$20="No","PWW","P07")</f>
        <v>P07</v>
      </c>
      <c r="F45" s="70" t="str">
        <f>'PIM Model'!$AD$16</f>
        <v/>
      </c>
      <c r="G45" s="69" t="str">
        <f t="shared" si="0"/>
        <v/>
      </c>
      <c r="H45" s="76" t="str">
        <f>'PIM Model'!$D$16</f>
        <v>%</v>
      </c>
      <c r="I45" s="72" t="s">
        <v>689</v>
      </c>
      <c r="J45" s="1054">
        <f>'MDA Worksheet'!$AU$48</f>
        <v>2.25</v>
      </c>
      <c r="K45" s="1090">
        <f>'MDA Worksheet'!$AU$46*100</f>
        <v>30</v>
      </c>
      <c r="L45" s="63" t="s">
        <v>493</v>
      </c>
    </row>
    <row r="46" spans="1:12" x14ac:dyDescent="0.25">
      <c r="A46" s="63">
        <v>21</v>
      </c>
      <c r="B46" s="63">
        <v>162</v>
      </c>
      <c r="C46" s="63">
        <v>7636</v>
      </c>
      <c r="D46" s="63" t="s">
        <v>685</v>
      </c>
      <c r="E46" s="63" t="str">
        <f>IF('PRIME Headers'!$C$20="No","PWW","P07")</f>
        <v>P07</v>
      </c>
      <c r="F46" s="70" t="str">
        <f>'PIM Model'!$AD$16</f>
        <v/>
      </c>
      <c r="G46" s="69" t="str">
        <f t="shared" si="0"/>
        <v/>
      </c>
      <c r="H46" s="76" t="str">
        <f>'PIM Model'!$D$16</f>
        <v>%</v>
      </c>
      <c r="I46" s="72" t="s">
        <v>689</v>
      </c>
      <c r="J46" s="1054">
        <f>'MDA Worksheet'!$AU$48</f>
        <v>2.25</v>
      </c>
      <c r="K46" s="1090">
        <f>'MDA Worksheet'!$AU$46*100</f>
        <v>30</v>
      </c>
      <c r="L46" s="63" t="s">
        <v>493</v>
      </c>
    </row>
    <row r="47" spans="1:12" x14ac:dyDescent="0.25">
      <c r="A47" s="63">
        <v>22</v>
      </c>
      <c r="B47" s="63">
        <v>0</v>
      </c>
      <c r="C47" s="63">
        <v>0</v>
      </c>
      <c r="D47" s="63" t="s">
        <v>685</v>
      </c>
      <c r="E47" s="63" t="str">
        <f>IF('PRIME Headers'!$C$20="No","PWW","P07")</f>
        <v>P07</v>
      </c>
      <c r="F47" s="70" t="str">
        <f>'PIM Model'!$AD$20</f>
        <v/>
      </c>
      <c r="G47" s="69" t="str">
        <f t="shared" si="0"/>
        <v/>
      </c>
      <c r="H47" s="76" t="str">
        <f>'PIM Model'!$D$20</f>
        <v>%</v>
      </c>
      <c r="I47" s="72" t="s">
        <v>689</v>
      </c>
      <c r="J47" s="1054">
        <f>'MDA Worksheet'!$AU$48</f>
        <v>2.25</v>
      </c>
      <c r="K47" s="1090">
        <f>'MDA Worksheet'!$AU$46*100</f>
        <v>30</v>
      </c>
      <c r="L47" s="63" t="s">
        <v>493</v>
      </c>
    </row>
    <row r="48" spans="1:12" x14ac:dyDescent="0.25">
      <c r="A48" s="63">
        <v>22</v>
      </c>
      <c r="B48" s="63">
        <v>171</v>
      </c>
      <c r="C48" s="63">
        <v>1400</v>
      </c>
      <c r="D48" s="63" t="s">
        <v>687</v>
      </c>
      <c r="E48" s="63" t="s">
        <v>686</v>
      </c>
      <c r="F48" s="70" t="str">
        <f>'PIM Model'!$AD$20</f>
        <v/>
      </c>
      <c r="G48" s="69" t="str">
        <f t="shared" si="0"/>
        <v/>
      </c>
      <c r="H48" s="76" t="str">
        <f>'PIM Model'!$D$20</f>
        <v>%</v>
      </c>
      <c r="I48" s="72" t="s">
        <v>689</v>
      </c>
      <c r="J48" s="1054">
        <f>'MDA Worksheet'!$AU$48</f>
        <v>2.25</v>
      </c>
      <c r="K48" s="1090">
        <f>'MDA Worksheet'!$AU$46*100</f>
        <v>30</v>
      </c>
      <c r="L48" s="63" t="s">
        <v>493</v>
      </c>
    </row>
    <row r="49" spans="1:12" x14ac:dyDescent="0.25">
      <c r="A49" s="63">
        <v>22</v>
      </c>
      <c r="B49" s="63">
        <v>174</v>
      </c>
      <c r="C49" s="63">
        <v>1414</v>
      </c>
      <c r="D49" s="63" t="s">
        <v>687</v>
      </c>
      <c r="E49" s="63" t="s">
        <v>686</v>
      </c>
      <c r="F49" s="70" t="str">
        <f>'PIM Model'!$AD$20</f>
        <v/>
      </c>
      <c r="G49" s="69" t="str">
        <f t="shared" si="0"/>
        <v/>
      </c>
      <c r="H49" s="76" t="str">
        <f>'PIM Model'!$D$20</f>
        <v>%</v>
      </c>
      <c r="I49" s="72" t="s">
        <v>689</v>
      </c>
      <c r="J49" s="1054">
        <f>'MDA Worksheet'!$AU$48</f>
        <v>2.25</v>
      </c>
      <c r="K49" s="1090">
        <f>'MDA Worksheet'!$AU$46*100</f>
        <v>30</v>
      </c>
      <c r="L49" s="63" t="s">
        <v>493</v>
      </c>
    </row>
    <row r="50" spans="1:12" x14ac:dyDescent="0.25">
      <c r="A50" s="63">
        <v>22</v>
      </c>
      <c r="B50" s="63">
        <v>176</v>
      </c>
      <c r="C50" s="63">
        <v>0</v>
      </c>
      <c r="D50" s="63" t="s">
        <v>687</v>
      </c>
      <c r="E50" s="63" t="s">
        <v>686</v>
      </c>
      <c r="F50" s="70" t="str">
        <f>'PIM Model'!$AD$20</f>
        <v/>
      </c>
      <c r="G50" s="69" t="str">
        <f t="shared" si="0"/>
        <v/>
      </c>
      <c r="H50" s="76" t="str">
        <f>'PIM Model'!$D$20</f>
        <v>%</v>
      </c>
      <c r="I50" s="72" t="s">
        <v>689</v>
      </c>
      <c r="J50" s="1054">
        <f>'MDA Worksheet'!$AU$48</f>
        <v>2.25</v>
      </c>
      <c r="K50" s="1090">
        <f>'MDA Worksheet'!$AU$46*100</f>
        <v>30</v>
      </c>
      <c r="L50" s="63" t="s">
        <v>493</v>
      </c>
    </row>
    <row r="51" spans="1:12" x14ac:dyDescent="0.25">
      <c r="A51" s="63">
        <v>22</v>
      </c>
      <c r="B51" s="63">
        <v>177</v>
      </c>
      <c r="C51" s="63">
        <v>1886</v>
      </c>
      <c r="D51" s="63" t="s">
        <v>685</v>
      </c>
      <c r="E51" s="63" t="str">
        <f>IF('PRIME Headers'!$C$20="No","PWW","P07")</f>
        <v>P07</v>
      </c>
      <c r="F51" s="70" t="str">
        <f>'PIM Model'!$AD$20</f>
        <v/>
      </c>
      <c r="G51" s="69" t="str">
        <f t="shared" si="0"/>
        <v/>
      </c>
      <c r="H51" s="76" t="str">
        <f>'PIM Model'!$D$20</f>
        <v>%</v>
      </c>
      <c r="I51" s="72" t="s">
        <v>689</v>
      </c>
      <c r="J51" s="1054">
        <f>'MDA Worksheet'!$AU$48</f>
        <v>2.25</v>
      </c>
      <c r="K51" s="75">
        <v>0</v>
      </c>
      <c r="L51" s="75" t="s">
        <v>247</v>
      </c>
    </row>
    <row r="52" spans="1:12" x14ac:dyDescent="0.25">
      <c r="A52" s="63">
        <v>22</v>
      </c>
      <c r="B52" s="63">
        <v>177</v>
      </c>
      <c r="C52" s="63">
        <v>1908</v>
      </c>
      <c r="D52" s="63" t="s">
        <v>685</v>
      </c>
      <c r="E52" s="63" t="str">
        <f>IF('PRIME Headers'!$C$20="No","PWW","P07")</f>
        <v>P07</v>
      </c>
      <c r="F52" s="70" t="str">
        <f>'PIM Model'!$AD$20</f>
        <v/>
      </c>
      <c r="G52" s="69" t="str">
        <f t="shared" si="0"/>
        <v/>
      </c>
      <c r="H52" s="76" t="str">
        <f>'PIM Model'!$D$20</f>
        <v>%</v>
      </c>
      <c r="I52" s="72" t="s">
        <v>689</v>
      </c>
      <c r="J52" s="1054">
        <f>'MDA Worksheet'!$AU$48</f>
        <v>2.25</v>
      </c>
      <c r="K52" s="75">
        <v>0</v>
      </c>
      <c r="L52" s="75" t="s">
        <v>247</v>
      </c>
    </row>
    <row r="53" spans="1:12" x14ac:dyDescent="0.25">
      <c r="A53" s="63">
        <v>22</v>
      </c>
      <c r="B53" s="63">
        <v>177</v>
      </c>
      <c r="C53" s="63">
        <v>3340</v>
      </c>
      <c r="D53" s="63" t="s">
        <v>685</v>
      </c>
      <c r="E53" s="63" t="str">
        <f>IF('PRIME Headers'!$C$20="No","PWW","P07")</f>
        <v>P07</v>
      </c>
      <c r="F53" s="70" t="str">
        <f>'PIM Model'!$AD$20</f>
        <v/>
      </c>
      <c r="G53" s="69" t="str">
        <f t="shared" si="0"/>
        <v/>
      </c>
      <c r="H53" s="76" t="str">
        <f>'PIM Model'!$D$20</f>
        <v>%</v>
      </c>
      <c r="I53" s="72" t="s">
        <v>689</v>
      </c>
      <c r="J53" s="1054">
        <f>'MDA Worksheet'!$AU$48</f>
        <v>2.25</v>
      </c>
      <c r="K53" s="75">
        <v>0</v>
      </c>
      <c r="L53" s="75" t="s">
        <v>247</v>
      </c>
    </row>
    <row r="54" spans="1:12" x14ac:dyDescent="0.25">
      <c r="A54" s="63">
        <v>22</v>
      </c>
      <c r="B54" s="63">
        <v>177</v>
      </c>
      <c r="C54" s="63">
        <v>3820</v>
      </c>
      <c r="D54" s="63" t="s">
        <v>685</v>
      </c>
      <c r="E54" s="63" t="str">
        <f>IF('PRIME Headers'!$C$20="No","PWW","P07")</f>
        <v>P07</v>
      </c>
      <c r="F54" s="70" t="str">
        <f>'PIM Model'!$AD$20</f>
        <v/>
      </c>
      <c r="G54" s="69" t="str">
        <f t="shared" si="0"/>
        <v/>
      </c>
      <c r="H54" s="76" t="str">
        <f>'PIM Model'!$D$20</f>
        <v>%</v>
      </c>
      <c r="I54" s="72" t="s">
        <v>689</v>
      </c>
      <c r="J54" s="1054">
        <f>'MDA Worksheet'!$AU$48</f>
        <v>2.25</v>
      </c>
      <c r="K54" s="75">
        <v>0</v>
      </c>
      <c r="L54" s="75" t="s">
        <v>247</v>
      </c>
    </row>
    <row r="55" spans="1:12" x14ac:dyDescent="0.25">
      <c r="A55" s="63">
        <v>22</v>
      </c>
      <c r="B55" s="63">
        <v>177</v>
      </c>
      <c r="C55" s="63">
        <v>7733</v>
      </c>
      <c r="D55" s="63" t="s">
        <v>685</v>
      </c>
      <c r="E55" s="63" t="str">
        <f>IF('PRIME Headers'!$C$20="No","PWW","P07")</f>
        <v>P07</v>
      </c>
      <c r="F55" s="70" t="str">
        <f>'PIM Model'!$AD$20</f>
        <v/>
      </c>
      <c r="G55" s="69" t="str">
        <f t="shared" si="0"/>
        <v/>
      </c>
      <c r="H55" s="76" t="str">
        <f>'PIM Model'!$D$20</f>
        <v>%</v>
      </c>
      <c r="I55" s="72" t="s">
        <v>689</v>
      </c>
      <c r="J55" s="1054">
        <f>'MDA Worksheet'!$AU$48</f>
        <v>2.25</v>
      </c>
      <c r="K55" s="75">
        <v>0</v>
      </c>
      <c r="L55" s="75" t="s">
        <v>247</v>
      </c>
    </row>
    <row r="56" spans="1:12" x14ac:dyDescent="0.25">
      <c r="A56" s="63">
        <v>22</v>
      </c>
      <c r="B56" s="63">
        <v>180</v>
      </c>
      <c r="C56" s="63">
        <v>0</v>
      </c>
      <c r="D56" s="63" t="s">
        <v>687</v>
      </c>
      <c r="E56" s="63" t="s">
        <v>686</v>
      </c>
      <c r="F56" s="70" t="str">
        <f>'PIM Model'!$AD$20</f>
        <v/>
      </c>
      <c r="G56" s="69" t="str">
        <f t="shared" si="0"/>
        <v/>
      </c>
      <c r="H56" s="76" t="str">
        <f>'PIM Model'!$D$20</f>
        <v>%</v>
      </c>
      <c r="I56" s="72" t="s">
        <v>689</v>
      </c>
      <c r="J56" s="1054">
        <f>'MDA Worksheet'!$AU$48</f>
        <v>2.25</v>
      </c>
      <c r="K56" s="1090">
        <f>'MDA Worksheet'!$AU$46*100</f>
        <v>30</v>
      </c>
      <c r="L56" s="63" t="s">
        <v>493</v>
      </c>
    </row>
    <row r="57" spans="1:12" x14ac:dyDescent="0.25">
      <c r="A57" s="63">
        <v>22</v>
      </c>
      <c r="B57" s="63">
        <v>232</v>
      </c>
      <c r="C57" s="63">
        <v>1727</v>
      </c>
      <c r="D57" s="63" t="s">
        <v>687</v>
      </c>
      <c r="E57" s="63" t="s">
        <v>686</v>
      </c>
      <c r="F57" s="70" t="str">
        <f>'PIM Model'!$AD$20</f>
        <v/>
      </c>
      <c r="G57" s="69" t="str">
        <f t="shared" si="0"/>
        <v/>
      </c>
      <c r="H57" s="76" t="str">
        <f>'PIM Model'!$D$20</f>
        <v>%</v>
      </c>
      <c r="I57" s="72" t="s">
        <v>689</v>
      </c>
      <c r="J57" s="1054">
        <f>'MDA Worksheet'!$AU$48</f>
        <v>2.25</v>
      </c>
      <c r="K57" s="1090">
        <f>'MDA Worksheet'!$AU$46*100</f>
        <v>30</v>
      </c>
      <c r="L57" s="63" t="s">
        <v>493</v>
      </c>
    </row>
    <row r="58" spans="1:12" x14ac:dyDescent="0.25">
      <c r="A58" s="63">
        <v>22</v>
      </c>
      <c r="B58" s="63">
        <v>235</v>
      </c>
      <c r="C58" s="63">
        <v>1728</v>
      </c>
      <c r="D58" s="63" t="s">
        <v>687</v>
      </c>
      <c r="E58" s="63" t="s">
        <v>686</v>
      </c>
      <c r="F58" s="70" t="str">
        <f>'PIM Model'!$AD$20</f>
        <v/>
      </c>
      <c r="G58" s="69" t="str">
        <f t="shared" si="0"/>
        <v/>
      </c>
      <c r="H58" s="76" t="str">
        <f>'PIM Model'!$D$20</f>
        <v>%</v>
      </c>
      <c r="I58" s="72" t="s">
        <v>689</v>
      </c>
      <c r="J58" s="1054">
        <f>'MDA Worksheet'!$AU$48</f>
        <v>2.25</v>
      </c>
      <c r="K58" s="1090">
        <f>'MDA Worksheet'!$AU$46*100</f>
        <v>30</v>
      </c>
      <c r="L58" s="63" t="s">
        <v>493</v>
      </c>
    </row>
    <row r="59" spans="1:12" x14ac:dyDescent="0.25">
      <c r="A59" s="63">
        <v>23</v>
      </c>
      <c r="B59" s="63">
        <v>0</v>
      </c>
      <c r="C59" s="63">
        <v>0</v>
      </c>
      <c r="D59" s="63" t="s">
        <v>685</v>
      </c>
      <c r="E59" s="63" t="str">
        <f>IF('PRIME Headers'!$C$20="No","PWW","P07")</f>
        <v>P07</v>
      </c>
      <c r="F59" s="70" t="str">
        <f>'PIM Model'!$AD$18</f>
        <v/>
      </c>
      <c r="G59" s="69" t="str">
        <f>F59</f>
        <v/>
      </c>
      <c r="H59" s="76" t="str">
        <f>'PIM Model'!$D$18</f>
        <v>%</v>
      </c>
      <c r="I59" s="72" t="s">
        <v>689</v>
      </c>
      <c r="J59" s="1054">
        <f>'MDA Worksheet'!$AU$48</f>
        <v>2.25</v>
      </c>
      <c r="K59" s="1090">
        <f>'MDA Worksheet'!$AU$46*100</f>
        <v>30</v>
      </c>
      <c r="L59" s="63" t="s">
        <v>493</v>
      </c>
    </row>
    <row r="60" spans="1:12" x14ac:dyDescent="0.25">
      <c r="A60" s="63">
        <v>24</v>
      </c>
      <c r="B60" s="63">
        <v>0</v>
      </c>
      <c r="C60" s="63">
        <v>0</v>
      </c>
      <c r="D60" s="63" t="s">
        <v>685</v>
      </c>
      <c r="E60" s="63" t="str">
        <f>IF('PRIME Headers'!$C$20="No","PWW","P07")</f>
        <v>P07</v>
      </c>
      <c r="F60" s="70" t="str">
        <f>'PIM Model'!$AD$17</f>
        <v/>
      </c>
      <c r="G60" s="69" t="str">
        <f t="shared" si="0"/>
        <v/>
      </c>
      <c r="H60" s="76" t="str">
        <f>'PIM Model'!$D$17</f>
        <v>%</v>
      </c>
      <c r="I60" s="72" t="s">
        <v>689</v>
      </c>
      <c r="J60" s="1054">
        <f>'MDA Worksheet'!$AU$48</f>
        <v>2.25</v>
      </c>
      <c r="K60" s="1090">
        <f>'MDA Worksheet'!$AU$46*100</f>
        <v>30</v>
      </c>
      <c r="L60" s="63" t="s">
        <v>493</v>
      </c>
    </row>
    <row r="61" spans="1:12" x14ac:dyDescent="0.25">
      <c r="A61" s="63">
        <v>25</v>
      </c>
      <c r="B61" s="63">
        <v>0</v>
      </c>
      <c r="C61" s="63">
        <v>0</v>
      </c>
      <c r="D61" s="63" t="s">
        <v>687</v>
      </c>
      <c r="E61" s="63" t="s">
        <v>688</v>
      </c>
      <c r="F61" s="70" t="str">
        <f>'PIM Model'!$AD$27</f>
        <v/>
      </c>
      <c r="G61" s="69" t="str">
        <f t="shared" si="0"/>
        <v/>
      </c>
      <c r="H61" s="76" t="str">
        <f>IF('PIM Model'!$D$27="$/CS","$","%")</f>
        <v>%</v>
      </c>
      <c r="I61" s="72" t="s">
        <v>689</v>
      </c>
      <c r="J61" s="1054">
        <f>'MDA Worksheet'!$AU$48</f>
        <v>2.25</v>
      </c>
      <c r="K61" s="1090">
        <f>'MDA Worksheet'!$AU$46*100</f>
        <v>30</v>
      </c>
      <c r="L61" s="63" t="s">
        <v>493</v>
      </c>
    </row>
    <row r="62" spans="1:12" x14ac:dyDescent="0.25">
      <c r="A62" s="63">
        <v>26</v>
      </c>
      <c r="B62" s="63">
        <v>0</v>
      </c>
      <c r="C62" s="63">
        <v>0</v>
      </c>
      <c r="D62" s="63" t="s">
        <v>685</v>
      </c>
      <c r="E62" s="63" t="str">
        <f>IF('PRIME Headers'!$C$20="No","PWW","P07")</f>
        <v>P07</v>
      </c>
      <c r="F62" s="70" t="str">
        <f>'PIM Model'!$AD$21</f>
        <v/>
      </c>
      <c r="G62" s="69" t="str">
        <f t="shared" si="0"/>
        <v/>
      </c>
      <c r="H62" s="76" t="str">
        <f>'PIM Model'!$D$21</f>
        <v>%</v>
      </c>
      <c r="I62" s="72" t="s">
        <v>689</v>
      </c>
      <c r="J62" s="1054">
        <f>'MDA Worksheet'!$AU$48</f>
        <v>2.25</v>
      </c>
      <c r="K62" s="1090">
        <f>'MDA Worksheet'!$AU$46*100</f>
        <v>30</v>
      </c>
      <c r="L62" s="63" t="s">
        <v>493</v>
      </c>
    </row>
    <row r="63" spans="1:12" x14ac:dyDescent="0.25">
      <c r="A63" s="63">
        <v>26</v>
      </c>
      <c r="B63" s="63">
        <v>310</v>
      </c>
      <c r="C63" s="63">
        <v>5390</v>
      </c>
      <c r="D63" s="63" t="s">
        <v>687</v>
      </c>
      <c r="E63" s="63" t="s">
        <v>686</v>
      </c>
      <c r="F63" s="70" t="str">
        <f>'PIM Model'!$AD$21</f>
        <v/>
      </c>
      <c r="G63" s="69" t="str">
        <f t="shared" si="0"/>
        <v/>
      </c>
      <c r="H63" s="76" t="str">
        <f>'PIM Model'!$D$22</f>
        <v>%</v>
      </c>
      <c r="I63" s="72" t="s">
        <v>689</v>
      </c>
      <c r="J63" s="1054">
        <f>'MDA Worksheet'!$AU$48</f>
        <v>2.25</v>
      </c>
      <c r="K63" s="1090">
        <f>'MDA Worksheet'!$AU$46*100</f>
        <v>30</v>
      </c>
      <c r="L63" s="63" t="s">
        <v>493</v>
      </c>
    </row>
    <row r="64" spans="1:12" x14ac:dyDescent="0.25">
      <c r="A64" s="63">
        <v>29</v>
      </c>
      <c r="B64" s="63">
        <v>0</v>
      </c>
      <c r="C64" s="63">
        <v>0</v>
      </c>
      <c r="D64" s="63" t="s">
        <v>687</v>
      </c>
      <c r="E64" s="63" t="s">
        <v>686</v>
      </c>
      <c r="F64" s="70" t="str">
        <f>'PIM Model'!$AD$23</f>
        <v/>
      </c>
      <c r="G64" s="69" t="str">
        <f t="shared" si="0"/>
        <v/>
      </c>
      <c r="H64" s="76" t="str">
        <f>'PIM Model'!$D$23</f>
        <v>%</v>
      </c>
      <c r="I64" s="72" t="s">
        <v>689</v>
      </c>
      <c r="J64" s="1054">
        <f>'MDA Worksheet'!$AU$48</f>
        <v>2.25</v>
      </c>
      <c r="K64" s="1090">
        <f>'MDA Worksheet'!$AU$46*100</f>
        <v>30</v>
      </c>
      <c r="L64" s="63" t="s">
        <v>493</v>
      </c>
    </row>
    <row r="65" spans="1:12" x14ac:dyDescent="0.25">
      <c r="A65" s="63">
        <v>30</v>
      </c>
      <c r="B65" s="63">
        <v>0</v>
      </c>
      <c r="C65" s="63">
        <v>0</v>
      </c>
      <c r="D65" s="63" t="s">
        <v>687</v>
      </c>
      <c r="E65" s="63" t="s">
        <v>686</v>
      </c>
      <c r="F65" s="70" t="str">
        <f>'PIM Model'!$AD$24</f>
        <v/>
      </c>
      <c r="G65" s="69" t="str">
        <f t="shared" si="0"/>
        <v/>
      </c>
      <c r="H65" s="76" t="str">
        <f>IF('PIM Model'!$D$24="$/LB","#","%")</f>
        <v>%</v>
      </c>
      <c r="I65" s="72" t="s">
        <v>689</v>
      </c>
      <c r="J65" s="1054">
        <f>'MDA Worksheet'!$AU$48</f>
        <v>2.25</v>
      </c>
      <c r="K65" s="1090">
        <f>'MDA Worksheet'!$AU$46*100</f>
        <v>30</v>
      </c>
      <c r="L65" s="63" t="s">
        <v>493</v>
      </c>
    </row>
    <row r="66" spans="1:12" x14ac:dyDescent="0.25">
      <c r="A66" s="63">
        <v>31</v>
      </c>
      <c r="B66" s="63">
        <v>0</v>
      </c>
      <c r="C66" s="63">
        <v>0</v>
      </c>
      <c r="D66" s="63" t="s">
        <v>687</v>
      </c>
      <c r="E66" s="63" t="s">
        <v>686</v>
      </c>
      <c r="F66" s="70" t="str">
        <f>'PIM Model'!$AD$25</f>
        <v/>
      </c>
      <c r="G66" s="69" t="str">
        <f t="shared" si="0"/>
        <v/>
      </c>
      <c r="H66" s="76" t="str">
        <f>IF('PIM Model'!$D$25="$/LB","#","%")</f>
        <v>%</v>
      </c>
      <c r="I66" s="72" t="s">
        <v>689</v>
      </c>
      <c r="J66" s="1054">
        <f>'MDA Worksheet'!$AU$48</f>
        <v>2.25</v>
      </c>
      <c r="K66" s="1090">
        <f>'MDA Worksheet'!$AU$46*100</f>
        <v>30</v>
      </c>
      <c r="L66" s="63" t="s">
        <v>493</v>
      </c>
    </row>
    <row r="67" spans="1:12" x14ac:dyDescent="0.25">
      <c r="A67" s="63">
        <v>32</v>
      </c>
      <c r="B67" s="63">
        <v>0</v>
      </c>
      <c r="C67" s="63">
        <v>0</v>
      </c>
      <c r="D67" s="63" t="s">
        <v>687</v>
      </c>
      <c r="E67" s="63" t="s">
        <v>686</v>
      </c>
      <c r="F67" s="70" t="str">
        <f>'PIM Model'!$AD$26</f>
        <v/>
      </c>
      <c r="G67" s="69" t="str">
        <f t="shared" si="0"/>
        <v/>
      </c>
      <c r="H67" s="76" t="str">
        <f>IF('PIM Model'!$D$26="$/LB","#","%")</f>
        <v>%</v>
      </c>
      <c r="I67" s="72" t="s">
        <v>689</v>
      </c>
      <c r="J67" s="1054">
        <f>'MDA Worksheet'!$AU$48</f>
        <v>2.25</v>
      </c>
      <c r="K67" s="1090">
        <f>'MDA Worksheet'!$AU$46*100</f>
        <v>30</v>
      </c>
      <c r="L67" s="63" t="s">
        <v>493</v>
      </c>
    </row>
    <row r="68" spans="1:12" x14ac:dyDescent="0.25">
      <c r="A68" s="63">
        <v>33</v>
      </c>
      <c r="B68" s="63">
        <v>0</v>
      </c>
      <c r="C68" s="63">
        <v>0</v>
      </c>
      <c r="D68" s="63" t="s">
        <v>687</v>
      </c>
      <c r="E68" s="63" t="s">
        <v>686</v>
      </c>
      <c r="F68" s="70" t="str">
        <f>'PIM Model'!$AD$29</f>
        <v/>
      </c>
      <c r="G68" s="69" t="str">
        <f t="shared" si="0"/>
        <v/>
      </c>
      <c r="H68" s="76" t="str">
        <f>IF('PIM Model'!$D$29="$/LB","#","%")</f>
        <v>%</v>
      </c>
      <c r="I68" s="72" t="s">
        <v>689</v>
      </c>
      <c r="J68" s="1054">
        <f>'MDA Worksheet'!$AU$48</f>
        <v>2.25</v>
      </c>
      <c r="K68" s="1090">
        <f>'MDA Worksheet'!$AU$46*100</f>
        <v>30</v>
      </c>
      <c r="L68" s="63" t="s">
        <v>493</v>
      </c>
    </row>
    <row r="69" spans="1:12" x14ac:dyDescent="0.25">
      <c r="A69" s="63">
        <v>34</v>
      </c>
      <c r="B69" s="63">
        <v>0</v>
      </c>
      <c r="C69" s="63">
        <v>0</v>
      </c>
      <c r="D69" s="63" t="s">
        <v>687</v>
      </c>
      <c r="E69" s="63" t="s">
        <v>686</v>
      </c>
      <c r="F69" s="70" t="str">
        <f>'PIM Model'!$AD$30</f>
        <v/>
      </c>
      <c r="G69" s="69" t="str">
        <f t="shared" ref="G69:G72" si="2">F69</f>
        <v/>
      </c>
      <c r="H69" s="76" t="str">
        <f>IF('PIM Model'!$D$30="$/LB","#","%")</f>
        <v>%</v>
      </c>
      <c r="I69" s="72" t="s">
        <v>689</v>
      </c>
      <c r="J69" s="1054">
        <f>'MDA Worksheet'!$AU$48</f>
        <v>2.25</v>
      </c>
      <c r="K69" s="1090">
        <f>'MDA Worksheet'!$AU$46*100</f>
        <v>30</v>
      </c>
      <c r="L69" s="63" t="s">
        <v>493</v>
      </c>
    </row>
    <row r="70" spans="1:12" x14ac:dyDescent="0.25">
      <c r="A70" s="63">
        <v>35</v>
      </c>
      <c r="B70" s="63">
        <v>0</v>
      </c>
      <c r="C70" s="63">
        <v>0</v>
      </c>
      <c r="D70" s="63" t="s">
        <v>687</v>
      </c>
      <c r="E70" s="63" t="s">
        <v>686</v>
      </c>
      <c r="F70" s="70" t="str">
        <f>'PIM Model'!$AD$28</f>
        <v/>
      </c>
      <c r="G70" s="69" t="str">
        <f t="shared" si="2"/>
        <v/>
      </c>
      <c r="H70" s="76" t="str">
        <f>'PIM Model'!$D$28</f>
        <v>%</v>
      </c>
      <c r="I70" s="72" t="s">
        <v>689</v>
      </c>
      <c r="J70" s="1054">
        <f>'MDA Worksheet'!$AU$48</f>
        <v>2.25</v>
      </c>
      <c r="K70" s="1090">
        <f>'MDA Worksheet'!$AU$46*100</f>
        <v>30</v>
      </c>
      <c r="L70" s="63" t="s">
        <v>493</v>
      </c>
    </row>
    <row r="71" spans="1:12" x14ac:dyDescent="0.25">
      <c r="A71" s="63">
        <v>35</v>
      </c>
      <c r="B71" s="63">
        <v>272</v>
      </c>
      <c r="C71" s="63">
        <v>3470</v>
      </c>
      <c r="D71" s="63" t="s">
        <v>685</v>
      </c>
      <c r="E71" s="63" t="str">
        <f>IF('PRIME Headers'!$C$20="No","PWW","P07")</f>
        <v>P07</v>
      </c>
      <c r="F71" s="70" t="str">
        <f>'PIM Model'!$AD$28</f>
        <v/>
      </c>
      <c r="G71" s="69" t="str">
        <f t="shared" ref="G71" si="3">F71</f>
        <v/>
      </c>
      <c r="H71" s="76" t="str">
        <f>'PIM Model'!$D$28</f>
        <v>%</v>
      </c>
      <c r="I71" s="72" t="s">
        <v>689</v>
      </c>
      <c r="J71" s="1054">
        <f>'MDA Worksheet'!$AU$48</f>
        <v>2.25</v>
      </c>
      <c r="K71" s="1090">
        <f>'MDA Worksheet'!$AU$46*100</f>
        <v>30</v>
      </c>
      <c r="L71" s="63" t="s">
        <v>493</v>
      </c>
    </row>
    <row r="72" spans="1:12" x14ac:dyDescent="0.25">
      <c r="A72" s="63">
        <v>37</v>
      </c>
      <c r="B72" s="63">
        <v>0</v>
      </c>
      <c r="C72" s="63">
        <v>0</v>
      </c>
      <c r="D72" s="63" t="s">
        <v>685</v>
      </c>
      <c r="E72" s="63" t="str">
        <f>IF('PRIME Headers'!$C$20="No","PWW","P07")</f>
        <v>P07</v>
      </c>
      <c r="F72" s="70" t="str">
        <f>'PIM Model'!$AD$22</f>
        <v/>
      </c>
      <c r="G72" s="69" t="str">
        <f t="shared" si="2"/>
        <v/>
      </c>
      <c r="H72" s="76" t="str">
        <f>IF('PIM Model'!$D$22="$/LB","#","%")</f>
        <v>%</v>
      </c>
      <c r="I72" s="72" t="s">
        <v>689</v>
      </c>
      <c r="J72" s="1054">
        <f>'MDA Worksheet'!$AU$48</f>
        <v>2.25</v>
      </c>
      <c r="K72" s="1090">
        <f>'MDA Worksheet'!$AU$46*100</f>
        <v>30</v>
      </c>
      <c r="L72" s="63" t="s">
        <v>493</v>
      </c>
    </row>
    <row r="73" spans="1:12" x14ac:dyDescent="0.25">
      <c r="A73" s="63">
        <v>996</v>
      </c>
      <c r="B73" s="63">
        <v>0</v>
      </c>
      <c r="C73" s="63">
        <v>0</v>
      </c>
      <c r="D73" s="63" t="s">
        <v>685</v>
      </c>
      <c r="E73" s="63" t="str">
        <f>IF('PRIME Headers'!$C$20="No","PWW","P07")</f>
        <v>P07</v>
      </c>
      <c r="F73" s="70" t="str">
        <f>IF(COUNTIF('PIM Model'!$E$10:$E$30,"Exclude"),"",'PIM Model'!$AD$20)</f>
        <v/>
      </c>
      <c r="G73" s="69" t="str">
        <f>F73</f>
        <v/>
      </c>
      <c r="H73" s="76" t="str">
        <f>'PIM Model'!$D$20</f>
        <v>%</v>
      </c>
      <c r="I73" s="72" t="s">
        <v>689</v>
      </c>
      <c r="J73" s="1054">
        <f>'MDA Worksheet'!$AU$48</f>
        <v>2.25</v>
      </c>
      <c r="K73" s="1090">
        <f>'MDA Worksheet'!$AU$46*100</f>
        <v>30</v>
      </c>
      <c r="L73" s="63" t="s">
        <v>493</v>
      </c>
    </row>
    <row r="74" spans="1:12" x14ac:dyDescent="0.25">
      <c r="A74" s="63">
        <v>997</v>
      </c>
      <c r="B74" s="63">
        <v>0</v>
      </c>
      <c r="C74" s="63">
        <v>0</v>
      </c>
      <c r="D74" s="63" t="s">
        <v>685</v>
      </c>
      <c r="E74" s="63" t="str">
        <f>IF('PRIME Headers'!$C$20="No","PWW","P07")</f>
        <v>P07</v>
      </c>
      <c r="F74" s="70" t="str">
        <f>IF(COUNTIF('PIM Model'!$E$10:$E$30,"Exclude"),"",'PIM Model'!$AD$21)</f>
        <v/>
      </c>
      <c r="G74" s="69" t="str">
        <f t="shared" ref="G74:G76" si="4">F74</f>
        <v/>
      </c>
      <c r="H74" s="76" t="str">
        <f>'PIM Model'!$D$21</f>
        <v>%</v>
      </c>
      <c r="I74" s="72" t="s">
        <v>689</v>
      </c>
      <c r="J74" s="1054">
        <f>'MDA Worksheet'!$AU$48</f>
        <v>2.25</v>
      </c>
      <c r="K74" s="1090">
        <f>'MDA Worksheet'!$AU$46*100</f>
        <v>30</v>
      </c>
      <c r="L74" s="63" t="s">
        <v>493</v>
      </c>
    </row>
    <row r="75" spans="1:12" x14ac:dyDescent="0.25">
      <c r="A75" s="63">
        <v>998</v>
      </c>
      <c r="B75" s="63">
        <v>0</v>
      </c>
      <c r="C75" s="63">
        <v>0</v>
      </c>
      <c r="D75" s="63" t="s">
        <v>685</v>
      </c>
      <c r="E75" s="63" t="str">
        <f>IF('PRIME Headers'!$C$20="No","PWW","P07")</f>
        <v>P07</v>
      </c>
      <c r="F75" s="70" t="str">
        <f>IF(COUNTIF('PIM Model'!$E$10:$E$30,"Exclude"),"",'PIM Model'!$AD$21)</f>
        <v/>
      </c>
      <c r="G75" s="69" t="str">
        <f t="shared" si="4"/>
        <v/>
      </c>
      <c r="H75" s="76" t="str">
        <f>'PIM Model'!$D$21</f>
        <v>%</v>
      </c>
      <c r="I75" s="72" t="s">
        <v>689</v>
      </c>
      <c r="J75" s="1054">
        <f>'MDA Worksheet'!$AU$48</f>
        <v>2.25</v>
      </c>
      <c r="K75" s="1090">
        <f>'MDA Worksheet'!$AU$46*100</f>
        <v>30</v>
      </c>
      <c r="L75" s="63" t="s">
        <v>493</v>
      </c>
    </row>
    <row r="76" spans="1:12" x14ac:dyDescent="0.25">
      <c r="A76" s="63">
        <v>999</v>
      </c>
      <c r="B76" s="63">
        <v>0</v>
      </c>
      <c r="C76" s="63">
        <v>0</v>
      </c>
      <c r="D76" s="63" t="s">
        <v>684</v>
      </c>
      <c r="E76" s="63" t="s">
        <v>683</v>
      </c>
      <c r="F76" s="70" t="str">
        <f>IF(COUNTIF('PIM Model'!$E$10:$E$30,"Exclude"),"",'PIM Model'!$AD$20)</f>
        <v/>
      </c>
      <c r="G76" s="69" t="str">
        <f t="shared" si="4"/>
        <v/>
      </c>
      <c r="H76" s="76" t="str">
        <f>'PIM Model'!$D$20</f>
        <v>%</v>
      </c>
      <c r="I76" s="72" t="s">
        <v>689</v>
      </c>
      <c r="J76" s="1054">
        <f>'MDA Worksheet'!$AU$48</f>
        <v>2.25</v>
      </c>
      <c r="K76" s="1090">
        <f>'MDA Worksheet'!$AU$46*100</f>
        <v>30</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523</v>
      </c>
      <c r="E2" s="382" t="s">
        <v>524</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514</v>
      </c>
    </row>
    <row r="33" spans="1:23" ht="45" x14ac:dyDescent="0.25">
      <c r="A33" t="s">
        <v>261</v>
      </c>
      <c r="C33" t="s">
        <v>99</v>
      </c>
      <c r="D33" s="21" t="s">
        <v>523</v>
      </c>
      <c r="E33" s="21" t="s">
        <v>524</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513</v>
      </c>
    </row>
    <row r="64" spans="1:23" ht="60" x14ac:dyDescent="0.25">
      <c r="A64" t="s">
        <v>261</v>
      </c>
      <c r="C64" s="21" t="s">
        <v>99</v>
      </c>
      <c r="D64" s="21" t="s">
        <v>523</v>
      </c>
      <c r="E64" s="21" t="s">
        <v>524</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427" t="s">
        <v>1074</v>
      </c>
      <c r="C2" s="1428"/>
      <c r="D2" s="140"/>
      <c r="E2" s="140"/>
      <c r="F2" s="140"/>
    </row>
    <row r="3" spans="1:6" x14ac:dyDescent="0.25">
      <c r="A3" s="140"/>
      <c r="B3" s="678" t="s">
        <v>872</v>
      </c>
      <c r="C3" s="740" t="str">
        <f>IF(OR(Welcome!$D$10="PON Only",Welcome!$D$10="PON with Existing CIA",Welcome!$D$10="PON with New CIA"),"ALC PON "&amp;'MDA Worksheet'!$R$14,"ALCM "&amp;'MDA Worksheet'!$R$14)</f>
        <v>ALCM 0</v>
      </c>
      <c r="D3" s="140"/>
      <c r="E3" s="740"/>
      <c r="F3" s="140"/>
    </row>
    <row r="4" spans="1:6" x14ac:dyDescent="0.25">
      <c r="A4" s="140"/>
      <c r="B4" s="678" t="s">
        <v>875</v>
      </c>
      <c r="C4" s="741">
        <f>'Required Info to Submit'!$F$14</f>
        <v>0</v>
      </c>
      <c r="D4" s="140"/>
      <c r="E4" s="140"/>
      <c r="F4" s="140"/>
    </row>
    <row r="5" spans="1:6" x14ac:dyDescent="0.25">
      <c r="A5" s="140"/>
      <c r="B5" s="678" t="s">
        <v>876</v>
      </c>
      <c r="C5" s="740" t="s">
        <v>877</v>
      </c>
      <c r="D5" s="140"/>
      <c r="E5" s="140"/>
      <c r="F5" s="140"/>
    </row>
    <row r="6" spans="1:6" x14ac:dyDescent="0.25">
      <c r="A6" s="140"/>
      <c r="B6" s="1425" t="s">
        <v>880</v>
      </c>
      <c r="C6" s="1426"/>
      <c r="D6" s="140"/>
      <c r="E6" s="140"/>
      <c r="F6" s="140"/>
    </row>
    <row r="7" spans="1:6" x14ac:dyDescent="0.25">
      <c r="A7" s="140"/>
      <c r="B7" s="678" t="s">
        <v>873</v>
      </c>
      <c r="C7" s="740" t="s">
        <v>1231</v>
      </c>
      <c r="D7" s="140"/>
      <c r="E7" s="140"/>
      <c r="F7" s="140"/>
    </row>
    <row r="8" spans="1:6" x14ac:dyDescent="0.25">
      <c r="A8" s="140"/>
      <c r="B8" s="678" t="s">
        <v>874</v>
      </c>
      <c r="C8" s="740" t="s">
        <v>675</v>
      </c>
      <c r="D8" s="140"/>
      <c r="E8" s="140"/>
      <c r="F8" s="140"/>
    </row>
    <row r="9" spans="1:6" x14ac:dyDescent="0.25">
      <c r="A9" s="140"/>
      <c r="B9" s="678" t="s">
        <v>878</v>
      </c>
      <c r="C9" s="740">
        <f>'MDA Worksheet'!$K$10</f>
        <v>0</v>
      </c>
      <c r="D9" s="140"/>
      <c r="E9" s="140"/>
      <c r="F9" s="140"/>
    </row>
    <row r="10" spans="1:6" x14ac:dyDescent="0.25">
      <c r="A10" s="140"/>
      <c r="B10" s="678" t="s">
        <v>795</v>
      </c>
      <c r="C10" s="741">
        <f>'Required Info to Submit'!$F$14</f>
        <v>0</v>
      </c>
      <c r="D10" s="140"/>
      <c r="E10" s="140"/>
      <c r="F10" s="140"/>
    </row>
    <row r="11" spans="1:6" x14ac:dyDescent="0.25">
      <c r="A11" s="140"/>
      <c r="B11" s="678" t="s">
        <v>796</v>
      </c>
      <c r="C11" s="741" t="e">
        <f>IF(C20="NO",C10+370,'MDA Worksheet'!$AV$24)</f>
        <v>#VALUE!</v>
      </c>
      <c r="D11" s="140"/>
      <c r="E11" s="140"/>
      <c r="F11" s="140"/>
    </row>
    <row r="12" spans="1:6" x14ac:dyDescent="0.25">
      <c r="A12" s="140"/>
      <c r="B12" s="678" t="s">
        <v>879</v>
      </c>
      <c r="C12" s="740" t="s">
        <v>701</v>
      </c>
      <c r="D12" s="140"/>
      <c r="E12" s="140"/>
      <c r="F12" s="140"/>
    </row>
    <row r="13" spans="1:6" x14ac:dyDescent="0.25">
      <c r="A13" s="140"/>
      <c r="B13" s="1425" t="s">
        <v>881</v>
      </c>
      <c r="C13" s="1426"/>
      <c r="D13" s="140"/>
      <c r="E13" s="140"/>
      <c r="F13" s="140"/>
    </row>
    <row r="14" spans="1:6" x14ac:dyDescent="0.25">
      <c r="A14" s="140"/>
      <c r="B14" s="742" t="s">
        <v>882</v>
      </c>
      <c r="C14" s="740">
        <f>'MDA Worksheet'!$AU$48</f>
        <v>2.25</v>
      </c>
      <c r="D14" s="140"/>
      <c r="E14" s="140"/>
      <c r="F14" s="140"/>
    </row>
    <row r="15" spans="1:6" x14ac:dyDescent="0.25">
      <c r="A15" s="140"/>
      <c r="B15" s="742" t="s">
        <v>883</v>
      </c>
      <c r="C15" s="740" t="s">
        <v>884</v>
      </c>
      <c r="D15" s="140"/>
      <c r="E15" s="140"/>
      <c r="F15" s="140"/>
    </row>
    <row r="16" spans="1:6" x14ac:dyDescent="0.25">
      <c r="A16" s="140"/>
      <c r="B16" s="742" t="s">
        <v>885</v>
      </c>
      <c r="C16" s="740" t="s">
        <v>686</v>
      </c>
      <c r="D16" s="140"/>
      <c r="E16" s="140"/>
      <c r="F16" s="140"/>
    </row>
    <row r="17" spans="1:6" x14ac:dyDescent="0.25">
      <c r="A17" s="140"/>
      <c r="B17" s="742" t="s">
        <v>886</v>
      </c>
      <c r="C17" s="740" t="s">
        <v>887</v>
      </c>
      <c r="D17" s="140"/>
      <c r="E17" s="140"/>
      <c r="F17" s="140"/>
    </row>
    <row r="18" spans="1:6" x14ac:dyDescent="0.25">
      <c r="A18" s="140"/>
      <c r="B18" s="742" t="s">
        <v>888</v>
      </c>
      <c r="C18" s="1091">
        <f>'MDA Worksheet'!AU46</f>
        <v>0.3</v>
      </c>
      <c r="D18" s="140"/>
      <c r="E18" s="140"/>
      <c r="F18" s="140"/>
    </row>
    <row r="19" spans="1:6" x14ac:dyDescent="0.25">
      <c r="A19" s="140"/>
      <c r="B19" s="742" t="s">
        <v>889</v>
      </c>
      <c r="C19" s="740" t="s">
        <v>493</v>
      </c>
      <c r="D19" s="140"/>
      <c r="E19" s="140"/>
      <c r="F19" s="140"/>
    </row>
    <row r="20" spans="1:6" x14ac:dyDescent="0.25">
      <c r="A20" s="140"/>
      <c r="B20" s="742" t="s">
        <v>890</v>
      </c>
      <c r="C20" s="740" t="str">
        <f>IF(OR(Welcome!$D$10="PON Only",Welcome!$D$10="PON with New CIA",Welcome!$D$10="PON with Existing CIA"),"NO","YES")</f>
        <v>YES</v>
      </c>
      <c r="D20" s="140"/>
      <c r="E20" s="140"/>
      <c r="F20" s="140"/>
    </row>
    <row r="21" spans="1:6" x14ac:dyDescent="0.25">
      <c r="A21" s="140"/>
      <c r="B21" s="742" t="s">
        <v>891</v>
      </c>
      <c r="C21" s="740" t="str">
        <f>IF($C$20="No","","Semi-Annually")</f>
        <v>Semi-Annually</v>
      </c>
      <c r="D21" s="140"/>
      <c r="E21" s="140"/>
      <c r="F21" s="140"/>
    </row>
    <row r="22" spans="1:6" x14ac:dyDescent="0.25">
      <c r="A22" s="140"/>
      <c r="B22" s="742" t="s">
        <v>892</v>
      </c>
      <c r="C22" s="743" t="str">
        <f>'MDA Worksheet'!$T$38</f>
        <v>Error on A La Carte</v>
      </c>
      <c r="D22" s="140"/>
      <c r="E22" s="140"/>
      <c r="F22" s="140"/>
    </row>
    <row r="23" spans="1:6" x14ac:dyDescent="0.25">
      <c r="A23" s="140"/>
      <c r="B23" s="742" t="s">
        <v>893</v>
      </c>
      <c r="C23" s="744" t="str">
        <f>'MDA Worksheet'!$T$36</f>
        <v>Error on A La Carte</v>
      </c>
      <c r="D23" s="140"/>
      <c r="E23" s="140"/>
      <c r="F23" s="140"/>
    </row>
    <row r="24" spans="1:6" ht="15.75" thickBot="1" x14ac:dyDescent="0.3">
      <c r="A24" s="140"/>
      <c r="B24" s="745" t="s">
        <v>894</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1213</v>
      </c>
      <c r="B1" s="857" t="s">
        <v>1216</v>
      </c>
      <c r="C1" s="857" t="s">
        <v>1217</v>
      </c>
      <c r="D1" s="22" t="s">
        <v>1214</v>
      </c>
      <c r="E1" s="22" t="s">
        <v>1215</v>
      </c>
    </row>
    <row r="2" spans="1:5" x14ac:dyDescent="0.25">
      <c r="A2" s="857" t="s">
        <v>192</v>
      </c>
      <c r="B2" s="857">
        <v>2020</v>
      </c>
      <c r="C2" s="857" t="s">
        <v>920</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1098</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921</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922</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1113</v>
      </c>
      <c r="B17" s="857">
        <v>2355</v>
      </c>
      <c r="C17" s="857" t="s">
        <v>1114</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1252</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1115</v>
      </c>
      <c r="B38" s="857">
        <v>2365</v>
      </c>
      <c r="C38" s="857" t="s">
        <v>1116</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1250</v>
      </c>
      <c r="B62" s="935">
        <v>4170</v>
      </c>
      <c r="C62" s="935" t="s">
        <v>1251</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1105</v>
      </c>
      <c r="B1" s="799" t="s">
        <v>1104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1105</v>
      </c>
      <c r="B1" s="799" t="s">
        <v>1104</v>
      </c>
      <c r="C1" s="801" t="s">
        <v>1100</v>
      </c>
      <c r="D1" s="801" t="s">
        <v>1101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1105</v>
      </c>
      <c r="B1" s="799" t="s">
        <v>1104</v>
      </c>
      <c r="C1" s="799" t="s">
        <v>1128</v>
      </c>
      <c r="D1" s="799" t="s">
        <v>1129</v>
      </c>
      <c r="E1" s="799" t="s">
        <v>1130</v>
      </c>
      <c r="F1" s="799" t="s">
        <v>1131</v>
      </c>
      <c r="G1" s="799" t="s">
        <v>1132</v>
      </c>
      <c r="H1" s="799" t="s">
        <v>1133</v>
      </c>
      <c r="I1" s="799" t="s">
        <v>1127</v>
      </c>
      <c r="J1" s="799" t="s">
        <v>1134</v>
      </c>
      <c r="K1" s="799" t="s">
        <v>1135</v>
      </c>
      <c r="L1" s="799" t="s">
        <v>1136</v>
      </c>
      <c r="M1" s="799" t="s">
        <v>1137</v>
      </c>
      <c r="N1" s="799" t="s">
        <v>1138</v>
      </c>
      <c r="O1" s="799" t="s">
        <v>1139</v>
      </c>
      <c r="P1" s="799" t="s">
        <v>1140</v>
      </c>
      <c r="Q1" s="799" t="s">
        <v>1141</v>
      </c>
      <c r="R1" s="799" t="s">
        <v>1142</v>
      </c>
      <c r="S1" s="799" t="s">
        <v>1143</v>
      </c>
      <c r="T1" s="799" t="s">
        <v>1144</v>
      </c>
      <c r="U1" s="799" t="s">
        <v>1145</v>
      </c>
      <c r="V1" s="799" t="s">
        <v>409</v>
      </c>
      <c r="W1" s="799" t="s">
        <v>1125</v>
      </c>
      <c r="X1" s="799" t="s">
        <v>1146</v>
      </c>
      <c r="Y1" s="799" t="s">
        <v>1147</v>
      </c>
      <c r="Z1" s="799" t="s">
        <v>1148</v>
      </c>
      <c r="AA1" s="799" t="s">
        <v>1149</v>
      </c>
      <c r="AB1" s="799" t="s">
        <v>1099</v>
      </c>
      <c r="AC1" s="799"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1104</v>
      </c>
      <c r="B1" s="799" t="s">
        <v>1105</v>
      </c>
      <c r="C1" s="799" t="s">
        <v>1166</v>
      </c>
      <c r="D1" s="799" t="s">
        <v>1167</v>
      </c>
      <c r="E1" s="799" t="s">
        <v>1168</v>
      </c>
      <c r="F1" s="799" t="s">
        <v>1169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1105</v>
      </c>
      <c r="B1" s="799" t="s">
        <v>1104</v>
      </c>
      <c r="C1" s="799" t="s">
        <v>1124</v>
      </c>
      <c r="D1" s="799" t="s">
        <v>1125</v>
      </c>
      <c r="E1" s="799" t="s">
        <v>1126</v>
      </c>
      <c r="F1" s="799" t="s">
        <v>1127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1099</v>
      </c>
      <c r="B1" s="799" t="s">
        <v>249</v>
      </c>
      <c r="C1" s="799" t="s">
        <v>1150</v>
      </c>
      <c r="D1" s="799" t="s">
        <v>1100</v>
      </c>
      <c r="E1" s="799" t="s">
        <v>1101</v>
      </c>
      <c r="F1" s="799" t="s">
        <v>1102</v>
      </c>
      <c r="G1" s="799" t="s">
        <v>1103</v>
      </c>
      <c r="H1" s="799" t="s">
        <v>1151</v>
      </c>
      <c r="I1" s="799" t="s">
        <v>1152</v>
      </c>
      <c r="J1" s="799" t="s">
        <v>1153</v>
      </c>
      <c r="K1" s="799" t="s">
        <v>1154</v>
      </c>
      <c r="L1" s="799" t="s">
        <v>1155</v>
      </c>
      <c r="M1" s="799" t="s">
        <v>1156</v>
      </c>
      <c r="N1" s="799" t="s">
        <v>1157</v>
      </c>
      <c r="O1" s="799" t="s">
        <v>1157</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1102</v>
      </c>
      <c r="B1" s="799" t="s">
        <v>1099</v>
      </c>
      <c r="C1" s="799" t="s">
        <v>1100</v>
      </c>
      <c r="D1" s="799" t="s">
        <v>1106</v>
      </c>
      <c r="E1" s="799" t="s">
        <v>1154</v>
      </c>
      <c r="F1" s="799" t="s">
        <v>1158</v>
      </c>
      <c r="G1" s="799" t="s">
        <v>1153</v>
      </c>
      <c r="H1" s="799" t="s">
        <v>1170</v>
      </c>
      <c r="I1" s="799" t="s">
        <v>1171</v>
      </c>
      <c r="J1" s="799" t="s">
        <v>1172</v>
      </c>
      <c r="K1" s="799" t="s">
        <v>1107</v>
      </c>
      <c r="L1" s="799" t="s">
        <v>1108</v>
      </c>
      <c r="M1" s="799" t="s">
        <v>1109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1164</v>
      </c>
      <c r="C1" s="799" t="s">
        <v>1099</v>
      </c>
      <c r="D1" s="799" t="s">
        <v>1160</v>
      </c>
      <c r="E1" s="799" t="s">
        <v>1161</v>
      </c>
      <c r="F1" s="799" t="s">
        <v>1162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1163</v>
      </c>
      <c r="C1" s="799" t="s">
        <v>1099</v>
      </c>
      <c r="D1" s="799" t="s">
        <v>1160</v>
      </c>
      <c r="E1" s="799" t="s">
        <v>1161</v>
      </c>
      <c r="F1" s="799" t="s">
        <v>1162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1159</v>
      </c>
      <c r="C1" s="799" t="s">
        <v>1099</v>
      </c>
      <c r="D1" s="799" t="s">
        <v>1160</v>
      </c>
      <c r="E1" s="799" t="s">
        <v>1161</v>
      </c>
      <c r="F1" s="799" t="s">
        <v>1162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999</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525</v>
      </c>
      <c r="B7" t="s">
        <v>523</v>
      </c>
      <c r="C7" s="2" t="s">
        <v>216</v>
      </c>
      <c r="D7" s="24">
        <v>0</v>
      </c>
      <c r="E7" s="24">
        <v>0.04</v>
      </c>
      <c r="F7" s="24">
        <v>7.0000000000000007E-2</v>
      </c>
      <c r="G7" s="24">
        <v>0.09</v>
      </c>
      <c r="H7" s="24">
        <v>0.16</v>
      </c>
      <c r="J7" s="24"/>
      <c r="K7" s="24"/>
      <c r="L7" s="24"/>
      <c r="M7" s="24"/>
      <c r="N7" s="24"/>
    </row>
    <row r="8" spans="1:14" x14ac:dyDescent="0.25">
      <c r="A8" t="s">
        <v>526</v>
      </c>
      <c r="B8" t="s">
        <v>523</v>
      </c>
      <c r="C8" s="2" t="s">
        <v>217</v>
      </c>
      <c r="D8" s="24">
        <v>0</v>
      </c>
      <c r="E8" s="24">
        <v>0.04</v>
      </c>
      <c r="F8" s="24">
        <v>0.06</v>
      </c>
      <c r="G8" s="24">
        <v>0.08</v>
      </c>
      <c r="H8" s="24">
        <v>0.15</v>
      </c>
      <c r="J8" s="24"/>
      <c r="K8" s="24"/>
      <c r="L8" s="24"/>
      <c r="M8" s="24"/>
      <c r="N8" s="24"/>
    </row>
    <row r="9" spans="1:14" x14ac:dyDescent="0.25">
      <c r="A9" t="s">
        <v>527</v>
      </c>
      <c r="B9" t="s">
        <v>523</v>
      </c>
      <c r="C9" s="2" t="s">
        <v>218</v>
      </c>
      <c r="D9" s="24">
        <v>0</v>
      </c>
      <c r="E9" s="24">
        <v>0.04</v>
      </c>
      <c r="F9" s="24">
        <v>0.06</v>
      </c>
      <c r="G9" s="24">
        <v>0.08</v>
      </c>
      <c r="H9" s="24">
        <v>0.14000000000000001</v>
      </c>
      <c r="J9" s="24"/>
      <c r="K9" s="24"/>
      <c r="L9" s="24"/>
      <c r="M9" s="24"/>
      <c r="N9" s="24"/>
    </row>
    <row r="10" spans="1:14" x14ac:dyDescent="0.25">
      <c r="A10" t="s">
        <v>528</v>
      </c>
      <c r="B10" t="s">
        <v>523</v>
      </c>
      <c r="C10" s="2" t="s">
        <v>272</v>
      </c>
      <c r="D10" s="24">
        <v>0</v>
      </c>
      <c r="E10" s="24">
        <v>0.04</v>
      </c>
      <c r="F10" s="24">
        <v>0.05</v>
      </c>
      <c r="G10" s="24">
        <v>7.0000000000000007E-2</v>
      </c>
      <c r="H10" s="24">
        <v>0.12</v>
      </c>
      <c r="J10" s="24"/>
      <c r="K10" s="24"/>
      <c r="L10" s="24"/>
      <c r="M10" s="24"/>
      <c r="N10" s="24"/>
    </row>
    <row r="11" spans="1:14" x14ac:dyDescent="0.25">
      <c r="A11" t="s">
        <v>529</v>
      </c>
      <c r="B11" t="s">
        <v>523</v>
      </c>
      <c r="C11" s="2" t="s">
        <v>273</v>
      </c>
      <c r="D11" s="24">
        <v>0</v>
      </c>
      <c r="E11" s="24">
        <v>0.03</v>
      </c>
      <c r="F11" s="24">
        <v>0.04</v>
      </c>
      <c r="G11" s="24">
        <v>0.06</v>
      </c>
      <c r="H11" s="24">
        <v>0.1</v>
      </c>
      <c r="J11" s="24"/>
      <c r="K11" s="24"/>
      <c r="L11" s="24"/>
      <c r="M11" s="24"/>
      <c r="N11" s="24"/>
    </row>
    <row r="12" spans="1:14" x14ac:dyDescent="0.25">
      <c r="A12" t="s">
        <v>530</v>
      </c>
      <c r="B12" t="s">
        <v>524</v>
      </c>
      <c r="C12" s="2" t="s">
        <v>216</v>
      </c>
      <c r="D12" s="24">
        <v>0</v>
      </c>
      <c r="E12" s="24">
        <v>0.05</v>
      </c>
      <c r="F12" s="24">
        <v>0.08</v>
      </c>
      <c r="G12" s="24">
        <v>0.09</v>
      </c>
      <c r="H12" s="24">
        <v>0.14000000000000001</v>
      </c>
      <c r="J12" s="24"/>
      <c r="K12" s="24"/>
      <c r="L12" s="24"/>
      <c r="M12" s="24"/>
      <c r="N12" s="24"/>
    </row>
    <row r="13" spans="1:14" x14ac:dyDescent="0.25">
      <c r="A13" t="s">
        <v>531</v>
      </c>
      <c r="B13" t="s">
        <v>524</v>
      </c>
      <c r="C13" s="2" t="s">
        <v>217</v>
      </c>
      <c r="D13" s="24">
        <v>0</v>
      </c>
      <c r="E13" s="24">
        <v>0.05</v>
      </c>
      <c r="F13" s="24">
        <v>7.0000000000000007E-2</v>
      </c>
      <c r="G13" s="24">
        <v>0.09</v>
      </c>
      <c r="H13" s="24">
        <v>0.14000000000000001</v>
      </c>
      <c r="J13" s="24"/>
      <c r="K13" s="24"/>
      <c r="L13" s="24"/>
      <c r="M13" s="24"/>
      <c r="N13" s="24"/>
    </row>
    <row r="14" spans="1:14" x14ac:dyDescent="0.25">
      <c r="A14" t="s">
        <v>532</v>
      </c>
      <c r="B14" t="s">
        <v>524</v>
      </c>
      <c r="C14" s="2" t="s">
        <v>218</v>
      </c>
      <c r="D14" s="24">
        <v>0</v>
      </c>
      <c r="E14" s="24">
        <v>0.05</v>
      </c>
      <c r="F14" s="24">
        <v>0.06</v>
      </c>
      <c r="G14" s="24">
        <v>0.08</v>
      </c>
      <c r="H14" s="24">
        <v>0.13</v>
      </c>
      <c r="J14" s="24"/>
      <c r="K14" s="24"/>
      <c r="L14" s="24"/>
      <c r="M14" s="24"/>
      <c r="N14" s="24"/>
    </row>
    <row r="15" spans="1:14" x14ac:dyDescent="0.25">
      <c r="A15" t="s">
        <v>533</v>
      </c>
      <c r="B15" t="s">
        <v>524</v>
      </c>
      <c r="C15" s="2" t="s">
        <v>272</v>
      </c>
      <c r="D15" s="59">
        <v>0</v>
      </c>
      <c r="E15" s="59">
        <v>0.04</v>
      </c>
      <c r="F15" s="59">
        <v>0.05</v>
      </c>
      <c r="G15" s="59">
        <v>7.0000000000000007E-2</v>
      </c>
      <c r="H15" s="59">
        <v>0.11</v>
      </c>
      <c r="J15" s="59"/>
      <c r="K15" s="59"/>
      <c r="L15" s="59"/>
      <c r="M15" s="59"/>
      <c r="N15" s="59"/>
    </row>
    <row r="16" spans="1:14" x14ac:dyDescent="0.25">
      <c r="A16" t="s">
        <v>534</v>
      </c>
      <c r="B16" t="s">
        <v>524</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999</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525</v>
      </c>
      <c r="B7" t="s">
        <v>523</v>
      </c>
      <c r="C7" s="2" t="s">
        <v>216</v>
      </c>
      <c r="D7" s="24">
        <v>0</v>
      </c>
      <c r="E7" s="24">
        <v>7.0000000000000007E-2</v>
      </c>
      <c r="F7" s="24">
        <v>0.1</v>
      </c>
      <c r="G7" s="24"/>
      <c r="H7" s="24"/>
      <c r="I7" s="24"/>
      <c r="J7" s="24"/>
      <c r="L7" s="24"/>
      <c r="M7" s="24"/>
      <c r="N7" s="24"/>
    </row>
    <row r="8" spans="1:14" x14ac:dyDescent="0.25">
      <c r="A8" t="s">
        <v>526</v>
      </c>
      <c r="B8" t="s">
        <v>523</v>
      </c>
      <c r="C8" s="2" t="s">
        <v>217</v>
      </c>
      <c r="D8" s="24">
        <v>0</v>
      </c>
      <c r="E8" s="24">
        <v>7.0000000000000007E-2</v>
      </c>
      <c r="F8" s="24">
        <v>0.09</v>
      </c>
      <c r="G8" s="24"/>
      <c r="H8" s="24"/>
      <c r="I8" s="24"/>
      <c r="J8" s="24"/>
      <c r="L8" s="24"/>
      <c r="M8" s="24"/>
      <c r="N8" s="24"/>
    </row>
    <row r="9" spans="1:14" x14ac:dyDescent="0.25">
      <c r="A9" t="s">
        <v>527</v>
      </c>
      <c r="B9" t="s">
        <v>523</v>
      </c>
      <c r="C9" s="2" t="s">
        <v>218</v>
      </c>
      <c r="D9" s="24">
        <v>0</v>
      </c>
      <c r="E9" s="24">
        <v>0.06</v>
      </c>
      <c r="F9" s="24">
        <v>0.08</v>
      </c>
      <c r="G9" s="24"/>
      <c r="H9" s="24"/>
      <c r="I9" s="24"/>
      <c r="J9" s="24"/>
      <c r="L9" s="24"/>
      <c r="M9" s="24"/>
      <c r="N9" s="24"/>
    </row>
    <row r="10" spans="1:14" x14ac:dyDescent="0.25">
      <c r="A10" t="s">
        <v>528</v>
      </c>
      <c r="B10" t="s">
        <v>523</v>
      </c>
      <c r="C10" s="2" t="s">
        <v>272</v>
      </c>
      <c r="D10" s="24">
        <v>0</v>
      </c>
      <c r="E10" s="24">
        <v>0.05</v>
      </c>
      <c r="F10" s="24">
        <v>7.0000000000000007E-2</v>
      </c>
      <c r="G10" s="24"/>
      <c r="H10" s="24"/>
      <c r="I10" s="24"/>
      <c r="J10" s="24"/>
      <c r="L10" s="24"/>
      <c r="M10" s="24"/>
      <c r="N10" s="24"/>
    </row>
    <row r="11" spans="1:14" x14ac:dyDescent="0.25">
      <c r="A11" t="s">
        <v>529</v>
      </c>
      <c r="B11" t="s">
        <v>523</v>
      </c>
      <c r="C11" s="2" t="s">
        <v>273</v>
      </c>
      <c r="D11" s="24">
        <v>0</v>
      </c>
      <c r="E11" s="24">
        <v>0.04</v>
      </c>
      <c r="F11" s="24">
        <v>0.06</v>
      </c>
      <c r="G11" s="24"/>
      <c r="H11" s="24"/>
      <c r="I11" s="24"/>
      <c r="J11" s="24"/>
      <c r="L11" s="24"/>
      <c r="M11" s="24"/>
      <c r="N11" s="24"/>
    </row>
    <row r="12" spans="1:14" x14ac:dyDescent="0.25">
      <c r="A12" t="s">
        <v>530</v>
      </c>
      <c r="B12" t="s">
        <v>524</v>
      </c>
      <c r="C12" s="2" t="s">
        <v>216</v>
      </c>
      <c r="D12" s="24">
        <v>0</v>
      </c>
      <c r="E12" s="24">
        <v>7.0000000000000007E-2</v>
      </c>
      <c r="F12" s="24">
        <v>0.09</v>
      </c>
      <c r="G12" s="24"/>
      <c r="H12" s="24"/>
      <c r="I12" s="24"/>
      <c r="J12" s="24"/>
      <c r="L12" s="24"/>
      <c r="M12" s="24"/>
      <c r="N12" s="24"/>
    </row>
    <row r="13" spans="1:14" x14ac:dyDescent="0.25">
      <c r="A13" t="s">
        <v>531</v>
      </c>
      <c r="B13" t="s">
        <v>524</v>
      </c>
      <c r="C13" s="2" t="s">
        <v>217</v>
      </c>
      <c r="D13" s="24">
        <v>0</v>
      </c>
      <c r="E13" s="24">
        <v>7.0000000000000007E-2</v>
      </c>
      <c r="F13" s="24">
        <v>0.08</v>
      </c>
      <c r="G13" s="24"/>
      <c r="H13" s="24"/>
      <c r="I13" s="24"/>
      <c r="J13" s="24"/>
      <c r="L13" s="24"/>
      <c r="M13" s="24"/>
      <c r="N13" s="24"/>
    </row>
    <row r="14" spans="1:14" x14ac:dyDescent="0.25">
      <c r="A14" t="s">
        <v>532</v>
      </c>
      <c r="B14" t="s">
        <v>524</v>
      </c>
      <c r="C14" s="2" t="s">
        <v>218</v>
      </c>
      <c r="D14" s="24">
        <v>0</v>
      </c>
      <c r="E14" s="24">
        <v>0.06</v>
      </c>
      <c r="F14" s="24">
        <v>7.0000000000000007E-2</v>
      </c>
      <c r="G14" s="24"/>
      <c r="H14" s="24"/>
      <c r="I14" s="24"/>
      <c r="J14" s="24"/>
      <c r="L14" s="24"/>
      <c r="M14" s="24"/>
      <c r="N14" s="24"/>
    </row>
    <row r="15" spans="1:14" x14ac:dyDescent="0.25">
      <c r="A15" t="s">
        <v>533</v>
      </c>
      <c r="B15" t="s">
        <v>524</v>
      </c>
      <c r="C15" s="2" t="s">
        <v>272</v>
      </c>
      <c r="D15" s="24">
        <v>0</v>
      </c>
      <c r="E15" s="24">
        <v>0.05</v>
      </c>
      <c r="F15" s="24">
        <v>0.06</v>
      </c>
      <c r="G15" s="24"/>
      <c r="H15" s="24"/>
      <c r="I15" s="24"/>
      <c r="J15" s="24"/>
      <c r="L15" s="24"/>
      <c r="M15" s="24"/>
      <c r="N15" s="24"/>
    </row>
    <row r="16" spans="1:14" x14ac:dyDescent="0.25">
      <c r="A16" t="s">
        <v>534</v>
      </c>
      <c r="B16" t="s">
        <v>524</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1000</v>
      </c>
      <c r="O1" s="14" t="s">
        <v>548</v>
      </c>
      <c r="P1" t="s">
        <v>245</v>
      </c>
      <c r="Q1" t="s">
        <v>237</v>
      </c>
      <c r="R1" t="s">
        <v>469</v>
      </c>
      <c r="S1" t="s">
        <v>255</v>
      </c>
      <c r="T1" t="s">
        <v>256</v>
      </c>
      <c r="U1" t="s">
        <v>257</v>
      </c>
      <c r="V1" t="s">
        <v>258</v>
      </c>
      <c r="W1" t="s">
        <v>256</v>
      </c>
      <c r="X1" t="s">
        <v>257</v>
      </c>
      <c r="Z1" t="s">
        <v>464</v>
      </c>
      <c r="AA1" t="s">
        <v>467</v>
      </c>
      <c r="AB1" t="s">
        <v>466</v>
      </c>
      <c r="AD1" t="s">
        <v>510</v>
      </c>
      <c r="AE1" t="s">
        <v>511</v>
      </c>
      <c r="AF1" t="s">
        <v>535</v>
      </c>
      <c r="AH1" s="2"/>
      <c r="AI1" t="s">
        <v>1081</v>
      </c>
      <c r="AJ1" t="s">
        <v>1177</v>
      </c>
      <c r="AK1" t="s">
        <v>1352</v>
      </c>
    </row>
    <row r="2" spans="1:37" x14ac:dyDescent="0.25">
      <c r="A2" t="s">
        <v>442</v>
      </c>
      <c r="B2" t="s">
        <v>106</v>
      </c>
      <c r="C2" t="s">
        <v>1</v>
      </c>
      <c r="E2" t="s">
        <v>58</v>
      </c>
      <c r="F2" s="3">
        <v>1</v>
      </c>
      <c r="G2" s="14" t="s">
        <v>130</v>
      </c>
      <c r="H2" s="14" t="s">
        <v>224</v>
      </c>
      <c r="I2" s="14" t="s">
        <v>522</v>
      </c>
      <c r="J2" s="14">
        <v>0.01</v>
      </c>
      <c r="K2" s="14">
        <v>1.4999999999999999E-2</v>
      </c>
      <c r="L2" t="s">
        <v>209</v>
      </c>
      <c r="M2">
        <v>2</v>
      </c>
      <c r="N2" t="s">
        <v>1035</v>
      </c>
      <c r="O2" s="2" t="s">
        <v>550</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1028</v>
      </c>
      <c r="AI2" t="s">
        <v>496</v>
      </c>
      <c r="AJ2" t="s">
        <v>675</v>
      </c>
      <c r="AK2" t="s">
        <v>1353</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1027</v>
      </c>
      <c r="AC3" t="s">
        <v>472</v>
      </c>
      <c r="AD3" t="s">
        <v>508</v>
      </c>
      <c r="AE3" t="s">
        <v>509</v>
      </c>
      <c r="AF3" s="62">
        <v>0.09</v>
      </c>
      <c r="AI3" t="s">
        <v>495</v>
      </c>
      <c r="AJ3" t="s">
        <v>673</v>
      </c>
      <c r="AK3" t="s">
        <v>1354</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1220</v>
      </c>
      <c r="AF4" s="62">
        <v>0.1</v>
      </c>
      <c r="AI4" t="s">
        <v>1306</v>
      </c>
      <c r="AK4" t="s">
        <v>1355</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1307</v>
      </c>
      <c r="AF5" s="62">
        <v>0.11</v>
      </c>
      <c r="AK5" t="s">
        <v>1356</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1308</v>
      </c>
      <c r="AF6" s="62">
        <v>0.12</v>
      </c>
      <c r="AK6" t="s">
        <v>1357</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1110</v>
      </c>
      <c r="D2" s="32" t="s">
        <v>921</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1110</v>
      </c>
      <c r="D5" s="1" t="s">
        <v>922</v>
      </c>
      <c r="E5" s="15">
        <v>2340</v>
      </c>
      <c r="F5" s="15" t="s">
        <v>178</v>
      </c>
      <c r="G5" s="33" t="s">
        <v>23</v>
      </c>
    </row>
    <row r="6" spans="1:7" x14ac:dyDescent="0.25">
      <c r="A6" s="15" t="s">
        <v>1115</v>
      </c>
      <c r="B6" s="33" t="s">
        <v>23</v>
      </c>
      <c r="C6" s="1" t="s">
        <v>198</v>
      </c>
      <c r="D6" s="1" t="s">
        <v>1116</v>
      </c>
      <c r="E6" s="15">
        <v>2365</v>
      </c>
      <c r="F6" s="15" t="s">
        <v>1115</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1111</v>
      </c>
      <c r="B13" s="33" t="s">
        <v>23</v>
      </c>
      <c r="C13" s="1" t="s">
        <v>1110</v>
      </c>
      <c r="D13" s="1" t="s">
        <v>1112</v>
      </c>
      <c r="E13" s="15">
        <v>2375</v>
      </c>
      <c r="F13" s="15" t="s">
        <v>1111</v>
      </c>
      <c r="G13" s="33" t="s">
        <v>23</v>
      </c>
    </row>
    <row r="14" spans="1:7" x14ac:dyDescent="0.25">
      <c r="A14" s="15" t="s">
        <v>1113</v>
      </c>
      <c r="B14" s="33" t="s">
        <v>23</v>
      </c>
      <c r="C14" s="1" t="s">
        <v>1110</v>
      </c>
      <c r="D14" s="1" t="s">
        <v>1114</v>
      </c>
      <c r="E14" s="15">
        <v>2355</v>
      </c>
      <c r="F14" s="15" t="s">
        <v>1113</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1098</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1117</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920</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1118</v>
      </c>
      <c r="D31" s="1" t="s">
        <v>79</v>
      </c>
      <c r="E31" s="15">
        <v>2180</v>
      </c>
      <c r="F31" s="15" t="s">
        <v>191</v>
      </c>
      <c r="G31" s="33" t="s">
        <v>13</v>
      </c>
    </row>
    <row r="32" spans="1:7" x14ac:dyDescent="0.25">
      <c r="A32" s="15" t="s">
        <v>143</v>
      </c>
      <c r="B32" s="33" t="s">
        <v>13</v>
      </c>
      <c r="C32" s="1" t="s">
        <v>1118</v>
      </c>
      <c r="D32" s="1" t="s">
        <v>53</v>
      </c>
      <c r="E32" s="15">
        <v>2185</v>
      </c>
      <c r="F32" s="15" t="s">
        <v>143</v>
      </c>
      <c r="G32" s="33" t="s">
        <v>13</v>
      </c>
    </row>
    <row r="33" spans="1:7" x14ac:dyDescent="0.25">
      <c r="A33" s="15" t="s">
        <v>1239</v>
      </c>
      <c r="B33" s="33" t="s">
        <v>1240</v>
      </c>
      <c r="C33" s="1" t="s">
        <v>1241</v>
      </c>
      <c r="D33" s="1" t="s">
        <v>1241</v>
      </c>
      <c r="E33" s="15">
        <v>4190</v>
      </c>
      <c r="F33" s="15" t="s">
        <v>1239</v>
      </c>
      <c r="G33" s="33" t="s">
        <v>1240</v>
      </c>
    </row>
    <row r="34" spans="1:7" x14ac:dyDescent="0.25">
      <c r="A34" s="15" t="s">
        <v>1242</v>
      </c>
      <c r="B34" s="33" t="s">
        <v>1240</v>
      </c>
      <c r="C34" s="1" t="s">
        <v>400</v>
      </c>
      <c r="D34" s="1" t="s">
        <v>1243</v>
      </c>
      <c r="E34" s="15">
        <v>3310</v>
      </c>
      <c r="F34" s="15" t="s">
        <v>1242</v>
      </c>
      <c r="G34" s="33" t="s">
        <v>1240</v>
      </c>
    </row>
    <row r="35" spans="1:7" x14ac:dyDescent="0.25">
      <c r="A35" s="15" t="s">
        <v>1244</v>
      </c>
      <c r="B35" s="33" t="s">
        <v>1240</v>
      </c>
      <c r="C35" s="1" t="s">
        <v>402</v>
      </c>
      <c r="D35" s="1" t="s">
        <v>1245</v>
      </c>
      <c r="E35" s="15">
        <v>3340</v>
      </c>
      <c r="F35" s="15" t="s">
        <v>1244</v>
      </c>
      <c r="G35" s="33" t="s">
        <v>1240</v>
      </c>
    </row>
    <row r="36" spans="1:7" x14ac:dyDescent="0.25">
      <c r="A36" s="15" t="s">
        <v>147</v>
      </c>
      <c r="B36" s="33" t="s">
        <v>1240</v>
      </c>
      <c r="C36" s="1" t="s">
        <v>402</v>
      </c>
      <c r="D36" s="1" t="s">
        <v>1246</v>
      </c>
      <c r="E36" s="15">
        <v>3160</v>
      </c>
      <c r="F36" s="15" t="s">
        <v>147</v>
      </c>
      <c r="G36" s="33" t="s">
        <v>1240</v>
      </c>
    </row>
    <row r="37" spans="1:7" x14ac:dyDescent="0.25">
      <c r="A37" s="15" t="s">
        <v>1247</v>
      </c>
      <c r="B37" s="33" t="s">
        <v>1240</v>
      </c>
      <c r="C37" s="1" t="s">
        <v>1248</v>
      </c>
      <c r="D37" s="1" t="s">
        <v>1249</v>
      </c>
      <c r="E37" s="15">
        <v>4210</v>
      </c>
      <c r="F37" s="15" t="s">
        <v>1247</v>
      </c>
      <c r="G37" s="33" t="s">
        <v>1240</v>
      </c>
    </row>
    <row r="38" spans="1:7" x14ac:dyDescent="0.25">
      <c r="A38" s="15" t="s">
        <v>171</v>
      </c>
      <c r="B38" s="33" t="s">
        <v>1240</v>
      </c>
      <c r="C38" s="1" t="s">
        <v>400</v>
      </c>
      <c r="D38" s="1" t="s">
        <v>30</v>
      </c>
      <c r="E38" s="15">
        <v>4118</v>
      </c>
      <c r="F38" s="15" t="s">
        <v>171</v>
      </c>
      <c r="G38" s="33" t="s">
        <v>1240</v>
      </c>
    </row>
    <row r="39" spans="1:7" x14ac:dyDescent="0.25">
      <c r="A39" s="15" t="s">
        <v>1250</v>
      </c>
      <c r="B39" s="33" t="s">
        <v>1240</v>
      </c>
      <c r="C39" s="1" t="s">
        <v>75</v>
      </c>
      <c r="D39" s="1" t="s">
        <v>1251</v>
      </c>
      <c r="E39" s="15">
        <v>4170</v>
      </c>
      <c r="F39" s="15" t="s">
        <v>1250</v>
      </c>
      <c r="G39" s="33" t="s">
        <v>1240</v>
      </c>
    </row>
    <row r="40" spans="1:7" x14ac:dyDescent="0.25">
      <c r="A40" s="15" t="s">
        <v>167</v>
      </c>
      <c r="B40" s="33" t="s">
        <v>1240</v>
      </c>
      <c r="C40" s="1" t="s">
        <v>75</v>
      </c>
      <c r="D40" s="1" t="s">
        <v>1252</v>
      </c>
      <c r="E40" s="15">
        <v>4147</v>
      </c>
      <c r="F40" s="15" t="s">
        <v>167</v>
      </c>
      <c r="G40" s="33" t="s">
        <v>1240</v>
      </c>
    </row>
    <row r="41" spans="1:7" x14ac:dyDescent="0.25">
      <c r="A41" s="15" t="s">
        <v>1253</v>
      </c>
      <c r="B41" s="33" t="s">
        <v>1240</v>
      </c>
      <c r="C41" s="1" t="s">
        <v>1248</v>
      </c>
      <c r="D41" s="1" t="s">
        <v>1254</v>
      </c>
      <c r="E41" s="15">
        <v>4220</v>
      </c>
      <c r="F41" s="15" t="s">
        <v>1253</v>
      </c>
      <c r="G41" s="33" t="s">
        <v>1240</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1120</v>
      </c>
      <c r="B45" s="33" t="s">
        <v>3</v>
      </c>
      <c r="C45" s="1" t="s">
        <v>1121</v>
      </c>
      <c r="D45" s="1" t="s">
        <v>1407</v>
      </c>
      <c r="E45" s="15">
        <v>3040</v>
      </c>
      <c r="F45" s="15" t="s">
        <v>1120</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1119</v>
      </c>
      <c r="D49" s="1" t="s">
        <v>76</v>
      </c>
      <c r="E49" s="15">
        <v>3051</v>
      </c>
      <c r="F49" s="15" t="s">
        <v>155</v>
      </c>
      <c r="G49" s="33" t="s">
        <v>3</v>
      </c>
    </row>
    <row r="50" spans="1:7" x14ac:dyDescent="0.25">
      <c r="A50" s="15" t="s">
        <v>140</v>
      </c>
      <c r="B50" s="33" t="s">
        <v>3</v>
      </c>
      <c r="C50" s="1" t="s">
        <v>1119</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1122</v>
      </c>
      <c r="B54" s="33" t="s">
        <v>8</v>
      </c>
      <c r="C54" s="1" t="s">
        <v>395</v>
      </c>
      <c r="D54" s="1" t="s">
        <v>1123</v>
      </c>
      <c r="E54" s="15">
        <v>2010</v>
      </c>
      <c r="F54" s="15" t="s">
        <v>1122</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1255</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1256</v>
      </c>
      <c r="B67" t="s">
        <v>18</v>
      </c>
      <c r="C67" t="s">
        <v>1257</v>
      </c>
      <c r="D67" t="s">
        <v>1258</v>
      </c>
      <c r="E67">
        <v>4175</v>
      </c>
      <c r="F67" t="s">
        <v>1256</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1255</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1259</v>
      </c>
      <c r="B72" t="s">
        <v>18</v>
      </c>
      <c r="C72" t="s">
        <v>1257</v>
      </c>
      <c r="D72" t="s">
        <v>1260</v>
      </c>
      <c r="E72">
        <v>4135</v>
      </c>
      <c r="F72" t="s">
        <v>1259</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1261</v>
      </c>
      <c r="B76" t="s">
        <v>18</v>
      </c>
      <c r="C76" t="s">
        <v>1257</v>
      </c>
      <c r="D76" t="s">
        <v>1262</v>
      </c>
      <c r="E76">
        <v>4125</v>
      </c>
      <c r="F76" t="s">
        <v>1261</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2021-11-22T08:40:26Z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