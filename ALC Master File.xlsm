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41A0A68-D7E6-470F-BDAE-47B5AEEEB478}" xr6:coauthVersionLast="45" xr6:coauthVersionMax="46" xr10:uidLastSave="{00000000-0000-0000-0000-000000000000}"/>
  <workbookProtection workbookAlgorithmName="SHA-512" workbookHashValue="mpLH/YpFaPYVJhNKpJ7rTxMJ7FJYNgXpeNAFdUH/3DCqiaAWkMWTVSsypxQNN+qj8UvQGWB8CWQSYUK0P1t+EQ==" workbookSaltValue="jeHSomv365+/9IECs/EaIQ==" workbookSpinCount="100000" lockStructure="1"/>
  <bookViews>
    <workbookView xWindow="-120" yWindow="-120" windowWidth="20730" windowHeight="11160" tabRatio="909" firstSheet="3" activeTab="27"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7" i="94" l="1"/>
  <c r="I106" i="94"/>
  <c r="I105" i="94"/>
  <c r="I104" i="94"/>
  <c r="I103" i="94"/>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C662" i="92"/>
  <c r="B850" i="92"/>
  <c r="B594" i="92"/>
  <c r="C757" i="92"/>
  <c r="B544" i="92"/>
  <c r="B681" i="92"/>
  <c r="C884" i="92"/>
  <c r="C580" i="92"/>
  <c r="B680" i="92"/>
  <c r="C743" i="92"/>
  <c r="B843" i="92"/>
  <c r="B640" i="92"/>
  <c r="C602" i="92"/>
  <c r="B844" i="92"/>
  <c r="C690" i="92"/>
  <c r="B878" i="92"/>
  <c r="B622" i="92"/>
  <c r="C785" i="92"/>
  <c r="C604" i="92"/>
  <c r="B709" i="92"/>
  <c r="B667" i="92"/>
  <c r="C656" i="92"/>
  <c r="B708" i="92"/>
  <c r="C771" i="92"/>
  <c r="B871" i="92"/>
  <c r="C608" i="92"/>
  <c r="B768" i="92"/>
  <c r="B867" i="92"/>
  <c r="C889" i="92"/>
  <c r="B684" i="92"/>
  <c r="C654" i="92"/>
  <c r="B842" i="92"/>
  <c r="B586" i="92"/>
  <c r="C749" i="92"/>
  <c r="B775" i="92"/>
  <c r="B545" i="92"/>
  <c r="C607" i="92"/>
  <c r="B781" i="92"/>
  <c r="C778" i="92"/>
  <c r="C576" i="92"/>
  <c r="B710" i="92"/>
  <c r="C873" i="92"/>
  <c r="C617" i="92"/>
  <c r="B797" i="92"/>
  <c r="B541" i="92"/>
  <c r="C744" i="92"/>
  <c r="B796" i="92"/>
  <c r="C859" i="92"/>
  <c r="C603" i="92"/>
  <c r="B784" i="92"/>
  <c r="B534" i="92"/>
  <c r="C838" i="92"/>
  <c r="C582" i="92"/>
  <c r="B770" i="92"/>
  <c r="B600" i="92"/>
  <c r="C677" i="92"/>
  <c r="B857" i="92"/>
  <c r="B601" i="92"/>
  <c r="C804" i="92"/>
  <c r="B856" i="92"/>
  <c r="B799" i="92"/>
  <c r="C663" i="92"/>
  <c r="C755" i="92"/>
  <c r="B817" i="92"/>
  <c r="B816" i="92"/>
  <c r="B854" i="92"/>
  <c r="C792" i="92"/>
  <c r="C738" i="92"/>
  <c r="B727" i="92"/>
  <c r="B670" i="92"/>
  <c r="C833" i="92"/>
  <c r="C577" i="92"/>
  <c r="B757" i="92"/>
  <c r="C556" i="92"/>
  <c r="C704" i="92"/>
  <c r="B756" i="92"/>
  <c r="C819" i="92"/>
  <c r="C573" i="92"/>
  <c r="B848" i="92"/>
  <c r="B758" i="92"/>
  <c r="B699" i="92"/>
  <c r="C638" i="92"/>
  <c r="B826" i="92"/>
  <c r="B570" i="92"/>
  <c r="C733" i="92"/>
  <c r="B625" i="92"/>
  <c r="B883" i="92"/>
  <c r="B652" i="92"/>
  <c r="C587" i="92"/>
  <c r="C692" i="92"/>
  <c r="C671" i="92"/>
  <c r="B705" i="92"/>
  <c r="C536" i="92"/>
  <c r="C843" i="92"/>
  <c r="C868" i="92"/>
  <c r="C700" i="92"/>
  <c r="B565" i="92"/>
  <c r="B890" i="92"/>
  <c r="B627" i="92"/>
  <c r="B713" i="92"/>
  <c r="B691" i="92"/>
  <c r="B654" i="92"/>
  <c r="B740" i="92"/>
  <c r="B662" i="92"/>
  <c r="C588" i="92"/>
  <c r="B742" i="92"/>
  <c r="B828" i="92"/>
  <c r="C614" i="92"/>
  <c r="C836" i="92"/>
  <c r="C886" i="92"/>
  <c r="C630" i="92"/>
  <c r="B818" i="92"/>
  <c r="B562" i="92"/>
  <c r="C725" i="92"/>
  <c r="B635" i="92"/>
  <c r="B649" i="92"/>
  <c r="C852" i="92"/>
  <c r="B647" i="92"/>
  <c r="B648" i="92"/>
  <c r="C711" i="92"/>
  <c r="B787" i="92"/>
  <c r="B579" i="92"/>
  <c r="B822" i="92"/>
  <c r="C811" i="92"/>
  <c r="C658" i="92"/>
  <c r="B846" i="92"/>
  <c r="B590" i="92"/>
  <c r="C753" i="92"/>
  <c r="B823" i="92"/>
  <c r="B677" i="92"/>
  <c r="C880" i="92"/>
  <c r="C540" i="92"/>
  <c r="B676" i="92"/>
  <c r="C739" i="92"/>
  <c r="B839" i="92"/>
  <c r="B639" i="92"/>
  <c r="B704" i="92"/>
  <c r="B551" i="92"/>
  <c r="C729" i="92"/>
  <c r="C878" i="92"/>
  <c r="C622" i="92"/>
  <c r="B810" i="92"/>
  <c r="B554" i="92"/>
  <c r="C717" i="92"/>
  <c r="B575" i="92"/>
  <c r="B540" i="92"/>
  <c r="B735" i="92"/>
  <c r="B557" i="92"/>
  <c r="C746" i="92"/>
  <c r="B783" i="92"/>
  <c r="B678" i="92"/>
  <c r="C841" i="92"/>
  <c r="C585" i="92"/>
  <c r="B765" i="92"/>
  <c r="C592" i="92"/>
  <c r="C712" i="92"/>
  <c r="B764" i="92"/>
  <c r="C827" i="92"/>
  <c r="C571" i="92"/>
  <c r="B656" i="92"/>
  <c r="C633" i="92"/>
  <c r="C806" i="92"/>
  <c r="C550" i="92"/>
  <c r="B738" i="92"/>
  <c r="B611" i="92"/>
  <c r="C645" i="92"/>
  <c r="B825" i="92"/>
  <c r="B569" i="92"/>
  <c r="C772" i="92"/>
  <c r="B824" i="92"/>
  <c r="C887" i="92"/>
  <c r="C631" i="92"/>
  <c r="C659" i="92"/>
  <c r="B721" i="92"/>
  <c r="B720" i="92"/>
  <c r="B630" i="92"/>
  <c r="C600" i="92"/>
  <c r="C706" i="92"/>
  <c r="B535" i="92"/>
  <c r="B638" i="92"/>
  <c r="C801" i="92"/>
  <c r="C545" i="92"/>
  <c r="B725" i="92"/>
  <c r="B763" i="92"/>
  <c r="C672" i="92"/>
  <c r="B724" i="92"/>
  <c r="C787" i="92"/>
  <c r="B785" i="92"/>
  <c r="B688" i="92"/>
  <c r="B807" i="92"/>
  <c r="C862" i="92"/>
  <c r="C606" i="92"/>
  <c r="B794" i="92"/>
  <c r="B538" i="92"/>
  <c r="C701" i="92"/>
  <c r="C544" i="92"/>
  <c r="C762" i="92"/>
  <c r="C779" i="92"/>
  <c r="C715" i="92"/>
  <c r="B879" i="92"/>
  <c r="C555" i="92"/>
  <c r="B555" i="92"/>
  <c r="C699" i="92"/>
  <c r="C678" i="92"/>
  <c r="C773" i="92"/>
  <c r="C759" i="92"/>
  <c r="C834" i="92"/>
  <c r="B853" i="92"/>
  <c r="B547" i="92"/>
  <c r="C829" i="92"/>
  <c r="C726" i="92"/>
  <c r="B580" i="92"/>
  <c r="C623" i="92"/>
  <c r="C849" i="92"/>
  <c r="B772" i="92"/>
  <c r="C652" i="92"/>
  <c r="B603" i="92"/>
  <c r="C863" i="92"/>
  <c r="B861" i="92"/>
  <c r="C828" i="92"/>
  <c r="B834" i="92"/>
  <c r="B819" i="92"/>
  <c r="B685" i="92"/>
  <c r="B820" i="92"/>
  <c r="C760" i="92"/>
  <c r="C879" i="92"/>
  <c r="B626" i="92"/>
  <c r="C775" i="92"/>
  <c r="C664" i="92"/>
  <c r="B741" i="92"/>
  <c r="B577" i="92"/>
  <c r="C686" i="92"/>
  <c r="C767" i="92"/>
  <c r="B643" i="92"/>
  <c r="B539" i="92"/>
  <c r="B546" i="92"/>
  <c r="C854" i="92"/>
  <c r="C598" i="92"/>
  <c r="B786" i="92"/>
  <c r="C612" i="92"/>
  <c r="C693" i="92"/>
  <c r="B873" i="92"/>
  <c r="B617" i="92"/>
  <c r="C820" i="92"/>
  <c r="B872" i="92"/>
  <c r="B608" i="92"/>
  <c r="C679" i="92"/>
  <c r="B599" i="92"/>
  <c r="C735" i="92"/>
  <c r="B598" i="92"/>
  <c r="C882" i="92"/>
  <c r="C626" i="92"/>
  <c r="B814" i="92"/>
  <c r="B558" i="92"/>
  <c r="C721" i="92"/>
  <c r="B607" i="92"/>
  <c r="B645" i="92"/>
  <c r="C848" i="92"/>
  <c r="B615" i="92"/>
  <c r="B644" i="92"/>
  <c r="C707" i="92"/>
  <c r="B759" i="92"/>
  <c r="C876" i="92"/>
  <c r="B560" i="92"/>
  <c r="C559" i="92"/>
  <c r="B663" i="92"/>
  <c r="C846" i="92"/>
  <c r="C590" i="92"/>
  <c r="B778" i="92"/>
  <c r="C560" i="92"/>
  <c r="C685" i="92"/>
  <c r="B865" i="92"/>
  <c r="C844" i="92"/>
  <c r="B851" i="92"/>
  <c r="C728" i="92"/>
  <c r="C714" i="92"/>
  <c r="B587" i="92"/>
  <c r="B646" i="92"/>
  <c r="C809" i="92"/>
  <c r="C553" i="92"/>
  <c r="B733" i="92"/>
  <c r="B811" i="92"/>
  <c r="C680" i="92"/>
  <c r="B732" i="92"/>
  <c r="C795" i="92"/>
  <c r="C539" i="92"/>
  <c r="C847" i="92"/>
  <c r="B845" i="92"/>
  <c r="C774" i="92"/>
  <c r="C564" i="92"/>
  <c r="B706" i="92"/>
  <c r="C869" i="92"/>
  <c r="C613" i="92"/>
  <c r="B793" i="92"/>
  <c r="B537" i="92"/>
  <c r="C740" i="92"/>
  <c r="B792" i="92"/>
  <c r="C855" i="92"/>
  <c r="C599" i="92"/>
  <c r="C627" i="92"/>
  <c r="B593" i="92"/>
  <c r="B739" i="92"/>
  <c r="C857" i="92"/>
  <c r="B716" i="92"/>
  <c r="C674" i="92"/>
  <c r="B862" i="92"/>
  <c r="B606" i="92"/>
  <c r="C769" i="92"/>
  <c r="B616" i="92"/>
  <c r="B693" i="92"/>
  <c r="B567" i="92"/>
  <c r="C636" i="92"/>
  <c r="B692" i="92"/>
  <c r="C723" i="92"/>
  <c r="B689" i="92"/>
  <c r="B624" i="92"/>
  <c r="C697" i="92"/>
  <c r="C830" i="92"/>
  <c r="C574" i="92"/>
  <c r="B762" i="92"/>
  <c r="B548" i="92"/>
  <c r="C669" i="92"/>
  <c r="C860" i="92"/>
  <c r="B683" i="92"/>
  <c r="C619" i="92"/>
  <c r="C713" i="92"/>
  <c r="B636" i="92"/>
  <c r="B866" i="92"/>
  <c r="C644" i="92"/>
  <c r="C796" i="92"/>
  <c r="B766" i="92"/>
  <c r="C800" i="92"/>
  <c r="B887" i="92"/>
  <c r="B707" i="92"/>
  <c r="B813" i="92"/>
  <c r="B658" i="92"/>
  <c r="C551" i="92"/>
  <c r="B686" i="92"/>
  <c r="C720" i="92"/>
  <c r="C696" i="92"/>
  <c r="C557" i="92"/>
  <c r="C825" i="92"/>
  <c r="C681" i="92"/>
  <c r="B860" i="92"/>
  <c r="C646" i="92"/>
  <c r="B665" i="92"/>
  <c r="B815" i="92"/>
  <c r="C546" i="92"/>
  <c r="C641" i="92"/>
  <c r="B855" i="92"/>
  <c r="C702" i="92"/>
  <c r="C856" i="92"/>
  <c r="C533" i="92"/>
  <c r="B875" i="92"/>
  <c r="C722" i="92"/>
  <c r="B556" i="92"/>
  <c r="C547" i="92"/>
  <c r="B874" i="92"/>
  <c r="C810" i="92"/>
  <c r="B573" i="92"/>
  <c r="C628" i="92"/>
  <c r="B889" i="92"/>
  <c r="C822" i="92"/>
  <c r="C566" i="92"/>
  <c r="B754" i="92"/>
  <c r="B755" i="92"/>
  <c r="C661" i="92"/>
  <c r="B841" i="92"/>
  <c r="B585" i="92"/>
  <c r="C788" i="92"/>
  <c r="B840" i="92"/>
  <c r="B655" i="92"/>
  <c r="C647" i="92"/>
  <c r="C780" i="92"/>
  <c r="C639" i="92"/>
  <c r="C793" i="92"/>
  <c r="C850" i="92"/>
  <c r="C594" i="92"/>
  <c r="B782" i="92"/>
  <c r="C584" i="92"/>
  <c r="C689" i="92"/>
  <c r="B869" i="92"/>
  <c r="B613" i="92"/>
  <c r="C816" i="92"/>
  <c r="B868" i="92"/>
  <c r="B584" i="92"/>
  <c r="C675" i="92"/>
  <c r="B571" i="92"/>
  <c r="C812" i="92"/>
  <c r="C831" i="92"/>
  <c r="C890" i="92"/>
  <c r="B717" i="92"/>
  <c r="C814" i="92"/>
  <c r="C558" i="92"/>
  <c r="B746" i="92"/>
  <c r="B675" i="92"/>
  <c r="C653" i="92"/>
  <c r="B833" i="92"/>
  <c r="C684" i="92"/>
  <c r="C826" i="92"/>
  <c r="B780" i="92"/>
  <c r="C682" i="92"/>
  <c r="B870" i="92"/>
  <c r="B614" i="92"/>
  <c r="C777" i="92"/>
  <c r="C568" i="92"/>
  <c r="B701" i="92"/>
  <c r="B623" i="92"/>
  <c r="C648" i="92"/>
  <c r="B700" i="92"/>
  <c r="C763" i="92"/>
  <c r="B863" i="92"/>
  <c r="C655" i="92"/>
  <c r="B621" i="92"/>
  <c r="C742" i="92"/>
  <c r="B751" i="92"/>
  <c r="B674" i="92"/>
  <c r="C837" i="92"/>
  <c r="C581" i="92"/>
  <c r="B761" i="92"/>
  <c r="C572" i="92"/>
  <c r="C708" i="92"/>
  <c r="B760" i="92"/>
  <c r="C823" i="92"/>
  <c r="C567" i="92"/>
  <c r="C563" i="92"/>
  <c r="B561" i="92"/>
  <c r="C783" i="92"/>
  <c r="C761" i="92"/>
  <c r="B620" i="92"/>
  <c r="C642" i="92"/>
  <c r="B830" i="92"/>
  <c r="B574" i="92"/>
  <c r="C737" i="92"/>
  <c r="B703" i="92"/>
  <c r="B661" i="92"/>
  <c r="C864" i="92"/>
  <c r="B767" i="92"/>
  <c r="B660" i="92"/>
  <c r="C691" i="92"/>
  <c r="B657" i="92"/>
  <c r="C815" i="92"/>
  <c r="B568" i="92"/>
  <c r="C798" i="92"/>
  <c r="C542" i="92"/>
  <c r="B730" i="92"/>
  <c r="B559" i="92"/>
  <c r="C637" i="92"/>
  <c r="C764" i="92"/>
  <c r="B566" i="92"/>
  <c r="C747" i="92"/>
  <c r="B550" i="92"/>
  <c r="B715" i="92"/>
  <c r="B610" i="92"/>
  <c r="B595" i="92"/>
  <c r="B859" i="92"/>
  <c r="B877" i="92"/>
  <c r="B576" i="92"/>
  <c r="B852" i="92"/>
  <c r="C632" i="92"/>
  <c r="B588" i="92"/>
  <c r="C683" i="92"/>
  <c r="C565" i="92"/>
  <c r="C807" i="92"/>
  <c r="C754" i="92"/>
  <c r="C593" i="92"/>
  <c r="C835" i="92"/>
  <c r="B790" i="92"/>
  <c r="C813" i="92"/>
  <c r="B774" i="92"/>
  <c r="B536" i="92"/>
  <c r="B578" i="92"/>
  <c r="B664" i="92"/>
  <c r="B679" i="92"/>
  <c r="B734" i="92"/>
  <c r="C768" i="92"/>
  <c r="C730" i="92"/>
  <c r="B881" i="92"/>
  <c r="C789" i="92"/>
  <c r="C660" i="92"/>
  <c r="C698" i="92"/>
  <c r="C817" i="92"/>
  <c r="C803" i="92"/>
  <c r="B687" i="92"/>
  <c r="B618" i="92"/>
  <c r="C569" i="92"/>
  <c r="B829" i="92"/>
  <c r="B726" i="92"/>
  <c r="C709" i="92"/>
  <c r="C790" i="92"/>
  <c r="C534" i="92"/>
  <c r="B722" i="92"/>
  <c r="C885" i="92"/>
  <c r="C629" i="92"/>
  <c r="B809" i="92"/>
  <c r="B553" i="92"/>
  <c r="C756" i="92"/>
  <c r="B808" i="92"/>
  <c r="C871" i="92"/>
  <c r="C615" i="92"/>
  <c r="B596" i="92"/>
  <c r="C543" i="92"/>
  <c r="C537" i="92"/>
  <c r="C818" i="92"/>
  <c r="C562" i="92"/>
  <c r="B750" i="92"/>
  <c r="B711" i="92"/>
  <c r="C657" i="92"/>
  <c r="B837" i="92"/>
  <c r="B581" i="92"/>
  <c r="C784" i="92"/>
  <c r="B836" i="92"/>
  <c r="B619" i="92"/>
  <c r="C643" i="92"/>
  <c r="B801" i="92"/>
  <c r="C748" i="92"/>
  <c r="C799" i="92"/>
  <c r="C634" i="92"/>
  <c r="B589" i="92"/>
  <c r="C782" i="92"/>
  <c r="C596" i="92"/>
  <c r="B714" i="92"/>
  <c r="C877" i="92"/>
  <c r="C621" i="92"/>
  <c r="B769" i="92"/>
  <c r="B832" i="92"/>
  <c r="B886" i="92"/>
  <c r="C875" i="92"/>
  <c r="C650" i="92"/>
  <c r="B838" i="92"/>
  <c r="B582" i="92"/>
  <c r="C745" i="92"/>
  <c r="B747" i="92"/>
  <c r="B669" i="92"/>
  <c r="C872" i="92"/>
  <c r="B564" i="92"/>
  <c r="B668" i="92"/>
  <c r="C731" i="92"/>
  <c r="B831" i="92"/>
  <c r="B651" i="92"/>
  <c r="C824" i="92"/>
  <c r="C710" i="92"/>
  <c r="B563" i="92"/>
  <c r="B642" i="92"/>
  <c r="C805" i="92"/>
  <c r="C549" i="92"/>
  <c r="B729" i="92"/>
  <c r="B779" i="92"/>
  <c r="C676" i="92"/>
  <c r="B728" i="92"/>
  <c r="C791" i="92"/>
  <c r="C535" i="92"/>
  <c r="B803" i="92"/>
  <c r="B743" i="92"/>
  <c r="C687" i="92"/>
  <c r="C601" i="92"/>
  <c r="C866" i="92"/>
  <c r="C610" i="92"/>
  <c r="B798" i="92"/>
  <c r="B542" i="92"/>
  <c r="C705" i="92"/>
  <c r="B885" i="92"/>
  <c r="B629" i="92"/>
  <c r="C832" i="92"/>
  <c r="B884" i="92"/>
  <c r="B628" i="92"/>
  <c r="C595" i="92"/>
  <c r="C640" i="92"/>
  <c r="C719" i="92"/>
  <c r="B749" i="92"/>
  <c r="C766" i="92"/>
  <c r="B612" i="92"/>
  <c r="B698" i="92"/>
  <c r="C861" i="92"/>
  <c r="C541" i="92"/>
  <c r="B880" i="92"/>
  <c r="C665" i="92"/>
  <c r="B847" i="92"/>
  <c r="B791" i="92"/>
  <c r="C874" i="92"/>
  <c r="C858" i="92"/>
  <c r="C552" i="92"/>
  <c r="B696" i="92"/>
  <c r="B795" i="92"/>
  <c r="C673" i="92"/>
  <c r="B771" i="92"/>
  <c r="C734" i="92"/>
  <c r="B752" i="92"/>
  <c r="B659" i="92"/>
  <c r="B745" i="92"/>
  <c r="B800" i="92"/>
  <c r="B552" i="92"/>
  <c r="C620" i="92"/>
  <c r="C579" i="92"/>
  <c r="C718" i="92"/>
  <c r="C842" i="92"/>
  <c r="B605" i="92"/>
  <c r="C667" i="92"/>
  <c r="B731" i="92"/>
  <c r="C794" i="92"/>
  <c r="B821" i="92"/>
  <c r="C732" i="92"/>
  <c r="B634" i="92"/>
  <c r="B882" i="92"/>
  <c r="B736" i="92"/>
  <c r="C561" i="92"/>
  <c r="B583" i="92"/>
  <c r="B609" i="92"/>
  <c r="C649" i="92"/>
  <c r="C635" i="92"/>
  <c r="B802" i="92"/>
  <c r="B888" i="92"/>
  <c r="C758" i="92"/>
  <c r="B572" i="92"/>
  <c r="B690" i="92"/>
  <c r="C853" i="92"/>
  <c r="C597" i="92"/>
  <c r="B777" i="92"/>
  <c r="C624" i="92"/>
  <c r="C724" i="92"/>
  <c r="B776" i="92"/>
  <c r="C839" i="92"/>
  <c r="C583" i="92"/>
  <c r="B864" i="92"/>
  <c r="B835" i="92"/>
  <c r="B653" i="92"/>
  <c r="C786" i="92"/>
  <c r="C616" i="92"/>
  <c r="B718" i="92"/>
  <c r="C881" i="92"/>
  <c r="C625" i="92"/>
  <c r="B805" i="92"/>
  <c r="B549" i="92"/>
  <c r="C752" i="92"/>
  <c r="B804" i="92"/>
  <c r="C867" i="92"/>
  <c r="C611" i="92"/>
  <c r="B673" i="92"/>
  <c r="C716" i="92"/>
  <c r="C703" i="92"/>
  <c r="C570" i="92"/>
  <c r="C888" i="92"/>
  <c r="C750" i="92"/>
  <c r="B827" i="92"/>
  <c r="B682" i="92"/>
  <c r="C845" i="92"/>
  <c r="C589" i="92"/>
  <c r="B737" i="92"/>
  <c r="B672" i="92"/>
  <c r="B694" i="92"/>
  <c r="C618" i="92"/>
  <c r="B806" i="92"/>
  <c r="B637" i="92"/>
  <c r="C840" i="92"/>
  <c r="B543" i="92"/>
  <c r="B812" i="92"/>
  <c r="B697" i="92"/>
  <c r="C605" i="92"/>
  <c r="C578" i="92"/>
  <c r="B597" i="92"/>
  <c r="C591" i="92"/>
  <c r="B666" i="92"/>
  <c r="C821" i="92"/>
  <c r="B744" i="92"/>
  <c r="B719" i="92"/>
  <c r="B773" i="92"/>
  <c r="B641" i="92"/>
  <c r="B650" i="92"/>
  <c r="C586" i="92"/>
  <c r="C808" i="92"/>
  <c r="C538" i="92"/>
  <c r="C741" i="92"/>
  <c r="C727" i="92"/>
  <c r="C802" i="92"/>
  <c r="B591" i="92"/>
  <c r="C883" i="92"/>
  <c r="C797" i="92"/>
  <c r="C694" i="92"/>
  <c r="B712" i="92"/>
  <c r="B631" i="92"/>
  <c r="C688" i="92"/>
  <c r="C575" i="92"/>
  <c r="C781" i="92"/>
  <c r="C554" i="92"/>
  <c r="C776" i="92"/>
  <c r="C870" i="92"/>
  <c r="B633" i="92"/>
  <c r="B632" i="92"/>
  <c r="C548" i="92"/>
  <c r="C851" i="92"/>
  <c r="C765" i="92"/>
  <c r="C670" i="92"/>
  <c r="B602" i="92"/>
  <c r="C695" i="92"/>
  <c r="B702" i="92"/>
  <c r="B671" i="92"/>
  <c r="B753" i="92"/>
  <c r="C751" i="92"/>
  <c r="C651" i="92"/>
  <c r="C770" i="92"/>
  <c r="B695" i="92"/>
  <c r="C865" i="92"/>
  <c r="C668" i="92"/>
  <c r="B592" i="92"/>
  <c r="B788" i="92"/>
  <c r="B849" i="92"/>
  <c r="C609" i="92"/>
  <c r="B876" i="92"/>
  <c r="B858" i="92"/>
  <c r="B723" i="92"/>
  <c r="B789" i="92"/>
  <c r="B748" i="92"/>
  <c r="B604" i="92"/>
  <c r="C666" i="92"/>
  <c r="B533" i="92"/>
  <c r="C736" i="92"/>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O115" i="94" s="1"/>
  <c r="I75" i="94"/>
  <c r="I76" i="94" s="1"/>
  <c r="I77" i="94" s="1"/>
  <c r="I78" i="94" s="1"/>
  <c r="I79" i="94" s="1"/>
  <c r="I61" i="94"/>
  <c r="I62" i="94" s="1"/>
  <c r="I63" i="94" s="1"/>
  <c r="I64" i="94" s="1"/>
  <c r="I65" i="94" s="1"/>
  <c r="I47" i="94"/>
  <c r="I48" i="94" s="1"/>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399" i="92"/>
  <c r="B503" i="92"/>
  <c r="C364" i="92"/>
  <c r="C423" i="92"/>
  <c r="C356" i="92"/>
  <c r="B337" i="92"/>
  <c r="C507" i="92"/>
  <c r="B307" i="92"/>
  <c r="B382" i="92"/>
  <c r="C401" i="92"/>
  <c r="C292" i="92"/>
  <c r="B450" i="92"/>
  <c r="C402" i="92"/>
  <c r="C303" i="92"/>
  <c r="B479" i="92"/>
  <c r="B492" i="92"/>
  <c r="B357" i="92"/>
  <c r="C506" i="92"/>
  <c r="C312" i="92"/>
  <c r="C281" i="92"/>
  <c r="B274" i="92"/>
  <c r="B358" i="92"/>
  <c r="B308" i="92"/>
  <c r="B519" i="92"/>
  <c r="C496" i="92"/>
  <c r="B325" i="92"/>
  <c r="B371" i="92"/>
  <c r="C487" i="92"/>
  <c r="B472" i="92"/>
  <c r="B468" i="92"/>
  <c r="C403" i="92"/>
  <c r="B412" i="92"/>
  <c r="C473" i="92"/>
  <c r="B398" i="92"/>
  <c r="B303" i="92"/>
  <c r="B321" i="92"/>
  <c r="B409" i="92"/>
  <c r="C328" i="92"/>
  <c r="B410" i="92"/>
  <c r="B491" i="92"/>
  <c r="B465" i="92"/>
  <c r="C481" i="92"/>
  <c r="C347" i="92"/>
  <c r="C296" i="92"/>
  <c r="B375" i="92"/>
  <c r="B420" i="92"/>
  <c r="C367" i="92"/>
  <c r="B424" i="92"/>
  <c r="C363" i="92"/>
  <c r="C426" i="92"/>
  <c r="B413" i="92"/>
  <c r="B390" i="92"/>
  <c r="C456" i="92"/>
  <c r="B363" i="92"/>
  <c r="B314" i="92"/>
  <c r="C344" i="92"/>
  <c r="C325" i="92"/>
  <c r="B455" i="92"/>
  <c r="B397" i="92"/>
  <c r="C509" i="92"/>
  <c r="B317" i="92"/>
  <c r="B377" i="92"/>
  <c r="C280" i="92"/>
  <c r="C288" i="92"/>
  <c r="B484" i="92"/>
  <c r="B296" i="92"/>
  <c r="C411" i="92"/>
  <c r="B475" i="92"/>
  <c r="B488" i="92"/>
  <c r="C429" i="92"/>
  <c r="C466" i="92"/>
  <c r="B434" i="92"/>
  <c r="B341" i="92"/>
  <c r="C461" i="92"/>
  <c r="B445" i="92"/>
  <c r="B355" i="92"/>
  <c r="B322" i="92"/>
  <c r="C450" i="92"/>
  <c r="C491" i="92"/>
  <c r="B457" i="92"/>
  <c r="C377" i="92"/>
  <c r="C443" i="92"/>
  <c r="B366" i="92"/>
  <c r="C464" i="92"/>
  <c r="C337" i="92"/>
  <c r="C366" i="92"/>
  <c r="B405" i="92"/>
  <c r="B495" i="92"/>
  <c r="C342" i="92"/>
  <c r="C372" i="92"/>
  <c r="B290" i="92"/>
  <c r="B407" i="92"/>
  <c r="C437" i="92"/>
  <c r="B318" i="92"/>
  <c r="C389" i="92"/>
  <c r="B368" i="92"/>
  <c r="C477" i="92"/>
  <c r="B432" i="92"/>
  <c r="C416" i="92"/>
  <c r="B517" i="92"/>
  <c r="C520" i="92"/>
  <c r="C410" i="92"/>
  <c r="C387" i="92"/>
  <c r="C427" i="92"/>
  <c r="C321" i="92"/>
  <c r="B501" i="92"/>
  <c r="C274" i="92"/>
  <c r="C490" i="92"/>
  <c r="B439" i="92"/>
  <c r="C467" i="92"/>
  <c r="B483" i="92"/>
  <c r="C474" i="92"/>
  <c r="C318" i="92"/>
  <c r="B509" i="92"/>
  <c r="C523" i="92"/>
  <c r="C373" i="92"/>
  <c r="B365" i="92"/>
  <c r="C488" i="92"/>
  <c r="C504" i="92"/>
  <c r="C522" i="92"/>
  <c r="B504" i="92"/>
  <c r="B376" i="92"/>
  <c r="B473" i="92"/>
  <c r="B506" i="92"/>
  <c r="B442" i="92"/>
  <c r="C391" i="92"/>
  <c r="C484" i="92"/>
  <c r="B343" i="92"/>
  <c r="B378" i="92"/>
  <c r="B482" i="92"/>
  <c r="C492" i="92"/>
  <c r="C299" i="92"/>
  <c r="B422" i="92"/>
  <c r="B520" i="92"/>
  <c r="C301" i="92"/>
  <c r="C359" i="92"/>
  <c r="B384" i="92"/>
  <c r="C376" i="92"/>
  <c r="C374" i="92"/>
  <c r="B426" i="92"/>
  <c r="B408" i="92"/>
  <c r="C394" i="92"/>
  <c r="C330" i="92"/>
  <c r="B305" i="92"/>
  <c r="B395" i="92"/>
  <c r="B454" i="92"/>
  <c r="B400" i="92"/>
  <c r="C400" i="92"/>
  <c r="C438" i="92"/>
  <c r="C449" i="92"/>
  <c r="C286" i="92"/>
  <c r="B362" i="92"/>
  <c r="C298" i="92"/>
  <c r="C505" i="92"/>
  <c r="C293" i="92"/>
  <c r="B304" i="92"/>
  <c r="B399" i="92"/>
  <c r="B279" i="92"/>
  <c r="C397" i="92"/>
  <c r="C418" i="92"/>
  <c r="B436" i="92"/>
  <c r="B490" i="92"/>
  <c r="B523" i="92"/>
  <c r="B443" i="92"/>
  <c r="B295" i="92"/>
  <c r="C343" i="92"/>
  <c r="B339" i="92"/>
  <c r="B466" i="92"/>
  <c r="B493" i="92"/>
  <c r="B444" i="92"/>
  <c r="B494" i="92"/>
  <c r="B505" i="92"/>
  <c r="C295" i="92"/>
  <c r="C313" i="92"/>
  <c r="C339" i="92"/>
  <c r="B332" i="92"/>
  <c r="B386" i="92"/>
  <c r="C404" i="92"/>
  <c r="C521" i="92"/>
  <c r="B425" i="92"/>
  <c r="C406" i="92"/>
  <c r="B385" i="92"/>
  <c r="B485" i="92"/>
  <c r="C360" i="92"/>
  <c r="B281" i="92"/>
  <c r="C369" i="92"/>
  <c r="C307" i="92"/>
  <c r="B518" i="92"/>
  <c r="C310" i="92"/>
  <c r="C454" i="92"/>
  <c r="C475" i="92"/>
  <c r="B423" i="92"/>
  <c r="C500" i="92"/>
  <c r="C278" i="92"/>
  <c r="C455" i="92"/>
  <c r="B469" i="92"/>
  <c r="C510" i="92"/>
  <c r="B374" i="92"/>
  <c r="B411" i="92"/>
  <c r="B372" i="92"/>
  <c r="B458" i="92"/>
  <c r="B404" i="92"/>
  <c r="C407" i="92"/>
  <c r="B474" i="92"/>
  <c r="C297" i="92"/>
  <c r="C275" i="92"/>
  <c r="C458" i="92"/>
  <c r="C502" i="92"/>
  <c r="C495" i="92"/>
  <c r="B449" i="92"/>
  <c r="B329" i="92"/>
  <c r="C519" i="92"/>
  <c r="C494" i="92"/>
  <c r="C282" i="92"/>
  <c r="B280" i="92"/>
  <c r="C380" i="92"/>
  <c r="C365" i="92"/>
  <c r="B349" i="92"/>
  <c r="C516" i="92"/>
  <c r="C480" i="92"/>
  <c r="B471" i="92"/>
  <c r="C351" i="92"/>
  <c r="B415" i="92"/>
  <c r="C309" i="92"/>
  <c r="C279" i="92"/>
  <c r="C273" i="92"/>
  <c r="B310" i="92"/>
  <c r="B300" i="92"/>
  <c r="C361" i="92"/>
  <c r="B333" i="92"/>
  <c r="C326" i="92"/>
  <c r="B499" i="92"/>
  <c r="B353" i="92"/>
  <c r="B381" i="92"/>
  <c r="C320" i="92"/>
  <c r="B401" i="92"/>
  <c r="C333" i="92"/>
  <c r="B446" i="92"/>
  <c r="B313" i="92"/>
  <c r="B500" i="92"/>
  <c r="B416" i="92"/>
  <c r="B453" i="92"/>
  <c r="C499" i="92"/>
  <c r="C383" i="92"/>
  <c r="C379" i="92"/>
  <c r="B294" i="92"/>
  <c r="C465" i="92"/>
  <c r="B359" i="92"/>
  <c r="C433" i="92"/>
  <c r="B302" i="92"/>
  <c r="B456" i="92"/>
  <c r="C354" i="92"/>
  <c r="B331" i="92"/>
  <c r="C289" i="92"/>
  <c r="C283" i="92"/>
  <c r="B277" i="92"/>
  <c r="B288" i="92"/>
  <c r="B287" i="92"/>
  <c r="B276" i="92"/>
  <c r="B513" i="92"/>
  <c r="B464" i="92"/>
  <c r="C409" i="92"/>
  <c r="C349" i="92"/>
  <c r="C425" i="92"/>
  <c r="B460" i="92"/>
  <c r="B429" i="92"/>
  <c r="B306" i="92"/>
  <c r="B477" i="92"/>
  <c r="B428" i="92"/>
  <c r="B496" i="92"/>
  <c r="B451" i="92"/>
  <c r="B285" i="92"/>
  <c r="C439" i="92"/>
  <c r="B414" i="92"/>
  <c r="C460" i="92"/>
  <c r="C408" i="92"/>
  <c r="B481" i="92"/>
  <c r="C305" i="92"/>
  <c r="C478" i="92"/>
  <c r="C470" i="92"/>
  <c r="B297" i="92"/>
  <c r="C386" i="92"/>
  <c r="B393" i="92"/>
  <c r="C300" i="92"/>
  <c r="B379" i="92"/>
  <c r="B476" i="92"/>
  <c r="C329" i="92"/>
  <c r="B387" i="92"/>
  <c r="B510" i="92"/>
  <c r="C518" i="92"/>
  <c r="B512" i="92"/>
  <c r="B278" i="92"/>
  <c r="B356" i="92"/>
  <c r="C457" i="92"/>
  <c r="C306" i="92"/>
  <c r="C421" i="92"/>
  <c r="B463" i="92"/>
  <c r="C395" i="92"/>
  <c r="B497" i="92"/>
  <c r="B435" i="92"/>
  <c r="C370" i="92"/>
  <c r="C323" i="92"/>
  <c r="B319" i="92"/>
  <c r="C378" i="92"/>
  <c r="C424" i="92"/>
  <c r="C472" i="92"/>
  <c r="B311" i="92"/>
  <c r="C272" i="92"/>
  <c r="B433" i="92"/>
  <c r="C412" i="92"/>
  <c r="C382" i="92"/>
  <c r="B394" i="92"/>
  <c r="B391" i="92"/>
  <c r="B316" i="92"/>
  <c r="B273" i="92"/>
  <c r="C440" i="92"/>
  <c r="C345" i="92"/>
  <c r="C335" i="92"/>
  <c r="B340" i="92"/>
  <c r="C444" i="92"/>
  <c r="B388" i="92"/>
  <c r="C304" i="92"/>
  <c r="B515" i="92"/>
  <c r="B312" i="92"/>
  <c r="C414" i="92"/>
  <c r="C514" i="92"/>
  <c r="B299" i="92"/>
  <c r="B467" i="92"/>
  <c r="B275" i="92"/>
  <c r="B354" i="92"/>
  <c r="B336" i="92"/>
  <c r="B373" i="92"/>
  <c r="C434" i="92"/>
  <c r="B389" i="92"/>
  <c r="C308" i="92"/>
  <c r="B361" i="92"/>
  <c r="B286" i="92"/>
  <c r="B344" i="92"/>
  <c r="C442" i="92"/>
  <c r="B360" i="92"/>
  <c r="B487" i="92"/>
  <c r="B346" i="92"/>
  <c r="C327" i="92"/>
  <c r="B516" i="92"/>
  <c r="C322" i="92"/>
  <c r="C508" i="92"/>
  <c r="B486" i="92"/>
  <c r="B427" i="92"/>
  <c r="B282" i="92"/>
  <c r="B338" i="92"/>
  <c r="C375" i="92"/>
  <c r="C430" i="92"/>
  <c r="C503" i="92"/>
  <c r="C314" i="92"/>
  <c r="B507" i="92"/>
  <c r="C452" i="92"/>
  <c r="C357" i="92"/>
  <c r="B448" i="92"/>
  <c r="C479" i="92"/>
  <c r="B335" i="92"/>
  <c r="C446" i="92"/>
  <c r="B514" i="92"/>
  <c r="C486" i="92"/>
  <c r="C302" i="92"/>
  <c r="B284" i="92"/>
  <c r="B447" i="92"/>
  <c r="C277" i="92"/>
  <c r="B298" i="92"/>
  <c r="C334" i="92"/>
  <c r="C340" i="92"/>
  <c r="C338" i="92"/>
  <c r="B462" i="92"/>
  <c r="B508" i="92"/>
  <c r="C415" i="92"/>
  <c r="C371" i="92"/>
  <c r="C352" i="92"/>
  <c r="C315" i="92"/>
  <c r="B461" i="92"/>
  <c r="B315" i="92"/>
  <c r="C385" i="92"/>
  <c r="C462" i="92"/>
  <c r="C362" i="92"/>
  <c r="B350" i="92"/>
  <c r="B347" i="92"/>
  <c r="C517" i="92"/>
  <c r="C350" i="92"/>
  <c r="B441" i="92"/>
  <c r="B431" i="92"/>
  <c r="B351" i="92"/>
  <c r="C346" i="92"/>
  <c r="C276" i="92"/>
  <c r="B380" i="92"/>
  <c r="B452" i="92"/>
  <c r="B292" i="92"/>
  <c r="C420" i="92"/>
  <c r="B348" i="92"/>
  <c r="B327" i="92"/>
  <c r="C448" i="92"/>
  <c r="C483" i="92"/>
  <c r="B323" i="92"/>
  <c r="C388" i="92"/>
  <c r="C432" i="92"/>
  <c r="B364" i="92"/>
  <c r="B406" i="92"/>
  <c r="C468" i="92"/>
  <c r="C316" i="92"/>
  <c r="C392" i="92"/>
  <c r="C435" i="92"/>
  <c r="C485" i="92"/>
  <c r="B367" i="92"/>
  <c r="C513" i="92"/>
  <c r="C405" i="92"/>
  <c r="B291" i="92"/>
  <c r="B370" i="92"/>
  <c r="B502" i="92"/>
  <c r="B289" i="92"/>
  <c r="C384" i="92"/>
  <c r="C348" i="92"/>
  <c r="B437" i="92"/>
  <c r="B320" i="92"/>
  <c r="C390" i="92"/>
  <c r="C319" i="92"/>
  <c r="C393" i="92"/>
  <c r="C436" i="92"/>
  <c r="B402" i="92"/>
  <c r="C324" i="92"/>
  <c r="C353" i="92"/>
  <c r="C459" i="92"/>
  <c r="B396" i="92"/>
  <c r="C317" i="92"/>
  <c r="B438" i="92"/>
  <c r="C471" i="92"/>
  <c r="B521" i="92"/>
  <c r="B352" i="92"/>
  <c r="B345" i="92"/>
  <c r="B383" i="92"/>
  <c r="B324" i="92"/>
  <c r="C419" i="92"/>
  <c r="B301" i="92"/>
  <c r="C512" i="92"/>
  <c r="B330" i="92"/>
  <c r="C497" i="92"/>
  <c r="B293" i="92"/>
  <c r="B522" i="92"/>
  <c r="B369" i="92"/>
  <c r="B342" i="92"/>
  <c r="C336" i="92"/>
  <c r="B328" i="92"/>
  <c r="C515" i="92"/>
  <c r="B309" i="92"/>
  <c r="C341" i="92"/>
  <c r="C396" i="92"/>
  <c r="C358" i="92"/>
  <c r="B498" i="92"/>
  <c r="B326" i="92"/>
  <c r="C498" i="92"/>
  <c r="B403" i="92"/>
  <c r="B418" i="92"/>
  <c r="B489" i="92"/>
  <c r="B419" i="92"/>
  <c r="C469" i="92"/>
  <c r="B459" i="92"/>
  <c r="C355" i="92"/>
  <c r="C451" i="92"/>
  <c r="B440" i="92"/>
  <c r="C476" i="92"/>
  <c r="C463" i="92"/>
  <c r="C431" i="92"/>
  <c r="C447" i="92"/>
  <c r="B480" i="92"/>
  <c r="B272" i="92"/>
  <c r="C332" i="92"/>
  <c r="C284" i="92"/>
  <c r="C368" i="92"/>
  <c r="C445" i="92"/>
  <c r="C381" i="92"/>
  <c r="B470" i="92"/>
  <c r="C489" i="92"/>
  <c r="B283" i="92"/>
  <c r="B430" i="92"/>
  <c r="C453" i="92"/>
  <c r="B511" i="92"/>
  <c r="C428" i="92"/>
  <c r="C511" i="92"/>
  <c r="C294" i="92"/>
  <c r="B392" i="92"/>
  <c r="C493" i="92"/>
  <c r="B417" i="92"/>
  <c r="C417" i="92"/>
  <c r="C398" i="92"/>
  <c r="C311" i="92"/>
  <c r="C287" i="92"/>
  <c r="C441" i="92"/>
  <c r="C290" i="92"/>
  <c r="C331" i="92"/>
  <c r="B478" i="92"/>
  <c r="C291" i="92"/>
  <c r="C413" i="92"/>
  <c r="C501" i="92"/>
  <c r="C482" i="92"/>
  <c r="C285" i="92"/>
  <c r="B421" i="92"/>
  <c r="C422" i="92"/>
  <c r="B334" i="9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149" i="92"/>
  <c r="B267" i="92"/>
  <c r="B230" i="92"/>
  <c r="C210" i="92"/>
  <c r="B193" i="92"/>
  <c r="C120" i="92"/>
  <c r="C76" i="92"/>
  <c r="C186" i="92"/>
  <c r="B120" i="92"/>
  <c r="B25" i="92"/>
  <c r="C83" i="92"/>
  <c r="C130" i="92"/>
  <c r="B14" i="92"/>
  <c r="B166" i="92"/>
  <c r="C123" i="92"/>
  <c r="B220" i="92"/>
  <c r="C96" i="92"/>
  <c r="B113" i="92"/>
  <c r="B218" i="92"/>
  <c r="B231" i="92"/>
  <c r="B111" i="92"/>
  <c r="C56" i="92"/>
  <c r="B27" i="92"/>
  <c r="C86" i="92"/>
  <c r="C246" i="92"/>
  <c r="C170" i="92"/>
  <c r="B47" i="92"/>
  <c r="B88" i="92"/>
  <c r="C175" i="92"/>
  <c r="B46" i="92"/>
  <c r="B142" i="92"/>
  <c r="B181" i="92"/>
  <c r="B101" i="92"/>
  <c r="B133" i="92"/>
  <c r="B91" i="92"/>
  <c r="C269" i="92"/>
  <c r="C127" i="92"/>
  <c r="B175" i="92"/>
  <c r="B269" i="92"/>
  <c r="C224" i="92"/>
  <c r="C15" i="92"/>
  <c r="C239" i="92"/>
  <c r="C89" i="92"/>
  <c r="B123" i="92"/>
  <c r="C200" i="92"/>
  <c r="C265" i="92"/>
  <c r="C82" i="92"/>
  <c r="C94" i="92"/>
  <c r="C51" i="92"/>
  <c r="C196" i="92"/>
  <c r="C252" i="92"/>
  <c r="B63" i="92"/>
  <c r="C214" i="92"/>
  <c r="B253" i="92"/>
  <c r="C174" i="92"/>
  <c r="B224" i="92"/>
  <c r="C91" i="92"/>
  <c r="B21" i="92"/>
  <c r="C223" i="92"/>
  <c r="B26" i="92"/>
  <c r="C124" i="92"/>
  <c r="C218" i="92"/>
  <c r="B233" i="92"/>
  <c r="C43" i="92"/>
  <c r="C225" i="92"/>
  <c r="B162" i="92"/>
  <c r="B238" i="92"/>
  <c r="B12" i="92"/>
  <c r="C131" i="92"/>
  <c r="B35" i="92"/>
  <c r="B19" i="92"/>
  <c r="C67" i="92"/>
  <c r="C19" i="92"/>
  <c r="C33" i="92"/>
  <c r="C211" i="92"/>
  <c r="C253" i="92"/>
  <c r="C100" i="92"/>
  <c r="C59" i="92"/>
  <c r="B257" i="92"/>
  <c r="B199" i="92"/>
  <c r="B239" i="92"/>
  <c r="C177" i="92"/>
  <c r="B129" i="92"/>
  <c r="B136" i="92"/>
  <c r="B4" i="92"/>
  <c r="B76" i="92"/>
  <c r="B209" i="92"/>
  <c r="B251" i="92"/>
  <c r="C232" i="92"/>
  <c r="C251" i="92"/>
  <c r="B48" i="92"/>
  <c r="C169" i="92"/>
  <c r="C238" i="92"/>
  <c r="C29" i="92"/>
  <c r="C14" i="92"/>
  <c r="B149" i="92"/>
  <c r="B138" i="92"/>
  <c r="C133" i="92"/>
  <c r="B87" i="92"/>
  <c r="B37" i="92"/>
  <c r="C241" i="92"/>
  <c r="B174" i="92"/>
  <c r="C532" i="92"/>
  <c r="C132" i="92"/>
  <c r="B100" i="92"/>
  <c r="B66" i="92"/>
  <c r="C126" i="92"/>
  <c r="B20" i="92"/>
  <c r="B65" i="92"/>
  <c r="C54" i="92"/>
  <c r="C162" i="92"/>
  <c r="B164" i="92"/>
  <c r="B254" i="92"/>
  <c r="C81" i="92"/>
  <c r="C27" i="92"/>
  <c r="C168" i="92"/>
  <c r="B135" i="92"/>
  <c r="B125" i="92"/>
  <c r="C137" i="92"/>
  <c r="B171" i="92"/>
  <c r="C201" i="92"/>
  <c r="B90" i="92"/>
  <c r="C46" i="92"/>
  <c r="B201" i="92"/>
  <c r="B70" i="92"/>
  <c r="C182" i="92"/>
  <c r="C267" i="92"/>
  <c r="C144" i="92"/>
  <c r="B189" i="92"/>
  <c r="C5" i="92"/>
  <c r="C181" i="92"/>
  <c r="C193" i="92"/>
  <c r="C10" i="92"/>
  <c r="C188" i="92"/>
  <c r="B250" i="92"/>
  <c r="B263" i="92"/>
  <c r="C109" i="92"/>
  <c r="B270" i="92"/>
  <c r="C141" i="92"/>
  <c r="C261" i="92"/>
  <c r="C30" i="92"/>
  <c r="B7" i="92"/>
  <c r="C58" i="92"/>
  <c r="C189" i="92"/>
  <c r="B85" i="92"/>
  <c r="C85" i="92"/>
  <c r="B11" i="92"/>
  <c r="B256" i="92"/>
  <c r="B266" i="92"/>
  <c r="C172" i="92"/>
  <c r="B109" i="92"/>
  <c r="B128" i="92"/>
  <c r="B249" i="92"/>
  <c r="C84" i="92"/>
  <c r="C221" i="92"/>
  <c r="C102" i="92"/>
  <c r="C529" i="92"/>
  <c r="C226" i="92"/>
  <c r="B248" i="92"/>
  <c r="C229" i="92"/>
  <c r="B51" i="92"/>
  <c r="B28" i="92"/>
  <c r="C63" i="92"/>
  <c r="B140" i="92"/>
  <c r="B192" i="92"/>
  <c r="B71" i="92"/>
  <c r="C233" i="92"/>
  <c r="C9" i="92"/>
  <c r="B18" i="92"/>
  <c r="B59" i="92"/>
  <c r="B116" i="92"/>
  <c r="C25" i="92"/>
  <c r="C78" i="92"/>
  <c r="C256" i="92"/>
  <c r="C106" i="92"/>
  <c r="C190" i="92"/>
  <c r="C73" i="92"/>
  <c r="C207" i="92"/>
  <c r="C70" i="92"/>
  <c r="B126" i="92"/>
  <c r="C243" i="92"/>
  <c r="C178" i="92"/>
  <c r="C167" i="92"/>
  <c r="B83" i="92"/>
  <c r="C55" i="92"/>
  <c r="B200" i="92"/>
  <c r="C187" i="92"/>
  <c r="B6" i="92"/>
  <c r="C28" i="92"/>
  <c r="B173" i="92"/>
  <c r="C227" i="92"/>
  <c r="C98" i="92"/>
  <c r="C161" i="92"/>
  <c r="B132" i="92"/>
  <c r="B262" i="92"/>
  <c r="C166" i="92"/>
  <c r="C199" i="92"/>
  <c r="B259" i="92"/>
  <c r="C209" i="92"/>
  <c r="C250" i="92"/>
  <c r="C7" i="92"/>
  <c r="B225" i="92"/>
  <c r="B141" i="92"/>
  <c r="C204" i="92"/>
  <c r="B258" i="92"/>
  <c r="C69" i="92"/>
  <c r="C179" i="92"/>
  <c r="C74" i="92"/>
  <c r="B208" i="92"/>
  <c r="C52" i="92"/>
  <c r="B196" i="92"/>
  <c r="B16" i="92"/>
  <c r="C205" i="92"/>
  <c r="C129" i="92"/>
  <c r="B168" i="92"/>
  <c r="B78" i="92"/>
  <c r="C32" i="92"/>
  <c r="B75" i="92"/>
  <c r="B50" i="92"/>
  <c r="C134" i="92"/>
  <c r="C257" i="92"/>
  <c r="B202" i="92"/>
  <c r="C270" i="92"/>
  <c r="C61" i="92"/>
  <c r="C219" i="92"/>
  <c r="B62" i="92"/>
  <c r="B124" i="92"/>
  <c r="C103" i="92"/>
  <c r="C180" i="92"/>
  <c r="B215" i="92"/>
  <c r="C75" i="92"/>
  <c r="C217" i="92"/>
  <c r="C263" i="92"/>
  <c r="B73" i="92"/>
  <c r="C110" i="92"/>
  <c r="C79" i="92"/>
  <c r="C146" i="92"/>
  <c r="C47" i="92"/>
  <c r="B53" i="92"/>
  <c r="B8" i="92"/>
  <c r="C12" i="92"/>
  <c r="C525" i="92"/>
  <c r="B242" i="92"/>
  <c r="C11" i="92"/>
  <c r="C255" i="92"/>
  <c r="C150" i="92"/>
  <c r="B532" i="92"/>
  <c r="B30" i="92"/>
  <c r="B182" i="92"/>
  <c r="B180" i="92"/>
  <c r="C184" i="92"/>
  <c r="C237" i="92"/>
  <c r="B247" i="92"/>
  <c r="B95" i="92"/>
  <c r="C72" i="92"/>
  <c r="C191" i="92"/>
  <c r="B179" i="92"/>
  <c r="B94" i="92"/>
  <c r="C111" i="92"/>
  <c r="B235" i="92"/>
  <c r="B93" i="92"/>
  <c r="C24" i="92"/>
  <c r="B252" i="92"/>
  <c r="B55" i="92"/>
  <c r="B110" i="92"/>
  <c r="B261" i="92"/>
  <c r="B143" i="92"/>
  <c r="C236" i="92"/>
  <c r="C148" i="92"/>
  <c r="C228" i="92"/>
  <c r="C173" i="92"/>
  <c r="C147" i="92"/>
  <c r="B144" i="92"/>
  <c r="B167" i="92"/>
  <c r="B137" i="92"/>
  <c r="C107" i="92"/>
  <c r="B99" i="92"/>
  <c r="C48" i="92"/>
  <c r="B222" i="92"/>
  <c r="B106" i="92"/>
  <c r="C143" i="92"/>
  <c r="C165" i="92"/>
  <c r="C212" i="92"/>
  <c r="B115" i="92"/>
  <c r="B240" i="92"/>
  <c r="B245" i="92"/>
  <c r="C125" i="92"/>
  <c r="B44" i="92"/>
  <c r="C247" i="92"/>
  <c r="B34" i="92"/>
  <c r="B198" i="92"/>
  <c r="B96" i="92"/>
  <c r="B204" i="92"/>
  <c r="C220" i="92"/>
  <c r="B531" i="92"/>
  <c r="B84" i="92"/>
  <c r="B29" i="92"/>
  <c r="B148" i="92"/>
  <c r="B139" i="92"/>
  <c r="B107" i="92"/>
  <c r="B237" i="92"/>
  <c r="C21" i="92"/>
  <c r="B528" i="92"/>
  <c r="B169" i="92"/>
  <c r="C176" i="92"/>
  <c r="B206" i="92"/>
  <c r="B205" i="92"/>
  <c r="B524" i="92"/>
  <c r="C128" i="92"/>
  <c r="C80" i="92"/>
  <c r="C108" i="92"/>
  <c r="C198" i="92"/>
  <c r="C530" i="92"/>
  <c r="B3" i="92"/>
  <c r="B43" i="92"/>
  <c r="B103" i="92"/>
  <c r="B5" i="92"/>
  <c r="B127" i="92"/>
  <c r="C216" i="92"/>
  <c r="B216" i="92"/>
  <c r="B244" i="92"/>
  <c r="B246" i="92"/>
  <c r="B529" i="92"/>
  <c r="C206" i="92"/>
  <c r="C57" i="92"/>
  <c r="B56" i="92"/>
  <c r="B210" i="92"/>
  <c r="B255" i="92"/>
  <c r="C235" i="92"/>
  <c r="C8" i="92"/>
  <c r="C234" i="92"/>
  <c r="C183" i="92"/>
  <c r="C115" i="92"/>
  <c r="C4" i="92"/>
  <c r="B72" i="92"/>
  <c r="B69" i="92"/>
  <c r="C112" i="92"/>
  <c r="C114" i="92"/>
  <c r="B195" i="92"/>
  <c r="C208" i="92"/>
  <c r="B15" i="92"/>
  <c r="C268" i="92"/>
  <c r="B228" i="92"/>
  <c r="C121" i="92"/>
  <c r="C140" i="92"/>
  <c r="C213" i="92"/>
  <c r="C195" i="92"/>
  <c r="C185" i="92"/>
  <c r="B178" i="92"/>
  <c r="C20" i="92"/>
  <c r="B81" i="92"/>
  <c r="B74" i="92"/>
  <c r="C138" i="92"/>
  <c r="B268" i="92"/>
  <c r="C95" i="92"/>
  <c r="C44" i="92"/>
  <c r="B243" i="92"/>
  <c r="C122" i="92"/>
  <c r="C105" i="92"/>
  <c r="C97" i="92"/>
  <c r="B232" i="92"/>
  <c r="C528" i="92"/>
  <c r="C22" i="92"/>
  <c r="B161" i="92"/>
  <c r="C258" i="92"/>
  <c r="B194" i="92"/>
  <c r="C26" i="92"/>
  <c r="C136" i="92"/>
  <c r="C142" i="92"/>
  <c r="C151" i="92"/>
  <c r="C242" i="92"/>
  <c r="B264" i="92"/>
  <c r="B33" i="92"/>
  <c r="B145" i="92"/>
  <c r="C45" i="92"/>
  <c r="B104" i="92"/>
  <c r="C77" i="92"/>
  <c r="B89" i="92"/>
  <c r="B212" i="92"/>
  <c r="C99" i="92"/>
  <c r="B68" i="92"/>
  <c r="B186" i="92"/>
  <c r="B117" i="92"/>
  <c r="B92" i="92"/>
  <c r="C65" i="92"/>
  <c r="B60" i="92"/>
  <c r="C266" i="92"/>
  <c r="B236" i="92"/>
  <c r="C18" i="92"/>
  <c r="C222" i="92"/>
  <c r="B207" i="92"/>
  <c r="B184" i="92"/>
  <c r="C194" i="92"/>
  <c r="C118" i="92"/>
  <c r="B190" i="92"/>
  <c r="B79" i="92"/>
  <c r="C87" i="92"/>
  <c r="B223" i="92"/>
  <c r="B97" i="92"/>
  <c r="B77" i="92"/>
  <c r="B530" i="92"/>
  <c r="B265" i="92"/>
  <c r="C36" i="92"/>
  <c r="B227" i="92"/>
  <c r="C230" i="92"/>
  <c r="B58" i="92"/>
  <c r="C90" i="92"/>
  <c r="B24" i="92"/>
  <c r="B151" i="92"/>
  <c r="B176" i="92"/>
  <c r="B527" i="92"/>
  <c r="B226" i="92"/>
  <c r="B118" i="92"/>
  <c r="B214" i="92"/>
  <c r="B22" i="92"/>
  <c r="C60" i="92"/>
  <c r="C117" i="92"/>
  <c r="B221" i="92"/>
  <c r="B131" i="92"/>
  <c r="C171" i="92"/>
  <c r="B163" i="92"/>
  <c r="B150" i="92"/>
  <c r="B36" i="92"/>
  <c r="B188" i="92"/>
  <c r="C116" i="92"/>
  <c r="B165" i="92"/>
  <c r="B105" i="92"/>
  <c r="B52" i="92"/>
  <c r="B119" i="92"/>
  <c r="B229" i="92"/>
  <c r="C53" i="92"/>
  <c r="B9" i="92"/>
  <c r="C92" i="92"/>
  <c r="C192" i="92"/>
  <c r="C231" i="92"/>
  <c r="B183" i="92"/>
  <c r="B114" i="92"/>
  <c r="C71" i="92"/>
  <c r="B172" i="92"/>
  <c r="C3" i="92"/>
  <c r="B203" i="92"/>
  <c r="B213" i="92"/>
  <c r="B211" i="92"/>
  <c r="B130" i="92"/>
  <c r="B146" i="92"/>
  <c r="B197" i="92"/>
  <c r="C248" i="92"/>
  <c r="B23" i="92"/>
  <c r="B177" i="92"/>
  <c r="B241" i="92"/>
  <c r="B45" i="92"/>
  <c r="C139" i="92"/>
  <c r="C35" i="92"/>
  <c r="C264" i="92"/>
  <c r="C50" i="92"/>
  <c r="C37" i="92"/>
  <c r="C64" i="92"/>
  <c r="C531" i="92"/>
  <c r="C202" i="92"/>
  <c r="C203" i="92"/>
  <c r="B57" i="92"/>
  <c r="B10" i="92"/>
  <c r="B64" i="92"/>
  <c r="B121" i="92"/>
  <c r="C163" i="92"/>
  <c r="C34" i="92"/>
  <c r="B54" i="92"/>
  <c r="C259" i="92"/>
  <c r="C524" i="92"/>
  <c r="C93" i="92"/>
  <c r="C23" i="92"/>
  <c r="B219" i="92"/>
  <c r="C135" i="92"/>
  <c r="C16" i="92"/>
  <c r="B82" i="92"/>
  <c r="B147" i="92"/>
  <c r="B98" i="92"/>
  <c r="C215" i="92"/>
  <c r="B217" i="92"/>
  <c r="C240" i="92"/>
  <c r="C88" i="92"/>
  <c r="B49" i="92"/>
  <c r="B187" i="92"/>
  <c r="B86" i="92"/>
  <c r="C245" i="92"/>
  <c r="C6" i="92"/>
  <c r="C101" i="92"/>
  <c r="C68" i="92"/>
  <c r="B234" i="92"/>
  <c r="B525" i="92"/>
  <c r="C197" i="92"/>
  <c r="B112" i="92"/>
  <c r="B122" i="92"/>
  <c r="B526" i="92"/>
  <c r="B260" i="92"/>
  <c r="C526" i="92"/>
  <c r="C66" i="92"/>
  <c r="C62" i="92"/>
  <c r="B67" i="92"/>
  <c r="B108" i="92"/>
  <c r="C119" i="92"/>
  <c r="C244" i="92"/>
  <c r="C527" i="92"/>
  <c r="C262" i="92"/>
  <c r="C49" i="92"/>
  <c r="C145" i="92"/>
  <c r="C249" i="92"/>
  <c r="C104" i="92"/>
  <c r="B170" i="92"/>
  <c r="C164" i="92"/>
  <c r="B61" i="92"/>
  <c r="B134" i="92"/>
  <c r="B185" i="92"/>
  <c r="C113" i="92"/>
  <c r="C254" i="92"/>
  <c r="C260" i="92"/>
  <c r="B191" i="92"/>
  <c r="B102" i="92"/>
  <c r="B32" i="92"/>
  <c r="B80"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<sst xmlns="http://schemas.openxmlformats.org/spreadsheetml/2006/main" count="11810" uniqueCount="1668">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</sst>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pplyProtection="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4"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184" fontId="0" fillId="3" borderId="8" xfId="0" applyNumberFormat="1" applyFill="1" applyBorder="1" applyAlignment="1" applyProtection="1">
      <alignment horizontal="center" vertical="center"/>
    </xf>
    <xf numFmtId="183" fontId="0" fillId="3" borderId="8" xfId="0" applyNumberFormat="1" applyFill="1" applyBorder="1" applyAlignment="1" applyProtection="1">
      <alignment horizontal="center" vertical="center"/>
    </xf>
    <xf numFmtId="183" fontId="0" fillId="6" borderId="8" xfId="0" applyNumberFormat="1" applyFill="1" applyBorder="1" applyAlignment="1" applyProtection="1">
      <alignment horizontal="center" vertical="center"/>
    </xf>
    <xf numFmtId="183" fontId="0" fillId="6" borderId="8" xfId="0" applyNumberFormat="1" applyFill="1" applyBorder="1" applyAlignment="1" applyProtection="1">
      <alignment horizontal="center" vertical="center"/>
      <protection locked="0"/>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30">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99" t="s">
        <v>759</v>
      </c>
      <c r="B1" s="1299"/>
      <c r="C1" s="1299"/>
      <c r="D1" s="1299"/>
      <c r="E1" s="1299"/>
    </row>
    <row r="2" spans="1:5" x14ac:dyDescent="0.25">
      <c r="A2" s="1299" t="s">
        <v>760</v>
      </c>
      <c r="B2" s="1299"/>
      <c r="C2" s="1299"/>
      <c r="D2" s="1299"/>
      <c r="E2" s="1299"/>
    </row>
    <row r="3" spans="1:5" x14ac:dyDescent="0.25">
      <c r="A3" s="71"/>
    </row>
    <row r="4" spans="1:5" ht="78" customHeight="1" x14ac:dyDescent="0.25">
      <c r="A4" s="1320" t="s">
        <v>761</v>
      </c>
      <c r="B4" s="1320"/>
      <c r="C4" s="1320"/>
      <c r="D4" s="1320"/>
      <c r="E4" s="1320"/>
    </row>
    <row r="5" spans="1:5" x14ac:dyDescent="0.25">
      <c r="A5" s="71"/>
    </row>
    <row r="6" spans="1:5" ht="31.5" customHeight="1" x14ac:dyDescent="0.25">
      <c r="A6" s="1319" t="s">
        <v>762</v>
      </c>
      <c r="B6" s="1319"/>
      <c r="C6" s="1319"/>
      <c r="D6" s="1319"/>
      <c r="E6" s="1319"/>
    </row>
    <row r="7" spans="1:5" ht="15.75" thickBot="1" x14ac:dyDescent="0.3">
      <c r="A7" s="72"/>
    </row>
    <row r="8" spans="1:5" ht="15" customHeight="1" x14ac:dyDescent="0.25">
      <c r="A8" s="1313" t="s">
        <v>763</v>
      </c>
      <c r="B8" s="1314"/>
      <c r="C8" s="1314"/>
      <c r="D8" s="1314"/>
      <c r="E8" s="1315"/>
    </row>
    <row r="9" spans="1:5" ht="15" customHeight="1" thickBot="1" x14ac:dyDescent="0.3">
      <c r="A9" s="1316" t="s">
        <v>764</v>
      </c>
      <c r="B9" s="1317"/>
      <c r="C9" s="1317"/>
      <c r="D9" s="1317"/>
      <c r="E9" s="1318"/>
    </row>
    <row r="10" spans="1:5" x14ac:dyDescent="0.25">
      <c r="A10" s="73"/>
      <c r="B10" s="1310"/>
      <c r="C10" s="1310"/>
      <c r="D10" s="77"/>
    </row>
    <row r="11" spans="1:5" ht="31.5" customHeight="1" thickBot="1" x14ac:dyDescent="0.3">
      <c r="A11" s="75" t="s">
        <v>765</v>
      </c>
      <c r="B11" s="1311" t="s">
        <v>766</v>
      </c>
      <c r="C11" s="1311"/>
      <c r="D11" s="77">
        <f>Welcome!$D$4</f>
        <v>0</v>
      </c>
    </row>
    <row r="12" spans="1:5" ht="15.75" thickBot="1" x14ac:dyDescent="0.3">
      <c r="A12" s="75" t="s">
        <v>767</v>
      </c>
      <c r="B12" s="1312">
        <f>'MDA Worksheet'!$R$18</f>
        <v>0</v>
      </c>
      <c r="C12" s="131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09"/>
      <c r="C17" s="1309"/>
      <c r="D17" s="1309"/>
      <c r="E17" s="1309"/>
    </row>
    <row r="18" spans="1:5" x14ac:dyDescent="0.25">
      <c r="A18" s="73"/>
      <c r="B18" s="116"/>
      <c r="C18" s="73"/>
      <c r="D18" s="116"/>
    </row>
    <row r="19" spans="1:5" ht="15.75" thickBot="1" x14ac:dyDescent="0.3">
      <c r="A19" s="75" t="s">
        <v>843</v>
      </c>
      <c r="B19" s="1309">
        <f>Welcome!$D$8</f>
        <v>0</v>
      </c>
      <c r="C19" s="1309"/>
      <c r="D19" s="1309"/>
      <c r="E19" s="130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1" t="s">
        <v>1242</v>
      </c>
      <c r="B42" s="1322"/>
      <c r="C42" s="1322"/>
      <c r="D42" s="1322"/>
      <c r="E42" s="1323"/>
    </row>
    <row r="43" spans="1:5" s="809" customFormat="1" x14ac:dyDescent="0.25">
      <c r="A43" s="1330"/>
      <c r="B43" s="1331"/>
      <c r="C43" s="1331"/>
      <c r="D43" s="1331"/>
      <c r="E43" s="1332"/>
    </row>
    <row r="44" spans="1:5" s="809" customFormat="1" ht="15.75" thickBot="1" x14ac:dyDescent="0.3">
      <c r="A44" s="1333"/>
      <c r="B44" s="1334"/>
      <c r="C44" s="1334"/>
      <c r="D44" s="1334"/>
      <c r="E44" s="1335"/>
    </row>
    <row r="45" spans="1:5" s="809" customFormat="1" ht="15.75" thickBot="1" x14ac:dyDescent="0.3">
      <c r="A45" s="842"/>
    </row>
    <row r="46" spans="1:5" s="809" customFormat="1" ht="15.75" thickBot="1" x14ac:dyDescent="0.3">
      <c r="A46" s="1321" t="s">
        <v>1231</v>
      </c>
      <c r="B46" s="1322"/>
      <c r="C46" s="1322"/>
      <c r="D46" s="1322"/>
      <c r="E46" s="1323"/>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4"/>
      <c r="B53" s="1325"/>
      <c r="C53" s="1325"/>
      <c r="D53" s="1325"/>
      <c r="E53" s="1326"/>
    </row>
    <row r="54" spans="1:5" s="809" customFormat="1" ht="15.75" thickBot="1" x14ac:dyDescent="0.3">
      <c r="A54" s="1327"/>
      <c r="B54" s="1328"/>
      <c r="C54" s="1328"/>
      <c r="D54" s="1328"/>
      <c r="E54" s="1329"/>
    </row>
    <row r="55" spans="1:5" ht="15.75" thickBot="1" x14ac:dyDescent="0.3">
      <c r="A55" s="842"/>
      <c r="B55" s="809"/>
      <c r="C55" s="809"/>
      <c r="D55" s="809"/>
      <c r="E55" s="809"/>
    </row>
    <row r="56" spans="1:5" ht="30.75" customHeight="1" thickBot="1" x14ac:dyDescent="0.3">
      <c r="A56" s="1300" t="s">
        <v>775</v>
      </c>
      <c r="B56" s="1301"/>
      <c r="C56" s="1301"/>
      <c r="D56" s="1301"/>
      <c r="E56" s="1302"/>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3" t="s">
        <v>787</v>
      </c>
      <c r="B67" s="1304"/>
      <c r="C67" s="1304"/>
      <c r="D67" s="1304"/>
      <c r="E67" s="1305"/>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6" t="s">
        <v>1243</v>
      </c>
      <c r="B74" s="1337"/>
      <c r="C74" s="1337"/>
      <c r="D74" s="1337"/>
      <c r="E74" s="1338"/>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06" t="s">
        <v>790</v>
      </c>
      <c r="B78" s="1307"/>
      <c r="C78" s="1307"/>
      <c r="D78" s="1307"/>
      <c r="E78" s="1308"/>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06" t="s">
        <v>792</v>
      </c>
      <c r="B83" s="1307"/>
      <c r="C83" s="1307"/>
      <c r="D83" s="1307"/>
      <c r="E83" s="1308"/>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29" priority="7">
      <formula>NOT(ISBLANK(C48))</formula>
    </cfRule>
  </conditionalFormatting>
  <conditionalFormatting sqref="E48">
    <cfRule type="expression" dxfId="428" priority="6">
      <formula>NOT(ISBLANK(E48))</formula>
    </cfRule>
  </conditionalFormatting>
  <conditionalFormatting sqref="E49">
    <cfRule type="expression" dxfId="427" priority="5">
      <formula>NOT(ISBLANK(E49))</formula>
    </cfRule>
  </conditionalFormatting>
  <conditionalFormatting sqref="E51">
    <cfRule type="expression" dxfId="426" priority="4">
      <formula>NOT(ISBLANK(E51))</formula>
    </cfRule>
  </conditionalFormatting>
  <conditionalFormatting sqref="C49">
    <cfRule type="expression" dxfId="425" priority="3">
      <formula>NOT(ISBLANK(C49))</formula>
    </cfRule>
  </conditionalFormatting>
  <conditionalFormatting sqref="C50">
    <cfRule type="expression" dxfId="424" priority="2">
      <formula>NOT(ISBLANK(C50))</formula>
    </cfRule>
  </conditionalFormatting>
  <conditionalFormatting sqref="C51">
    <cfRule type="expression" dxfId="4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9" t="s">
        <v>1215</v>
      </c>
      <c r="D3" s="134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0" t="s">
        <v>1260</v>
      </c>
      <c r="C29" s="1351"/>
      <c r="D29" s="1351"/>
      <c r="E29" s="1351"/>
      <c r="F29" s="1351"/>
      <c r="G29" s="1351"/>
      <c r="H29" s="1351"/>
      <c r="I29" s="135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1"/>
      <c r="C30" s="1342"/>
      <c r="D30" s="1342"/>
      <c r="E30" s="1342"/>
      <c r="F30" s="1342"/>
      <c r="G30" s="1342"/>
      <c r="H30" s="1342"/>
      <c r="I30" s="134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4"/>
      <c r="C31" s="1345"/>
      <c r="D31" s="1345"/>
      <c r="E31" s="1345"/>
      <c r="F31" s="1345"/>
      <c r="G31" s="1345"/>
      <c r="H31" s="1345"/>
      <c r="I31" s="134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4"/>
      <c r="C32" s="1345"/>
      <c r="D32" s="1345"/>
      <c r="E32" s="1345"/>
      <c r="F32" s="1345"/>
      <c r="G32" s="1345"/>
      <c r="H32" s="1345"/>
      <c r="I32" s="134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4"/>
      <c r="C33" s="1345"/>
      <c r="D33" s="1345"/>
      <c r="E33" s="1345"/>
      <c r="F33" s="1345"/>
      <c r="G33" s="1345"/>
      <c r="H33" s="1345"/>
      <c r="I33" s="134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4"/>
      <c r="C34" s="1345"/>
      <c r="D34" s="1345"/>
      <c r="E34" s="1345"/>
      <c r="F34" s="1345"/>
      <c r="G34" s="1345"/>
      <c r="H34" s="1345"/>
      <c r="I34" s="134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7"/>
      <c r="C35" s="1348"/>
      <c r="D35" s="1348"/>
      <c r="E35" s="1348"/>
      <c r="F35" s="1348"/>
      <c r="G35" s="1348"/>
      <c r="H35" s="1348"/>
      <c r="I35" s="134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3" t="s">
        <v>1166</v>
      </c>
      <c r="C37" s="1354"/>
      <c r="D37" s="1354"/>
      <c r="E37" s="1354"/>
      <c r="F37" s="1354"/>
      <c r="G37" s="1354"/>
      <c r="H37" s="1354"/>
      <c r="I37" s="135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1"/>
      <c r="C38" s="1342"/>
      <c r="D38" s="1342"/>
      <c r="E38" s="1342"/>
      <c r="F38" s="1342"/>
      <c r="G38" s="1342"/>
      <c r="H38" s="1342"/>
      <c r="I38" s="134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4"/>
      <c r="C39" s="1345"/>
      <c r="D39" s="1345"/>
      <c r="E39" s="1345"/>
      <c r="F39" s="1345"/>
      <c r="G39" s="1345"/>
      <c r="H39" s="1345"/>
      <c r="I39" s="134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4"/>
      <c r="C40" s="1345"/>
      <c r="D40" s="1345"/>
      <c r="E40" s="1345"/>
      <c r="F40" s="1345"/>
      <c r="G40" s="1345"/>
      <c r="H40" s="1345"/>
      <c r="I40" s="134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4"/>
      <c r="C41" s="1345"/>
      <c r="D41" s="1345"/>
      <c r="E41" s="1345"/>
      <c r="F41" s="1345"/>
      <c r="G41" s="1345"/>
      <c r="H41" s="1345"/>
      <c r="I41" s="134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4"/>
      <c r="C42" s="1345"/>
      <c r="D42" s="1345"/>
      <c r="E42" s="1345"/>
      <c r="F42" s="1345"/>
      <c r="G42" s="1345"/>
      <c r="H42" s="1345"/>
      <c r="I42" s="134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7"/>
      <c r="C43" s="1348"/>
      <c r="D43" s="1348"/>
      <c r="E43" s="1348"/>
      <c r="F43" s="1348"/>
      <c r="G43" s="1348"/>
      <c r="H43" s="1348"/>
      <c r="I43" s="13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2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6" t="s">
        <v>917</v>
      </c>
      <c r="G2" s="1356"/>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1"/>
      <c r="M3" s="1361"/>
      <c r="N3" s="1361"/>
      <c r="O3" s="741"/>
      <c r="P3" s="1357" t="str">
        <f>IF(COUNTIFS($P$6:$P$15,"&gt;0")&lt;$C$4,"Must Enter Expected Sales for All Locations","")</f>
        <v/>
      </c>
      <c r="Q3" s="1357"/>
      <c r="R3" s="135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8" t="str">
        <f>IF(COUNTIFS($P$6:$P$15,"&gt;0")&lt;$C$4,"VVVVV","")</f>
        <v/>
      </c>
      <c r="P4" s="1358"/>
      <c r="Q4" s="1358"/>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9">
        <f>SUM($I$6:$I$15)</f>
        <v>0</v>
      </c>
      <c r="J17" s="1362" t="s">
        <v>1396</v>
      </c>
      <c r="K17" s="1364">
        <f>SUM($K$6:$K$15)</f>
        <v>0</v>
      </c>
      <c r="L17" s="1362" t="s">
        <v>1397</v>
      </c>
      <c r="M17" s="740"/>
      <c r="N17" s="740"/>
      <c r="O17" s="740"/>
      <c r="P17" s="1359">
        <f>SUMIF($F$6:$F$15,"&gt;0",$P$6:$P$15)</f>
        <v>0</v>
      </c>
      <c r="Q17" s="1366"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0"/>
      <c r="J18" s="1363"/>
      <c r="K18" s="1365"/>
      <c r="L18" s="1363"/>
      <c r="M18" s="740"/>
      <c r="N18" s="740"/>
      <c r="O18" s="740"/>
      <c r="P18" s="1360"/>
      <c r="Q18" s="1367"/>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21" priority="15">
      <formula>$U6="Existing"</formula>
    </cfRule>
    <cfRule type="expression" dxfId="420" priority="39">
      <formula>AND($K6&lt;&gt;"Enter Spend&gt;&gt;&gt;",$U6&lt;&gt;"Prospect")</formula>
    </cfRule>
  </conditionalFormatting>
  <conditionalFormatting sqref="S6:S15">
    <cfRule type="expression" dxfId="419" priority="33">
      <formula>$W6="Zip Code Not Serviced"</formula>
    </cfRule>
  </conditionalFormatting>
  <conditionalFormatting sqref="L3:N3">
    <cfRule type="expression" dxfId="418" priority="29">
      <formula>$AN$4&gt;0</formula>
    </cfRule>
  </conditionalFormatting>
  <conditionalFormatting sqref="T6:V15">
    <cfRule type="expression" dxfId="417" priority="24">
      <formula>AND($K6&lt;&gt;"Enter Spend&gt;&gt;&gt;",$U$6&lt;&gt;"Prospect")</formula>
    </cfRule>
  </conditionalFormatting>
  <conditionalFormatting sqref="T6:V15">
    <cfRule type="expression" dxfId="416" priority="25">
      <formula>$F6=""</formula>
    </cfRule>
    <cfRule type="notContainsBlanks" dxfId="415" priority="26">
      <formula>LEN(TRIM(T6))&gt;0</formula>
    </cfRule>
  </conditionalFormatting>
  <conditionalFormatting sqref="T6:V15">
    <cfRule type="expression" dxfId="414" priority="23">
      <formula>$AN6="FLAG"</formula>
    </cfRule>
  </conditionalFormatting>
  <conditionalFormatting sqref="T6:T15">
    <cfRule type="expression" dxfId="413" priority="22">
      <formula>$W6="Zip Code Not Serviced"</formula>
    </cfRule>
  </conditionalFormatting>
  <conditionalFormatting sqref="T6:T15">
    <cfRule type="expression" dxfId="412" priority="21">
      <formula>$W6="Zip Code Not Serviced"</formula>
    </cfRule>
  </conditionalFormatting>
  <conditionalFormatting sqref="U6:U15">
    <cfRule type="expression" dxfId="411" priority="20">
      <formula>$W6="Zip Code Not Serviced"</formula>
    </cfRule>
  </conditionalFormatting>
  <conditionalFormatting sqref="P6:S15">
    <cfRule type="expression" dxfId="410" priority="40">
      <formula>$F6=""</formula>
    </cfRule>
    <cfRule type="notContainsBlanks" dxfId="409" priority="41">
      <formula>LEN(TRIM(P6))&gt;0</formula>
    </cfRule>
  </conditionalFormatting>
  <conditionalFormatting sqref="K6:K15 M6:N15 P6:S15">
    <cfRule type="expression" dxfId="408" priority="27">
      <formula>$AN6="FLAG"</formula>
    </cfRule>
  </conditionalFormatting>
  <conditionalFormatting sqref="U14">
    <cfRule type="expression" dxfId="407" priority="14">
      <formula>$AP14="Prospect"</formula>
    </cfRule>
  </conditionalFormatting>
  <conditionalFormatting sqref="U13">
    <cfRule type="expression" dxfId="406" priority="13">
      <formula>$AP13="Prospect"</formula>
    </cfRule>
  </conditionalFormatting>
  <conditionalFormatting sqref="U15">
    <cfRule type="expression" dxfId="405" priority="12">
      <formula>$AP15="Prospect"</formula>
    </cfRule>
  </conditionalFormatting>
  <conditionalFormatting sqref="U12">
    <cfRule type="expression" dxfId="404" priority="11">
      <formula>$AP12="Prospect"</formula>
    </cfRule>
  </conditionalFormatting>
  <conditionalFormatting sqref="U11">
    <cfRule type="expression" dxfId="403" priority="10">
      <formula>$AP11="Prospect"</formula>
    </cfRule>
  </conditionalFormatting>
  <conditionalFormatting sqref="U10">
    <cfRule type="expression" dxfId="402" priority="9">
      <formula>$AP10="Prospect"</formula>
    </cfRule>
  </conditionalFormatting>
  <conditionalFormatting sqref="U9">
    <cfRule type="expression" dxfId="401" priority="8">
      <formula>$AP9="Prospect"</formula>
    </cfRule>
  </conditionalFormatting>
  <conditionalFormatting sqref="U8">
    <cfRule type="expression" dxfId="400" priority="7">
      <formula>$AP8="Prospect"</formula>
    </cfRule>
  </conditionalFormatting>
  <conditionalFormatting sqref="U7">
    <cfRule type="expression" dxfId="399" priority="6">
      <formula>$AP7="Prospect"</formula>
    </cfRule>
  </conditionalFormatting>
  <conditionalFormatting sqref="U6">
    <cfRule type="expression" dxfId="398" priority="5">
      <formula>$AP6="Prospect"</formula>
    </cfRule>
  </conditionalFormatting>
  <conditionalFormatting sqref="L6:L15">
    <cfRule type="expression" dxfId="397" priority="4">
      <formula>Q6&lt;&gt;""</formula>
    </cfRule>
  </conditionalFormatting>
  <conditionalFormatting sqref="L6:L15">
    <cfRule type="expression" dxfId="396" priority="3">
      <formula>$AN6="FLAG"</formula>
    </cfRule>
  </conditionalFormatting>
  <conditionalFormatting sqref="O6:O15">
    <cfRule type="expression" dxfId="395" priority="2">
      <formula>T6&lt;&gt;""</formula>
    </cfRule>
  </conditionalFormatting>
  <conditionalFormatting sqref="O6:O15">
    <cfRule type="expression" dxfId="394" priority="1">
      <formula>$AN6="FLAG"</formula>
    </cfRule>
  </conditionalFormatting>
  <conditionalFormatting sqref="G6:H15">
    <cfRule type="notContainsBlanks" dxfId="393" priority="16">
      <formula>LEN(TRIM(G6))&gt;0</formula>
    </cfRule>
    <cfRule type="expression" dxfId="39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1" t="e">
        <f>VLOOKUP($H$4,'Market Geography'!$D:$G,4,FALSE)</f>
        <v>#N/A</v>
      </c>
      <c r="I3" s="1372"/>
      <c r="J3" s="1372"/>
      <c r="K3" s="13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68">
        <f>Welcome!$D$4</f>
        <v>0</v>
      </c>
      <c r="I4" s="1369"/>
      <c r="J4" s="1369"/>
      <c r="K4" s="13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68" t="str">
        <f>'Multi-Customer'!$S$49</f>
        <v>Enter Customer(s)</v>
      </c>
      <c r="I5" s="1369"/>
      <c r="J5" s="1369"/>
      <c r="K5" s="13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68" t="str">
        <f>'Multi-Customer'!$AH$40</f>
        <v>MULTIPLE TYPES</v>
      </c>
      <c r="I6" s="1369"/>
      <c r="J6" s="1369"/>
      <c r="K6" s="13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4" t="s">
        <v>206</v>
      </c>
      <c r="I7" s="1375"/>
      <c r="J7" s="1375"/>
      <c r="K7" s="137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9" t="s">
        <v>119</v>
      </c>
      <c r="H33" s="1380"/>
      <c r="I33" s="468">
        <f>IF($E$3="MDA",'PIM Ranges'!$AX$7,'PIM Ranges'!$BJ$7)</f>
        <v>8.8999999999999996E-2</v>
      </c>
      <c r="J33" s="134"/>
      <c r="K33" s="1381" t="str">
        <f>IF(COUNTIF($AB$10:$AB$30,"ERROR")&lt;1,"",IF(COUNTIF($AB$10:$AB$30,"ERROR")&lt;2,(COUNTIF($AB$10:$AB$30,"ERROR")&amp;" Margin Missing Above"),(COUNTIF($AB$10:$AB$30,"ERROR")&amp;" Margins Missing Above")))</f>
        <v/>
      </c>
      <c r="L33" s="138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77" t="s">
        <v>491</v>
      </c>
      <c r="H34" s="1378"/>
      <c r="I34" s="464">
        <f>J31</f>
        <v>0</v>
      </c>
      <c r="J34" s="134"/>
      <c r="K34" s="1381" t="str">
        <f>IF(COUNTIFS($L$10:$L$30,"X",$AF$10:$AF$30,"BELOW")&lt;1,"",IF(COUNTIFS($L$10:$L$30,"X",$AF$10:$AF$30,"BELOW")&lt;2,(COUNTIFS($L$10:$L$30,"X",$AF$10:$AF$30,"BELOW")&amp;" Margin Below Minimum"),(COUNTIFS($L$10:$L$30,"X",$AF$10:$AF$30,"BELOW")&amp;" Margins Below Minimum")))</f>
        <v/>
      </c>
      <c r="L34" s="138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77" t="s">
        <v>1351</v>
      </c>
      <c r="H35" s="1378"/>
      <c r="I35" s="465" t="str">
        <f>IFERROR(I34/G31,"")</f>
        <v/>
      </c>
      <c r="K35" s="1381" t="str">
        <f>IF(COUNTIFS($L$10:$L$30,"X",$AF$10:$AF$30,"ABOVE")&lt;1,"",IF(COUNTIFS($L$10:$L$30,"X",$AF$10:$AF$30,"ABOVE")&lt;2,(COUNTIFS($L$10:$L$30,"X",$AF$10:$AF$30,"ABOVE")&amp;" Margin Above Maximum"),(COUNTIFS($L$10:$L$30,"X",$AF$10:$AF$30,"ABOVE")&amp;" Margins Above Maximum")))</f>
        <v/>
      </c>
      <c r="L35" s="138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77"/>
      <c r="H36" s="137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77" t="str">
        <f>IFERROR(IF(I35&gt;I33,"","Below Recommended TAGP: "),"")</f>
        <v/>
      </c>
      <c r="H37" s="137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77"/>
      <c r="H38" s="137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77" t="s">
        <v>1352</v>
      </c>
      <c r="H39" s="137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2" t="s">
        <v>492</v>
      </c>
      <c r="H40" s="138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4"/>
      <c r="G52" s="13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4"/>
      <c r="G53" s="13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4"/>
      <c r="G54" s="13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SrG1GNp5KBuuXyyzpTGb72mbb5mYebCspve+4Bdutb36zPZ5owq0xdSaZPuuVk+Y5d6O0grytXYeL3LW9/JuKg==" saltValue="qXfw1xRclc49mxWscrG5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6" priority="40">
      <formula>$E10="EXCLUDE"</formula>
    </cfRule>
  </conditionalFormatting>
  <conditionalFormatting sqref="O8:O9">
    <cfRule type="expression" dxfId="15" priority="42">
      <formula>$E$3="CIA"</formula>
    </cfRule>
  </conditionalFormatting>
  <conditionalFormatting sqref="Q8:Q9">
    <cfRule type="expression" dxfId="14" priority="41">
      <formula>$E$3="CIA"</formula>
    </cfRule>
  </conditionalFormatting>
  <conditionalFormatting sqref="K9:K30">
    <cfRule type="expression" dxfId="13" priority="31">
      <formula>$E$3="CIA"</formula>
    </cfRule>
  </conditionalFormatting>
  <conditionalFormatting sqref="L10:L30">
    <cfRule type="expression" dxfId="12" priority="32">
      <formula>$AF10="ABOVE"</formula>
    </cfRule>
  </conditionalFormatting>
  <conditionalFormatting sqref="I35">
    <cfRule type="expression" dxfId="11" priority="102">
      <formula>$K$36&gt;0</formula>
    </cfRule>
    <cfRule type="expression" dxfId="10" priority="103">
      <formula>$I$35&lt;$I$33</formula>
    </cfRule>
    <cfRule type="expression" dxfId="9" priority="104">
      <formula>$I$35&gt;$I$33</formula>
    </cfRule>
  </conditionalFormatting>
  <conditionalFormatting sqref="D10:D30">
    <cfRule type="expression" dxfId="8" priority="43">
      <formula>$E$3="CIA"</formula>
    </cfRule>
  </conditionalFormatting>
  <conditionalFormatting sqref="K10:K30">
    <cfRule type="expression" dxfId="7" priority="30">
      <formula>$D10&lt;&gt;"%"</formula>
    </cfRule>
  </conditionalFormatting>
  <conditionalFormatting sqref="K27">
    <cfRule type="expression" dxfId="6" priority="28">
      <formula>$K$27&lt;0</formula>
    </cfRule>
  </conditionalFormatting>
  <conditionalFormatting sqref="O10:Q30">
    <cfRule type="expression" dxfId="5" priority="26">
      <formula>$D10&lt;&gt;"%"</formula>
    </cfRule>
  </conditionalFormatting>
  <conditionalFormatting sqref="O10:O30">
    <cfRule type="expression" dxfId="4" priority="25">
      <formula>$E$3="CIA"</formula>
    </cfRule>
  </conditionalFormatting>
  <conditionalFormatting sqref="Q10:Q30">
    <cfRule type="expression" dxfId="3" priority="24">
      <formula>$E$3="CIA"</formula>
    </cfRule>
  </conditionalFormatting>
  <conditionalFormatting sqref="S10:S30">
    <cfRule type="expression" dxfId="2" priority="22">
      <formula>$E$3="CIA"</formula>
    </cfRule>
  </conditionalFormatting>
  <conditionalFormatting sqref="U10:U30">
    <cfRule type="expression" dxfId="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11" sqref="E111"/>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1"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customWidth="1"/>
    <col min="19" max="19" width="31.85546875" style="1059" customWidth="1"/>
    <col min="20" max="20" width="31.140625" style="1059" customWidth="1"/>
    <col min="21" max="21" width="12.7109375" style="1059" customWidth="1"/>
    <col min="22" max="22" width="8.42578125" style="1059" customWidth="1"/>
    <col min="23" max="16384" width="8.85546875" style="1059"/>
  </cols>
  <sheetData>
    <row r="1" spans="1:31" ht="5.45" customHeight="1" thickBot="1" x14ac:dyDescent="0.3">
      <c r="R1" s="1291">
        <v>1</v>
      </c>
    </row>
    <row r="2" spans="1:31" s="1060" customFormat="1" ht="22.5" customHeight="1" thickBot="1" x14ac:dyDescent="0.4">
      <c r="A2" s="1062"/>
      <c r="B2" s="502"/>
      <c r="C2" s="1062"/>
      <c r="D2" s="1244" t="s">
        <v>1496</v>
      </c>
      <c r="E2" s="1062"/>
      <c r="F2" s="173"/>
      <c r="G2" s="174"/>
      <c r="H2" s="1062"/>
      <c r="I2" s="502"/>
      <c r="J2" s="1062"/>
      <c r="K2" s="1062"/>
      <c r="L2" s="1062"/>
      <c r="M2" s="1062"/>
      <c r="N2" s="1062"/>
      <c r="O2" s="1062"/>
      <c r="P2" s="1062"/>
      <c r="Q2" s="503"/>
      <c r="R2" s="1291">
        <v>1</v>
      </c>
      <c r="S2" s="176"/>
      <c r="T2" s="177"/>
      <c r="U2" s="177"/>
      <c r="V2" s="177"/>
      <c r="W2" s="177"/>
      <c r="X2" s="177"/>
      <c r="Y2" s="177"/>
      <c r="Z2" s="177"/>
      <c r="AA2" s="177"/>
      <c r="AB2" s="177"/>
      <c r="AC2" s="177"/>
      <c r="AD2" s="177"/>
      <c r="AE2" s="177"/>
    </row>
    <row r="3" spans="1:31" s="1060" customFormat="1" ht="18" customHeight="1" thickBot="1" x14ac:dyDescent="0.3">
      <c r="D3" s="536"/>
      <c r="G3" s="1206" t="s">
        <v>1255</v>
      </c>
      <c r="H3" s="1397">
        <f>Welcome!$D$8</f>
        <v>0</v>
      </c>
      <c r="I3" s="1398"/>
      <c r="J3" s="1059"/>
      <c r="K3" s="1206" t="s">
        <v>110</v>
      </c>
      <c r="L3" s="1399">
        <f>IFERROR(VLOOKUP($L$4,'Market Geography'!$D:$G,4,FALSE),0)</f>
        <v>0</v>
      </c>
      <c r="M3" s="1400"/>
      <c r="N3" s="733"/>
      <c r="O3" s="733"/>
      <c r="P3" s="733"/>
      <c r="Q3" s="179"/>
      <c r="R3" s="1290">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7" t="s">
        <v>1256</v>
      </c>
      <c r="H4" s="1401" t="str">
        <f>Welcome!$D$12</f>
        <v>Select Term</v>
      </c>
      <c r="I4" s="1402"/>
      <c r="J4" s="181"/>
      <c r="K4" s="1207" t="s">
        <v>881</v>
      </c>
      <c r="L4" s="1403">
        <f>Welcome!$D$4</f>
        <v>0</v>
      </c>
      <c r="M4" s="1404"/>
      <c r="N4" s="733"/>
      <c r="O4" s="733"/>
      <c r="P4" s="733"/>
      <c r="Q4" s="179"/>
      <c r="R4" s="1290">
        <v>1</v>
      </c>
      <c r="S4" s="180"/>
      <c r="T4" s="177"/>
      <c r="U4" s="177"/>
      <c r="V4" s="177"/>
      <c r="W4" s="177"/>
      <c r="X4" s="177"/>
      <c r="Y4" s="177"/>
      <c r="Z4" s="177"/>
      <c r="AA4" s="177"/>
      <c r="AB4" s="177"/>
      <c r="AC4" s="177"/>
      <c r="AD4" s="177"/>
      <c r="AE4" s="177"/>
    </row>
    <row r="5" spans="1:31" s="1060" customFormat="1" ht="18" customHeight="1" thickBot="1" x14ac:dyDescent="0.3">
      <c r="D5" s="1234"/>
      <c r="E5" s="77"/>
      <c r="G5" s="1207" t="s">
        <v>1261</v>
      </c>
      <c r="H5" s="1405">
        <f>'PIM Model'!$G$31</f>
        <v>0</v>
      </c>
      <c r="I5" s="1406"/>
      <c r="J5" s="1059"/>
      <c r="K5" s="1207" t="s">
        <v>107</v>
      </c>
      <c r="L5" s="1403" t="str">
        <f>'Multi-Customer'!$S$49</f>
        <v>Enter Customer(s)</v>
      </c>
      <c r="M5" s="1404"/>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7" t="s">
        <v>1262</v>
      </c>
      <c r="H6" s="1407">
        <f>'Variable Costs (Back)'!$K$26</f>
        <v>0</v>
      </c>
      <c r="I6" s="1408"/>
      <c r="J6" s="1059"/>
      <c r="K6" s="1207" t="s">
        <v>1271</v>
      </c>
      <c r="L6" s="1403" t="str">
        <f>'Multi-Customer'!$AH$40</f>
        <v>MULTIPLE TYPES</v>
      </c>
      <c r="M6" s="1404"/>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8" t="s">
        <v>1263</v>
      </c>
      <c r="H7" s="1409">
        <f>IFERROR('PIM Ranges'!$AU$3,0)</f>
        <v>0</v>
      </c>
      <c r="I7" s="1410"/>
      <c r="J7" s="1059"/>
      <c r="K7" s="1208" t="s">
        <v>1264</v>
      </c>
      <c r="L7" s="1411" t="s">
        <v>206</v>
      </c>
      <c r="M7" s="1412"/>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5"/>
      <c r="F9" s="136"/>
      <c r="G9" s="1209" t="s">
        <v>896</v>
      </c>
      <c r="H9" s="1413">
        <f>IFERROR('PIM Model'!$G$31,0)</f>
        <v>0</v>
      </c>
      <c r="I9" s="1414"/>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10" t="s">
        <v>897</v>
      </c>
      <c r="H10" s="1395">
        <f>IFERROR('PIM Model'!$G$32,0)</f>
        <v>0</v>
      </c>
      <c r="I10" s="1396"/>
      <c r="L10" s="177"/>
      <c r="M10" s="177"/>
      <c r="N10" s="177"/>
      <c r="O10" s="177"/>
      <c r="P10" s="177"/>
      <c r="Q10" s="182"/>
      <c r="R10" s="177"/>
      <c r="S10" s="1419" t="s">
        <v>1642</v>
      </c>
      <c r="T10" s="1419"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19"/>
      <c r="T11" s="1419"/>
      <c r="U11" s="177"/>
      <c r="V11" s="177"/>
      <c r="W11" s="177"/>
      <c r="X11" s="177"/>
      <c r="Y11" s="177"/>
      <c r="Z11" s="177"/>
      <c r="AA11" s="177"/>
      <c r="AB11" s="177"/>
      <c r="AC11" s="177"/>
      <c r="AD11" s="177"/>
      <c r="AE11" s="177"/>
    </row>
    <row r="12" spans="1:31" s="1060" customFormat="1" ht="21.75" customHeight="1" thickBot="1" x14ac:dyDescent="0.3">
      <c r="A12" s="1078"/>
      <c r="B12" s="249"/>
      <c r="C12" s="184"/>
      <c r="D12" s="1418" t="s">
        <v>898</v>
      </c>
      <c r="E12" s="1418"/>
      <c r="F12" s="185"/>
      <c r="G12" s="1415"/>
      <c r="H12" s="1416"/>
      <c r="I12" s="186"/>
      <c r="J12" s="1417"/>
      <c r="K12" s="1417"/>
      <c r="L12" s="184"/>
      <c r="M12" s="184"/>
      <c r="N12" s="184"/>
      <c r="O12" s="184"/>
      <c r="P12" s="187"/>
      <c r="Q12" s="179"/>
      <c r="R12" s="177"/>
      <c r="S12" s="1200" t="s">
        <v>1607</v>
      </c>
      <c r="T12" s="1200"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2" t="s">
        <v>528</v>
      </c>
      <c r="E13" s="1111" t="s">
        <v>653</v>
      </c>
      <c r="F13" s="343"/>
      <c r="G13" s="229" t="s">
        <v>1497</v>
      </c>
      <c r="H13" s="646"/>
      <c r="I13" s="229" t="s">
        <v>1498</v>
      </c>
      <c r="J13" s="41"/>
      <c r="K13" s="229" t="s">
        <v>871</v>
      </c>
      <c r="L13" s="145"/>
      <c r="M13" s="194" t="s">
        <v>1499</v>
      </c>
      <c r="N13" s="145"/>
      <c r="O13" s="145"/>
      <c r="P13" s="190"/>
      <c r="Q13" s="179"/>
      <c r="R13" s="177"/>
      <c r="S13" s="1199" t="s">
        <v>1622</v>
      </c>
      <c r="T13" s="1198"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5" t="s">
        <v>1501</v>
      </c>
      <c r="F14" s="189"/>
      <c r="G14" s="1211"/>
      <c r="H14" s="735"/>
      <c r="I14" s="1211"/>
      <c r="J14" s="145"/>
      <c r="K14" s="1211"/>
      <c r="L14" s="145"/>
      <c r="M14" s="1266"/>
      <c r="N14" s="145"/>
      <c r="O14" s="145"/>
      <c r="P14" s="190"/>
      <c r="Q14" s="179"/>
      <c r="R14" s="1290"/>
      <c r="S14" s="1199" t="s">
        <v>1635</v>
      </c>
      <c r="T14" s="1198"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3"/>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2">
        <f>$H$9/52</f>
        <v>0</v>
      </c>
      <c r="H17" s="646"/>
      <c r="I17" s="124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3"/>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30" t="s">
        <v>525</v>
      </c>
      <c r="E19" s="1231">
        <f>IF(G19="",0,(G19-$G$17)/$G$17)</f>
        <v>0</v>
      </c>
      <c r="F19" s="1083" t="s">
        <v>1048</v>
      </c>
      <c r="G19" s="1213"/>
      <c r="H19" s="646"/>
      <c r="I19" s="1214" t="str">
        <f>IF(E$13="Yes",IF(G20="",999999999.99,G20-0.01),"")</f>
        <v/>
      </c>
      <c r="J19" s="145"/>
      <c r="K19" s="1196"/>
      <c r="L19" s="145"/>
      <c r="M19" s="861"/>
      <c r="N19" s="861"/>
      <c r="O19" s="1216">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30" t="s">
        <v>526</v>
      </c>
      <c r="E20" s="1231">
        <f t="shared" ref="E20:E23" si="0">IF(G20="",0,(G20-$G$17)/$G$17)</f>
        <v>0</v>
      </c>
      <c r="F20" s="1083" t="s">
        <v>1507</v>
      </c>
      <c r="G20" s="1213"/>
      <c r="H20" s="646"/>
      <c r="I20" s="1214" t="str">
        <f>IF(E$13="Yes",IF(I19="","",IF(I19&lt;&gt;999999999.99,IF(G21="",999999999.99,G21-0.01),"")),"")</f>
        <v/>
      </c>
      <c r="J20" s="1084" t="str">
        <f>IF($E$15="YES","**Tier 1 used for modeling purposes**","")</f>
        <v/>
      </c>
      <c r="K20" s="1215"/>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30" t="s">
        <v>527</v>
      </c>
      <c r="E21" s="1231">
        <f t="shared" si="0"/>
        <v>0</v>
      </c>
      <c r="F21" s="1083" t="s">
        <v>1508</v>
      </c>
      <c r="G21" s="1213"/>
      <c r="H21" s="646"/>
      <c r="I21" s="1214" t="str">
        <f>IF(E$13="Yes",IF(I20="","",IF(I20&lt;&gt;999999999.99,IF(G22="",999999999.99,G22-0.01),"")),"")</f>
        <v/>
      </c>
      <c r="J21" s="145"/>
      <c r="K21" s="1215"/>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30" t="s">
        <v>1509</v>
      </c>
      <c r="E22" s="1231">
        <f t="shared" si="0"/>
        <v>0</v>
      </c>
      <c r="F22" s="1083" t="s">
        <v>1510</v>
      </c>
      <c r="G22" s="1213"/>
      <c r="H22" s="646"/>
      <c r="I22" s="1214" t="str">
        <f t="shared" ref="I22:I23" si="1">IF(E$13="Yes",IF(I21="","",IF(I21&lt;&gt;999999999.99,IF(G23="",999999999.99,G23-0.01),"")),"")</f>
        <v/>
      </c>
      <c r="J22" s="145"/>
      <c r="K22" s="1215"/>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30" t="s">
        <v>1511</v>
      </c>
      <c r="E23" s="1231">
        <f t="shared" si="0"/>
        <v>0</v>
      </c>
      <c r="F23" s="1083" t="s">
        <v>1512</v>
      </c>
      <c r="G23" s="1213"/>
      <c r="H23" s="646"/>
      <c r="I23" s="1214" t="str">
        <f t="shared" si="1"/>
        <v/>
      </c>
      <c r="J23" s="145"/>
      <c r="K23" s="1215"/>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6"/>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7"/>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8" t="s">
        <v>898</v>
      </c>
      <c r="E26" s="1418"/>
      <c r="F26" s="185"/>
      <c r="G26" s="1415"/>
      <c r="H26" s="1416"/>
      <c r="I26" s="186"/>
      <c r="J26" s="1417"/>
      <c r="K26" s="1417"/>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2"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1"/>
      <c r="H28" s="735"/>
      <c r="I28" s="1211"/>
      <c r="J28" s="145"/>
      <c r="K28" s="1211"/>
      <c r="L28" s="145"/>
      <c r="M28" s="126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3"/>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3"/>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30" t="s">
        <v>525</v>
      </c>
      <c r="E33" s="1231">
        <f>IF(G33="",0,(G33-$G$31)/$G$31)</f>
        <v>0</v>
      </c>
      <c r="F33" s="1083" t="s">
        <v>1048</v>
      </c>
      <c r="G33" s="1213"/>
      <c r="H33" s="646"/>
      <c r="I33" s="1214" t="str">
        <f>IF(E$27="Yes",IF(G34="",999999999.99,G34-0.01),"")</f>
        <v/>
      </c>
      <c r="J33" s="145"/>
      <c r="K33" s="1196"/>
      <c r="L33" s="145"/>
      <c r="M33" s="861"/>
      <c r="N33" s="861"/>
      <c r="O33" s="1216">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30" t="s">
        <v>526</v>
      </c>
      <c r="E34" s="1231">
        <f t="shared" ref="E34:E37" si="2">IF(G34="",0,(G34-$G$31)/$G$31)</f>
        <v>0</v>
      </c>
      <c r="F34" s="1083" t="s">
        <v>1507</v>
      </c>
      <c r="G34" s="1213"/>
      <c r="H34" s="646"/>
      <c r="I34" s="1214" t="str">
        <f>IF(E$27="Yes",IF(I33="","",IF(I33&lt;&gt;999999999.99,IF(G35="",999999999.99,G35-0.01),"")),"")</f>
        <v/>
      </c>
      <c r="J34" s="1084" t="str">
        <f>IF($E$15="YES","**Tier 1 used for modeling purposes**","")</f>
        <v/>
      </c>
      <c r="K34" s="1215"/>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30" t="s">
        <v>527</v>
      </c>
      <c r="E35" s="1231">
        <f t="shared" si="2"/>
        <v>0</v>
      </c>
      <c r="F35" s="1083" t="s">
        <v>1508</v>
      </c>
      <c r="G35" s="1213"/>
      <c r="H35" s="646"/>
      <c r="I35" s="1214" t="str">
        <f t="shared" ref="I35:I37" si="3">IF(E$27="Yes",IF(I34="","",IF(I34&lt;&gt;999999999.99,IF(G36="",999999999.99,G36-0.01),"")),"")</f>
        <v/>
      </c>
      <c r="J35" s="145"/>
      <c r="K35" s="1215"/>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30" t="s">
        <v>1509</v>
      </c>
      <c r="E36" s="1231">
        <f t="shared" si="2"/>
        <v>0</v>
      </c>
      <c r="F36" s="1083" t="s">
        <v>1510</v>
      </c>
      <c r="G36" s="1213"/>
      <c r="H36" s="646"/>
      <c r="I36" s="1214" t="str">
        <f t="shared" si="3"/>
        <v/>
      </c>
      <c r="J36" s="145"/>
      <c r="K36" s="1215"/>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30" t="s">
        <v>1511</v>
      </c>
      <c r="E37" s="1231">
        <f t="shared" si="2"/>
        <v>0</v>
      </c>
      <c r="F37" s="1083" t="s">
        <v>1512</v>
      </c>
      <c r="G37" s="1213"/>
      <c r="H37" s="646"/>
      <c r="I37" s="1214" t="str">
        <f t="shared" si="3"/>
        <v/>
      </c>
      <c r="J37" s="145"/>
      <c r="K37" s="1215"/>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6"/>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7"/>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8" t="s">
        <v>898</v>
      </c>
      <c r="E40" s="1418"/>
      <c r="F40" s="185"/>
      <c r="G40" s="1415"/>
      <c r="H40" s="1416"/>
      <c r="I40" s="186"/>
      <c r="J40" s="1417"/>
      <c r="K40" s="1417"/>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2"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1"/>
      <c r="H42" s="735"/>
      <c r="I42" s="1211"/>
      <c r="J42" s="145"/>
      <c r="K42" s="1211"/>
      <c r="L42" s="145"/>
      <c r="M42" s="1263"/>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3"/>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5.75" hidden="1" customHeight="1" thickBot="1" x14ac:dyDescent="0.3">
      <c r="A46" s="1078"/>
      <c r="B46" s="244"/>
      <c r="C46" s="145"/>
      <c r="D46" s="1233"/>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30" t="s">
        <v>525</v>
      </c>
      <c r="E47" s="1231">
        <f>IF(G47="",0,(G47-$G$45)/$G$45)</f>
        <v>0</v>
      </c>
      <c r="F47" s="1083" t="s">
        <v>1048</v>
      </c>
      <c r="G47" s="1213"/>
      <c r="H47" s="646"/>
      <c r="I47" s="1214" t="str">
        <f>IF(E$42="Yes",IF(G48="",999999999.99,G48-0.01),"")</f>
        <v/>
      </c>
      <c r="J47" s="145"/>
      <c r="K47" s="1196"/>
      <c r="L47" s="145"/>
      <c r="M47" s="861"/>
      <c r="N47" s="861"/>
      <c r="O47" s="1216">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30" t="s">
        <v>526</v>
      </c>
      <c r="E48" s="1231">
        <f t="shared" ref="E48:E51" si="4">IF(G48="",0,(G48-$G$45)/$G$45)</f>
        <v>0</v>
      </c>
      <c r="F48" s="1083" t="s">
        <v>1507</v>
      </c>
      <c r="G48" s="1213"/>
      <c r="H48" s="646"/>
      <c r="I48" s="1214" t="str">
        <f>IF(E$41="Yes",IF(I47="","",IF(I47&lt;&gt;999999999.99,IF(G49="",999999999.99,G49-0.01),"")),"")</f>
        <v/>
      </c>
      <c r="J48" s="1084" t="str">
        <f>IF($E$15="YES","**Tier 1 used for modeling purposes**","")</f>
        <v/>
      </c>
      <c r="K48" s="1215"/>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30" t="s">
        <v>527</v>
      </c>
      <c r="E49" s="1231">
        <f t="shared" si="4"/>
        <v>0</v>
      </c>
      <c r="F49" s="1083" t="s">
        <v>1508</v>
      </c>
      <c r="G49" s="1213"/>
      <c r="H49" s="646"/>
      <c r="I49" s="1214" t="str">
        <f t="shared" ref="I49:I51" si="5">IF(E$41="Yes",IF(I48="","",IF(I48&lt;&gt;999999999.99,IF(G50="",999999999.99,G50-0.01),"")),"")</f>
        <v/>
      </c>
      <c r="J49" s="145"/>
      <c r="K49" s="1215"/>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30" t="s">
        <v>1509</v>
      </c>
      <c r="E50" s="1231">
        <f t="shared" si="4"/>
        <v>0</v>
      </c>
      <c r="F50" s="1083" t="s">
        <v>1510</v>
      </c>
      <c r="G50" s="1213"/>
      <c r="H50" s="646"/>
      <c r="I50" s="1214" t="str">
        <f t="shared" si="5"/>
        <v/>
      </c>
      <c r="J50" s="145"/>
      <c r="K50" s="1215"/>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30" t="s">
        <v>1511</v>
      </c>
      <c r="E51" s="1231">
        <f t="shared" si="4"/>
        <v>0</v>
      </c>
      <c r="F51" s="1083" t="s">
        <v>1512</v>
      </c>
      <c r="G51" s="1213"/>
      <c r="H51" s="646"/>
      <c r="I51" s="1214" t="str">
        <f t="shared" si="5"/>
        <v/>
      </c>
      <c r="J51" s="145"/>
      <c r="K51" s="1215"/>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6"/>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7"/>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4" t="s">
        <v>524</v>
      </c>
      <c r="E54" s="1394"/>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2"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1"/>
      <c r="H56" s="646"/>
      <c r="I56" s="1211"/>
      <c r="J56" s="145"/>
      <c r="K56" s="1211"/>
      <c r="L56" s="145"/>
      <c r="M56" s="1264"/>
      <c r="N56" s="218"/>
      <c r="O56" s="218"/>
      <c r="P56" s="190"/>
      <c r="Q56" s="179"/>
      <c r="R56" s="1290"/>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8"/>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30" t="s">
        <v>525</v>
      </c>
      <c r="E61" s="1231">
        <f>IF(G61="",0,(G61-$G$59)/$G$59)</f>
        <v>0</v>
      </c>
      <c r="F61" s="1083" t="s">
        <v>1048</v>
      </c>
      <c r="G61" s="1213"/>
      <c r="H61" s="646"/>
      <c r="I61" s="1214" t="str">
        <f>IF(E$55="Yes",IF(G62="",999999999.99,G62-0.01),"")</f>
        <v/>
      </c>
      <c r="J61" s="1084" t="str">
        <f>IF($E$57="YES","**Tier 1 used for modeling purposes**","")</f>
        <v/>
      </c>
      <c r="K61" s="1196"/>
      <c r="L61" s="1085"/>
      <c r="M61" s="195"/>
      <c r="N61" s="197"/>
      <c r="O61" s="1216">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30" t="s">
        <v>526</v>
      </c>
      <c r="E62" s="1231">
        <f t="shared" ref="E62:E65" si="6">IF(G62="",0,(G62-$G$59)/$G$59)</f>
        <v>0</v>
      </c>
      <c r="F62" s="1083" t="s">
        <v>1507</v>
      </c>
      <c r="G62" s="1213"/>
      <c r="H62" s="646"/>
      <c r="I62" s="1214" t="str">
        <f>IF(E$55="Yes",IF(I61="","",IF(I61&lt;&gt;999999999.99,IF(G63="",999999999.99,G63-0.01),"")),"")</f>
        <v/>
      </c>
      <c r="J62" s="145"/>
      <c r="K62" s="1215"/>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30" t="s">
        <v>527</v>
      </c>
      <c r="E63" s="1231">
        <f t="shared" si="6"/>
        <v>0</v>
      </c>
      <c r="F63" s="1083" t="s">
        <v>1508</v>
      </c>
      <c r="G63" s="1213"/>
      <c r="H63" s="646"/>
      <c r="I63" s="1214" t="str">
        <f t="shared" ref="I63:I65" si="7">IF(E$55="Yes",IF(I62="","",IF(I62&lt;&gt;999999999.99,IF(G64="",999999999.99,G64-0.01),"")),"")</f>
        <v/>
      </c>
      <c r="J63" s="145"/>
      <c r="K63" s="1215"/>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30" t="s">
        <v>1509</v>
      </c>
      <c r="E64" s="1231">
        <f t="shared" si="6"/>
        <v>0</v>
      </c>
      <c r="F64" s="1083" t="s">
        <v>1510</v>
      </c>
      <c r="G64" s="1213"/>
      <c r="H64" s="646"/>
      <c r="I64" s="1214" t="str">
        <f t="shared" si="7"/>
        <v/>
      </c>
      <c r="J64" s="145"/>
      <c r="K64" s="1215"/>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30" t="s">
        <v>1511</v>
      </c>
      <c r="E65" s="1231">
        <f t="shared" si="6"/>
        <v>0</v>
      </c>
      <c r="F65" s="1083" t="s">
        <v>1512</v>
      </c>
      <c r="G65" s="1213"/>
      <c r="H65" s="646"/>
      <c r="I65" s="1214" t="str">
        <f t="shared" si="7"/>
        <v/>
      </c>
      <c r="J65" s="41"/>
      <c r="K65" s="1215"/>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6"/>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7"/>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4" t="s">
        <v>524</v>
      </c>
      <c r="E68" s="1394"/>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2"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1"/>
      <c r="H70" s="646"/>
      <c r="I70" s="1211"/>
      <c r="J70" s="145"/>
      <c r="K70" s="1211"/>
      <c r="L70" s="145"/>
      <c r="M70" s="1264"/>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8"/>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30" t="s">
        <v>525</v>
      </c>
      <c r="E75" s="1231">
        <f>IF(G75="",0,(G75-$G$59)/$G$59)</f>
        <v>0</v>
      </c>
      <c r="F75" s="1083" t="s">
        <v>1048</v>
      </c>
      <c r="G75" s="1213"/>
      <c r="H75" s="646"/>
      <c r="I75" s="1214" t="str">
        <f>IF(E$69="Yes",IF(G76="",999999999.99,G76-0.01),"")</f>
        <v/>
      </c>
      <c r="J75" s="1084" t="str">
        <f>IF($E$57="YES","**Tier 1 used for modeling purposes**","")</f>
        <v/>
      </c>
      <c r="K75" s="1196"/>
      <c r="L75" s="1085"/>
      <c r="M75" s="197"/>
      <c r="N75" s="197"/>
      <c r="O75" s="1216">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30" t="s">
        <v>526</v>
      </c>
      <c r="E76" s="1231">
        <f t="shared" ref="E76:E79" si="8">IF(G76="",0,(G76-$G$59)/$G$59)</f>
        <v>0</v>
      </c>
      <c r="F76" s="1083" t="s">
        <v>1507</v>
      </c>
      <c r="G76" s="1213"/>
      <c r="H76" s="646"/>
      <c r="I76" s="1214" t="str">
        <f>IF(E$69="Yes",IF(I75="","",IF(I75&lt;&gt;999999999.99,IF(G77="",999999999.99,G77-0.01),"")),"")</f>
        <v/>
      </c>
      <c r="J76" s="145"/>
      <c r="K76" s="1215"/>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30" t="s">
        <v>527</v>
      </c>
      <c r="E77" s="1231">
        <f t="shared" si="8"/>
        <v>0</v>
      </c>
      <c r="F77" s="1083" t="s">
        <v>1508</v>
      </c>
      <c r="G77" s="1213"/>
      <c r="H77" s="646"/>
      <c r="I77" s="1214" t="str">
        <f t="shared" ref="I77:I79" si="9">IF(E$69="Yes",IF(I76="","",IF(I76&lt;&gt;999999999.99,IF(G78="",999999999.99,G78-0.01),"")),"")</f>
        <v/>
      </c>
      <c r="J77" s="145"/>
      <c r="K77" s="1215"/>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30" t="s">
        <v>1509</v>
      </c>
      <c r="E78" s="1231">
        <f t="shared" si="8"/>
        <v>0</v>
      </c>
      <c r="F78" s="1083" t="s">
        <v>1510</v>
      </c>
      <c r="G78" s="1213"/>
      <c r="H78" s="646"/>
      <c r="I78" s="1214" t="str">
        <f t="shared" si="9"/>
        <v/>
      </c>
      <c r="J78" s="145"/>
      <c r="K78" s="1215"/>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30" t="s">
        <v>1511</v>
      </c>
      <c r="E79" s="1231">
        <f t="shared" si="8"/>
        <v>0</v>
      </c>
      <c r="F79" s="1083" t="s">
        <v>1512</v>
      </c>
      <c r="G79" s="1213"/>
      <c r="H79" s="646"/>
      <c r="I79" s="1214" t="str">
        <f t="shared" si="9"/>
        <v/>
      </c>
      <c r="J79" s="41"/>
      <c r="K79" s="1215"/>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6"/>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7"/>
      <c r="E81" s="1090"/>
      <c r="F81" s="207"/>
      <c r="G81" s="1091"/>
      <c r="H81" s="209"/>
      <c r="I81" s="1092"/>
      <c r="K81" s="1093"/>
      <c r="M81" s="1094"/>
      <c r="N81" s="1094"/>
      <c r="O81" s="1094"/>
      <c r="P81" s="141"/>
      <c r="Q81" s="619"/>
      <c r="S81" s="693"/>
    </row>
    <row r="82" spans="1:29" ht="21" customHeight="1" thickBot="1" x14ac:dyDescent="0.3">
      <c r="A82" s="1089"/>
      <c r="B82" s="249"/>
      <c r="C82" s="226"/>
      <c r="D82" s="1394" t="s">
        <v>530</v>
      </c>
      <c r="E82" s="1394"/>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2"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1"/>
      <c r="H84" s="646"/>
      <c r="I84" s="1211"/>
      <c r="J84" s="145"/>
      <c r="K84" s="1211"/>
      <c r="L84" s="145"/>
      <c r="M84" s="1264"/>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9">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8"/>
      <c r="H89" s="188"/>
      <c r="I89" s="1215" t="str">
        <f>IF(E$83="Yes",IF(G90="",1,G90-0.0001),"")</f>
        <v/>
      </c>
      <c r="J89" s="1084" t="str">
        <f>IF($E$85="YES","**Tier 1 payout used for modeling purposes**","")</f>
        <v/>
      </c>
      <c r="K89" s="1196"/>
      <c r="L89" s="188"/>
      <c r="M89" s="195"/>
      <c r="N89" s="197"/>
      <c r="O89" s="121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8"/>
      <c r="H90" s="188"/>
      <c r="I90" s="1215" t="str">
        <f>IF(E$83="Yes",IF(I89="","",IF(I89&lt;&gt;1,IF(G91="",1,G91-0.0001),"")),"")</f>
        <v/>
      </c>
      <c r="J90" s="230"/>
      <c r="K90" s="1215"/>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8"/>
      <c r="H91" s="188"/>
      <c r="I91" s="1215" t="str">
        <f>IF(E$83="Yes",IF(I90="","",IF(I90&lt;&gt;1,IF(G92="",1,G92-0.0001),"")),"")</f>
        <v/>
      </c>
      <c r="J91" s="230"/>
      <c r="K91" s="1215"/>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8"/>
      <c r="H92" s="188"/>
      <c r="I92" s="1215" t="str">
        <f>IF(E$83="Yes",IF(I91="","",IF(I91&lt;&gt;1,IF(G93="",1,G93-0.0001),"")),"")</f>
        <v/>
      </c>
      <c r="J92" s="230"/>
      <c r="K92" s="1215"/>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8"/>
      <c r="H93" s="188"/>
      <c r="I93" s="1215" t="str">
        <f>IF(E$83="Yes",IF(I92="","",IF(I92&lt;&gt;1,IF(G94="",1,G94-0.0001),"")),"")</f>
        <v/>
      </c>
      <c r="J93" s="230"/>
      <c r="K93" s="1215"/>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9"/>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4" t="s">
        <v>530</v>
      </c>
      <c r="E96" s="1394"/>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2"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1"/>
      <c r="H98" s="646"/>
      <c r="I98" s="1211"/>
      <c r="J98" s="145"/>
      <c r="K98" s="1211"/>
      <c r="L98" s="145"/>
      <c r="M98" s="1264"/>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9">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8"/>
      <c r="H103" s="188"/>
      <c r="I103" s="1215" t="str">
        <f>IF(E$97="Yes",IF(G104="",1,G104-0.0001),"")</f>
        <v/>
      </c>
      <c r="J103" s="1084" t="str">
        <f>IF($E$85="YES","**Tier 1 payout used for modeling purposes**","")</f>
        <v/>
      </c>
      <c r="K103" s="1196"/>
      <c r="L103" s="188"/>
      <c r="M103" s="195"/>
      <c r="N103" s="197"/>
      <c r="O103" s="121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8"/>
      <c r="H104" s="188"/>
      <c r="I104" s="1289" t="str">
        <f>IF(E$97="Yes",IF(I103="","",IF(I103&lt;&gt;1,IF(G105="",1,G105-0.0001),"")),"")</f>
        <v/>
      </c>
      <c r="J104" s="230"/>
      <c r="K104" s="1215"/>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8"/>
      <c r="H105" s="188"/>
      <c r="I105" s="1289" t="str">
        <f>IF(E$97="Yes",IF(I104="","",IF(I104&lt;&gt;1,IF(G106="",1,G106-0.0001),"")),"")</f>
        <v/>
      </c>
      <c r="J105" s="230"/>
      <c r="K105" s="1215"/>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8"/>
      <c r="H106" s="188"/>
      <c r="I106" s="1289" t="str">
        <f>IF(E$97="Yes",IF(I105="","",IF(I105&lt;&gt;1,IF(G107="",1,G107-0.0001),"")),"")</f>
        <v/>
      </c>
      <c r="J106" s="230"/>
      <c r="K106" s="1215"/>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8"/>
      <c r="H107" s="188"/>
      <c r="I107" s="1289" t="str">
        <f>IF(E$97="Yes",IF(I106="","",IF(I106&lt;&gt;1,IF(G108="",1,G108-0.0001),"")),"")</f>
        <v/>
      </c>
      <c r="J107" s="230"/>
      <c r="K107" s="1215"/>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9"/>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4" t="s">
        <v>1180</v>
      </c>
      <c r="E110" s="1394"/>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2"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1"/>
      <c r="H112" s="646"/>
      <c r="I112" s="1211"/>
      <c r="J112" s="145"/>
      <c r="K112" s="1211"/>
      <c r="L112" s="145"/>
      <c r="M112" s="1264"/>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40"/>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1"/>
      <c r="H115" s="188"/>
      <c r="I115" s="1220" t="str">
        <f>IF(E111="Yes",999999999.99,"")</f>
        <v/>
      </c>
      <c r="J115" s="230"/>
      <c r="K115" s="1196"/>
      <c r="L115" s="188"/>
      <c r="M115" s="195"/>
      <c r="N115" s="197"/>
      <c r="O115" s="1216">
        <f>IF(E111="No",0,IF(((H10-(G115*52))*I115)&lt;0,0,((H10-(G115*52))*I115)))</f>
        <v>0</v>
      </c>
      <c r="P115" s="221"/>
      <c r="Q115" s="138"/>
      <c r="R115" s="1059"/>
      <c r="S115" s="694"/>
    </row>
    <row r="116" spans="2:29" ht="21" customHeight="1" x14ac:dyDescent="0.25">
      <c r="B116" s="246"/>
      <c r="C116" s="223"/>
      <c r="D116" s="1239"/>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4" t="s">
        <v>724</v>
      </c>
      <c r="E118" s="1394"/>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2"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1"/>
      <c r="H120" s="646"/>
      <c r="I120" s="1211"/>
      <c r="J120" s="145"/>
      <c r="K120" s="1211"/>
      <c r="L120" s="145"/>
      <c r="M120" s="1264"/>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40"/>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8"/>
      <c r="H123" s="188"/>
      <c r="I123" s="1215" t="str">
        <f>IF(E119="Yes",100,"")</f>
        <v/>
      </c>
      <c r="J123" s="230"/>
      <c r="K123" s="1196"/>
      <c r="L123" s="188"/>
      <c r="M123" s="218"/>
      <c r="N123" s="218"/>
      <c r="O123" s="1216">
        <f>IF($E$119="Yes",K123*$H$10,0)</f>
        <v>0</v>
      </c>
      <c r="P123" s="221"/>
      <c r="Q123" s="138"/>
      <c r="R123" s="1059"/>
      <c r="S123" s="694"/>
    </row>
    <row r="124" spans="2:29" ht="20.25" customHeight="1" x14ac:dyDescent="0.25">
      <c r="B124" s="246"/>
      <c r="C124" s="223"/>
      <c r="D124" s="1239"/>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4" t="s">
        <v>1159</v>
      </c>
      <c r="E126" s="1394"/>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2"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1"/>
      <c r="H128" s="646"/>
      <c r="I128" s="1211"/>
      <c r="J128" s="145"/>
      <c r="K128" s="1211"/>
      <c r="L128" s="145"/>
      <c r="M128" s="1265"/>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18"/>
      <c r="H131" s="188"/>
      <c r="I131" s="239"/>
      <c r="J131" s="197"/>
      <c r="K131" s="239"/>
      <c r="L131" s="188"/>
      <c r="M131" s="239"/>
      <c r="N131" s="218"/>
      <c r="O131" s="1216">
        <f>IFERROR(IF($E127="Yes",$G131/$G$4,0),0)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4"/>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4" t="s">
        <v>1159</v>
      </c>
      <c r="E134" s="1394"/>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2"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1"/>
      <c r="H136" s="646"/>
      <c r="I136" s="1211"/>
      <c r="J136" s="145"/>
      <c r="K136" s="1211"/>
      <c r="L136" s="145"/>
      <c r="M136" s="1264"/>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18"/>
      <c r="H139" s="188"/>
      <c r="I139" s="239"/>
      <c r="J139" s="197"/>
      <c r="K139" s="239"/>
      <c r="L139" s="188"/>
      <c r="M139" s="239"/>
      <c r="N139" s="218"/>
      <c r="O139" s="1216">
        <f>IFERROR(IF($E135="Yes",$G139/$G$4,0),0)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4"/>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4" t="s">
        <v>1057</v>
      </c>
      <c r="E142" s="1394"/>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2"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1"/>
      <c r="H144" s="646"/>
      <c r="I144" s="1211"/>
      <c r="J144" s="145"/>
      <c r="K144" s="1211"/>
      <c r="L144" s="145"/>
      <c r="M144" s="1265"/>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196"/>
      <c r="L147" s="188"/>
      <c r="M147" s="218"/>
      <c r="N147" s="145"/>
      <c r="O147" s="1216">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4"/>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4" t="s">
        <v>1594</v>
      </c>
      <c r="E150" s="1394"/>
      <c r="F150" s="213"/>
      <c r="G150" s="236"/>
      <c r="H150" s="183"/>
      <c r="I150" s="237"/>
      <c r="J150" s="216"/>
      <c r="K150" s="217"/>
      <c r="L150" s="183"/>
      <c r="M150" s="217"/>
      <c r="N150" s="1390"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90"/>
      <c r="P150" s="1391"/>
      <c r="Q150" s="179"/>
      <c r="S150" s="695"/>
    </row>
    <row r="151" spans="2:19" s="1171" customFormat="1" ht="17.25" customHeight="1" thickBot="1" x14ac:dyDescent="0.3">
      <c r="B151" s="244"/>
      <c r="C151" s="188"/>
      <c r="D151" s="1232" t="s">
        <v>528</v>
      </c>
      <c r="E151" s="1246" t="s">
        <v>653</v>
      </c>
      <c r="F151" s="805"/>
      <c r="G151" s="229" t="s">
        <v>1497</v>
      </c>
      <c r="H151" s="646"/>
      <c r="I151" s="229" t="s">
        <v>1498</v>
      </c>
      <c r="J151" s="41"/>
      <c r="K151" s="229" t="s">
        <v>871</v>
      </c>
      <c r="L151" s="145"/>
      <c r="M151" s="194" t="s">
        <v>1499</v>
      </c>
      <c r="N151" s="1392"/>
      <c r="O151" s="1392"/>
      <c r="P151" s="1393"/>
      <c r="Q151" s="179"/>
      <c r="S151" s="695"/>
    </row>
    <row r="152" spans="2:19" s="1171" customFormat="1" ht="18" customHeight="1" thickBot="1" x14ac:dyDescent="0.3">
      <c r="B152" s="244"/>
      <c r="C152" s="188"/>
      <c r="D152" s="1079" t="s">
        <v>1500</v>
      </c>
      <c r="E152" s="1179" t="s">
        <v>1501</v>
      </c>
      <c r="F152" s="806" t="s">
        <v>1159</v>
      </c>
      <c r="G152" s="1211"/>
      <c r="H152" s="646"/>
      <c r="I152" s="1211"/>
      <c r="J152" s="145"/>
      <c r="K152" s="1211"/>
      <c r="L152" s="145"/>
      <c r="M152" s="1264"/>
      <c r="N152" s="1392"/>
      <c r="O152" s="1392"/>
      <c r="P152" s="1393"/>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92"/>
      <c r="O153" s="1392"/>
      <c r="P153" s="1393"/>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3">
        <f>IFERROR(I155+K155,0)</f>
        <v>0</v>
      </c>
      <c r="H155" s="188"/>
      <c r="I155" s="1222"/>
      <c r="J155" s="145"/>
      <c r="K155" s="1222"/>
      <c r="L155" s="145"/>
      <c r="M155" s="1222"/>
      <c r="N155" s="145"/>
      <c r="O155" s="1216">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386" t="s">
        <v>1597</v>
      </c>
      <c r="E157" s="1387"/>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388" t="s">
        <v>1598</v>
      </c>
      <c r="E158" s="1389"/>
      <c r="F158" s="806"/>
      <c r="G158" s="1224"/>
      <c r="H158" s="145"/>
      <c r="I158" s="1222"/>
      <c r="J158" s="145"/>
      <c r="K158" s="1225"/>
      <c r="L158" s="220"/>
      <c r="M158" s="1225"/>
      <c r="N158" s="145"/>
      <c r="O158" s="1222"/>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4"/>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4" t="s">
        <v>1594</v>
      </c>
      <c r="E161" s="1394"/>
      <c r="F161" s="213"/>
      <c r="G161" s="236"/>
      <c r="H161" s="183"/>
      <c r="I161" s="237"/>
      <c r="J161" s="216"/>
      <c r="K161" s="217"/>
      <c r="L161" s="183"/>
      <c r="M161" s="217"/>
      <c r="N161" s="1390"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90"/>
      <c r="P161" s="1391"/>
      <c r="Q161" s="179"/>
      <c r="S161" s="695"/>
    </row>
    <row r="162" spans="2:19" s="1171" customFormat="1" ht="17.25" hidden="1" customHeight="1" thickBot="1" x14ac:dyDescent="0.3">
      <c r="B162" s="244"/>
      <c r="C162" s="188"/>
      <c r="D162" s="1232" t="s">
        <v>528</v>
      </c>
      <c r="E162" s="1246" t="s">
        <v>653</v>
      </c>
      <c r="F162" s="805"/>
      <c r="G162" s="229" t="s">
        <v>1497</v>
      </c>
      <c r="H162" s="646"/>
      <c r="I162" s="229" t="s">
        <v>1498</v>
      </c>
      <c r="J162" s="41"/>
      <c r="K162" s="229" t="s">
        <v>871</v>
      </c>
      <c r="L162" s="145"/>
      <c r="M162" s="194" t="s">
        <v>1499</v>
      </c>
      <c r="N162" s="1392"/>
      <c r="O162" s="1392"/>
      <c r="P162" s="1393"/>
      <c r="Q162" s="179"/>
      <c r="S162" s="695"/>
    </row>
    <row r="163" spans="2:19" s="1171" customFormat="1" ht="18" hidden="1" customHeight="1" thickBot="1" x14ac:dyDescent="0.3">
      <c r="B163" s="244"/>
      <c r="C163" s="188"/>
      <c r="D163" s="1079" t="s">
        <v>1500</v>
      </c>
      <c r="E163" s="1179" t="s">
        <v>1501</v>
      </c>
      <c r="F163" s="806" t="s">
        <v>1159</v>
      </c>
      <c r="G163" s="1211"/>
      <c r="H163" s="646"/>
      <c r="I163" s="1211"/>
      <c r="J163" s="145"/>
      <c r="K163" s="1211"/>
      <c r="L163" s="145"/>
      <c r="M163" s="1264"/>
      <c r="N163" s="1392"/>
      <c r="O163" s="1392"/>
      <c r="P163" s="1393"/>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92"/>
      <c r="O164" s="1392"/>
      <c r="P164" s="1393"/>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3">
        <f>IFERROR(I166+K166,0)</f>
        <v>0</v>
      </c>
      <c r="H166" s="188"/>
      <c r="I166" s="1222"/>
      <c r="J166" s="145"/>
      <c r="K166" s="1222"/>
      <c r="L166" s="145"/>
      <c r="M166" s="1222"/>
      <c r="N166" s="145"/>
      <c r="O166" s="1216">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85" t="s">
        <v>1597</v>
      </c>
      <c r="E168" s="1385"/>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385" t="s">
        <v>1598</v>
      </c>
      <c r="E169" s="1385"/>
      <c r="F169" s="806"/>
      <c r="G169" s="1224"/>
      <c r="H169" s="145"/>
      <c r="I169" s="1222"/>
      <c r="J169" s="145"/>
      <c r="K169" s="1225"/>
      <c r="L169" s="220"/>
      <c r="M169" s="1225"/>
      <c r="N169" s="145"/>
      <c r="O169" s="1222"/>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4"/>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4" t="s">
        <v>1216</v>
      </c>
      <c r="E172" s="1394"/>
      <c r="F172" s="213"/>
      <c r="G172" s="236"/>
      <c r="H172" s="183"/>
      <c r="I172" s="237"/>
      <c r="J172" s="216"/>
      <c r="K172" s="217"/>
      <c r="L172" s="183"/>
      <c r="M172" s="217"/>
      <c r="N172" s="1390"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90"/>
      <c r="P172" s="1391"/>
      <c r="Q172" s="179"/>
      <c r="S172" s="695"/>
    </row>
    <row r="173" spans="2:19" s="1060" customFormat="1" ht="18" customHeight="1" thickBot="1" x14ac:dyDescent="0.3">
      <c r="B173" s="244"/>
      <c r="C173" s="188"/>
      <c r="D173" s="1232" t="s">
        <v>528</v>
      </c>
      <c r="E173" s="1111" t="s">
        <v>653</v>
      </c>
      <c r="F173" s="805"/>
      <c r="G173" s="194" t="s">
        <v>1497</v>
      </c>
      <c r="H173" s="188"/>
      <c r="I173" s="194" t="s">
        <v>1498</v>
      </c>
      <c r="J173" s="41"/>
      <c r="K173" s="194" t="s">
        <v>1514</v>
      </c>
      <c r="L173" s="188"/>
      <c r="M173" s="194" t="s">
        <v>1499</v>
      </c>
      <c r="N173" s="1392"/>
      <c r="O173" s="1392"/>
      <c r="P173" s="1393"/>
      <c r="Q173" s="179"/>
      <c r="S173" s="695"/>
    </row>
    <row r="174" spans="2:19" s="1060" customFormat="1" ht="18" customHeight="1" thickBot="1" x14ac:dyDescent="0.3">
      <c r="B174" s="244"/>
      <c r="C174" s="188"/>
      <c r="D174" s="1079" t="s">
        <v>1500</v>
      </c>
      <c r="E174" s="1189" t="s">
        <v>1501</v>
      </c>
      <c r="F174" s="1177"/>
      <c r="G174" s="1226"/>
      <c r="H174" s="188"/>
      <c r="I174" s="1211"/>
      <c r="J174" s="1177"/>
      <c r="K174" s="1211"/>
      <c r="L174" s="188"/>
      <c r="M174" s="1265"/>
      <c r="N174" s="1392"/>
      <c r="O174" s="1392"/>
      <c r="P174" s="1393"/>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92"/>
      <c r="O175" s="1392"/>
      <c r="P175" s="1393"/>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23"/>
      <c r="K176" s="194" t="s">
        <v>751</v>
      </c>
      <c r="L176" s="1423"/>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2"/>
      <c r="H177" s="188"/>
      <c r="I177" s="1228">
        <v>1</v>
      </c>
      <c r="J177" s="1424"/>
      <c r="K177" s="1222"/>
      <c r="L177" s="1425"/>
      <c r="M177" s="1222"/>
      <c r="N177" s="145"/>
      <c r="O177" s="1216">
        <f>IFERROR(IF($E$173="Yes",G177/$G$4,0),0)</f>
        <v>0</v>
      </c>
      <c r="P177" s="245"/>
      <c r="Q177" s="179"/>
      <c r="S177" s="799"/>
    </row>
    <row r="178" spans="2:19" s="1172" customFormat="1" ht="18" customHeight="1" x14ac:dyDescent="0.25">
      <c r="B178" s="244"/>
      <c r="C178" s="188"/>
      <c r="D178" s="1245"/>
      <c r="E178" s="808"/>
      <c r="F178" s="806"/>
      <c r="G178" s="647"/>
      <c r="H178" s="646"/>
      <c r="I178" s="1228">
        <v>2</v>
      </c>
      <c r="J178" s="1182"/>
      <c r="K178" s="1222"/>
      <c r="L178" s="1183"/>
      <c r="M178" s="1222"/>
      <c r="N178" s="1177"/>
      <c r="O178" s="1174"/>
      <c r="P178" s="245"/>
      <c r="Q178" s="179"/>
      <c r="S178" s="799"/>
    </row>
    <row r="179" spans="2:19" s="1172" customFormat="1" ht="18" customHeight="1" x14ac:dyDescent="0.25">
      <c r="B179" s="244"/>
      <c r="C179" s="188"/>
      <c r="D179" s="1245"/>
      <c r="E179" s="808"/>
      <c r="F179" s="806"/>
      <c r="G179" s="194" t="s">
        <v>1506</v>
      </c>
      <c r="H179" s="646"/>
      <c r="I179" s="1228">
        <v>3</v>
      </c>
      <c r="J179" s="1182"/>
      <c r="K179" s="1213"/>
      <c r="L179" s="1183"/>
      <c r="M179" s="1213"/>
      <c r="N179" s="1177"/>
      <c r="O179" s="1174"/>
      <c r="P179" s="245"/>
      <c r="Q179" s="179"/>
      <c r="S179" s="799"/>
    </row>
    <row r="180" spans="2:19" s="1172" customFormat="1" ht="18" customHeight="1" x14ac:dyDescent="0.25">
      <c r="B180" s="244"/>
      <c r="C180" s="188"/>
      <c r="D180" s="1245"/>
      <c r="E180" s="808"/>
      <c r="F180" s="806"/>
      <c r="G180" s="1227">
        <f>IFERROR(IF(Welcome!$D$6="New",Incentives!G177/(Incentives!H5*Incentives!H4),Incentives!G177/(Incentives!H5*(Incentives!E177-Incentives!E176)/365)),0)</f>
        <v>0</v>
      </c>
      <c r="H180" s="646"/>
      <c r="I180" s="1228">
        <v>4</v>
      </c>
      <c r="J180" s="1182"/>
      <c r="K180" s="1213"/>
      <c r="L180" s="1183"/>
      <c r="M180" s="1213"/>
      <c r="N180" s="1177"/>
      <c r="O180" s="1174"/>
      <c r="P180" s="245"/>
      <c r="Q180" s="179"/>
      <c r="S180" s="799"/>
    </row>
    <row r="181" spans="2:19" s="1172" customFormat="1" ht="18" customHeight="1" x14ac:dyDescent="0.25">
      <c r="B181" s="244"/>
      <c r="C181" s="188"/>
      <c r="D181" s="1245"/>
      <c r="E181" s="808"/>
      <c r="F181" s="806"/>
      <c r="G181" s="647"/>
      <c r="H181" s="646"/>
      <c r="I181" s="1228">
        <v>5</v>
      </c>
      <c r="J181" s="1182"/>
      <c r="K181" s="1213"/>
      <c r="L181" s="1183"/>
      <c r="M181" s="1213"/>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4"/>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4" t="s">
        <v>1216</v>
      </c>
      <c r="E184" s="1394"/>
      <c r="F184" s="213"/>
      <c r="G184" s="236"/>
      <c r="H184" s="183"/>
      <c r="I184" s="237"/>
      <c r="J184" s="216"/>
      <c r="K184" s="217"/>
      <c r="L184" s="183"/>
      <c r="M184" s="217"/>
      <c r="N184" s="1390"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90"/>
      <c r="P184" s="1391"/>
      <c r="Q184" s="179"/>
      <c r="S184" s="695"/>
    </row>
    <row r="185" spans="2:19" s="1060" customFormat="1" ht="18" hidden="1" customHeight="1" thickBot="1" x14ac:dyDescent="0.3">
      <c r="B185" s="244"/>
      <c r="C185" s="188"/>
      <c r="D185" s="1232" t="s">
        <v>528</v>
      </c>
      <c r="E185" s="1111" t="s">
        <v>653</v>
      </c>
      <c r="F185" s="805"/>
      <c r="G185" s="194" t="s">
        <v>1497</v>
      </c>
      <c r="H185" s="188"/>
      <c r="I185" s="194" t="s">
        <v>1498</v>
      </c>
      <c r="J185" s="41"/>
      <c r="K185" s="194" t="s">
        <v>1514</v>
      </c>
      <c r="L185" s="188"/>
      <c r="M185" s="194" t="s">
        <v>1499</v>
      </c>
      <c r="N185" s="1392"/>
      <c r="O185" s="1392"/>
      <c r="P185" s="1393"/>
      <c r="Q185" s="179"/>
      <c r="S185" s="695"/>
    </row>
    <row r="186" spans="2:19" s="1060" customFormat="1" ht="18" hidden="1" customHeight="1" thickBot="1" x14ac:dyDescent="0.3">
      <c r="B186" s="244"/>
      <c r="C186" s="188"/>
      <c r="D186" s="1079" t="s">
        <v>1500</v>
      </c>
      <c r="E186" s="1113" t="s">
        <v>1501</v>
      </c>
      <c r="F186" s="806" t="s">
        <v>924</v>
      </c>
      <c r="G186" s="1226"/>
      <c r="H186" s="188"/>
      <c r="I186" s="1211"/>
      <c r="J186" s="1177"/>
      <c r="K186" s="1211"/>
      <c r="L186" s="188"/>
      <c r="M186" s="1264"/>
      <c r="N186" s="1392"/>
      <c r="O186" s="1392"/>
      <c r="P186" s="1393"/>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92"/>
      <c r="O187" s="1392"/>
      <c r="P187" s="1393"/>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23"/>
      <c r="K188" s="194" t="s">
        <v>751</v>
      </c>
      <c r="L188" s="1423"/>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2"/>
      <c r="H189" s="188"/>
      <c r="I189" s="1228">
        <v>1</v>
      </c>
      <c r="J189" s="1424"/>
      <c r="K189" s="1222"/>
      <c r="L189" s="1425"/>
      <c r="M189" s="1222"/>
      <c r="N189" s="1177"/>
      <c r="O189" s="1216">
        <f>IFERROR(IF($E$173="Yes",G189/$G$4,0),0)</f>
        <v>0</v>
      </c>
      <c r="P189" s="245"/>
      <c r="Q189" s="179"/>
      <c r="S189" s="695"/>
    </row>
    <row r="190" spans="2:19" s="1060" customFormat="1" ht="18" hidden="1" customHeight="1" x14ac:dyDescent="0.25">
      <c r="B190" s="244"/>
      <c r="C190" s="188"/>
      <c r="D190" s="1245"/>
      <c r="E190" s="808"/>
      <c r="F190" s="806"/>
      <c r="G190" s="647"/>
      <c r="H190" s="646"/>
      <c r="I190" s="1228">
        <v>2</v>
      </c>
      <c r="J190" s="1182"/>
      <c r="K190" s="1222"/>
      <c r="L190" s="1183"/>
      <c r="M190" s="1222"/>
      <c r="N190" s="1177"/>
      <c r="O190" s="1174"/>
      <c r="P190" s="245"/>
      <c r="Q190" s="179"/>
    </row>
    <row r="191" spans="2:19" s="1172" customFormat="1" ht="18" hidden="1" customHeight="1" x14ac:dyDescent="0.25">
      <c r="B191" s="244"/>
      <c r="C191" s="188"/>
      <c r="D191" s="1245"/>
      <c r="E191" s="808"/>
      <c r="F191" s="806"/>
      <c r="G191" s="194" t="s">
        <v>1506</v>
      </c>
      <c r="H191" s="646"/>
      <c r="I191" s="1228">
        <v>3</v>
      </c>
      <c r="J191" s="1182"/>
      <c r="K191" s="1213"/>
      <c r="L191" s="1183"/>
      <c r="M191" s="1213"/>
      <c r="N191" s="1177"/>
      <c r="O191" s="1174"/>
      <c r="P191" s="245"/>
      <c r="Q191" s="179"/>
    </row>
    <row r="192" spans="2:19" s="1172" customFormat="1" ht="18" hidden="1" customHeight="1" x14ac:dyDescent="0.25">
      <c r="B192" s="244"/>
      <c r="C192" s="188"/>
      <c r="D192" s="1245"/>
      <c r="E192" s="808"/>
      <c r="F192" s="806"/>
      <c r="G192" s="1227">
        <f>IFERROR(G189/(H5*H9),0)</f>
        <v>0</v>
      </c>
      <c r="H192" s="646"/>
      <c r="I192" s="1228">
        <v>4</v>
      </c>
      <c r="J192" s="1182"/>
      <c r="K192" s="1213"/>
      <c r="L192" s="1183"/>
      <c r="M192" s="1213"/>
      <c r="N192" s="1177"/>
      <c r="O192" s="1174"/>
      <c r="P192" s="245"/>
      <c r="Q192" s="179"/>
    </row>
    <row r="193" spans="1:22" s="1172" customFormat="1" ht="18" hidden="1" customHeight="1" x14ac:dyDescent="0.25">
      <c r="B193" s="244"/>
      <c r="C193" s="188"/>
      <c r="D193" s="1245"/>
      <c r="E193" s="808"/>
      <c r="F193" s="806"/>
      <c r="G193" s="647"/>
      <c r="H193" s="646"/>
      <c r="I193" s="1228">
        <v>5</v>
      </c>
      <c r="J193" s="1182"/>
      <c r="K193" s="1213"/>
      <c r="L193" s="1183"/>
      <c r="M193" s="1213"/>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4"/>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0" t="s">
        <v>1604</v>
      </c>
      <c r="E196" s="1420"/>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2"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7"/>
      <c r="J198" s="1177"/>
      <c r="K198" s="1211"/>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9">
        <v>0</v>
      </c>
      <c r="L201" s="1187">
        <f>IF(G180&gt;1,1,G180)</f>
        <v>0</v>
      </c>
      <c r="M201" s="145"/>
      <c r="N201" s="145"/>
      <c r="O201" s="1216">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1">
        <f>'Customer Inputs'!$K$17</f>
        <v>0</v>
      </c>
      <c r="M204" s="1110"/>
      <c r="N204" s="254" t="s">
        <v>226</v>
      </c>
      <c r="O204" s="255">
        <f>IFERROR(O201+O190+O177+O147+O131+O123+O115+O89+O61+O19,0)</f>
        <v>0</v>
      </c>
      <c r="Q204" s="256"/>
      <c r="T204" s="393"/>
      <c r="U204" s="393"/>
      <c r="V204" s="394"/>
    </row>
    <row r="205" spans="1:22" s="253" customFormat="1" ht="27.6" customHeight="1" x14ac:dyDescent="0.3">
      <c r="D205" s="1242"/>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3"/>
      <c r="E207" s="259"/>
      <c r="F207" s="259"/>
      <c r="G207" s="259"/>
      <c r="H207" s="259"/>
      <c r="I207" s="259"/>
      <c r="J207" s="259"/>
      <c r="K207" s="259"/>
      <c r="L207" s="658"/>
      <c r="M207" s="691">
        <f>COUNTIF($S$14:$S$202,"X")</f>
        <v>0</v>
      </c>
      <c r="N207" s="691"/>
      <c r="O207" s="691"/>
      <c r="P207" s="659"/>
      <c r="Q207" s="260"/>
      <c r="R207" s="1059"/>
    </row>
    <row r="208" spans="1:22" ht="48.6" customHeight="1" x14ac:dyDescent="0.25">
      <c r="C208" s="1421"/>
      <c r="D208" s="1421"/>
      <c r="I208" s="657"/>
      <c r="L208" s="1060"/>
      <c r="M208" s="1422"/>
      <c r="N208" s="1422"/>
      <c r="O208" s="1422"/>
      <c r="P208" s="1422"/>
      <c r="R208" s="1059"/>
    </row>
  </sheetData>
  <sheetProtection algorithmName="SHA-512" hashValue="zeaD43M3LDLtIlzBDjoUUzdiV6Jxpi9W9pIntD1O60s5cqxR0hV0MPcHMU06F2WIArjN/pB+9xyVEKwFGKG5Nw==" saltValue="8lSgGdzQ9NYLGGIqZF2QbA=="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91" priority="305">
      <formula>$M$207&gt;0</formula>
    </cfRule>
    <cfRule type="cellIs" dxfId="390" priority="308" operator="lessThan">
      <formula>$P$206</formula>
    </cfRule>
    <cfRule type="cellIs" dxfId="389" priority="309" operator="greaterThan">
      <formula>$P$206</formula>
    </cfRule>
  </conditionalFormatting>
  <conditionalFormatting sqref="I14">
    <cfRule type="expression" dxfId="388" priority="307">
      <formula>$E$14&lt;&gt;"Please Select"</formula>
    </cfRule>
  </conditionalFormatting>
  <conditionalFormatting sqref="G61 K61">
    <cfRule type="expression" dxfId="387" priority="306">
      <formula>OR($E56="DS Tiered Average Invoice Dollar Qualifier",$E56="DS Threshold Average Invoice Dollar Qualifier")</formula>
    </cfRule>
  </conditionalFormatting>
  <conditionalFormatting sqref="G14">
    <cfRule type="expression" dxfId="386" priority="303">
      <formula>$E$14&lt;&gt;"Please Select"</formula>
    </cfRule>
  </conditionalFormatting>
  <conditionalFormatting sqref="G17">
    <cfRule type="expression" dxfId="385" priority="296">
      <formula>$E$15="YES"</formula>
    </cfRule>
  </conditionalFormatting>
  <conditionalFormatting sqref="G31">
    <cfRule type="expression" dxfId="384" priority="295">
      <formula>$E$15="YES"</formula>
    </cfRule>
  </conditionalFormatting>
  <conditionalFormatting sqref="G45">
    <cfRule type="expression" dxfId="383" priority="293">
      <formula>$E$15="YES"</formula>
    </cfRule>
  </conditionalFormatting>
  <conditionalFormatting sqref="E14">
    <cfRule type="expression" dxfId="382" priority="291">
      <formula>$E$13="No"</formula>
    </cfRule>
    <cfRule type="expression" dxfId="381" priority="292">
      <formula>$E$13="Yes"</formula>
    </cfRule>
  </conditionalFormatting>
  <conditionalFormatting sqref="E28">
    <cfRule type="expression" dxfId="380" priority="289">
      <formula>$E$27="No"</formula>
    </cfRule>
    <cfRule type="expression" dxfId="379" priority="290">
      <formula>$E$27="Yes"</formula>
    </cfRule>
  </conditionalFormatting>
  <conditionalFormatting sqref="E42">
    <cfRule type="expression" dxfId="378" priority="287">
      <formula>$E$41="No"</formula>
    </cfRule>
    <cfRule type="expression" dxfId="377" priority="288">
      <formula>$E$41="Yes"</formula>
    </cfRule>
  </conditionalFormatting>
  <conditionalFormatting sqref="M14">
    <cfRule type="expression" dxfId="376" priority="284">
      <formula>$K$14&lt;&gt;"Corporate Office"</formula>
    </cfRule>
    <cfRule type="expression" dxfId="375" priority="285">
      <formula>AND($K$14="Corporate Office",$I$14="Check")</formula>
    </cfRule>
    <cfRule type="expression" dxfId="374" priority="286">
      <formula>AND($I$14="Credit Memo",$K$14="Corporate Office")</formula>
    </cfRule>
  </conditionalFormatting>
  <conditionalFormatting sqref="M28">
    <cfRule type="expression" dxfId="373" priority="281">
      <formula>$K$28&lt;&gt;"Corporate Office"</formula>
    </cfRule>
    <cfRule type="expression" dxfId="372" priority="282">
      <formula>AND($K$28="Corporate Office",$I$28="Check")</formula>
    </cfRule>
    <cfRule type="expression" dxfId="371" priority="283">
      <formula>AND($I$28="Credit Memo",$K$28="Corporate Office")</formula>
    </cfRule>
  </conditionalFormatting>
  <conditionalFormatting sqref="M42">
    <cfRule type="expression" dxfId="370" priority="278">
      <formula>$K$42&lt;&gt;"Corporate Office"</formula>
    </cfRule>
    <cfRule type="expression" dxfId="369" priority="279">
      <formula>AND($K$42="Corporate Office",$I$42="Check")</formula>
    </cfRule>
    <cfRule type="expression" dxfId="368" priority="280">
      <formula>AND($I$42="Credit Memo",$K$42="Corporate Office")</formula>
    </cfRule>
  </conditionalFormatting>
  <conditionalFormatting sqref="E56">
    <cfRule type="expression" dxfId="367" priority="275">
      <formula>$E$55="Yes"</formula>
    </cfRule>
    <cfRule type="expression" dxfId="366" priority="276">
      <formula>$E$55="No"</formula>
    </cfRule>
  </conditionalFormatting>
  <conditionalFormatting sqref="E70">
    <cfRule type="expression" dxfId="365" priority="273">
      <formula>$E$69="Yes"</formula>
    </cfRule>
    <cfRule type="expression" dxfId="364" priority="274">
      <formula>$E$69="No"</formula>
    </cfRule>
  </conditionalFormatting>
  <conditionalFormatting sqref="K14">
    <cfRule type="expression" dxfId="363" priority="272">
      <formula>AND($E14&lt;&gt;"Please Select",$I14&lt;&gt;"Check")</formula>
    </cfRule>
  </conditionalFormatting>
  <conditionalFormatting sqref="I56">
    <cfRule type="expression" dxfId="362" priority="271">
      <formula>$E$56&lt;&gt;"Please Select"</formula>
    </cfRule>
  </conditionalFormatting>
  <conditionalFormatting sqref="G56">
    <cfRule type="expression" dxfId="361" priority="269">
      <formula>$E$56&lt;&gt;"Please Select"</formula>
    </cfRule>
  </conditionalFormatting>
  <conditionalFormatting sqref="I28">
    <cfRule type="expression" dxfId="360" priority="268">
      <formula>$E$28&lt;&gt;"Please Select"</formula>
    </cfRule>
  </conditionalFormatting>
  <conditionalFormatting sqref="G28">
    <cfRule type="expression" dxfId="359" priority="267">
      <formula>$E$28&lt;&gt;"Please Select"</formula>
    </cfRule>
  </conditionalFormatting>
  <conditionalFormatting sqref="I42">
    <cfRule type="expression" dxfId="358" priority="265">
      <formula>$E$42&lt;&gt;"Please Select"</formula>
    </cfRule>
  </conditionalFormatting>
  <conditionalFormatting sqref="G42">
    <cfRule type="expression" dxfId="357" priority="264">
      <formula>$E$42&lt;&gt;"Please Select"</formula>
    </cfRule>
  </conditionalFormatting>
  <conditionalFormatting sqref="I70">
    <cfRule type="expression" dxfId="356" priority="262">
      <formula>$E$70&lt;&gt;"Please Select"</formula>
    </cfRule>
  </conditionalFormatting>
  <conditionalFormatting sqref="G70">
    <cfRule type="expression" dxfId="355" priority="260">
      <formula>$E$70&lt;&gt;"Please Select"</formula>
    </cfRule>
  </conditionalFormatting>
  <conditionalFormatting sqref="M56">
    <cfRule type="expression" dxfId="354" priority="252">
      <formula>$K$56&lt;&gt;"Corporate Office"</formula>
    </cfRule>
    <cfRule type="expression" dxfId="353" priority="253">
      <formula>AND($K$56="Corporate Office",$I$56="Check")</formula>
    </cfRule>
    <cfRule type="expression" dxfId="352" priority="254">
      <formula>AND($I$56="Credit Memo",$K$56="Corporate Office")</formula>
    </cfRule>
  </conditionalFormatting>
  <conditionalFormatting sqref="M70">
    <cfRule type="expression" dxfId="351" priority="249">
      <formula>$K$70&lt;&gt;"Corporate Office"</formula>
    </cfRule>
    <cfRule type="expression" dxfId="350" priority="250">
      <formula>AND($K$70="Corporate Office",$I$70="Check")</formula>
    </cfRule>
    <cfRule type="expression" dxfId="349" priority="251">
      <formula>AND($I$70="Credit Memo",$K$70="Corporate Office")</formula>
    </cfRule>
  </conditionalFormatting>
  <conditionalFormatting sqref="I84">
    <cfRule type="expression" dxfId="348" priority="248">
      <formula>$E$84&lt;&gt;"Please Select"</formula>
    </cfRule>
  </conditionalFormatting>
  <conditionalFormatting sqref="G84">
    <cfRule type="expression" dxfId="347" priority="246">
      <formula>$E$84&lt;&gt;"Please Select"</formula>
    </cfRule>
  </conditionalFormatting>
  <conditionalFormatting sqref="M84">
    <cfRule type="expression" dxfId="346" priority="243">
      <formula>$K$84&lt;&gt;"Corporate Office"</formula>
    </cfRule>
    <cfRule type="expression" dxfId="345" priority="244">
      <formula>AND($K$84="Corporate Office",$I$84="Check")</formula>
    </cfRule>
    <cfRule type="expression" dxfId="344" priority="245">
      <formula>AND($I$84="Credit Memo",$K$84="Corporate Office")</formula>
    </cfRule>
  </conditionalFormatting>
  <conditionalFormatting sqref="I98">
    <cfRule type="expression" dxfId="343" priority="242">
      <formula>$E$98&lt;&gt;"Please Select"</formula>
    </cfRule>
  </conditionalFormatting>
  <conditionalFormatting sqref="G98">
    <cfRule type="expression" dxfId="342" priority="240">
      <formula>$E$98&lt;&gt;"Please Select"</formula>
    </cfRule>
  </conditionalFormatting>
  <conditionalFormatting sqref="M98">
    <cfRule type="expression" dxfId="341" priority="237">
      <formula>$K$98&lt;&gt;"Corporate Office"</formula>
    </cfRule>
    <cfRule type="expression" dxfId="340" priority="238">
      <formula>AND($K$98="Corporate Office",$I$98="Check")</formula>
    </cfRule>
    <cfRule type="expression" dxfId="339" priority="239">
      <formula>AND($I$98="Credit Memo",$K$98="Corporate Office")</formula>
    </cfRule>
  </conditionalFormatting>
  <conditionalFormatting sqref="E98">
    <cfRule type="expression" dxfId="338" priority="235">
      <formula>$E$97="Yes"</formula>
    </cfRule>
    <cfRule type="expression" dxfId="337" priority="236">
      <formula>$E$97="No"</formula>
    </cfRule>
  </conditionalFormatting>
  <conditionalFormatting sqref="E84">
    <cfRule type="expression" dxfId="336" priority="233">
      <formula>$E$83="Yes"</formula>
    </cfRule>
    <cfRule type="expression" dxfId="335" priority="234">
      <formula>$E$83="No"</formula>
    </cfRule>
  </conditionalFormatting>
  <conditionalFormatting sqref="G33">
    <cfRule type="expression" dxfId="334" priority="232">
      <formula>OR($E28="Volume Incentive Threshold",$E28="Volume Incentive Tiered")</formula>
    </cfRule>
  </conditionalFormatting>
  <conditionalFormatting sqref="G34">
    <cfRule type="expression" dxfId="333" priority="231">
      <formula>$E28="Volume Incentive Tiered"</formula>
    </cfRule>
  </conditionalFormatting>
  <conditionalFormatting sqref="G47">
    <cfRule type="expression" dxfId="332" priority="230">
      <formula>OR($E42="Volume Incentive Threshold",$E42="Volume Incentive Tiered")</formula>
    </cfRule>
  </conditionalFormatting>
  <conditionalFormatting sqref="G48">
    <cfRule type="expression" dxfId="331" priority="229">
      <formula>$E42="Volume Incentive Tiered"</formula>
    </cfRule>
  </conditionalFormatting>
  <conditionalFormatting sqref="G19">
    <cfRule type="expression" dxfId="330" priority="228">
      <formula>OR($E14="Volume Incentive Threshold",$E14="Volume Incentive Tiered")</formula>
    </cfRule>
  </conditionalFormatting>
  <conditionalFormatting sqref="G20 K20">
    <cfRule type="expression" dxfId="329" priority="227">
      <formula>$E14="Volume Incentive Tiered"</formula>
    </cfRule>
  </conditionalFormatting>
  <conditionalFormatting sqref="G62 K62">
    <cfRule type="expression" dxfId="328" priority="226">
      <formula>$E56="DS Tiered Average Invoice Dollar Qualifier"</formula>
    </cfRule>
  </conditionalFormatting>
  <conditionalFormatting sqref="G75">
    <cfRule type="expression" dxfId="327" priority="225">
      <formula>OR($E70="DS Tiered Average Invoice Dollar Qualifier",$E70="DS Threshold Average Invoice Dollar Qualifier")</formula>
    </cfRule>
  </conditionalFormatting>
  <conditionalFormatting sqref="G76">
    <cfRule type="expression" dxfId="326" priority="224">
      <formula>$E70="DS Tiered Average Invoice Dollar Qualifier"</formula>
    </cfRule>
  </conditionalFormatting>
  <conditionalFormatting sqref="G89">
    <cfRule type="expression" dxfId="325" priority="223">
      <formula>OR($E84="EB Threshold Percent Qualifier",$E84="EB Tiered Percent Qualifier")</formula>
    </cfRule>
  </conditionalFormatting>
  <conditionalFormatting sqref="G90 K90">
    <cfRule type="expression" dxfId="324" priority="222">
      <formula>$E84="EB Tiered Percent Qualifier"</formula>
    </cfRule>
  </conditionalFormatting>
  <conditionalFormatting sqref="G103">
    <cfRule type="expression" dxfId="323" priority="221">
      <formula>OR($E98="EB Threshold Percent Qualifier",$E98="EB Tiered Percent Qualifier")</formula>
    </cfRule>
  </conditionalFormatting>
  <conditionalFormatting sqref="G104">
    <cfRule type="expression" dxfId="322" priority="220">
      <formula>$E98="EB Tiered Percent Qualifier"</formula>
    </cfRule>
  </conditionalFormatting>
  <conditionalFormatting sqref="I112">
    <cfRule type="expression" dxfId="321" priority="217">
      <formula>$E$112&lt;&gt;"Please Select"</formula>
    </cfRule>
  </conditionalFormatting>
  <conditionalFormatting sqref="G112">
    <cfRule type="expression" dxfId="320" priority="215">
      <formula>$E$112&lt;&gt;"Please Select"</formula>
    </cfRule>
  </conditionalFormatting>
  <conditionalFormatting sqref="M112">
    <cfRule type="expression" dxfId="319" priority="212">
      <formula>$K$112&lt;&gt;"Corporate Office"</formula>
    </cfRule>
    <cfRule type="expression" dxfId="318" priority="213">
      <formula>AND($K$112="Corporate Office",$I$112="Check")</formula>
    </cfRule>
    <cfRule type="expression" dxfId="317" priority="214">
      <formula>AND($I$112="Credit Memo",$K$112="Corporate Office")</formula>
    </cfRule>
  </conditionalFormatting>
  <conditionalFormatting sqref="E112">
    <cfRule type="expression" dxfId="316" priority="211">
      <formula>$E$111="Yes"</formula>
    </cfRule>
  </conditionalFormatting>
  <conditionalFormatting sqref="G115">
    <cfRule type="expression" dxfId="315" priority="210">
      <formula>$E$112="Growth Incentive Single Rate"</formula>
    </cfRule>
  </conditionalFormatting>
  <conditionalFormatting sqref="K115">
    <cfRule type="expression" dxfId="314" priority="209">
      <formula>$E$112&lt;&gt;"Please Select"</formula>
    </cfRule>
  </conditionalFormatting>
  <conditionalFormatting sqref="I120">
    <cfRule type="expression" dxfId="313" priority="208">
      <formula>$E$120&lt;&gt;"Please Select"</formula>
    </cfRule>
  </conditionalFormatting>
  <conditionalFormatting sqref="G120">
    <cfRule type="expression" dxfId="312" priority="206">
      <formula>$E$120&lt;&gt;"Please Select"</formula>
    </cfRule>
  </conditionalFormatting>
  <conditionalFormatting sqref="M120">
    <cfRule type="expression" dxfId="311" priority="203">
      <formula>$K$120&lt;&gt;"Corporate Office"</formula>
    </cfRule>
    <cfRule type="expression" dxfId="310" priority="204">
      <formula>AND($K$120="Corporate Office",$I$120="Check")</formula>
    </cfRule>
    <cfRule type="expression" dxfId="309" priority="205">
      <formula>AND($I$120="Credit Memo",$K$120="Corporate Office")</formula>
    </cfRule>
  </conditionalFormatting>
  <conditionalFormatting sqref="G123">
    <cfRule type="expression" dxfId="308" priority="202">
      <formula>$E$120="E-Commerce Incentive Threshold"</formula>
    </cfRule>
  </conditionalFormatting>
  <conditionalFormatting sqref="E120">
    <cfRule type="expression" dxfId="307" priority="200">
      <formula>$E$119="Yes"</formula>
    </cfRule>
  </conditionalFormatting>
  <conditionalFormatting sqref="I128">
    <cfRule type="expression" dxfId="306" priority="199">
      <formula>$E$128&lt;&gt;"Please Select"</formula>
    </cfRule>
  </conditionalFormatting>
  <conditionalFormatting sqref="M128">
    <cfRule type="expression" dxfId="305" priority="196">
      <formula>$K$128&lt;&gt;"Corporate Office"</formula>
    </cfRule>
    <cfRule type="expression" dxfId="304" priority="197">
      <formula>AND($K$128="Corporate Office",$I$128="Check")</formula>
    </cfRule>
    <cfRule type="expression" dxfId="303" priority="198">
      <formula>AND($I$128="Credit Memo",$K$128="Corporate Office")</formula>
    </cfRule>
  </conditionalFormatting>
  <conditionalFormatting sqref="E128">
    <cfRule type="expression" dxfId="302" priority="195">
      <formula>$E$127="Yes"</formula>
    </cfRule>
  </conditionalFormatting>
  <conditionalFormatting sqref="G131">
    <cfRule type="expression" dxfId="301" priority="194">
      <formula>$E$128&lt;&gt;"Please Select"</formula>
    </cfRule>
  </conditionalFormatting>
  <conditionalFormatting sqref="E136">
    <cfRule type="expression" dxfId="300" priority="193">
      <formula>$E$135="Yes"</formula>
    </cfRule>
  </conditionalFormatting>
  <conditionalFormatting sqref="I136">
    <cfRule type="expression" dxfId="299" priority="192">
      <formula>$E$136&lt;&gt;"Please Select"</formula>
    </cfRule>
  </conditionalFormatting>
  <conditionalFormatting sqref="M136">
    <cfRule type="expression" dxfId="298" priority="189">
      <formula>$K$136&lt;&gt;"Corporate Office"</formula>
    </cfRule>
    <cfRule type="expression" dxfId="297" priority="190">
      <formula>AND($K$136="Corporate Office",$I$136="Check")</formula>
    </cfRule>
    <cfRule type="expression" dxfId="296" priority="191">
      <formula>AND($I$136="Credit Memo",$K$136="Corporate Office")</formula>
    </cfRule>
  </conditionalFormatting>
  <conditionalFormatting sqref="G139">
    <cfRule type="expression" dxfId="295" priority="188">
      <formula>$E$136&lt;&gt;"Please Select"</formula>
    </cfRule>
  </conditionalFormatting>
  <conditionalFormatting sqref="I144">
    <cfRule type="expression" dxfId="294" priority="186">
      <formula>$E$144&lt;&gt;"Please Select"</formula>
    </cfRule>
  </conditionalFormatting>
  <conditionalFormatting sqref="G144">
    <cfRule type="expression" dxfId="293" priority="184">
      <formula>$E$144&lt;&gt;"Please Select"</formula>
    </cfRule>
  </conditionalFormatting>
  <conditionalFormatting sqref="M144">
    <cfRule type="expression" dxfId="292" priority="181">
      <formula>$K$144&lt;&gt;"Corporate Office"</formula>
    </cfRule>
    <cfRule type="expression" dxfId="291" priority="182">
      <formula>AND($K$144="Corporate Office",$I$144="Check")</formula>
    </cfRule>
    <cfRule type="expression" dxfId="290" priority="183">
      <formula>AND($I$144="Credit Memo",$K$144="Corporate Office")</formula>
    </cfRule>
  </conditionalFormatting>
  <conditionalFormatting sqref="E144">
    <cfRule type="expression" dxfId="289" priority="180">
      <formula>$E$143="Yes"</formula>
    </cfRule>
  </conditionalFormatting>
  <conditionalFormatting sqref="K123">
    <cfRule type="expression" dxfId="288" priority="178">
      <formula>$E$120&lt;&gt;"Please Select"</formula>
    </cfRule>
  </conditionalFormatting>
  <conditionalFormatting sqref="K147">
    <cfRule type="expression" dxfId="287" priority="177">
      <formula>$E$144&lt;&gt;"Please Select"</formula>
    </cfRule>
  </conditionalFormatting>
  <conditionalFormatting sqref="M153">
    <cfRule type="expression" dxfId="286" priority="172">
      <formula>$M$186&gt;=10000</formula>
    </cfRule>
  </conditionalFormatting>
  <conditionalFormatting sqref="I152">
    <cfRule type="expression" dxfId="285" priority="171">
      <formula>$E152&lt;&gt;"Please Select"</formula>
    </cfRule>
  </conditionalFormatting>
  <conditionalFormatting sqref="M152">
    <cfRule type="expression" dxfId="284" priority="168">
      <formula>$K152&lt;&gt;"Corporate Office"</formula>
    </cfRule>
    <cfRule type="expression" dxfId="283" priority="169">
      <formula>AND($K152="Corporate Office",$I152="Check")</formula>
    </cfRule>
    <cfRule type="expression" dxfId="282" priority="170">
      <formula>AND($I152="Credit Memo",$K152="Corporate Office")</formula>
    </cfRule>
  </conditionalFormatting>
  <conditionalFormatting sqref="E152">
    <cfRule type="expression" dxfId="281" priority="167">
      <formula>$E$151="Yes"</formula>
    </cfRule>
  </conditionalFormatting>
  <conditionalFormatting sqref="G158">
    <cfRule type="expression" dxfId="280" priority="166">
      <formula>$E152&lt;&gt;"Please Select"</formula>
    </cfRule>
  </conditionalFormatting>
  <conditionalFormatting sqref="I158">
    <cfRule type="expression" dxfId="279" priority="162">
      <formula>COUNT(SEARCH("ICM", $G158))=1</formula>
    </cfRule>
    <cfRule type="expression" dxfId="278" priority="165">
      <formula>$E152&lt;&gt;"Please Select"</formula>
    </cfRule>
  </conditionalFormatting>
  <conditionalFormatting sqref="K155">
    <cfRule type="expression" dxfId="277" priority="161">
      <formula>$E152 = "Prepaid Rollover"</formula>
    </cfRule>
  </conditionalFormatting>
  <conditionalFormatting sqref="M158">
    <cfRule type="expression" dxfId="276" priority="159">
      <formula>$E152&lt;&gt;"Please Select"</formula>
    </cfRule>
  </conditionalFormatting>
  <conditionalFormatting sqref="M155">
    <cfRule type="expression" dxfId="275" priority="158">
      <formula>$E152&lt;&gt;"Please Select"</formula>
    </cfRule>
  </conditionalFormatting>
  <conditionalFormatting sqref="K158">
    <cfRule type="expression" dxfId="274" priority="157">
      <formula>$E152&lt;&gt;"Please Select"</formula>
    </cfRule>
  </conditionalFormatting>
  <conditionalFormatting sqref="N150:P153">
    <cfRule type="expression" dxfId="273" priority="155">
      <formula>$G155=10000</formula>
    </cfRule>
    <cfRule type="expression" dxfId="272" priority="156">
      <formula>$G155=100000</formula>
    </cfRule>
  </conditionalFormatting>
  <conditionalFormatting sqref="O158">
    <cfRule type="expression" dxfId="271" priority="154">
      <formula>$E152&lt;&gt;"Please Select"</formula>
    </cfRule>
  </conditionalFormatting>
  <conditionalFormatting sqref="M164">
    <cfRule type="expression" dxfId="270" priority="153">
      <formula>$M$186&gt;=10000</formula>
    </cfRule>
  </conditionalFormatting>
  <conditionalFormatting sqref="I163">
    <cfRule type="expression" dxfId="269" priority="152">
      <formula>$E163&lt;&gt;"Please Select"</formula>
    </cfRule>
  </conditionalFormatting>
  <conditionalFormatting sqref="M163">
    <cfRule type="expression" dxfId="268" priority="149">
      <formula>$K163&lt;&gt;"Corporate Office"</formula>
    </cfRule>
    <cfRule type="expression" dxfId="267" priority="150">
      <formula>AND($K163="Corporate Office",$I163="Check")</formula>
    </cfRule>
    <cfRule type="expression" dxfId="266" priority="151">
      <formula>AND($I163="Credit Memo",$K163="Corporate Office")</formula>
    </cfRule>
  </conditionalFormatting>
  <conditionalFormatting sqref="E163">
    <cfRule type="expression" dxfId="265" priority="148">
      <formula>$E162="Yes"</formula>
    </cfRule>
  </conditionalFormatting>
  <conditionalFormatting sqref="G169">
    <cfRule type="expression" dxfId="264" priority="147">
      <formula>$E163&lt;&gt;"Please Select"</formula>
    </cfRule>
  </conditionalFormatting>
  <conditionalFormatting sqref="I169">
    <cfRule type="expression" dxfId="263" priority="145">
      <formula>COUNT(SEARCH("ICM", $G169))=1</formula>
    </cfRule>
    <cfRule type="expression" dxfId="262" priority="146">
      <formula>$E163&lt;&gt;"Please Select"</formula>
    </cfRule>
  </conditionalFormatting>
  <conditionalFormatting sqref="K166">
    <cfRule type="expression" dxfId="261" priority="144">
      <formula>$E163 = "Prepaid Rollover"</formula>
    </cfRule>
  </conditionalFormatting>
  <conditionalFormatting sqref="M169">
    <cfRule type="expression" dxfId="260" priority="143">
      <formula>$E163&lt;&gt;"Please Select"</formula>
    </cfRule>
  </conditionalFormatting>
  <conditionalFormatting sqref="M166">
    <cfRule type="expression" dxfId="259" priority="142">
      <formula>$E163&lt;&gt;"Please Select"</formula>
    </cfRule>
  </conditionalFormatting>
  <conditionalFormatting sqref="K169">
    <cfRule type="expression" dxfId="258" priority="141">
      <formula>$E163&lt;&gt;"Please Select"</formula>
    </cfRule>
  </conditionalFormatting>
  <conditionalFormatting sqref="N161:P164">
    <cfRule type="expression" dxfId="257" priority="139">
      <formula>$G166=10000</formula>
    </cfRule>
    <cfRule type="expression" dxfId="256" priority="140">
      <formula>$G166=100000</formula>
    </cfRule>
  </conditionalFormatting>
  <conditionalFormatting sqref="O169">
    <cfRule type="expression" dxfId="255" priority="138">
      <formula>$E163&lt;&gt;"Please Select"</formula>
    </cfRule>
  </conditionalFormatting>
  <conditionalFormatting sqref="E186">
    <cfRule type="expression" dxfId="254" priority="136">
      <formula>$E185="Yes"</formula>
    </cfRule>
  </conditionalFormatting>
  <conditionalFormatting sqref="G174">
    <cfRule type="expression" dxfId="253" priority="135">
      <formula>$E174="Prepay Multi Yr Under"</formula>
    </cfRule>
  </conditionalFormatting>
  <conditionalFormatting sqref="G186">
    <cfRule type="expression" dxfId="252" priority="134">
      <formula>$E186="Prepay Multi Yr Under"</formula>
    </cfRule>
  </conditionalFormatting>
  <conditionalFormatting sqref="I174">
    <cfRule type="expression" dxfId="251" priority="133">
      <formula>$E174&lt;&gt;"Please Select"</formula>
    </cfRule>
  </conditionalFormatting>
  <conditionalFormatting sqref="I186">
    <cfRule type="expression" dxfId="250" priority="132">
      <formula>$E186&lt;&gt;"Please Select"</formula>
    </cfRule>
  </conditionalFormatting>
  <conditionalFormatting sqref="M174">
    <cfRule type="expression" dxfId="249" priority="129">
      <formula>$K174&lt;&gt;"Corporate Office"</formula>
    </cfRule>
    <cfRule type="expression" dxfId="248" priority="130">
      <formula>AND($K174="Corporate Office",$I174="Check")</formula>
    </cfRule>
    <cfRule type="expression" dxfId="247" priority="131">
      <formula>AND($I174="Credit Memo",$K174="Corporate Office")</formula>
    </cfRule>
  </conditionalFormatting>
  <conditionalFormatting sqref="M186">
    <cfRule type="expression" dxfId="246" priority="126">
      <formula>$K186&lt;&gt;"Corporate Office"</formula>
    </cfRule>
    <cfRule type="expression" dxfId="245" priority="127">
      <formula>AND($K186="Corporate Office",$I186="Check")</formula>
    </cfRule>
    <cfRule type="expression" dxfId="244" priority="128">
      <formula>AND($I186="Credit Memo",$K186="Corporate Office")</formula>
    </cfRule>
  </conditionalFormatting>
  <conditionalFormatting sqref="N172:P175">
    <cfRule type="expression" dxfId="243" priority="124">
      <formula>$G177=10000</formula>
    </cfRule>
    <cfRule type="expression" dxfId="242" priority="125">
      <formula>$G177=100000</formula>
    </cfRule>
  </conditionalFormatting>
  <conditionalFormatting sqref="N184:P187">
    <cfRule type="expression" dxfId="241" priority="122">
      <formula>$G189=10000</formula>
    </cfRule>
    <cfRule type="expression" dxfId="240" priority="123">
      <formula>$G189=100000</formula>
    </cfRule>
  </conditionalFormatting>
  <conditionalFormatting sqref="I198">
    <cfRule type="expression" dxfId="239" priority="94">
      <formula>$E198&lt;&gt;"Please Select"</formula>
    </cfRule>
  </conditionalFormatting>
  <conditionalFormatting sqref="E198">
    <cfRule type="expression" dxfId="238" priority="93">
      <formula>$E$197="Yes"</formula>
    </cfRule>
  </conditionalFormatting>
  <conditionalFormatting sqref="K202">
    <cfRule type="expression" dxfId="237" priority="92">
      <formula>$K$201&gt;1%</formula>
    </cfRule>
  </conditionalFormatting>
  <conditionalFormatting sqref="K201">
    <cfRule type="expression" dxfId="236" priority="91">
      <formula>$E$197="Yes"</formula>
    </cfRule>
  </conditionalFormatting>
  <conditionalFormatting sqref="E174">
    <cfRule type="expression" dxfId="235" priority="71">
      <formula>$E$173="Yes"</formula>
    </cfRule>
  </conditionalFormatting>
  <conditionalFormatting sqref="K21:K23 G21:G23">
    <cfRule type="expression" dxfId="234" priority="70">
      <formula>$E$14="Volume Incentive Tiered"</formula>
    </cfRule>
  </conditionalFormatting>
  <conditionalFormatting sqref="K63:K65 G63:G65">
    <cfRule type="expression" dxfId="233" priority="59">
      <formula>$E$56="DS Tiered Average Invoice Dollar Qualifier"</formula>
    </cfRule>
  </conditionalFormatting>
  <conditionalFormatting sqref="K91:K93 G91:G93">
    <cfRule type="expression" dxfId="232" priority="58">
      <formula>$E$84="EB Tiered Percent Qualifier"</formula>
    </cfRule>
  </conditionalFormatting>
  <conditionalFormatting sqref="K34">
    <cfRule type="expression" dxfId="231" priority="55">
      <formula>$E28="Volume Incentive Tiered"</formula>
    </cfRule>
  </conditionalFormatting>
  <conditionalFormatting sqref="K35:K37">
    <cfRule type="expression" dxfId="230" priority="54">
      <formula>$E$28="Volume Incentive Tiered"</formula>
    </cfRule>
  </conditionalFormatting>
  <conditionalFormatting sqref="K48">
    <cfRule type="expression" dxfId="229" priority="52">
      <formula>$E42="Volume Incentive Tiered"</formula>
    </cfRule>
  </conditionalFormatting>
  <conditionalFormatting sqref="K49:K51">
    <cfRule type="expression" dxfId="228" priority="51">
      <formula>$E$42="Volume Incentive Tiered"</formula>
    </cfRule>
  </conditionalFormatting>
  <conditionalFormatting sqref="K75">
    <cfRule type="expression" dxfId="227" priority="50">
      <formula>OR($E70="DS Tiered Average Invoice Dollar Qualifier",$E70="DS Threshold Average Invoice Dollar Qualifier")</formula>
    </cfRule>
  </conditionalFormatting>
  <conditionalFormatting sqref="K76">
    <cfRule type="expression" dxfId="226" priority="49">
      <formula>$E70="DS Tiered Average Invoice Dollar Qualifier"</formula>
    </cfRule>
  </conditionalFormatting>
  <conditionalFormatting sqref="K77:K79">
    <cfRule type="expression" dxfId="225" priority="48">
      <formula>$E$70="DS Tiered Average Invoice Dollar Qualifier"</formula>
    </cfRule>
  </conditionalFormatting>
  <conditionalFormatting sqref="K104">
    <cfRule type="expression" dxfId="224" priority="46">
      <formula>$E98="EB Tiered Percent Qualifier"</formula>
    </cfRule>
  </conditionalFormatting>
  <conditionalFormatting sqref="K105:K107">
    <cfRule type="expression" dxfId="223" priority="45">
      <formula>$E$98="EB Tiered Percent Qualifier"</formula>
    </cfRule>
  </conditionalFormatting>
  <conditionalFormatting sqref="T12">
    <cfRule type="cellIs" dxfId="222" priority="44" operator="equal">
      <formula>"Yes"</formula>
    </cfRule>
  </conditionalFormatting>
  <conditionalFormatting sqref="T13">
    <cfRule type="cellIs" dxfId="221" priority="43" operator="equal">
      <formula>"Yes"</formula>
    </cfRule>
  </conditionalFormatting>
  <conditionalFormatting sqref="T14">
    <cfRule type="cellIs" dxfId="220" priority="42" operator="equal">
      <formula>"Yes"</formula>
    </cfRule>
  </conditionalFormatting>
  <conditionalFormatting sqref="K19">
    <cfRule type="expression" dxfId="219" priority="41">
      <formula>$E$14&lt;&gt;"Please Select"</formula>
    </cfRule>
  </conditionalFormatting>
  <conditionalFormatting sqref="K33">
    <cfRule type="expression" dxfId="218" priority="40">
      <formula>$E$28&lt;&gt;"Please Select"</formula>
    </cfRule>
  </conditionalFormatting>
  <conditionalFormatting sqref="K47">
    <cfRule type="expression" dxfId="217" priority="39">
      <formula>$E$42&lt;&gt;"Please Select"</formula>
    </cfRule>
  </conditionalFormatting>
  <conditionalFormatting sqref="K89">
    <cfRule type="expression" dxfId="216" priority="38">
      <formula>$E$84&lt;&gt;"Please Select"</formula>
    </cfRule>
  </conditionalFormatting>
  <conditionalFormatting sqref="K103">
    <cfRule type="expression" dxfId="215" priority="37">
      <formula>$E$98&lt;&gt;"Please Select"</formula>
    </cfRule>
  </conditionalFormatting>
  <conditionalFormatting sqref="K28">
    <cfRule type="expression" dxfId="214" priority="30">
      <formula>AND($E28&lt;&gt;"Please Select",$I28&lt;&gt;"Check")</formula>
    </cfRule>
  </conditionalFormatting>
  <conditionalFormatting sqref="K42">
    <cfRule type="expression" dxfId="213" priority="29">
      <formula>AND($E42&lt;&gt;"Please Select",$I42&lt;&gt;"Check")</formula>
    </cfRule>
  </conditionalFormatting>
  <conditionalFormatting sqref="K56">
    <cfRule type="expression" dxfId="212" priority="28">
      <formula>AND($E56&lt;&gt;"Please Select",$I56&lt;&gt;"Check")</formula>
    </cfRule>
  </conditionalFormatting>
  <conditionalFormatting sqref="K70">
    <cfRule type="expression" dxfId="211" priority="27">
      <formula>AND($E70&lt;&gt;"Please Select",$I70&lt;&gt;"Check")</formula>
    </cfRule>
  </conditionalFormatting>
  <conditionalFormatting sqref="K84">
    <cfRule type="expression" dxfId="210" priority="26">
      <formula>AND($E84&lt;&gt;"Please Select",$I84&lt;&gt;"Check")</formula>
    </cfRule>
  </conditionalFormatting>
  <conditionalFormatting sqref="K98">
    <cfRule type="expression" dxfId="209" priority="25">
      <formula>AND($E98&lt;&gt;"Please Select",$I98&lt;&gt;"Check")</formula>
    </cfRule>
  </conditionalFormatting>
  <conditionalFormatting sqref="K112">
    <cfRule type="expression" dxfId="208" priority="24">
      <formula>AND($E112&lt;&gt;"Please Select",$I112&lt;&gt;"Check")</formula>
    </cfRule>
  </conditionalFormatting>
  <conditionalFormatting sqref="K120">
    <cfRule type="expression" dxfId="207" priority="23">
      <formula>AND($E120&lt;&gt;"Please Select",$I120&lt;&gt;"Check")</formula>
    </cfRule>
  </conditionalFormatting>
  <conditionalFormatting sqref="K128">
    <cfRule type="expression" dxfId="206" priority="22">
      <formula>AND($E128&lt;&gt;"Please Select",$I128&lt;&gt;"Check")</formula>
    </cfRule>
  </conditionalFormatting>
  <conditionalFormatting sqref="K136">
    <cfRule type="expression" dxfId="205" priority="21">
      <formula>AND($E136&lt;&gt;"Please Select",$I136&lt;&gt;"Check")</formula>
    </cfRule>
  </conditionalFormatting>
  <conditionalFormatting sqref="K144">
    <cfRule type="expression" dxfId="204" priority="20">
      <formula>AND($E144&lt;&gt;"Please Select",$I144&lt;&gt;"Check")</formula>
    </cfRule>
  </conditionalFormatting>
  <conditionalFormatting sqref="K152">
    <cfRule type="expression" dxfId="203" priority="19">
      <formula>AND($E152&lt;&gt;"Please Select",$I152&lt;&gt;"Check")</formula>
    </cfRule>
  </conditionalFormatting>
  <conditionalFormatting sqref="K163">
    <cfRule type="expression" dxfId="202" priority="18">
      <formula>AND($E163&lt;&gt;"Please Select",$I163&lt;&gt;"Check")</formula>
    </cfRule>
  </conditionalFormatting>
  <conditionalFormatting sqref="K174">
    <cfRule type="expression" dxfId="201" priority="17">
      <formula>AND($E174&lt;&gt;"Please Select",$I174&lt;&gt;"Check")</formula>
    </cfRule>
  </conditionalFormatting>
  <conditionalFormatting sqref="K186">
    <cfRule type="expression" dxfId="200" priority="16">
      <formula>AND($E186&lt;&gt;"Please Select",$I186&lt;&gt;"Check")</formula>
    </cfRule>
  </conditionalFormatting>
  <conditionalFormatting sqref="K198">
    <cfRule type="expression" dxfId="199" priority="15">
      <formula>AND($E198&lt;&gt;"Please Select",$I198&lt;&gt;"Check")</formula>
    </cfRule>
  </conditionalFormatting>
  <conditionalFormatting sqref="G35">
    <cfRule type="expression" dxfId="198" priority="12">
      <formula>$E$28="Volume Incentive Tiered"</formula>
    </cfRule>
  </conditionalFormatting>
  <conditionalFormatting sqref="G36">
    <cfRule type="expression" dxfId="197" priority="11">
      <formula>$E$28="Volume Incentive Tiered"</formula>
    </cfRule>
  </conditionalFormatting>
  <conditionalFormatting sqref="G37">
    <cfRule type="expression" dxfId="196" priority="10">
      <formula>$E$28="Volume Incentive Tiered"</formula>
    </cfRule>
  </conditionalFormatting>
  <conditionalFormatting sqref="G49">
    <cfRule type="expression" dxfId="195" priority="9">
      <formula>$E$42="Volume Incentive Tiered"</formula>
    </cfRule>
  </conditionalFormatting>
  <conditionalFormatting sqref="G50">
    <cfRule type="expression" dxfId="194" priority="8">
      <formula>$E$42="Volume Incentive Tiered"</formula>
    </cfRule>
  </conditionalFormatting>
  <conditionalFormatting sqref="G51">
    <cfRule type="expression" dxfId="193" priority="7">
      <formula>$E$42="Volume Incentive Tiered"</formula>
    </cfRule>
  </conditionalFormatting>
  <conditionalFormatting sqref="G77">
    <cfRule type="expression" dxfId="192" priority="6">
      <formula>$E$70="DS Tiered Average Invoice Dollar Qualifier"</formula>
    </cfRule>
  </conditionalFormatting>
  <conditionalFormatting sqref="G78">
    <cfRule type="expression" dxfId="191" priority="5">
      <formula>$E$70="DS Tiered Average Invoice Dollar Qualifier"</formula>
    </cfRule>
  </conditionalFormatting>
  <conditionalFormatting sqref="G79">
    <cfRule type="expression" dxfId="190" priority="4">
      <formula>$E$70="DS Tiered Average Invoice Dollar Qualifier"</formula>
    </cfRule>
  </conditionalFormatting>
  <conditionalFormatting sqref="G105">
    <cfRule type="expression" dxfId="189" priority="3">
      <formula>$E$98="EB Tiered Percent Qualifier"</formula>
    </cfRule>
  </conditionalFormatting>
  <conditionalFormatting sqref="G106">
    <cfRule type="expression" dxfId="188" priority="2">
      <formula>$E$98="EB Tiered Percent Qualifier"</formula>
    </cfRule>
  </conditionalFormatting>
  <conditionalFormatting sqref="G107">
    <cfRule type="expression" dxfId="187" priority="1">
      <formula>$E$98="EB Tiered Percent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errorStyle="warning" operator="lessThan" allowBlank="1" showInputMessage="1" showErrorMessage="1" errorTitle="Invalid Tier Value" error="The value entered is less than the current weekly drop-size. " sqref="G62 G76"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0 G103:G104" xr:uid="{4B64573C-7408-4ED3-9C32-FBD37BE03A17}">
      <formula1>I19</formula1>
    </dataValidation>
    <dataValidation type="custom" operator="lessThan" allowBlank="1" showErrorMessage="1" errorTitle="Invalid Tier Value" error="Value cannot be more than Weekly Sales Target or Maximum Units_x000a_" sqref="G21:G23" xr:uid="{CBEEA6F5-D696-4183-A8A5-F5CC9DF696CB}">
      <formula1>AND(G21&lt;I21,G21&lt;G$17)</formula1>
    </dataValidation>
    <dataValidation type="custom" operator="lessThan" allowBlank="1" showErrorMessage="1" errorTitle="Invalid Tier Value" error="Value cannot be more than Weekly Sales Target or Maximum Units_x000a_" sqref="G35:G37" xr:uid="{F08B5DFE-D10C-4FAF-B32B-F0F0BC0A9A91}">
      <formula1>AND(G35&lt;I35,G35&lt;G$31)</formula1>
    </dataValidation>
    <dataValidation type="custom" operator="lessThan" allowBlank="1" showErrorMessage="1" errorTitle="Invalid Tier Value" error="Value cannot be more than Weekly Sales Target or Maximum Units_x000a_" sqref="G49:G51" xr:uid="{7EAB6495-8F9E-4F9B-9E8F-3305A4B94D3A}">
      <formula1>AND(G49&lt;I49,G49&lt;G$45)</formula1>
    </dataValidation>
    <dataValidation type="custom" operator="lessThan" allowBlank="1" showInputMessage="1" showErrorMessage="1" errorTitle="Invalid Tier Value" error="Value cannot be more than Weekly Sales Target or Maximum Units_x000a_" sqref="G63:G65" xr:uid="{1370B62B-B350-4F77-BE8B-E22BC0AE815B}">
      <formula1>AND(G63&lt;I63,G63&lt;G$59)</formula1>
    </dataValidation>
    <dataValidation type="custom" operator="lessThan" allowBlank="1" showInputMessage="1" showErrorMessage="1" errorTitle="Invalid Tier Value" error="Value cannot be more than Weekly Sales Target or Maximum Units_x000a_" sqref="G77:G79" xr:uid="{C959B0E6-B433-4B67-9454-69D1D76B04C0}">
      <formula1>AND(G77&lt;I77,G77&lt;G$73)</formula1>
    </dataValidation>
    <dataValidation type="custom" operator="lessThan" allowBlank="1" showInputMessage="1" showErrorMessage="1" error="Value cannot be more than Weekly Sales Target or Maximum Units" sqref="G91:G93" xr:uid="{04406132-0D87-4E6E-8301-152003B61875}">
      <formula1>AND(G91&lt;I91,G91&lt;G$87)</formula1>
    </dataValidation>
    <dataValidation type="custom" operator="lessThan" allowBlank="1" showInputMessage="1" showErrorMessage="1" error="Value cannot be more than Weekly Sales Target or Maximum Units" sqref="G105:G107" xr:uid="{4254A1BA-A402-426A-B813-0EF26AFE8E92}">
      <formula1>AND(G105&lt;I105,G105&lt;G$101)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5" id="{CC77D9D5-08D0-497D-857C-05FC5404FFA2}">
            <xm:f>Welcome!$D$8&lt;&gt;"MDA"</xm:f>
            <x14:dxf>
              <fill>
                <patternFill>
                  <bgColor rgb="FFFFFF00"/>
                </patternFill>
              </fill>
            </x14:dxf>
          </x14:cfRule>
          <x14:cfRule type="expression" priority="17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26" t="s">
        <v>210</v>
      </c>
      <c r="D2" s="1426"/>
      <c r="E2" s="1426"/>
      <c r="F2" s="504"/>
      <c r="G2" s="172"/>
      <c r="H2" s="172"/>
      <c r="I2" s="172"/>
      <c r="J2" s="172"/>
      <c r="K2" s="172"/>
      <c r="L2" s="175"/>
    </row>
    <row r="3" spans="2:23" x14ac:dyDescent="0.25">
      <c r="B3" s="178"/>
      <c r="C3" s="1435" t="s">
        <v>1255</v>
      </c>
      <c r="D3" s="1436"/>
      <c r="E3" s="387">
        <f>Welcome!$D$8</f>
        <v>0</v>
      </c>
      <c r="F3" s="390"/>
      <c r="G3" s="474" t="s">
        <v>110</v>
      </c>
      <c r="H3" s="1431" t="str">
        <f>IFERROR(VLOOKUP($H$4,'Market Geography'!$D:$G,4,FALSE),"Select Market")</f>
        <v>Select Market</v>
      </c>
      <c r="I3" s="1431"/>
      <c r="J3" s="1431"/>
      <c r="K3" s="1432"/>
      <c r="L3" s="179"/>
    </row>
    <row r="4" spans="2:23" x14ac:dyDescent="0.25">
      <c r="B4" s="178"/>
      <c r="C4" s="1437" t="s">
        <v>1256</v>
      </c>
      <c r="D4" s="1438"/>
      <c r="E4" s="356" t="str">
        <f>Welcome!$D$12</f>
        <v>Select Term</v>
      </c>
      <c r="F4" s="505"/>
      <c r="G4" s="475" t="s">
        <v>881</v>
      </c>
      <c r="H4" s="1433">
        <f>Welcome!$D$4</f>
        <v>0</v>
      </c>
      <c r="I4" s="1433"/>
      <c r="J4" s="1433"/>
      <c r="K4" s="1434"/>
      <c r="L4" s="179"/>
    </row>
    <row r="5" spans="2:23" x14ac:dyDescent="0.25">
      <c r="B5" s="178"/>
      <c r="C5" s="1437" t="s">
        <v>1261</v>
      </c>
      <c r="D5" s="1438"/>
      <c r="E5" s="143">
        <f>'PIM Model'!$G$31</f>
        <v>0</v>
      </c>
      <c r="F5" s="506"/>
      <c r="G5" s="475" t="s">
        <v>107</v>
      </c>
      <c r="H5" s="1433" t="str">
        <f>'Multi-Customer'!$S$49</f>
        <v>Enter Customer(s)</v>
      </c>
      <c r="I5" s="1433"/>
      <c r="J5" s="1433"/>
      <c r="K5" s="1434"/>
      <c r="L5" s="179"/>
    </row>
    <row r="6" spans="2:23" x14ac:dyDescent="0.25">
      <c r="B6" s="178"/>
      <c r="C6" s="1437" t="s">
        <v>1262</v>
      </c>
      <c r="D6" s="1438"/>
      <c r="E6" s="144">
        <f>'PIM Model'!$E$6</f>
        <v>0</v>
      </c>
      <c r="F6" s="390"/>
      <c r="G6" s="475" t="s">
        <v>1271</v>
      </c>
      <c r="H6" s="1433" t="str">
        <f>IF('Multi-Customer'!$AH$40 = "MULTIPLE MENU TYPES","MULTIPLE TYPES",'Multi-Customer'!$AH$40)</f>
        <v>MULTIPLE TYPES</v>
      </c>
      <c r="I6" s="1433"/>
      <c r="J6" s="1433"/>
      <c r="K6" s="1434"/>
      <c r="L6" s="179"/>
      <c r="R6" s="507"/>
    </row>
    <row r="7" spans="2:23" ht="15.75" thickBot="1" x14ac:dyDescent="0.3">
      <c r="B7" s="178"/>
      <c r="C7" s="1442" t="s">
        <v>1263</v>
      </c>
      <c r="D7" s="1443"/>
      <c r="E7" s="388">
        <f>IFERROR('PIM Ranges'!$AU$3,0)</f>
        <v>0</v>
      </c>
      <c r="F7" s="177"/>
      <c r="G7" s="476" t="s">
        <v>1264</v>
      </c>
      <c r="H7" s="1440" t="s">
        <v>206</v>
      </c>
      <c r="I7" s="1440"/>
      <c r="J7" s="1440"/>
      <c r="K7" s="1441"/>
      <c r="L7" s="179"/>
      <c r="P7" s="177"/>
      <c r="Q7" s="153"/>
      <c r="R7" s="508"/>
      <c r="S7" s="134"/>
      <c r="T7" s="153"/>
      <c r="U7" s="177"/>
      <c r="V7" s="153"/>
      <c r="W7" s="177"/>
    </row>
    <row r="8" spans="2:23" ht="13.9" customHeight="1" x14ac:dyDescent="0.25">
      <c r="B8" s="178"/>
      <c r="D8" s="136"/>
      <c r="E8" s="1384"/>
      <c r="F8" s="138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29" t="s">
        <v>886</v>
      </c>
      <c r="J10" s="1429"/>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27" t="str">
        <f>IFERROR($E11/$E$5,"")</f>
        <v/>
      </c>
      <c r="J11" s="1427"/>
      <c r="K11" s="245"/>
      <c r="L11" s="179"/>
      <c r="R11" s="507"/>
    </row>
    <row r="12" spans="2:23" ht="36" customHeight="1" x14ac:dyDescent="0.25">
      <c r="B12" s="178"/>
      <c r="C12" s="244"/>
      <c r="D12" s="1444" t="s">
        <v>684</v>
      </c>
      <c r="E12" s="1444"/>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27" t="str">
        <f>IFERROR(E13/E5,"")</f>
        <v/>
      </c>
      <c r="J13" s="1427"/>
      <c r="K13" s="245"/>
      <c r="L13" s="179"/>
    </row>
    <row r="14" spans="2:23" s="775" customFormat="1" ht="36.6" customHeight="1" x14ac:dyDescent="0.25">
      <c r="B14" s="178"/>
      <c r="C14" s="244"/>
      <c r="D14" s="1444" t="s">
        <v>1168</v>
      </c>
      <c r="E14" s="1444"/>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27" t="str">
        <f>IFERROR($E15/$E$5,"")</f>
        <v/>
      </c>
      <c r="J15" s="1427"/>
      <c r="K15" s="245"/>
      <c r="L15" s="179"/>
    </row>
    <row r="16" spans="2:23" ht="26.45" customHeight="1" x14ac:dyDescent="0.25">
      <c r="B16" s="178"/>
      <c r="C16" s="244"/>
      <c r="D16" s="1439" t="s">
        <v>686</v>
      </c>
      <c r="E16" s="1439"/>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27" t="str">
        <f>IFERROR($E17/$E$5,"")</f>
        <v/>
      </c>
      <c r="J17" s="1427"/>
      <c r="K17" s="245"/>
      <c r="L17" s="179"/>
    </row>
    <row r="18" spans="2:12" ht="25.9" customHeight="1" x14ac:dyDescent="0.25">
      <c r="B18" s="178"/>
      <c r="C18" s="244"/>
      <c r="D18" s="1439" t="s">
        <v>685</v>
      </c>
      <c r="E18" s="1445"/>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28" t="str">
        <f>IFERROR($E19/$E$5,"")</f>
        <v/>
      </c>
      <c r="J19" s="142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27" t="str">
        <f>IFERROR($E23/$E$5,"")</f>
        <v/>
      </c>
      <c r="J23" s="1427"/>
      <c r="K23" s="245"/>
      <c r="L23" s="179"/>
    </row>
    <row r="24" spans="2:12" ht="16.149999999999999" customHeight="1" x14ac:dyDescent="0.25">
      <c r="B24" s="178"/>
      <c r="C24" s="244"/>
      <c r="D24" s="1430" t="s">
        <v>928</v>
      </c>
      <c r="E24" s="143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29" t="s">
        <v>886</v>
      </c>
      <c r="J28" s="1429"/>
      <c r="K28" s="245"/>
      <c r="L28" s="179"/>
    </row>
    <row r="29" spans="2:12" ht="25.15" customHeight="1" x14ac:dyDescent="0.25">
      <c r="B29" s="178"/>
      <c r="C29" s="244"/>
      <c r="D29" s="528" t="s">
        <v>221</v>
      </c>
      <c r="E29" s="529">
        <f>IFERROR('EB_CM (Back)'!$F$47,0)</f>
        <v>0</v>
      </c>
      <c r="F29" s="188"/>
      <c r="G29" s="516">
        <f>IFERROR(E29/'PIM Model'!$H$31,0)</f>
        <v>0</v>
      </c>
      <c r="H29" s="188"/>
      <c r="I29" s="1427" t="str">
        <f>IFERROR($E29/$E$5,"")</f>
        <v/>
      </c>
      <c r="J29" s="142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27" t="str">
        <f>IFERROR($E30/$E$5,"")</f>
        <v/>
      </c>
      <c r="J30" s="1427"/>
      <c r="K30" s="245"/>
      <c r="L30" s="179"/>
    </row>
    <row r="31" spans="2:12" ht="27.6" customHeight="1" x14ac:dyDescent="0.25">
      <c r="B31" s="178"/>
      <c r="C31" s="534"/>
      <c r="D31" s="1439" t="s">
        <v>230</v>
      </c>
      <c r="E31" s="1439"/>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39"/>
      <c r="E37" s="1439"/>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8"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35" t="s">
        <v>1255</v>
      </c>
      <c r="D4" s="1436"/>
      <c r="E4" s="650">
        <f>Welcome!$D$8</f>
        <v>0</v>
      </c>
      <c r="F4" s="139"/>
      <c r="G4" s="474" t="s">
        <v>110</v>
      </c>
      <c r="H4" s="1371" t="str">
        <f>IFERROR(VLOOKUP($H$5,'Market Geography'!$D:$G,4,FALSE),"Select Market")</f>
        <v>Select Market</v>
      </c>
      <c r="I4" s="1372"/>
      <c r="J4" s="1373"/>
      <c r="K4" s="929"/>
      <c r="L4" s="929"/>
      <c r="M4" s="929"/>
      <c r="N4" s="929"/>
      <c r="O4" s="929"/>
      <c r="P4" s="800"/>
      <c r="Q4" s="802"/>
      <c r="R4" s="741"/>
      <c r="S4" s="540"/>
    </row>
    <row r="5" spans="1:31" x14ac:dyDescent="0.25">
      <c r="B5" s="178"/>
      <c r="C5" s="1437" t="s">
        <v>1256</v>
      </c>
      <c r="D5" s="1438"/>
      <c r="E5" s="356" t="str">
        <f>Welcome!$D$12</f>
        <v>Select Term</v>
      </c>
      <c r="F5" s="139"/>
      <c r="G5" s="475" t="s">
        <v>881</v>
      </c>
      <c r="H5" s="1368">
        <f>Welcome!$D$4</f>
        <v>0</v>
      </c>
      <c r="I5" s="1369"/>
      <c r="J5" s="1370"/>
      <c r="K5" s="929"/>
      <c r="L5" s="929"/>
      <c r="M5" s="929"/>
      <c r="N5" s="929"/>
      <c r="O5" s="929"/>
      <c r="P5" s="800"/>
      <c r="Q5" s="802"/>
      <c r="R5" s="741"/>
      <c r="S5" s="540"/>
    </row>
    <row r="6" spans="1:31" x14ac:dyDescent="0.25">
      <c r="B6" s="178"/>
      <c r="C6" s="1437" t="s">
        <v>1261</v>
      </c>
      <c r="D6" s="1438"/>
      <c r="E6" s="357">
        <f>IFERROR('PIM Model'!$G$31,0)</f>
        <v>0</v>
      </c>
      <c r="F6" s="389"/>
      <c r="G6" s="475" t="s">
        <v>107</v>
      </c>
      <c r="H6" s="1368" t="str">
        <f>'Multi-Customer'!$S$49</f>
        <v>Enter Customer(s)</v>
      </c>
      <c r="I6" s="1369"/>
      <c r="J6" s="1370"/>
      <c r="K6" s="929"/>
      <c r="L6" s="929"/>
      <c r="M6" s="929"/>
      <c r="N6" s="929"/>
      <c r="O6" s="929"/>
      <c r="P6" s="800"/>
      <c r="Q6" s="802"/>
      <c r="R6" s="741"/>
      <c r="S6" s="540"/>
    </row>
    <row r="7" spans="1:31" x14ac:dyDescent="0.25">
      <c r="B7" s="178"/>
      <c r="C7" s="1437" t="s">
        <v>1262</v>
      </c>
      <c r="D7" s="1438"/>
      <c r="E7" s="541">
        <f>IFERROR('Variable Costs (Back)'!$K$26,0)</f>
        <v>0</v>
      </c>
      <c r="F7" s="177"/>
      <c r="G7" s="475" t="s">
        <v>1271</v>
      </c>
      <c r="H7" s="1368" t="str">
        <f>'Multi-Customer'!$AH$40</f>
        <v>MULTIPLE TYPES</v>
      </c>
      <c r="I7" s="1369"/>
      <c r="J7" s="1370"/>
      <c r="K7" s="929"/>
      <c r="L7" s="929"/>
      <c r="M7" s="929"/>
      <c r="N7" s="929"/>
      <c r="O7" s="929"/>
      <c r="P7" s="800"/>
      <c r="Q7" s="802"/>
      <c r="R7" s="741"/>
      <c r="S7" s="540"/>
    </row>
    <row r="8" spans="1:31" ht="15.75" thickBot="1" x14ac:dyDescent="0.3">
      <c r="B8" s="178"/>
      <c r="C8" s="1442" t="s">
        <v>1263</v>
      </c>
      <c r="D8" s="1443"/>
      <c r="E8" s="388">
        <f>IFERROR('PIM Ranges'!$AU$3,0)</f>
        <v>0</v>
      </c>
      <c r="F8" s="390"/>
      <c r="G8" s="476" t="s">
        <v>1264</v>
      </c>
      <c r="H8" s="1446" t="s">
        <v>206</v>
      </c>
      <c r="I8" s="1447"/>
      <c r="J8" s="1448"/>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4" t="s">
        <v>1214</v>
      </c>
      <c r="R11" s="145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9" t="s">
        <v>1214</v>
      </c>
      <c r="R21" s="1450"/>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3" t="s">
        <v>230</v>
      </c>
      <c r="E32" s="1453"/>
      <c r="F32" s="1453"/>
      <c r="G32" s="1453"/>
      <c r="H32" s="559"/>
      <c r="I32" s="1452" t="str">
        <f>IF($J$33=0,IF($N$33=0,"","Customer EB % Missing"),IF($N$33=0,"Customer Drops/Wk Missing","Customer EB % &amp; Drops/Wk Missing"))</f>
        <v/>
      </c>
      <c r="J32" s="1452"/>
      <c r="K32" s="1452"/>
      <c r="L32" s="1452"/>
      <c r="M32" s="1452"/>
      <c r="N32" s="1452"/>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9" t="s">
        <v>1214</v>
      </c>
      <c r="R37" s="1450"/>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1"/>
      <c r="C41" s="1451"/>
      <c r="D41" s="1451"/>
      <c r="N41" s="1422"/>
      <c r="O41" s="1422"/>
      <c r="P41" s="1422"/>
      <c r="Q41" s="1422"/>
      <c r="R41" s="1422"/>
      <c r="S41" s="1422"/>
    </row>
    <row r="42" spans="2:20" x14ac:dyDescent="0.25">
      <c r="S42" s="566"/>
    </row>
  </sheetData>
  <sheetProtection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74" priority="74" operator="containsText" text="Below Average">
      <formula>NOT(ISERROR(SEARCH("Below Average",I25)))</formula>
    </cfRule>
  </conditionalFormatting>
  <conditionalFormatting sqref="N12">
    <cfRule type="expression" dxfId="173" priority="49">
      <formula>$Q$12="yes"</formula>
    </cfRule>
    <cfRule type="containsText" dxfId="172" priority="65" operator="containsText" text="Spend">
      <formula>NOT(ISERROR(SEARCH("Spend",N12)))</formula>
    </cfRule>
    <cfRule type="containsText" dxfId="171" priority="69" operator="containsText" text="Approve">
      <formula>NOT(ISERROR(SEARCH("Approve",N12)))</formula>
    </cfRule>
  </conditionalFormatting>
  <conditionalFormatting sqref="N13:N16">
    <cfRule type="containsText" dxfId="170" priority="64" operator="containsText" text="Reject">
      <formula>NOT(ISERROR(SEARCH("Reject",N13)))</formula>
    </cfRule>
    <cfRule type="containsText" dxfId="169" priority="68" operator="containsText" text="Approve">
      <formula>NOT(ISERROR(SEARCH("Approve",N13)))</formula>
    </cfRule>
  </conditionalFormatting>
  <conditionalFormatting sqref="H34 H36 H38">
    <cfRule type="expression" dxfId="168" priority="130">
      <formula>#REF!="Approve"</formula>
    </cfRule>
  </conditionalFormatting>
  <conditionalFormatting sqref="E16">
    <cfRule type="cellIs" dxfId="167" priority="61" operator="notEqual">
      <formula>0</formula>
    </cfRule>
  </conditionalFormatting>
  <conditionalFormatting sqref="Q37:R38">
    <cfRule type="expression" dxfId="166" priority="55">
      <formula>H40&lt;0</formula>
    </cfRule>
  </conditionalFormatting>
  <conditionalFormatting sqref="N13">
    <cfRule type="expression" dxfId="165" priority="46">
      <formula>$Q$13="Yes"</formula>
    </cfRule>
  </conditionalFormatting>
  <conditionalFormatting sqref="Q11:R11">
    <cfRule type="expression" dxfId="164" priority="40">
      <formula>OR($N$13="Reject",$N$13="")</formula>
    </cfRule>
    <cfRule type="expression" dxfId="163" priority="43">
      <formula>$N$12="Spend"</formula>
    </cfRule>
  </conditionalFormatting>
  <conditionalFormatting sqref="Q12:R12">
    <cfRule type="expression" dxfId="162" priority="42">
      <formula>$N$12="spend"</formula>
    </cfRule>
  </conditionalFormatting>
  <conditionalFormatting sqref="Q13:R13">
    <cfRule type="expression" dxfId="161" priority="41">
      <formula>OR($N$13="Reject",$N$13="")</formula>
    </cfRule>
  </conditionalFormatting>
  <conditionalFormatting sqref="R22">
    <cfRule type="containsText" dxfId="160" priority="35" operator="containsText" text="Caution">
      <formula>NOT(ISERROR(SEARCH("Caution",R22)))</formula>
    </cfRule>
  </conditionalFormatting>
  <conditionalFormatting sqref="N22">
    <cfRule type="expression" dxfId="159" priority="24" stopIfTrue="1">
      <formula>$Q$22="Yes"</formula>
    </cfRule>
    <cfRule type="expression" dxfId="158" priority="26">
      <formula>$I$22="**Missing Incentive Payment Method**"</formula>
    </cfRule>
    <cfRule type="containsText" dxfId="157" priority="27" operator="containsText" text="Reject">
      <formula>NOT(ISERROR(SEARCH("Reject",N22)))</formula>
    </cfRule>
    <cfRule type="containsText" dxfId="156" priority="28" operator="containsText" text="Caution">
      <formula>NOT(ISERROR(SEARCH("Caution",N22)))</formula>
    </cfRule>
    <cfRule type="expression" dxfId="155" priority="29">
      <formula>$N$22="Approve"</formula>
    </cfRule>
  </conditionalFormatting>
  <conditionalFormatting sqref="Q21:R21">
    <cfRule type="expression" dxfId="154" priority="10">
      <formula>$U$1=""</formula>
    </cfRule>
    <cfRule type="expression" dxfId="153" priority="11">
      <formula>$U$1="Caution"</formula>
    </cfRule>
    <cfRule type="expression" dxfId="152" priority="12">
      <formula>$U$1="Reject"</formula>
    </cfRule>
    <cfRule type="expression" dxfId="151" priority="13">
      <formula>AND($Q$22&lt;&gt;"Yes",$U$1="Approve")</formula>
    </cfRule>
    <cfRule type="expression" dxfId="150" priority="14">
      <formula>AND($Q$22="Yes",$U$1="Approve")</formula>
    </cfRule>
  </conditionalFormatting>
  <conditionalFormatting sqref="Q22:R22">
    <cfRule type="expression" dxfId="149" priority="5">
      <formula>$U$1=""</formula>
    </cfRule>
    <cfRule type="expression" dxfId="148" priority="6">
      <formula>$U$1="Caution"</formula>
    </cfRule>
    <cfRule type="expression" dxfId="147" priority="7">
      <formula>$U$1="Reject"</formula>
    </cfRule>
    <cfRule type="expression" dxfId="146" priority="8">
      <formula>AND($Q$22&lt;&gt;"Yes",$U$1="Approve")</formula>
    </cfRule>
    <cfRule type="expression" dxfId="145" priority="9">
      <formula>AND($Q$22="Yes",$U$1="Approve")</formula>
    </cfRule>
  </conditionalFormatting>
  <conditionalFormatting sqref="N38">
    <cfRule type="expression" dxfId="144" priority="1">
      <formula>$H$38&gt;0</formula>
    </cfRule>
    <cfRule type="containsText" dxfId="143" priority="2" operator="containsText" text="Reject">
      <formula>NOT(ISERROR(SEARCH("Reject",N38)))</formula>
    </cfRule>
    <cfRule type="expression" dxfId="142" priority="3">
      <formula>$Q$38="Yes"</formula>
    </cfRule>
    <cfRule type="expression" dxfId="141"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0" t="s">
        <v>649</v>
      </c>
      <c r="D2" s="1461"/>
      <c r="E2" s="1461"/>
      <c r="F2" s="1461"/>
      <c r="G2" s="1461"/>
      <c r="H2" s="1461"/>
      <c r="I2" s="1461"/>
      <c r="J2" s="1461"/>
      <c r="K2" s="1461"/>
      <c r="L2" s="1461"/>
      <c r="M2" s="1461"/>
      <c r="N2" s="1461"/>
      <c r="O2" s="1461"/>
      <c r="P2" s="146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3"/>
      <c r="G4" s="1463"/>
      <c r="P4" s="613"/>
      <c r="T4" s="1" t="s">
        <v>483</v>
      </c>
    </row>
    <row r="5" spans="3:23" x14ac:dyDescent="0.25">
      <c r="C5" s="137"/>
      <c r="E5" s="397"/>
      <c r="P5" s="138"/>
    </row>
    <row r="6" spans="3:23" x14ac:dyDescent="0.25">
      <c r="C6" s="137"/>
      <c r="E6" s="136" t="s">
        <v>1272</v>
      </c>
      <c r="F6" s="1463"/>
      <c r="G6" s="1463"/>
      <c r="P6" s="138"/>
    </row>
    <row r="7" spans="3:23" x14ac:dyDescent="0.25">
      <c r="C7" s="137"/>
      <c r="E7" s="136"/>
      <c r="P7" s="138"/>
    </row>
    <row r="8" spans="3:23" x14ac:dyDescent="0.25">
      <c r="C8" s="137"/>
      <c r="E8" s="136" t="s">
        <v>1273</v>
      </c>
      <c r="F8" s="1463"/>
      <c r="G8" s="1463"/>
      <c r="P8" s="138"/>
    </row>
    <row r="9" spans="3:23" x14ac:dyDescent="0.25">
      <c r="C9" s="137"/>
      <c r="E9" s="136" t="s">
        <v>1274</v>
      </c>
      <c r="F9" s="1463"/>
      <c r="G9" s="1463"/>
      <c r="P9" s="138"/>
    </row>
    <row r="10" spans="3:23" x14ac:dyDescent="0.25">
      <c r="C10" s="137"/>
      <c r="E10" s="136" t="s">
        <v>877</v>
      </c>
      <c r="F10" s="1463"/>
      <c r="G10" s="1463"/>
      <c r="P10" s="138"/>
    </row>
    <row r="11" spans="3:23" x14ac:dyDescent="0.25">
      <c r="C11" s="137"/>
      <c r="E11" s="136" t="s">
        <v>830</v>
      </c>
      <c r="F11" s="1463"/>
      <c r="G11" s="1463"/>
      <c r="P11" s="138"/>
    </row>
    <row r="12" spans="3:23" x14ac:dyDescent="0.25">
      <c r="C12" s="137"/>
      <c r="E12" s="136" t="s">
        <v>1275</v>
      </c>
      <c r="F12" s="1463"/>
      <c r="G12" s="1463"/>
      <c r="P12" s="138"/>
    </row>
    <row r="13" spans="3:23" x14ac:dyDescent="0.25">
      <c r="C13" s="137"/>
      <c r="E13" s="136"/>
      <c r="F13" s="1465"/>
      <c r="G13" s="1465"/>
      <c r="P13" s="138"/>
    </row>
    <row r="14" spans="3:23" x14ac:dyDescent="0.25">
      <c r="C14" s="137"/>
      <c r="E14" s="136" t="s">
        <v>1276</v>
      </c>
      <c r="F14" s="1464"/>
      <c r="G14" s="1464"/>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6" t="str">
        <f>IF(F14="","",F14+(363*IF(OR(Welcome!D12="Select Term",Welcome!D12=""),0,Welcome!D12))+6)</f>
        <v/>
      </c>
      <c r="G17" s="1466"/>
      <c r="O17" s="950"/>
      <c r="P17" s="138"/>
    </row>
    <row r="18" spans="1:17" ht="13.5" customHeight="1" x14ac:dyDescent="0.25">
      <c r="C18" s="137"/>
      <c r="P18" s="138"/>
    </row>
    <row r="19" spans="1:17" s="779" customFormat="1" ht="14.25" customHeight="1" x14ac:dyDescent="0.25">
      <c r="C19" s="137"/>
      <c r="E19" s="136" t="s">
        <v>1278</v>
      </c>
      <c r="F19" s="1458">
        <f>Welcome!D8</f>
        <v>0</v>
      </c>
      <c r="G19" s="1459"/>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5" t="s">
        <v>1584</v>
      </c>
      <c r="G44" s="1456"/>
      <c r="H44" s="1457"/>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ZicRURw624WmUvoCvpRoaKToJAJ8e3TSlZONg6G7FEyxJnPnN4RqBfUnN7eX6nsUYA0sYnriFaje51OMSzDZIQ==" saltValue="+lIK7cgTpgLiVX6eUN+SHw=="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34" priority="13">
      <formula>$A23&gt;$W$2</formula>
    </cfRule>
  </conditionalFormatting>
  <conditionalFormatting sqref="E23:O32">
    <cfRule type="expression" dxfId="133" priority="9">
      <formula>$D23=$W$2</formula>
    </cfRule>
  </conditionalFormatting>
  <conditionalFormatting sqref="E21:O21 F22:L22">
    <cfRule type="expression" dxfId="132" priority="10">
      <formula>$W$2=0</formula>
    </cfRule>
  </conditionalFormatting>
  <conditionalFormatting sqref="F14:G14">
    <cfRule type="expression" dxfId="131" priority="6">
      <formula>$F$14&lt;NOW()</formula>
    </cfRule>
    <cfRule type="expression" dxfId="130" priority="7">
      <formula>$Q$14&lt;&gt;7</formula>
    </cfRule>
  </conditionalFormatting>
  <conditionalFormatting sqref="E22">
    <cfRule type="expression" dxfId="129" priority="5">
      <formula>$W$2=0</formula>
    </cfRule>
  </conditionalFormatting>
  <conditionalFormatting sqref="M22">
    <cfRule type="expression" dxfId="128" priority="4">
      <formula>$W$2=0</formula>
    </cfRule>
  </conditionalFormatting>
  <conditionalFormatting sqref="N22:O22">
    <cfRule type="expression" dxfId="127" priority="3">
      <formula>$W$2=0</formula>
    </cfRule>
  </conditionalFormatting>
  <conditionalFormatting sqref="M23:M32">
    <cfRule type="expression" dxfId="126" priority="2">
      <formula>$A23&gt;$W$2</formula>
    </cfRule>
  </conditionalFormatting>
  <conditionalFormatting sqref="M23:M32">
    <cfRule type="expression" dxfId="125" priority="1">
      <formula>$D23=$W$2</formula>
    </cfRule>
  </conditionalFormatting>
  <conditionalFormatting sqref="F23:J32 M23:O32">
    <cfRule type="containsBlanks" dxfId="124" priority="14" stopIfTrue="1">
      <formula>LEN(TRIM(F23))=0</formula>
    </cfRule>
    <cfRule type="notContainsBlanks" dxfId="12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7" t="s">
        <v>1298</v>
      </c>
      <c r="C2" s="1468"/>
      <c r="D2" s="1468"/>
      <c r="E2" s="1468"/>
      <c r="F2" s="1468"/>
      <c r="G2" s="1468"/>
      <c r="H2" s="1468"/>
      <c r="I2" s="1469"/>
      <c r="J2" s="912"/>
      <c r="K2" s="912"/>
      <c r="L2" s="912"/>
      <c r="M2" s="1470" t="s">
        <v>1299</v>
      </c>
      <c r="N2" s="1470"/>
      <c r="O2" s="1470"/>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7" t="s">
        <v>1312</v>
      </c>
      <c r="C7" s="1468"/>
      <c r="D7" s="1468"/>
      <c r="E7" s="1468"/>
      <c r="F7" s="1468"/>
      <c r="G7" s="1468"/>
      <c r="H7" s="1468"/>
      <c r="I7" s="1469"/>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1" t="s">
        <v>1339</v>
      </c>
      <c r="C15" s="1472"/>
      <c r="D15" s="1472"/>
      <c r="E15" s="1472"/>
      <c r="F15" s="1472"/>
      <c r="G15" s="1473"/>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22" priority="2" operator="equal">
      <formula>"No"</formula>
    </cfRule>
  </conditionalFormatting>
  <conditionalFormatting sqref="E13">
    <cfRule type="cellIs" dxfId="12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4" t="s">
        <v>1367</v>
      </c>
      <c r="C2" s="1468"/>
      <c r="D2" s="1468"/>
      <c r="E2" s="1468"/>
      <c r="F2" s="1468"/>
      <c r="G2" s="1468"/>
      <c r="H2" s="1468"/>
      <c r="I2" s="1468"/>
      <c r="J2" s="1468"/>
      <c r="K2" s="1468"/>
      <c r="L2" s="1468"/>
      <c r="M2" s="1468"/>
      <c r="N2" s="1469"/>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5" t="s">
        <v>1382</v>
      </c>
      <c r="C8" s="1468"/>
      <c r="D8" s="1468"/>
      <c r="E8" s="1468"/>
      <c r="F8" s="1468"/>
      <c r="G8" s="1468"/>
      <c r="H8" s="1468"/>
      <c r="I8" s="1468"/>
      <c r="J8" s="1468"/>
      <c r="K8" s="1468"/>
      <c r="L8" s="1468"/>
      <c r="M8" s="1468"/>
      <c r="N8" s="1469"/>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5" t="s">
        <v>1394</v>
      </c>
      <c r="C32" s="1476"/>
      <c r="D32" s="1476"/>
      <c r="E32" s="1476"/>
      <c r="F32" s="1476"/>
      <c r="G32" s="1476"/>
      <c r="H32" s="1476"/>
      <c r="I32" s="1476"/>
      <c r="J32" s="1476"/>
      <c r="K32" s="1476"/>
      <c r="L32" s="1476"/>
      <c r="M32" s="1476"/>
      <c r="N32" s="1477"/>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20" priority="14">
      <formula>$E11="EXCLUDE"</formula>
    </cfRule>
  </conditionalFormatting>
  <conditionalFormatting sqref="N24:N26">
    <cfRule type="expression" dxfId="119" priority="15">
      <formula>$E25="EXCLUDE"</formula>
    </cfRule>
  </conditionalFormatting>
  <conditionalFormatting sqref="N11 N14:N15 N23">
    <cfRule type="expression" dxfId="118" priority="16">
      <formula>$E12="EXCLUDE"</formula>
    </cfRule>
  </conditionalFormatting>
  <conditionalFormatting sqref="N12">
    <cfRule type="expression" dxfId="117" priority="17">
      <formula>$E14="EXCLUDE"</formula>
    </cfRule>
  </conditionalFormatting>
  <conditionalFormatting sqref="N13 N21">
    <cfRule type="expression" dxfId="116" priority="18">
      <formula>$E20="EXCLUDE"</formula>
    </cfRule>
  </conditionalFormatting>
  <conditionalFormatting sqref="N27:N28 N18">
    <cfRule type="expression" dxfId="115" priority="19">
      <formula>$E21="EXCLUDE"</formula>
    </cfRule>
  </conditionalFormatting>
  <conditionalFormatting sqref="N30">
    <cfRule type="expression" dxfId="114" priority="20">
      <formula>$E23="EXCLUDE"</formula>
    </cfRule>
  </conditionalFormatting>
  <conditionalFormatting sqref="N17 N29 N19 N22">
    <cfRule type="expression" dxfId="113" priority="21">
      <formula>$E17="EXCLUDE"</formula>
    </cfRule>
  </conditionalFormatting>
  <conditionalFormatting sqref="N20">
    <cfRule type="expression" dxfId="112" priority="22">
      <formula>$E18="EXCLUDE"</formula>
    </cfRule>
  </conditionalFormatting>
  <conditionalFormatting sqref="N50">
    <cfRule type="expression" dxfId="111" priority="5">
      <formula>$E45="EXCLUDE"</formula>
    </cfRule>
  </conditionalFormatting>
  <conditionalFormatting sqref="N58:N60">
    <cfRule type="expression" dxfId="110" priority="6">
      <formula>$E59="EXCLUDE"</formula>
    </cfRule>
  </conditionalFormatting>
  <conditionalFormatting sqref="N48:N49 N57">
    <cfRule type="expression" dxfId="109" priority="7">
      <formula>$E49="EXCLUDE"</formula>
    </cfRule>
  </conditionalFormatting>
  <conditionalFormatting sqref="N46">
    <cfRule type="expression" dxfId="108" priority="8">
      <formula>$E48="EXCLUDE"</formula>
    </cfRule>
  </conditionalFormatting>
  <conditionalFormatting sqref="N47 N55">
    <cfRule type="expression" dxfId="107" priority="9">
      <formula>$E54="EXCLUDE"</formula>
    </cfRule>
  </conditionalFormatting>
  <conditionalFormatting sqref="N61:N62 N52">
    <cfRule type="expression" dxfId="106" priority="10">
      <formula>$E55="EXCLUDE"</formula>
    </cfRule>
  </conditionalFormatting>
  <conditionalFormatting sqref="N64">
    <cfRule type="expression" dxfId="105" priority="11">
      <formula>$E57="EXCLUDE"</formula>
    </cfRule>
  </conditionalFormatting>
  <conditionalFormatting sqref="N51 N63 N53 N56">
    <cfRule type="expression" dxfId="104" priority="12">
      <formula>$E51="EXCLUDE"</formula>
    </cfRule>
  </conditionalFormatting>
  <conditionalFormatting sqref="N54">
    <cfRule type="expression" dxfId="103" priority="13">
      <formula>$E52="EXCLUDE"</formula>
    </cfRule>
  </conditionalFormatting>
  <conditionalFormatting sqref="N36:N45">
    <cfRule type="expression" dxfId="10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39" zoomScale="80" zoomScaleNormal="80" workbookViewId="0">
      <selection activeCell="A253" sqref="A253"/>
    </sheetView>
  </sheetViews>
  <sheetFormatPr defaultRowHeight="15" x14ac:dyDescent="0.25"/>
  <cols>
    <col min="1" max="1" width="1.7109375" customWidth="1"/>
    <col min="2" max="2" width="3.7109375" style="1204" customWidth="1"/>
    <col min="3" max="3" width="25.7109375" style="1204" customWidth="1"/>
    <col min="4" max="4" width="15.7109375" style="1204" customWidth="1"/>
    <col min="5" max="5" width="9.7109375" style="1204" customWidth="1"/>
    <col min="6" max="6" width="1.5703125" style="1204" hidden="1" customWidth="1"/>
    <col min="7" max="7" width="6.7109375" style="1204" customWidth="1"/>
    <col min="8" max="8" width="21.5703125" style="1204" customWidth="1"/>
    <col min="9" max="9" width="3.28515625" style="1204" customWidth="1"/>
    <col min="10" max="10" width="20.7109375" style="1204" customWidth="1"/>
    <col min="11" max="11" width="3.42578125" style="1204" customWidth="1"/>
    <col min="12" max="12" width="20.7109375" style="1204" customWidth="1"/>
    <col min="13" max="13" width="3.28515625" style="1204" customWidth="1"/>
    <col min="14" max="14" width="21.85546875" style="1204" customWidth="1"/>
    <col min="15" max="15" width="3.28515625" style="1204" customWidth="1"/>
    <col min="16" max="16" width="22.140625" style="1204" customWidth="1"/>
    <col min="17" max="17" width="3.28515625" style="1204" customWidth="1"/>
    <col min="18" max="18" width="20.5703125" style="1204" customWidth="1"/>
    <col min="19" max="19" width="3.28515625" style="1204" customWidth="1"/>
    <col min="20" max="20" width="20.7109375" style="1204" customWidth="1"/>
    <col min="21" max="21" width="3.85546875" style="1204"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93" t="s">
        <v>1638</v>
      </c>
      <c r="K1" s="1493"/>
      <c r="L1" s="1493"/>
      <c r="M1" s="1493"/>
      <c r="N1" s="1493"/>
      <c r="O1" s="657"/>
      <c r="P1" s="1249"/>
      <c r="Q1" s="657"/>
      <c r="R1" s="1249"/>
      <c r="S1" s="657"/>
      <c r="T1" s="657"/>
      <c r="U1" s="657"/>
      <c r="W1" s="1285" t="s">
        <v>1664</v>
      </c>
      <c r="X1" s="1286" t="s">
        <v>1639</v>
      </c>
      <c r="Y1" s="1287" t="s">
        <v>1640</v>
      </c>
      <c r="Z1" s="1288"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7" t="s">
        <v>1606</v>
      </c>
      <c r="C3" s="1491"/>
      <c r="D3" s="1491"/>
      <c r="E3" s="1491"/>
      <c r="F3" s="1491"/>
      <c r="G3" s="1491"/>
      <c r="H3" s="1491"/>
      <c r="I3" s="1491"/>
      <c r="J3" s="1491"/>
      <c r="K3" s="1491"/>
      <c r="L3" s="1491"/>
      <c r="M3" s="1491"/>
      <c r="N3" s="1491"/>
      <c r="O3" s="1491"/>
      <c r="P3" s="1491"/>
      <c r="Q3" s="1491"/>
      <c r="R3" s="1491"/>
      <c r="S3" s="1491"/>
      <c r="T3" s="1491"/>
      <c r="U3" s="1492"/>
      <c r="W3" s="1283">
        <v>1201</v>
      </c>
      <c r="X3" s="1199" t="s">
        <v>1607</v>
      </c>
      <c r="Y3" s="1283">
        <v>1</v>
      </c>
      <c r="Z3" s="1195" t="str">
        <f>IF(Incentives!$E$13="Yes",IF(Incentives!$E$14=X3,14,IF(Incentives!$E$27="Yes",IF(Incentives!$E$28=X3,28,IF(Incentives!$E$41="Yes",IF(Incentives!$E$42=X3,42,""),"")),"")),"")</f>
        <v/>
      </c>
    </row>
    <row r="4" spans="1:26" s="1191" customFormat="1" ht="20.25" customHeight="1" thickBot="1" x14ac:dyDescent="0.3">
      <c r="A4" s="657"/>
      <c r="B4" s="1250"/>
      <c r="C4" s="1250"/>
      <c r="D4" s="1250"/>
      <c r="E4" s="1250"/>
      <c r="F4" s="1250"/>
      <c r="G4" s="1250"/>
      <c r="H4" s="1250"/>
      <c r="I4" s="1250"/>
      <c r="J4" s="1250"/>
      <c r="K4" s="1250"/>
      <c r="L4" s="1250"/>
      <c r="M4" s="1250"/>
      <c r="N4" s="1250"/>
      <c r="O4" s="1250"/>
      <c r="P4" s="1250"/>
      <c r="Q4" s="1250"/>
      <c r="R4" s="1250"/>
      <c r="S4" s="1250"/>
      <c r="T4" s="1250"/>
      <c r="U4" s="1250"/>
      <c r="W4" s="1278">
        <v>1202</v>
      </c>
      <c r="X4" s="1280"/>
      <c r="Y4" s="1279">
        <v>2</v>
      </c>
      <c r="Z4" s="1197" t="str">
        <f>IF(AND(Incentives!$E$13="Yes",Incentives!$E$14=X3),IF(Incentives!$E$27="Yes",IF(Incentives!$E$28=X3,28,IF(Incentives!$E$41="Yes",IF(Incentives!$E$42=X3,42,""),"")),""),"")</f>
        <v/>
      </c>
    </row>
    <row r="5" spans="1:26" s="1191" customFormat="1" ht="30" customHeight="1" thickBot="1" x14ac:dyDescent="0.3">
      <c r="A5" s="496"/>
      <c r="B5" s="1250"/>
      <c r="C5" s="1268" t="s">
        <v>1500</v>
      </c>
      <c r="D5" s="1481" t="s">
        <v>1607</v>
      </c>
      <c r="E5" s="1482"/>
      <c r="F5" s="1250"/>
      <c r="G5" s="1250"/>
      <c r="H5" s="1271" t="s">
        <v>1497</v>
      </c>
      <c r="I5" s="1250"/>
      <c r="J5" s="1271" t="s">
        <v>1498</v>
      </c>
      <c r="K5" s="1250"/>
      <c r="L5" s="1271" t="s">
        <v>1514</v>
      </c>
      <c r="M5" s="1250"/>
      <c r="N5" s="1272" t="s">
        <v>1499</v>
      </c>
      <c r="O5" s="1250"/>
      <c r="P5" s="1271" t="s">
        <v>1608</v>
      </c>
      <c r="Q5" s="1250"/>
      <c r="R5" s="1271" t="s">
        <v>1609</v>
      </c>
      <c r="S5" s="1250"/>
      <c r="T5" s="1273" t="s">
        <v>1610</v>
      </c>
      <c r="U5" s="1250"/>
      <c r="W5" s="1278">
        <v>1401</v>
      </c>
      <c r="X5" s="1280" t="s">
        <v>1622</v>
      </c>
      <c r="Y5" s="1279">
        <v>1</v>
      </c>
      <c r="Z5" s="1195" t="str">
        <f>IF(Incentives!$E$13="Yes",IF(Incentives!$E$14=X5,14,IF(Incentives!$E$27="Yes",IF(Incentives!$E$28=X5,28,IF(Incentives!$E$41="Yes",IF(Incentives!$E$42=X5,42,""),"")),"")),"")</f>
        <v/>
      </c>
    </row>
    <row r="6" spans="1:26" s="1191" customFormat="1" ht="18" customHeight="1" thickBot="1" x14ac:dyDescent="0.3">
      <c r="A6" s="657"/>
      <c r="B6" s="1250"/>
      <c r="C6" s="1250"/>
      <c r="D6" s="1250"/>
      <c r="E6" s="1250"/>
      <c r="F6" s="1250"/>
      <c r="G6" s="1250"/>
      <c r="H6" s="1193"/>
      <c r="I6" s="1250"/>
      <c r="J6" s="1256"/>
      <c r="K6" s="1250"/>
      <c r="L6" s="1256"/>
      <c r="M6" s="1250"/>
      <c r="N6" s="1226"/>
      <c r="O6" s="1250"/>
      <c r="P6" s="1194" t="s">
        <v>1611</v>
      </c>
      <c r="Q6" s="1250"/>
      <c r="R6" s="1194" t="s">
        <v>1612</v>
      </c>
      <c r="S6" s="1250"/>
      <c r="T6" s="1251" t="s">
        <v>653</v>
      </c>
      <c r="U6" s="1250"/>
      <c r="W6" s="1278">
        <v>1402</v>
      </c>
      <c r="X6" s="1280"/>
      <c r="Y6" s="1279">
        <v>2</v>
      </c>
      <c r="Z6" s="1197" t="str">
        <f>IF(AND(Incentives!$E$13="Yes",Incentives!$E$14=X5),IF(Incentives!$E$27="Yes",IF(Incentives!$E$28=X5,28,IF(Incentives!$E$41="Yes",IF(Incentives!$E$42=X5,42,""),"")),""),"")</f>
        <v/>
      </c>
    </row>
    <row r="7" spans="1:26" s="1191" customFormat="1" ht="30" customHeight="1" thickBot="1" x14ac:dyDescent="0.3">
      <c r="A7" s="657"/>
      <c r="B7" s="1250"/>
      <c r="C7" s="1268" t="s">
        <v>1613</v>
      </c>
      <c r="D7" s="1483">
        <v>1201</v>
      </c>
      <c r="E7" s="1484"/>
      <c r="F7" s="1250"/>
      <c r="G7" s="1250"/>
      <c r="H7" s="1250"/>
      <c r="I7" s="1250"/>
      <c r="J7" s="1250"/>
      <c r="K7" s="1250"/>
      <c r="L7" s="1250"/>
      <c r="M7" s="1250"/>
      <c r="N7" s="1250"/>
      <c r="O7" s="1250"/>
      <c r="P7" s="1250"/>
      <c r="Q7" s="1250"/>
      <c r="R7" s="1250"/>
      <c r="S7" s="1250"/>
      <c r="T7" s="1250"/>
      <c r="U7" s="1250"/>
      <c r="W7" s="1278">
        <v>1501</v>
      </c>
      <c r="X7" s="1280" t="s">
        <v>1635</v>
      </c>
      <c r="Y7" s="1279">
        <v>1</v>
      </c>
      <c r="Z7" s="1195" t="str">
        <f>IF(Incentives!$E$13="Yes",IF(Incentives!$E$14=X7,14,IF(Incentives!$E$27="Yes",IF(Incentives!$E$28=X7,28,IF(Incentives!$E$41="Yes",IF(Incentives!$E$42=X7,42,""),"")),"")),"")</f>
        <v/>
      </c>
    </row>
    <row r="8" spans="1:26" s="1191" customFormat="1" ht="17.25" customHeight="1" thickBot="1" x14ac:dyDescent="0.3">
      <c r="A8" s="657"/>
      <c r="B8" s="1250"/>
      <c r="C8" s="1250"/>
      <c r="D8" s="1250"/>
      <c r="E8" s="1250"/>
      <c r="F8" s="1250"/>
      <c r="G8" s="1250"/>
      <c r="H8" s="1250"/>
      <c r="I8" s="1250"/>
      <c r="J8" s="1250"/>
      <c r="K8" s="1250"/>
      <c r="L8" s="1271" t="s">
        <v>1506</v>
      </c>
      <c r="M8" s="1250"/>
      <c r="N8" s="1250"/>
      <c r="O8" s="1250"/>
      <c r="P8" s="1250"/>
      <c r="Q8" s="1250"/>
      <c r="R8" s="1250"/>
      <c r="S8" s="1250"/>
      <c r="T8" s="1250"/>
      <c r="U8" s="1250"/>
      <c r="W8" s="1278">
        <v>1502</v>
      </c>
      <c r="X8" s="1280"/>
      <c r="Y8" s="1279">
        <v>2</v>
      </c>
      <c r="Z8" s="1197" t="str">
        <f>IF(AND(Incentives!$E$13="Yes",Incentives!$E$14=X7),IF(Incentives!$E$27="Yes",IF(Incentives!$E$28=X7,28,IF(Incentives!$E$41="Yes",IF(Incentives!$E$42=X7,42,""),"")),""),"")</f>
        <v/>
      </c>
    </row>
    <row r="9" spans="1:26" s="1191" customFormat="1" ht="18" customHeight="1" thickBot="1" x14ac:dyDescent="0.3">
      <c r="A9" s="657"/>
      <c r="B9" s="1250"/>
      <c r="C9" s="1268" t="s">
        <v>1502</v>
      </c>
      <c r="D9" s="1489"/>
      <c r="E9" s="1490"/>
      <c r="F9" s="1250"/>
      <c r="G9" s="1250"/>
      <c r="H9" s="1250"/>
      <c r="I9" s="1250"/>
      <c r="J9" s="1250"/>
      <c r="K9" s="1250"/>
      <c r="L9" s="1256"/>
      <c r="M9" s="1250"/>
      <c r="N9" s="1250"/>
      <c r="O9" s="1250"/>
      <c r="P9" s="1250"/>
      <c r="Q9" s="1250"/>
      <c r="R9" s="1250"/>
      <c r="S9" s="1250"/>
      <c r="T9" s="1250"/>
      <c r="U9" s="1250"/>
      <c r="W9" s="1278">
        <v>5501</v>
      </c>
      <c r="X9" s="1284" t="s">
        <v>1644</v>
      </c>
      <c r="Y9" s="1281">
        <v>1</v>
      </c>
      <c r="Z9" s="1195" t="str">
        <f>IF(Incentives!$E$55="Yes",IF(Incentives!$E$56=X9,56,IF(Incentives!$E$69="Yes",IF(Incentives!$E$70=X9,70,""),"")),"")</f>
        <v/>
      </c>
    </row>
    <row r="10" spans="1:26" s="1191" customFormat="1" ht="18" customHeight="1" thickBot="1" x14ac:dyDescent="0.3">
      <c r="A10" s="657"/>
      <c r="B10" s="1250"/>
      <c r="C10" s="1250"/>
      <c r="D10" s="1250"/>
      <c r="E10" s="1250"/>
      <c r="F10" s="1250"/>
      <c r="G10" s="1250"/>
      <c r="H10" s="1250"/>
      <c r="I10" s="1250"/>
      <c r="J10" s="1250"/>
      <c r="K10" s="1250"/>
      <c r="L10" s="1250"/>
      <c r="M10" s="1250"/>
      <c r="N10" s="1250"/>
      <c r="O10" s="1250"/>
      <c r="P10" s="1250"/>
      <c r="Q10" s="1250"/>
      <c r="R10" s="1250"/>
      <c r="S10" s="1250"/>
      <c r="T10" s="1250"/>
      <c r="U10" s="1250"/>
      <c r="W10" s="1278">
        <v>5502</v>
      </c>
      <c r="X10" s="1284"/>
      <c r="Y10" s="1279">
        <v>2</v>
      </c>
      <c r="Z10" s="1197" t="str">
        <f>IF(AND(Incentives!$E$55="Yes",Incentives!$E$56=X9),IF(Incentives!$E$69="Yes",IF(Incentives!$E$70=X9,70,""),""),"")</f>
        <v/>
      </c>
    </row>
    <row r="11" spans="1:26" s="1191" customFormat="1" ht="30" customHeight="1" thickBot="1" x14ac:dyDescent="0.3">
      <c r="A11" s="657"/>
      <c r="B11" s="1250"/>
      <c r="C11" s="1268" t="s">
        <v>1503</v>
      </c>
      <c r="D11" s="1489"/>
      <c r="E11" s="1490"/>
      <c r="F11" s="1250"/>
      <c r="G11" s="1250"/>
      <c r="H11" s="1270" t="s">
        <v>1614</v>
      </c>
      <c r="I11" s="1250"/>
      <c r="J11" s="1250"/>
      <c r="K11" s="1250"/>
      <c r="L11" s="1271" t="s">
        <v>1615</v>
      </c>
      <c r="M11" s="1250"/>
      <c r="N11" s="1250"/>
      <c r="O11" s="1250"/>
      <c r="P11" s="1250"/>
      <c r="Q11" s="1250"/>
      <c r="R11" s="1250"/>
      <c r="S11" s="1250"/>
      <c r="T11" s="1250"/>
      <c r="U11" s="1250"/>
      <c r="W11" s="1278">
        <v>2801</v>
      </c>
      <c r="X11" s="1284" t="s">
        <v>1645</v>
      </c>
      <c r="Y11" s="1279">
        <v>1</v>
      </c>
      <c r="Z11" s="1195" t="str">
        <f>IF(Incentives!$E$55="Yes",IF(Incentives!$E$56=X11,56,IF(Incentives!$E$69="Yes",IF(Incentives!$E$70=X11,70,""),"")),"")</f>
        <v/>
      </c>
    </row>
    <row r="12" spans="1:26" s="1191" customFormat="1" ht="18" customHeight="1" thickBot="1" x14ac:dyDescent="0.3">
      <c r="A12" s="657"/>
      <c r="B12" s="1250"/>
      <c r="C12" s="1250"/>
      <c r="D12" s="1250"/>
      <c r="E12" s="1250"/>
      <c r="F12" s="1250"/>
      <c r="G12" s="1250"/>
      <c r="H12" s="1251" t="s">
        <v>651</v>
      </c>
      <c r="I12" s="1250"/>
      <c r="J12" s="1250"/>
      <c r="K12" s="1250"/>
      <c r="L12" s="1215" t="s">
        <v>1616</v>
      </c>
      <c r="M12" s="1250"/>
      <c r="N12" s="1250"/>
      <c r="O12" s="1250"/>
      <c r="P12" s="1250"/>
      <c r="Q12" s="1250"/>
      <c r="R12" s="1250"/>
      <c r="S12" s="1250"/>
      <c r="T12" s="1250"/>
      <c r="U12" s="1250"/>
      <c r="W12" s="1278">
        <v>2802</v>
      </c>
      <c r="X12" s="1284"/>
      <c r="Y12" s="1282"/>
      <c r="Z12" s="1197" t="str">
        <f>IF(AND(Incentives!$E$55="Yes",Incentives!$E$56=X11),IF(Incentives!$E$69="Yes",IF(Incentives!$E$70=X11,70,""),""),"")</f>
        <v/>
      </c>
    </row>
    <row r="13" spans="1:26" s="1191" customFormat="1" ht="30" customHeight="1" thickBot="1" x14ac:dyDescent="0.3">
      <c r="A13" s="657"/>
      <c r="B13" s="1250"/>
      <c r="C13" s="1269" t="s">
        <v>1617</v>
      </c>
      <c r="D13" s="1468" t="s">
        <v>651</v>
      </c>
      <c r="E13" s="1469"/>
      <c r="F13" s="1250"/>
      <c r="G13" s="1250"/>
      <c r="H13" s="1250"/>
      <c r="I13" s="1250"/>
      <c r="J13" s="1250"/>
      <c r="K13" s="1250"/>
      <c r="L13" s="1250"/>
      <c r="M13" s="1250"/>
      <c r="N13" s="1250"/>
      <c r="O13" s="1250"/>
      <c r="P13" s="1250"/>
      <c r="Q13" s="1250"/>
      <c r="R13" s="1250"/>
      <c r="S13" s="1250"/>
      <c r="T13" s="1250"/>
      <c r="U13" s="1250"/>
      <c r="W13" s="1278">
        <v>3401</v>
      </c>
      <c r="X13" s="1284" t="s">
        <v>1652</v>
      </c>
      <c r="Y13" s="1283">
        <v>1</v>
      </c>
      <c r="Z13" s="1195" t="str">
        <f>IF(Incentives!$E$83="Yes",IF(Incentives!$E$84=X13,84,IF(Incentives!$E$97="Yes",IF(Incentives!$E$98=X13,98,""),"")),"")</f>
        <v/>
      </c>
    </row>
    <row r="14" spans="1:26" s="1191" customFormat="1" ht="18" customHeight="1" thickBot="1" x14ac:dyDescent="0.3">
      <c r="A14" s="657"/>
      <c r="B14" s="1250"/>
      <c r="C14" s="1250"/>
      <c r="D14" s="1250"/>
      <c r="E14" s="1250"/>
      <c r="F14" s="1250"/>
      <c r="G14" s="1250"/>
      <c r="H14" s="1250"/>
      <c r="I14" s="1250"/>
      <c r="J14" s="1250"/>
      <c r="K14" s="1250"/>
      <c r="L14" s="1250"/>
      <c r="M14" s="1250"/>
      <c r="N14" s="1250"/>
      <c r="O14" s="1250"/>
      <c r="P14" s="1250"/>
      <c r="Q14" s="1250"/>
      <c r="R14" s="1250"/>
      <c r="S14" s="1250"/>
      <c r="T14" s="1250"/>
      <c r="U14" s="1250"/>
      <c r="W14" s="1278">
        <v>3402</v>
      </c>
      <c r="X14" s="1284"/>
      <c r="Y14" s="1283">
        <v>2</v>
      </c>
      <c r="Z14" s="1197" t="str">
        <f>IF(AND(Incentives!$E$83="Yes",Incentives!$E$84=X13),IF(Incentives!$E$97="Yes",IF(Incentives!$E$98=X13,98,""),""),"")</f>
        <v/>
      </c>
    </row>
    <row r="15" spans="1:26" s="1191" customFormat="1" ht="18" customHeight="1" thickBot="1" x14ac:dyDescent="0.3">
      <c r="A15" s="657"/>
      <c r="B15" s="1250"/>
      <c r="C15" s="1268" t="s">
        <v>1618</v>
      </c>
      <c r="D15" s="1483" t="s">
        <v>1619</v>
      </c>
      <c r="E15" s="1484"/>
      <c r="F15" s="1250"/>
      <c r="G15" s="1250"/>
      <c r="H15" s="1250"/>
      <c r="I15" s="1250"/>
      <c r="J15" s="1250"/>
      <c r="K15" s="1250"/>
      <c r="L15" s="1250"/>
      <c r="M15" s="1250"/>
      <c r="N15" s="1250"/>
      <c r="O15" s="1250"/>
      <c r="P15" s="1250"/>
      <c r="Q15" s="1250"/>
      <c r="R15" s="1250"/>
      <c r="S15" s="1250"/>
      <c r="T15" s="1250"/>
      <c r="U15" s="1250"/>
      <c r="W15" s="1278">
        <v>3501</v>
      </c>
      <c r="X15" s="1284" t="s">
        <v>1657</v>
      </c>
      <c r="Y15" s="1283">
        <v>1</v>
      </c>
      <c r="Z15" s="1195" t="str">
        <f>IF(Incentives!$E$83="Yes",IF(Incentives!$E$84=X15,84,IF(Incentives!$E$97="Yes",IF(Incentives!$E$98=X15,98,""),"")),"")</f>
        <v/>
      </c>
    </row>
    <row r="16" spans="1:26" s="1191" customFormat="1" ht="21" customHeight="1" thickBot="1" x14ac:dyDescent="0.3">
      <c r="A16" s="657"/>
      <c r="B16" s="1250"/>
      <c r="C16" s="1250"/>
      <c r="D16" s="1250"/>
      <c r="E16" s="1250"/>
      <c r="F16" s="1250"/>
      <c r="G16" s="1250"/>
      <c r="H16" s="1250"/>
      <c r="I16" s="1250"/>
      <c r="J16" s="1250"/>
      <c r="K16" s="1250"/>
      <c r="L16" s="1250"/>
      <c r="M16" s="1250"/>
      <c r="N16" s="1250"/>
      <c r="O16" s="1250"/>
      <c r="P16" s="1250"/>
      <c r="Q16" s="1250"/>
      <c r="R16" s="1250"/>
      <c r="S16" s="1250"/>
      <c r="T16" s="1250"/>
      <c r="U16" s="1250"/>
      <c r="W16" s="1278">
        <v>3502</v>
      </c>
      <c r="X16" s="1284"/>
      <c r="Y16" s="1283">
        <v>2</v>
      </c>
      <c r="Z16" s="1197" t="str">
        <f>IF(AND(Incentives!$E$83="Yes",Incentives!$E$84=X15),IF(Incentives!$E$97="Yes",IF(Incentives!$E$98=X15,98,""),""),"")</f>
        <v/>
      </c>
    </row>
    <row r="17" spans="1:26" s="1191" customFormat="1" ht="17.25" customHeight="1" thickBot="1" x14ac:dyDescent="0.3">
      <c r="A17" s="657"/>
      <c r="B17" s="1487" t="s">
        <v>1620</v>
      </c>
      <c r="C17" s="1491"/>
      <c r="D17" s="1491"/>
      <c r="E17" s="1491"/>
      <c r="F17" s="1491"/>
      <c r="G17" s="1491"/>
      <c r="H17" s="1491"/>
      <c r="I17" s="1491"/>
      <c r="J17" s="1491"/>
      <c r="K17" s="1491"/>
      <c r="L17" s="1491"/>
      <c r="M17" s="1491"/>
      <c r="N17" s="1491"/>
      <c r="O17" s="1491"/>
      <c r="P17" s="1491"/>
      <c r="Q17" s="1491"/>
      <c r="R17" s="1491"/>
      <c r="S17" s="1491"/>
      <c r="T17" s="1491"/>
      <c r="U17" s="1492"/>
      <c r="W17" s="1278">
        <v>3601</v>
      </c>
      <c r="X17" s="1284" t="s">
        <v>1660</v>
      </c>
      <c r="Y17" s="1283">
        <v>1</v>
      </c>
      <c r="Z17" s="1195" t="str">
        <f>IF(Incentives!$E$83="Yes",IF(Incentives!$E$84=X17,84,IF(Incentives!$E$97="Yes",IF(Incentives!$E$98=X17,98,""),"")),"")</f>
        <v/>
      </c>
    </row>
    <row r="18" spans="1:26" s="1191" customFormat="1" ht="21" customHeight="1" thickBot="1" x14ac:dyDescent="0.3">
      <c r="A18" s="657"/>
      <c r="B18" s="1250"/>
      <c r="C18" s="1250"/>
      <c r="D18" s="1250"/>
      <c r="E18" s="1250"/>
      <c r="F18" s="1250"/>
      <c r="G18" s="1250"/>
      <c r="H18" s="1250"/>
      <c r="I18" s="1250"/>
      <c r="J18" s="1250"/>
      <c r="K18" s="1250"/>
      <c r="L18" s="1250"/>
      <c r="M18" s="1250"/>
      <c r="N18" s="1250"/>
      <c r="O18" s="1250"/>
      <c r="P18" s="1250"/>
      <c r="Q18" s="1250"/>
      <c r="R18" s="1250"/>
      <c r="S18" s="1250"/>
      <c r="T18" s="1250"/>
      <c r="U18" s="1250"/>
      <c r="W18" s="1278">
        <v>3602</v>
      </c>
      <c r="X18" s="1284"/>
      <c r="Y18" s="1283">
        <v>2</v>
      </c>
      <c r="Z18" s="1197" t="str">
        <f>IF(AND(Incentives!$E$83="Yes",Incentives!$E$84=X17),IF(Incentives!$E$97="Yes",IF(Incentives!$E$98=X17,98,""),""),"")</f>
        <v/>
      </c>
    </row>
    <row r="19" spans="1:26" s="1191" customFormat="1" ht="30" customHeight="1" thickBot="1" x14ac:dyDescent="0.3">
      <c r="A19" s="496"/>
      <c r="B19" s="1250"/>
      <c r="C19" s="1268" t="s">
        <v>1500</v>
      </c>
      <c r="D19" s="1481" t="s">
        <v>1607</v>
      </c>
      <c r="E19" s="1482"/>
      <c r="F19" s="1250"/>
      <c r="G19" s="1250"/>
      <c r="H19" s="1271" t="s">
        <v>1497</v>
      </c>
      <c r="I19" s="1250"/>
      <c r="J19" s="1271" t="s">
        <v>1498</v>
      </c>
      <c r="K19" s="1250"/>
      <c r="L19" s="1271" t="s">
        <v>1514</v>
      </c>
      <c r="M19" s="1250"/>
      <c r="N19" s="1271" t="s">
        <v>1499</v>
      </c>
      <c r="O19" s="1250"/>
      <c r="P19" s="1271" t="s">
        <v>1608</v>
      </c>
      <c r="Q19" s="1250"/>
      <c r="R19" s="1271" t="s">
        <v>1609</v>
      </c>
      <c r="S19" s="1250"/>
      <c r="T19" s="1271" t="s">
        <v>1610</v>
      </c>
      <c r="U19" s="1250"/>
      <c r="W19" s="1278">
        <v>1301</v>
      </c>
      <c r="X19" s="1284" t="s">
        <v>1662</v>
      </c>
      <c r="Y19" s="1283">
        <v>1</v>
      </c>
      <c r="Z19" s="1195" t="str">
        <f>IF(Incentives!$E$111="Yes",IF(Incentives!$E$112=X19,112,""),"")</f>
        <v/>
      </c>
    </row>
    <row r="20" spans="1:26" s="1191" customFormat="1" ht="18" customHeight="1" thickBot="1" x14ac:dyDescent="0.3">
      <c r="A20" s="657"/>
      <c r="B20" s="1250"/>
      <c r="C20" s="1250"/>
      <c r="D20" s="1250"/>
      <c r="E20" s="1250"/>
      <c r="F20" s="1250"/>
      <c r="G20" s="1250"/>
      <c r="H20" s="1193"/>
      <c r="I20" s="1250"/>
      <c r="J20" s="1256"/>
      <c r="K20" s="1250"/>
      <c r="L20" s="1256"/>
      <c r="M20" s="1250"/>
      <c r="N20" s="1257"/>
      <c r="O20" s="1250"/>
      <c r="P20" s="1194" t="s">
        <v>1611</v>
      </c>
      <c r="Q20" s="1250"/>
      <c r="R20" s="1194" t="s">
        <v>1612</v>
      </c>
      <c r="S20" s="1250"/>
      <c r="T20" s="1194" t="s">
        <v>653</v>
      </c>
      <c r="U20" s="1250"/>
      <c r="W20" s="1278">
        <v>4001</v>
      </c>
      <c r="X20" s="1284" t="s">
        <v>1663</v>
      </c>
      <c r="Y20" s="1282">
        <v>1</v>
      </c>
      <c r="Z20" s="1195" t="str">
        <f>IF(Incentives!$E$119="Yes",IF(Incentives!$E$120=X20,120,""),"")</f>
        <v/>
      </c>
    </row>
    <row r="21" spans="1:26" s="1191" customFormat="1" ht="30.75" customHeight="1" thickBot="1" x14ac:dyDescent="0.3">
      <c r="A21" s="657"/>
      <c r="B21" s="1250"/>
      <c r="C21" s="1268" t="s">
        <v>1613</v>
      </c>
      <c r="D21" s="1483">
        <v>1202</v>
      </c>
      <c r="E21" s="1484"/>
      <c r="F21" s="1250"/>
      <c r="G21" s="1250"/>
      <c r="H21" s="1250"/>
      <c r="I21" s="1250"/>
      <c r="J21" s="1250"/>
      <c r="K21" s="1250"/>
      <c r="L21" s="1250"/>
      <c r="M21" s="1250"/>
      <c r="N21" s="1250"/>
      <c r="O21" s="1250"/>
      <c r="P21" s="1250"/>
      <c r="Q21" s="1250"/>
      <c r="R21" s="1250"/>
      <c r="S21" s="1250"/>
      <c r="T21" s="1250"/>
      <c r="U21" s="1250"/>
    </row>
    <row r="22" spans="1:26" s="1191" customFormat="1" ht="18" customHeight="1" thickBot="1" x14ac:dyDescent="0.3">
      <c r="A22" s="657"/>
      <c r="B22" s="1250"/>
      <c r="C22" s="1250"/>
      <c r="D22" s="1250"/>
      <c r="E22" s="1250"/>
      <c r="F22" s="1250"/>
      <c r="G22" s="1250"/>
      <c r="H22" s="1250"/>
      <c r="I22" s="1250"/>
      <c r="J22" s="1250"/>
      <c r="K22" s="1250"/>
      <c r="L22" s="1271" t="s">
        <v>1506</v>
      </c>
      <c r="M22" s="1250"/>
      <c r="N22" s="1250"/>
      <c r="O22" s="1250"/>
      <c r="P22" s="1250"/>
      <c r="Q22" s="1250"/>
      <c r="R22" s="1250"/>
      <c r="S22" s="1250"/>
      <c r="T22" s="1250"/>
      <c r="U22" s="1250"/>
    </row>
    <row r="23" spans="1:26" s="1191" customFormat="1" ht="18" customHeight="1" thickBot="1" x14ac:dyDescent="0.3">
      <c r="A23" s="657"/>
      <c r="B23" s="1250"/>
      <c r="C23" s="1268" t="s">
        <v>1502</v>
      </c>
      <c r="D23" s="1489"/>
      <c r="E23" s="1490"/>
      <c r="F23" s="1250"/>
      <c r="G23" s="1250"/>
      <c r="H23" s="1250"/>
      <c r="I23" s="1250"/>
      <c r="J23" s="1250"/>
      <c r="K23" s="1250"/>
      <c r="L23" s="1258"/>
      <c r="M23" s="1250"/>
      <c r="N23" s="1250"/>
      <c r="O23" s="1250"/>
      <c r="P23" s="1250"/>
      <c r="Q23" s="1250"/>
      <c r="R23" s="1250"/>
      <c r="S23" s="1250"/>
      <c r="T23" s="1250"/>
      <c r="U23" s="1250"/>
    </row>
    <row r="24" spans="1:26" s="1191" customFormat="1" ht="15.75" thickBot="1" x14ac:dyDescent="0.3">
      <c r="A24" s="657"/>
      <c r="B24" s="1250"/>
      <c r="C24" s="1250"/>
      <c r="D24" s="1250"/>
      <c r="E24" s="1250"/>
      <c r="F24" s="1250"/>
      <c r="G24" s="1250"/>
      <c r="H24" s="1250"/>
      <c r="I24" s="1250"/>
      <c r="J24" s="1250"/>
      <c r="K24" s="1250"/>
      <c r="L24" s="1250"/>
      <c r="M24" s="1250"/>
      <c r="N24" s="1250"/>
      <c r="O24" s="1250"/>
      <c r="P24" s="1250"/>
      <c r="Q24" s="1250"/>
      <c r="R24" s="1250"/>
      <c r="S24" s="1250"/>
      <c r="T24" s="1250"/>
      <c r="U24" s="1250"/>
    </row>
    <row r="25" spans="1:26" s="1191" customFormat="1" ht="30" customHeight="1" thickBot="1" x14ac:dyDescent="0.3">
      <c r="A25" s="657"/>
      <c r="B25" s="1250"/>
      <c r="C25" s="1268" t="s">
        <v>1503</v>
      </c>
      <c r="D25" s="1489"/>
      <c r="E25" s="1490"/>
      <c r="F25" s="1250"/>
      <c r="G25" s="1250"/>
      <c r="H25" s="1270" t="s">
        <v>1614</v>
      </c>
      <c r="I25" s="1250"/>
      <c r="J25" s="1250"/>
      <c r="K25" s="1250"/>
      <c r="L25" s="1271" t="s">
        <v>1615</v>
      </c>
      <c r="M25" s="1250"/>
      <c r="N25" s="1250"/>
      <c r="O25" s="1250"/>
      <c r="P25" s="1250"/>
      <c r="Q25" s="1250"/>
      <c r="R25" s="1250"/>
      <c r="S25" s="1250"/>
      <c r="T25" s="1250"/>
      <c r="U25" s="1250"/>
    </row>
    <row r="26" spans="1:26" s="1191" customFormat="1" ht="18" customHeight="1" thickBot="1" x14ac:dyDescent="0.3">
      <c r="A26" s="657"/>
      <c r="B26" s="1250"/>
      <c r="C26" s="1250"/>
      <c r="D26" s="1250"/>
      <c r="E26" s="1250"/>
      <c r="F26" s="1250"/>
      <c r="G26" s="1250"/>
      <c r="H26" s="1251" t="s">
        <v>651</v>
      </c>
      <c r="I26" s="1250"/>
      <c r="J26" s="1250"/>
      <c r="K26" s="1250"/>
      <c r="L26" s="1215" t="s">
        <v>1616</v>
      </c>
      <c r="M26" s="1250"/>
      <c r="N26" s="1250"/>
      <c r="O26" s="1250"/>
      <c r="P26" s="1250"/>
      <c r="Q26" s="1250"/>
      <c r="R26" s="1250"/>
      <c r="S26" s="1250"/>
      <c r="T26" s="1250"/>
      <c r="U26" s="1250"/>
    </row>
    <row r="27" spans="1:26" s="1191" customFormat="1" ht="30" customHeight="1" thickBot="1" x14ac:dyDescent="0.3">
      <c r="A27" s="657"/>
      <c r="B27" s="1250"/>
      <c r="C27" s="1274" t="s">
        <v>1617</v>
      </c>
      <c r="D27" s="1468" t="s">
        <v>651</v>
      </c>
      <c r="E27" s="1469"/>
      <c r="F27" s="1250"/>
      <c r="G27" s="1250"/>
      <c r="H27" s="1250"/>
      <c r="I27" s="1250"/>
      <c r="J27" s="1250"/>
      <c r="K27" s="1250"/>
      <c r="L27" s="1250"/>
      <c r="M27" s="1250"/>
      <c r="N27" s="1250"/>
      <c r="O27" s="1250"/>
      <c r="P27" s="1250"/>
      <c r="Q27" s="1250"/>
      <c r="R27" s="1250"/>
      <c r="S27" s="1250"/>
      <c r="T27" s="1250"/>
      <c r="U27" s="1250"/>
    </row>
    <row r="28" spans="1:26" s="1191" customFormat="1" ht="18" customHeight="1" thickBot="1" x14ac:dyDescent="0.3">
      <c r="A28" s="657"/>
      <c r="B28" s="1250"/>
      <c r="C28" s="1250"/>
      <c r="D28" s="1250"/>
      <c r="E28" s="1250"/>
      <c r="F28" s="1250"/>
      <c r="G28" s="1250"/>
      <c r="H28" s="1250"/>
      <c r="I28" s="1250"/>
      <c r="J28" s="1250"/>
      <c r="K28" s="1250"/>
      <c r="L28" s="1250"/>
      <c r="M28" s="1250"/>
      <c r="N28" s="1250"/>
      <c r="O28" s="1250"/>
      <c r="P28" s="1250"/>
      <c r="Q28" s="1250"/>
      <c r="R28" s="1250"/>
      <c r="S28" s="1250"/>
      <c r="T28" s="1250"/>
      <c r="U28" s="1250"/>
    </row>
    <row r="29" spans="1:26" s="1191" customFormat="1" ht="18" customHeight="1" thickBot="1" x14ac:dyDescent="0.3">
      <c r="A29" s="657"/>
      <c r="B29" s="1250"/>
      <c r="C29" s="1268" t="s">
        <v>1618</v>
      </c>
      <c r="D29" s="1483" t="s">
        <v>1619</v>
      </c>
      <c r="E29" s="1484"/>
      <c r="F29" s="1250"/>
      <c r="G29" s="1250"/>
      <c r="H29" s="1250"/>
      <c r="I29" s="1250"/>
      <c r="J29" s="1250"/>
      <c r="K29" s="1250"/>
      <c r="L29" s="1250"/>
      <c r="M29" s="1250"/>
      <c r="N29" s="1250"/>
      <c r="O29" s="1250"/>
      <c r="P29" s="1250"/>
      <c r="Q29" s="1250"/>
      <c r="R29" s="1250"/>
      <c r="S29" s="1250"/>
      <c r="T29" s="1250"/>
      <c r="U29" s="1250"/>
    </row>
    <row r="30" spans="1:26" s="1191" customFormat="1" ht="20.25" customHeight="1" thickBot="1" x14ac:dyDescent="0.3">
      <c r="A30" s="657"/>
      <c r="B30" s="1250"/>
      <c r="C30" s="1250"/>
      <c r="D30" s="1250"/>
      <c r="E30" s="1250"/>
      <c r="F30" s="1250"/>
      <c r="G30" s="1250"/>
      <c r="H30" s="1250"/>
      <c r="I30" s="1250"/>
      <c r="J30" s="1250"/>
      <c r="K30" s="1250"/>
      <c r="L30" s="1250"/>
      <c r="M30" s="1250"/>
      <c r="N30" s="1250"/>
      <c r="O30" s="1250"/>
      <c r="P30" s="1250"/>
      <c r="Q30" s="1250"/>
      <c r="R30" s="1250"/>
      <c r="S30" s="1250"/>
      <c r="T30" s="1250"/>
      <c r="U30" s="1250"/>
    </row>
    <row r="31" spans="1:26" s="1191" customFormat="1" ht="15.75" customHeight="1" thickBot="1" x14ac:dyDescent="0.3">
      <c r="A31" s="657"/>
      <c r="B31" s="1487" t="s">
        <v>1621</v>
      </c>
      <c r="C31" s="1491"/>
      <c r="D31" s="1491"/>
      <c r="E31" s="1491"/>
      <c r="F31" s="1491"/>
      <c r="G31" s="1491"/>
      <c r="H31" s="1491"/>
      <c r="I31" s="1491"/>
      <c r="J31" s="1491"/>
      <c r="K31" s="1491"/>
      <c r="L31" s="1491"/>
      <c r="M31" s="1491"/>
      <c r="N31" s="1491"/>
      <c r="O31" s="1491"/>
      <c r="P31" s="1491"/>
      <c r="Q31" s="1491"/>
      <c r="R31" s="1491"/>
      <c r="S31" s="1491"/>
      <c r="T31" s="1491"/>
      <c r="U31" s="1492"/>
    </row>
    <row r="32" spans="1:26" s="1191" customFormat="1" ht="20.25" customHeight="1" thickBot="1" x14ac:dyDescent="0.3">
      <c r="A32" s="657"/>
      <c r="B32" s="1250"/>
      <c r="C32" s="1250"/>
      <c r="D32" s="1250"/>
      <c r="E32" s="1250"/>
      <c r="F32" s="1250"/>
      <c r="G32" s="1250"/>
      <c r="H32" s="1250"/>
      <c r="I32" s="1250"/>
      <c r="J32" s="1250"/>
      <c r="K32" s="1250"/>
      <c r="L32" s="1250"/>
      <c r="M32" s="1250"/>
      <c r="N32" s="1250"/>
      <c r="O32" s="1250"/>
      <c r="P32" s="1250"/>
      <c r="Q32" s="1250"/>
      <c r="R32" s="1250"/>
      <c r="S32" s="1250"/>
      <c r="T32" s="1250"/>
      <c r="U32" s="1250"/>
    </row>
    <row r="33" spans="1:21" s="1191" customFormat="1" ht="30" customHeight="1" thickBot="1" x14ac:dyDescent="0.3">
      <c r="A33" s="496"/>
      <c r="B33" s="1250"/>
      <c r="C33" s="1268" t="s">
        <v>1500</v>
      </c>
      <c r="D33" s="1481" t="s">
        <v>1622</v>
      </c>
      <c r="E33" s="1482"/>
      <c r="F33" s="1250"/>
      <c r="G33" s="1250"/>
      <c r="H33" s="1271" t="s">
        <v>1497</v>
      </c>
      <c r="I33" s="1250"/>
      <c r="J33" s="1271" t="s">
        <v>1498</v>
      </c>
      <c r="K33" s="1250"/>
      <c r="L33" s="1271" t="s">
        <v>1514</v>
      </c>
      <c r="M33" s="1250"/>
      <c r="N33" s="1271" t="s">
        <v>1499</v>
      </c>
      <c r="O33" s="1250"/>
      <c r="P33" s="1271" t="s">
        <v>1608</v>
      </c>
      <c r="Q33" s="1250"/>
      <c r="R33" s="1271" t="s">
        <v>1609</v>
      </c>
      <c r="S33" s="1250"/>
      <c r="T33" s="1271" t="s">
        <v>1610</v>
      </c>
      <c r="U33" s="1250"/>
    </row>
    <row r="34" spans="1:21" s="1191" customFormat="1" ht="18" customHeight="1" thickBot="1" x14ac:dyDescent="0.3">
      <c r="A34" s="657"/>
      <c r="B34" s="1250"/>
      <c r="C34" s="1252"/>
      <c r="D34" s="1250"/>
      <c r="E34" s="1250"/>
      <c r="F34" s="1250"/>
      <c r="G34" s="1250"/>
      <c r="H34" s="1193"/>
      <c r="I34" s="1250"/>
      <c r="J34" s="1256"/>
      <c r="K34" s="1250"/>
      <c r="L34" s="1256"/>
      <c r="M34" s="1250"/>
      <c r="N34" s="1257"/>
      <c r="O34" s="1250"/>
      <c r="P34" s="1194" t="s">
        <v>1611</v>
      </c>
      <c r="Q34" s="1250"/>
      <c r="R34" s="1194" t="s">
        <v>1612</v>
      </c>
      <c r="S34" s="1250"/>
      <c r="T34" s="1194" t="s">
        <v>653</v>
      </c>
      <c r="U34" s="1250"/>
    </row>
    <row r="35" spans="1:21" s="1191" customFormat="1" ht="30.75" customHeight="1" thickBot="1" x14ac:dyDescent="0.3">
      <c r="A35" s="657"/>
      <c r="B35" s="1250"/>
      <c r="C35" s="1268" t="s">
        <v>1613</v>
      </c>
      <c r="D35" s="1483">
        <v>1401</v>
      </c>
      <c r="E35" s="1484"/>
      <c r="F35" s="1250"/>
      <c r="G35" s="1250"/>
      <c r="H35" s="1250"/>
      <c r="I35" s="1250"/>
      <c r="J35" s="1250"/>
      <c r="K35" s="1250"/>
      <c r="L35" s="1250"/>
      <c r="M35" s="1250"/>
      <c r="N35" s="1250"/>
      <c r="O35" s="1250"/>
      <c r="P35" s="1250"/>
      <c r="Q35" s="1250"/>
      <c r="R35" s="1250"/>
      <c r="S35" s="1250"/>
      <c r="T35" s="1250"/>
      <c r="U35" s="1250"/>
    </row>
    <row r="36" spans="1:21" s="1191" customFormat="1" ht="30" customHeight="1" thickBot="1" x14ac:dyDescent="0.3">
      <c r="A36" s="657"/>
      <c r="B36" s="1250"/>
      <c r="C36" s="1252"/>
      <c r="D36" s="1250"/>
      <c r="E36" s="1250"/>
      <c r="F36" s="1250"/>
      <c r="G36" s="1250"/>
      <c r="H36" s="1272" t="s">
        <v>1504</v>
      </c>
      <c r="I36" s="1250"/>
      <c r="J36" s="1271" t="s">
        <v>1505</v>
      </c>
      <c r="K36" s="1250"/>
      <c r="L36" s="1271" t="s">
        <v>1506</v>
      </c>
      <c r="M36" s="1250"/>
      <c r="N36" s="1271" t="s">
        <v>1623</v>
      </c>
      <c r="O36" s="1250"/>
      <c r="P36" s="1271" t="s">
        <v>1624</v>
      </c>
      <c r="Q36" s="1250"/>
      <c r="R36" s="1271" t="s">
        <v>1625</v>
      </c>
      <c r="S36" s="1250"/>
      <c r="T36" s="1250"/>
      <c r="U36" s="1250"/>
    </row>
    <row r="37" spans="1:21" s="1191" customFormat="1" ht="18" customHeight="1" thickBot="1" x14ac:dyDescent="0.3">
      <c r="A37" s="657"/>
      <c r="B37" s="1250"/>
      <c r="C37" s="1268" t="s">
        <v>1502</v>
      </c>
      <c r="D37" s="1489"/>
      <c r="E37" s="1490"/>
      <c r="F37" s="1250"/>
      <c r="G37" s="1250" t="s">
        <v>1048</v>
      </c>
      <c r="H37" s="1258"/>
      <c r="I37" s="1250"/>
      <c r="J37" s="1258">
        <v>999999999.99000001</v>
      </c>
      <c r="K37" s="1250"/>
      <c r="L37" s="1258"/>
      <c r="M37" s="1250"/>
      <c r="N37" s="1215"/>
      <c r="O37" s="1250"/>
      <c r="P37" s="1215" t="s">
        <v>1626</v>
      </c>
      <c r="Q37" s="1250"/>
      <c r="R37" s="1215" t="s">
        <v>1627</v>
      </c>
      <c r="S37" s="1250"/>
      <c r="T37" s="1250"/>
      <c r="U37" s="1250"/>
    </row>
    <row r="38" spans="1:21" s="1191" customFormat="1" ht="15.75" thickBot="1" x14ac:dyDescent="0.3">
      <c r="A38" s="657"/>
      <c r="B38" s="1250"/>
      <c r="C38" s="1252"/>
      <c r="D38" s="1250"/>
      <c r="E38" s="1250"/>
      <c r="F38" s="1250"/>
      <c r="G38" s="1250"/>
      <c r="H38" s="1250"/>
      <c r="I38" s="1250"/>
      <c r="J38" s="1250"/>
      <c r="K38" s="1250"/>
      <c r="L38" s="1250"/>
      <c r="M38" s="1250"/>
      <c r="N38" s="1250"/>
      <c r="O38" s="1250"/>
      <c r="P38" s="1250"/>
      <c r="Q38" s="1250"/>
      <c r="R38" s="1250"/>
      <c r="S38" s="1250"/>
      <c r="T38" s="1250"/>
      <c r="U38" s="1250"/>
    </row>
    <row r="39" spans="1:21" s="1191" customFormat="1" ht="30" customHeight="1" thickBot="1" x14ac:dyDescent="0.3">
      <c r="A39" s="657"/>
      <c r="B39" s="1250"/>
      <c r="C39" s="1268" t="s">
        <v>1503</v>
      </c>
      <c r="D39" s="1489"/>
      <c r="E39" s="1490"/>
      <c r="F39" s="1250"/>
      <c r="G39" s="1250"/>
      <c r="H39" s="1270" t="s">
        <v>1614</v>
      </c>
      <c r="I39" s="1250"/>
      <c r="J39" s="1271" t="s">
        <v>1628</v>
      </c>
      <c r="K39" s="1250"/>
      <c r="L39" s="1271" t="s">
        <v>1615</v>
      </c>
      <c r="M39" s="1250"/>
      <c r="N39" s="1271" t="s">
        <v>1629</v>
      </c>
      <c r="O39" s="1250"/>
      <c r="P39" s="1271" t="s">
        <v>1630</v>
      </c>
      <c r="Q39" s="1250"/>
      <c r="R39" s="1271" t="s">
        <v>1631</v>
      </c>
      <c r="S39" s="1250"/>
      <c r="T39" s="1250"/>
      <c r="U39" s="1250"/>
    </row>
    <row r="40" spans="1:21" s="1191" customFormat="1" ht="18" customHeight="1" thickBot="1" x14ac:dyDescent="0.3">
      <c r="A40" s="657"/>
      <c r="B40" s="1250"/>
      <c r="C40" s="1252"/>
      <c r="D40" s="1250"/>
      <c r="E40" s="1250"/>
      <c r="F40" s="1250"/>
      <c r="G40" s="1250"/>
      <c r="H40" s="1251" t="s">
        <v>651</v>
      </c>
      <c r="I40" s="1250"/>
      <c r="J40" s="1194" t="s">
        <v>1616</v>
      </c>
      <c r="K40" s="1250"/>
      <c r="L40" s="1215" t="s">
        <v>1616</v>
      </c>
      <c r="M40" s="1250"/>
      <c r="N40" s="1215" t="s">
        <v>651</v>
      </c>
      <c r="O40" s="1250"/>
      <c r="P40" s="1251" t="s">
        <v>651</v>
      </c>
      <c r="Q40" s="1250"/>
      <c r="R40" s="1215" t="s">
        <v>861</v>
      </c>
      <c r="S40" s="1250"/>
      <c r="T40" s="1250"/>
      <c r="U40" s="1250"/>
    </row>
    <row r="41" spans="1:21" s="1191" customFormat="1" ht="30" customHeight="1" thickBot="1" x14ac:dyDescent="0.3">
      <c r="A41" s="657"/>
      <c r="B41" s="1250"/>
      <c r="C41" s="1274" t="s">
        <v>1617</v>
      </c>
      <c r="D41" s="1468" t="s">
        <v>651</v>
      </c>
      <c r="E41" s="1469"/>
      <c r="F41" s="1250"/>
      <c r="G41" s="1250"/>
      <c r="H41" s="1250"/>
      <c r="I41" s="1250"/>
      <c r="J41" s="1250"/>
      <c r="K41" s="1250"/>
      <c r="L41" s="1250"/>
      <c r="M41" s="1250"/>
      <c r="N41" s="1250"/>
      <c r="O41" s="1250"/>
      <c r="P41" s="1250"/>
      <c r="Q41" s="1250"/>
      <c r="R41" s="1250"/>
      <c r="S41" s="1250"/>
      <c r="T41" s="1250"/>
      <c r="U41" s="1250"/>
    </row>
    <row r="42" spans="1:21" s="1191" customFormat="1" ht="18" customHeight="1" thickBot="1" x14ac:dyDescent="0.3">
      <c r="A42" s="657"/>
      <c r="B42" s="1250"/>
      <c r="C42" s="1252"/>
      <c r="D42" s="1250"/>
      <c r="E42" s="1250"/>
      <c r="F42" s="1250"/>
      <c r="G42" s="1250"/>
      <c r="H42" s="1250"/>
      <c r="I42" s="1250"/>
      <c r="J42" s="1250"/>
      <c r="K42" s="1250"/>
      <c r="L42" s="1250"/>
      <c r="M42" s="1250"/>
      <c r="N42" s="1250"/>
      <c r="O42" s="1250"/>
      <c r="P42" s="1250"/>
      <c r="Q42" s="1250"/>
      <c r="R42" s="1250"/>
      <c r="S42" s="1250"/>
      <c r="T42" s="1250"/>
      <c r="U42" s="1250"/>
    </row>
    <row r="43" spans="1:21" s="1191" customFormat="1" ht="18" customHeight="1" thickBot="1" x14ac:dyDescent="0.3">
      <c r="A43" s="657"/>
      <c r="B43" s="1250"/>
      <c r="C43" s="1268" t="s">
        <v>1618</v>
      </c>
      <c r="D43" s="1483" t="s">
        <v>1619</v>
      </c>
      <c r="E43" s="1484"/>
      <c r="F43" s="1250"/>
      <c r="G43" s="1250"/>
      <c r="H43" s="1250"/>
      <c r="I43" s="1250"/>
      <c r="J43" s="1250"/>
      <c r="K43" s="1250"/>
      <c r="L43" s="1250"/>
      <c r="M43" s="1250"/>
      <c r="N43" s="1250"/>
      <c r="O43" s="1250"/>
      <c r="P43" s="1250"/>
      <c r="Q43" s="1250"/>
      <c r="R43" s="1250"/>
      <c r="S43" s="1250"/>
      <c r="T43" s="1250"/>
      <c r="U43" s="1250"/>
    </row>
    <row r="44" spans="1:21" s="1191" customFormat="1" ht="19.5" customHeight="1" thickBot="1" x14ac:dyDescent="0.3">
      <c r="A44" s="657"/>
      <c r="B44" s="1250"/>
      <c r="C44" s="1250"/>
      <c r="D44" s="1250"/>
      <c r="E44" s="1250"/>
      <c r="F44" s="1250"/>
      <c r="G44" s="1250"/>
      <c r="H44" s="1250"/>
      <c r="I44" s="1250"/>
      <c r="J44" s="1250"/>
      <c r="K44" s="1250"/>
      <c r="L44" s="1250"/>
      <c r="M44" s="1250"/>
      <c r="N44" s="1250"/>
      <c r="O44" s="1250"/>
      <c r="P44" s="1250"/>
      <c r="Q44" s="1250"/>
      <c r="R44" s="1250"/>
      <c r="S44" s="1250"/>
      <c r="T44" s="1250"/>
      <c r="U44" s="1250"/>
    </row>
    <row r="45" spans="1:21" s="1191" customFormat="1" ht="15.75" customHeight="1" thickBot="1" x14ac:dyDescent="0.3">
      <c r="A45" s="657"/>
      <c r="B45" s="1487" t="s">
        <v>1633</v>
      </c>
      <c r="C45" s="1491"/>
      <c r="D45" s="1491"/>
      <c r="E45" s="1491"/>
      <c r="F45" s="1491"/>
      <c r="G45" s="1491"/>
      <c r="H45" s="1491"/>
      <c r="I45" s="1491"/>
      <c r="J45" s="1491"/>
      <c r="K45" s="1491"/>
      <c r="L45" s="1491"/>
      <c r="M45" s="1491"/>
      <c r="N45" s="1491"/>
      <c r="O45" s="1491"/>
      <c r="P45" s="1491"/>
      <c r="Q45" s="1491"/>
      <c r="R45" s="1491"/>
      <c r="S45" s="1491"/>
      <c r="T45" s="1491"/>
      <c r="U45" s="1492"/>
    </row>
    <row r="46" spans="1:21" s="1191" customFormat="1" ht="20.25" customHeight="1" thickBot="1" x14ac:dyDescent="0.3">
      <c r="A46" s="657"/>
      <c r="B46" s="1250"/>
      <c r="C46" s="1250"/>
      <c r="D46" s="1250"/>
      <c r="E46" s="1250"/>
      <c r="F46" s="1250"/>
      <c r="G46" s="1250"/>
      <c r="H46" s="1250"/>
      <c r="I46" s="1250"/>
      <c r="J46" s="1250"/>
      <c r="K46" s="1250"/>
      <c r="L46" s="1250"/>
      <c r="M46" s="1250"/>
      <c r="N46" s="1250"/>
      <c r="O46" s="1250"/>
      <c r="P46" s="1250"/>
      <c r="Q46" s="1250"/>
      <c r="R46" s="1250"/>
      <c r="S46" s="1250"/>
      <c r="T46" s="1250"/>
      <c r="U46" s="1250"/>
    </row>
    <row r="47" spans="1:21" s="1191" customFormat="1" ht="30.75" customHeight="1" thickBot="1" x14ac:dyDescent="0.3">
      <c r="A47" s="496"/>
      <c r="B47" s="1250"/>
      <c r="C47" s="1268" t="s">
        <v>1500</v>
      </c>
      <c r="D47" s="1481" t="s">
        <v>1622</v>
      </c>
      <c r="E47" s="1482"/>
      <c r="F47" s="1250"/>
      <c r="G47" s="1250"/>
      <c r="H47" s="1271" t="s">
        <v>1497</v>
      </c>
      <c r="I47" s="1250"/>
      <c r="J47" s="1271" t="s">
        <v>1498</v>
      </c>
      <c r="K47" s="1250"/>
      <c r="L47" s="1271" t="s">
        <v>1514</v>
      </c>
      <c r="M47" s="1250"/>
      <c r="N47" s="1271" t="s">
        <v>1499</v>
      </c>
      <c r="O47" s="1250"/>
      <c r="P47" s="1271" t="s">
        <v>1608</v>
      </c>
      <c r="Q47" s="1250"/>
      <c r="R47" s="1271" t="s">
        <v>1609</v>
      </c>
      <c r="S47" s="1250"/>
      <c r="T47" s="1271" t="s">
        <v>1610</v>
      </c>
      <c r="U47" s="1250"/>
    </row>
    <row r="48" spans="1:21" s="1191" customFormat="1" ht="18" customHeight="1" thickBot="1" x14ac:dyDescent="0.3">
      <c r="A48" s="657"/>
      <c r="B48" s="1250"/>
      <c r="C48" s="1250"/>
      <c r="D48" s="1250"/>
      <c r="E48" s="1250"/>
      <c r="F48" s="1250"/>
      <c r="G48" s="1250"/>
      <c r="H48" s="1193"/>
      <c r="I48" s="1250"/>
      <c r="J48" s="1256"/>
      <c r="K48" s="1250"/>
      <c r="L48" s="1256"/>
      <c r="M48" s="1250"/>
      <c r="N48" s="1257"/>
      <c r="O48" s="1250"/>
      <c r="P48" s="1194" t="s">
        <v>1611</v>
      </c>
      <c r="Q48" s="1250"/>
      <c r="R48" s="1194" t="s">
        <v>1612</v>
      </c>
      <c r="S48" s="1250"/>
      <c r="T48" s="1194" t="s">
        <v>653</v>
      </c>
      <c r="U48" s="1250"/>
    </row>
    <row r="49" spans="1:21" s="1191" customFormat="1" ht="30.75" customHeight="1" thickBot="1" x14ac:dyDescent="0.3">
      <c r="A49" s="657"/>
      <c r="B49" s="1250"/>
      <c r="C49" s="1268" t="s">
        <v>1613</v>
      </c>
      <c r="D49" s="1483">
        <v>1402</v>
      </c>
      <c r="E49" s="1484"/>
      <c r="F49" s="1250"/>
      <c r="G49" s="1250"/>
      <c r="H49" s="1250"/>
      <c r="I49" s="1250"/>
      <c r="J49" s="1259"/>
      <c r="K49" s="1250"/>
      <c r="L49" s="1250"/>
      <c r="M49" s="1250"/>
      <c r="N49" s="1250"/>
      <c r="O49" s="1250"/>
      <c r="P49" s="1250"/>
      <c r="Q49" s="1250"/>
      <c r="R49" s="1250"/>
      <c r="S49" s="1250"/>
      <c r="T49" s="1250"/>
      <c r="U49" s="1250"/>
    </row>
    <row r="50" spans="1:21" s="1191" customFormat="1" ht="30" customHeight="1" thickBot="1" x14ac:dyDescent="0.3">
      <c r="A50" s="657"/>
      <c r="B50" s="1250"/>
      <c r="C50" s="1250"/>
      <c r="D50" s="1250"/>
      <c r="E50" s="1250"/>
      <c r="F50" s="1250"/>
      <c r="G50" s="1250"/>
      <c r="H50" s="1272" t="s">
        <v>1504</v>
      </c>
      <c r="I50" s="1250"/>
      <c r="J50" s="1271" t="s">
        <v>1505</v>
      </c>
      <c r="K50" s="1250"/>
      <c r="L50" s="1271" t="s">
        <v>1506</v>
      </c>
      <c r="M50" s="1250"/>
      <c r="N50" s="1271" t="s">
        <v>1623</v>
      </c>
      <c r="O50" s="1250"/>
      <c r="P50" s="1271" t="s">
        <v>1624</v>
      </c>
      <c r="Q50" s="1250"/>
      <c r="R50" s="1271" t="s">
        <v>1625</v>
      </c>
      <c r="S50" s="1250"/>
      <c r="T50" s="1250"/>
      <c r="U50" s="1250"/>
    </row>
    <row r="51" spans="1:21" s="1191" customFormat="1" ht="18" customHeight="1" thickBot="1" x14ac:dyDescent="0.3">
      <c r="A51" s="657"/>
      <c r="B51" s="1250"/>
      <c r="C51" s="1268" t="s">
        <v>1502</v>
      </c>
      <c r="D51" s="1489"/>
      <c r="E51" s="1490"/>
      <c r="F51" s="1250"/>
      <c r="G51" s="1250" t="s">
        <v>1048</v>
      </c>
      <c r="H51" s="1258"/>
      <c r="I51" s="1250"/>
      <c r="J51" s="1258">
        <v>999999999.99000001</v>
      </c>
      <c r="K51" s="1250"/>
      <c r="L51" s="1258"/>
      <c r="M51" s="1250"/>
      <c r="N51" s="1215" t="s">
        <v>482</v>
      </c>
      <c r="O51" s="1250"/>
      <c r="P51" s="1215" t="s">
        <v>1626</v>
      </c>
      <c r="Q51" s="1250"/>
      <c r="R51" s="1215" t="s">
        <v>1627</v>
      </c>
      <c r="S51" s="1250"/>
      <c r="T51" s="1250"/>
      <c r="U51" s="1250"/>
    </row>
    <row r="52" spans="1:21" s="1191" customFormat="1" ht="18" customHeight="1" thickBot="1" x14ac:dyDescent="0.3">
      <c r="A52" s="657"/>
      <c r="B52" s="1250"/>
      <c r="C52" s="1250"/>
      <c r="D52" s="1250"/>
      <c r="E52" s="1250"/>
      <c r="F52" s="1250"/>
      <c r="G52" s="1250"/>
      <c r="H52" s="1250"/>
      <c r="I52" s="1250"/>
      <c r="J52" s="1250"/>
      <c r="K52" s="1250"/>
      <c r="L52" s="1250"/>
      <c r="M52" s="1250"/>
      <c r="N52" s="1250"/>
      <c r="O52" s="1250"/>
      <c r="P52" s="1250"/>
      <c r="Q52" s="1250"/>
      <c r="R52" s="1250"/>
      <c r="S52" s="1250"/>
      <c r="T52" s="1250"/>
      <c r="U52" s="1250"/>
    </row>
    <row r="53" spans="1:21" s="1191" customFormat="1" ht="30" customHeight="1" thickBot="1" x14ac:dyDescent="0.3">
      <c r="A53" s="657"/>
      <c r="B53" s="1250"/>
      <c r="C53" s="1268" t="s">
        <v>1503</v>
      </c>
      <c r="D53" s="1489"/>
      <c r="E53" s="1490"/>
      <c r="F53" s="1250"/>
      <c r="G53" s="1250"/>
      <c r="H53" s="1270" t="s">
        <v>1614</v>
      </c>
      <c r="I53" s="1250"/>
      <c r="J53" s="1271" t="s">
        <v>1628</v>
      </c>
      <c r="K53" s="1250"/>
      <c r="L53" s="1271" t="s">
        <v>1615</v>
      </c>
      <c r="M53" s="1250"/>
      <c r="N53" s="1271" t="s">
        <v>1629</v>
      </c>
      <c r="O53" s="1250"/>
      <c r="P53" s="1271" t="s">
        <v>1630</v>
      </c>
      <c r="Q53" s="1250"/>
      <c r="R53" s="1271" t="s">
        <v>1631</v>
      </c>
      <c r="S53" s="1250"/>
      <c r="T53" s="1250"/>
      <c r="U53" s="1250"/>
    </row>
    <row r="54" spans="1:21" s="1191" customFormat="1" ht="18" customHeight="1" thickBot="1" x14ac:dyDescent="0.3">
      <c r="A54" s="657"/>
      <c r="B54" s="1250"/>
      <c r="C54" s="1250"/>
      <c r="D54" s="1250"/>
      <c r="E54" s="1250"/>
      <c r="F54" s="1250"/>
      <c r="G54" s="1250"/>
      <c r="H54" s="1251" t="s">
        <v>651</v>
      </c>
      <c r="I54" s="1250"/>
      <c r="J54" s="1194" t="s">
        <v>1616</v>
      </c>
      <c r="K54" s="1250"/>
      <c r="L54" s="1215" t="s">
        <v>1616</v>
      </c>
      <c r="M54" s="1250"/>
      <c r="N54" s="1215" t="s">
        <v>651</v>
      </c>
      <c r="O54" s="1250"/>
      <c r="P54" s="1251" t="s">
        <v>651</v>
      </c>
      <c r="Q54" s="1250"/>
      <c r="R54" s="1215" t="s">
        <v>1632</v>
      </c>
      <c r="S54" s="1250"/>
      <c r="T54" s="1250"/>
      <c r="U54" s="1250"/>
    </row>
    <row r="55" spans="1:21" s="1191" customFormat="1" ht="30" customHeight="1" thickBot="1" x14ac:dyDescent="0.3">
      <c r="A55" s="657"/>
      <c r="B55" s="1250"/>
      <c r="C55" s="1274" t="s">
        <v>1617</v>
      </c>
      <c r="D55" s="1468" t="s">
        <v>651</v>
      </c>
      <c r="E55" s="1469"/>
      <c r="F55" s="1250"/>
      <c r="G55" s="1250"/>
      <c r="H55" s="1250"/>
      <c r="I55" s="1250"/>
      <c r="J55" s="1250"/>
      <c r="K55" s="1250"/>
      <c r="L55" s="1250"/>
      <c r="M55" s="1250"/>
      <c r="N55" s="1250"/>
      <c r="O55" s="1250"/>
      <c r="P55" s="1250"/>
      <c r="Q55" s="1250"/>
      <c r="R55" s="1250"/>
      <c r="S55" s="1250"/>
      <c r="T55" s="1250"/>
      <c r="U55" s="1250"/>
    </row>
    <row r="56" spans="1:21" s="1191" customFormat="1" ht="18" customHeight="1" thickBot="1" x14ac:dyDescent="0.3">
      <c r="A56" s="657"/>
      <c r="B56" s="1250"/>
      <c r="C56" s="1250"/>
      <c r="D56" s="1250"/>
      <c r="E56" s="1250"/>
      <c r="F56" s="1250"/>
      <c r="G56" s="1250"/>
      <c r="H56" s="1250"/>
      <c r="I56" s="1250"/>
      <c r="J56" s="1250"/>
      <c r="K56" s="1250"/>
      <c r="L56" s="1250"/>
      <c r="M56" s="1250"/>
      <c r="N56" s="1250"/>
      <c r="O56" s="1250"/>
      <c r="P56" s="1250"/>
      <c r="Q56" s="1250"/>
      <c r="R56" s="1250"/>
      <c r="S56" s="1250"/>
      <c r="T56" s="1250"/>
      <c r="U56" s="1250"/>
    </row>
    <row r="57" spans="1:21" s="1191" customFormat="1" ht="18" customHeight="1" thickBot="1" x14ac:dyDescent="0.3">
      <c r="A57" s="657"/>
      <c r="B57" s="1250"/>
      <c r="C57" s="1268" t="s">
        <v>1618</v>
      </c>
      <c r="D57" s="1483" t="s">
        <v>1619</v>
      </c>
      <c r="E57" s="1484"/>
      <c r="F57" s="1250"/>
      <c r="G57" s="1250"/>
      <c r="H57" s="1250"/>
      <c r="I57" s="1250"/>
      <c r="J57" s="1250"/>
      <c r="K57" s="1250"/>
      <c r="L57" s="1250"/>
      <c r="M57" s="1250"/>
      <c r="N57" s="1250"/>
      <c r="O57" s="1250"/>
      <c r="P57" s="1250"/>
      <c r="Q57" s="1250"/>
      <c r="R57" s="1250"/>
      <c r="S57" s="1250"/>
      <c r="T57" s="1250"/>
      <c r="U57" s="1250"/>
    </row>
    <row r="58" spans="1:21" s="1191" customFormat="1" ht="20.25" customHeight="1" thickBot="1" x14ac:dyDescent="0.3">
      <c r="A58" s="657"/>
      <c r="B58" s="1250"/>
      <c r="C58" s="1250"/>
      <c r="D58" s="1250"/>
      <c r="E58" s="1250"/>
      <c r="F58" s="1250"/>
      <c r="G58" s="1250"/>
      <c r="H58" s="1250"/>
      <c r="I58" s="1250"/>
      <c r="J58" s="1250"/>
      <c r="K58" s="1250"/>
      <c r="L58" s="1250"/>
      <c r="M58" s="1250"/>
      <c r="N58" s="1250"/>
      <c r="O58" s="1250"/>
      <c r="P58" s="1250"/>
      <c r="Q58" s="1250"/>
      <c r="R58" s="1250"/>
      <c r="S58" s="1250"/>
      <c r="T58" s="1250"/>
      <c r="U58" s="1250"/>
    </row>
    <row r="59" spans="1:21" s="1191" customFormat="1" ht="15.75" customHeight="1" thickBot="1" x14ac:dyDescent="0.3">
      <c r="A59" s="657"/>
      <c r="B59" s="1487" t="s">
        <v>1634</v>
      </c>
      <c r="C59" s="1491"/>
      <c r="D59" s="1491"/>
      <c r="E59" s="1491"/>
      <c r="F59" s="1491"/>
      <c r="G59" s="1491"/>
      <c r="H59" s="1491"/>
      <c r="I59" s="1491"/>
      <c r="J59" s="1491"/>
      <c r="K59" s="1491"/>
      <c r="L59" s="1491"/>
      <c r="M59" s="1491"/>
      <c r="N59" s="1491"/>
      <c r="O59" s="1491"/>
      <c r="P59" s="1491"/>
      <c r="Q59" s="1491"/>
      <c r="R59" s="1491"/>
      <c r="S59" s="1491"/>
      <c r="T59" s="1491"/>
      <c r="U59" s="1492"/>
    </row>
    <row r="60" spans="1:21" s="1191" customFormat="1" ht="20.25" customHeight="1" thickBot="1" x14ac:dyDescent="0.3">
      <c r="A60" s="657"/>
      <c r="B60" s="1250"/>
      <c r="C60" s="1250"/>
      <c r="D60" s="1250"/>
      <c r="E60" s="1250"/>
      <c r="F60" s="1250"/>
      <c r="G60" s="1250"/>
      <c r="H60" s="1250"/>
      <c r="I60" s="1250"/>
      <c r="J60" s="1250"/>
      <c r="K60" s="1250"/>
      <c r="L60" s="1250"/>
      <c r="M60" s="1250"/>
      <c r="N60" s="1250"/>
      <c r="O60" s="1250"/>
      <c r="P60" s="1250"/>
      <c r="Q60" s="1250"/>
      <c r="R60" s="1250"/>
      <c r="S60" s="1250"/>
      <c r="T60" s="1250"/>
      <c r="U60" s="1250"/>
    </row>
    <row r="61" spans="1:21" s="1191" customFormat="1" ht="30" customHeight="1" thickBot="1" x14ac:dyDescent="0.3">
      <c r="A61" s="496"/>
      <c r="B61" s="1250"/>
      <c r="C61" s="1268" t="s">
        <v>1500</v>
      </c>
      <c r="D61" s="1481" t="s">
        <v>1635</v>
      </c>
      <c r="E61" s="1482"/>
      <c r="F61" s="1250"/>
      <c r="G61" s="1250"/>
      <c r="H61" s="1271" t="s">
        <v>1497</v>
      </c>
      <c r="I61" s="1259"/>
      <c r="J61" s="1271" t="s">
        <v>1498</v>
      </c>
      <c r="K61" s="1259"/>
      <c r="L61" s="1271" t="s">
        <v>1514</v>
      </c>
      <c r="M61" s="1259"/>
      <c r="N61" s="1271" t="s">
        <v>1499</v>
      </c>
      <c r="O61" s="1259"/>
      <c r="P61" s="1271" t="s">
        <v>1608</v>
      </c>
      <c r="Q61" s="1259"/>
      <c r="R61" s="1271" t="s">
        <v>1609</v>
      </c>
      <c r="S61" s="1259"/>
      <c r="T61" s="1271" t="s">
        <v>1610</v>
      </c>
      <c r="U61" s="1250"/>
    </row>
    <row r="62" spans="1:21" s="1191" customFormat="1" ht="18" customHeight="1" thickBot="1" x14ac:dyDescent="0.3">
      <c r="A62" s="657"/>
      <c r="B62" s="1250"/>
      <c r="C62" s="1259"/>
      <c r="D62" s="1250"/>
      <c r="E62" s="1250"/>
      <c r="F62" s="1250"/>
      <c r="G62" s="1250"/>
      <c r="H62" s="1193"/>
      <c r="I62" s="1250"/>
      <c r="J62" s="1256"/>
      <c r="K62" s="1250"/>
      <c r="L62" s="1256"/>
      <c r="M62" s="1250"/>
      <c r="N62" s="1256"/>
      <c r="O62" s="1250"/>
      <c r="P62" s="1194" t="s">
        <v>1611</v>
      </c>
      <c r="Q62" s="1250"/>
      <c r="R62" s="1194" t="s">
        <v>1612</v>
      </c>
      <c r="S62" s="1250"/>
      <c r="T62" s="1194" t="s">
        <v>653</v>
      </c>
      <c r="U62" s="1250"/>
    </row>
    <row r="63" spans="1:21" s="1191" customFormat="1" ht="30" customHeight="1" thickBot="1" x14ac:dyDescent="0.3">
      <c r="A63" s="657"/>
      <c r="B63" s="1250"/>
      <c r="C63" s="1268" t="s">
        <v>1613</v>
      </c>
      <c r="D63" s="1483">
        <v>1501</v>
      </c>
      <c r="E63" s="1484"/>
      <c r="F63" s="1250"/>
      <c r="G63" s="1250"/>
      <c r="H63" s="1250"/>
      <c r="I63" s="1250"/>
      <c r="J63" s="1250"/>
      <c r="K63" s="1250"/>
      <c r="L63" s="1250"/>
      <c r="M63" s="1250"/>
      <c r="N63" s="1250"/>
      <c r="O63" s="1250"/>
      <c r="P63" s="1250"/>
      <c r="Q63" s="1250"/>
      <c r="R63" s="1250"/>
      <c r="S63" s="1250"/>
      <c r="T63" s="1250"/>
      <c r="U63" s="1250"/>
    </row>
    <row r="64" spans="1:21" s="1191" customFormat="1" ht="30" customHeight="1" thickBot="1" x14ac:dyDescent="0.3">
      <c r="A64" s="657"/>
      <c r="B64" s="1250"/>
      <c r="C64" s="1259"/>
      <c r="D64" s="1250"/>
      <c r="E64" s="1250"/>
      <c r="F64" s="1250"/>
      <c r="G64" s="1250"/>
      <c r="H64" s="1272" t="s">
        <v>1504</v>
      </c>
      <c r="I64" s="1259"/>
      <c r="J64" s="1271" t="s">
        <v>1505</v>
      </c>
      <c r="K64" s="1259"/>
      <c r="L64" s="1271" t="s">
        <v>1506</v>
      </c>
      <c r="M64" s="1259"/>
      <c r="N64" s="1271" t="s">
        <v>1623</v>
      </c>
      <c r="O64" s="1259"/>
      <c r="P64" s="1271" t="s">
        <v>1624</v>
      </c>
      <c r="Q64" s="1259"/>
      <c r="R64" s="1271" t="s">
        <v>1625</v>
      </c>
      <c r="S64" s="1250"/>
      <c r="T64" s="1250"/>
      <c r="U64" s="1250"/>
    </row>
    <row r="65" spans="1:21" s="1191" customFormat="1" ht="18" customHeight="1" thickBot="1" x14ac:dyDescent="0.3">
      <c r="A65" s="657"/>
      <c r="B65" s="1250"/>
      <c r="C65" s="1268" t="s">
        <v>1502</v>
      </c>
      <c r="D65" s="1489"/>
      <c r="E65" s="1490"/>
      <c r="F65" s="1250"/>
      <c r="G65" s="1250" t="s">
        <v>1048</v>
      </c>
      <c r="H65" s="1227"/>
      <c r="I65" s="1253"/>
      <c r="J65" s="1260"/>
      <c r="K65" s="1250"/>
      <c r="L65" s="1260"/>
      <c r="M65" s="1250"/>
      <c r="N65" s="1215" t="s">
        <v>482</v>
      </c>
      <c r="O65" s="1250"/>
      <c r="P65" s="1215" t="s">
        <v>1626</v>
      </c>
      <c r="Q65" s="1250"/>
      <c r="R65" s="1215" t="s">
        <v>1627</v>
      </c>
      <c r="S65" s="1250"/>
      <c r="T65" s="1250"/>
      <c r="U65" s="1250"/>
    </row>
    <row r="66" spans="1:21" s="1191" customFormat="1" ht="18" customHeight="1" thickBot="1" x14ac:dyDescent="0.3">
      <c r="A66" s="657"/>
      <c r="B66" s="1250"/>
      <c r="C66" s="1259"/>
      <c r="D66" s="1250"/>
      <c r="E66" s="1250"/>
      <c r="F66" s="1250"/>
      <c r="G66" s="1250" t="s">
        <v>1507</v>
      </c>
      <c r="H66" s="1227"/>
      <c r="I66" s="1253"/>
      <c r="J66" s="1260"/>
      <c r="K66" s="1250"/>
      <c r="L66" s="1260"/>
      <c r="M66" s="1250"/>
      <c r="N66" s="1215" t="s">
        <v>482</v>
      </c>
      <c r="O66" s="1250"/>
      <c r="P66" s="1215" t="s">
        <v>1626</v>
      </c>
      <c r="Q66" s="1250"/>
      <c r="R66" s="1250"/>
      <c r="S66" s="1250"/>
      <c r="T66" s="1250"/>
      <c r="U66" s="1250"/>
    </row>
    <row r="67" spans="1:21" s="1191" customFormat="1" ht="18" customHeight="1" thickBot="1" x14ac:dyDescent="0.3">
      <c r="A67" s="657"/>
      <c r="B67" s="1250"/>
      <c r="C67" s="1268" t="s">
        <v>1503</v>
      </c>
      <c r="D67" s="1489"/>
      <c r="E67" s="1490"/>
      <c r="F67" s="1250"/>
      <c r="G67" s="1250" t="s">
        <v>1508</v>
      </c>
      <c r="H67" s="1227"/>
      <c r="I67" s="1253"/>
      <c r="J67" s="1261"/>
      <c r="K67" s="1250"/>
      <c r="L67" s="1260"/>
      <c r="M67" s="1250"/>
      <c r="N67" s="1215" t="s">
        <v>482</v>
      </c>
      <c r="O67" s="1250"/>
      <c r="P67" s="1215" t="s">
        <v>1626</v>
      </c>
      <c r="Q67" s="1250"/>
      <c r="R67" s="1250"/>
      <c r="S67" s="1250"/>
      <c r="T67" s="1250"/>
      <c r="U67" s="1250"/>
    </row>
    <row r="68" spans="1:21" s="1191" customFormat="1" ht="18" customHeight="1" x14ac:dyDescent="0.25">
      <c r="A68" s="657"/>
      <c r="B68" s="1250"/>
      <c r="C68" s="1259"/>
      <c r="D68" s="1250"/>
      <c r="E68" s="1250"/>
      <c r="F68" s="1250"/>
      <c r="G68" s="1250" t="s">
        <v>1510</v>
      </c>
      <c r="H68" s="1227"/>
      <c r="I68" s="1253"/>
      <c r="J68" s="1261"/>
      <c r="K68" s="1250"/>
      <c r="L68" s="1258"/>
      <c r="M68" s="1250"/>
      <c r="N68" s="1215" t="s">
        <v>482</v>
      </c>
      <c r="O68" s="1250"/>
      <c r="P68" s="1215" t="s">
        <v>1626</v>
      </c>
      <c r="Q68" s="1250"/>
      <c r="R68" s="1250"/>
      <c r="S68" s="1250"/>
      <c r="T68" s="1250"/>
      <c r="U68" s="1250"/>
    </row>
    <row r="69" spans="1:21" s="1191" customFormat="1" ht="18" customHeight="1" x14ac:dyDescent="0.25">
      <c r="A69" s="657"/>
      <c r="B69" s="1250"/>
      <c r="C69" s="1259"/>
      <c r="D69" s="1250"/>
      <c r="E69" s="1250"/>
      <c r="F69" s="1250"/>
      <c r="G69" s="1250" t="s">
        <v>1512</v>
      </c>
      <c r="H69" s="1227"/>
      <c r="I69" s="1253"/>
      <c r="J69" s="1261"/>
      <c r="K69" s="1250"/>
      <c r="L69" s="1258"/>
      <c r="M69" s="1250"/>
      <c r="N69" s="1215" t="s">
        <v>482</v>
      </c>
      <c r="O69" s="1250"/>
      <c r="P69" s="1215" t="s">
        <v>1626</v>
      </c>
      <c r="Q69" s="1250"/>
      <c r="R69" s="1250"/>
      <c r="S69" s="1250"/>
      <c r="T69" s="1250"/>
      <c r="U69" s="1250"/>
    </row>
    <row r="70" spans="1:21" s="1191" customFormat="1" ht="18" customHeight="1" thickBot="1" x14ac:dyDescent="0.3">
      <c r="A70" s="657"/>
      <c r="B70" s="1250"/>
      <c r="C70" s="1259"/>
      <c r="D70" s="1250"/>
      <c r="E70" s="1250"/>
      <c r="F70" s="1250"/>
      <c r="G70" s="1250"/>
      <c r="H70" s="1250"/>
      <c r="I70" s="1250"/>
      <c r="J70" s="1250"/>
      <c r="K70" s="1250"/>
      <c r="L70" s="1250"/>
      <c r="M70" s="1250"/>
      <c r="N70" s="1250"/>
      <c r="O70" s="1250"/>
      <c r="P70" s="1250"/>
      <c r="Q70" s="1250"/>
      <c r="R70" s="1250"/>
      <c r="S70" s="1250"/>
      <c r="T70" s="1250"/>
      <c r="U70" s="1250"/>
    </row>
    <row r="71" spans="1:21" s="1191" customFormat="1" ht="30" customHeight="1" thickBot="1" x14ac:dyDescent="0.3">
      <c r="A71" s="657"/>
      <c r="B71" s="1250"/>
      <c r="C71" s="1269" t="s">
        <v>1617</v>
      </c>
      <c r="D71" s="1468" t="s">
        <v>651</v>
      </c>
      <c r="E71" s="1469"/>
      <c r="F71" s="1250"/>
      <c r="G71" s="1250"/>
      <c r="H71" s="1270" t="s">
        <v>1614</v>
      </c>
      <c r="I71" s="1259"/>
      <c r="J71" s="1271" t="s">
        <v>1628</v>
      </c>
      <c r="K71" s="1259"/>
      <c r="L71" s="1271" t="s">
        <v>1615</v>
      </c>
      <c r="M71" s="1259"/>
      <c r="N71" s="1271" t="s">
        <v>1629</v>
      </c>
      <c r="O71" s="1259"/>
      <c r="P71" s="1271" t="s">
        <v>1630</v>
      </c>
      <c r="Q71" s="1259"/>
      <c r="R71" s="1271" t="s">
        <v>1631</v>
      </c>
      <c r="S71" s="1250"/>
      <c r="T71" s="1250"/>
      <c r="U71" s="1250"/>
    </row>
    <row r="72" spans="1:21" s="1191" customFormat="1" ht="18" customHeight="1" thickBot="1" x14ac:dyDescent="0.3">
      <c r="A72" s="657"/>
      <c r="B72" s="1250"/>
      <c r="C72" s="1259"/>
      <c r="D72" s="1250"/>
      <c r="E72" s="1250"/>
      <c r="F72" s="1250"/>
      <c r="G72" s="1250"/>
      <c r="H72" s="1251" t="s">
        <v>651</v>
      </c>
      <c r="I72" s="1250"/>
      <c r="J72" s="1194" t="s">
        <v>1616</v>
      </c>
      <c r="K72" s="1250"/>
      <c r="L72" s="1215" t="s">
        <v>1616</v>
      </c>
      <c r="M72" s="1250"/>
      <c r="N72" s="1215" t="s">
        <v>651</v>
      </c>
      <c r="O72" s="1250"/>
      <c r="P72" s="1194" t="s">
        <v>651</v>
      </c>
      <c r="Q72" s="1250"/>
      <c r="R72" s="1215" t="s">
        <v>1632</v>
      </c>
      <c r="S72" s="1250"/>
      <c r="T72" s="1250"/>
      <c r="U72" s="1250"/>
    </row>
    <row r="73" spans="1:21" s="1191" customFormat="1" ht="18" customHeight="1" thickBot="1" x14ac:dyDescent="0.3">
      <c r="A73" s="657"/>
      <c r="B73" s="1250"/>
      <c r="C73" s="1268" t="s">
        <v>1618</v>
      </c>
      <c r="D73" s="1483" t="s">
        <v>1619</v>
      </c>
      <c r="E73" s="1484"/>
      <c r="F73" s="1250"/>
      <c r="G73" s="1250"/>
      <c r="H73" s="1250"/>
      <c r="I73" s="1250"/>
      <c r="J73" s="1250"/>
      <c r="K73" s="1250"/>
      <c r="L73" s="1250"/>
      <c r="M73" s="1250"/>
      <c r="N73" s="1250"/>
      <c r="O73" s="1250"/>
      <c r="P73" s="1250"/>
      <c r="Q73" s="1250"/>
      <c r="R73" s="1250"/>
      <c r="S73" s="1250"/>
      <c r="T73" s="1250"/>
      <c r="U73" s="1250"/>
    </row>
    <row r="74" spans="1:21" s="1191" customFormat="1" ht="20.25" customHeight="1" thickBot="1" x14ac:dyDescent="0.3">
      <c r="A74" s="657"/>
      <c r="B74" s="1250"/>
      <c r="C74" s="1250"/>
      <c r="D74" s="1250"/>
      <c r="E74" s="1250"/>
      <c r="F74" s="1250"/>
      <c r="G74" s="1250"/>
      <c r="H74" s="1250"/>
      <c r="I74" s="1250"/>
      <c r="J74" s="1250"/>
      <c r="K74" s="1250"/>
      <c r="L74" s="1250"/>
      <c r="M74" s="1250"/>
      <c r="N74" s="1250"/>
      <c r="O74" s="1250"/>
      <c r="P74" s="1250"/>
      <c r="Q74" s="1250"/>
      <c r="R74" s="1250"/>
      <c r="S74" s="1250"/>
      <c r="T74" s="1250"/>
      <c r="U74" s="1250"/>
    </row>
    <row r="75" spans="1:21" s="1191" customFormat="1" ht="15.75" customHeight="1" thickBot="1" x14ac:dyDescent="0.3">
      <c r="A75" s="657"/>
      <c r="B75" s="1487" t="s">
        <v>1636</v>
      </c>
      <c r="C75" s="1491"/>
      <c r="D75" s="1491"/>
      <c r="E75" s="1491"/>
      <c r="F75" s="1491"/>
      <c r="G75" s="1491"/>
      <c r="H75" s="1491"/>
      <c r="I75" s="1491"/>
      <c r="J75" s="1491"/>
      <c r="K75" s="1491"/>
      <c r="L75" s="1491"/>
      <c r="M75" s="1491"/>
      <c r="N75" s="1491"/>
      <c r="O75" s="1491"/>
      <c r="P75" s="1491"/>
      <c r="Q75" s="1491"/>
      <c r="R75" s="1491"/>
      <c r="S75" s="1491"/>
      <c r="T75" s="1491"/>
      <c r="U75" s="1492"/>
    </row>
    <row r="76" spans="1:21" s="1191" customFormat="1" ht="20.25" customHeight="1" thickBot="1" x14ac:dyDescent="0.3">
      <c r="A76" s="657"/>
      <c r="B76" s="1250"/>
      <c r="C76" s="1250"/>
      <c r="D76" s="1250"/>
      <c r="E76" s="1250"/>
      <c r="F76" s="1250"/>
      <c r="G76" s="1250"/>
      <c r="H76" s="1250"/>
      <c r="I76" s="1250"/>
      <c r="J76" s="1250"/>
      <c r="K76" s="1250"/>
      <c r="L76" s="1250"/>
      <c r="M76" s="1250"/>
      <c r="N76" s="1250"/>
      <c r="O76" s="1250"/>
      <c r="P76" s="1250"/>
      <c r="Q76" s="1250"/>
      <c r="R76" s="1250"/>
      <c r="S76" s="1250"/>
      <c r="T76" s="1250"/>
      <c r="U76" s="1250"/>
    </row>
    <row r="77" spans="1:21" s="1191" customFormat="1" ht="30" customHeight="1" thickBot="1" x14ac:dyDescent="0.3">
      <c r="A77" s="496"/>
      <c r="B77" s="1250"/>
      <c r="C77" s="1268" t="s">
        <v>1500</v>
      </c>
      <c r="D77" s="1481" t="s">
        <v>1635</v>
      </c>
      <c r="E77" s="1482"/>
      <c r="F77" s="1250"/>
      <c r="G77" s="1250"/>
      <c r="H77" s="1271" t="s">
        <v>1497</v>
      </c>
      <c r="I77" s="1259"/>
      <c r="J77" s="1271" t="s">
        <v>1498</v>
      </c>
      <c r="K77" s="1259"/>
      <c r="L77" s="1271" t="s">
        <v>1514</v>
      </c>
      <c r="M77" s="1259"/>
      <c r="N77" s="1271" t="s">
        <v>1499</v>
      </c>
      <c r="O77" s="1259"/>
      <c r="P77" s="1271" t="s">
        <v>1608</v>
      </c>
      <c r="Q77" s="1259"/>
      <c r="R77" s="1271" t="s">
        <v>1609</v>
      </c>
      <c r="S77" s="1259"/>
      <c r="T77" s="1271" t="s">
        <v>1610</v>
      </c>
      <c r="U77" s="1250"/>
    </row>
    <row r="78" spans="1:21" s="1191" customFormat="1" ht="18" customHeight="1" thickBot="1" x14ac:dyDescent="0.3">
      <c r="A78" s="657"/>
      <c r="B78" s="1250"/>
      <c r="C78" s="1259"/>
      <c r="D78" s="1250"/>
      <c r="E78" s="1250"/>
      <c r="F78" s="1250"/>
      <c r="G78" s="1250"/>
      <c r="H78" s="1193"/>
      <c r="I78" s="1250"/>
      <c r="J78" s="1256"/>
      <c r="K78" s="1250"/>
      <c r="L78" s="1256"/>
      <c r="M78" s="1250"/>
      <c r="N78" s="1226"/>
      <c r="O78" s="1250"/>
      <c r="P78" s="1194" t="s">
        <v>1611</v>
      </c>
      <c r="Q78" s="1250"/>
      <c r="R78" s="1194" t="s">
        <v>1612</v>
      </c>
      <c r="S78" s="1250"/>
      <c r="T78" s="1194" t="s">
        <v>653</v>
      </c>
      <c r="U78" s="1250"/>
    </row>
    <row r="79" spans="1:21" s="1191" customFormat="1" ht="30" customHeight="1" thickBot="1" x14ac:dyDescent="0.3">
      <c r="A79" s="657"/>
      <c r="B79" s="1250"/>
      <c r="C79" s="1268" t="s">
        <v>1613</v>
      </c>
      <c r="D79" s="1483">
        <v>1502</v>
      </c>
      <c r="E79" s="1484"/>
      <c r="F79" s="1250"/>
      <c r="G79" s="1250"/>
      <c r="H79" s="1250"/>
      <c r="I79" s="1250"/>
      <c r="J79" s="1250"/>
      <c r="K79" s="1250"/>
      <c r="L79" s="1250"/>
      <c r="M79" s="1250"/>
      <c r="N79" s="1250"/>
      <c r="O79" s="1250"/>
      <c r="P79" s="1250"/>
      <c r="Q79" s="1250"/>
      <c r="R79" s="1250"/>
      <c r="S79" s="1250"/>
      <c r="T79" s="1250"/>
      <c r="U79" s="1250"/>
    </row>
    <row r="80" spans="1:21" s="1191" customFormat="1" ht="30" customHeight="1" thickBot="1" x14ac:dyDescent="0.3">
      <c r="A80" s="657"/>
      <c r="B80" s="1250"/>
      <c r="C80" s="1259"/>
      <c r="D80" s="1250"/>
      <c r="E80" s="1250"/>
      <c r="F80" s="1250"/>
      <c r="G80" s="1250"/>
      <c r="H80" s="1272" t="s">
        <v>1504</v>
      </c>
      <c r="I80" s="1259"/>
      <c r="J80" s="1271" t="s">
        <v>1505</v>
      </c>
      <c r="K80" s="1259"/>
      <c r="L80" s="1271" t="s">
        <v>1506</v>
      </c>
      <c r="M80" s="1259"/>
      <c r="N80" s="1271" t="s">
        <v>1623</v>
      </c>
      <c r="O80" s="1259"/>
      <c r="P80" s="1271" t="s">
        <v>1624</v>
      </c>
      <c r="Q80" s="1259"/>
      <c r="R80" s="1271" t="s">
        <v>1625</v>
      </c>
      <c r="S80" s="1250"/>
      <c r="T80" s="1250"/>
      <c r="U80" s="1250"/>
    </row>
    <row r="81" spans="1:21" s="1191" customFormat="1" ht="17.25" customHeight="1" thickBot="1" x14ac:dyDescent="0.3">
      <c r="A81" s="657"/>
      <c r="B81" s="1250"/>
      <c r="C81" s="1268" t="s">
        <v>1502</v>
      </c>
      <c r="D81" s="1489"/>
      <c r="E81" s="1490"/>
      <c r="F81" s="1250"/>
      <c r="G81" s="1250" t="s">
        <v>1048</v>
      </c>
      <c r="H81" s="1227"/>
      <c r="I81" s="1253"/>
      <c r="J81" s="1260"/>
      <c r="K81" s="1250"/>
      <c r="L81" s="1260"/>
      <c r="M81" s="1250"/>
      <c r="N81" s="1215" t="s">
        <v>482</v>
      </c>
      <c r="O81" s="1250"/>
      <c r="P81" s="1215" t="s">
        <v>1626</v>
      </c>
      <c r="Q81" s="1250"/>
      <c r="R81" s="1215" t="s">
        <v>1627</v>
      </c>
      <c r="S81" s="1250"/>
      <c r="T81" s="1250"/>
      <c r="U81" s="1250"/>
    </row>
    <row r="82" spans="1:21" s="1191" customFormat="1" ht="18" customHeight="1" thickBot="1" x14ac:dyDescent="0.3">
      <c r="A82" s="657"/>
      <c r="B82" s="1250"/>
      <c r="C82" s="1259"/>
      <c r="D82" s="1250"/>
      <c r="E82" s="1250"/>
      <c r="F82" s="1250"/>
      <c r="G82" s="1250" t="s">
        <v>1507</v>
      </c>
      <c r="H82" s="1227"/>
      <c r="I82" s="1253"/>
      <c r="J82" s="1260"/>
      <c r="K82" s="1250"/>
      <c r="L82" s="1260"/>
      <c r="M82" s="1250"/>
      <c r="N82" s="1215" t="s">
        <v>482</v>
      </c>
      <c r="O82" s="1250"/>
      <c r="P82" s="1215" t="s">
        <v>1626</v>
      </c>
      <c r="Q82" s="1250"/>
      <c r="R82" s="1250"/>
      <c r="S82" s="1250"/>
      <c r="T82" s="1250"/>
      <c r="U82" s="1250"/>
    </row>
    <row r="83" spans="1:21" s="1191" customFormat="1" ht="18" customHeight="1" thickBot="1" x14ac:dyDescent="0.3">
      <c r="A83" s="657"/>
      <c r="B83" s="1250"/>
      <c r="C83" s="1268" t="s">
        <v>1503</v>
      </c>
      <c r="D83" s="1489"/>
      <c r="E83" s="1490"/>
      <c r="F83" s="1250"/>
      <c r="G83" s="1250" t="s">
        <v>1508</v>
      </c>
      <c r="H83" s="1227"/>
      <c r="I83" s="1253"/>
      <c r="J83" s="1261"/>
      <c r="K83" s="1250"/>
      <c r="L83" s="1258"/>
      <c r="M83" s="1250"/>
      <c r="N83" s="1215" t="s">
        <v>482</v>
      </c>
      <c r="O83" s="1250"/>
      <c r="P83" s="1215" t="s">
        <v>1626</v>
      </c>
      <c r="Q83" s="1250"/>
      <c r="R83" s="1250"/>
      <c r="S83" s="1250"/>
      <c r="T83" s="1250"/>
      <c r="U83" s="1250"/>
    </row>
    <row r="84" spans="1:21" s="1191" customFormat="1" ht="18" customHeight="1" x14ac:dyDescent="0.25">
      <c r="A84" s="657"/>
      <c r="B84" s="1250"/>
      <c r="C84" s="1259"/>
      <c r="D84" s="1250"/>
      <c r="E84" s="1250"/>
      <c r="F84" s="1250"/>
      <c r="G84" s="1250" t="s">
        <v>1510</v>
      </c>
      <c r="H84" s="1227"/>
      <c r="I84" s="1253"/>
      <c r="J84" s="1261"/>
      <c r="K84" s="1250"/>
      <c r="L84" s="1258"/>
      <c r="M84" s="1250"/>
      <c r="N84" s="1215" t="s">
        <v>482</v>
      </c>
      <c r="O84" s="1250"/>
      <c r="P84" s="1215" t="s">
        <v>1626</v>
      </c>
      <c r="Q84" s="1250"/>
      <c r="R84" s="1250"/>
      <c r="S84" s="1250"/>
      <c r="T84" s="1250"/>
      <c r="U84" s="1250"/>
    </row>
    <row r="85" spans="1:21" s="1191" customFormat="1" ht="18" customHeight="1" x14ac:dyDescent="0.25">
      <c r="A85" s="657"/>
      <c r="B85" s="1250"/>
      <c r="C85" s="1259"/>
      <c r="D85" s="1250"/>
      <c r="E85" s="1250"/>
      <c r="F85" s="1250"/>
      <c r="G85" s="1250" t="s">
        <v>1512</v>
      </c>
      <c r="H85" s="1227"/>
      <c r="I85" s="1253"/>
      <c r="J85" s="1261"/>
      <c r="K85" s="1250"/>
      <c r="L85" s="1258"/>
      <c r="M85" s="1250"/>
      <c r="N85" s="1215" t="s">
        <v>482</v>
      </c>
      <c r="O85" s="1250"/>
      <c r="P85" s="1215" t="s">
        <v>1626</v>
      </c>
      <c r="Q85" s="1250"/>
      <c r="R85" s="1250"/>
      <c r="S85" s="1250"/>
      <c r="T85" s="1250"/>
      <c r="U85" s="1250"/>
    </row>
    <row r="86" spans="1:21" s="1191" customFormat="1" ht="18" customHeight="1" thickBot="1" x14ac:dyDescent="0.3">
      <c r="A86" s="657"/>
      <c r="B86" s="1250"/>
      <c r="C86" s="1259"/>
      <c r="D86" s="1250"/>
      <c r="E86" s="1250"/>
      <c r="F86" s="1250"/>
      <c r="G86" s="1250"/>
      <c r="H86" s="1250"/>
      <c r="I86" s="1250"/>
      <c r="J86" s="1250"/>
      <c r="K86" s="1250"/>
      <c r="L86" s="1250"/>
      <c r="M86" s="1250"/>
      <c r="N86" s="1250"/>
      <c r="O86" s="1250"/>
      <c r="P86" s="1250"/>
      <c r="Q86" s="1250"/>
      <c r="R86" s="1250"/>
      <c r="S86" s="1250"/>
      <c r="T86" s="1250"/>
      <c r="U86" s="1250"/>
    </row>
    <row r="87" spans="1:21" s="1191" customFormat="1" ht="30" customHeight="1" thickBot="1" x14ac:dyDescent="0.3">
      <c r="A87" s="657"/>
      <c r="B87" s="1250"/>
      <c r="C87" s="1269" t="s">
        <v>1617</v>
      </c>
      <c r="D87" s="1468" t="s">
        <v>651</v>
      </c>
      <c r="E87" s="1469"/>
      <c r="F87" s="1250"/>
      <c r="G87" s="1250"/>
      <c r="H87" s="1270" t="s">
        <v>1614</v>
      </c>
      <c r="I87" s="1259"/>
      <c r="J87" s="1271" t="s">
        <v>1628</v>
      </c>
      <c r="K87" s="1259"/>
      <c r="L87" s="1271" t="s">
        <v>1615</v>
      </c>
      <c r="M87" s="1259"/>
      <c r="N87" s="1271" t="s">
        <v>1629</v>
      </c>
      <c r="O87" s="1259"/>
      <c r="P87" s="1271" t="s">
        <v>1630</v>
      </c>
      <c r="Q87" s="1259"/>
      <c r="R87" s="1271" t="s">
        <v>1631</v>
      </c>
      <c r="S87" s="1250"/>
      <c r="T87" s="1250"/>
      <c r="U87" s="1250"/>
    </row>
    <row r="88" spans="1:21" s="1191" customFormat="1" ht="18" customHeight="1" thickBot="1" x14ac:dyDescent="0.3">
      <c r="A88" s="657"/>
      <c r="B88" s="1250"/>
      <c r="C88" s="1259"/>
      <c r="D88" s="1250"/>
      <c r="E88" s="1250"/>
      <c r="F88" s="1250"/>
      <c r="G88" s="1250"/>
      <c r="H88" s="1251" t="s">
        <v>651</v>
      </c>
      <c r="I88" s="1250"/>
      <c r="J88" s="1194" t="s">
        <v>1616</v>
      </c>
      <c r="K88" s="1250"/>
      <c r="L88" s="1215" t="s">
        <v>1616</v>
      </c>
      <c r="M88" s="1250"/>
      <c r="N88" s="1215" t="s">
        <v>651</v>
      </c>
      <c r="O88" s="1250"/>
      <c r="P88" s="1194" t="s">
        <v>651</v>
      </c>
      <c r="Q88" s="1250"/>
      <c r="R88" s="1215" t="s">
        <v>1632</v>
      </c>
      <c r="S88" s="1250"/>
      <c r="T88" s="1250"/>
      <c r="U88" s="1250"/>
    </row>
    <row r="89" spans="1:21" s="1191" customFormat="1" ht="18" customHeight="1" thickBot="1" x14ac:dyDescent="0.3">
      <c r="A89" s="657"/>
      <c r="B89" s="1250"/>
      <c r="C89" s="1268" t="s">
        <v>1618</v>
      </c>
      <c r="D89" s="1483" t="s">
        <v>1619</v>
      </c>
      <c r="E89" s="1484"/>
      <c r="F89" s="1250"/>
      <c r="G89" s="1250"/>
      <c r="H89" s="1250"/>
      <c r="I89" s="1250"/>
      <c r="J89" s="1250"/>
      <c r="K89" s="1250"/>
      <c r="L89" s="1250"/>
      <c r="M89" s="1250"/>
      <c r="N89" s="1250"/>
      <c r="O89" s="1250"/>
      <c r="P89" s="1250"/>
      <c r="Q89" s="1250"/>
      <c r="R89" s="1250"/>
      <c r="S89" s="1250"/>
      <c r="T89" s="1250"/>
      <c r="U89" s="1250"/>
    </row>
    <row r="90" spans="1:21" s="1191" customFormat="1" ht="20.25" customHeight="1" thickBot="1" x14ac:dyDescent="0.3">
      <c r="A90" s="657"/>
      <c r="B90" s="1250"/>
      <c r="C90" s="1250"/>
      <c r="D90" s="1250"/>
      <c r="E90" s="1250"/>
      <c r="F90" s="1250"/>
      <c r="G90" s="1250"/>
      <c r="H90" s="1250"/>
      <c r="I90" s="1250"/>
      <c r="J90" s="1250"/>
      <c r="K90" s="1250"/>
      <c r="L90" s="1250"/>
      <c r="M90" s="1250"/>
      <c r="N90" s="1250"/>
      <c r="O90" s="1250"/>
      <c r="P90" s="1250"/>
      <c r="Q90" s="1250"/>
      <c r="R90" s="1250"/>
      <c r="S90" s="1250"/>
      <c r="T90" s="1250"/>
      <c r="U90" s="1250"/>
    </row>
    <row r="91" spans="1:21" s="1191" customFormat="1" ht="15.75" customHeight="1" thickBot="1" x14ac:dyDescent="0.3">
      <c r="A91" s="657"/>
      <c r="B91" s="1487" t="s">
        <v>1637</v>
      </c>
      <c r="C91" s="1491"/>
      <c r="D91" s="1491"/>
      <c r="E91" s="1491"/>
      <c r="F91" s="1491"/>
      <c r="G91" s="1491"/>
      <c r="H91" s="1491"/>
      <c r="I91" s="1491"/>
      <c r="J91" s="1491"/>
      <c r="K91" s="1491"/>
      <c r="L91" s="1491"/>
      <c r="M91" s="1491"/>
      <c r="N91" s="1491"/>
      <c r="O91" s="1491"/>
      <c r="P91" s="1491"/>
      <c r="Q91" s="1491"/>
      <c r="R91" s="1491"/>
      <c r="S91" s="1491"/>
      <c r="T91" s="1491"/>
      <c r="U91" s="1492"/>
    </row>
    <row r="92" spans="1:21" ht="20.25" customHeight="1" thickBot="1" x14ac:dyDescent="0.3">
      <c r="A92" s="657"/>
      <c r="B92" s="1254"/>
      <c r="C92" s="1254"/>
      <c r="D92" s="1254"/>
      <c r="E92" s="1254"/>
      <c r="F92" s="1254"/>
      <c r="G92" s="1254"/>
      <c r="H92" s="1254"/>
      <c r="I92" s="1254"/>
      <c r="J92" s="1254"/>
      <c r="K92" s="1254"/>
      <c r="L92" s="1254"/>
      <c r="M92" s="1254"/>
      <c r="N92" s="1254"/>
      <c r="O92" s="1254"/>
      <c r="P92" s="1254"/>
      <c r="Q92" s="1254"/>
      <c r="R92" s="1254"/>
      <c r="S92" s="1254"/>
      <c r="T92" s="1254"/>
      <c r="U92" s="1254"/>
    </row>
    <row r="93" spans="1:21" ht="30" customHeight="1" thickBot="1" x14ac:dyDescent="0.3">
      <c r="A93" s="496"/>
      <c r="B93" s="1254"/>
      <c r="C93" s="1268" t="s">
        <v>1500</v>
      </c>
      <c r="D93" s="1481" t="s">
        <v>1644</v>
      </c>
      <c r="E93" s="1482"/>
      <c r="F93" s="1254"/>
      <c r="G93" s="1254"/>
      <c r="H93" s="1271" t="s">
        <v>1497</v>
      </c>
      <c r="I93" s="1275"/>
      <c r="J93" s="1271" t="s">
        <v>1498</v>
      </c>
      <c r="K93" s="1275"/>
      <c r="L93" s="1271" t="s">
        <v>1514</v>
      </c>
      <c r="M93" s="1275"/>
      <c r="N93" s="1271" t="s">
        <v>1499</v>
      </c>
      <c r="O93" s="1275"/>
      <c r="P93" s="1271" t="s">
        <v>1608</v>
      </c>
      <c r="Q93" s="1275"/>
      <c r="R93" s="1271" t="s">
        <v>1609</v>
      </c>
      <c r="S93" s="1275"/>
      <c r="T93" s="1271" t="s">
        <v>1610</v>
      </c>
      <c r="U93" s="1254"/>
    </row>
    <row r="94" spans="1:21" ht="18" customHeight="1" thickBot="1" x14ac:dyDescent="0.3">
      <c r="A94" s="657"/>
      <c r="B94" s="1254"/>
      <c r="C94" s="1250"/>
      <c r="D94" s="1250"/>
      <c r="E94" s="1250"/>
      <c r="F94" s="1254"/>
      <c r="G94" s="1254"/>
      <c r="H94" s="1193"/>
      <c r="I94" s="1254"/>
      <c r="J94" s="1256"/>
      <c r="K94" s="1254"/>
      <c r="L94" s="1256"/>
      <c r="M94" s="1254"/>
      <c r="N94" s="1226"/>
      <c r="O94" s="1254"/>
      <c r="P94" s="1194" t="s">
        <v>1611</v>
      </c>
      <c r="Q94" s="1254"/>
      <c r="R94" s="1194" t="s">
        <v>1612</v>
      </c>
      <c r="S94" s="1254"/>
      <c r="T94" s="1194" t="s">
        <v>653</v>
      </c>
      <c r="U94" s="1254"/>
    </row>
    <row r="95" spans="1:21" ht="30" customHeight="1" thickBot="1" x14ac:dyDescent="0.3">
      <c r="A95" s="657"/>
      <c r="B95" s="1254"/>
      <c r="C95" s="1271" t="s">
        <v>1613</v>
      </c>
      <c r="D95" s="1483">
        <v>5501</v>
      </c>
      <c r="E95" s="1484"/>
      <c r="F95" s="1254"/>
      <c r="G95" s="1254"/>
      <c r="H95" s="1254"/>
      <c r="I95" s="1254"/>
      <c r="J95" s="1254"/>
      <c r="K95" s="1254"/>
      <c r="L95" s="1254"/>
      <c r="M95" s="1254"/>
      <c r="N95" s="1254"/>
      <c r="O95" s="1254"/>
      <c r="P95" s="1254"/>
      <c r="Q95" s="1254"/>
      <c r="R95" s="1254"/>
      <c r="S95" s="1254"/>
      <c r="T95" s="1254"/>
      <c r="U95" s="1254"/>
    </row>
    <row r="96" spans="1:21" ht="18" customHeight="1" thickBot="1" x14ac:dyDescent="0.3">
      <c r="A96" s="657"/>
      <c r="B96" s="1254"/>
      <c r="C96" s="1259"/>
      <c r="D96" s="1250"/>
      <c r="E96" s="1250"/>
      <c r="F96" s="1254"/>
      <c r="G96" s="1254"/>
      <c r="H96" s="1272" t="s">
        <v>1504</v>
      </c>
      <c r="I96" s="1275"/>
      <c r="J96" s="1271" t="s">
        <v>1505</v>
      </c>
      <c r="K96" s="1275"/>
      <c r="L96" s="1271" t="s">
        <v>1506</v>
      </c>
      <c r="M96" s="1275"/>
      <c r="N96" s="1271" t="s">
        <v>1623</v>
      </c>
      <c r="O96" s="1275"/>
      <c r="P96" s="1271" t="s">
        <v>1624</v>
      </c>
      <c r="Q96" s="1275"/>
      <c r="R96" s="1275"/>
      <c r="S96" s="1275"/>
      <c r="T96" s="1271" t="s">
        <v>1646</v>
      </c>
      <c r="U96" s="1254"/>
    </row>
    <row r="97" spans="1:21" ht="18" customHeight="1" thickBot="1" x14ac:dyDescent="0.3">
      <c r="A97" s="657"/>
      <c r="B97" s="1254"/>
      <c r="C97" s="1268" t="s">
        <v>1502</v>
      </c>
      <c r="D97" s="1485"/>
      <c r="E97" s="1484"/>
      <c r="F97" s="1254"/>
      <c r="G97" s="1255" t="s">
        <v>1048</v>
      </c>
      <c r="H97" s="1227"/>
      <c r="I97" s="1254"/>
      <c r="J97" s="1261"/>
      <c r="K97" s="1254"/>
      <c r="L97" s="1260"/>
      <c r="M97" s="1254"/>
      <c r="N97" s="1215" t="s">
        <v>482</v>
      </c>
      <c r="O97" s="1254"/>
      <c r="P97" s="1215" t="s">
        <v>1626</v>
      </c>
      <c r="Q97" s="1254"/>
      <c r="R97" s="1254"/>
      <c r="S97" s="1254"/>
      <c r="T97" s="1215" t="s">
        <v>462</v>
      </c>
      <c r="U97" s="1254"/>
    </row>
    <row r="98" spans="1:21" ht="18" customHeight="1" thickBot="1" x14ac:dyDescent="0.3">
      <c r="A98" s="657"/>
      <c r="B98" s="1254"/>
      <c r="C98" s="1259"/>
      <c r="D98" s="1250"/>
      <c r="E98" s="1250"/>
      <c r="F98" s="1254"/>
      <c r="G98" s="1254"/>
      <c r="H98" s="1254"/>
      <c r="I98" s="1254"/>
      <c r="J98" s="1254"/>
      <c r="K98" s="1254"/>
      <c r="L98" s="1254"/>
      <c r="M98" s="1254"/>
      <c r="N98" s="1254"/>
      <c r="O98" s="1254"/>
      <c r="P98" s="1254"/>
      <c r="Q98" s="1254"/>
      <c r="R98" s="1254"/>
      <c r="S98" s="1254"/>
      <c r="T98" s="1254"/>
      <c r="U98" s="1254"/>
    </row>
    <row r="99" spans="1:21" ht="30" customHeight="1" thickBot="1" x14ac:dyDescent="0.3">
      <c r="A99" s="657"/>
      <c r="B99" s="1254"/>
      <c r="C99" s="1268" t="s">
        <v>1503</v>
      </c>
      <c r="D99" s="1485"/>
      <c r="E99" s="1484"/>
      <c r="F99" s="1254"/>
      <c r="G99" s="1254"/>
      <c r="H99" s="1270" t="s">
        <v>1614</v>
      </c>
      <c r="I99" s="1275"/>
      <c r="J99" s="1271" t="s">
        <v>1628</v>
      </c>
      <c r="K99" s="1275"/>
      <c r="L99" s="1271" t="s">
        <v>1615</v>
      </c>
      <c r="M99" s="1254"/>
      <c r="N99" s="1254"/>
      <c r="O99" s="1254"/>
      <c r="P99" s="1254"/>
      <c r="Q99" s="1254"/>
      <c r="R99" s="1254"/>
      <c r="S99" s="1254"/>
      <c r="T99" s="1254"/>
      <c r="U99" s="1254"/>
    </row>
    <row r="100" spans="1:21" ht="18" customHeight="1" thickBot="1" x14ac:dyDescent="0.3">
      <c r="A100" s="657"/>
      <c r="B100" s="1254"/>
      <c r="C100" s="1259"/>
      <c r="D100" s="1250"/>
      <c r="E100" s="1250"/>
      <c r="F100" s="1254"/>
      <c r="G100" s="1254"/>
      <c r="H100" s="1251" t="s">
        <v>651</v>
      </c>
      <c r="I100" s="1254"/>
      <c r="J100" s="1194" t="s">
        <v>1616</v>
      </c>
      <c r="K100" s="1254"/>
      <c r="L100" s="1215" t="s">
        <v>1616</v>
      </c>
      <c r="M100" s="1254"/>
      <c r="N100" s="1254"/>
      <c r="O100" s="1254"/>
      <c r="P100" s="1254"/>
      <c r="Q100" s="1254"/>
      <c r="R100" s="1254"/>
      <c r="S100" s="1254"/>
      <c r="T100" s="1254"/>
      <c r="U100" s="1254"/>
    </row>
    <row r="101" spans="1:21" ht="30" customHeight="1" thickBot="1" x14ac:dyDescent="0.3">
      <c r="A101" s="657"/>
      <c r="B101" s="1254"/>
      <c r="C101" s="1269" t="s">
        <v>1617</v>
      </c>
      <c r="D101" s="1468" t="s">
        <v>651</v>
      </c>
      <c r="E101" s="1469"/>
      <c r="F101" s="1254"/>
      <c r="G101" s="1254"/>
      <c r="H101" s="1254"/>
      <c r="I101" s="1254"/>
      <c r="J101" s="1254"/>
      <c r="K101" s="1254"/>
      <c r="L101" s="1254"/>
      <c r="M101" s="1254"/>
      <c r="N101" s="1254"/>
      <c r="O101" s="1254"/>
      <c r="P101" s="1254"/>
      <c r="Q101" s="1254"/>
      <c r="R101" s="1254"/>
      <c r="S101" s="1254"/>
      <c r="T101" s="1254"/>
      <c r="U101" s="1254"/>
    </row>
    <row r="102" spans="1:21" ht="18" customHeight="1" thickBot="1" x14ac:dyDescent="0.3">
      <c r="A102" s="657"/>
      <c r="B102" s="1254"/>
      <c r="C102" s="1259"/>
      <c r="D102" s="1250"/>
      <c r="E102" s="1250"/>
      <c r="F102" s="1254"/>
      <c r="G102" s="1254"/>
      <c r="H102" s="1254"/>
      <c r="I102" s="1254"/>
      <c r="J102" s="1254"/>
      <c r="K102" s="1254"/>
      <c r="L102" s="1254"/>
      <c r="M102" s="1254"/>
      <c r="N102" s="1254"/>
      <c r="O102" s="1254"/>
      <c r="P102" s="1254"/>
      <c r="Q102" s="1254"/>
      <c r="R102" s="1254"/>
      <c r="S102" s="1254"/>
      <c r="T102" s="1254"/>
      <c r="U102" s="1254"/>
    </row>
    <row r="103" spans="1:21" ht="18" customHeight="1" thickBot="1" x14ac:dyDescent="0.3">
      <c r="A103" s="657"/>
      <c r="B103" s="1254"/>
      <c r="C103" s="1268" t="s">
        <v>1618</v>
      </c>
      <c r="D103" s="1483" t="s">
        <v>1647</v>
      </c>
      <c r="E103" s="1486"/>
      <c r="F103" s="1254"/>
      <c r="G103" s="1254"/>
      <c r="H103" s="1254"/>
      <c r="I103" s="1254"/>
      <c r="J103" s="1254"/>
      <c r="K103" s="1254"/>
      <c r="L103" s="1254"/>
      <c r="M103" s="1254"/>
      <c r="N103" s="1254"/>
      <c r="O103" s="1254"/>
      <c r="P103" s="1254"/>
      <c r="Q103" s="1254"/>
      <c r="R103" s="1254"/>
      <c r="S103" s="1254"/>
      <c r="T103" s="1254"/>
      <c r="U103" s="1254"/>
    </row>
    <row r="104" spans="1:21" ht="20.25" customHeight="1" thickBot="1" x14ac:dyDescent="0.3">
      <c r="A104" s="657"/>
      <c r="B104" s="1254"/>
      <c r="C104" s="1254"/>
      <c r="D104" s="1254"/>
      <c r="E104" s="1254"/>
      <c r="F104" s="1254"/>
      <c r="G104" s="1254"/>
      <c r="H104" s="1254"/>
      <c r="I104" s="1254"/>
      <c r="J104" s="1254"/>
      <c r="K104" s="1254"/>
      <c r="L104" s="1254"/>
      <c r="M104" s="1254"/>
      <c r="N104" s="1254"/>
      <c r="O104" s="1254"/>
      <c r="P104" s="1254"/>
      <c r="Q104" s="1254"/>
      <c r="R104" s="1254"/>
      <c r="S104" s="1254"/>
      <c r="T104" s="1254"/>
      <c r="U104" s="1254"/>
    </row>
    <row r="105" spans="1:21" ht="15.75" thickBot="1" x14ac:dyDescent="0.3">
      <c r="A105" s="657"/>
      <c r="B105" s="1487" t="s">
        <v>1648</v>
      </c>
      <c r="C105" s="1488"/>
      <c r="D105" s="1488"/>
      <c r="E105" s="1488"/>
      <c r="F105" s="1488"/>
      <c r="G105" s="1488"/>
      <c r="H105" s="1488"/>
      <c r="I105" s="1488"/>
      <c r="J105" s="1488"/>
      <c r="K105" s="1488"/>
      <c r="L105" s="1488"/>
      <c r="M105" s="1488"/>
      <c r="N105" s="1488"/>
      <c r="O105" s="1488"/>
      <c r="P105" s="1488"/>
      <c r="Q105" s="1488"/>
      <c r="R105" s="1488"/>
      <c r="S105" s="1488"/>
      <c r="T105" s="1488"/>
      <c r="U105" s="1486"/>
    </row>
    <row r="106" spans="1:21" ht="18" customHeight="1" thickBot="1" x14ac:dyDescent="0.3">
      <c r="A106" s="657"/>
      <c r="B106" s="1254"/>
      <c r="C106" s="1254"/>
      <c r="D106" s="1254"/>
      <c r="E106" s="1254"/>
      <c r="F106" s="1254"/>
      <c r="G106" s="1254"/>
      <c r="H106" s="1254"/>
      <c r="I106" s="1254"/>
      <c r="J106" s="1254"/>
      <c r="K106" s="1254"/>
      <c r="L106" s="1254"/>
      <c r="M106" s="1254"/>
      <c r="N106" s="1254"/>
      <c r="O106" s="1254"/>
      <c r="P106" s="1254"/>
      <c r="Q106" s="1254"/>
      <c r="R106" s="1254"/>
      <c r="S106" s="1254"/>
      <c r="T106" s="1254"/>
      <c r="U106" s="1254"/>
    </row>
    <row r="107" spans="1:21" ht="30" customHeight="1" thickBot="1" x14ac:dyDescent="0.3">
      <c r="A107" s="496"/>
      <c r="B107" s="1254"/>
      <c r="C107" s="1268" t="s">
        <v>1500</v>
      </c>
      <c r="D107" s="1481" t="s">
        <v>1644</v>
      </c>
      <c r="E107" s="1482"/>
      <c r="F107" s="1254"/>
      <c r="G107" s="1254"/>
      <c r="H107" s="1271" t="s">
        <v>1497</v>
      </c>
      <c r="I107" s="1275"/>
      <c r="J107" s="1271" t="s">
        <v>1498</v>
      </c>
      <c r="K107" s="1275"/>
      <c r="L107" s="1271" t="s">
        <v>1514</v>
      </c>
      <c r="M107" s="1275"/>
      <c r="N107" s="1271" t="s">
        <v>1499</v>
      </c>
      <c r="O107" s="1275"/>
      <c r="P107" s="1271" t="s">
        <v>1608</v>
      </c>
      <c r="Q107" s="1275"/>
      <c r="R107" s="1271" t="s">
        <v>1609</v>
      </c>
      <c r="S107" s="1275"/>
      <c r="T107" s="1271" t="s">
        <v>1610</v>
      </c>
      <c r="U107" s="1254"/>
    </row>
    <row r="108" spans="1:21" ht="15.75" thickBot="1" x14ac:dyDescent="0.3">
      <c r="A108" s="657"/>
      <c r="B108" s="1254"/>
      <c r="C108" s="1259"/>
      <c r="D108" s="1250"/>
      <c r="E108" s="1250"/>
      <c r="F108" s="1254"/>
      <c r="G108" s="1254"/>
      <c r="H108" s="1193"/>
      <c r="I108" s="1254"/>
      <c r="J108" s="1256"/>
      <c r="K108" s="1254"/>
      <c r="L108" s="1256"/>
      <c r="M108" s="1254"/>
      <c r="N108" s="1226"/>
      <c r="O108" s="1254"/>
      <c r="P108" s="1194" t="s">
        <v>1611</v>
      </c>
      <c r="Q108" s="1254"/>
      <c r="R108" s="1194" t="s">
        <v>1612</v>
      </c>
      <c r="S108" s="1254"/>
      <c r="T108" s="1194" t="s">
        <v>653</v>
      </c>
      <c r="U108" s="1254"/>
    </row>
    <row r="109" spans="1:21" ht="30.75" thickBot="1" x14ac:dyDescent="0.3">
      <c r="A109" s="657"/>
      <c r="B109" s="1254"/>
      <c r="C109" s="1271" t="s">
        <v>1613</v>
      </c>
      <c r="D109" s="1483">
        <v>5502</v>
      </c>
      <c r="E109" s="1484"/>
      <c r="F109" s="1254"/>
      <c r="G109" s="1254"/>
      <c r="H109" s="1254"/>
      <c r="I109" s="1254"/>
      <c r="J109" s="1254"/>
      <c r="K109" s="1254"/>
      <c r="L109" s="1254"/>
      <c r="M109" s="1254"/>
      <c r="N109" s="1254"/>
      <c r="O109" s="1254"/>
      <c r="P109" s="1254"/>
      <c r="Q109" s="1254"/>
      <c r="R109" s="1254"/>
      <c r="S109" s="1254"/>
      <c r="T109" s="1254"/>
      <c r="U109" s="1254"/>
    </row>
    <row r="110" spans="1:21" ht="15.75" thickBot="1" x14ac:dyDescent="0.3">
      <c r="A110" s="657"/>
      <c r="B110" s="1254"/>
      <c r="C110" s="1259"/>
      <c r="D110" s="1250"/>
      <c r="E110" s="1250"/>
      <c r="F110" s="1254"/>
      <c r="G110" s="1254"/>
      <c r="H110" s="1272" t="s">
        <v>1504</v>
      </c>
      <c r="I110" s="1275"/>
      <c r="J110" s="1271" t="s">
        <v>1505</v>
      </c>
      <c r="K110" s="1275"/>
      <c r="L110" s="1271" t="s">
        <v>1506</v>
      </c>
      <c r="M110" s="1275"/>
      <c r="N110" s="1271" t="s">
        <v>1623</v>
      </c>
      <c r="O110" s="1275"/>
      <c r="P110" s="1271" t="s">
        <v>1624</v>
      </c>
      <c r="Q110" s="1275"/>
      <c r="R110" s="1275"/>
      <c r="S110" s="1275"/>
      <c r="T110" s="1271" t="s">
        <v>1646</v>
      </c>
      <c r="U110" s="1254"/>
    </row>
    <row r="111" spans="1:21" ht="15.75" thickBot="1" x14ac:dyDescent="0.3">
      <c r="A111" s="657"/>
      <c r="B111" s="1254"/>
      <c r="C111" s="1268" t="s">
        <v>1502</v>
      </c>
      <c r="D111" s="1485"/>
      <c r="E111" s="1484"/>
      <c r="F111" s="1254"/>
      <c r="G111" s="1255" t="s">
        <v>1048</v>
      </c>
      <c r="H111" s="1227"/>
      <c r="I111" s="1275"/>
      <c r="J111" s="1261"/>
      <c r="K111" s="1275"/>
      <c r="L111" s="1260"/>
      <c r="M111" s="1275"/>
      <c r="N111" s="1215" t="s">
        <v>482</v>
      </c>
      <c r="O111" s="1275"/>
      <c r="P111" s="1215" t="s">
        <v>1626</v>
      </c>
      <c r="Q111" s="1275"/>
      <c r="R111" s="1275"/>
      <c r="S111" s="1275"/>
      <c r="T111" s="1215" t="s">
        <v>462</v>
      </c>
      <c r="U111" s="1254"/>
    </row>
    <row r="112" spans="1:21" ht="15.75" thickBot="1" x14ac:dyDescent="0.3">
      <c r="A112" s="657"/>
      <c r="B112" s="1254"/>
      <c r="C112" s="1259"/>
      <c r="D112" s="1250"/>
      <c r="E112" s="1250"/>
      <c r="F112" s="1254"/>
      <c r="G112" s="1254"/>
      <c r="H112" s="1254"/>
      <c r="I112" s="1254"/>
      <c r="J112" s="1254"/>
      <c r="K112" s="1254"/>
      <c r="L112" s="1254"/>
      <c r="M112" s="1254"/>
      <c r="N112" s="1254"/>
      <c r="O112" s="1254"/>
      <c r="P112" s="1254"/>
      <c r="Q112" s="1254"/>
      <c r="R112" s="1254"/>
      <c r="S112" s="1254"/>
      <c r="T112" s="1254"/>
      <c r="U112" s="1254"/>
    </row>
    <row r="113" spans="1:21" ht="30.75" thickBot="1" x14ac:dyDescent="0.3">
      <c r="A113" s="657"/>
      <c r="B113" s="1254"/>
      <c r="C113" s="1268" t="s">
        <v>1503</v>
      </c>
      <c r="D113" s="1485"/>
      <c r="E113" s="1484"/>
      <c r="F113" s="1254"/>
      <c r="G113" s="1254"/>
      <c r="H113" s="1270" t="s">
        <v>1614</v>
      </c>
      <c r="I113" s="1275"/>
      <c r="J113" s="1271" t="s">
        <v>1628</v>
      </c>
      <c r="K113" s="1275"/>
      <c r="L113" s="1271" t="s">
        <v>1615</v>
      </c>
      <c r="M113" s="1254"/>
      <c r="N113" s="1254"/>
      <c r="O113" s="1254"/>
      <c r="P113" s="1254"/>
      <c r="Q113" s="1254"/>
      <c r="R113" s="1254"/>
      <c r="S113" s="1254"/>
      <c r="T113" s="1254"/>
      <c r="U113" s="1254"/>
    </row>
    <row r="114" spans="1:21" ht="15.75" thickBot="1" x14ac:dyDescent="0.3">
      <c r="A114" s="657"/>
      <c r="B114" s="1254"/>
      <c r="C114" s="1259"/>
      <c r="D114" s="1250"/>
      <c r="E114" s="1250"/>
      <c r="F114" s="1254"/>
      <c r="G114" s="1254"/>
      <c r="H114" s="1251" t="s">
        <v>651</v>
      </c>
      <c r="I114" s="1254"/>
      <c r="J114" s="1194" t="s">
        <v>1616</v>
      </c>
      <c r="K114" s="1254"/>
      <c r="L114" s="1215" t="s">
        <v>1616</v>
      </c>
      <c r="M114" s="1254"/>
      <c r="N114" s="1254"/>
      <c r="O114" s="1254"/>
      <c r="P114" s="1254"/>
      <c r="Q114" s="1254"/>
      <c r="R114" s="1254"/>
      <c r="S114" s="1254"/>
      <c r="T114" s="1254"/>
      <c r="U114" s="1254"/>
    </row>
    <row r="115" spans="1:21" ht="30" customHeight="1" thickBot="1" x14ac:dyDescent="0.3">
      <c r="A115" s="657"/>
      <c r="B115" s="1254"/>
      <c r="C115" s="1269" t="s">
        <v>1617</v>
      </c>
      <c r="D115" s="1468" t="s">
        <v>651</v>
      </c>
      <c r="E115" s="1469"/>
      <c r="F115" s="1254"/>
      <c r="G115" s="1254"/>
      <c r="H115" s="1254"/>
      <c r="I115" s="1254"/>
      <c r="J115" s="1254"/>
      <c r="K115" s="1254"/>
      <c r="L115" s="1254"/>
      <c r="M115" s="1254"/>
      <c r="N115" s="1254"/>
      <c r="O115" s="1254"/>
      <c r="P115" s="1254"/>
      <c r="Q115" s="1254"/>
      <c r="R115" s="1254"/>
      <c r="S115" s="1254"/>
      <c r="T115" s="1254"/>
      <c r="U115" s="1254"/>
    </row>
    <row r="116" spans="1:21" ht="15.75" thickBot="1" x14ac:dyDescent="0.3">
      <c r="A116" s="657"/>
      <c r="B116" s="1254"/>
      <c r="C116" s="1259"/>
      <c r="D116" s="1250"/>
      <c r="E116" s="1250"/>
      <c r="F116" s="1254"/>
      <c r="G116" s="1254"/>
      <c r="H116" s="1254"/>
      <c r="I116" s="1254"/>
      <c r="J116" s="1254"/>
      <c r="K116" s="1254"/>
      <c r="L116" s="1254"/>
      <c r="M116" s="1254"/>
      <c r="N116" s="1254"/>
      <c r="O116" s="1254"/>
      <c r="P116" s="1254"/>
      <c r="Q116" s="1254"/>
      <c r="R116" s="1254"/>
      <c r="S116" s="1254"/>
      <c r="T116" s="1254"/>
      <c r="U116" s="1254"/>
    </row>
    <row r="117" spans="1:21" ht="15.75" thickBot="1" x14ac:dyDescent="0.3">
      <c r="A117" s="657"/>
      <c r="B117" s="1254"/>
      <c r="C117" s="1268" t="s">
        <v>1618</v>
      </c>
      <c r="D117" s="1483" t="s">
        <v>1647</v>
      </c>
      <c r="E117" s="1486"/>
      <c r="F117" s="1254"/>
      <c r="G117" s="1254"/>
      <c r="H117" s="1254"/>
      <c r="I117" s="1254"/>
      <c r="J117" s="1254"/>
      <c r="K117" s="1254"/>
      <c r="L117" s="1254"/>
      <c r="M117" s="1254"/>
      <c r="N117" s="1254"/>
      <c r="O117" s="1254"/>
      <c r="P117" s="1254"/>
      <c r="Q117" s="1254"/>
      <c r="R117" s="1254"/>
      <c r="S117" s="1254"/>
      <c r="T117" s="1254"/>
      <c r="U117" s="1254"/>
    </row>
    <row r="118" spans="1:21" ht="15.75" thickBot="1" x14ac:dyDescent="0.3">
      <c r="A118" s="657"/>
      <c r="B118" s="1254"/>
      <c r="C118" s="1254"/>
      <c r="D118" s="1254"/>
      <c r="E118" s="1254"/>
      <c r="F118" s="1254"/>
      <c r="G118" s="1254"/>
      <c r="H118" s="1254"/>
      <c r="I118" s="1254"/>
      <c r="J118" s="1254"/>
      <c r="K118" s="1254"/>
      <c r="L118" s="1254"/>
      <c r="M118" s="1254"/>
      <c r="N118" s="1254"/>
      <c r="O118" s="1254"/>
      <c r="P118" s="1254"/>
      <c r="Q118" s="1254"/>
      <c r="R118" s="1254"/>
      <c r="S118" s="1254"/>
      <c r="T118" s="1254"/>
      <c r="U118" s="1254"/>
    </row>
    <row r="119" spans="1:21" ht="15.75" thickBot="1" x14ac:dyDescent="0.3">
      <c r="A119" s="657"/>
      <c r="B119" s="1487" t="s">
        <v>1649</v>
      </c>
      <c r="C119" s="1488"/>
      <c r="D119" s="1488"/>
      <c r="E119" s="1488"/>
      <c r="F119" s="1488"/>
      <c r="G119" s="1488"/>
      <c r="H119" s="1488"/>
      <c r="I119" s="1488"/>
      <c r="J119" s="1488"/>
      <c r="K119" s="1488"/>
      <c r="L119" s="1488"/>
      <c r="M119" s="1488"/>
      <c r="N119" s="1488"/>
      <c r="O119" s="1488"/>
      <c r="P119" s="1488"/>
      <c r="Q119" s="1488"/>
      <c r="R119" s="1488"/>
      <c r="S119" s="1488"/>
      <c r="T119" s="1488"/>
      <c r="U119" s="1486"/>
    </row>
    <row r="120" spans="1:21" ht="15.75" thickBot="1" x14ac:dyDescent="0.3">
      <c r="A120" s="657"/>
      <c r="B120" s="1254"/>
      <c r="C120" s="1254"/>
      <c r="D120" s="1254"/>
      <c r="E120" s="1254"/>
      <c r="F120" s="1254"/>
      <c r="G120" s="1254"/>
      <c r="H120" s="1254"/>
      <c r="I120" s="1254"/>
      <c r="J120" s="1254"/>
      <c r="K120" s="1254"/>
      <c r="L120" s="1254"/>
      <c r="M120" s="1254"/>
      <c r="N120" s="1254"/>
      <c r="O120" s="1254"/>
      <c r="P120" s="1254"/>
      <c r="Q120" s="1254"/>
      <c r="R120" s="1254"/>
      <c r="S120" s="1254"/>
      <c r="T120" s="1254"/>
      <c r="U120" s="1254"/>
    </row>
    <row r="121" spans="1:21" ht="30.75" thickBot="1" x14ac:dyDescent="0.3">
      <c r="A121" s="496"/>
      <c r="B121" s="1254"/>
      <c r="C121" s="1268" t="s">
        <v>1500</v>
      </c>
      <c r="D121" s="1481" t="s">
        <v>1645</v>
      </c>
      <c r="E121" s="1482"/>
      <c r="F121" s="1254"/>
      <c r="G121" s="1254"/>
      <c r="H121" s="1271" t="s">
        <v>1497</v>
      </c>
      <c r="I121" s="1275"/>
      <c r="J121" s="1271" t="s">
        <v>1498</v>
      </c>
      <c r="K121" s="1275"/>
      <c r="L121" s="1271" t="s">
        <v>1514</v>
      </c>
      <c r="M121" s="1275"/>
      <c r="N121" s="1271" t="s">
        <v>1499</v>
      </c>
      <c r="O121" s="1275"/>
      <c r="P121" s="1271" t="s">
        <v>1608</v>
      </c>
      <c r="Q121" s="1275"/>
      <c r="R121" s="1271" t="s">
        <v>1609</v>
      </c>
      <c r="S121" s="1275"/>
      <c r="T121" s="1271" t="s">
        <v>1610</v>
      </c>
      <c r="U121" s="1254"/>
    </row>
    <row r="122" spans="1:21" ht="15.75" thickBot="1" x14ac:dyDescent="0.3">
      <c r="A122" s="657"/>
      <c r="B122" s="1254"/>
      <c r="C122" s="1259"/>
      <c r="D122" s="1250"/>
      <c r="E122" s="1250"/>
      <c r="F122" s="1254"/>
      <c r="G122" s="1254"/>
      <c r="H122" s="1193"/>
      <c r="I122" s="1254"/>
      <c r="J122" s="1256"/>
      <c r="K122" s="1254"/>
      <c r="L122" s="1256"/>
      <c r="M122" s="1254"/>
      <c r="N122" s="1226"/>
      <c r="O122" s="1254"/>
      <c r="P122" s="1194" t="s">
        <v>1611</v>
      </c>
      <c r="Q122" s="1254"/>
      <c r="R122" s="1194" t="s">
        <v>1612</v>
      </c>
      <c r="S122" s="1254"/>
      <c r="T122" s="1194" t="s">
        <v>653</v>
      </c>
      <c r="U122" s="1254"/>
    </row>
    <row r="123" spans="1:21" ht="30.75" thickBot="1" x14ac:dyDescent="0.3">
      <c r="A123" s="657"/>
      <c r="B123" s="1254"/>
      <c r="C123" s="1271" t="s">
        <v>1613</v>
      </c>
      <c r="D123" s="1483">
        <v>2801</v>
      </c>
      <c r="E123" s="1484"/>
      <c r="F123" s="1254"/>
      <c r="G123" s="1254"/>
      <c r="H123" s="1254"/>
      <c r="I123" s="1254"/>
      <c r="J123" s="1254"/>
      <c r="K123" s="1254"/>
      <c r="L123" s="1254"/>
      <c r="M123" s="1254"/>
      <c r="N123" s="1254"/>
      <c r="O123" s="1254"/>
      <c r="P123" s="1254"/>
      <c r="Q123" s="1254"/>
      <c r="R123" s="1254"/>
      <c r="S123" s="1254"/>
      <c r="T123" s="1254"/>
      <c r="U123" s="1254"/>
    </row>
    <row r="124" spans="1:21" ht="18" customHeight="1" thickBot="1" x14ac:dyDescent="0.3">
      <c r="A124" s="657"/>
      <c r="B124" s="1254"/>
      <c r="C124" s="1250"/>
      <c r="D124" s="1250"/>
      <c r="E124" s="1250"/>
      <c r="F124" s="1254"/>
      <c r="G124" s="1254"/>
      <c r="H124" s="1272" t="s">
        <v>1504</v>
      </c>
      <c r="I124" s="1275"/>
      <c r="J124" s="1271" t="s">
        <v>1505</v>
      </c>
      <c r="K124" s="1275"/>
      <c r="L124" s="1271" t="s">
        <v>1506</v>
      </c>
      <c r="M124" s="1275"/>
      <c r="N124" s="1271" t="s">
        <v>1623</v>
      </c>
      <c r="O124" s="1275"/>
      <c r="P124" s="1271" t="s">
        <v>1624</v>
      </c>
      <c r="Q124" s="1275"/>
      <c r="R124" s="1275"/>
      <c r="S124" s="1275"/>
      <c r="T124" s="1271" t="s">
        <v>1646</v>
      </c>
      <c r="U124" s="1254"/>
    </row>
    <row r="125" spans="1:21" ht="18" customHeight="1" thickBot="1" x14ac:dyDescent="0.3">
      <c r="A125" s="657"/>
      <c r="B125" s="1254"/>
      <c r="C125" s="1268" t="s">
        <v>1502</v>
      </c>
      <c r="D125" s="1485"/>
      <c r="E125" s="1484"/>
      <c r="F125" s="1254"/>
      <c r="G125" s="1255" t="s">
        <v>1048</v>
      </c>
      <c r="H125" s="1227"/>
      <c r="I125" s="1254"/>
      <c r="J125" s="1227"/>
      <c r="K125" s="1254"/>
      <c r="L125" s="1227"/>
      <c r="M125" s="1254"/>
      <c r="N125" s="1215" t="s">
        <v>482</v>
      </c>
      <c r="O125" s="1254"/>
      <c r="P125" s="1215" t="s">
        <v>1626</v>
      </c>
      <c r="Q125" s="1254"/>
      <c r="R125" s="1254"/>
      <c r="S125" s="1254"/>
      <c r="T125" s="1215" t="s">
        <v>462</v>
      </c>
      <c r="U125" s="1254"/>
    </row>
    <row r="126" spans="1:21" ht="15.75" thickBot="1" x14ac:dyDescent="0.3">
      <c r="A126" s="657"/>
      <c r="B126" s="1254"/>
      <c r="C126" s="1259"/>
      <c r="D126" s="1250"/>
      <c r="E126" s="1250"/>
      <c r="F126" s="1254"/>
      <c r="G126" s="1255" t="s">
        <v>1507</v>
      </c>
      <c r="H126" s="1227"/>
      <c r="I126" s="1254"/>
      <c r="J126" s="1261"/>
      <c r="K126" s="1254"/>
      <c r="L126" s="1227"/>
      <c r="M126" s="1254"/>
      <c r="N126" s="1215" t="s">
        <v>482</v>
      </c>
      <c r="O126" s="1254"/>
      <c r="P126" s="1215" t="s">
        <v>1626</v>
      </c>
      <c r="Q126" s="1254"/>
      <c r="R126" s="1254"/>
      <c r="S126" s="1254"/>
      <c r="T126" s="1254"/>
      <c r="U126" s="1254"/>
    </row>
    <row r="127" spans="1:21" ht="15.75" thickBot="1" x14ac:dyDescent="0.3">
      <c r="A127" s="657"/>
      <c r="B127" s="1254"/>
      <c r="C127" s="1268" t="s">
        <v>1503</v>
      </c>
      <c r="D127" s="1485"/>
      <c r="E127" s="1484"/>
      <c r="F127" s="1254"/>
      <c r="G127" s="1255" t="s">
        <v>1508</v>
      </c>
      <c r="H127" s="1227"/>
      <c r="I127" s="1254"/>
      <c r="J127" s="1262"/>
      <c r="K127" s="1254"/>
      <c r="L127" s="1227"/>
      <c r="M127" s="1254"/>
      <c r="N127" s="1215" t="s">
        <v>482</v>
      </c>
      <c r="O127" s="1254"/>
      <c r="P127" s="1215" t="s">
        <v>1626</v>
      </c>
      <c r="Q127" s="1254"/>
      <c r="R127" s="1254"/>
      <c r="S127" s="1254"/>
      <c r="T127" s="1254"/>
      <c r="U127" s="1254"/>
    </row>
    <row r="128" spans="1:21" x14ac:dyDescent="0.25">
      <c r="A128" s="657"/>
      <c r="B128" s="1254"/>
      <c r="C128" s="1259"/>
      <c r="D128" s="1250"/>
      <c r="E128" s="1250"/>
      <c r="F128" s="1254"/>
      <c r="G128" s="1255" t="s">
        <v>1510</v>
      </c>
      <c r="H128" s="1227"/>
      <c r="I128" s="1254"/>
      <c r="J128" s="1262"/>
      <c r="K128" s="1254"/>
      <c r="L128" s="1227"/>
      <c r="M128" s="1254"/>
      <c r="N128" s="1215" t="s">
        <v>482</v>
      </c>
      <c r="O128" s="1254"/>
      <c r="P128" s="1215" t="s">
        <v>1626</v>
      </c>
      <c r="Q128" s="1254"/>
      <c r="R128" s="1254"/>
      <c r="S128" s="1254"/>
      <c r="T128" s="1254"/>
      <c r="U128" s="1254"/>
    </row>
    <row r="129" spans="1:21" x14ac:dyDescent="0.25">
      <c r="A129" s="657"/>
      <c r="B129" s="1254"/>
      <c r="C129" s="1259"/>
      <c r="D129" s="1250"/>
      <c r="E129" s="1250"/>
      <c r="F129" s="1254"/>
      <c r="G129" s="1255" t="s">
        <v>1512</v>
      </c>
      <c r="H129" s="1227"/>
      <c r="I129" s="1254"/>
      <c r="J129" s="1262"/>
      <c r="K129" s="1254"/>
      <c r="L129" s="1227"/>
      <c r="M129" s="1254"/>
      <c r="N129" s="1215" t="s">
        <v>482</v>
      </c>
      <c r="O129" s="1254"/>
      <c r="P129" s="1215" t="s">
        <v>1626</v>
      </c>
      <c r="Q129" s="1254"/>
      <c r="R129" s="1254"/>
      <c r="S129" s="1254"/>
      <c r="T129" s="1254"/>
      <c r="U129" s="1254"/>
    </row>
    <row r="130" spans="1:21" ht="15.75" thickBot="1" x14ac:dyDescent="0.3">
      <c r="A130" s="657"/>
      <c r="B130" s="1254"/>
      <c r="C130" s="1259"/>
      <c r="D130" s="1250"/>
      <c r="E130" s="1250"/>
      <c r="F130" s="1254"/>
      <c r="G130" s="1254"/>
      <c r="H130" s="1254"/>
      <c r="I130" s="1254"/>
      <c r="J130" s="1254"/>
      <c r="K130" s="1254"/>
      <c r="L130" s="1254"/>
      <c r="M130" s="1254"/>
      <c r="N130" s="1254"/>
      <c r="O130" s="1254"/>
      <c r="P130" s="1254"/>
      <c r="Q130" s="1254"/>
      <c r="R130" s="1254"/>
      <c r="S130" s="1254"/>
      <c r="T130" s="1254"/>
      <c r="U130" s="1254"/>
    </row>
    <row r="131" spans="1:21" ht="30.75" thickBot="1" x14ac:dyDescent="0.3">
      <c r="A131" s="657"/>
      <c r="B131" s="1254"/>
      <c r="C131" s="1269" t="s">
        <v>1617</v>
      </c>
      <c r="D131" s="1468" t="s">
        <v>651</v>
      </c>
      <c r="E131" s="1469"/>
      <c r="F131" s="1254"/>
      <c r="G131" s="1254"/>
      <c r="H131" s="1270" t="s">
        <v>1614</v>
      </c>
      <c r="I131" s="1275"/>
      <c r="J131" s="1271" t="s">
        <v>1628</v>
      </c>
      <c r="K131" s="1275"/>
      <c r="L131" s="1271" t="s">
        <v>1615</v>
      </c>
      <c r="M131" s="1254"/>
      <c r="N131" s="1254"/>
      <c r="O131" s="1254"/>
      <c r="P131" s="1254"/>
      <c r="Q131" s="1254"/>
      <c r="R131" s="1254"/>
      <c r="S131" s="1254"/>
      <c r="T131" s="1254"/>
      <c r="U131" s="1254"/>
    </row>
    <row r="132" spans="1:21" ht="15.75" thickBot="1" x14ac:dyDescent="0.3">
      <c r="A132" s="657"/>
      <c r="B132" s="1254"/>
      <c r="C132" s="1259"/>
      <c r="D132" s="1250"/>
      <c r="E132" s="1250"/>
      <c r="F132" s="1254"/>
      <c r="G132" s="1254"/>
      <c r="H132" s="1251" t="s">
        <v>651</v>
      </c>
      <c r="I132" s="1254"/>
      <c r="J132" s="1194" t="s">
        <v>1616</v>
      </c>
      <c r="K132" s="1254"/>
      <c r="L132" s="1215" t="s">
        <v>1616</v>
      </c>
      <c r="M132" s="1254"/>
      <c r="N132" s="1254"/>
      <c r="O132" s="1254"/>
      <c r="P132" s="1254"/>
      <c r="Q132" s="1254"/>
      <c r="R132" s="1254"/>
      <c r="S132" s="1254"/>
      <c r="T132" s="1254"/>
      <c r="U132" s="1254"/>
    </row>
    <row r="133" spans="1:21" ht="15.75" thickBot="1" x14ac:dyDescent="0.3">
      <c r="A133" s="657"/>
      <c r="B133" s="1254"/>
      <c r="C133" s="1268" t="s">
        <v>1618</v>
      </c>
      <c r="D133" s="1483" t="s">
        <v>1647</v>
      </c>
      <c r="E133" s="1486"/>
      <c r="F133" s="1254"/>
      <c r="G133" s="1254"/>
      <c r="H133" s="1254"/>
      <c r="I133" s="1254"/>
      <c r="J133" s="1254"/>
      <c r="K133" s="1254"/>
      <c r="L133" s="1254"/>
      <c r="M133" s="1254"/>
      <c r="N133" s="1254"/>
      <c r="O133" s="1254"/>
      <c r="P133" s="1254"/>
      <c r="Q133" s="1254"/>
      <c r="R133" s="1254"/>
      <c r="S133" s="1254"/>
      <c r="T133" s="1254"/>
      <c r="U133" s="1254"/>
    </row>
    <row r="134" spans="1:21" ht="15.75" thickBot="1" x14ac:dyDescent="0.3">
      <c r="A134" s="657"/>
      <c r="B134" s="1254"/>
      <c r="C134" s="1254"/>
      <c r="D134" s="1254"/>
      <c r="E134" s="1254"/>
      <c r="F134" s="1254"/>
      <c r="G134" s="1254"/>
      <c r="H134" s="1254"/>
      <c r="I134" s="1254"/>
      <c r="J134" s="1254"/>
      <c r="K134" s="1254"/>
      <c r="L134" s="1254"/>
      <c r="M134" s="1254"/>
      <c r="N134" s="1254"/>
      <c r="O134" s="1254"/>
      <c r="P134" s="1254"/>
      <c r="Q134" s="1254"/>
      <c r="R134" s="1254"/>
      <c r="S134" s="1254"/>
      <c r="T134" s="1254"/>
      <c r="U134" s="1254"/>
    </row>
    <row r="135" spans="1:21" ht="15.75" thickBot="1" x14ac:dyDescent="0.3">
      <c r="A135" s="657"/>
      <c r="B135" s="1487" t="s">
        <v>1650</v>
      </c>
      <c r="C135" s="1488"/>
      <c r="D135" s="1488"/>
      <c r="E135" s="1488"/>
      <c r="F135" s="1488"/>
      <c r="G135" s="1488"/>
      <c r="H135" s="1488"/>
      <c r="I135" s="1488"/>
      <c r="J135" s="1488"/>
      <c r="K135" s="1488"/>
      <c r="L135" s="1488"/>
      <c r="M135" s="1488"/>
      <c r="N135" s="1488"/>
      <c r="O135" s="1488"/>
      <c r="P135" s="1488"/>
      <c r="Q135" s="1488"/>
      <c r="R135" s="1488"/>
      <c r="S135" s="1488"/>
      <c r="T135" s="1488"/>
      <c r="U135" s="1486"/>
    </row>
    <row r="136" spans="1:21" ht="15.75" thickBot="1" x14ac:dyDescent="0.3">
      <c r="A136" s="657"/>
      <c r="B136" s="1254"/>
      <c r="C136" s="1254"/>
      <c r="D136" s="1254"/>
      <c r="E136" s="1254"/>
      <c r="F136" s="1254"/>
      <c r="G136" s="1254"/>
      <c r="H136" s="1254"/>
      <c r="I136" s="1254"/>
      <c r="J136" s="1254"/>
      <c r="K136" s="1254"/>
      <c r="L136" s="1254"/>
      <c r="M136" s="1254"/>
      <c r="N136" s="1254"/>
      <c r="O136" s="1254"/>
      <c r="P136" s="1254"/>
      <c r="Q136" s="1254"/>
      <c r="R136" s="1254"/>
      <c r="S136" s="1254"/>
      <c r="T136" s="1254"/>
      <c r="U136" s="1254"/>
    </row>
    <row r="137" spans="1:21" ht="30.75" thickBot="1" x14ac:dyDescent="0.3">
      <c r="A137" s="496"/>
      <c r="B137" s="1254"/>
      <c r="C137" s="1268" t="s">
        <v>1500</v>
      </c>
      <c r="D137" s="1481" t="s">
        <v>1645</v>
      </c>
      <c r="E137" s="1482"/>
      <c r="F137" s="1254"/>
      <c r="G137" s="1254"/>
      <c r="H137" s="1271" t="s">
        <v>1497</v>
      </c>
      <c r="I137" s="1275"/>
      <c r="J137" s="1271" t="s">
        <v>1498</v>
      </c>
      <c r="K137" s="1275"/>
      <c r="L137" s="1271" t="s">
        <v>1514</v>
      </c>
      <c r="M137" s="1275"/>
      <c r="N137" s="1271" t="s">
        <v>1499</v>
      </c>
      <c r="O137" s="1275"/>
      <c r="P137" s="1271" t="s">
        <v>1608</v>
      </c>
      <c r="Q137" s="1275"/>
      <c r="R137" s="1271" t="s">
        <v>1609</v>
      </c>
      <c r="S137" s="1275"/>
      <c r="T137" s="1271" t="s">
        <v>1610</v>
      </c>
      <c r="U137" s="1254"/>
    </row>
    <row r="138" spans="1:21" ht="15.75" thickBot="1" x14ac:dyDescent="0.3">
      <c r="A138" s="657"/>
      <c r="B138" s="1254"/>
      <c r="C138" s="1259"/>
      <c r="D138" s="1250"/>
      <c r="E138" s="1250"/>
      <c r="F138" s="1254"/>
      <c r="G138" s="1254"/>
      <c r="H138" s="1193"/>
      <c r="I138" s="1254"/>
      <c r="J138" s="1256"/>
      <c r="K138" s="1254"/>
      <c r="L138" s="1256"/>
      <c r="M138" s="1254"/>
      <c r="N138" s="1226"/>
      <c r="O138" s="1254"/>
      <c r="P138" s="1194" t="s">
        <v>1611</v>
      </c>
      <c r="Q138" s="1254"/>
      <c r="R138" s="1194" t="s">
        <v>1612</v>
      </c>
      <c r="S138" s="1254"/>
      <c r="T138" s="1194" t="s">
        <v>653</v>
      </c>
      <c r="U138" s="1254"/>
    </row>
    <row r="139" spans="1:21" ht="30.75" thickBot="1" x14ac:dyDescent="0.3">
      <c r="A139" s="657"/>
      <c r="B139" s="1254"/>
      <c r="C139" s="1271" t="s">
        <v>1613</v>
      </c>
      <c r="D139" s="1483">
        <v>2802</v>
      </c>
      <c r="E139" s="1484"/>
      <c r="F139" s="1254"/>
      <c r="G139" s="1254"/>
      <c r="H139" s="1254"/>
      <c r="I139" s="1254"/>
      <c r="J139" s="1254"/>
      <c r="K139" s="1254"/>
      <c r="L139" s="1254"/>
      <c r="M139" s="1254"/>
      <c r="N139" s="1254"/>
      <c r="O139" s="1254"/>
      <c r="P139" s="1254"/>
      <c r="Q139" s="1254"/>
      <c r="R139" s="1254"/>
      <c r="S139" s="1254"/>
      <c r="T139" s="1254"/>
      <c r="U139" s="1254"/>
    </row>
    <row r="140" spans="1:21" ht="15.75" thickBot="1" x14ac:dyDescent="0.3">
      <c r="A140" s="657"/>
      <c r="B140" s="1254"/>
      <c r="C140" s="1259"/>
      <c r="D140" s="1250"/>
      <c r="E140" s="1250"/>
      <c r="F140" s="1254"/>
      <c r="G140" s="1254"/>
      <c r="H140" s="1272" t="s">
        <v>1504</v>
      </c>
      <c r="I140" s="1275"/>
      <c r="J140" s="1271" t="s">
        <v>1505</v>
      </c>
      <c r="K140" s="1275"/>
      <c r="L140" s="1271" t="s">
        <v>1506</v>
      </c>
      <c r="M140" s="1275"/>
      <c r="N140" s="1271" t="s">
        <v>1623</v>
      </c>
      <c r="O140" s="1275"/>
      <c r="P140" s="1271" t="s">
        <v>1624</v>
      </c>
      <c r="Q140" s="1275"/>
      <c r="R140" s="1275"/>
      <c r="S140" s="1275"/>
      <c r="T140" s="1271" t="s">
        <v>1646</v>
      </c>
      <c r="U140" s="1254"/>
    </row>
    <row r="141" spans="1:21" ht="15.75" thickBot="1" x14ac:dyDescent="0.3">
      <c r="A141" s="657"/>
      <c r="B141" s="1254"/>
      <c r="C141" s="1268" t="s">
        <v>1502</v>
      </c>
      <c r="D141" s="1485"/>
      <c r="E141" s="1484"/>
      <c r="F141" s="1254"/>
      <c r="G141" s="1255" t="s">
        <v>1048</v>
      </c>
      <c r="H141" s="1227"/>
      <c r="I141" s="1275"/>
      <c r="J141" s="1227"/>
      <c r="K141" s="1275"/>
      <c r="L141" s="1227"/>
      <c r="M141" s="1275"/>
      <c r="N141" s="1215" t="s">
        <v>482</v>
      </c>
      <c r="O141" s="1275"/>
      <c r="P141" s="1215" t="s">
        <v>1626</v>
      </c>
      <c r="Q141" s="1275"/>
      <c r="R141" s="1275"/>
      <c r="S141" s="1275"/>
      <c r="T141" s="1215" t="s">
        <v>462</v>
      </c>
      <c r="U141" s="1254"/>
    </row>
    <row r="142" spans="1:21" ht="15.75" thickBot="1" x14ac:dyDescent="0.3">
      <c r="A142" s="657"/>
      <c r="B142" s="1254"/>
      <c r="C142" s="1259"/>
      <c r="D142" s="1250"/>
      <c r="E142" s="1250"/>
      <c r="F142" s="1254"/>
      <c r="G142" s="1255" t="s">
        <v>1507</v>
      </c>
      <c r="H142" s="1227"/>
      <c r="I142" s="1275"/>
      <c r="J142" s="1258"/>
      <c r="K142" s="1275"/>
      <c r="L142" s="1227"/>
      <c r="M142" s="1275"/>
      <c r="N142" s="1215" t="s">
        <v>482</v>
      </c>
      <c r="O142" s="1275"/>
      <c r="P142" s="1215" t="s">
        <v>1626</v>
      </c>
      <c r="Q142" s="1275"/>
      <c r="R142" s="1275"/>
      <c r="S142" s="1275"/>
      <c r="T142" s="1275"/>
      <c r="U142" s="1254"/>
    </row>
    <row r="143" spans="1:21" ht="15.75" thickBot="1" x14ac:dyDescent="0.3">
      <c r="A143" s="657"/>
      <c r="B143" s="1254"/>
      <c r="C143" s="1268" t="s">
        <v>1503</v>
      </c>
      <c r="D143" s="1485"/>
      <c r="E143" s="1484"/>
      <c r="F143" s="1254"/>
      <c r="G143" s="1255" t="s">
        <v>1508</v>
      </c>
      <c r="H143" s="1227"/>
      <c r="I143" s="1275"/>
      <c r="J143" s="1261"/>
      <c r="K143" s="1275"/>
      <c r="L143" s="1227"/>
      <c r="M143" s="1275"/>
      <c r="N143" s="1215" t="s">
        <v>482</v>
      </c>
      <c r="O143" s="1275"/>
      <c r="P143" s="1215" t="s">
        <v>1626</v>
      </c>
      <c r="Q143" s="1275"/>
      <c r="R143" s="1275"/>
      <c r="S143" s="1275"/>
      <c r="T143" s="1275"/>
      <c r="U143" s="1254"/>
    </row>
    <row r="144" spans="1:21" x14ac:dyDescent="0.25">
      <c r="A144" s="657"/>
      <c r="B144" s="1254"/>
      <c r="C144" s="1259"/>
      <c r="D144" s="1250"/>
      <c r="E144" s="1250"/>
      <c r="F144" s="1254"/>
      <c r="G144" s="1255" t="s">
        <v>1510</v>
      </c>
      <c r="H144" s="1227"/>
      <c r="I144" s="1275"/>
      <c r="J144" s="1262"/>
      <c r="K144" s="1275"/>
      <c r="L144" s="1227"/>
      <c r="M144" s="1275"/>
      <c r="N144" s="1215" t="s">
        <v>482</v>
      </c>
      <c r="O144" s="1275"/>
      <c r="P144" s="1215" t="s">
        <v>1626</v>
      </c>
      <c r="Q144" s="1275"/>
      <c r="R144" s="1275"/>
      <c r="S144" s="1275"/>
      <c r="T144" s="1275"/>
      <c r="U144" s="1254"/>
    </row>
    <row r="145" spans="1:21" x14ac:dyDescent="0.25">
      <c r="A145" s="657"/>
      <c r="B145" s="1254"/>
      <c r="C145" s="1259"/>
      <c r="D145" s="1250"/>
      <c r="E145" s="1250"/>
      <c r="F145" s="1254"/>
      <c r="G145" s="1255" t="s">
        <v>1512</v>
      </c>
      <c r="H145" s="1227"/>
      <c r="I145" s="1275"/>
      <c r="J145" s="1262"/>
      <c r="K145" s="1275"/>
      <c r="L145" s="1227"/>
      <c r="M145" s="1275"/>
      <c r="N145" s="1215" t="s">
        <v>482</v>
      </c>
      <c r="O145" s="1275"/>
      <c r="P145" s="1215" t="s">
        <v>1626</v>
      </c>
      <c r="Q145" s="1275"/>
      <c r="R145" s="1275"/>
      <c r="S145" s="1275"/>
      <c r="T145" s="1275"/>
      <c r="U145" s="1254"/>
    </row>
    <row r="146" spans="1:21" ht="15.75" thickBot="1" x14ac:dyDescent="0.3">
      <c r="A146" s="657"/>
      <c r="B146" s="1254"/>
      <c r="C146" s="1259"/>
      <c r="D146" s="1250"/>
      <c r="E146" s="1250"/>
      <c r="F146" s="1254"/>
      <c r="G146" s="1254"/>
      <c r="H146" s="1254"/>
      <c r="I146" s="1254"/>
      <c r="J146" s="1254"/>
      <c r="K146" s="1254"/>
      <c r="L146" s="1254"/>
      <c r="M146" s="1254"/>
      <c r="N146" s="1254"/>
      <c r="O146" s="1254"/>
      <c r="P146" s="1254"/>
      <c r="Q146" s="1254"/>
      <c r="R146" s="1254"/>
      <c r="S146" s="1254"/>
      <c r="T146" s="1254"/>
      <c r="U146" s="1254"/>
    </row>
    <row r="147" spans="1:21" ht="30.75" thickBot="1" x14ac:dyDescent="0.3">
      <c r="A147" s="657"/>
      <c r="B147" s="1254"/>
      <c r="C147" s="1269" t="s">
        <v>1617</v>
      </c>
      <c r="D147" s="1468" t="s">
        <v>651</v>
      </c>
      <c r="E147" s="1469"/>
      <c r="F147" s="1254"/>
      <c r="G147" s="1254"/>
      <c r="H147" s="1270" t="s">
        <v>1614</v>
      </c>
      <c r="I147" s="1275"/>
      <c r="J147" s="1271" t="s">
        <v>1628</v>
      </c>
      <c r="K147" s="1275"/>
      <c r="L147" s="1271" t="s">
        <v>1615</v>
      </c>
      <c r="M147" s="1254"/>
      <c r="N147" s="1254"/>
      <c r="O147" s="1254"/>
      <c r="P147" s="1254"/>
      <c r="Q147" s="1254"/>
      <c r="R147" s="1254"/>
      <c r="S147" s="1254"/>
      <c r="T147" s="1254"/>
      <c r="U147" s="1254"/>
    </row>
    <row r="148" spans="1:21" ht="15.75" thickBot="1" x14ac:dyDescent="0.3">
      <c r="A148" s="657"/>
      <c r="B148" s="1254"/>
      <c r="C148" s="1259"/>
      <c r="D148" s="1250"/>
      <c r="E148" s="1250"/>
      <c r="F148" s="1254"/>
      <c r="G148" s="1254"/>
      <c r="H148" s="1251" t="s">
        <v>651</v>
      </c>
      <c r="I148" s="1254"/>
      <c r="J148" s="1194" t="s">
        <v>1616</v>
      </c>
      <c r="K148" s="1254"/>
      <c r="L148" s="1215" t="s">
        <v>1616</v>
      </c>
      <c r="M148" s="1254"/>
      <c r="N148" s="1254"/>
      <c r="O148" s="1254"/>
      <c r="P148" s="1254"/>
      <c r="Q148" s="1254"/>
      <c r="R148" s="1254"/>
      <c r="S148" s="1254"/>
      <c r="T148" s="1254"/>
      <c r="U148" s="1254"/>
    </row>
    <row r="149" spans="1:21" ht="15.75" thickBot="1" x14ac:dyDescent="0.3">
      <c r="A149" s="657"/>
      <c r="B149" s="1254"/>
      <c r="C149" s="1268" t="s">
        <v>1618</v>
      </c>
      <c r="D149" s="1483" t="s">
        <v>1647</v>
      </c>
      <c r="E149" s="1486"/>
      <c r="F149" s="1254"/>
      <c r="G149" s="1254"/>
      <c r="H149" s="1254"/>
      <c r="I149" s="1254"/>
      <c r="J149" s="1254"/>
      <c r="K149" s="1254"/>
      <c r="L149" s="1254"/>
      <c r="M149" s="1254"/>
      <c r="N149" s="1254"/>
      <c r="O149" s="1254"/>
      <c r="P149" s="1254"/>
      <c r="Q149" s="1254"/>
      <c r="R149" s="1254"/>
      <c r="S149" s="1254"/>
      <c r="T149" s="1254"/>
      <c r="U149" s="1254"/>
    </row>
    <row r="150" spans="1:21" ht="15.75" thickBot="1" x14ac:dyDescent="0.3">
      <c r="A150" s="657"/>
      <c r="B150" s="1254"/>
      <c r="C150" s="1254"/>
      <c r="D150" s="1254"/>
      <c r="E150" s="1254"/>
      <c r="F150" s="1254"/>
      <c r="G150" s="1254"/>
      <c r="H150" s="1254"/>
      <c r="I150" s="1254"/>
      <c r="J150" s="1254"/>
      <c r="K150" s="1254"/>
      <c r="L150" s="1254"/>
      <c r="M150" s="1254"/>
      <c r="N150" s="1254"/>
      <c r="O150" s="1254"/>
      <c r="P150" s="1254"/>
      <c r="Q150" s="1254"/>
      <c r="R150" s="1254"/>
      <c r="S150" s="1254"/>
      <c r="T150" s="1254"/>
      <c r="U150" s="1254"/>
    </row>
    <row r="151" spans="1:21" ht="15.75" thickBot="1" x14ac:dyDescent="0.3">
      <c r="A151" s="657"/>
      <c r="B151" s="1487" t="s">
        <v>1651</v>
      </c>
      <c r="C151" s="1488"/>
      <c r="D151" s="1488"/>
      <c r="E151" s="1488"/>
      <c r="F151" s="1488"/>
      <c r="G151" s="1488"/>
      <c r="H151" s="1488"/>
      <c r="I151" s="1488"/>
      <c r="J151" s="1488"/>
      <c r="K151" s="1488"/>
      <c r="L151" s="1488"/>
      <c r="M151" s="1488"/>
      <c r="N151" s="1488"/>
      <c r="O151" s="1488"/>
      <c r="P151" s="1488"/>
      <c r="Q151" s="1488"/>
      <c r="R151" s="1488"/>
      <c r="S151" s="1488"/>
      <c r="T151" s="1488"/>
      <c r="U151" s="1486"/>
    </row>
    <row r="152" spans="1:21" ht="15.75" thickBot="1" x14ac:dyDescent="0.3">
      <c r="A152" s="657"/>
      <c r="B152" s="1254"/>
      <c r="C152" s="1254"/>
      <c r="D152" s="1254"/>
      <c r="E152" s="1254"/>
      <c r="F152" s="1254"/>
      <c r="G152" s="1254"/>
      <c r="H152" s="1254"/>
      <c r="I152" s="1254"/>
      <c r="J152" s="1254"/>
      <c r="K152" s="1254"/>
      <c r="L152" s="1254"/>
      <c r="M152" s="1254"/>
      <c r="N152" s="1254"/>
      <c r="O152" s="1254"/>
      <c r="P152" s="1254"/>
      <c r="Q152" s="1254"/>
      <c r="R152" s="1254"/>
      <c r="S152" s="1254"/>
      <c r="T152" s="1254"/>
      <c r="U152" s="1254"/>
    </row>
    <row r="153" spans="1:21" ht="30.75" thickBot="1" x14ac:dyDescent="0.3">
      <c r="A153" s="496"/>
      <c r="B153" s="1254"/>
      <c r="C153" s="1268" t="s">
        <v>1500</v>
      </c>
      <c r="D153" s="1481" t="s">
        <v>1652</v>
      </c>
      <c r="E153" s="1482"/>
      <c r="F153" s="1275"/>
      <c r="G153" s="1275"/>
      <c r="H153" s="1271" t="s">
        <v>1497</v>
      </c>
      <c r="I153" s="1275"/>
      <c r="J153" s="1271" t="s">
        <v>1498</v>
      </c>
      <c r="K153" s="1275"/>
      <c r="L153" s="1271" t="s">
        <v>1514</v>
      </c>
      <c r="M153" s="1275"/>
      <c r="N153" s="1271" t="s">
        <v>1499</v>
      </c>
      <c r="O153" s="1275"/>
      <c r="P153" s="1271" t="s">
        <v>1608</v>
      </c>
      <c r="Q153" s="1275"/>
      <c r="R153" s="1271" t="s">
        <v>1609</v>
      </c>
      <c r="S153" s="1275"/>
      <c r="T153" s="1271" t="s">
        <v>1610</v>
      </c>
      <c r="U153" s="1254"/>
    </row>
    <row r="154" spans="1:21" ht="15.75" thickBot="1" x14ac:dyDescent="0.3">
      <c r="A154" s="657"/>
      <c r="B154" s="1254"/>
      <c r="C154" s="1259"/>
      <c r="D154" s="1259"/>
      <c r="E154" s="1259"/>
      <c r="F154" s="1275"/>
      <c r="G154" s="1275"/>
      <c r="H154" s="1193"/>
      <c r="I154" s="1275"/>
      <c r="J154" s="1256"/>
      <c r="K154" s="1275"/>
      <c r="L154" s="1256"/>
      <c r="M154" s="1275"/>
      <c r="N154" s="1226"/>
      <c r="O154" s="1275"/>
      <c r="P154" s="1194" t="s">
        <v>1611</v>
      </c>
      <c r="Q154" s="1275"/>
      <c r="R154" s="1194" t="s">
        <v>1612</v>
      </c>
      <c r="S154" s="1275"/>
      <c r="T154" s="1194" t="s">
        <v>653</v>
      </c>
      <c r="U154" s="1254"/>
    </row>
    <row r="155" spans="1:21" ht="30.75" thickBot="1" x14ac:dyDescent="0.3">
      <c r="A155" s="657"/>
      <c r="B155" s="1254"/>
      <c r="C155" s="1271" t="s">
        <v>1613</v>
      </c>
      <c r="D155" s="1483">
        <v>3401</v>
      </c>
      <c r="E155" s="1484"/>
      <c r="F155" s="1275"/>
      <c r="G155" s="1275"/>
      <c r="H155" s="1275"/>
      <c r="I155" s="1275"/>
      <c r="J155" s="1275"/>
      <c r="K155" s="1275"/>
      <c r="L155" s="1275"/>
      <c r="M155" s="1275"/>
      <c r="N155" s="1275"/>
      <c r="O155" s="1275"/>
      <c r="P155" s="1275"/>
      <c r="Q155" s="1275"/>
      <c r="R155" s="1275"/>
      <c r="S155" s="1275"/>
      <c r="T155" s="1275"/>
      <c r="U155" s="1254"/>
    </row>
    <row r="156" spans="1:21" ht="15.75" thickBot="1" x14ac:dyDescent="0.3">
      <c r="A156" s="657"/>
      <c r="B156" s="1254"/>
      <c r="C156" s="1259"/>
      <c r="D156" s="1259"/>
      <c r="E156" s="1259"/>
      <c r="F156" s="1275"/>
      <c r="G156" s="1275"/>
      <c r="H156" s="1275"/>
      <c r="I156" s="1275"/>
      <c r="J156" s="1275"/>
      <c r="K156" s="1275"/>
      <c r="L156" s="1271" t="s">
        <v>1506</v>
      </c>
      <c r="M156" s="1275"/>
      <c r="N156" s="1275"/>
      <c r="O156" s="1275"/>
      <c r="P156" s="1275"/>
      <c r="Q156" s="1275"/>
      <c r="R156" s="1275"/>
      <c r="S156" s="1275"/>
      <c r="T156" s="1275"/>
      <c r="U156" s="1254"/>
    </row>
    <row r="157" spans="1:21" ht="15.75" thickBot="1" x14ac:dyDescent="0.3">
      <c r="A157" s="657"/>
      <c r="B157" s="1254"/>
      <c r="C157" s="1268" t="s">
        <v>1502</v>
      </c>
      <c r="D157" s="1485"/>
      <c r="E157" s="1484"/>
      <c r="F157" s="1275"/>
      <c r="G157" s="1275"/>
      <c r="H157" s="1275"/>
      <c r="I157" s="1275"/>
      <c r="J157" s="1275"/>
      <c r="K157" s="1275"/>
      <c r="L157" s="1227"/>
      <c r="M157" s="1275"/>
      <c r="N157" s="1275"/>
      <c r="O157" s="1275"/>
      <c r="P157" s="1275"/>
      <c r="Q157" s="1275"/>
      <c r="R157" s="1275"/>
      <c r="S157" s="1275"/>
      <c r="T157" s="1275"/>
      <c r="U157" s="1254"/>
    </row>
    <row r="158" spans="1:21" ht="15.75" thickBot="1" x14ac:dyDescent="0.3">
      <c r="A158" s="657"/>
      <c r="B158" s="1254"/>
      <c r="C158" s="1259"/>
      <c r="D158" s="1259"/>
      <c r="E158" s="1259"/>
      <c r="F158" s="1275"/>
      <c r="G158" s="1275"/>
      <c r="H158" s="1275"/>
      <c r="I158" s="1275"/>
      <c r="J158" s="1275"/>
      <c r="K158" s="1275"/>
      <c r="L158" s="1275"/>
      <c r="M158" s="1275"/>
      <c r="N158" s="1275"/>
      <c r="O158" s="1275"/>
      <c r="P158" s="1275"/>
      <c r="Q158" s="1275"/>
      <c r="R158" s="1275"/>
      <c r="S158" s="1275"/>
      <c r="T158" s="1275"/>
      <c r="U158" s="1254"/>
    </row>
    <row r="159" spans="1:21" ht="30.75" thickBot="1" x14ac:dyDescent="0.3">
      <c r="A159" s="657"/>
      <c r="B159" s="1254"/>
      <c r="C159" s="1268" t="s">
        <v>1503</v>
      </c>
      <c r="D159" s="1485"/>
      <c r="E159" s="1484"/>
      <c r="F159" s="1275"/>
      <c r="G159" s="1275"/>
      <c r="H159" s="1270" t="s">
        <v>1614</v>
      </c>
      <c r="I159" s="1275"/>
      <c r="J159" s="1275"/>
      <c r="K159" s="1275"/>
      <c r="L159" s="1271" t="s">
        <v>1615</v>
      </c>
      <c r="M159" s="1275"/>
      <c r="N159" s="1275"/>
      <c r="O159" s="1275"/>
      <c r="P159" s="1275"/>
      <c r="Q159" s="1275"/>
      <c r="R159" s="1275"/>
      <c r="S159" s="1275"/>
      <c r="T159" s="1275"/>
      <c r="U159" s="1254"/>
    </row>
    <row r="160" spans="1:21" ht="15.75" thickBot="1" x14ac:dyDescent="0.3">
      <c r="A160" s="657"/>
      <c r="B160" s="1254"/>
      <c r="C160" s="1259"/>
      <c r="D160" s="1259"/>
      <c r="E160" s="1259"/>
      <c r="F160" s="1275"/>
      <c r="G160" s="1275"/>
      <c r="H160" s="1251" t="s">
        <v>651</v>
      </c>
      <c r="I160" s="1275"/>
      <c r="J160" s="1275"/>
      <c r="K160" s="1275"/>
      <c r="L160" s="1215" t="s">
        <v>1653</v>
      </c>
      <c r="M160" s="1275"/>
      <c r="N160" s="1275"/>
      <c r="O160" s="1275"/>
      <c r="P160" s="1275"/>
      <c r="Q160" s="1275"/>
      <c r="R160" s="1275"/>
      <c r="S160" s="1275"/>
      <c r="T160" s="1275"/>
      <c r="U160" s="1254"/>
    </row>
    <row r="161" spans="1:21" ht="30" customHeight="1" thickBot="1" x14ac:dyDescent="0.3">
      <c r="A161" s="657"/>
      <c r="B161" s="1254"/>
      <c r="C161" s="1269" t="s">
        <v>1617</v>
      </c>
      <c r="D161" s="1468" t="s">
        <v>651</v>
      </c>
      <c r="E161" s="1469"/>
      <c r="F161" s="1275"/>
      <c r="G161" s="1275"/>
      <c r="H161" s="1275"/>
      <c r="I161" s="1275"/>
      <c r="J161" s="1275"/>
      <c r="K161" s="1275"/>
      <c r="L161" s="1275"/>
      <c r="M161" s="1275"/>
      <c r="N161" s="1275"/>
      <c r="O161" s="1275"/>
      <c r="P161" s="1275"/>
      <c r="Q161" s="1275"/>
      <c r="R161" s="1275"/>
      <c r="S161" s="1275"/>
      <c r="T161" s="1275"/>
      <c r="U161" s="1254"/>
    </row>
    <row r="162" spans="1:21" ht="15.75" thickBot="1" x14ac:dyDescent="0.3">
      <c r="A162" s="657"/>
      <c r="B162" s="1254"/>
      <c r="C162" s="1259"/>
      <c r="D162" s="1259"/>
      <c r="E162" s="1259"/>
      <c r="F162" s="1275"/>
      <c r="G162" s="1275"/>
      <c r="H162" s="1275"/>
      <c r="I162" s="1275"/>
      <c r="J162" s="1275"/>
      <c r="K162" s="1275"/>
      <c r="L162" s="1275"/>
      <c r="M162" s="1275"/>
      <c r="N162" s="1275"/>
      <c r="O162" s="1275"/>
      <c r="P162" s="1275"/>
      <c r="Q162" s="1275"/>
      <c r="R162" s="1275"/>
      <c r="S162" s="1275"/>
      <c r="T162" s="1275"/>
      <c r="U162" s="1254"/>
    </row>
    <row r="163" spans="1:21" ht="15.75" thickBot="1" x14ac:dyDescent="0.3">
      <c r="A163" s="657"/>
      <c r="B163" s="1254"/>
      <c r="C163" s="1268" t="s">
        <v>1618</v>
      </c>
      <c r="D163" s="1483" t="s">
        <v>1654</v>
      </c>
      <c r="E163" s="1486"/>
      <c r="F163" s="1275"/>
      <c r="G163" s="1275"/>
      <c r="H163" s="1275"/>
      <c r="I163" s="1275"/>
      <c r="J163" s="1275"/>
      <c r="K163" s="1275"/>
      <c r="L163" s="1275"/>
      <c r="M163" s="1275"/>
      <c r="N163" s="1275"/>
      <c r="O163" s="1275"/>
      <c r="P163" s="1275"/>
      <c r="Q163" s="1275"/>
      <c r="R163" s="1275"/>
      <c r="S163" s="1275"/>
      <c r="T163" s="1275"/>
      <c r="U163" s="1254"/>
    </row>
    <row r="164" spans="1:21" ht="15.75" thickBot="1" x14ac:dyDescent="0.3">
      <c r="A164" s="657"/>
      <c r="B164" s="1254"/>
      <c r="C164" s="1250"/>
      <c r="D164" s="1250"/>
      <c r="E164" s="1250"/>
      <c r="F164" s="1254"/>
      <c r="G164" s="1254"/>
      <c r="H164" s="1254"/>
      <c r="I164" s="1254"/>
      <c r="J164" s="1254"/>
      <c r="K164" s="1254"/>
      <c r="L164" s="1254"/>
      <c r="M164" s="1254"/>
      <c r="N164" s="1254"/>
      <c r="O164" s="1254"/>
      <c r="P164" s="1254"/>
      <c r="Q164" s="1254"/>
      <c r="R164" s="1254"/>
      <c r="S164" s="1254"/>
      <c r="T164" s="1254"/>
      <c r="U164" s="1254"/>
    </row>
    <row r="165" spans="1:21" ht="15.75" thickBot="1" x14ac:dyDescent="0.3">
      <c r="A165" s="657"/>
      <c r="B165" s="1487" t="s">
        <v>1655</v>
      </c>
      <c r="C165" s="1488"/>
      <c r="D165" s="1488"/>
      <c r="E165" s="1488"/>
      <c r="F165" s="1488"/>
      <c r="G165" s="1488"/>
      <c r="H165" s="1488"/>
      <c r="I165" s="1488"/>
      <c r="J165" s="1488"/>
      <c r="K165" s="1488"/>
      <c r="L165" s="1488"/>
      <c r="M165" s="1488"/>
      <c r="N165" s="1488"/>
      <c r="O165" s="1488"/>
      <c r="P165" s="1488"/>
      <c r="Q165" s="1488"/>
      <c r="R165" s="1488"/>
      <c r="S165" s="1488"/>
      <c r="T165" s="1488"/>
      <c r="U165" s="1486"/>
    </row>
    <row r="166" spans="1:21" ht="15.75" thickBot="1" x14ac:dyDescent="0.3">
      <c r="A166" s="657"/>
      <c r="B166" s="1275"/>
      <c r="C166" s="1275"/>
      <c r="D166" s="1275"/>
      <c r="E166" s="1275"/>
      <c r="F166" s="1275"/>
      <c r="G166" s="1275"/>
      <c r="H166" s="1275"/>
      <c r="I166" s="1275"/>
      <c r="J166" s="1275"/>
      <c r="K166" s="1275"/>
      <c r="L166" s="1275"/>
      <c r="M166" s="1275"/>
      <c r="N166" s="1275"/>
      <c r="O166" s="1275"/>
      <c r="P166" s="1275"/>
      <c r="Q166" s="1275"/>
      <c r="R166" s="1275"/>
      <c r="S166" s="1275"/>
      <c r="T166" s="1275"/>
      <c r="U166" s="1275"/>
    </row>
    <row r="167" spans="1:21" ht="30.75" thickBot="1" x14ac:dyDescent="0.3">
      <c r="A167" s="496"/>
      <c r="B167" s="1275"/>
      <c r="C167" s="1268" t="s">
        <v>1500</v>
      </c>
      <c r="D167" s="1481" t="s">
        <v>1652</v>
      </c>
      <c r="E167" s="1482"/>
      <c r="F167" s="1275"/>
      <c r="G167" s="1275"/>
      <c r="H167" s="1271" t="s">
        <v>1497</v>
      </c>
      <c r="I167" s="1275"/>
      <c r="J167" s="1271" t="s">
        <v>1498</v>
      </c>
      <c r="K167" s="1275"/>
      <c r="L167" s="1271" t="s">
        <v>1514</v>
      </c>
      <c r="M167" s="1275"/>
      <c r="N167" s="1271" t="s">
        <v>1499</v>
      </c>
      <c r="O167" s="1275"/>
      <c r="P167" s="1271" t="s">
        <v>1608</v>
      </c>
      <c r="Q167" s="1275"/>
      <c r="R167" s="1271" t="s">
        <v>1609</v>
      </c>
      <c r="S167" s="1275"/>
      <c r="T167" s="1271" t="s">
        <v>1610</v>
      </c>
      <c r="U167" s="1275"/>
    </row>
    <row r="168" spans="1:21" ht="15.75" thickBot="1" x14ac:dyDescent="0.3">
      <c r="A168" s="657"/>
      <c r="B168" s="1275"/>
      <c r="C168" s="1259"/>
      <c r="D168" s="1259"/>
      <c r="E168" s="1259"/>
      <c r="F168" s="1275"/>
      <c r="G168" s="1275"/>
      <c r="H168" s="1193"/>
      <c r="I168" s="1275"/>
      <c r="J168" s="1256"/>
      <c r="K168" s="1275"/>
      <c r="L168" s="1256"/>
      <c r="M168" s="1275"/>
      <c r="N168" s="1226"/>
      <c r="O168" s="1275"/>
      <c r="P168" s="1194" t="s">
        <v>1611</v>
      </c>
      <c r="Q168" s="1275"/>
      <c r="R168" s="1194" t="s">
        <v>1612</v>
      </c>
      <c r="S168" s="1275"/>
      <c r="T168" s="1194" t="s">
        <v>653</v>
      </c>
      <c r="U168" s="1275"/>
    </row>
    <row r="169" spans="1:21" ht="30.75" thickBot="1" x14ac:dyDescent="0.3">
      <c r="A169" s="657"/>
      <c r="B169" s="1275"/>
      <c r="C169" s="1268" t="s">
        <v>1613</v>
      </c>
      <c r="D169" s="1483">
        <v>3402</v>
      </c>
      <c r="E169" s="1484"/>
      <c r="F169" s="1275"/>
      <c r="G169" s="1275"/>
      <c r="H169" s="1275"/>
      <c r="I169" s="1275"/>
      <c r="J169" s="1275"/>
      <c r="K169" s="1275"/>
      <c r="L169" s="1275"/>
      <c r="M169" s="1275"/>
      <c r="N169" s="1275"/>
      <c r="O169" s="1275"/>
      <c r="P169" s="1275"/>
      <c r="Q169" s="1275"/>
      <c r="R169" s="1275"/>
      <c r="S169" s="1275"/>
      <c r="T169" s="1275"/>
      <c r="U169" s="1275"/>
    </row>
    <row r="170" spans="1:21" ht="15.75" thickBot="1" x14ac:dyDescent="0.3">
      <c r="A170" s="657"/>
      <c r="B170" s="1275"/>
      <c r="C170" s="1259"/>
      <c r="D170" s="1259"/>
      <c r="E170" s="1259"/>
      <c r="F170" s="1275"/>
      <c r="G170" s="1275"/>
      <c r="H170" s="1275"/>
      <c r="I170" s="1275"/>
      <c r="J170" s="1275"/>
      <c r="K170" s="1275"/>
      <c r="L170" s="1271" t="s">
        <v>1506</v>
      </c>
      <c r="M170" s="1275"/>
      <c r="N170" s="1275"/>
      <c r="O170" s="1275"/>
      <c r="P170" s="1275"/>
      <c r="Q170" s="1275"/>
      <c r="R170" s="1275"/>
      <c r="S170" s="1275"/>
      <c r="T170" s="1275"/>
      <c r="U170" s="1275"/>
    </row>
    <row r="171" spans="1:21" ht="15.75" thickBot="1" x14ac:dyDescent="0.3">
      <c r="A171" s="657"/>
      <c r="B171" s="1275"/>
      <c r="C171" s="1268" t="s">
        <v>1502</v>
      </c>
      <c r="D171" s="1485"/>
      <c r="E171" s="1484"/>
      <c r="F171" s="1275"/>
      <c r="G171" s="1275"/>
      <c r="H171" s="1275"/>
      <c r="I171" s="1275"/>
      <c r="J171" s="1275"/>
      <c r="K171" s="1275"/>
      <c r="L171" s="1227"/>
      <c r="M171" s="1275"/>
      <c r="N171" s="1275"/>
      <c r="O171" s="1275"/>
      <c r="P171" s="1275"/>
      <c r="Q171" s="1275"/>
      <c r="R171" s="1275"/>
      <c r="S171" s="1275"/>
      <c r="T171" s="1275"/>
      <c r="U171" s="1275"/>
    </row>
    <row r="172" spans="1:21" ht="15.75" thickBot="1" x14ac:dyDescent="0.3">
      <c r="A172" s="657"/>
      <c r="B172" s="1275"/>
      <c r="C172" s="1259"/>
      <c r="D172" s="1259"/>
      <c r="E172" s="1259"/>
      <c r="F172" s="1275"/>
      <c r="G172" s="1275"/>
      <c r="H172" s="1275"/>
      <c r="I172" s="1275"/>
      <c r="J172" s="1275"/>
      <c r="K172" s="1275"/>
      <c r="L172" s="1275"/>
      <c r="M172" s="1275"/>
      <c r="N172" s="1275"/>
      <c r="O172" s="1275"/>
      <c r="P172" s="1275"/>
      <c r="Q172" s="1275"/>
      <c r="R172" s="1275"/>
      <c r="S172" s="1275"/>
      <c r="T172" s="1275"/>
      <c r="U172" s="1275"/>
    </row>
    <row r="173" spans="1:21" ht="30.75" thickBot="1" x14ac:dyDescent="0.3">
      <c r="A173" s="657"/>
      <c r="B173" s="1275"/>
      <c r="C173" s="1268" t="s">
        <v>1503</v>
      </c>
      <c r="D173" s="1485"/>
      <c r="E173" s="1484"/>
      <c r="F173" s="1275"/>
      <c r="G173" s="1275"/>
      <c r="H173" s="1270" t="s">
        <v>1614</v>
      </c>
      <c r="I173" s="1275"/>
      <c r="J173" s="1275"/>
      <c r="K173" s="1275"/>
      <c r="L173" s="1271" t="s">
        <v>1615</v>
      </c>
      <c r="M173" s="1275"/>
      <c r="N173" s="1275"/>
      <c r="O173" s="1275"/>
      <c r="P173" s="1275"/>
      <c r="Q173" s="1275"/>
      <c r="R173" s="1275"/>
      <c r="S173" s="1275"/>
      <c r="T173" s="1275"/>
      <c r="U173" s="1275"/>
    </row>
    <row r="174" spans="1:21" ht="15.75" thickBot="1" x14ac:dyDescent="0.3">
      <c r="A174" s="657"/>
      <c r="B174" s="1275"/>
      <c r="C174" s="1259"/>
      <c r="D174" s="1259"/>
      <c r="E174" s="1259"/>
      <c r="F174" s="1275"/>
      <c r="G174" s="1275"/>
      <c r="H174" s="1251" t="s">
        <v>651</v>
      </c>
      <c r="I174" s="1275"/>
      <c r="J174" s="1275"/>
      <c r="K174" s="1275"/>
      <c r="L174" s="1215" t="s">
        <v>1653</v>
      </c>
      <c r="M174" s="1275"/>
      <c r="N174" s="1275"/>
      <c r="O174" s="1275"/>
      <c r="P174" s="1275"/>
      <c r="Q174" s="1275"/>
      <c r="R174" s="1275"/>
      <c r="S174" s="1275"/>
      <c r="T174" s="1275"/>
      <c r="U174" s="1275"/>
    </row>
    <row r="175" spans="1:21" ht="30" customHeight="1" thickBot="1" x14ac:dyDescent="0.3">
      <c r="A175" s="657"/>
      <c r="B175" s="1275"/>
      <c r="C175" s="1269" t="s">
        <v>1617</v>
      </c>
      <c r="D175" s="1468" t="s">
        <v>651</v>
      </c>
      <c r="E175" s="1469"/>
      <c r="F175" s="1275"/>
      <c r="G175" s="1275"/>
      <c r="H175" s="1275"/>
      <c r="I175" s="1275"/>
      <c r="J175" s="1275"/>
      <c r="K175" s="1275"/>
      <c r="L175" s="1275"/>
      <c r="M175" s="1275"/>
      <c r="N175" s="1275"/>
      <c r="O175" s="1275"/>
      <c r="P175" s="1275"/>
      <c r="Q175" s="1275"/>
      <c r="R175" s="1275"/>
      <c r="S175" s="1275"/>
      <c r="T175" s="1275"/>
      <c r="U175" s="1275"/>
    </row>
    <row r="176" spans="1:21" ht="15.75" thickBot="1" x14ac:dyDescent="0.3">
      <c r="A176" s="657"/>
      <c r="B176" s="1275"/>
      <c r="C176" s="1259"/>
      <c r="D176" s="1259"/>
      <c r="E176" s="1259"/>
      <c r="F176" s="1275"/>
      <c r="G176" s="1275"/>
      <c r="H176" s="1275"/>
      <c r="I176" s="1275"/>
      <c r="J176" s="1275"/>
      <c r="K176" s="1275"/>
      <c r="L176" s="1275"/>
      <c r="M176" s="1275"/>
      <c r="N176" s="1275"/>
      <c r="O176" s="1275"/>
      <c r="P176" s="1275"/>
      <c r="Q176" s="1275"/>
      <c r="R176" s="1275"/>
      <c r="S176" s="1275"/>
      <c r="T176" s="1275"/>
      <c r="U176" s="1275"/>
    </row>
    <row r="177" spans="1:21" ht="15.75" thickBot="1" x14ac:dyDescent="0.3">
      <c r="A177" s="657"/>
      <c r="B177" s="1275"/>
      <c r="C177" s="1268" t="s">
        <v>1618</v>
      </c>
      <c r="D177" s="1483" t="s">
        <v>1654</v>
      </c>
      <c r="E177" s="1486"/>
      <c r="F177" s="1275"/>
      <c r="G177" s="1275"/>
      <c r="H177" s="1275"/>
      <c r="I177" s="1275"/>
      <c r="J177" s="1275"/>
      <c r="K177" s="1275"/>
      <c r="L177" s="1275"/>
      <c r="M177" s="1275"/>
      <c r="N177" s="1275"/>
      <c r="O177" s="1275"/>
      <c r="P177" s="1275"/>
      <c r="Q177" s="1275"/>
      <c r="R177" s="1275"/>
      <c r="S177" s="1275"/>
      <c r="T177" s="1275"/>
      <c r="U177" s="1275"/>
    </row>
    <row r="178" spans="1:21" ht="15.75" thickBot="1" x14ac:dyDescent="0.3">
      <c r="A178" s="657"/>
      <c r="B178" s="1275"/>
      <c r="C178" s="1275"/>
      <c r="D178" s="1275"/>
      <c r="E178" s="1275"/>
      <c r="F178" s="1275"/>
      <c r="G178" s="1275"/>
      <c r="H178" s="1275"/>
      <c r="I178" s="1275"/>
      <c r="J178" s="1275"/>
      <c r="K178" s="1275"/>
      <c r="L178" s="1275"/>
      <c r="M178" s="1275"/>
      <c r="N178" s="1275"/>
      <c r="O178" s="1275"/>
      <c r="P178" s="1275"/>
      <c r="Q178" s="1275"/>
      <c r="R178" s="1275"/>
      <c r="S178" s="1275"/>
      <c r="T178" s="1275"/>
      <c r="U178" s="1275"/>
    </row>
    <row r="179" spans="1:21" ht="15.75" thickBot="1" x14ac:dyDescent="0.3">
      <c r="A179" s="657"/>
      <c r="B179" s="1487" t="s">
        <v>1656</v>
      </c>
      <c r="C179" s="1488"/>
      <c r="D179" s="1488"/>
      <c r="E179" s="1488"/>
      <c r="F179" s="1488"/>
      <c r="G179" s="1488"/>
      <c r="H179" s="1488"/>
      <c r="I179" s="1488"/>
      <c r="J179" s="1488"/>
      <c r="K179" s="1488"/>
      <c r="L179" s="1488"/>
      <c r="M179" s="1488"/>
      <c r="N179" s="1488"/>
      <c r="O179" s="1488"/>
      <c r="P179" s="1488"/>
      <c r="Q179" s="1488"/>
      <c r="R179" s="1488"/>
      <c r="S179" s="1488"/>
      <c r="T179" s="1488"/>
      <c r="U179" s="1486"/>
    </row>
    <row r="180" spans="1:21" ht="15.75" thickBot="1" x14ac:dyDescent="0.3">
      <c r="A180" s="657"/>
      <c r="B180" s="1275"/>
      <c r="C180" s="1275"/>
      <c r="D180" s="1275"/>
      <c r="E180" s="1275"/>
      <c r="F180" s="1275"/>
      <c r="G180" s="1275"/>
      <c r="H180" s="1275"/>
      <c r="I180" s="1275"/>
      <c r="J180" s="1275"/>
      <c r="K180" s="1275"/>
      <c r="L180" s="1275"/>
      <c r="M180" s="1275"/>
      <c r="N180" s="1275"/>
      <c r="O180" s="1275"/>
      <c r="P180" s="1275"/>
      <c r="Q180" s="1275"/>
      <c r="R180" s="1275"/>
      <c r="S180" s="1275"/>
      <c r="T180" s="1275"/>
      <c r="U180" s="1275"/>
    </row>
    <row r="181" spans="1:21" ht="30.75" thickBot="1" x14ac:dyDescent="0.3">
      <c r="A181" s="496"/>
      <c r="B181" s="1275"/>
      <c r="C181" s="1268" t="s">
        <v>1500</v>
      </c>
      <c r="D181" s="1481" t="s">
        <v>1657</v>
      </c>
      <c r="E181" s="1482"/>
      <c r="F181" s="1275"/>
      <c r="G181" s="1275"/>
      <c r="H181" s="1271" t="s">
        <v>1497</v>
      </c>
      <c r="I181" s="1275"/>
      <c r="J181" s="1271" t="s">
        <v>1498</v>
      </c>
      <c r="K181" s="1275"/>
      <c r="L181" s="1271" t="s">
        <v>1514</v>
      </c>
      <c r="M181" s="1275"/>
      <c r="N181" s="1271" t="s">
        <v>1499</v>
      </c>
      <c r="O181" s="1275"/>
      <c r="P181" s="1271" t="s">
        <v>1608</v>
      </c>
      <c r="Q181" s="1275"/>
      <c r="R181" s="1271" t="s">
        <v>1609</v>
      </c>
      <c r="S181" s="1275"/>
      <c r="T181" s="1271" t="s">
        <v>1610</v>
      </c>
      <c r="U181" s="1275"/>
    </row>
    <row r="182" spans="1:21" ht="15.75" thickBot="1" x14ac:dyDescent="0.3">
      <c r="A182" s="657"/>
      <c r="B182" s="1275"/>
      <c r="C182" s="1259"/>
      <c r="D182" s="1259"/>
      <c r="E182" s="1259"/>
      <c r="F182" s="1275"/>
      <c r="G182" s="1275"/>
      <c r="H182" s="1193"/>
      <c r="I182" s="1275"/>
      <c r="J182" s="1256"/>
      <c r="K182" s="1275"/>
      <c r="L182" s="1256"/>
      <c r="M182" s="1275"/>
      <c r="N182" s="1226"/>
      <c r="O182" s="1275"/>
      <c r="P182" s="1194" t="s">
        <v>1611</v>
      </c>
      <c r="Q182" s="1275"/>
      <c r="R182" s="1194" t="s">
        <v>1612</v>
      </c>
      <c r="S182" s="1275"/>
      <c r="T182" s="1194" t="s">
        <v>653</v>
      </c>
      <c r="U182" s="1275"/>
    </row>
    <row r="183" spans="1:21" ht="30.75" thickBot="1" x14ac:dyDescent="0.3">
      <c r="A183" s="657"/>
      <c r="B183" s="1275"/>
      <c r="C183" s="1268" t="s">
        <v>1613</v>
      </c>
      <c r="D183" s="1483">
        <v>3501</v>
      </c>
      <c r="E183" s="1484"/>
      <c r="F183" s="1275"/>
      <c r="G183" s="1275"/>
      <c r="H183" s="1275"/>
      <c r="I183" s="1275"/>
      <c r="J183" s="1275"/>
      <c r="K183" s="1275"/>
      <c r="L183" s="1275"/>
      <c r="M183" s="1275"/>
      <c r="N183" s="1275"/>
      <c r="O183" s="1275"/>
      <c r="P183" s="1275"/>
      <c r="Q183" s="1275"/>
      <c r="R183" s="1275"/>
      <c r="S183" s="1275"/>
      <c r="T183" s="1275"/>
      <c r="U183" s="1275"/>
    </row>
    <row r="184" spans="1:21" ht="30.75" thickBot="1" x14ac:dyDescent="0.3">
      <c r="A184" s="657"/>
      <c r="B184" s="1275"/>
      <c r="C184" s="1259"/>
      <c r="D184" s="1259"/>
      <c r="E184" s="1259"/>
      <c r="F184" s="1275"/>
      <c r="G184" s="1275"/>
      <c r="H184" s="1272" t="s">
        <v>1504</v>
      </c>
      <c r="I184" s="1275"/>
      <c r="J184" s="1271" t="s">
        <v>1505</v>
      </c>
      <c r="K184" s="1275"/>
      <c r="L184" s="1271" t="s">
        <v>1506</v>
      </c>
      <c r="M184" s="1275"/>
      <c r="N184" s="1271" t="s">
        <v>1623</v>
      </c>
      <c r="O184" s="1275"/>
      <c r="P184" s="1271" t="s">
        <v>1624</v>
      </c>
      <c r="Q184" s="1275"/>
      <c r="R184" s="1271" t="s">
        <v>1625</v>
      </c>
      <c r="S184" s="1275"/>
      <c r="T184" s="1275"/>
      <c r="U184" s="1275"/>
    </row>
    <row r="185" spans="1:21" ht="15.75" thickBot="1" x14ac:dyDescent="0.3">
      <c r="A185" s="657"/>
      <c r="B185" s="1275"/>
      <c r="C185" s="1268" t="s">
        <v>1502</v>
      </c>
      <c r="D185" s="1485"/>
      <c r="E185" s="1484"/>
      <c r="F185" s="1275"/>
      <c r="G185" s="1276" t="s">
        <v>1048</v>
      </c>
      <c r="H185" s="1227"/>
      <c r="I185" s="1275"/>
      <c r="J185" s="1277"/>
      <c r="K185" s="1275"/>
      <c r="L185" s="1227"/>
      <c r="M185" s="1275"/>
      <c r="N185" s="1215" t="s">
        <v>482</v>
      </c>
      <c r="O185" s="1275"/>
      <c r="P185" s="1215" t="s">
        <v>1247</v>
      </c>
      <c r="Q185" s="1275"/>
      <c r="R185" s="1215" t="s">
        <v>1627</v>
      </c>
      <c r="S185" s="1275"/>
      <c r="T185" s="1275"/>
      <c r="U185" s="1275"/>
    </row>
    <row r="186" spans="1:21" ht="15.75" thickBot="1" x14ac:dyDescent="0.3">
      <c r="A186" s="657"/>
      <c r="B186" s="1275"/>
      <c r="C186" s="1259"/>
      <c r="D186" s="1259"/>
      <c r="E186" s="1259"/>
      <c r="F186" s="1275"/>
      <c r="G186" s="1275"/>
      <c r="H186" s="1275"/>
      <c r="I186" s="1275"/>
      <c r="J186" s="1275"/>
      <c r="K186" s="1275"/>
      <c r="L186" s="1275"/>
      <c r="M186" s="1275"/>
      <c r="N186" s="1275"/>
      <c r="O186" s="1275"/>
      <c r="P186" s="1275"/>
      <c r="Q186" s="1275"/>
      <c r="R186" s="1275"/>
      <c r="S186" s="1275"/>
      <c r="T186" s="1275"/>
      <c r="U186" s="1275"/>
    </row>
    <row r="187" spans="1:21" ht="30.75" thickBot="1" x14ac:dyDescent="0.3">
      <c r="A187" s="657"/>
      <c r="B187" s="1275"/>
      <c r="C187" s="1268" t="s">
        <v>1503</v>
      </c>
      <c r="D187" s="1485"/>
      <c r="E187" s="1484"/>
      <c r="F187" s="1275"/>
      <c r="G187" s="1275"/>
      <c r="H187" s="1270" t="s">
        <v>1614</v>
      </c>
      <c r="I187" s="1275"/>
      <c r="J187" s="1271" t="s">
        <v>1628</v>
      </c>
      <c r="K187" s="1275"/>
      <c r="L187" s="1271" t="s">
        <v>1615</v>
      </c>
      <c r="M187" s="1275"/>
      <c r="N187" s="1271" t="s">
        <v>1629</v>
      </c>
      <c r="O187" s="1275"/>
      <c r="P187" s="1271" t="s">
        <v>1630</v>
      </c>
      <c r="Q187" s="1275"/>
      <c r="R187" s="1275"/>
      <c r="S187" s="1275"/>
      <c r="T187" s="1275"/>
      <c r="U187" s="1275"/>
    </row>
    <row r="188" spans="1:21" ht="15.75" thickBot="1" x14ac:dyDescent="0.3">
      <c r="A188" s="657"/>
      <c r="B188" s="1275"/>
      <c r="C188" s="1259"/>
      <c r="D188" s="1259"/>
      <c r="E188" s="1259"/>
      <c r="F188" s="1275"/>
      <c r="G188" s="1275"/>
      <c r="H188" s="1251" t="s">
        <v>651</v>
      </c>
      <c r="I188" s="1275"/>
      <c r="J188" s="1194" t="s">
        <v>1616</v>
      </c>
      <c r="K188" s="1275"/>
      <c r="L188" s="1215" t="s">
        <v>1653</v>
      </c>
      <c r="M188" s="1275"/>
      <c r="N188" s="1215" t="s">
        <v>651</v>
      </c>
      <c r="O188" s="1275"/>
      <c r="P188" s="1215" t="s">
        <v>653</v>
      </c>
      <c r="Q188" s="1275"/>
      <c r="R188" s="1275"/>
      <c r="S188" s="1275"/>
      <c r="T188" s="1275"/>
      <c r="U188" s="1275"/>
    </row>
    <row r="189" spans="1:21" ht="30" customHeight="1" thickBot="1" x14ac:dyDescent="0.3">
      <c r="A189" s="657"/>
      <c r="B189" s="1275"/>
      <c r="C189" s="1269" t="s">
        <v>1617</v>
      </c>
      <c r="D189" s="1468" t="s">
        <v>651</v>
      </c>
      <c r="E189" s="1469"/>
      <c r="F189" s="1275"/>
      <c r="G189" s="1275"/>
      <c r="H189" s="1275"/>
      <c r="I189" s="1275"/>
      <c r="J189" s="1275"/>
      <c r="K189" s="1275"/>
      <c r="L189" s="1275"/>
      <c r="M189" s="1275"/>
      <c r="N189" s="1275"/>
      <c r="O189" s="1275"/>
      <c r="P189" s="1275"/>
      <c r="Q189" s="1275"/>
      <c r="R189" s="1275"/>
      <c r="S189" s="1275"/>
      <c r="T189" s="1275"/>
      <c r="U189" s="1275"/>
    </row>
    <row r="190" spans="1:21" ht="15.75" thickBot="1" x14ac:dyDescent="0.3">
      <c r="A190" s="657"/>
      <c r="B190" s="1275"/>
      <c r="C190" s="1259"/>
      <c r="D190" s="1259"/>
      <c r="E190" s="1259"/>
      <c r="F190" s="1275"/>
      <c r="G190" s="1275"/>
      <c r="H190" s="1275"/>
      <c r="I190" s="1275"/>
      <c r="J190" s="1275"/>
      <c r="K190" s="1275"/>
      <c r="L190" s="1275"/>
      <c r="M190" s="1275"/>
      <c r="N190" s="1275"/>
      <c r="O190" s="1275"/>
      <c r="P190" s="1275"/>
      <c r="Q190" s="1275"/>
      <c r="R190" s="1275"/>
      <c r="S190" s="1275"/>
      <c r="T190" s="1275"/>
      <c r="U190" s="1275"/>
    </row>
    <row r="191" spans="1:21" ht="15.75" thickBot="1" x14ac:dyDescent="0.3">
      <c r="A191" s="657"/>
      <c r="B191" s="1275"/>
      <c r="C191" s="1268" t="s">
        <v>1618</v>
      </c>
      <c r="D191" s="1483" t="s">
        <v>1654</v>
      </c>
      <c r="E191" s="1486"/>
      <c r="F191" s="1275"/>
      <c r="G191" s="1275"/>
      <c r="H191" s="1275"/>
      <c r="I191" s="1275"/>
      <c r="J191" s="1275"/>
      <c r="K191" s="1275"/>
      <c r="L191" s="1275"/>
      <c r="M191" s="1275"/>
      <c r="N191" s="1275"/>
      <c r="O191" s="1275"/>
      <c r="P191" s="1275"/>
      <c r="Q191" s="1275"/>
      <c r="R191" s="1275"/>
      <c r="S191" s="1275"/>
      <c r="T191" s="1275"/>
      <c r="U191" s="1275"/>
    </row>
    <row r="192" spans="1:21" ht="15.75" thickBot="1" x14ac:dyDescent="0.3">
      <c r="A192" s="657"/>
      <c r="B192" s="1275"/>
      <c r="C192" s="1275"/>
      <c r="D192" s="1275"/>
      <c r="E192" s="1275"/>
      <c r="F192" s="1275"/>
      <c r="G192" s="1275"/>
      <c r="H192" s="1275"/>
      <c r="I192" s="1275"/>
      <c r="J192" s="1275"/>
      <c r="K192" s="1275"/>
      <c r="L192" s="1275"/>
      <c r="M192" s="1275"/>
      <c r="N192" s="1275"/>
      <c r="O192" s="1275"/>
      <c r="P192" s="1275"/>
      <c r="Q192" s="1275"/>
      <c r="R192" s="1275"/>
      <c r="S192" s="1275"/>
      <c r="T192" s="1275"/>
      <c r="U192" s="1275"/>
    </row>
    <row r="193" spans="1:21" ht="15.75" thickBot="1" x14ac:dyDescent="0.3">
      <c r="A193" s="657"/>
      <c r="B193" s="1487" t="s">
        <v>1658</v>
      </c>
      <c r="C193" s="1488"/>
      <c r="D193" s="1488"/>
      <c r="E193" s="1488"/>
      <c r="F193" s="1488"/>
      <c r="G193" s="1488"/>
      <c r="H193" s="1488"/>
      <c r="I193" s="1488"/>
      <c r="J193" s="1488"/>
      <c r="K193" s="1488"/>
      <c r="L193" s="1488"/>
      <c r="M193" s="1488"/>
      <c r="N193" s="1488"/>
      <c r="O193" s="1488"/>
      <c r="P193" s="1488"/>
      <c r="Q193" s="1488"/>
      <c r="R193" s="1488"/>
      <c r="S193" s="1488"/>
      <c r="T193" s="1488"/>
      <c r="U193" s="1486"/>
    </row>
    <row r="194" spans="1:21" ht="15.75" thickBot="1" x14ac:dyDescent="0.3">
      <c r="A194" s="657"/>
      <c r="B194" s="1275"/>
      <c r="C194" s="1275"/>
      <c r="D194" s="1275"/>
      <c r="E194" s="1275"/>
      <c r="F194" s="1275"/>
      <c r="G194" s="1275"/>
      <c r="H194" s="1275"/>
      <c r="I194" s="1275"/>
      <c r="J194" s="1275"/>
      <c r="K194" s="1275"/>
      <c r="L194" s="1275"/>
      <c r="M194" s="1275"/>
      <c r="N194" s="1275"/>
      <c r="O194" s="1275"/>
      <c r="P194" s="1275"/>
      <c r="Q194" s="1275"/>
      <c r="R194" s="1275"/>
      <c r="S194" s="1275"/>
      <c r="T194" s="1275"/>
      <c r="U194" s="1275"/>
    </row>
    <row r="195" spans="1:21" ht="30.75" thickBot="1" x14ac:dyDescent="0.3">
      <c r="A195" s="496"/>
      <c r="B195" s="1275"/>
      <c r="C195" s="1268" t="s">
        <v>1500</v>
      </c>
      <c r="D195" s="1481" t="s">
        <v>1657</v>
      </c>
      <c r="E195" s="1482"/>
      <c r="F195" s="1275"/>
      <c r="G195" s="1275"/>
      <c r="H195" s="1271" t="s">
        <v>1497</v>
      </c>
      <c r="I195" s="1275"/>
      <c r="J195" s="1271" t="s">
        <v>1498</v>
      </c>
      <c r="K195" s="1275"/>
      <c r="L195" s="1271" t="s">
        <v>1514</v>
      </c>
      <c r="M195" s="1275"/>
      <c r="N195" s="1271" t="s">
        <v>1499</v>
      </c>
      <c r="O195" s="1275"/>
      <c r="P195" s="1271" t="s">
        <v>1608</v>
      </c>
      <c r="Q195" s="1275"/>
      <c r="R195" s="1271" t="s">
        <v>1609</v>
      </c>
      <c r="S195" s="1275"/>
      <c r="T195" s="1271" t="s">
        <v>1610</v>
      </c>
      <c r="U195" s="1275"/>
    </row>
    <row r="196" spans="1:21" ht="15.75" thickBot="1" x14ac:dyDescent="0.3">
      <c r="A196" s="657"/>
      <c r="B196" s="1275"/>
      <c r="C196" s="1259"/>
      <c r="D196" s="1259"/>
      <c r="E196" s="1259"/>
      <c r="F196" s="1275"/>
      <c r="G196" s="1275"/>
      <c r="H196" s="1193"/>
      <c r="I196" s="1275"/>
      <c r="J196" s="1256"/>
      <c r="K196" s="1275"/>
      <c r="L196" s="1256"/>
      <c r="M196" s="1275"/>
      <c r="N196" s="1226"/>
      <c r="O196" s="1275"/>
      <c r="P196" s="1194" t="s">
        <v>1611</v>
      </c>
      <c r="Q196" s="1275"/>
      <c r="R196" s="1194" t="s">
        <v>1612</v>
      </c>
      <c r="S196" s="1275"/>
      <c r="T196" s="1194" t="s">
        <v>653</v>
      </c>
      <c r="U196" s="1275"/>
    </row>
    <row r="197" spans="1:21" ht="30.75" thickBot="1" x14ac:dyDescent="0.3">
      <c r="A197" s="657"/>
      <c r="B197" s="1275"/>
      <c r="C197" s="1268" t="s">
        <v>1613</v>
      </c>
      <c r="D197" s="1483">
        <v>3502</v>
      </c>
      <c r="E197" s="1484"/>
      <c r="F197" s="1275"/>
      <c r="G197" s="1275"/>
      <c r="H197" s="1275"/>
      <c r="I197" s="1275"/>
      <c r="J197" s="1275"/>
      <c r="K197" s="1275"/>
      <c r="L197" s="1275"/>
      <c r="M197" s="1275"/>
      <c r="N197" s="1275"/>
      <c r="O197" s="1275"/>
      <c r="P197" s="1275"/>
      <c r="Q197" s="1275"/>
      <c r="R197" s="1275"/>
      <c r="S197" s="1275"/>
      <c r="T197" s="1275"/>
      <c r="U197" s="1275"/>
    </row>
    <row r="198" spans="1:21" ht="30.75" thickBot="1" x14ac:dyDescent="0.3">
      <c r="A198" s="657"/>
      <c r="B198" s="1275"/>
      <c r="C198" s="1259"/>
      <c r="D198" s="1259"/>
      <c r="E198" s="1259"/>
      <c r="F198" s="1275"/>
      <c r="G198" s="1275"/>
      <c r="H198" s="1272" t="s">
        <v>1504</v>
      </c>
      <c r="I198" s="1275"/>
      <c r="J198" s="1271" t="s">
        <v>1505</v>
      </c>
      <c r="K198" s="1275"/>
      <c r="L198" s="1271" t="s">
        <v>1506</v>
      </c>
      <c r="M198" s="1275"/>
      <c r="N198" s="1271" t="s">
        <v>1623</v>
      </c>
      <c r="O198" s="1275"/>
      <c r="P198" s="1271" t="s">
        <v>1624</v>
      </c>
      <c r="Q198" s="1275"/>
      <c r="R198" s="1271" t="s">
        <v>1625</v>
      </c>
      <c r="S198" s="1275"/>
      <c r="T198" s="1275"/>
      <c r="U198" s="1275"/>
    </row>
    <row r="199" spans="1:21" ht="15.75" thickBot="1" x14ac:dyDescent="0.3">
      <c r="A199" s="657"/>
      <c r="B199" s="1275"/>
      <c r="C199" s="1268" t="s">
        <v>1502</v>
      </c>
      <c r="D199" s="1485"/>
      <c r="E199" s="1484"/>
      <c r="F199" s="1275"/>
      <c r="G199" s="1276" t="s">
        <v>1048</v>
      </c>
      <c r="H199" s="1227"/>
      <c r="I199" s="1275"/>
      <c r="J199" s="1277"/>
      <c r="K199" s="1275"/>
      <c r="L199" s="1227"/>
      <c r="M199" s="1275"/>
      <c r="N199" s="1215" t="s">
        <v>482</v>
      </c>
      <c r="O199" s="1275"/>
      <c r="P199" s="1215" t="s">
        <v>1247</v>
      </c>
      <c r="Q199" s="1275"/>
      <c r="R199" s="1215" t="s">
        <v>1627</v>
      </c>
      <c r="S199" s="1275"/>
      <c r="T199" s="1275"/>
      <c r="U199" s="1275"/>
    </row>
    <row r="200" spans="1:21" ht="15.75" thickBot="1" x14ac:dyDescent="0.3">
      <c r="A200" s="657"/>
      <c r="B200" s="1275"/>
      <c r="C200" s="1259"/>
      <c r="D200" s="1259"/>
      <c r="E200" s="1259"/>
      <c r="F200" s="1275"/>
      <c r="G200" s="1275"/>
      <c r="H200" s="1275"/>
      <c r="I200" s="1275"/>
      <c r="J200" s="1275"/>
      <c r="K200" s="1275"/>
      <c r="L200" s="1275"/>
      <c r="M200" s="1275"/>
      <c r="N200" s="1275"/>
      <c r="O200" s="1275"/>
      <c r="P200" s="1275"/>
      <c r="Q200" s="1275"/>
      <c r="R200" s="1275"/>
      <c r="S200" s="1275"/>
      <c r="T200" s="1275"/>
      <c r="U200" s="1275"/>
    </row>
    <row r="201" spans="1:21" ht="30.75" thickBot="1" x14ac:dyDescent="0.3">
      <c r="A201" s="657"/>
      <c r="B201" s="1275"/>
      <c r="C201" s="1268" t="s">
        <v>1503</v>
      </c>
      <c r="D201" s="1485"/>
      <c r="E201" s="1484"/>
      <c r="F201" s="1275"/>
      <c r="G201" s="1275"/>
      <c r="H201" s="1270" t="s">
        <v>1614</v>
      </c>
      <c r="I201" s="1275"/>
      <c r="J201" s="1271" t="s">
        <v>1628</v>
      </c>
      <c r="K201" s="1275"/>
      <c r="L201" s="1271" t="s">
        <v>1615</v>
      </c>
      <c r="M201" s="1275"/>
      <c r="N201" s="1271" t="s">
        <v>1629</v>
      </c>
      <c r="O201" s="1275"/>
      <c r="P201" s="1271" t="s">
        <v>1630</v>
      </c>
      <c r="Q201" s="1275"/>
      <c r="R201" s="1275"/>
      <c r="S201" s="1275"/>
      <c r="T201" s="1275"/>
      <c r="U201" s="1275"/>
    </row>
    <row r="202" spans="1:21" ht="15.75" thickBot="1" x14ac:dyDescent="0.3">
      <c r="A202" s="657"/>
      <c r="B202" s="1275"/>
      <c r="C202" s="1259"/>
      <c r="D202" s="1259"/>
      <c r="E202" s="1259"/>
      <c r="F202" s="1275"/>
      <c r="G202" s="1275"/>
      <c r="H202" s="1251" t="s">
        <v>651</v>
      </c>
      <c r="I202" s="1275"/>
      <c r="J202" s="1194" t="s">
        <v>1616</v>
      </c>
      <c r="K202" s="1275"/>
      <c r="L202" s="1215" t="s">
        <v>1653</v>
      </c>
      <c r="M202" s="1275"/>
      <c r="N202" s="1215" t="s">
        <v>651</v>
      </c>
      <c r="O202" s="1275"/>
      <c r="P202" s="1215" t="s">
        <v>653</v>
      </c>
      <c r="Q202" s="1275"/>
      <c r="R202" s="1275"/>
      <c r="S202" s="1275"/>
      <c r="T202" s="1275"/>
      <c r="U202" s="1275"/>
    </row>
    <row r="203" spans="1:21" ht="30" customHeight="1" thickBot="1" x14ac:dyDescent="0.3">
      <c r="A203" s="657"/>
      <c r="B203" s="1275"/>
      <c r="C203" s="1269" t="s">
        <v>1617</v>
      </c>
      <c r="D203" s="1468" t="s">
        <v>651</v>
      </c>
      <c r="E203" s="1469"/>
      <c r="F203" s="1275"/>
      <c r="G203" s="1275"/>
      <c r="H203" s="1275"/>
      <c r="I203" s="1275"/>
      <c r="J203" s="1275"/>
      <c r="K203" s="1275"/>
      <c r="L203" s="1275"/>
      <c r="M203" s="1275"/>
      <c r="N203" s="1275"/>
      <c r="O203" s="1275"/>
      <c r="P203" s="1275"/>
      <c r="Q203" s="1275"/>
      <c r="R203" s="1275"/>
      <c r="S203" s="1275"/>
      <c r="T203" s="1275"/>
      <c r="U203" s="1275"/>
    </row>
    <row r="204" spans="1:21" ht="15.75" thickBot="1" x14ac:dyDescent="0.3">
      <c r="A204" s="657"/>
      <c r="B204" s="1275"/>
      <c r="C204" s="1259"/>
      <c r="D204" s="1259"/>
      <c r="E204" s="1259"/>
      <c r="F204" s="1275"/>
      <c r="G204" s="1275"/>
      <c r="H204" s="1275"/>
      <c r="I204" s="1275"/>
      <c r="J204" s="1275"/>
      <c r="K204" s="1275"/>
      <c r="L204" s="1275"/>
      <c r="M204" s="1275"/>
      <c r="N204" s="1275"/>
      <c r="O204" s="1275"/>
      <c r="P204" s="1275"/>
      <c r="Q204" s="1275"/>
      <c r="R204" s="1275"/>
      <c r="S204" s="1275"/>
      <c r="T204" s="1275"/>
      <c r="U204" s="1275"/>
    </row>
    <row r="205" spans="1:21" ht="15.75" thickBot="1" x14ac:dyDescent="0.3">
      <c r="A205" s="657"/>
      <c r="B205" s="1275"/>
      <c r="C205" s="1268" t="s">
        <v>1618</v>
      </c>
      <c r="D205" s="1483" t="s">
        <v>1654</v>
      </c>
      <c r="E205" s="1486"/>
      <c r="F205" s="1275"/>
      <c r="G205" s="1275"/>
      <c r="H205" s="1275"/>
      <c r="I205" s="1275"/>
      <c r="J205" s="1275"/>
      <c r="K205" s="1275"/>
      <c r="L205" s="1275"/>
      <c r="M205" s="1275"/>
      <c r="N205" s="1275"/>
      <c r="O205" s="1275"/>
      <c r="P205" s="1275"/>
      <c r="Q205" s="1275"/>
      <c r="R205" s="1275"/>
      <c r="S205" s="1275"/>
      <c r="T205" s="1275"/>
      <c r="U205" s="1275"/>
    </row>
    <row r="206" spans="1:21" ht="15.75" thickBot="1" x14ac:dyDescent="0.3">
      <c r="A206" s="657"/>
      <c r="B206" s="1275"/>
      <c r="C206" s="1275"/>
      <c r="D206" s="1275"/>
      <c r="E206" s="1275"/>
      <c r="F206" s="1275"/>
      <c r="G206" s="1275"/>
      <c r="H206" s="1275"/>
      <c r="I206" s="1275"/>
      <c r="J206" s="1275"/>
      <c r="K206" s="1275"/>
      <c r="L206" s="1275"/>
      <c r="M206" s="1275"/>
      <c r="N206" s="1275"/>
      <c r="O206" s="1275"/>
      <c r="P206" s="1275"/>
      <c r="Q206" s="1275"/>
      <c r="R206" s="1275"/>
      <c r="S206" s="1275"/>
      <c r="T206" s="1275"/>
      <c r="U206" s="1275"/>
    </row>
    <row r="207" spans="1:21" ht="15.75" thickBot="1" x14ac:dyDescent="0.3">
      <c r="A207" s="657"/>
      <c r="B207" s="1487" t="s">
        <v>1659</v>
      </c>
      <c r="C207" s="1488"/>
      <c r="D207" s="1488"/>
      <c r="E207" s="1488"/>
      <c r="F207" s="1488"/>
      <c r="G207" s="1488"/>
      <c r="H207" s="1488"/>
      <c r="I207" s="1488"/>
      <c r="J207" s="1488"/>
      <c r="K207" s="1488"/>
      <c r="L207" s="1488"/>
      <c r="M207" s="1488"/>
      <c r="N207" s="1488"/>
      <c r="O207" s="1488"/>
      <c r="P207" s="1488"/>
      <c r="Q207" s="1488"/>
      <c r="R207" s="1488"/>
      <c r="S207" s="1488"/>
      <c r="T207" s="1488"/>
      <c r="U207" s="1486"/>
    </row>
    <row r="208" spans="1:21" ht="15.75" thickBot="1" x14ac:dyDescent="0.3">
      <c r="A208" s="657"/>
      <c r="B208" s="1275"/>
      <c r="C208" s="1275"/>
      <c r="D208" s="1275"/>
      <c r="E208" s="1275"/>
      <c r="F208" s="1275"/>
      <c r="G208" s="1275"/>
      <c r="H208" s="1275"/>
      <c r="I208" s="1275"/>
      <c r="J208" s="1275"/>
      <c r="K208" s="1275"/>
      <c r="L208" s="1275"/>
      <c r="M208" s="1275"/>
      <c r="N208" s="1275"/>
      <c r="O208" s="1275"/>
      <c r="P208" s="1275"/>
      <c r="Q208" s="1275"/>
      <c r="R208" s="1275"/>
      <c r="S208" s="1275"/>
      <c r="T208" s="1275"/>
      <c r="U208" s="1275"/>
    </row>
    <row r="209" spans="1:21" ht="30.75" thickBot="1" x14ac:dyDescent="0.3">
      <c r="A209" s="496"/>
      <c r="B209" s="1275"/>
      <c r="C209" s="1268" t="s">
        <v>1500</v>
      </c>
      <c r="D209" s="1481" t="s">
        <v>1660</v>
      </c>
      <c r="E209" s="1482"/>
      <c r="F209" s="1275"/>
      <c r="G209" s="1275"/>
      <c r="H209" s="1271" t="s">
        <v>1497</v>
      </c>
      <c r="I209" s="1275"/>
      <c r="J209" s="1271" t="s">
        <v>1498</v>
      </c>
      <c r="K209" s="1275"/>
      <c r="L209" s="1271" t="s">
        <v>1514</v>
      </c>
      <c r="M209" s="1275"/>
      <c r="N209" s="1271" t="s">
        <v>1499</v>
      </c>
      <c r="O209" s="1275"/>
      <c r="P209" s="1271" t="s">
        <v>1608</v>
      </c>
      <c r="Q209" s="1275"/>
      <c r="R209" s="1271" t="s">
        <v>1609</v>
      </c>
      <c r="S209" s="1275"/>
      <c r="T209" s="1271" t="s">
        <v>1610</v>
      </c>
      <c r="U209" s="1275"/>
    </row>
    <row r="210" spans="1:21" ht="15.75" thickBot="1" x14ac:dyDescent="0.3">
      <c r="A210" s="657"/>
      <c r="B210" s="1275"/>
      <c r="C210" s="1259"/>
      <c r="D210" s="1259"/>
      <c r="E210" s="1259"/>
      <c r="F210" s="1275"/>
      <c r="G210" s="1275"/>
      <c r="H210" s="1193"/>
      <c r="I210" s="1275"/>
      <c r="J210" s="1256"/>
      <c r="K210" s="1275"/>
      <c r="L210" s="1256"/>
      <c r="M210" s="1275"/>
      <c r="N210" s="1226"/>
      <c r="O210" s="1275"/>
      <c r="P210" s="1194" t="s">
        <v>1611</v>
      </c>
      <c r="Q210" s="1275"/>
      <c r="R210" s="1194" t="s">
        <v>1612</v>
      </c>
      <c r="S210" s="1275"/>
      <c r="T210" s="1194" t="s">
        <v>653</v>
      </c>
      <c r="U210" s="1275"/>
    </row>
    <row r="211" spans="1:21" ht="30.75" thickBot="1" x14ac:dyDescent="0.3">
      <c r="A211" s="657"/>
      <c r="B211" s="1275"/>
      <c r="C211" s="1268" t="s">
        <v>1613</v>
      </c>
      <c r="D211" s="1483">
        <v>3601</v>
      </c>
      <c r="E211" s="1484"/>
      <c r="F211" s="1275"/>
      <c r="G211" s="1275"/>
      <c r="H211" s="1275"/>
      <c r="I211" s="1275"/>
      <c r="J211" s="1275"/>
      <c r="K211" s="1275"/>
      <c r="L211" s="1275"/>
      <c r="M211" s="1275"/>
      <c r="N211" s="1275"/>
      <c r="O211" s="1275"/>
      <c r="P211" s="1275"/>
      <c r="Q211" s="1275"/>
      <c r="R211" s="1275"/>
      <c r="S211" s="1275"/>
      <c r="T211" s="1275"/>
      <c r="U211" s="1275"/>
    </row>
    <row r="212" spans="1:21" ht="30.75" thickBot="1" x14ac:dyDescent="0.3">
      <c r="A212" s="657"/>
      <c r="B212" s="1275"/>
      <c r="C212" s="1259"/>
      <c r="D212" s="1259"/>
      <c r="E212" s="1259"/>
      <c r="F212" s="1275"/>
      <c r="G212" s="1275"/>
      <c r="H212" s="1272" t="s">
        <v>1504</v>
      </c>
      <c r="I212" s="1275"/>
      <c r="J212" s="1271" t="s">
        <v>1505</v>
      </c>
      <c r="K212" s="1275"/>
      <c r="L212" s="1271" t="s">
        <v>1506</v>
      </c>
      <c r="M212" s="1275"/>
      <c r="N212" s="1271" t="s">
        <v>1623</v>
      </c>
      <c r="O212" s="1275"/>
      <c r="P212" s="1271" t="s">
        <v>1624</v>
      </c>
      <c r="Q212" s="1275"/>
      <c r="R212" s="1271" t="s">
        <v>1625</v>
      </c>
      <c r="S212" s="1275"/>
      <c r="T212" s="1275"/>
      <c r="U212" s="1275"/>
    </row>
    <row r="213" spans="1:21" ht="15.75" thickBot="1" x14ac:dyDescent="0.3">
      <c r="A213" s="657"/>
      <c r="B213" s="1275"/>
      <c r="C213" s="1268" t="s">
        <v>1502</v>
      </c>
      <c r="D213" s="1485"/>
      <c r="E213" s="1484"/>
      <c r="F213" s="1275"/>
      <c r="G213" s="1276" t="s">
        <v>1048</v>
      </c>
      <c r="H213" s="1227"/>
      <c r="I213" s="1275"/>
      <c r="J213" s="1277"/>
      <c r="K213" s="1275"/>
      <c r="L213" s="1227"/>
      <c r="M213" s="1275"/>
      <c r="N213" s="1215" t="s">
        <v>482</v>
      </c>
      <c r="O213" s="1275"/>
      <c r="P213" s="1215" t="s">
        <v>1247</v>
      </c>
      <c r="Q213" s="1275"/>
      <c r="R213" s="1215" t="s">
        <v>1627</v>
      </c>
      <c r="S213" s="1275"/>
      <c r="T213" s="1275"/>
      <c r="U213" s="1275"/>
    </row>
    <row r="214" spans="1:21" ht="15.75" thickBot="1" x14ac:dyDescent="0.3">
      <c r="A214" s="657"/>
      <c r="B214" s="1275"/>
      <c r="C214" s="1259"/>
      <c r="D214" s="1259"/>
      <c r="E214" s="1259"/>
      <c r="F214" s="1275"/>
      <c r="G214" s="1276" t="s">
        <v>1507</v>
      </c>
      <c r="H214" s="1227"/>
      <c r="I214" s="1275"/>
      <c r="J214" s="1277"/>
      <c r="K214" s="1275"/>
      <c r="L214" s="1227"/>
      <c r="M214" s="1275"/>
      <c r="N214" s="1215" t="s">
        <v>482</v>
      </c>
      <c r="O214" s="1275"/>
      <c r="P214" s="1215" t="s">
        <v>1247</v>
      </c>
      <c r="Q214" s="1275"/>
      <c r="R214" s="1275"/>
      <c r="S214" s="1275"/>
      <c r="T214" s="1275"/>
      <c r="U214" s="1275"/>
    </row>
    <row r="215" spans="1:21" ht="15.75" thickBot="1" x14ac:dyDescent="0.3">
      <c r="A215" s="657"/>
      <c r="B215" s="1275"/>
      <c r="C215" s="1268" t="s">
        <v>1503</v>
      </c>
      <c r="D215" s="1485"/>
      <c r="E215" s="1484"/>
      <c r="F215" s="1275"/>
      <c r="G215" s="1276" t="s">
        <v>1508</v>
      </c>
      <c r="H215" s="1227"/>
      <c r="I215" s="1275"/>
      <c r="J215" s="1277"/>
      <c r="K215" s="1275"/>
      <c r="L215" s="1227"/>
      <c r="M215" s="1275"/>
      <c r="N215" s="1215" t="s">
        <v>482</v>
      </c>
      <c r="O215" s="1275"/>
      <c r="P215" s="1215" t="s">
        <v>1247</v>
      </c>
      <c r="Q215" s="1275"/>
      <c r="R215" s="1275"/>
      <c r="S215" s="1275"/>
      <c r="T215" s="1275"/>
      <c r="U215" s="1275"/>
    </row>
    <row r="216" spans="1:21" x14ac:dyDescent="0.25">
      <c r="A216" s="657"/>
      <c r="B216" s="1275"/>
      <c r="C216" s="1259"/>
      <c r="D216" s="1259"/>
      <c r="E216" s="1259"/>
      <c r="F216" s="1275"/>
      <c r="G216" s="1276" t="s">
        <v>1510</v>
      </c>
      <c r="H216" s="1227"/>
      <c r="I216" s="1275"/>
      <c r="J216" s="1262"/>
      <c r="K216" s="1275"/>
      <c r="L216" s="1227"/>
      <c r="M216" s="1275"/>
      <c r="N216" s="1215" t="s">
        <v>482</v>
      </c>
      <c r="O216" s="1275"/>
      <c r="P216" s="1215" t="s">
        <v>1247</v>
      </c>
      <c r="Q216" s="1275"/>
      <c r="R216" s="1275"/>
      <c r="S216" s="1275"/>
      <c r="T216" s="1275"/>
      <c r="U216" s="1275"/>
    </row>
    <row r="217" spans="1:21" x14ac:dyDescent="0.25">
      <c r="A217" s="657"/>
      <c r="B217" s="1275"/>
      <c r="C217" s="1259"/>
      <c r="D217" s="1259"/>
      <c r="E217" s="1259"/>
      <c r="F217" s="1275"/>
      <c r="G217" s="1276" t="s">
        <v>1512</v>
      </c>
      <c r="H217" s="1227"/>
      <c r="I217" s="1275"/>
      <c r="J217" s="1262"/>
      <c r="K217" s="1275"/>
      <c r="L217" s="1227"/>
      <c r="M217" s="1275"/>
      <c r="N217" s="1215" t="s">
        <v>482</v>
      </c>
      <c r="O217" s="1275"/>
      <c r="P217" s="1215" t="s">
        <v>1247</v>
      </c>
      <c r="Q217" s="1275"/>
      <c r="R217" s="1275"/>
      <c r="S217" s="1275"/>
      <c r="T217" s="1275"/>
      <c r="U217" s="1275"/>
    </row>
    <row r="218" spans="1:21" ht="15.75" thickBot="1" x14ac:dyDescent="0.3">
      <c r="A218" s="657"/>
      <c r="B218" s="1275"/>
      <c r="C218" s="1259"/>
      <c r="D218" s="1259"/>
      <c r="E218" s="1259"/>
      <c r="F218" s="1275"/>
      <c r="G218" s="1275"/>
      <c r="H218" s="1275"/>
      <c r="I218" s="1275"/>
      <c r="J218" s="1275"/>
      <c r="K218" s="1275"/>
      <c r="L218" s="1275"/>
      <c r="M218" s="1275"/>
      <c r="N218" s="1275"/>
      <c r="O218" s="1275"/>
      <c r="P218" s="1275"/>
      <c r="Q218" s="1275"/>
      <c r="R218" s="1275"/>
      <c r="S218" s="1275"/>
      <c r="T218" s="1275"/>
      <c r="U218" s="1275"/>
    </row>
    <row r="219" spans="1:21" ht="30.75" thickBot="1" x14ac:dyDescent="0.3">
      <c r="A219" s="657"/>
      <c r="B219" s="1275"/>
      <c r="C219" s="1269" t="s">
        <v>1617</v>
      </c>
      <c r="D219" s="1468" t="s">
        <v>651</v>
      </c>
      <c r="E219" s="1469"/>
      <c r="F219" s="1275"/>
      <c r="G219" s="1275"/>
      <c r="H219" s="1270" t="s">
        <v>1614</v>
      </c>
      <c r="I219" s="1275"/>
      <c r="J219" s="1271" t="s">
        <v>1628</v>
      </c>
      <c r="K219" s="1275"/>
      <c r="L219" s="1271" t="s">
        <v>1615</v>
      </c>
      <c r="M219" s="1275"/>
      <c r="N219" s="1271" t="s">
        <v>1629</v>
      </c>
      <c r="O219" s="1275"/>
      <c r="P219" s="1271" t="s">
        <v>1630</v>
      </c>
      <c r="Q219" s="1275"/>
      <c r="R219" s="1275"/>
      <c r="S219" s="1275"/>
      <c r="T219" s="1275"/>
      <c r="U219" s="1275"/>
    </row>
    <row r="220" spans="1:21" ht="15.75" thickBot="1" x14ac:dyDescent="0.3">
      <c r="A220" s="657"/>
      <c r="B220" s="1275"/>
      <c r="C220" s="1259"/>
      <c r="D220" s="1259"/>
      <c r="E220" s="1259"/>
      <c r="F220" s="1275"/>
      <c r="G220" s="1275"/>
      <c r="H220" s="1251" t="s">
        <v>651</v>
      </c>
      <c r="I220" s="1275"/>
      <c r="J220" s="1194" t="s">
        <v>1616</v>
      </c>
      <c r="K220" s="1275"/>
      <c r="L220" s="1215" t="s">
        <v>1653</v>
      </c>
      <c r="M220" s="1275"/>
      <c r="N220" s="1215" t="s">
        <v>651</v>
      </c>
      <c r="O220" s="1275"/>
      <c r="P220" s="1215" t="s">
        <v>653</v>
      </c>
      <c r="Q220" s="1275"/>
      <c r="R220" s="1275"/>
      <c r="S220" s="1275"/>
      <c r="T220" s="1275"/>
      <c r="U220" s="1275"/>
    </row>
    <row r="221" spans="1:21" ht="15.75" thickBot="1" x14ac:dyDescent="0.3">
      <c r="A221" s="657"/>
      <c r="B221" s="1275"/>
      <c r="C221" s="1268" t="s">
        <v>1618</v>
      </c>
      <c r="D221" s="1483" t="s">
        <v>1654</v>
      </c>
      <c r="E221" s="1486"/>
      <c r="F221" s="1275"/>
      <c r="G221" s="1275"/>
      <c r="H221" s="1275"/>
      <c r="I221" s="1275"/>
      <c r="J221" s="1275"/>
      <c r="K221" s="1275"/>
      <c r="L221" s="1275"/>
      <c r="M221" s="1275"/>
      <c r="N221" s="1275"/>
      <c r="O221" s="1275"/>
      <c r="P221" s="1275"/>
      <c r="Q221" s="1275"/>
      <c r="R221" s="1275"/>
      <c r="S221" s="1275"/>
      <c r="T221" s="1275"/>
      <c r="U221" s="1275"/>
    </row>
    <row r="222" spans="1:21" ht="15.75" thickBot="1" x14ac:dyDescent="0.3">
      <c r="A222" s="657"/>
      <c r="B222" s="1275"/>
      <c r="C222" s="1275"/>
      <c r="D222" s="1275"/>
      <c r="E222" s="1275"/>
      <c r="F222" s="1275"/>
      <c r="G222" s="1275"/>
      <c r="H222" s="1275"/>
      <c r="I222" s="1275"/>
      <c r="J222" s="1275"/>
      <c r="K222" s="1275"/>
      <c r="L222" s="1275"/>
      <c r="M222" s="1275"/>
      <c r="N222" s="1275"/>
      <c r="O222" s="1275"/>
      <c r="P222" s="1275"/>
      <c r="Q222" s="1275"/>
      <c r="R222" s="1275"/>
      <c r="S222" s="1275"/>
      <c r="T222" s="1275"/>
      <c r="U222" s="1275"/>
    </row>
    <row r="223" spans="1:21" ht="15.75" thickBot="1" x14ac:dyDescent="0.3">
      <c r="A223" s="657"/>
      <c r="B223" s="1487" t="s">
        <v>1661</v>
      </c>
      <c r="C223" s="1488"/>
      <c r="D223" s="1488"/>
      <c r="E223" s="1488"/>
      <c r="F223" s="1488"/>
      <c r="G223" s="1488"/>
      <c r="H223" s="1488"/>
      <c r="I223" s="1488"/>
      <c r="J223" s="1488"/>
      <c r="K223" s="1488"/>
      <c r="L223" s="1488"/>
      <c r="M223" s="1488"/>
      <c r="N223" s="1488"/>
      <c r="O223" s="1488"/>
      <c r="P223" s="1488"/>
      <c r="Q223" s="1488"/>
      <c r="R223" s="1488"/>
      <c r="S223" s="1488"/>
      <c r="T223" s="1488"/>
      <c r="U223" s="1486"/>
    </row>
    <row r="224" spans="1:21" ht="20.25" customHeight="1" thickBot="1" x14ac:dyDescent="0.3">
      <c r="A224" s="657"/>
      <c r="B224" s="1275"/>
      <c r="C224" s="1275"/>
      <c r="D224" s="1275"/>
      <c r="E224" s="1275"/>
      <c r="F224" s="1275"/>
      <c r="G224" s="1275"/>
      <c r="H224" s="1275"/>
      <c r="I224" s="1275"/>
      <c r="J224" s="1275"/>
      <c r="K224" s="1275"/>
      <c r="L224" s="1275"/>
      <c r="M224" s="1275"/>
      <c r="N224" s="1275"/>
      <c r="O224" s="1275"/>
      <c r="P224" s="1275"/>
      <c r="Q224" s="1275"/>
      <c r="R224" s="1275"/>
      <c r="S224" s="1275"/>
      <c r="T224" s="1275"/>
      <c r="U224" s="1275"/>
    </row>
    <row r="225" spans="1:21" ht="30" customHeight="1" thickBot="1" x14ac:dyDescent="0.3">
      <c r="A225" s="496"/>
      <c r="B225" s="1275"/>
      <c r="C225" s="1268" t="s">
        <v>1500</v>
      </c>
      <c r="D225" s="1481" t="s">
        <v>1660</v>
      </c>
      <c r="E225" s="1482"/>
      <c r="F225" s="1275"/>
      <c r="G225" s="1275"/>
      <c r="H225" s="1271" t="s">
        <v>1497</v>
      </c>
      <c r="I225" s="1275"/>
      <c r="J225" s="1271" t="s">
        <v>1498</v>
      </c>
      <c r="K225" s="1275"/>
      <c r="L225" s="1271" t="s">
        <v>1514</v>
      </c>
      <c r="M225" s="1275"/>
      <c r="N225" s="1271" t="s">
        <v>1499</v>
      </c>
      <c r="O225" s="1275"/>
      <c r="P225" s="1271" t="s">
        <v>1608</v>
      </c>
      <c r="Q225" s="1275"/>
      <c r="R225" s="1271" t="s">
        <v>1609</v>
      </c>
      <c r="S225" s="1275"/>
      <c r="T225" s="1271" t="s">
        <v>1610</v>
      </c>
      <c r="U225" s="1275"/>
    </row>
    <row r="226" spans="1:21" ht="18" customHeight="1" thickBot="1" x14ac:dyDescent="0.3">
      <c r="A226" s="657"/>
      <c r="B226" s="1275"/>
      <c r="C226" s="1259"/>
      <c r="D226" s="1259"/>
      <c r="E226" s="1259"/>
      <c r="F226" s="1275"/>
      <c r="G226" s="1275"/>
      <c r="H226" s="1193"/>
      <c r="I226" s="1275"/>
      <c r="J226" s="1256"/>
      <c r="K226" s="1275"/>
      <c r="L226" s="1256"/>
      <c r="M226" s="1275"/>
      <c r="N226" s="1226"/>
      <c r="O226" s="1275"/>
      <c r="P226" s="1194" t="s">
        <v>1611</v>
      </c>
      <c r="Q226" s="1275"/>
      <c r="R226" s="1194" t="s">
        <v>1612</v>
      </c>
      <c r="S226" s="1275"/>
      <c r="T226" s="1194" t="s">
        <v>653</v>
      </c>
      <c r="U226" s="1275"/>
    </row>
    <row r="227" spans="1:21" ht="30" customHeight="1" thickBot="1" x14ac:dyDescent="0.3">
      <c r="A227" s="657"/>
      <c r="B227" s="1275"/>
      <c r="C227" s="1268" t="s">
        <v>1613</v>
      </c>
      <c r="D227" s="1483">
        <v>3602</v>
      </c>
      <c r="E227" s="1484"/>
      <c r="F227" s="1275"/>
      <c r="G227" s="1275"/>
      <c r="H227" s="1275"/>
      <c r="I227" s="1275"/>
      <c r="J227" s="1275"/>
      <c r="K227" s="1275"/>
      <c r="L227" s="1275"/>
      <c r="M227" s="1275"/>
      <c r="N227" s="1275"/>
      <c r="O227" s="1275"/>
      <c r="P227" s="1275"/>
      <c r="Q227" s="1275"/>
      <c r="R227" s="1275"/>
      <c r="S227" s="1275"/>
      <c r="T227" s="1275"/>
      <c r="U227" s="1275"/>
    </row>
    <row r="228" spans="1:21" ht="30" customHeight="1" thickBot="1" x14ac:dyDescent="0.3">
      <c r="A228" s="657"/>
      <c r="B228" s="1275"/>
      <c r="C228" s="1259"/>
      <c r="D228" s="1259"/>
      <c r="E228" s="1259"/>
      <c r="F228" s="1275"/>
      <c r="G228" s="1275"/>
      <c r="H228" s="1272" t="s">
        <v>1504</v>
      </c>
      <c r="I228" s="1275"/>
      <c r="J228" s="1271" t="s">
        <v>1505</v>
      </c>
      <c r="K228" s="1275"/>
      <c r="L228" s="1271" t="s">
        <v>1506</v>
      </c>
      <c r="M228" s="1275"/>
      <c r="N228" s="1271" t="s">
        <v>1623</v>
      </c>
      <c r="O228" s="1275"/>
      <c r="P228" s="1271" t="s">
        <v>1624</v>
      </c>
      <c r="Q228" s="1275"/>
      <c r="R228" s="1271" t="s">
        <v>1625</v>
      </c>
      <c r="S228" s="1275"/>
      <c r="T228" s="1275"/>
      <c r="U228" s="1275"/>
    </row>
    <row r="229" spans="1:21" ht="18" customHeight="1" thickBot="1" x14ac:dyDescent="0.3">
      <c r="A229" s="657"/>
      <c r="B229" s="1275"/>
      <c r="C229" s="1268" t="s">
        <v>1502</v>
      </c>
      <c r="D229" s="1485"/>
      <c r="E229" s="1484"/>
      <c r="F229" s="1275"/>
      <c r="G229" s="1276" t="s">
        <v>1048</v>
      </c>
      <c r="H229" s="1227"/>
      <c r="I229" s="1275"/>
      <c r="J229" s="1277"/>
      <c r="K229" s="1275"/>
      <c r="L229" s="1227"/>
      <c r="M229" s="1275"/>
      <c r="N229" s="1215" t="s">
        <v>482</v>
      </c>
      <c r="O229" s="1275"/>
      <c r="P229" s="1215" t="s">
        <v>1247</v>
      </c>
      <c r="Q229" s="1275"/>
      <c r="R229" s="1215" t="s">
        <v>1627</v>
      </c>
      <c r="S229" s="1275"/>
      <c r="T229" s="1275"/>
      <c r="U229" s="1275"/>
    </row>
    <row r="230" spans="1:21" ht="18" customHeight="1" thickBot="1" x14ac:dyDescent="0.3">
      <c r="A230" s="657"/>
      <c r="B230" s="1275"/>
      <c r="C230" s="1259"/>
      <c r="D230" s="1259"/>
      <c r="E230" s="1259"/>
      <c r="F230" s="1275"/>
      <c r="G230" s="1276" t="s">
        <v>1507</v>
      </c>
      <c r="H230" s="1227"/>
      <c r="I230" s="1275"/>
      <c r="J230" s="1277"/>
      <c r="K230" s="1275"/>
      <c r="L230" s="1227"/>
      <c r="M230" s="1275"/>
      <c r="N230" s="1215" t="s">
        <v>482</v>
      </c>
      <c r="O230" s="1275"/>
      <c r="P230" s="1215" t="s">
        <v>1247</v>
      </c>
      <c r="Q230" s="1275"/>
      <c r="R230" s="1275"/>
      <c r="S230" s="1275"/>
      <c r="T230" s="1275"/>
      <c r="U230" s="1275"/>
    </row>
    <row r="231" spans="1:21" ht="18" customHeight="1" thickBot="1" x14ac:dyDescent="0.3">
      <c r="A231" s="657"/>
      <c r="B231" s="1275"/>
      <c r="C231" s="1268" t="s">
        <v>1503</v>
      </c>
      <c r="D231" s="1485"/>
      <c r="E231" s="1484"/>
      <c r="F231" s="1275"/>
      <c r="G231" s="1276" t="s">
        <v>1508</v>
      </c>
      <c r="H231" s="1227"/>
      <c r="I231" s="1275"/>
      <c r="J231" s="1277"/>
      <c r="K231" s="1275"/>
      <c r="L231" s="1227"/>
      <c r="M231" s="1275"/>
      <c r="N231" s="1215" t="s">
        <v>482</v>
      </c>
      <c r="O231" s="1275"/>
      <c r="P231" s="1215" t="s">
        <v>1247</v>
      </c>
      <c r="Q231" s="1275"/>
      <c r="R231" s="1275"/>
      <c r="S231" s="1275"/>
      <c r="T231" s="1275"/>
      <c r="U231" s="1275"/>
    </row>
    <row r="232" spans="1:21" ht="18" customHeight="1" x14ac:dyDescent="0.25">
      <c r="A232" s="657"/>
      <c r="B232" s="1275"/>
      <c r="C232" s="1259"/>
      <c r="D232" s="1259"/>
      <c r="E232" s="1259"/>
      <c r="F232" s="1275"/>
      <c r="G232" s="1276" t="s">
        <v>1510</v>
      </c>
      <c r="H232" s="1227"/>
      <c r="I232" s="1275"/>
      <c r="J232" s="1262"/>
      <c r="K232" s="1275"/>
      <c r="L232" s="1227"/>
      <c r="M232" s="1275"/>
      <c r="N232" s="1215" t="s">
        <v>482</v>
      </c>
      <c r="O232" s="1275"/>
      <c r="P232" s="1215" t="s">
        <v>1247</v>
      </c>
      <c r="Q232" s="1275"/>
      <c r="R232" s="1275"/>
      <c r="S232" s="1275"/>
      <c r="T232" s="1275"/>
      <c r="U232" s="1275"/>
    </row>
    <row r="233" spans="1:21" ht="18" customHeight="1" x14ac:dyDescent="0.25">
      <c r="A233" s="657"/>
      <c r="B233" s="1275"/>
      <c r="C233" s="1259"/>
      <c r="D233" s="1259"/>
      <c r="E233" s="1259"/>
      <c r="F233" s="1275"/>
      <c r="G233" s="1276" t="s">
        <v>1512</v>
      </c>
      <c r="H233" s="1227"/>
      <c r="I233" s="1275"/>
      <c r="J233" s="1262"/>
      <c r="K233" s="1275"/>
      <c r="L233" s="1227"/>
      <c r="M233" s="1275"/>
      <c r="N233" s="1215" t="s">
        <v>482</v>
      </c>
      <c r="O233" s="1275"/>
      <c r="P233" s="1215" t="s">
        <v>1247</v>
      </c>
      <c r="Q233" s="1275"/>
      <c r="R233" s="1275"/>
      <c r="S233" s="1275"/>
      <c r="T233" s="1275"/>
      <c r="U233" s="1275"/>
    </row>
    <row r="234" spans="1:21" ht="18" customHeight="1" thickBot="1" x14ac:dyDescent="0.3">
      <c r="A234" s="657"/>
      <c r="B234" s="1275"/>
      <c r="C234" s="1259"/>
      <c r="D234" s="1259"/>
      <c r="E234" s="1259"/>
      <c r="F234" s="1275"/>
      <c r="G234" s="1275"/>
      <c r="H234" s="1275"/>
      <c r="I234" s="1275"/>
      <c r="J234" s="1275"/>
      <c r="K234" s="1275"/>
      <c r="L234" s="1275"/>
      <c r="M234" s="1275"/>
      <c r="N234" s="1275"/>
      <c r="O234" s="1275"/>
      <c r="P234" s="1275"/>
      <c r="Q234" s="1275"/>
      <c r="R234" s="1275"/>
      <c r="S234" s="1275"/>
      <c r="T234" s="1275"/>
      <c r="U234" s="1275"/>
    </row>
    <row r="235" spans="1:21" ht="30" customHeight="1" thickBot="1" x14ac:dyDescent="0.3">
      <c r="A235" s="657"/>
      <c r="B235" s="1275"/>
      <c r="C235" s="1269" t="s">
        <v>1617</v>
      </c>
      <c r="D235" s="1468" t="s">
        <v>651</v>
      </c>
      <c r="E235" s="1469"/>
      <c r="F235" s="1275"/>
      <c r="G235" s="1275"/>
      <c r="H235" s="1270" t="s">
        <v>1614</v>
      </c>
      <c r="I235" s="1275"/>
      <c r="J235" s="1271" t="s">
        <v>1628</v>
      </c>
      <c r="K235" s="1275"/>
      <c r="L235" s="1271" t="s">
        <v>1615</v>
      </c>
      <c r="M235" s="1275"/>
      <c r="N235" s="1271" t="s">
        <v>1629</v>
      </c>
      <c r="O235" s="1275"/>
      <c r="P235" s="1271" t="s">
        <v>1630</v>
      </c>
      <c r="Q235" s="1275"/>
      <c r="R235" s="1275"/>
      <c r="S235" s="1275"/>
      <c r="T235" s="1275"/>
      <c r="U235" s="1275"/>
    </row>
    <row r="236" spans="1:21" ht="18" customHeight="1" thickBot="1" x14ac:dyDescent="0.3">
      <c r="A236" s="657"/>
      <c r="B236" s="1275"/>
      <c r="C236" s="1259"/>
      <c r="D236" s="1259"/>
      <c r="E236" s="1259"/>
      <c r="F236" s="1275"/>
      <c r="G236" s="1275"/>
      <c r="H236" s="1251" t="s">
        <v>651</v>
      </c>
      <c r="I236" s="1275"/>
      <c r="J236" s="1194" t="s">
        <v>1616</v>
      </c>
      <c r="K236" s="1275"/>
      <c r="L236" s="1215" t="s">
        <v>1653</v>
      </c>
      <c r="M236" s="1275"/>
      <c r="N236" s="1215" t="s">
        <v>651</v>
      </c>
      <c r="O236" s="1275"/>
      <c r="P236" s="1215" t="s">
        <v>653</v>
      </c>
      <c r="Q236" s="1275"/>
      <c r="R236" s="1275"/>
      <c r="S236" s="1275"/>
      <c r="T236" s="1275"/>
      <c r="U236" s="1275"/>
    </row>
    <row r="237" spans="1:21" ht="18" customHeight="1" thickBot="1" x14ac:dyDescent="0.3">
      <c r="A237" s="657"/>
      <c r="B237" s="1275"/>
      <c r="C237" s="1268" t="s">
        <v>1618</v>
      </c>
      <c r="D237" s="1483" t="s">
        <v>1654</v>
      </c>
      <c r="E237" s="1486"/>
      <c r="F237" s="1275"/>
      <c r="G237" s="1275"/>
      <c r="H237" s="1275"/>
      <c r="I237" s="1275"/>
      <c r="J237" s="1275"/>
      <c r="K237" s="1275"/>
      <c r="L237" s="1275"/>
      <c r="M237" s="1275"/>
      <c r="N237" s="1275"/>
      <c r="O237" s="1275"/>
      <c r="P237" s="1275"/>
      <c r="Q237" s="1275"/>
      <c r="R237" s="1275"/>
      <c r="S237" s="1275"/>
      <c r="T237" s="1275"/>
      <c r="U237" s="1275"/>
    </row>
    <row r="238" spans="1:21" ht="18" customHeight="1" thickBot="1" x14ac:dyDescent="0.3">
      <c r="A238" s="657"/>
      <c r="B238" s="1275"/>
      <c r="C238" s="1275"/>
      <c r="D238" s="1275"/>
      <c r="E238" s="1275"/>
      <c r="F238" s="1275"/>
      <c r="G238" s="1275"/>
      <c r="H238" s="1275"/>
      <c r="I238" s="1275"/>
      <c r="J238" s="1275"/>
      <c r="K238" s="1275"/>
      <c r="L238" s="1275"/>
      <c r="M238" s="1275"/>
      <c r="N238" s="1275"/>
      <c r="O238" s="1275"/>
      <c r="P238" s="1275"/>
      <c r="Q238" s="1275"/>
      <c r="R238" s="1275"/>
      <c r="S238" s="1275"/>
      <c r="T238" s="1275"/>
      <c r="U238" s="1275"/>
    </row>
    <row r="239" spans="1:21" ht="15.75" thickBot="1" x14ac:dyDescent="0.3">
      <c r="A239" s="1267"/>
      <c r="B239" s="1478" t="s">
        <v>1665</v>
      </c>
      <c r="C239" s="1479"/>
      <c r="D239" s="1479"/>
      <c r="E239" s="1479"/>
      <c r="F239" s="1479"/>
      <c r="G239" s="1479"/>
      <c r="H239" s="1479"/>
      <c r="I239" s="1479"/>
      <c r="J239" s="1479"/>
      <c r="K239" s="1479"/>
      <c r="L239" s="1479"/>
      <c r="M239" s="1479"/>
      <c r="N239" s="1479"/>
      <c r="O239" s="1479"/>
      <c r="P239" s="1479"/>
      <c r="Q239" s="1479"/>
      <c r="R239" s="1479"/>
      <c r="S239" s="1479"/>
      <c r="T239" s="1479"/>
      <c r="U239" s="1480"/>
    </row>
    <row r="240" spans="1:21" ht="20.25" customHeight="1" thickBot="1" x14ac:dyDescent="0.3">
      <c r="A240" s="1267"/>
      <c r="B240" s="1275"/>
      <c r="C240" s="1275"/>
      <c r="D240" s="1275"/>
      <c r="E240" s="1275"/>
      <c r="F240" s="1275"/>
      <c r="G240" s="1275"/>
      <c r="H240" s="1275"/>
      <c r="I240" s="1275"/>
      <c r="J240" s="1275"/>
      <c r="K240" s="1275"/>
      <c r="L240" s="1275"/>
      <c r="M240" s="1275"/>
      <c r="N240" s="1275"/>
      <c r="O240" s="1275"/>
      <c r="P240" s="1275"/>
      <c r="Q240" s="1275"/>
      <c r="R240" s="1275"/>
      <c r="S240" s="1275"/>
      <c r="T240" s="1275"/>
      <c r="U240" s="1275"/>
    </row>
    <row r="241" spans="1:21" ht="30" customHeight="1" thickBot="1" x14ac:dyDescent="0.3">
      <c r="A241" s="134"/>
      <c r="B241" s="1275"/>
      <c r="C241" s="1268" t="s">
        <v>1500</v>
      </c>
      <c r="D241" s="1481" t="s">
        <v>1662</v>
      </c>
      <c r="E241" s="1482"/>
      <c r="F241" s="1275"/>
      <c r="G241" s="1275"/>
      <c r="H241" s="1271" t="s">
        <v>1497</v>
      </c>
      <c r="I241" s="1275"/>
      <c r="J241" s="1271" t="s">
        <v>1498</v>
      </c>
      <c r="K241" s="1275"/>
      <c r="L241" s="1271" t="s">
        <v>1514</v>
      </c>
      <c r="M241" s="1275"/>
      <c r="N241" s="1271" t="s">
        <v>1499</v>
      </c>
      <c r="O241" s="1275"/>
      <c r="P241" s="1271" t="s">
        <v>1608</v>
      </c>
      <c r="Q241" s="1275"/>
      <c r="R241" s="1271" t="s">
        <v>1609</v>
      </c>
      <c r="S241" s="1275"/>
      <c r="T241" s="1271" t="s">
        <v>1610</v>
      </c>
      <c r="U241" s="1275"/>
    </row>
    <row r="242" spans="1:21" ht="15.75" thickBot="1" x14ac:dyDescent="0.3">
      <c r="A242" s="1267"/>
      <c r="B242" s="1275"/>
      <c r="C242" s="1259"/>
      <c r="D242" s="1259"/>
      <c r="E242" s="1259"/>
      <c r="F242" s="1275"/>
      <c r="G242" s="1275"/>
      <c r="H242" s="1193"/>
      <c r="I242" s="1275"/>
      <c r="J242" s="1256"/>
      <c r="K242" s="1275"/>
      <c r="L242" s="1256"/>
      <c r="M242" s="1275"/>
      <c r="N242" s="1226"/>
      <c r="O242" s="1275"/>
      <c r="P242" s="1194" t="s">
        <v>1611</v>
      </c>
      <c r="Q242" s="1275"/>
      <c r="R242" s="1194" t="s">
        <v>1612</v>
      </c>
      <c r="S242" s="1275"/>
      <c r="T242" s="1194" t="s">
        <v>653</v>
      </c>
      <c r="U242" s="1275"/>
    </row>
    <row r="243" spans="1:21" ht="30" customHeight="1" thickBot="1" x14ac:dyDescent="0.3">
      <c r="A243" s="1267"/>
      <c r="B243" s="1275"/>
      <c r="C243" s="1268" t="s">
        <v>1613</v>
      </c>
      <c r="D243" s="1483">
        <v>1301</v>
      </c>
      <c r="E243" s="1484"/>
      <c r="F243" s="1275"/>
      <c r="G243" s="1275"/>
      <c r="H243" s="1275"/>
      <c r="I243" s="1275"/>
      <c r="J243" s="1275"/>
      <c r="K243" s="1275"/>
      <c r="L243" s="1275"/>
      <c r="M243" s="1275"/>
      <c r="N243" s="1275"/>
      <c r="O243" s="1275"/>
      <c r="P243" s="1275"/>
      <c r="Q243" s="1275"/>
      <c r="R243" s="1275"/>
      <c r="S243" s="1275"/>
      <c r="T243" s="1275"/>
      <c r="U243" s="1275"/>
    </row>
    <row r="244" spans="1:21" ht="30.75" thickBot="1" x14ac:dyDescent="0.3">
      <c r="A244" s="1267"/>
      <c r="B244" s="1275"/>
      <c r="C244" s="1259"/>
      <c r="D244" s="1259"/>
      <c r="E244" s="1259"/>
      <c r="F244" s="1275"/>
      <c r="G244" s="1275"/>
      <c r="H244" s="1272" t="s">
        <v>1504</v>
      </c>
      <c r="I244" s="1275"/>
      <c r="J244" s="1271" t="s">
        <v>1505</v>
      </c>
      <c r="K244" s="1275"/>
      <c r="L244" s="1271" t="s">
        <v>1506</v>
      </c>
      <c r="M244" s="1275"/>
      <c r="N244" s="1271" t="s">
        <v>1623</v>
      </c>
      <c r="O244" s="1275"/>
      <c r="P244" s="1271" t="s">
        <v>1624</v>
      </c>
      <c r="Q244" s="1275"/>
      <c r="R244" s="1271" t="s">
        <v>1625</v>
      </c>
      <c r="S244" s="1275"/>
      <c r="T244" s="1275"/>
      <c r="U244" s="1275"/>
    </row>
    <row r="245" spans="1:21" ht="18" customHeight="1" thickBot="1" x14ac:dyDescent="0.3">
      <c r="A245" s="1267"/>
      <c r="B245" s="1275"/>
      <c r="C245" s="1268" t="s">
        <v>1502</v>
      </c>
      <c r="D245" s="1485"/>
      <c r="E245" s="1484"/>
      <c r="F245" s="1275"/>
      <c r="G245" s="1276" t="s">
        <v>1048</v>
      </c>
      <c r="H245" s="1227"/>
      <c r="I245" s="1275"/>
      <c r="J245" s="1261"/>
      <c r="K245" s="1275"/>
      <c r="L245" s="1227"/>
      <c r="M245" s="1275"/>
      <c r="N245" s="1215" t="s">
        <v>482</v>
      </c>
      <c r="O245" s="1275"/>
      <c r="P245" s="1215" t="s">
        <v>1626</v>
      </c>
      <c r="Q245" s="1275"/>
      <c r="R245" s="1215" t="s">
        <v>1627</v>
      </c>
      <c r="S245" s="1275"/>
      <c r="T245" s="1275"/>
      <c r="U245" s="1275"/>
    </row>
    <row r="246" spans="1:21" ht="18" customHeight="1" thickBot="1" x14ac:dyDescent="0.3">
      <c r="A246" s="1267"/>
      <c r="B246" s="1275"/>
      <c r="C246" s="1259"/>
      <c r="D246" s="1259"/>
      <c r="E246" s="1259"/>
      <c r="F246" s="1275"/>
      <c r="G246" s="1275"/>
      <c r="H246" s="1275"/>
      <c r="I246" s="1275"/>
      <c r="J246" s="1275"/>
      <c r="K246" s="1275"/>
      <c r="L246" s="1275"/>
      <c r="M246" s="1275"/>
      <c r="N246" s="1275"/>
      <c r="O246" s="1275"/>
      <c r="P246" s="1275"/>
      <c r="Q246" s="1275"/>
      <c r="R246" s="1275"/>
      <c r="S246" s="1275"/>
      <c r="T246" s="1275"/>
      <c r="U246" s="1275"/>
    </row>
    <row r="247" spans="1:21" ht="30.75" customHeight="1" thickBot="1" x14ac:dyDescent="0.3">
      <c r="A247" s="1267"/>
      <c r="B247" s="1275"/>
      <c r="C247" s="1268" t="s">
        <v>1503</v>
      </c>
      <c r="D247" s="1485"/>
      <c r="E247" s="1484"/>
      <c r="F247" s="1275"/>
      <c r="G247" s="1275"/>
      <c r="H247" s="1270" t="s">
        <v>1614</v>
      </c>
      <c r="I247" s="1275"/>
      <c r="J247" s="1271" t="s">
        <v>1628</v>
      </c>
      <c r="K247" s="1275"/>
      <c r="L247" s="1271" t="s">
        <v>1615</v>
      </c>
      <c r="M247" s="1275"/>
      <c r="N247" s="1271" t="s">
        <v>1629</v>
      </c>
      <c r="O247" s="1275"/>
      <c r="P247" s="1271" t="s">
        <v>1630</v>
      </c>
      <c r="Q247" s="1275"/>
      <c r="R247" s="1271" t="s">
        <v>1631</v>
      </c>
      <c r="S247" s="1275"/>
      <c r="T247" s="1275"/>
      <c r="U247" s="1275"/>
    </row>
    <row r="248" spans="1:21" ht="18" customHeight="1" thickBot="1" x14ac:dyDescent="0.3">
      <c r="A248" s="1267"/>
      <c r="B248" s="1275"/>
      <c r="C248" s="1259"/>
      <c r="D248" s="1259"/>
      <c r="E248" s="1259"/>
      <c r="F248" s="1275"/>
      <c r="G248" s="1275"/>
      <c r="H248" s="1251" t="s">
        <v>651</v>
      </c>
      <c r="I248" s="1275"/>
      <c r="J248" s="1194" t="s">
        <v>1616</v>
      </c>
      <c r="K248" s="1275"/>
      <c r="L248" s="1215" t="s">
        <v>1616</v>
      </c>
      <c r="M248" s="1275"/>
      <c r="N248" s="1215" t="s">
        <v>653</v>
      </c>
      <c r="O248" s="1275"/>
      <c r="P248" s="1194" t="s">
        <v>651</v>
      </c>
      <c r="Q248" s="1275"/>
      <c r="R248" s="1215" t="s">
        <v>1632</v>
      </c>
      <c r="S248" s="1275"/>
      <c r="T248" s="1275"/>
      <c r="U248" s="1275"/>
    </row>
    <row r="249" spans="1:21" ht="30" customHeight="1" thickBot="1" x14ac:dyDescent="0.3">
      <c r="A249" s="1267"/>
      <c r="B249" s="1275"/>
      <c r="C249" s="1269" t="s">
        <v>1617</v>
      </c>
      <c r="D249" s="1468" t="s">
        <v>651</v>
      </c>
      <c r="E249" s="1469"/>
      <c r="F249" s="1275"/>
      <c r="G249" s="1275"/>
      <c r="H249" s="1275"/>
      <c r="I249" s="1275"/>
      <c r="J249" s="1275"/>
      <c r="K249" s="1275"/>
      <c r="L249" s="1275"/>
      <c r="M249" s="1275"/>
      <c r="N249" s="1275"/>
      <c r="O249" s="1275"/>
      <c r="P249" s="1275"/>
      <c r="Q249" s="1275"/>
      <c r="R249" s="1275"/>
      <c r="S249" s="1275"/>
      <c r="T249" s="1275"/>
      <c r="U249" s="1275"/>
    </row>
    <row r="250" spans="1:21" ht="18" customHeight="1" thickBot="1" x14ac:dyDescent="0.3">
      <c r="A250" s="1267"/>
      <c r="B250" s="1275"/>
      <c r="C250" s="1259"/>
      <c r="D250" s="1259"/>
      <c r="E250" s="1259"/>
      <c r="F250" s="1275"/>
      <c r="G250" s="1275"/>
      <c r="H250" s="1275"/>
      <c r="I250" s="1275"/>
      <c r="J250" s="1275"/>
      <c r="K250" s="1275"/>
      <c r="L250" s="1275"/>
      <c r="M250" s="1275"/>
      <c r="N250" s="1275"/>
      <c r="O250" s="1275"/>
      <c r="P250" s="1275"/>
      <c r="Q250" s="1275"/>
      <c r="R250" s="1275"/>
      <c r="S250" s="1275"/>
      <c r="T250" s="1275"/>
      <c r="U250" s="1275"/>
    </row>
    <row r="251" spans="1:21" ht="18" customHeight="1" thickBot="1" x14ac:dyDescent="0.3">
      <c r="A251" s="1267"/>
      <c r="B251" s="1275"/>
      <c r="C251" s="1268" t="s">
        <v>1618</v>
      </c>
      <c r="D251" s="1483" t="s">
        <v>1619</v>
      </c>
      <c r="E251" s="1486"/>
      <c r="F251" s="1275"/>
      <c r="G251" s="1275"/>
      <c r="H251" s="1275"/>
      <c r="I251" s="1275"/>
      <c r="J251" s="1275"/>
      <c r="K251" s="1275"/>
      <c r="L251" s="1275"/>
      <c r="M251" s="1275"/>
      <c r="N251" s="1275"/>
      <c r="O251" s="1275"/>
      <c r="P251" s="1275"/>
      <c r="Q251" s="1275"/>
      <c r="R251" s="1275"/>
      <c r="S251" s="1275"/>
      <c r="T251" s="1275"/>
      <c r="U251" s="1275"/>
    </row>
    <row r="252" spans="1:21" ht="20.25" customHeight="1" thickBot="1" x14ac:dyDescent="0.3">
      <c r="A252" s="1267"/>
      <c r="B252" s="1275"/>
      <c r="C252" s="1275"/>
      <c r="D252" s="1275"/>
      <c r="E252" s="1275"/>
      <c r="F252" s="1275"/>
      <c r="G252" s="1275"/>
      <c r="H252" s="1275"/>
      <c r="I252" s="1275"/>
      <c r="J252" s="1275"/>
      <c r="K252" s="1275"/>
      <c r="L252" s="1275"/>
      <c r="M252" s="1275"/>
      <c r="N252" s="1275"/>
      <c r="O252" s="1275"/>
      <c r="P252" s="1275"/>
      <c r="Q252" s="1275"/>
      <c r="R252" s="1275"/>
      <c r="S252" s="1275"/>
      <c r="T252" s="1275"/>
      <c r="U252" s="1275"/>
    </row>
    <row r="253" spans="1:21" ht="15.75" thickBot="1" x14ac:dyDescent="0.3">
      <c r="A253" s="1267"/>
      <c r="B253" s="1478" t="s">
        <v>1666</v>
      </c>
      <c r="C253" s="1479"/>
      <c r="D253" s="1479"/>
      <c r="E253" s="1479"/>
      <c r="F253" s="1479"/>
      <c r="G253" s="1479"/>
      <c r="H253" s="1479"/>
      <c r="I253" s="1479"/>
      <c r="J253" s="1479"/>
      <c r="K253" s="1479"/>
      <c r="L253" s="1479"/>
      <c r="M253" s="1479"/>
      <c r="N253" s="1479"/>
      <c r="O253" s="1479"/>
      <c r="P253" s="1479"/>
      <c r="Q253" s="1479"/>
      <c r="R253" s="1479"/>
      <c r="S253" s="1479"/>
      <c r="T253" s="1479"/>
      <c r="U253" s="1480"/>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mergeCells count="12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 ref="D53:E53"/>
    <mergeCell ref="D57:E57"/>
    <mergeCell ref="B59:U59"/>
    <mergeCell ref="D163:E163"/>
    <mergeCell ref="B165:U165"/>
    <mergeCell ref="D167:E167"/>
    <mergeCell ref="D169:E169"/>
    <mergeCell ref="D153:E153"/>
    <mergeCell ref="D155:E155"/>
    <mergeCell ref="D157:E157"/>
    <mergeCell ref="D159:E159"/>
    <mergeCell ref="B75:U75"/>
    <mergeCell ref="D77:E77"/>
    <mergeCell ref="D79:E79"/>
    <mergeCell ref="D81:E81"/>
    <mergeCell ref="D83:E83"/>
    <mergeCell ref="D61:E61"/>
    <mergeCell ref="D63:E63"/>
    <mergeCell ref="D65:E65"/>
    <mergeCell ref="D73:E73"/>
    <mergeCell ref="D149:E149"/>
    <mergeCell ref="D93:E93"/>
    <mergeCell ref="D15:E15"/>
    <mergeCell ref="B17:U17"/>
    <mergeCell ref="D13:E13"/>
    <mergeCell ref="D19:E19"/>
    <mergeCell ref="D21:E21"/>
    <mergeCell ref="B3:U3"/>
    <mergeCell ref="D5:E5"/>
    <mergeCell ref="D7:E7"/>
    <mergeCell ref="D9:E9"/>
    <mergeCell ref="D11:E11"/>
    <mergeCell ref="D95:E95"/>
    <mergeCell ref="D97:E97"/>
    <mergeCell ref="D99:E99"/>
    <mergeCell ref="D23:E23"/>
    <mergeCell ref="D25:E25"/>
    <mergeCell ref="D29:E29"/>
    <mergeCell ref="B31:U31"/>
    <mergeCell ref="D33:E33"/>
    <mergeCell ref="D35:E35"/>
    <mergeCell ref="D37:E37"/>
    <mergeCell ref="D39:E39"/>
    <mergeCell ref="D43:E43"/>
    <mergeCell ref="B45:U45"/>
    <mergeCell ref="D47:E47"/>
    <mergeCell ref="D67:E67"/>
    <mergeCell ref="D89:E89"/>
    <mergeCell ref="B91:U91"/>
    <mergeCell ref="D27:E27"/>
    <mergeCell ref="D41:E41"/>
    <mergeCell ref="D55:E55"/>
    <mergeCell ref="D71:E71"/>
    <mergeCell ref="D87:E87"/>
    <mergeCell ref="D49:E49"/>
    <mergeCell ref="D51:E51"/>
    <mergeCell ref="D101:E101"/>
    <mergeCell ref="D115:E115"/>
    <mergeCell ref="D131:E131"/>
    <mergeCell ref="D147:E147"/>
    <mergeCell ref="B135:U135"/>
    <mergeCell ref="D137:E137"/>
    <mergeCell ref="D139:E139"/>
    <mergeCell ref="D141:E141"/>
    <mergeCell ref="D143:E143"/>
    <mergeCell ref="D123:E123"/>
    <mergeCell ref="D125:E125"/>
    <mergeCell ref="D127:E127"/>
    <mergeCell ref="D133:E133"/>
    <mergeCell ref="D113:E113"/>
    <mergeCell ref="D117:E117"/>
    <mergeCell ref="B119:U119"/>
    <mergeCell ref="D121:E121"/>
    <mergeCell ref="D103:E103"/>
    <mergeCell ref="B105:U105"/>
    <mergeCell ref="D107:E107"/>
    <mergeCell ref="D109:E109"/>
    <mergeCell ref="D111:E111"/>
    <mergeCell ref="B239:U239"/>
    <mergeCell ref="D241:E241"/>
    <mergeCell ref="D243:E243"/>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92" t="s">
        <v>376</v>
      </c>
      <c r="BB1" s="1295" t="s">
        <v>832</v>
      </c>
      <c r="BC1" s="1295" t="s">
        <v>833</v>
      </c>
      <c r="BD1" s="1295" t="s">
        <v>834</v>
      </c>
    </row>
    <row r="2" spans="1:56" ht="15" x14ac:dyDescent="0.25">
      <c r="I2" s="579"/>
      <c r="J2" s="1497"/>
      <c r="K2" s="1497"/>
      <c r="O2" s="579"/>
      <c r="P2" s="579"/>
      <c r="Q2" s="579"/>
      <c r="R2" s="579"/>
      <c r="S2" s="579"/>
      <c r="T2" s="579"/>
      <c r="U2" s="579"/>
      <c r="V2" s="579"/>
      <c r="W2" s="579"/>
      <c r="X2" s="579"/>
      <c r="Y2" s="579"/>
      <c r="Z2" s="579"/>
      <c r="AA2" s="579"/>
      <c r="AH2" s="140" t="s">
        <v>62</v>
      </c>
      <c r="AI2" s="140" t="s">
        <v>1</v>
      </c>
      <c r="AJ2" s="140" t="s">
        <v>62</v>
      </c>
      <c r="AK2" s="733" t="s">
        <v>113</v>
      </c>
      <c r="BA2" s="1292" t="s">
        <v>185</v>
      </c>
      <c r="BB2" s="603">
        <v>3.5817363247067663E-2</v>
      </c>
      <c r="BC2" s="1296">
        <v>0</v>
      </c>
      <c r="BD2" s="603">
        <v>8.8690021708485861E-3</v>
      </c>
    </row>
    <row r="3" spans="1:56" ht="15" x14ac:dyDescent="0.25">
      <c r="I3" s="580" t="s">
        <v>919</v>
      </c>
      <c r="J3" s="1433" t="e">
        <f>VLOOKUP($J$4,'Market Geography'!$D:$G,4,FALSE)</f>
        <v>#N/A</v>
      </c>
      <c r="K3" s="1433"/>
      <c r="O3" s="579"/>
      <c r="P3" s="579"/>
      <c r="Q3" s="579"/>
      <c r="R3" s="579"/>
      <c r="S3" s="579"/>
      <c r="T3" s="579"/>
      <c r="U3" s="579"/>
      <c r="V3" s="579"/>
      <c r="W3" s="579"/>
      <c r="X3" s="579"/>
      <c r="Y3" s="579"/>
      <c r="Z3" s="579"/>
      <c r="AA3" s="579"/>
      <c r="AH3" s="140" t="s">
        <v>74</v>
      </c>
      <c r="AI3" s="140" t="s">
        <v>1</v>
      </c>
      <c r="AJ3" s="140" t="s">
        <v>74</v>
      </c>
      <c r="AK3" s="733" t="s">
        <v>113</v>
      </c>
      <c r="BA3" s="1292" t="s">
        <v>137</v>
      </c>
      <c r="BB3" s="603">
        <v>5.5629642190971086E-2</v>
      </c>
      <c r="BC3" s="1296">
        <v>0</v>
      </c>
      <c r="BD3" s="603">
        <v>2.8669898617454118E-2</v>
      </c>
    </row>
    <row r="4" spans="1:56" ht="15" x14ac:dyDescent="0.25">
      <c r="I4" s="580" t="s">
        <v>920</v>
      </c>
      <c r="J4" s="1433">
        <f>Welcome!$D$4</f>
        <v>0</v>
      </c>
      <c r="K4" s="1433"/>
      <c r="L4" s="581"/>
      <c r="M4" s="581"/>
      <c r="O4" s="579"/>
      <c r="P4" s="579"/>
      <c r="Q4" s="579"/>
      <c r="R4" s="579"/>
      <c r="S4" s="579"/>
      <c r="T4" s="579"/>
      <c r="U4" s="579"/>
      <c r="V4" s="579"/>
      <c r="W4" s="579"/>
      <c r="X4" s="579"/>
      <c r="Y4" s="579"/>
      <c r="Z4" s="579"/>
      <c r="AA4" s="579"/>
      <c r="AC4" s="27"/>
      <c r="AH4" s="140" t="s">
        <v>34</v>
      </c>
      <c r="AI4" s="140" t="s">
        <v>1</v>
      </c>
      <c r="AJ4" s="140" t="s">
        <v>34</v>
      </c>
      <c r="AK4" s="733" t="s">
        <v>113</v>
      </c>
      <c r="BA4" s="1292" t="s">
        <v>192</v>
      </c>
      <c r="BB4" s="603">
        <v>8.6185037724232694E-2</v>
      </c>
      <c r="BC4" s="1296">
        <v>0</v>
      </c>
      <c r="BD4" s="603">
        <v>2.1706824056028987E-2</v>
      </c>
    </row>
    <row r="5" spans="1:56" ht="15" x14ac:dyDescent="0.25">
      <c r="I5" s="580" t="s">
        <v>921</v>
      </c>
      <c r="J5" s="1498" t="e">
        <f>VLOOKUP($J$4,'Market Geography'!$D:$F,3,FALSE)</f>
        <v>#N/A</v>
      </c>
      <c r="K5" s="1498"/>
      <c r="O5" s="579"/>
      <c r="P5" s="579"/>
      <c r="Q5" s="579"/>
      <c r="R5" s="579"/>
      <c r="S5" s="579"/>
      <c r="T5" s="579"/>
      <c r="U5" s="579"/>
      <c r="V5" s="579"/>
      <c r="W5" s="579"/>
      <c r="X5" s="579"/>
      <c r="Y5" s="579"/>
      <c r="Z5" s="579"/>
      <c r="AA5" s="579"/>
      <c r="AH5" s="140" t="s">
        <v>0</v>
      </c>
      <c r="AI5" s="140" t="s">
        <v>1</v>
      </c>
      <c r="AJ5" s="140" t="s">
        <v>0</v>
      </c>
      <c r="AK5" s="733" t="s">
        <v>113</v>
      </c>
      <c r="BA5" s="1292" t="s">
        <v>186</v>
      </c>
      <c r="BB5" s="603">
        <v>6.9328550719001625E-2</v>
      </c>
      <c r="BC5" s="1296">
        <v>0</v>
      </c>
      <c r="BD5" s="603">
        <v>4.7376862589923623E-2</v>
      </c>
    </row>
    <row r="6" spans="1:56" ht="15" x14ac:dyDescent="0.25">
      <c r="I6" s="582" t="s">
        <v>922</v>
      </c>
      <c r="J6" s="1433" t="s">
        <v>134</v>
      </c>
      <c r="K6" s="1433" t="s">
        <v>206</v>
      </c>
      <c r="O6" s="579"/>
      <c r="P6" s="579"/>
      <c r="Q6" s="579"/>
      <c r="R6" s="579"/>
      <c r="S6" s="579"/>
      <c r="T6" s="579"/>
      <c r="U6" s="579"/>
      <c r="V6" s="579"/>
      <c r="W6" s="579"/>
      <c r="X6" s="579"/>
      <c r="Y6" s="579"/>
      <c r="Z6" s="579"/>
      <c r="AA6" s="579"/>
      <c r="AH6" s="140" t="s">
        <v>69</v>
      </c>
      <c r="AI6" s="140" t="s">
        <v>1</v>
      </c>
      <c r="AJ6" s="140" t="s">
        <v>69</v>
      </c>
      <c r="AK6" s="733" t="s">
        <v>113</v>
      </c>
      <c r="BA6" s="1292" t="s">
        <v>187</v>
      </c>
      <c r="BB6" s="603">
        <v>4.9141599697189288E-3</v>
      </c>
      <c r="BC6" s="1296">
        <v>0</v>
      </c>
      <c r="BD6" s="603">
        <v>1.8429062592577112E-2</v>
      </c>
    </row>
    <row r="7" spans="1:56" ht="15" x14ac:dyDescent="0.25">
      <c r="I7" s="582" t="s">
        <v>923</v>
      </c>
      <c r="J7" s="1433" t="str">
        <f>IF(Welcome!$D$8="MDA","C","N")</f>
        <v>N</v>
      </c>
      <c r="K7" s="143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92" t="s">
        <v>190</v>
      </c>
      <c r="BB7" s="603">
        <v>2.4711152875935824E-2</v>
      </c>
      <c r="BC7" s="1296">
        <v>0</v>
      </c>
      <c r="BD7" s="603">
        <v>1.774946916296789E-2</v>
      </c>
    </row>
    <row r="8" spans="1:56" ht="15" x14ac:dyDescent="0.25">
      <c r="AH8" s="140" t="s">
        <v>35</v>
      </c>
      <c r="AI8" s="140" t="s">
        <v>1</v>
      </c>
      <c r="AJ8" s="140" t="s">
        <v>35</v>
      </c>
      <c r="AK8" s="733" t="s">
        <v>113</v>
      </c>
      <c r="BA8" s="1292" t="s">
        <v>159</v>
      </c>
      <c r="BB8" s="603">
        <v>1.8290297044283373E-2</v>
      </c>
      <c r="BC8" s="1296">
        <v>0</v>
      </c>
      <c r="BD8" s="603">
        <v>4.4981287406709404E-2</v>
      </c>
    </row>
    <row r="9" spans="1:56" ht="15" x14ac:dyDescent="0.25">
      <c r="I9" s="583"/>
      <c r="AH9" s="140" t="s">
        <v>6</v>
      </c>
      <c r="AI9" s="140" t="s">
        <v>1</v>
      </c>
      <c r="AJ9" s="140" t="s">
        <v>6</v>
      </c>
      <c r="AK9" s="733" t="s">
        <v>113</v>
      </c>
      <c r="BA9" s="1292" t="s">
        <v>173</v>
      </c>
      <c r="BB9" s="603">
        <v>4.4102248948597149E-2</v>
      </c>
      <c r="BC9" s="1296">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92" t="s">
        <v>142</v>
      </c>
      <c r="BB10" s="603">
        <v>2.7285585371239499E-2</v>
      </c>
      <c r="BC10" s="1296">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92" t="s">
        <v>164</v>
      </c>
      <c r="BB11" s="603">
        <v>3.7969620035705205E-2</v>
      </c>
      <c r="BC11" s="1296">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92" t="s">
        <v>184</v>
      </c>
      <c r="BB12" s="603">
        <v>4.1598036364212304E-2</v>
      </c>
      <c r="BC12" s="1296">
        <v>0</v>
      </c>
      <c r="BD12" s="603">
        <v>1.9993455557979291E-2</v>
      </c>
    </row>
    <row r="13" spans="1:56" ht="15" x14ac:dyDescent="0.25">
      <c r="J13" s="568"/>
      <c r="N13" s="569"/>
      <c r="AD13" s="1494" t="s">
        <v>975</v>
      </c>
      <c r="AE13" s="1495"/>
      <c r="AF13" s="1496"/>
      <c r="AH13" s="140" t="s">
        <v>60</v>
      </c>
      <c r="AI13" s="140" t="s">
        <v>1</v>
      </c>
      <c r="AJ13" s="140" t="s">
        <v>60</v>
      </c>
      <c r="AK13" s="733" t="s">
        <v>113</v>
      </c>
      <c r="BA13" s="1292" t="s">
        <v>189</v>
      </c>
      <c r="BB13" s="603">
        <v>1.6043279471132196E-2</v>
      </c>
      <c r="BC13" s="1296">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92" t="s">
        <v>191</v>
      </c>
      <c r="BB14" s="603">
        <v>3.6334970403597129E-2</v>
      </c>
      <c r="BC14" s="1296">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7" t="e">
        <f>IF($AA15="Existing",IF($Z15="BASE",$T15,$W15),$N15) + VLOOKUP($J$5,$BA:$BD,2,FALSE)*$F$15</f>
        <v>#N/A</v>
      </c>
      <c r="AE15" s="1297" t="e">
        <f>IF($AA15="Existing",IF($Z15="BASE",$U15,$X15),$O15) + VLOOKUP($J$5,$BA:$BD,3,FALSE)*$F$15</f>
        <v>#N/A</v>
      </c>
      <c r="AF15" s="1297" t="e">
        <f>IF($AA15="Existing",IF($Z15="BASE",$V15,$Y15),$P15) + VLOOKUP($J$5,$BA:$BD,4,FALSE)*$F$15</f>
        <v>#N/A</v>
      </c>
      <c r="AG15" s="682" t="e">
        <f>SUM(AD15:AF15)</f>
        <v>#N/A</v>
      </c>
      <c r="AH15" s="140" t="s">
        <v>36</v>
      </c>
      <c r="AI15" s="140" t="s">
        <v>1</v>
      </c>
      <c r="AJ15" s="140" t="s">
        <v>36</v>
      </c>
      <c r="AK15" s="733" t="s">
        <v>113</v>
      </c>
      <c r="BA15" s="1292" t="s">
        <v>143</v>
      </c>
      <c r="BB15" s="603">
        <v>6.1097714192559188E-2</v>
      </c>
      <c r="BC15" s="1296">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7" t="e">
        <f>IF($AA16="Existing",IF($Z16="BASE",$T16,$W16),$N16) + VLOOKUP($J$5,$BA:$BD,2,FALSE)*$F$16</f>
        <v>#N/A</v>
      </c>
      <c r="AE16" s="1297" t="e">
        <f>IF($AA16="Existing",IF($Z16="BASE",$U16,$X16),$O16) + VLOOKUP($J$5,$BA:$BD,3,FALSE)*$F$16</f>
        <v>#N/A</v>
      </c>
      <c r="AF16" s="1297" t="e">
        <f>IF($AA16="Existing",IF($Z16="BASE",$V16,$Y16),$P16) + VLOOKUP($J$5,$BA:$BD,4,FALSE)*$F$16</f>
        <v>#N/A</v>
      </c>
      <c r="AG16" s="682" t="e">
        <f t="shared" ref="AG16:AG24" si="9">SUM(AD16:AF16)</f>
        <v>#N/A</v>
      </c>
      <c r="AH16" s="140" t="s">
        <v>71</v>
      </c>
      <c r="AI16" s="140" t="s">
        <v>1</v>
      </c>
      <c r="AJ16" s="140" t="s">
        <v>71</v>
      </c>
      <c r="AK16" s="733" t="s">
        <v>113</v>
      </c>
      <c r="BA16" s="1292" t="s">
        <v>176</v>
      </c>
      <c r="BB16" s="603">
        <v>5.4116406181107392E-2</v>
      </c>
      <c r="BC16" s="1296">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7" t="e">
        <f>IF($AA17="Existing",IF($Z17="BASE",$T17,$W17),$N17) + VLOOKUP($J$5,$BA:$BD,2,FALSE)*$F$17</f>
        <v>#N/A</v>
      </c>
      <c r="AE17" s="1297" t="e">
        <f>IF($AA17="Existing",IF($Z17="BASE",$U17,$X17),$O17) + VLOOKUP($J$5,$BA:$BD,3,FALSE)*$F$17</f>
        <v>#N/A</v>
      </c>
      <c r="AF17" s="1297" t="e">
        <f>IF($AA17="Existing",IF($Z17="BASE",$V17,$Y17),$P17) + VLOOKUP($J$5,$BA:$BD,4,FALSE)*$F$17</f>
        <v>#N/A</v>
      </c>
      <c r="AG17" s="682" t="e">
        <f t="shared" si="9"/>
        <v>#N/A</v>
      </c>
      <c r="AH17" s="140" t="s">
        <v>11</v>
      </c>
      <c r="AI17" s="140" t="s">
        <v>1</v>
      </c>
      <c r="AJ17" s="140" t="s">
        <v>11</v>
      </c>
      <c r="AK17" s="733" t="s">
        <v>113</v>
      </c>
      <c r="BA17" s="1292" t="s">
        <v>175</v>
      </c>
      <c r="BB17" s="603">
        <v>0.12913699506123022</v>
      </c>
      <c r="BC17" s="1296">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7" t="e">
        <f>IF($AA18="Existing",IF($Z18="BASE",$T18,$W18),$N18) + VLOOKUP($J$5,$BA:$BD,2,FALSE)*$F$18</f>
        <v>#N/A</v>
      </c>
      <c r="AE18" s="1297" t="e">
        <f>IF($AA18="Existing",IF($Z18="BASE",$U18,$X18),$O18) + VLOOKUP($J$5,$BA:$BD,3,FALSE)*$F$18</f>
        <v>#N/A</v>
      </c>
      <c r="AF18" s="1297" t="e">
        <f>IF($AA18="Existing",IF($Z18="BASE",$V18,$Y18),$P18) + VLOOKUP($J$5,$BA:$BD,4,FALSE)*$F$18</f>
        <v>#N/A</v>
      </c>
      <c r="AG18" s="682" t="e">
        <f t="shared" si="9"/>
        <v>#N/A</v>
      </c>
      <c r="AH18" s="140" t="s">
        <v>9</v>
      </c>
      <c r="AI18" s="140" t="s">
        <v>1</v>
      </c>
      <c r="AJ18" s="140" t="s">
        <v>9</v>
      </c>
      <c r="AK18" s="733" t="s">
        <v>113</v>
      </c>
      <c r="BA18" s="1292" t="s">
        <v>1201</v>
      </c>
      <c r="BB18" s="603">
        <v>2.3595511935062798E-2</v>
      </c>
      <c r="BC18" s="1296">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7" t="e">
        <f>IF($AA19="Existing",IF($Z19="BASE",$T19,$W19),$N19) + VLOOKUP($J$5,$BA:$BD,2,FALSE)*$F$19</f>
        <v>#N/A</v>
      </c>
      <c r="AE19" s="1297" t="e">
        <f>IF($AA19="Existing",IF($Z19="BASE",$U19,$X19),$O19) + VLOOKUP($J$5,$BA:$BD,3,FALSE)*$F$19</f>
        <v>#N/A</v>
      </c>
      <c r="AF19" s="1297" t="e">
        <f>IF($AA19="Existing",IF($Z19="BASE",$V19,$Y19),$P19) + VLOOKUP($J$5,$BA:$BD,4,FALSE)*$F$19</f>
        <v>#N/A</v>
      </c>
      <c r="AG19" s="682" t="e">
        <f t="shared" si="9"/>
        <v>#N/A</v>
      </c>
      <c r="AH19" s="140" t="s">
        <v>38</v>
      </c>
      <c r="AI19" s="140" t="s">
        <v>1</v>
      </c>
      <c r="AJ19" s="140" t="s">
        <v>38</v>
      </c>
      <c r="AK19" s="733" t="s">
        <v>113</v>
      </c>
      <c r="BA19" s="1292" t="s">
        <v>167</v>
      </c>
      <c r="BB19" s="603">
        <v>1.5473677861722991E-2</v>
      </c>
      <c r="BC19" s="1296">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7" t="e">
        <f>IF($AA20="Existing",IF($Z20="BASE",$T20,$W20),$N20) + VLOOKUP($J$5,$BA:$BD,2,FALSE)*$F$20</f>
        <v>#N/A</v>
      </c>
      <c r="AE20" s="1297" t="e">
        <f>IF($AA20="Existing",IF($Z20="BASE",$U20,$X20),$O20) + VLOOKUP($J$5,$BA:$BD,3,FALSE)*$F$20</f>
        <v>#N/A</v>
      </c>
      <c r="AF20" s="1297" t="e">
        <f>IF($AA20="Existing",IF($Z20="BASE",$V20,$Y20),$P20) + VLOOKUP($J$5,$BA:$BD,4,FALSE)*$F$20</f>
        <v>#N/A</v>
      </c>
      <c r="AG20" s="682" t="e">
        <f t="shared" si="9"/>
        <v>#N/A</v>
      </c>
      <c r="AH20" s="140" t="s">
        <v>261</v>
      </c>
      <c r="AI20" s="140" t="s">
        <v>1</v>
      </c>
      <c r="AJ20" s="140" t="s">
        <v>261</v>
      </c>
      <c r="AK20" s="733" t="s">
        <v>113</v>
      </c>
      <c r="BA20" s="1292" t="s">
        <v>171</v>
      </c>
      <c r="BB20" s="603">
        <v>0.10057060601636722</v>
      </c>
      <c r="BC20" s="1296">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7" t="e">
        <f>IF($AA21="Existing",IF($Z21="BASE",$T21,$W21),$N21) + VLOOKUP($J$5,$BA:$BD,2,FALSE)*$F$21</f>
        <v>#N/A</v>
      </c>
      <c r="AE21" s="1297" t="e">
        <f>IF($AA21="Existing",IF($Z21="BASE",$U21,$X21),$O21) + VLOOKUP($J$5,$BA:$BD,3,FALSE)*$F$21</f>
        <v>#N/A</v>
      </c>
      <c r="AF21" s="1297" t="e">
        <f>IF($AA21="Existing",IF($Z21="BASE",$V21,$Y21),$P21) + VLOOKUP($J$5,$BA:$BD,4,FALSE)*$F$21</f>
        <v>#N/A</v>
      </c>
      <c r="AG21" s="682" t="e">
        <f t="shared" si="9"/>
        <v>#N/A</v>
      </c>
      <c r="AH21" s="140" t="s">
        <v>257</v>
      </c>
      <c r="AI21" s="140" t="s">
        <v>114</v>
      </c>
      <c r="AJ21" s="140" t="s">
        <v>257</v>
      </c>
      <c r="AK21" s="140" t="s">
        <v>114</v>
      </c>
      <c r="BA21" s="1292" t="s">
        <v>1193</v>
      </c>
      <c r="BB21" s="603">
        <v>3.8323599527484833E-2</v>
      </c>
      <c r="BC21" s="1296">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7" t="e">
        <f>IF($AA22="Existing",IF($Z22="BASE",$T22,$W22),$N22) + VLOOKUP($J$5,$BA:$BD,2,FALSE)*$F$22</f>
        <v>#N/A</v>
      </c>
      <c r="AE22" s="1297" t="e">
        <f>IF($AA22="Existing",IF($Z22="BASE",$U22,$X22),$O22) + VLOOKUP($J$5,$BA:$BD,3,FALSE)*$F$22</f>
        <v>#N/A</v>
      </c>
      <c r="AF22" s="1297" t="e">
        <f>IF($AA22="Existing",IF($Z22="BASE",$V22,$Y22),$P22) + VLOOKUP($J$5,$BA:$BD,4,FALSE)*$F$22</f>
        <v>#N/A</v>
      </c>
      <c r="AG22" s="682" t="e">
        <f t="shared" si="9"/>
        <v>#N/A</v>
      </c>
      <c r="AH22" s="140" t="s">
        <v>258</v>
      </c>
      <c r="AI22" s="140" t="s">
        <v>116</v>
      </c>
      <c r="AJ22" s="140" t="s">
        <v>258</v>
      </c>
      <c r="AK22" s="140" t="s">
        <v>116</v>
      </c>
      <c r="BA22" s="1292" t="s">
        <v>1198</v>
      </c>
      <c r="BB22" s="603">
        <v>3.7396726824657861E-2</v>
      </c>
      <c r="BC22" s="1296">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7" t="e">
        <f>IF($AA23="Existing",IF($Z23="BASE",$T23,$W23),$N23) + VLOOKUP($J$5,$BA:$BD,2,FALSE)*$F$23</f>
        <v>#N/A</v>
      </c>
      <c r="AE23" s="1297" t="e">
        <f>IF($AA23="Existing",IF($Z23="BASE",$U23,$X23),$O23) + VLOOKUP($J$5,$BA:$BD,3,FALSE)*$F$23</f>
        <v>#N/A</v>
      </c>
      <c r="AF23" s="1297" t="e">
        <f>IF($AA23="Existing",IF($Z23="BASE",$V23,$Y23),$P23) + VLOOKUP($J$5,$BA:$BD,4,FALSE)*$F$23</f>
        <v>#N/A</v>
      </c>
      <c r="AG23" s="682" t="e">
        <f t="shared" si="9"/>
        <v>#N/A</v>
      </c>
      <c r="AH23" s="140" t="s">
        <v>259</v>
      </c>
      <c r="AI23" s="140" t="s">
        <v>112</v>
      </c>
      <c r="AJ23" s="140" t="s">
        <v>259</v>
      </c>
      <c r="AK23" s="140" t="s">
        <v>112</v>
      </c>
      <c r="BA23" s="1292" t="s">
        <v>1204</v>
      </c>
      <c r="BB23" s="603">
        <v>2.9879783541246846E-2</v>
      </c>
      <c r="BC23" s="1296">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8" t="e">
        <f>IF($AA24="Existing",IF($Z24="BASE",$T24,$W24),$N24) + VLOOKUP($J$5,$BA:$BD,2,FALSE)*$F$24</f>
        <v>#N/A</v>
      </c>
      <c r="AE24" s="1298" t="e">
        <f>IF($AA24="Existing",IF($Z24="BASE",$U24,$X24),$O24) + VLOOKUP($J$5,$BA:$BD,3,FALSE)*$F$24</f>
        <v>#N/A</v>
      </c>
      <c r="AF24" s="1298" t="e">
        <f>IF($AA24="Existing",IF($Z24="BASE",$V24,$Y24),$P24) + VLOOKUP($J$5,$BA:$BD,4,FALSE)*$F$24</f>
        <v>#N/A</v>
      </c>
      <c r="AG24" s="683" t="e">
        <f t="shared" si="9"/>
        <v>#N/A</v>
      </c>
      <c r="AH24" s="140" t="s">
        <v>260</v>
      </c>
      <c r="AI24" s="140" t="s">
        <v>113</v>
      </c>
      <c r="AJ24" s="140" t="s">
        <v>260</v>
      </c>
      <c r="AK24" s="140" t="s">
        <v>113</v>
      </c>
      <c r="BA24" s="1292" t="s">
        <v>172</v>
      </c>
      <c r="BB24" s="603">
        <v>1.7540785371868681E-2</v>
      </c>
      <c r="BC24" s="1296">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92" t="s">
        <v>165</v>
      </c>
      <c r="BB25" s="603">
        <v>1.9764871757917721E-2</v>
      </c>
      <c r="BC25" s="1296">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92" t="s">
        <v>169</v>
      </c>
      <c r="BB26" s="603">
        <v>2.1594042726351601E-2</v>
      </c>
      <c r="BC26" s="1296">
        <v>0</v>
      </c>
      <c r="BD26" s="603">
        <v>1.3811810352014606E-2</v>
      </c>
    </row>
    <row r="27" spans="1:56" ht="15" x14ac:dyDescent="0.25">
      <c r="AB27" s="573"/>
      <c r="AH27" s="140" t="s">
        <v>264</v>
      </c>
      <c r="AI27" s="140" t="s">
        <v>115</v>
      </c>
      <c r="AJ27" s="140" t="s">
        <v>264</v>
      </c>
      <c r="AK27" s="140" t="s">
        <v>115</v>
      </c>
      <c r="BA27" s="1292" t="s">
        <v>168</v>
      </c>
      <c r="BB27" s="603">
        <v>0.11750533916420056</v>
      </c>
      <c r="BC27" s="1296">
        <v>0</v>
      </c>
      <c r="BD27" s="603">
        <v>5.1861291692847304E-2</v>
      </c>
    </row>
    <row r="28" spans="1:56" ht="15" x14ac:dyDescent="0.25">
      <c r="AH28" s="140" t="s">
        <v>265</v>
      </c>
      <c r="AI28" s="140" t="s">
        <v>117</v>
      </c>
      <c r="AJ28" s="140" t="s">
        <v>265</v>
      </c>
      <c r="AK28" s="140" t="s">
        <v>117</v>
      </c>
      <c r="BA28" s="1292" t="s">
        <v>166</v>
      </c>
      <c r="BB28" s="603">
        <v>9.4569160095063776E-2</v>
      </c>
      <c r="BC28" s="1296">
        <v>0</v>
      </c>
      <c r="BD28" s="603">
        <v>2.8321161766607247E-2</v>
      </c>
    </row>
    <row r="29" spans="1:56" ht="15" x14ac:dyDescent="0.25">
      <c r="BA29" s="1292" t="s">
        <v>170</v>
      </c>
      <c r="BB29" s="603">
        <v>3.9928491020451123E-2</v>
      </c>
      <c r="BC29" s="1296">
        <v>0</v>
      </c>
      <c r="BD29" s="603">
        <v>1.5567079172505452E-2</v>
      </c>
    </row>
    <row r="30" spans="1:56" ht="15" x14ac:dyDescent="0.25">
      <c r="BA30" s="1292" t="s">
        <v>177</v>
      </c>
      <c r="BB30" s="603">
        <v>1.1099763086680715E-2</v>
      </c>
      <c r="BC30" s="1296">
        <v>0</v>
      </c>
      <c r="BD30" s="603">
        <v>8.8520162127898698E-3</v>
      </c>
    </row>
    <row r="31" spans="1:56" ht="15" x14ac:dyDescent="0.25">
      <c r="BA31" s="1292" t="s">
        <v>149</v>
      </c>
      <c r="BB31" s="603">
        <v>4.2790094507156567E-2</v>
      </c>
      <c r="BC31" s="1296">
        <v>0</v>
      </c>
      <c r="BD31" s="603">
        <v>1.2759850917548022E-2</v>
      </c>
    </row>
    <row r="32" spans="1:56" ht="15" x14ac:dyDescent="0.25">
      <c r="BA32" s="1292" t="s">
        <v>138</v>
      </c>
      <c r="BB32" s="603">
        <v>6.8589499867049264E-2</v>
      </c>
      <c r="BC32" s="1296">
        <v>0</v>
      </c>
      <c r="BD32" s="603">
        <v>1.4804419983177572E-2</v>
      </c>
    </row>
    <row r="33" spans="53:56" ht="14.45" customHeight="1" x14ac:dyDescent="0.25">
      <c r="BA33" s="1292" t="s">
        <v>1207</v>
      </c>
      <c r="BB33" s="603">
        <v>1.2364565911918948E-2</v>
      </c>
      <c r="BC33" s="1296">
        <v>0</v>
      </c>
      <c r="BD33" s="603">
        <v>8.900909154504151E-3</v>
      </c>
    </row>
    <row r="34" spans="53:56" ht="15" x14ac:dyDescent="0.25">
      <c r="BA34" s="1292" t="s">
        <v>1212</v>
      </c>
      <c r="BB34" s="603">
        <v>1.6792014353770555E-2</v>
      </c>
      <c r="BC34" s="1296">
        <v>0</v>
      </c>
      <c r="BD34" s="603">
        <v>1.2210064921123294E-2</v>
      </c>
    </row>
    <row r="35" spans="53:56" ht="15" x14ac:dyDescent="0.25">
      <c r="BA35" s="1292" t="s">
        <v>1210</v>
      </c>
      <c r="BB35" s="603">
        <v>1.253261181595695E-2</v>
      </c>
      <c r="BC35" s="1296">
        <v>0</v>
      </c>
      <c r="BD35" s="603">
        <v>9.7734078021673616E-3</v>
      </c>
    </row>
    <row r="36" spans="53:56" ht="15" x14ac:dyDescent="0.25">
      <c r="BA36" s="1292" t="s">
        <v>1667</v>
      </c>
      <c r="BB36" s="603">
        <v>0</v>
      </c>
      <c r="BC36" s="1296">
        <v>0</v>
      </c>
      <c r="BD36" s="603">
        <v>0</v>
      </c>
    </row>
    <row r="37" spans="53:56" ht="15" x14ac:dyDescent="0.25">
      <c r="BA37" s="1292" t="s">
        <v>1191</v>
      </c>
      <c r="BB37" s="603">
        <v>2.5887131069330379E-2</v>
      </c>
      <c r="BC37" s="1296">
        <v>0</v>
      </c>
      <c r="BD37" s="603">
        <v>2.3043576066624969E-2</v>
      </c>
    </row>
    <row r="38" spans="53:56" ht="15" x14ac:dyDescent="0.25">
      <c r="BA38" s="1292" t="s">
        <v>146</v>
      </c>
      <c r="BB38" s="603">
        <v>3.7234799147031011E-2</v>
      </c>
      <c r="BC38" s="1296">
        <v>0</v>
      </c>
      <c r="BD38" s="603">
        <v>1.2083264196195787E-2</v>
      </c>
    </row>
    <row r="39" spans="53:56" ht="15" x14ac:dyDescent="0.25">
      <c r="BA39" s="1292" t="s">
        <v>150</v>
      </c>
      <c r="BB39" s="603">
        <v>3.3669332355720311E-2</v>
      </c>
      <c r="BC39" s="1296">
        <v>0</v>
      </c>
      <c r="BD39" s="603">
        <v>8.6717110978439E-3</v>
      </c>
    </row>
    <row r="40" spans="53:56" ht="15" x14ac:dyDescent="0.25">
      <c r="BA40" s="1292" t="s">
        <v>154</v>
      </c>
      <c r="BB40" s="603">
        <v>2.4635134461350666E-2</v>
      </c>
      <c r="BC40" s="1296">
        <v>0</v>
      </c>
      <c r="BD40" s="603">
        <v>2.5288565469009545E-2</v>
      </c>
    </row>
    <row r="41" spans="53:56" ht="15" x14ac:dyDescent="0.25">
      <c r="BA41" s="1292" t="s">
        <v>181</v>
      </c>
      <c r="BB41" s="603">
        <v>8.1835182724224936E-2</v>
      </c>
      <c r="BC41" s="1296">
        <v>0</v>
      </c>
      <c r="BD41" s="603">
        <v>5.4057082630178097E-2</v>
      </c>
    </row>
    <row r="42" spans="53:56" ht="15" x14ac:dyDescent="0.25">
      <c r="BA42" s="1292" t="s">
        <v>144</v>
      </c>
      <c r="BB42" s="603">
        <v>2.3755510774954244E-2</v>
      </c>
      <c r="BC42" s="1296">
        <v>0</v>
      </c>
      <c r="BD42" s="603">
        <v>1.4790728589704635E-2</v>
      </c>
    </row>
    <row r="43" spans="53:56" ht="15" x14ac:dyDescent="0.25">
      <c r="BA43" s="1292" t="s">
        <v>145</v>
      </c>
      <c r="BB43" s="603">
        <v>2.2849043725844072E-2</v>
      </c>
      <c r="BC43" s="1296">
        <v>0</v>
      </c>
      <c r="BD43" s="603">
        <v>2.6691523307746542E-2</v>
      </c>
    </row>
    <row r="44" spans="53:56" ht="15" x14ac:dyDescent="0.25">
      <c r="BA44" s="1292" t="s">
        <v>1195</v>
      </c>
      <c r="BB44" s="603">
        <v>5.985232297346154E-2</v>
      </c>
      <c r="BC44" s="1296">
        <v>0</v>
      </c>
      <c r="BD44" s="603">
        <v>3.2425481045040068E-2</v>
      </c>
    </row>
    <row r="45" spans="53:56" ht="15" x14ac:dyDescent="0.25">
      <c r="BA45" s="1292" t="s">
        <v>147</v>
      </c>
      <c r="BB45" s="603">
        <v>8.199779979859606E-2</v>
      </c>
      <c r="BC45" s="1296">
        <v>0</v>
      </c>
      <c r="BD45" s="603">
        <v>1.9954890678683789E-2</v>
      </c>
    </row>
    <row r="46" spans="53:56" ht="15" x14ac:dyDescent="0.25">
      <c r="BA46" s="1292" t="s">
        <v>133</v>
      </c>
      <c r="BB46" s="603">
        <v>4.8860688051296348E-2</v>
      </c>
      <c r="BC46" s="1296">
        <v>0</v>
      </c>
      <c r="BD46" s="603">
        <v>2.3843368694567175E-2</v>
      </c>
    </row>
    <row r="47" spans="53:56" ht="15" x14ac:dyDescent="0.25">
      <c r="BA47" s="1292" t="s">
        <v>139</v>
      </c>
      <c r="BB47" s="603">
        <v>3.1634108675067073E-2</v>
      </c>
      <c r="BC47" s="1296">
        <v>0</v>
      </c>
      <c r="BD47" s="603">
        <v>-2.3835126475347363E-3</v>
      </c>
    </row>
    <row r="48" spans="53:56" ht="15" x14ac:dyDescent="0.25">
      <c r="BA48" s="1292" t="s">
        <v>174</v>
      </c>
      <c r="BB48" s="603">
        <v>2.9904631578824403E-2</v>
      </c>
      <c r="BC48" s="1296">
        <v>0</v>
      </c>
      <c r="BD48" s="603">
        <v>1.0829844278084793E-2</v>
      </c>
    </row>
    <row r="49" spans="53:56" ht="15" x14ac:dyDescent="0.25">
      <c r="BA49" s="1292" t="s">
        <v>179</v>
      </c>
      <c r="BB49" s="603">
        <v>5.5511095869386025E-2</v>
      </c>
      <c r="BC49" s="1296">
        <v>0</v>
      </c>
      <c r="BD49" s="603">
        <v>2.6201750855789418E-2</v>
      </c>
    </row>
    <row r="50" spans="53:56" ht="15" x14ac:dyDescent="0.25">
      <c r="BA50" s="1292" t="s">
        <v>183</v>
      </c>
      <c r="BB50" s="603">
        <v>2.346207324848153E-2</v>
      </c>
      <c r="BC50" s="1296">
        <v>0</v>
      </c>
      <c r="BD50" s="603">
        <v>2.1439731978803913E-2</v>
      </c>
    </row>
    <row r="51" spans="53:56" ht="15" x14ac:dyDescent="0.25">
      <c r="BA51" s="1292" t="s">
        <v>135</v>
      </c>
      <c r="BB51" s="603">
        <v>4.1048834415212614E-2</v>
      </c>
      <c r="BC51" s="1296">
        <v>0</v>
      </c>
      <c r="BD51" s="603">
        <v>8.8888326948858808E-3</v>
      </c>
    </row>
    <row r="52" spans="53:56" ht="15" x14ac:dyDescent="0.25">
      <c r="BA52" s="1292" t="s">
        <v>1076</v>
      </c>
      <c r="BB52" s="603">
        <v>5.1486374144173494E-2</v>
      </c>
      <c r="BC52" s="1296">
        <v>0</v>
      </c>
      <c r="BD52" s="603">
        <v>0.10125558714391102</v>
      </c>
    </row>
    <row r="53" spans="53:56" ht="15" x14ac:dyDescent="0.25">
      <c r="BA53" s="1292" t="s">
        <v>151</v>
      </c>
      <c r="BB53" s="603">
        <v>4.055170150368255E-2</v>
      </c>
      <c r="BC53" s="1296">
        <v>0</v>
      </c>
      <c r="BD53" s="603">
        <v>1.0862070388469723E-2</v>
      </c>
    </row>
    <row r="54" spans="53:56" ht="15" x14ac:dyDescent="0.25">
      <c r="BA54" s="1292" t="s">
        <v>178</v>
      </c>
      <c r="BB54" s="603">
        <v>5.0135245196220216E-2</v>
      </c>
      <c r="BC54" s="1296">
        <v>0</v>
      </c>
      <c r="BD54" s="603">
        <v>1.6751814265119163E-2</v>
      </c>
    </row>
    <row r="55" spans="53:56" ht="15" x14ac:dyDescent="0.25">
      <c r="BA55" s="1292" t="s">
        <v>180</v>
      </c>
      <c r="BB55" s="603">
        <v>5.2824435074763518E-2</v>
      </c>
      <c r="BC55" s="1296">
        <v>0</v>
      </c>
      <c r="BD55" s="603">
        <v>2.066117553350217E-2</v>
      </c>
    </row>
    <row r="56" spans="53:56" ht="15" x14ac:dyDescent="0.25">
      <c r="BA56" s="1292" t="s">
        <v>162</v>
      </c>
      <c r="BB56" s="603">
        <v>6.2682455490175315E-2</v>
      </c>
      <c r="BC56" s="1296">
        <v>0</v>
      </c>
      <c r="BD56" s="603">
        <v>3.1016204025541737E-2</v>
      </c>
    </row>
    <row r="57" spans="53:56" ht="15" x14ac:dyDescent="0.25">
      <c r="BA57" s="1292" t="s">
        <v>156</v>
      </c>
      <c r="BB57" s="603">
        <v>9.235210012731325E-2</v>
      </c>
      <c r="BC57" s="1296">
        <v>0</v>
      </c>
      <c r="BD57" s="603">
        <v>2.5653489947645543E-2</v>
      </c>
    </row>
    <row r="58" spans="53:56" ht="15" x14ac:dyDescent="0.25">
      <c r="BA58" s="1292" t="s">
        <v>188</v>
      </c>
      <c r="BB58" s="603">
        <v>5.1120544883496613E-2</v>
      </c>
      <c r="BC58" s="1296">
        <v>0</v>
      </c>
      <c r="BD58" s="603">
        <v>1.8675960772892002E-2</v>
      </c>
    </row>
    <row r="59" spans="53:56" ht="15" x14ac:dyDescent="0.25">
      <c r="BA59" s="1292" t="s">
        <v>153</v>
      </c>
      <c r="BB59" s="603">
        <v>4.8130277972301475E-2</v>
      </c>
      <c r="BC59" s="1296">
        <v>0</v>
      </c>
      <c r="BD59" s="603">
        <v>5.1397637508408395E-2</v>
      </c>
    </row>
    <row r="60" spans="53:56" ht="15" x14ac:dyDescent="0.25">
      <c r="BA60" s="1292" t="s">
        <v>157</v>
      </c>
      <c r="BB60" s="603">
        <v>0.10361771249727161</v>
      </c>
      <c r="BC60" s="1296">
        <v>0</v>
      </c>
      <c r="BD60" s="603">
        <v>3.2813446100705003E-2</v>
      </c>
    </row>
    <row r="61" spans="53:56" ht="15" x14ac:dyDescent="0.25">
      <c r="BA61" s="1292" t="s">
        <v>375</v>
      </c>
      <c r="BB61" s="603">
        <v>4.6758190447276263E-2</v>
      </c>
      <c r="BC61" s="1296">
        <v>0</v>
      </c>
      <c r="BD61" s="603">
        <v>5.2738813237781105E-3</v>
      </c>
    </row>
    <row r="62" spans="53:56" ht="15" x14ac:dyDescent="0.25">
      <c r="BA62" s="1292" t="s">
        <v>152</v>
      </c>
      <c r="BB62" s="603">
        <v>0.12936147772641043</v>
      </c>
      <c r="BC62" s="1296">
        <v>0</v>
      </c>
      <c r="BD62" s="603">
        <v>1.6878181302991312E-2</v>
      </c>
    </row>
    <row r="63" spans="53:56" ht="15" x14ac:dyDescent="0.25">
      <c r="BA63" s="1292" t="s">
        <v>160</v>
      </c>
      <c r="BB63" s="603">
        <v>3.8380623522067905E-2</v>
      </c>
      <c r="BC63" s="1296">
        <v>0</v>
      </c>
      <c r="BD63" s="603">
        <v>2.0785737029067618E-2</v>
      </c>
    </row>
    <row r="64" spans="53:56" ht="15" x14ac:dyDescent="0.25">
      <c r="BA64" s="1292" t="s">
        <v>1081</v>
      </c>
      <c r="BB64" s="603">
        <v>0.23486923823416656</v>
      </c>
      <c r="BC64" s="1296">
        <v>0</v>
      </c>
      <c r="BD64" s="603">
        <v>7.2443612540061583E-2</v>
      </c>
    </row>
    <row r="65" spans="53:56" ht="15" x14ac:dyDescent="0.25">
      <c r="BA65" s="1292" t="s">
        <v>148</v>
      </c>
      <c r="BB65" s="603">
        <v>4.9622624259427844E-2</v>
      </c>
      <c r="BC65" s="1296">
        <v>0</v>
      </c>
      <c r="BD65" s="603">
        <v>1.190809532396234E-2</v>
      </c>
    </row>
    <row r="66" spans="53:56" ht="15" x14ac:dyDescent="0.25">
      <c r="BA66" s="1292" t="s">
        <v>158</v>
      </c>
      <c r="BB66" s="603">
        <v>4.1147486364742719E-2</v>
      </c>
      <c r="BC66" s="1296">
        <v>0</v>
      </c>
      <c r="BD66" s="603">
        <v>2.2780145067561913E-2</v>
      </c>
    </row>
    <row r="67" spans="53:56" ht="15" x14ac:dyDescent="0.25">
      <c r="BA67" s="1292" t="s">
        <v>161</v>
      </c>
      <c r="BB67" s="603">
        <v>9.3257547551188161E-2</v>
      </c>
      <c r="BC67" s="1296">
        <v>0</v>
      </c>
      <c r="BD67" s="603">
        <v>2.8224298330968456E-2</v>
      </c>
    </row>
    <row r="68" spans="53:56" ht="15" x14ac:dyDescent="0.25">
      <c r="BA68" s="1292" t="s">
        <v>140</v>
      </c>
      <c r="BB68" s="603">
        <v>3.4458192359538585E-2</v>
      </c>
      <c r="BC68" s="1296">
        <v>0</v>
      </c>
      <c r="BD68" s="603">
        <v>1.7433072383411845E-2</v>
      </c>
    </row>
    <row r="69" spans="53:56" ht="15" x14ac:dyDescent="0.25">
      <c r="BA69" s="1292" t="s">
        <v>155</v>
      </c>
      <c r="BB69" s="603">
        <v>2.8751815568600354E-2</v>
      </c>
      <c r="BC69" s="1296">
        <v>0</v>
      </c>
      <c r="BD69" s="603">
        <v>1.7007021490734225E-2</v>
      </c>
    </row>
    <row r="70" spans="53:56" ht="15" x14ac:dyDescent="0.25">
      <c r="BA70" s="1292" t="s">
        <v>163</v>
      </c>
      <c r="BB70" s="603">
        <v>4.7535560368303337E-2</v>
      </c>
      <c r="BC70" s="1296">
        <v>0</v>
      </c>
      <c r="BD70" s="603">
        <v>4.0313827657439211E-2</v>
      </c>
    </row>
    <row r="71" spans="53:56" ht="15" x14ac:dyDescent="0.25">
      <c r="BA71" s="1292" t="s">
        <v>136</v>
      </c>
      <c r="BB71" s="603">
        <v>4.4743748069717731E-2</v>
      </c>
      <c r="BC71" s="1296">
        <v>0</v>
      </c>
      <c r="BD71" s="603">
        <v>1.1389924290890887E-2</v>
      </c>
    </row>
    <row r="72" spans="53:56" ht="15" x14ac:dyDescent="0.25">
      <c r="BA72" s="1292" t="s">
        <v>141</v>
      </c>
      <c r="BB72" s="603">
        <v>6.0319290762445882E-2</v>
      </c>
      <c r="BC72" s="1296">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0" t="s">
        <v>1020</v>
      </c>
      <c r="F1" s="1501"/>
      <c r="G1" s="1501"/>
      <c r="H1" s="1501"/>
      <c r="I1" s="1501"/>
      <c r="J1" s="1502"/>
      <c r="L1" s="1500" t="s">
        <v>1019</v>
      </c>
      <c r="M1" s="1502"/>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0" t="s">
        <v>1021</v>
      </c>
      <c r="F20" s="1501"/>
      <c r="G20" s="1502"/>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9" t="s">
        <v>113</v>
      </c>
      <c r="M22" s="1499"/>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0" t="s">
        <v>1019</v>
      </c>
      <c r="M23" s="1502"/>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9" t="s">
        <v>1022</v>
      </c>
      <c r="F28" s="1499"/>
      <c r="G28" s="1499"/>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3" t="s">
        <v>837</v>
      </c>
      <c r="U1" s="1503"/>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3" t="s">
        <v>838</v>
      </c>
      <c r="U5" s="150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3"/>
      <c r="U6" s="1503"/>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4"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4"/>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4"/>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3">
        <f>SUM(L14:L34)</f>
        <v>0</v>
      </c>
      <c r="M35" s="1202">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5" t="s">
        <v>960</v>
      </c>
      <c r="AX5" s="1506"/>
      <c r="AY5" s="490">
        <v>1757315</v>
      </c>
      <c r="AZ5" s="284" t="s">
        <v>214</v>
      </c>
      <c r="BA5" s="1" t="s">
        <v>214</v>
      </c>
      <c r="BB5" s="483">
        <v>3.2000000000000001E-2</v>
      </c>
      <c r="BC5" s="483">
        <v>6.9000000000000006E-2</v>
      </c>
      <c r="BD5" s="483">
        <v>8.2000000000000003E-2</v>
      </c>
      <c r="BE5" s="483">
        <v>9.6000000000000002E-2</v>
      </c>
      <c r="BF5" s="484">
        <v>0.13300000000000001</v>
      </c>
      <c r="BI5" s="1505" t="s">
        <v>961</v>
      </c>
      <c r="BJ5" s="1506"/>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8" t="s">
        <v>959</v>
      </c>
      <c r="AR10" s="1508"/>
      <c r="AW10" s="1507" t="s">
        <v>957</v>
      </c>
      <c r="AX10" s="1507"/>
      <c r="AY10" s="1507"/>
      <c r="AZ10" s="1507"/>
      <c r="BA10" s="1507"/>
      <c r="BD10" s="1507" t="s">
        <v>958</v>
      </c>
      <c r="BE10" s="1507"/>
      <c r="BF10" s="1507"/>
      <c r="BG10" s="1507"/>
      <c r="BH10" s="150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12" t="s">
        <v>799</v>
      </c>
      <c r="B1" s="1512"/>
      <c r="C1" s="1512"/>
      <c r="D1" s="1512"/>
      <c r="F1" s="1513" t="s">
        <v>728</v>
      </c>
      <c r="G1" s="1513"/>
      <c r="I1" s="1514" t="s">
        <v>798</v>
      </c>
      <c r="J1" s="1515"/>
      <c r="K1" s="1515"/>
      <c r="L1" s="1515"/>
      <c r="M1" s="1515"/>
      <c r="N1" s="1515"/>
      <c r="O1" s="1515"/>
      <c r="P1" s="1515"/>
      <c r="Q1" s="1515"/>
      <c r="R1" s="1515"/>
      <c r="S1" s="1515"/>
      <c r="T1" s="1515"/>
      <c r="U1" s="1515"/>
      <c r="V1" s="1516"/>
    </row>
    <row r="2" spans="1:23" x14ac:dyDescent="0.25">
      <c r="I2" s="327"/>
      <c r="J2" s="135"/>
      <c r="K2" s="135"/>
      <c r="L2" s="135"/>
      <c r="M2" s="135"/>
      <c r="N2" s="135"/>
      <c r="O2" s="135"/>
      <c r="P2" s="135"/>
      <c r="Q2" s="135"/>
      <c r="R2" s="135"/>
      <c r="S2" s="135"/>
      <c r="T2" s="135"/>
      <c r="U2" s="135"/>
      <c r="V2" s="330"/>
    </row>
    <row r="3" spans="1:23" x14ac:dyDescent="0.25">
      <c r="A3" s="1059" t="s">
        <v>245</v>
      </c>
      <c r="B3" s="1510">
        <f>Welcome!$D$4</f>
        <v>0</v>
      </c>
      <c r="C3" s="1510"/>
      <c r="I3" s="323">
        <v>1</v>
      </c>
      <c r="J3" s="1059" t="s">
        <v>754</v>
      </c>
      <c r="L3" s="1510" t="str">
        <f>"ALC "&amp;'Required Info to Submit'!$F$6</f>
        <v xml:space="preserve">ALC </v>
      </c>
      <c r="M3" s="1510"/>
      <c r="N3" s="1510"/>
      <c r="O3" s="1510"/>
      <c r="P3" s="1510"/>
      <c r="R3" s="1059"/>
      <c r="V3" s="138"/>
    </row>
    <row r="4" spans="1:23" ht="45" x14ac:dyDescent="0.25">
      <c r="A4" s="1059" t="s">
        <v>735</v>
      </c>
      <c r="B4" s="1509">
        <f>'Required Info to Submit'!$F$6</f>
        <v>0</v>
      </c>
      <c r="C4" s="1509"/>
      <c r="D4" s="1069" t="s">
        <v>889</v>
      </c>
      <c r="F4" s="242" t="s">
        <v>729</v>
      </c>
      <c r="G4" s="631">
        <f>Incentives!$H$9</f>
        <v>0</v>
      </c>
      <c r="H4" s="281"/>
      <c r="I4" s="323">
        <v>2</v>
      </c>
      <c r="J4" s="1059" t="s">
        <v>730</v>
      </c>
      <c r="L4" s="331">
        <f>'Required Info to Submit'!$F$14</f>
        <v>0</v>
      </c>
      <c r="M4" s="331"/>
      <c r="N4" s="331"/>
      <c r="O4" s="332">
        <v>3</v>
      </c>
      <c r="P4" s="1510" t="s">
        <v>732</v>
      </c>
      <c r="Q4" s="1510"/>
      <c r="R4" s="1510"/>
      <c r="S4" s="1511" t="e">
        <f>$L$4+(364*$G$5)+6</f>
        <v>#VALUE!</v>
      </c>
      <c r="T4" s="1511"/>
      <c r="U4" s="331"/>
      <c r="V4" s="138"/>
    </row>
    <row r="5" spans="1:23" x14ac:dyDescent="0.25">
      <c r="A5" s="1059" t="s">
        <v>1017</v>
      </c>
      <c r="B5" s="1517">
        <f>'Required Info to Submit'!$F$8</f>
        <v>0</v>
      </c>
      <c r="C5" s="1517"/>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18">
        <f>'Required Info to Submit'!$F$14</f>
        <v>0</v>
      </c>
      <c r="C6" s="1518"/>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10" t="s">
        <v>755</v>
      </c>
      <c r="Q6" s="1510"/>
      <c r="R6" s="1510"/>
      <c r="S6" s="1519">
        <f>-('Tracking &amp; Profitability'!$E$22)</f>
        <v>0</v>
      </c>
      <c r="T6" s="1519"/>
      <c r="U6" s="20"/>
      <c r="V6" s="138"/>
    </row>
    <row r="7" spans="1:23" x14ac:dyDescent="0.25">
      <c r="A7" s="1059" t="s">
        <v>794</v>
      </c>
      <c r="B7" s="1510">
        <f>'Required Info to Submit'!$F$10</f>
        <v>0</v>
      </c>
      <c r="C7" s="1510"/>
      <c r="F7" s="1069" t="str">
        <f>IF(Incentives!E15="Yes","VB","")</f>
        <v/>
      </c>
      <c r="G7" s="1069" t="str">
        <f>IF(Incentives!E57="YES","DS","")</f>
        <v/>
      </c>
      <c r="I7" s="323">
        <v>6</v>
      </c>
      <c r="J7" s="1059" t="s">
        <v>756</v>
      </c>
      <c r="L7" s="1510" t="str">
        <f>'MDA Worksheet'!$K$95</f>
        <v/>
      </c>
      <c r="M7" s="1510"/>
      <c r="N7" s="1510"/>
      <c r="O7" s="332">
        <v>8</v>
      </c>
      <c r="P7" s="1510" t="s">
        <v>869</v>
      </c>
      <c r="Q7" s="1510"/>
      <c r="R7" s="1510"/>
      <c r="S7" s="1510">
        <f>'Required Info to Submit'!$F$10</f>
        <v>0</v>
      </c>
      <c r="T7" s="1510"/>
      <c r="V7" s="138"/>
    </row>
    <row r="8" spans="1:23" x14ac:dyDescent="0.25">
      <c r="A8" s="1059" t="s">
        <v>795</v>
      </c>
      <c r="B8" s="1510">
        <f>'Required Info to Submit'!$F$9</f>
        <v>0</v>
      </c>
      <c r="C8" s="1510"/>
      <c r="F8" s="1069" t="str">
        <f>IF(Incentives!E85="Yes","EB","")</f>
        <v/>
      </c>
      <c r="G8" s="1069" t="str">
        <f>IF(Incentives!E113="Yes","SG","")</f>
        <v/>
      </c>
      <c r="I8" s="137"/>
      <c r="M8" s="1059"/>
      <c r="R8" s="1059"/>
      <c r="V8" s="138"/>
    </row>
    <row r="9" spans="1:23" x14ac:dyDescent="0.25">
      <c r="A9" s="1059" t="s">
        <v>654</v>
      </c>
      <c r="B9" s="1510">
        <f>'Required Info to Submit'!$F$12</f>
        <v>0</v>
      </c>
      <c r="C9" s="1510"/>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10">
        <f>'Required Info to Submit'!$F$11</f>
        <v>0</v>
      </c>
      <c r="C10" s="1510"/>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26"/>
      <c r="C11" s="1526"/>
      <c r="F11" s="1069" t="str">
        <f>IF(Incentives!E187="Yes","Roll","")</f>
        <v/>
      </c>
      <c r="I11" s="1520" t="s">
        <v>736</v>
      </c>
      <c r="J11" s="1521"/>
      <c r="K11" s="1521"/>
      <c r="L11" s="1522"/>
      <c r="M11" s="286"/>
      <c r="N11" s="1520" t="s">
        <v>478</v>
      </c>
      <c r="O11" s="1521"/>
      <c r="P11" s="1521"/>
      <c r="Q11" s="1522"/>
      <c r="R11" s="286"/>
      <c r="S11" s="1520" t="s">
        <v>530</v>
      </c>
      <c r="T11" s="1521"/>
      <c r="U11" s="1521"/>
      <c r="V11" s="1522"/>
    </row>
    <row r="12" spans="1:23" ht="15.75" thickBot="1" x14ac:dyDescent="0.3">
      <c r="A12" s="1527" t="s">
        <v>736</v>
      </c>
      <c r="B12" s="1528"/>
      <c r="C12" s="1528"/>
      <c r="D12" s="1529"/>
      <c r="E12" s="818"/>
      <c r="F12" s="135"/>
      <c r="G12" s="135"/>
      <c r="H12" s="774"/>
      <c r="I12" s="1530" t="s">
        <v>737</v>
      </c>
      <c r="J12" s="1531"/>
      <c r="K12" s="1531"/>
      <c r="L12" s="1532"/>
      <c r="M12" s="286"/>
      <c r="N12" s="1530" t="s">
        <v>738</v>
      </c>
      <c r="O12" s="1531"/>
      <c r="P12" s="1531"/>
      <c r="Q12" s="1532"/>
      <c r="R12" s="286"/>
      <c r="S12" s="1530" t="s">
        <v>739</v>
      </c>
      <c r="T12" s="1531"/>
      <c r="U12" s="1531"/>
      <c r="V12" s="153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0" t="s">
        <v>1174</v>
      </c>
      <c r="J23" s="1521"/>
      <c r="K23" s="1521"/>
      <c r="L23" s="1522"/>
      <c r="M23" s="773"/>
      <c r="N23" s="1523" t="s">
        <v>1175</v>
      </c>
      <c r="O23" s="1524"/>
      <c r="P23" s="1524"/>
      <c r="Q23" s="1525"/>
      <c r="R23" s="773"/>
      <c r="S23" s="1520" t="s">
        <v>1165</v>
      </c>
      <c r="T23" s="1521"/>
      <c r="U23" s="1521"/>
      <c r="V23" s="1522"/>
    </row>
    <row r="24" spans="1:23" ht="15.75" thickBot="1" x14ac:dyDescent="0.3">
      <c r="A24" s="1527" t="s">
        <v>478</v>
      </c>
      <c r="B24" s="1528"/>
      <c r="C24" s="1528"/>
      <c r="D24" s="1529"/>
      <c r="E24" s="285"/>
      <c r="F24" s="135"/>
      <c r="G24" s="135"/>
      <c r="H24" s="286"/>
      <c r="I24" s="1530" t="s">
        <v>748</v>
      </c>
      <c r="J24" s="1531"/>
      <c r="K24" s="1531"/>
      <c r="L24" s="1532"/>
      <c r="M24" s="773"/>
      <c r="N24" s="1533" t="s">
        <v>748</v>
      </c>
      <c r="O24" s="1534"/>
      <c r="P24" s="1534"/>
      <c r="Q24" s="1535"/>
      <c r="R24" s="773"/>
      <c r="S24" s="1530" t="s">
        <v>749</v>
      </c>
      <c r="T24" s="1531"/>
      <c r="U24" s="1531"/>
      <c r="V24" s="153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36" t="s">
        <v>750</v>
      </c>
      <c r="J33" s="1537"/>
      <c r="K33" s="1537"/>
      <c r="L33" s="1538"/>
      <c r="M33" s="774"/>
      <c r="N33" s="1539" t="s">
        <v>1058</v>
      </c>
      <c r="O33" s="1540"/>
      <c r="P33" s="1540"/>
      <c r="Q33" s="1541"/>
      <c r="R33" s="774"/>
      <c r="S33" s="1539" t="s">
        <v>1184</v>
      </c>
      <c r="T33" s="1540"/>
      <c r="U33" s="1540"/>
      <c r="V33" s="1541"/>
    </row>
    <row r="34" spans="1:22" ht="15.75" thickBot="1" x14ac:dyDescent="0.3">
      <c r="A34" s="1527" t="s">
        <v>530</v>
      </c>
      <c r="B34" s="1528"/>
      <c r="C34" s="1528"/>
      <c r="D34" s="1529"/>
      <c r="E34" s="285"/>
      <c r="F34" s="135"/>
      <c r="G34" s="135"/>
      <c r="H34" s="286"/>
      <c r="I34" s="1542" t="s">
        <v>753</v>
      </c>
      <c r="J34" s="1543"/>
      <c r="K34" s="1543"/>
      <c r="L34" s="1544"/>
      <c r="M34" s="774"/>
      <c r="N34" s="1545" t="s">
        <v>752</v>
      </c>
      <c r="O34" s="1546"/>
      <c r="P34" s="1546"/>
      <c r="Q34" s="1547"/>
      <c r="R34" s="774"/>
      <c r="S34" s="1530" t="s">
        <v>1190</v>
      </c>
      <c r="T34" s="1531"/>
      <c r="U34" s="1531"/>
      <c r="V34" s="153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0" t="s">
        <v>1228</v>
      </c>
      <c r="O41" s="1521"/>
      <c r="P41" s="1521"/>
      <c r="Q41" s="1522"/>
      <c r="S41" s="1520"/>
      <c r="T41" s="1521"/>
      <c r="U41" s="1521"/>
      <c r="V41" s="1522"/>
    </row>
    <row r="42" spans="1:22" ht="15.75" thickBot="1" x14ac:dyDescent="0.3">
      <c r="A42" s="258"/>
      <c r="B42" s="312">
        <f>Incentives!$G$91</f>
        <v>0</v>
      </c>
      <c r="C42" s="322">
        <v>1</v>
      </c>
      <c r="D42" s="702">
        <f>Incentives!$K$91</f>
        <v>0</v>
      </c>
      <c r="E42" s="320"/>
      <c r="N42" s="1530" t="s">
        <v>1229</v>
      </c>
      <c r="O42" s="1531"/>
      <c r="P42" s="1531"/>
      <c r="Q42" s="1532"/>
      <c r="S42" s="1530"/>
      <c r="T42" s="1531"/>
      <c r="U42" s="1531"/>
      <c r="V42" s="153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7" t="s">
        <v>1184</v>
      </c>
      <c r="B44" s="1528"/>
      <c r="C44" s="1528"/>
      <c r="D44" s="152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7" t="s">
        <v>750</v>
      </c>
      <c r="B51" s="1528"/>
      <c r="C51" s="1528"/>
      <c r="D51" s="1529"/>
      <c r="E51" s="285"/>
      <c r="I51" s="812">
        <v>8</v>
      </c>
      <c r="J51" s="265">
        <f>IFERROR('MDA Worksheet'!D102,"")</f>
        <v>0</v>
      </c>
      <c r="K51" s="1067" t="str">
        <f>IFERROR('MDA Worksheet'!K102,"")</f>
        <v/>
      </c>
      <c r="N51" s="137" t="s">
        <v>1230</v>
      </c>
      <c r="O51" s="1548" t="str">
        <f>"Amount to be paid to the customer $ "&amp;TEXT(D69,"#,###,###.00")</f>
        <v>Amount to be paid to the customer $ .00</v>
      </c>
      <c r="P51" s="1548"/>
      <c r="Q51" s="1549"/>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48" t="str">
        <f>"Claw Back Amount $ "&amp;TEXT(D71,"#,###,###.00")</f>
        <v>Claw Back Amount $ .00</v>
      </c>
      <c r="P52" s="1548"/>
      <c r="Q52" s="1549"/>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7" t="s">
        <v>1174</v>
      </c>
      <c r="B57" s="1528"/>
      <c r="C57" s="1528"/>
      <c r="D57" s="1529"/>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7" t="s">
        <v>1217</v>
      </c>
      <c r="B66" s="1528"/>
      <c r="C66" s="1528"/>
      <c r="D66" s="1529"/>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7" t="e">
        <f>Incentives!#REF!</f>
        <v>#REF!</v>
      </c>
      <c r="B74" s="1528"/>
      <c r="C74" s="1528"/>
      <c r="D74" s="1528"/>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7" t="s">
        <v>1057</v>
      </c>
      <c r="B80" s="1528"/>
      <c r="C80" s="1528"/>
      <c r="D80" s="1529"/>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01" priority="16">
      <formula>$B$60="YES - Annual"</formula>
    </cfRule>
  </conditionalFormatting>
  <conditionalFormatting sqref="B60">
    <cfRule type="cellIs" dxfId="100" priority="19" operator="equal">
      <formula>"YES"</formula>
    </cfRule>
  </conditionalFormatting>
  <conditionalFormatting sqref="N23:Q23">
    <cfRule type="expression" dxfId="99" priority="15">
      <formula>$B$60="Yes"</formula>
    </cfRule>
  </conditionalFormatting>
  <conditionalFormatting sqref="B15 J15">
    <cfRule type="expression" dxfId="98" priority="22">
      <formula>$B$15="Annually"</formula>
    </cfRule>
  </conditionalFormatting>
  <conditionalFormatting sqref="B47">
    <cfRule type="expression" dxfId="97" priority="12">
      <formula>$B$47="Annually"</formula>
    </cfRule>
  </conditionalFormatting>
  <conditionalFormatting sqref="S36:V36">
    <cfRule type="expression" dxfId="96" priority="13">
      <formula>$T$36="Check"</formula>
    </cfRule>
  </conditionalFormatting>
  <conditionalFormatting sqref="B27">
    <cfRule type="cellIs" dxfId="95" priority="11" operator="equal">
      <formula>"Annually"</formula>
    </cfRule>
  </conditionalFormatting>
  <conditionalFormatting sqref="B37">
    <cfRule type="cellIs" dxfId="94" priority="21" operator="equal">
      <formula>"Annually"</formula>
    </cfRule>
  </conditionalFormatting>
  <conditionalFormatting sqref="B54">
    <cfRule type="cellIs" dxfId="93" priority="20" operator="equal">
      <formula>"Annually"</formula>
    </cfRule>
  </conditionalFormatting>
  <conditionalFormatting sqref="O16">
    <cfRule type="cellIs" dxfId="92" priority="10" operator="equal">
      <formula>"Annually"</formula>
    </cfRule>
  </conditionalFormatting>
  <conditionalFormatting sqref="T16">
    <cfRule type="cellIs" dxfId="91" priority="9" operator="equal">
      <formula>"Annually"</formula>
    </cfRule>
  </conditionalFormatting>
  <conditionalFormatting sqref="J37">
    <cfRule type="cellIs" dxfId="90" priority="18" operator="equal">
      <formula>"Annually"</formula>
    </cfRule>
  </conditionalFormatting>
  <conditionalFormatting sqref="T37">
    <cfRule type="expression" dxfId="89" priority="8">
      <formula>$B$47="Annually"</formula>
    </cfRule>
  </conditionalFormatting>
  <conditionalFormatting sqref="I30">
    <cfRule type="expression" dxfId="88" priority="7">
      <formula>$I$30=3</formula>
    </cfRule>
  </conditionalFormatting>
  <conditionalFormatting sqref="I31">
    <cfRule type="expression" dxfId="87" priority="6">
      <formula>$I$31=3</formula>
    </cfRule>
  </conditionalFormatting>
  <conditionalFormatting sqref="B62:B64">
    <cfRule type="expression" dxfId="86" priority="5">
      <formula>$B$60="YES - Annual"</formula>
    </cfRule>
    <cfRule type="expression" dxfId="85" priority="17">
      <formula>$B$60="No"</formula>
    </cfRule>
  </conditionalFormatting>
  <conditionalFormatting sqref="N32:Q32">
    <cfRule type="expression" dxfId="84" priority="14">
      <formula>$B$62=4</formula>
    </cfRule>
  </conditionalFormatting>
  <conditionalFormatting sqref="N31:Q32">
    <cfRule type="expression" dxfId="83" priority="23">
      <formula>$B$62=3</formula>
    </cfRule>
  </conditionalFormatting>
  <conditionalFormatting sqref="N30:Q32">
    <cfRule type="expression" dxfId="82" priority="24">
      <formula>$B$62=2</formula>
    </cfRule>
  </conditionalFormatting>
  <conditionalFormatting sqref="B61:B62">
    <cfRule type="expression" dxfId="81" priority="4">
      <formula>$B$60="NO"</formula>
    </cfRule>
  </conditionalFormatting>
  <conditionalFormatting sqref="B61">
    <cfRule type="expression" dxfId="80" priority="3">
      <formula>$B$60="YES - Annual"</formula>
    </cfRule>
  </conditionalFormatting>
  <conditionalFormatting sqref="D63:D64">
    <cfRule type="expression" dxfId="79" priority="2">
      <formula>$B$60&lt;&gt;"Yes - Purchase Commitment"</formula>
    </cfRule>
  </conditionalFormatting>
  <conditionalFormatting sqref="O45">
    <cfRule type="expression" dxfId="7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88" t="s">
        <v>722</v>
      </c>
      <c r="C2" s="1589"/>
      <c r="D2" s="1589"/>
      <c r="E2" s="1589"/>
      <c r="F2" s="1589"/>
      <c r="G2" s="1589"/>
      <c r="H2" s="1589"/>
      <c r="I2" s="1589"/>
      <c r="J2" s="1589"/>
      <c r="K2" s="1589"/>
      <c r="L2" s="1589"/>
      <c r="M2" s="1589"/>
      <c r="N2" s="1589"/>
      <c r="O2" s="1589"/>
      <c r="P2" s="1589"/>
      <c r="Q2" s="1589"/>
      <c r="R2" s="1589"/>
      <c r="S2" s="1589"/>
      <c r="T2" s="1589"/>
      <c r="U2" s="1589"/>
      <c r="V2" s="1589"/>
      <c r="W2" s="1589"/>
      <c r="X2" s="1589"/>
      <c r="Y2" s="1589"/>
      <c r="Z2" s="1589"/>
      <c r="AA2" s="1589"/>
      <c r="AB2" s="1589"/>
      <c r="AC2" s="1589"/>
      <c r="AD2" s="1589"/>
      <c r="AE2" s="1589"/>
      <c r="AF2" s="1589"/>
      <c r="AG2" s="1589"/>
      <c r="AH2" s="1589"/>
      <c r="AI2" s="1589"/>
      <c r="AJ2" s="1589"/>
      <c r="AK2" s="1589"/>
      <c r="AL2" s="1589"/>
      <c r="AM2" s="1589"/>
      <c r="AN2" s="1589"/>
      <c r="AO2" s="1589"/>
      <c r="AP2" s="1589"/>
      <c r="AQ2" s="1589"/>
      <c r="AR2" s="1589"/>
      <c r="AS2" s="1589"/>
      <c r="AT2" s="1589"/>
      <c r="AU2" s="1589"/>
      <c r="AV2" s="1589"/>
      <c r="AW2" s="1589"/>
      <c r="AX2" s="1589"/>
      <c r="AY2" s="1589"/>
      <c r="AZ2" s="1589"/>
      <c r="BA2" s="1589"/>
      <c r="BB2" s="1589"/>
      <c r="BC2" s="1589"/>
      <c r="BD2" s="1589"/>
      <c r="BE2" s="1589"/>
      <c r="BF2" s="1590"/>
    </row>
    <row r="3" spans="2:68" x14ac:dyDescent="0.25">
      <c r="B3" s="1591"/>
      <c r="C3" s="1592"/>
      <c r="D3" s="1592"/>
      <c r="E3" s="1592"/>
      <c r="F3" s="1592"/>
      <c r="G3" s="1592"/>
      <c r="H3" s="1592"/>
      <c r="I3" s="1592"/>
      <c r="J3" s="1592"/>
      <c r="K3" s="1592"/>
      <c r="L3" s="1592"/>
      <c r="M3" s="1592"/>
      <c r="N3" s="1592"/>
      <c r="O3" s="1592"/>
      <c r="P3" s="1592"/>
      <c r="Q3" s="1592"/>
      <c r="R3" s="1592"/>
      <c r="S3" s="1592"/>
      <c r="T3" s="1592"/>
      <c r="U3" s="1592"/>
      <c r="V3" s="1592"/>
      <c r="W3" s="1592"/>
      <c r="X3" s="1592"/>
      <c r="Y3" s="1592"/>
      <c r="Z3" s="1592"/>
      <c r="AA3" s="1592"/>
      <c r="AB3" s="1592"/>
      <c r="AC3" s="1592"/>
      <c r="AD3" s="1592"/>
      <c r="AE3" s="1592"/>
      <c r="AF3" s="1592"/>
      <c r="AG3" s="1592"/>
      <c r="AH3" s="1592"/>
      <c r="AI3" s="1592"/>
      <c r="AJ3" s="1592"/>
      <c r="AK3" s="1592"/>
      <c r="AL3" s="1592"/>
      <c r="AM3" s="1592"/>
      <c r="AN3" s="1592"/>
      <c r="AO3" s="1592"/>
      <c r="AP3" s="1592"/>
      <c r="AQ3" s="1592"/>
      <c r="AR3" s="1592"/>
      <c r="AS3" s="1592"/>
      <c r="AT3" s="1592"/>
      <c r="AU3" s="1592"/>
      <c r="AV3" s="1592"/>
      <c r="AW3" s="1592"/>
      <c r="AX3" s="1592"/>
      <c r="AY3" s="1592"/>
      <c r="AZ3" s="1592"/>
      <c r="BA3" s="1592"/>
      <c r="BB3" s="1592"/>
      <c r="BC3" s="1592"/>
      <c r="BD3" s="1592"/>
      <c r="BE3" s="1592"/>
      <c r="BF3" s="15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50" t="s">
        <v>649</v>
      </c>
      <c r="C8" s="1551"/>
      <c r="D8" s="1551"/>
      <c r="E8" s="1551"/>
      <c r="F8" s="1551"/>
      <c r="G8" s="1551"/>
      <c r="H8" s="1551"/>
      <c r="I8" s="1551"/>
      <c r="J8" s="1551"/>
      <c r="K8" s="1551"/>
      <c r="L8" s="1551"/>
      <c r="M8" s="1551"/>
      <c r="N8" s="1551"/>
      <c r="O8" s="1551"/>
      <c r="P8" s="1551"/>
      <c r="Q8" s="1551"/>
      <c r="R8" s="1551"/>
      <c r="S8" s="1551"/>
      <c r="T8" s="1551"/>
      <c r="U8" s="1551"/>
      <c r="V8" s="1551"/>
      <c r="W8" s="1551"/>
      <c r="X8" s="1551"/>
      <c r="Y8" s="1551"/>
      <c r="Z8" s="1551"/>
      <c r="AA8" s="1551"/>
      <c r="AB8" s="1551"/>
      <c r="AC8" s="1551"/>
      <c r="AD8" s="1551"/>
      <c r="AE8" s="1551"/>
      <c r="AF8" s="1551"/>
      <c r="AG8" s="1551"/>
      <c r="AH8" s="1551"/>
      <c r="AI8" s="1551"/>
      <c r="AJ8" s="1551"/>
      <c r="AK8" s="1551"/>
      <c r="AL8" s="1551"/>
      <c r="AM8" s="1551"/>
      <c r="AN8" s="1551"/>
      <c r="AO8" s="1551"/>
      <c r="AP8" s="1551"/>
      <c r="AQ8" s="1551"/>
      <c r="AR8" s="1551"/>
      <c r="AS8" s="1551"/>
      <c r="AT8" s="1551"/>
      <c r="AU8" s="1551"/>
      <c r="AV8" s="1551"/>
      <c r="AW8" s="1551"/>
      <c r="AX8" s="1551"/>
      <c r="AY8" s="1551"/>
      <c r="AZ8" s="1551"/>
      <c r="BA8" s="1551"/>
      <c r="BB8" s="1551"/>
      <c r="BC8" s="1551"/>
      <c r="BD8" s="1551"/>
      <c r="BE8" s="1551"/>
      <c r="BF8" s="1552"/>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07" t="s">
        <v>881</v>
      </c>
      <c r="C10" s="1503"/>
      <c r="D10" s="1503"/>
      <c r="E10" s="1503"/>
      <c r="F10" s="1503"/>
      <c r="G10" s="1503"/>
      <c r="H10" s="1503"/>
      <c r="I10" s="1503"/>
      <c r="J10" s="1503"/>
      <c r="K10" s="1598">
        <f>'Tracking &amp; Profitability'!$H$5</f>
        <v>0</v>
      </c>
      <c r="L10" s="1598"/>
      <c r="M10" s="1598"/>
      <c r="N10" s="1598"/>
      <c r="O10" s="1598"/>
      <c r="P10" s="1598"/>
      <c r="Q10" s="1598"/>
      <c r="R10" s="1598"/>
      <c r="S10" s="1598"/>
      <c r="T10" s="1598"/>
      <c r="U10" s="1598"/>
      <c r="V10" s="1598"/>
      <c r="W10" s="1598"/>
      <c r="X10" s="1598"/>
      <c r="Y10" s="1598"/>
      <c r="Z10" s="1598"/>
      <c r="AA10" s="1598"/>
      <c r="AB10" s="1598"/>
      <c r="AC10" s="1598"/>
      <c r="AD10" s="1598"/>
      <c r="AE10" s="1598"/>
      <c r="AI10" s="1503" t="s">
        <v>721</v>
      </c>
      <c r="AJ10" s="1503"/>
      <c r="AK10" s="1503"/>
      <c r="AL10" s="1503"/>
      <c r="AM10" s="1503"/>
      <c r="AN10" s="1503"/>
      <c r="AO10" s="1503"/>
      <c r="AP10" s="1503"/>
      <c r="AQ10" s="1503"/>
      <c r="AR10" s="1503"/>
      <c r="AT10" s="1606"/>
      <c r="AU10" s="1606"/>
      <c r="AV10" s="1606"/>
      <c r="AW10" s="1606"/>
      <c r="AX10" s="1606"/>
      <c r="AY10" s="1606"/>
      <c r="AZ10" s="1606"/>
      <c r="BA10" s="1606"/>
      <c r="BB10" s="1606"/>
      <c r="BC10" s="1606"/>
      <c r="BD10" s="1606"/>
      <c r="BF10" s="138"/>
    </row>
    <row r="11" spans="2:68" x14ac:dyDescent="0.25">
      <c r="B11" s="137"/>
      <c r="AL11" s="2"/>
      <c r="AM11" s="2"/>
      <c r="AN11" s="2"/>
      <c r="AO11" s="2"/>
      <c r="AP11" s="2"/>
      <c r="AQ11" s="2"/>
      <c r="AR11" s="2"/>
      <c r="AS11" s="2"/>
      <c r="AT11" s="2"/>
      <c r="AU11" s="2"/>
      <c r="AV11" s="2"/>
      <c r="BF11" s="138"/>
    </row>
    <row r="12" spans="2:68" x14ac:dyDescent="0.25">
      <c r="B12" s="1600" t="s">
        <v>882</v>
      </c>
      <c r="C12" s="1597"/>
      <c r="D12" s="1597"/>
      <c r="E12" s="1597"/>
      <c r="F12" s="1597"/>
      <c r="G12" s="1597"/>
      <c r="H12" s="1597"/>
      <c r="I12" s="1597"/>
      <c r="J12" s="1597"/>
      <c r="K12" s="1608">
        <f>'Required Info to Submit'!$F$4</f>
        <v>0</v>
      </c>
      <c r="L12" s="1608"/>
      <c r="M12" s="1608"/>
      <c r="N12" s="1608"/>
      <c r="O12" s="1608"/>
      <c r="P12" s="1608"/>
      <c r="Q12" s="1608"/>
      <c r="R12" s="1608"/>
      <c r="S12" s="1608"/>
      <c r="T12" s="1608"/>
      <c r="U12" s="1608"/>
      <c r="V12" s="1608"/>
      <c r="W12" s="1608"/>
      <c r="X12" s="1608"/>
      <c r="Y12" s="1608"/>
      <c r="Z12" s="1608"/>
      <c r="AA12" s="1608"/>
      <c r="AB12" s="1608"/>
      <c r="AC12" s="1608"/>
      <c r="AD12" s="1608"/>
      <c r="AE12" s="16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00" t="s">
        <v>899</v>
      </c>
      <c r="C14" s="1597"/>
      <c r="D14" s="1597"/>
      <c r="E14" s="1597"/>
      <c r="F14" s="1597"/>
      <c r="G14" s="1597"/>
      <c r="H14" s="1597"/>
      <c r="I14" s="1597"/>
      <c r="J14" s="1597"/>
      <c r="K14" s="1597"/>
      <c r="L14" s="1597"/>
      <c r="M14" s="1597"/>
      <c r="N14" s="1597"/>
      <c r="O14" s="1597"/>
      <c r="P14" s="1597"/>
      <c r="Q14" s="1597"/>
      <c r="R14" s="1599">
        <f>'Required Info to Submit'!$F$6</f>
        <v>0</v>
      </c>
      <c r="S14" s="1599"/>
      <c r="T14" s="1599"/>
      <c r="U14" s="1599"/>
      <c r="V14" s="1599"/>
      <c r="W14" s="1599"/>
      <c r="X14" s="1599"/>
      <c r="Y14" s="1599"/>
      <c r="Z14" s="1599"/>
      <c r="AA14" s="1599"/>
      <c r="AB14" s="1599"/>
      <c r="AC14" s="1599"/>
      <c r="AD14" s="1599"/>
      <c r="AE14" s="1599"/>
      <c r="AF14" s="1599"/>
      <c r="AG14" s="1599"/>
      <c r="AH14" s="1599"/>
      <c r="AI14" s="1599"/>
      <c r="AJ14" s="1599"/>
      <c r="AK14" s="1599"/>
      <c r="AL14" s="1599"/>
      <c r="AM14" s="1599"/>
      <c r="AN14" s="1599"/>
      <c r="AO14" s="1599"/>
      <c r="AP14" s="1599"/>
      <c r="AQ14" s="1599"/>
      <c r="AR14" s="1599"/>
      <c r="AS14" s="1599"/>
      <c r="AT14" s="1599"/>
      <c r="AU14" s="1599"/>
      <c r="AV14" s="1599"/>
      <c r="AW14" s="1599"/>
      <c r="AX14" s="1599"/>
      <c r="AY14" s="1599"/>
      <c r="AZ14" s="1599"/>
      <c r="BA14" s="1599"/>
      <c r="BB14" s="1599"/>
      <c r="BC14" s="1599"/>
      <c r="BD14" s="1599"/>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00" t="s">
        <v>720</v>
      </c>
      <c r="C16" s="1597"/>
      <c r="D16" s="1597"/>
      <c r="E16" s="1597"/>
      <c r="F16" s="1597"/>
      <c r="G16" s="1597"/>
      <c r="H16" s="1597"/>
      <c r="I16" s="1597"/>
      <c r="J16" s="1597"/>
      <c r="K16" s="1597"/>
      <c r="L16" s="1597"/>
      <c r="M16" s="1597"/>
      <c r="N16" s="1597"/>
      <c r="O16" s="1597"/>
      <c r="P16" s="1597"/>
      <c r="Q16" s="1597"/>
      <c r="R16" s="1608" t="s">
        <v>241</v>
      </c>
      <c r="S16" s="1608"/>
      <c r="T16" s="1592" t="s">
        <v>650</v>
      </c>
      <c r="U16" s="1592"/>
      <c r="V16" s="1592"/>
      <c r="W16" s="1592"/>
      <c r="X16" s="1592"/>
      <c r="Y16" s="1592"/>
      <c r="Z16" s="1592"/>
      <c r="AA16" s="1592"/>
      <c r="AB16" s="1592"/>
      <c r="AC16" s="1592"/>
      <c r="AD16" s="1592"/>
      <c r="AE16" s="1592"/>
      <c r="AF16" s="1592"/>
      <c r="AG16" s="1592"/>
      <c r="AH16" s="1592"/>
      <c r="AI16" s="1592"/>
      <c r="AJ16" s="1592"/>
      <c r="AK16" s="1592"/>
      <c r="AL16" s="1592"/>
      <c r="AO16" s="1592"/>
      <c r="AP16" s="159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01" t="s">
        <v>875</v>
      </c>
      <c r="C18" s="1602"/>
      <c r="D18" s="1602"/>
      <c r="E18" s="1602"/>
      <c r="F18" s="1602"/>
      <c r="G18" s="1602"/>
      <c r="H18" s="1602"/>
      <c r="I18" s="1602"/>
      <c r="J18" s="1602"/>
      <c r="K18" s="1602"/>
      <c r="L18" s="1602"/>
      <c r="M18" s="1602"/>
      <c r="N18" s="1602"/>
      <c r="O18" s="1602"/>
      <c r="P18" s="1602"/>
      <c r="Q18" s="1602"/>
      <c r="R18" s="1598">
        <f>'Required Info to Submit'!$F$8</f>
        <v>0</v>
      </c>
      <c r="S18" s="1598"/>
      <c r="T18" s="1598"/>
      <c r="U18" s="1598"/>
      <c r="V18" s="1598"/>
      <c r="W18" s="1598"/>
      <c r="X18" s="1598"/>
      <c r="Y18" s="1598"/>
      <c r="Z18" s="1598"/>
      <c r="AA18" s="1598"/>
      <c r="AB18" s="1598"/>
      <c r="AC18" s="1598"/>
      <c r="AD18" s="1598"/>
      <c r="AE18" s="1598"/>
      <c r="AF18" s="1598"/>
      <c r="AG18" s="1598"/>
      <c r="AH18" s="1598"/>
      <c r="AI18" s="1598"/>
      <c r="AJ18" s="1598"/>
      <c r="AK18" s="1598"/>
      <c r="AL18" s="1598"/>
      <c r="AN18" s="1597" t="s">
        <v>877</v>
      </c>
      <c r="AO18" s="1597"/>
      <c r="AP18" s="1597"/>
      <c r="AQ18" s="1597"/>
      <c r="AR18" s="1597"/>
      <c r="AS18" s="1597"/>
      <c r="AT18" s="1597"/>
      <c r="AU18" s="1597"/>
      <c r="AV18" s="1598">
        <f>'Required Info to Submit'!F10</f>
        <v>0</v>
      </c>
      <c r="AW18" s="1598"/>
      <c r="AX18" s="1598"/>
      <c r="AY18" s="1598"/>
      <c r="AZ18" s="1598"/>
      <c r="BA18" s="1598"/>
      <c r="BB18" s="1598"/>
      <c r="BC18" s="1598"/>
      <c r="BD18" s="1598"/>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00" t="s">
        <v>876</v>
      </c>
      <c r="C20" s="1597"/>
      <c r="D20" s="1597"/>
      <c r="E20" s="1597"/>
      <c r="F20" s="1597"/>
      <c r="G20" s="1597"/>
      <c r="H20" s="1597"/>
      <c r="I20" s="1597"/>
      <c r="J20" s="1597"/>
      <c r="K20" s="1597"/>
      <c r="L20" s="1597"/>
      <c r="M20" s="1597"/>
      <c r="N20" s="1597"/>
      <c r="O20" s="1597"/>
      <c r="P20" s="1597"/>
      <c r="Q20" s="1597"/>
      <c r="R20" s="1598">
        <f>'Required Info to Submit'!F9</f>
        <v>0</v>
      </c>
      <c r="S20" s="1598"/>
      <c r="T20" s="1598"/>
      <c r="U20" s="1598"/>
      <c r="V20" s="1598"/>
      <c r="W20" s="1598"/>
      <c r="X20" s="1598"/>
      <c r="Y20" s="1598"/>
      <c r="Z20" s="1598"/>
      <c r="AA20" s="1598"/>
      <c r="AB20" s="1598"/>
      <c r="AC20" s="1598"/>
      <c r="AD20" s="1598"/>
      <c r="AE20" s="1598"/>
      <c r="AF20" s="1598"/>
      <c r="AG20" s="1598"/>
      <c r="AH20" s="1598"/>
      <c r="AI20" s="1598"/>
      <c r="AJ20" s="1598"/>
      <c r="AK20" s="1598"/>
      <c r="AL20" s="1598"/>
      <c r="AN20" s="1597" t="s">
        <v>830</v>
      </c>
      <c r="AO20" s="1597"/>
      <c r="AP20" s="1597"/>
      <c r="AQ20" s="1597"/>
      <c r="AR20" s="1597"/>
      <c r="AS20" s="1597"/>
      <c r="AT20" s="1597"/>
      <c r="AU20" s="1597"/>
      <c r="AV20" s="1598">
        <f>'Required Info to Submit'!F11</f>
        <v>0</v>
      </c>
      <c r="AW20" s="1598"/>
      <c r="AX20" s="1598"/>
      <c r="AY20" s="1598"/>
      <c r="AZ20" s="1598"/>
      <c r="BA20" s="1598"/>
      <c r="BB20" s="1598"/>
      <c r="BC20" s="1598"/>
      <c r="BD20" s="1598"/>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00" t="s">
        <v>878</v>
      </c>
      <c r="C22" s="1597"/>
      <c r="D22" s="1597"/>
      <c r="E22" s="1597"/>
      <c r="F22" s="1597"/>
      <c r="G22" s="1597"/>
      <c r="H22" s="1597"/>
      <c r="I22" s="1597"/>
      <c r="J22" s="1597"/>
      <c r="K22" s="1597"/>
      <c r="L22" s="1597"/>
      <c r="M22" s="1597"/>
      <c r="N22" s="1597"/>
      <c r="O22" s="1597"/>
      <c r="P22" s="1597"/>
      <c r="Q22" s="1597"/>
      <c r="R22" s="1598">
        <f>'Required Info to Submit'!F12</f>
        <v>0</v>
      </c>
      <c r="S22" s="1598"/>
      <c r="T22" s="1598"/>
      <c r="U22" s="1598"/>
      <c r="V22" s="1598"/>
      <c r="W22" s="1598"/>
      <c r="X22" s="1598"/>
      <c r="Y22" s="1598"/>
      <c r="Z22" s="1598"/>
      <c r="AA22" s="1598"/>
      <c r="AB22" s="1598"/>
      <c r="AC22" s="1598"/>
      <c r="AD22" s="1598"/>
      <c r="AE22" s="1598"/>
      <c r="AF22" s="1598"/>
      <c r="AG22" s="1598"/>
      <c r="AH22" s="1598"/>
      <c r="AI22" s="1598"/>
      <c r="AJ22" s="1598"/>
      <c r="AK22" s="1598"/>
      <c r="AL22" s="1598"/>
      <c r="AN22" s="1597"/>
      <c r="AO22" s="1597"/>
      <c r="AP22" s="1597"/>
      <c r="AQ22" s="1597"/>
      <c r="AR22" s="1597"/>
      <c r="AS22" s="1597"/>
      <c r="AT22" s="1597"/>
      <c r="AU22" s="1597"/>
      <c r="AV22" s="1604"/>
      <c r="AW22" s="1604"/>
      <c r="AX22" s="1604"/>
      <c r="AY22" s="1604"/>
      <c r="AZ22" s="1604"/>
      <c r="BA22" s="1604"/>
      <c r="BB22" s="1604"/>
      <c r="BC22" s="1604"/>
      <c r="BD22" s="160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00" t="s">
        <v>879</v>
      </c>
      <c r="C24" s="1597"/>
      <c r="D24" s="1597"/>
      <c r="E24" s="1597"/>
      <c r="F24" s="1597"/>
      <c r="G24" s="1597"/>
      <c r="H24" s="1597"/>
      <c r="I24" s="1597"/>
      <c r="J24" s="1597"/>
      <c r="K24" s="1597"/>
      <c r="L24" s="1597"/>
      <c r="M24" s="1597"/>
      <c r="N24" s="1597"/>
      <c r="O24" s="1597"/>
      <c r="P24" s="1597"/>
      <c r="Q24" s="1597"/>
      <c r="R24" s="1609">
        <f>'Required Info to Submit'!$F$14</f>
        <v>0</v>
      </c>
      <c r="S24" s="1609"/>
      <c r="T24" s="1609"/>
      <c r="U24" s="1609"/>
      <c r="V24" s="1609"/>
      <c r="W24" s="1609"/>
      <c r="X24" s="1609"/>
      <c r="Y24" s="1609"/>
      <c r="Z24" s="1609"/>
      <c r="AA24" s="1609"/>
      <c r="AB24" s="1609"/>
      <c r="AC24" s="1609"/>
      <c r="AN24" s="1503" t="s">
        <v>883</v>
      </c>
      <c r="AO24" s="1503"/>
      <c r="AP24" s="1503"/>
      <c r="AQ24" s="1503"/>
      <c r="AR24" s="1503"/>
      <c r="AS24" s="1503"/>
      <c r="AT24" s="1503"/>
      <c r="AU24" s="1503"/>
      <c r="AV24" s="1605" t="e">
        <f>#REF!</f>
        <v>#REF!</v>
      </c>
      <c r="AW24" s="1605"/>
      <c r="AX24" s="1605"/>
      <c r="AY24" s="1605"/>
      <c r="AZ24" s="1605"/>
      <c r="BA24" s="1605"/>
      <c r="BB24" s="1605"/>
      <c r="BC24" s="1605"/>
      <c r="BD24" s="1605"/>
      <c r="BF24" s="138"/>
    </row>
    <row r="25" spans="2:68" ht="17.25" x14ac:dyDescent="0.25">
      <c r="B25" s="137"/>
      <c r="C25" s="269"/>
      <c r="D25" s="269"/>
      <c r="E25" s="269"/>
      <c r="F25" s="269"/>
      <c r="G25" s="269"/>
      <c r="H25" s="1603" t="s">
        <v>719</v>
      </c>
      <c r="I25" s="1603"/>
      <c r="J25" s="1603"/>
      <c r="K25" s="1603"/>
      <c r="L25" s="1603"/>
      <c r="M25" s="1603"/>
      <c r="N25" s="1603"/>
      <c r="O25" s="1603"/>
      <c r="P25" s="1603"/>
      <c r="Q25" s="269"/>
      <c r="AN25" s="1603" t="s">
        <v>718</v>
      </c>
      <c r="AO25" s="1603"/>
      <c r="AP25" s="1603"/>
      <c r="AQ25" s="1603"/>
      <c r="AR25" s="1603"/>
      <c r="AS25" s="1603"/>
      <c r="AT25" s="1603"/>
      <c r="BF25" s="138"/>
    </row>
    <row r="26" spans="2:68" ht="18.75" x14ac:dyDescent="0.3">
      <c r="B26" s="1550" t="s">
        <v>655</v>
      </c>
      <c r="C26" s="1551"/>
      <c r="D26" s="1551"/>
      <c r="E26" s="1551"/>
      <c r="F26" s="1551"/>
      <c r="G26" s="1551"/>
      <c r="H26" s="1551"/>
      <c r="I26" s="1551"/>
      <c r="J26" s="1551"/>
      <c r="K26" s="1551"/>
      <c r="L26" s="1551"/>
      <c r="M26" s="1551"/>
      <c r="N26" s="1551"/>
      <c r="O26" s="1551"/>
      <c r="P26" s="1551"/>
      <c r="Q26" s="1551"/>
      <c r="R26" s="1551"/>
      <c r="S26" s="1551"/>
      <c r="T26" s="1551"/>
      <c r="U26" s="1551"/>
      <c r="V26" s="1551"/>
      <c r="W26" s="1551"/>
      <c r="X26" s="1551"/>
      <c r="Y26" s="1551"/>
      <c r="Z26" s="1551"/>
      <c r="AA26" s="1551"/>
      <c r="AB26" s="1551"/>
      <c r="AC26" s="1551"/>
      <c r="AD26" s="1551"/>
      <c r="AE26" s="1551"/>
      <c r="AF26" s="1551"/>
      <c r="AG26" s="1551"/>
      <c r="AH26" s="1551"/>
      <c r="AI26" s="1551"/>
      <c r="AJ26" s="1551"/>
      <c r="AK26" s="1551"/>
      <c r="AL26" s="1551"/>
      <c r="AM26" s="1551"/>
      <c r="AN26" s="1551"/>
      <c r="AO26" s="1551"/>
      <c r="AP26" s="1551"/>
      <c r="AQ26" s="1551"/>
      <c r="AR26" s="1551"/>
      <c r="AS26" s="1551"/>
      <c r="AT26" s="1551"/>
      <c r="AU26" s="1551"/>
      <c r="AV26" s="1551"/>
      <c r="AW26" s="1551"/>
      <c r="AX26" s="1551"/>
      <c r="AY26" s="1551"/>
      <c r="AZ26" s="1551"/>
      <c r="BA26" s="1551"/>
      <c r="BB26" s="1551"/>
      <c r="BC26" s="1551"/>
      <c r="BD26" s="1551"/>
      <c r="BE26" s="1551"/>
      <c r="BF26" s="1552"/>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3" t="s">
        <v>656</v>
      </c>
      <c r="C28" s="1614"/>
      <c r="D28" s="1614"/>
      <c r="E28" s="1614"/>
      <c r="F28" s="1614"/>
      <c r="G28" s="1614"/>
      <c r="H28" s="1614"/>
      <c r="I28" s="1614"/>
      <c r="J28" s="1614"/>
      <c r="K28" s="1614"/>
      <c r="L28" s="1614"/>
      <c r="M28" s="1614"/>
      <c r="N28" s="1614"/>
      <c r="O28" s="1614"/>
      <c r="P28" s="1614"/>
      <c r="Q28" s="1614"/>
      <c r="T28" s="1610">
        <f>'Tracking &amp; Profitability'!$E$6</f>
        <v>0</v>
      </c>
      <c r="U28" s="1610"/>
      <c r="V28" s="1610"/>
      <c r="W28" s="1610"/>
      <c r="X28" s="1610"/>
      <c r="Y28" s="1610"/>
      <c r="Z28" s="1610"/>
      <c r="AA28" s="1610"/>
      <c r="AB28" s="1610"/>
      <c r="AF28" t="s">
        <v>717</v>
      </c>
      <c r="AO28" s="1608">
        <v>5</v>
      </c>
      <c r="AP28" s="1608"/>
      <c r="AQ28" s="1608"/>
      <c r="AR28" s="1592" t="s">
        <v>657</v>
      </c>
      <c r="AS28" s="1592"/>
      <c r="AU28" s="1608">
        <v>5</v>
      </c>
      <c r="AV28" s="1608"/>
      <c r="AW28" s="1608"/>
      <c r="AX28" s="1592" t="s">
        <v>716</v>
      </c>
      <c r="AY28" s="1592"/>
      <c r="BA28" s="1608">
        <v>5</v>
      </c>
      <c r="BB28" s="1608"/>
      <c r="BC28" s="1608"/>
      <c r="BD28" s="1592" t="s">
        <v>658</v>
      </c>
      <c r="BE28" s="1592"/>
      <c r="BF28" s="138"/>
    </row>
    <row r="29" spans="2:68" ht="17.25" x14ac:dyDescent="0.25">
      <c r="B29" s="137"/>
      <c r="T29" s="134"/>
      <c r="U29" s="134"/>
      <c r="V29" s="134"/>
      <c r="W29" s="134"/>
      <c r="X29" s="134"/>
      <c r="Y29" s="134"/>
      <c r="Z29" s="134"/>
      <c r="AA29" s="134"/>
      <c r="AB29" s="134"/>
      <c r="AF29" s="1603" t="s">
        <v>715</v>
      </c>
      <c r="AG29" s="1603"/>
      <c r="AH29" s="1603"/>
      <c r="AI29" s="1603"/>
      <c r="AJ29" s="1603"/>
      <c r="AK29" s="1603"/>
      <c r="AL29" s="1603"/>
      <c r="AM29" s="1603"/>
      <c r="AN29" s="1603"/>
      <c r="AO29" s="1603"/>
      <c r="AP29" s="1603"/>
      <c r="AQ29" s="1603"/>
      <c r="AR29" s="1603"/>
      <c r="AS29" s="1603"/>
      <c r="AT29" s="1603"/>
      <c r="AU29" s="1603"/>
      <c r="AV29" s="1603"/>
      <c r="AW29" s="1603"/>
      <c r="AX29" s="1603"/>
      <c r="AY29" s="1603"/>
      <c r="AZ29" s="1603"/>
      <c r="BA29" s="1603"/>
      <c r="BB29" s="1603"/>
      <c r="BC29" s="1603"/>
      <c r="BD29" s="1603"/>
      <c r="BE29" s="1603"/>
      <c r="BF29" s="138"/>
    </row>
    <row r="30" spans="2:68" x14ac:dyDescent="0.25">
      <c r="B30" s="1607" t="s">
        <v>712</v>
      </c>
      <c r="C30" s="1503"/>
      <c r="D30" s="1503"/>
      <c r="E30" s="1503"/>
      <c r="F30" s="1503"/>
      <c r="G30" s="1503"/>
      <c r="H30" s="1503"/>
      <c r="I30" s="1503"/>
      <c r="J30" s="1503"/>
      <c r="K30" s="1503"/>
      <c r="L30" s="1503"/>
      <c r="M30" s="1503"/>
      <c r="N30" s="1503"/>
      <c r="O30" s="1503"/>
      <c r="P30" s="1503"/>
      <c r="Q30" s="1503"/>
      <c r="T30" s="1617">
        <v>1</v>
      </c>
      <c r="U30" s="1617"/>
      <c r="V30" s="1617"/>
      <c r="W30" s="1617"/>
      <c r="AF30" s="1510" t="s">
        <v>714</v>
      </c>
      <c r="AG30" s="1510"/>
      <c r="AH30" s="1510"/>
      <c r="AI30" s="1510"/>
      <c r="AJ30" s="1510"/>
      <c r="AK30" s="1510"/>
      <c r="AL30" s="1510"/>
      <c r="AM30" s="1510"/>
      <c r="AN30" s="1510"/>
      <c r="AO30" s="1510"/>
      <c r="AP30" s="1608" t="s">
        <v>1044</v>
      </c>
      <c r="AQ30" s="1608"/>
      <c r="AR30" s="1608"/>
      <c r="AT30" s="1510" t="s">
        <v>713</v>
      </c>
      <c r="AU30" s="1510"/>
      <c r="AV30" s="1510"/>
      <c r="AW30" s="1510"/>
      <c r="AX30" s="1510"/>
      <c r="AY30" s="1510"/>
      <c r="AZ30" s="1510"/>
      <c r="BA30" s="1510"/>
      <c r="BB30" s="1510"/>
      <c r="BC30" s="1510"/>
      <c r="BF30" s="138"/>
    </row>
    <row r="31" spans="2:68" x14ac:dyDescent="0.25">
      <c r="B31" s="137"/>
      <c r="BF31" s="138"/>
      <c r="BP31" s="268"/>
    </row>
    <row r="32" spans="2:68" x14ac:dyDescent="0.25">
      <c r="B32" s="1607" t="s">
        <v>709</v>
      </c>
      <c r="C32" s="1503"/>
      <c r="D32" s="1503"/>
      <c r="E32" s="1503"/>
      <c r="F32" s="1503"/>
      <c r="G32" s="1503"/>
      <c r="H32" s="1503"/>
      <c r="I32" s="1503"/>
      <c r="J32" s="1503"/>
      <c r="K32" s="1503"/>
      <c r="L32" s="1503"/>
      <c r="M32" s="1503"/>
      <c r="N32" s="1503"/>
      <c r="O32" s="1503"/>
      <c r="P32" s="1503"/>
      <c r="Q32" s="1503"/>
      <c r="T32" s="1611" t="s">
        <v>1018</v>
      </c>
      <c r="U32" s="1611"/>
      <c r="V32" s="1611"/>
      <c r="W32" s="1611"/>
      <c r="X32" s="1611"/>
      <c r="Y32" s="1611"/>
      <c r="Z32" s="1611"/>
      <c r="AA32" s="1611"/>
      <c r="AB32" s="1611"/>
      <c r="AC32" s="1611"/>
      <c r="AD32" s="1611"/>
      <c r="AE32" s="1611"/>
      <c r="AF32" s="1611"/>
      <c r="AG32" s="1611"/>
      <c r="AH32" s="1611"/>
      <c r="AI32" s="1611"/>
      <c r="AJ32" s="1611"/>
      <c r="AK32" s="1611"/>
      <c r="AL32" s="1611"/>
      <c r="AM32" s="1611"/>
      <c r="AN32" s="1611"/>
      <c r="AO32" s="1611"/>
      <c r="BF32" s="138"/>
    </row>
    <row r="33" spans="2:92" x14ac:dyDescent="0.25">
      <c r="B33" s="137"/>
      <c r="BF33" s="138"/>
    </row>
    <row r="34" spans="2:92" x14ac:dyDescent="0.25">
      <c r="B34" s="137"/>
      <c r="C34" s="82"/>
      <c r="D34" s="82"/>
      <c r="E34" s="82"/>
      <c r="F34" s="82"/>
      <c r="G34" s="82"/>
      <c r="H34" s="82"/>
      <c r="I34" s="1608"/>
      <c r="J34" s="1608"/>
      <c r="K34" s="1592" t="s">
        <v>485</v>
      </c>
      <c r="L34" s="1592"/>
      <c r="M34" s="1592"/>
      <c r="N34" s="1592"/>
      <c r="O34" s="1592"/>
      <c r="P34" s="1592"/>
      <c r="Q34" s="1592"/>
      <c r="R34" s="1608" t="s">
        <v>241</v>
      </c>
      <c r="S34" s="1608"/>
      <c r="T34" s="1592" t="s">
        <v>484</v>
      </c>
      <c r="U34" s="1592"/>
      <c r="V34" s="1592"/>
      <c r="W34" s="1592"/>
      <c r="X34" s="1608"/>
      <c r="Y34" s="1608"/>
      <c r="Z34" s="1592" t="s">
        <v>483</v>
      </c>
      <c r="AA34" s="1592"/>
      <c r="AB34" s="1592"/>
      <c r="AF34" t="s">
        <v>711</v>
      </c>
      <c r="AL34" s="1608">
        <v>5</v>
      </c>
      <c r="AM34" s="1608"/>
      <c r="AN34" s="1608"/>
      <c r="AO34" t="s">
        <v>710</v>
      </c>
      <c r="BF34" s="138"/>
    </row>
    <row r="35" spans="2:92" x14ac:dyDescent="0.25">
      <c r="B35" s="137"/>
      <c r="BF35" s="138"/>
      <c r="BP35" s="270"/>
      <c r="CN35" s="268"/>
    </row>
    <row r="36" spans="2:92" x14ac:dyDescent="0.25">
      <c r="B36" s="1613" t="s">
        <v>708</v>
      </c>
      <c r="C36" s="1614"/>
      <c r="D36" s="1614"/>
      <c r="E36" s="1614"/>
      <c r="F36" s="1614"/>
      <c r="G36" s="1614"/>
      <c r="H36" s="1614"/>
      <c r="I36" s="1614"/>
      <c r="J36" s="1614"/>
      <c r="K36" s="1614"/>
      <c r="L36" s="1614"/>
      <c r="M36" s="1614"/>
      <c r="N36" s="1614"/>
      <c r="O36" s="1614"/>
      <c r="P36" s="1614"/>
      <c r="Q36" s="1614"/>
      <c r="R36" s="1614"/>
      <c r="T36" s="1623" t="str">
        <f>IFERROR($T$28/('Tracking &amp; Profitability'!$E$7*52*Welcome!$D$14),"Error on A La Carte")</f>
        <v>Error on A La Carte</v>
      </c>
      <c r="U36" s="1623"/>
      <c r="V36" s="1623"/>
      <c r="W36" s="1623"/>
      <c r="X36" s="1623"/>
      <c r="Y36" s="1623"/>
      <c r="Z36" s="1623"/>
      <c r="AA36" s="1623"/>
      <c r="AB36" s="1623"/>
      <c r="AF36" s="1614" t="s">
        <v>480</v>
      </c>
      <c r="AG36" s="1614"/>
      <c r="AH36" s="1614"/>
      <c r="AI36" s="1614"/>
      <c r="AJ36" s="1614"/>
      <c r="AK36" s="1614"/>
      <c r="AL36" s="1614"/>
      <c r="AM36" s="1614"/>
      <c r="AN36" s="1614"/>
      <c r="AO36" s="1614"/>
      <c r="AP36" s="1614"/>
      <c r="AQ36" s="1614"/>
      <c r="AR36" s="1614"/>
      <c r="AS36" s="1614"/>
      <c r="AU36" s="1608" t="e">
        <f>ROUND(((1-(('PIM Model'!$G$15+'PIM Model'!$G$17+'PIM Model'!$G$18)/'PIM Model'!$G$31))*100),0)&amp;"%/"&amp;ROUND((('PIM Model'!$G$15+'PIM Model'!$G$17+'PIM Model'!$G$18)/'PIM Model'!$G$31*100),0)&amp;"%"</f>
        <v>#DIV/0!</v>
      </c>
      <c r="AV36" s="1608"/>
      <c r="AW36" s="1608"/>
      <c r="AX36" s="1608"/>
      <c r="AY36" s="1608"/>
      <c r="AZ36" s="160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3" t="s">
        <v>706</v>
      </c>
      <c r="C38" s="1614"/>
      <c r="D38" s="1614"/>
      <c r="E38" s="1614"/>
      <c r="F38" s="1614"/>
      <c r="G38" s="1614"/>
      <c r="H38" s="1614"/>
      <c r="I38" s="1614"/>
      <c r="J38" s="1614"/>
      <c r="K38" s="1614"/>
      <c r="L38" s="1614"/>
      <c r="M38" s="1614"/>
      <c r="N38" s="1614"/>
      <c r="O38" s="1614"/>
      <c r="P38" s="1614"/>
      <c r="Q38" s="1614"/>
      <c r="R38" s="1614"/>
      <c r="T38" s="1624" t="str">
        <f>IFERROR('PIM Model'!$H$31/('PIM Model'!$E$6*52*Welcome!$D$14),"Error on A La Carte")</f>
        <v>Error on A La Carte</v>
      </c>
      <c r="U38" s="1624"/>
      <c r="V38" s="1624"/>
      <c r="W38" s="1624"/>
      <c r="X38" s="1624"/>
      <c r="Y38" s="1624"/>
      <c r="Z38" s="1624"/>
      <c r="AA38" s="1624"/>
      <c r="AB38" s="1624"/>
      <c r="AC38" s="271"/>
      <c r="AD38" s="271"/>
      <c r="AF38" s="1503" t="s">
        <v>659</v>
      </c>
      <c r="AG38" s="1503"/>
      <c r="AH38" s="1503"/>
      <c r="AI38" s="1503"/>
      <c r="AJ38" s="1503"/>
      <c r="AK38" s="1503"/>
      <c r="AL38" s="1503"/>
      <c r="AM38" s="1503"/>
      <c r="AN38" s="1503"/>
      <c r="AO38" s="1503"/>
      <c r="AP38" s="1503"/>
      <c r="AQ38" s="1503"/>
      <c r="AR38" s="1503"/>
      <c r="AS38" s="1503"/>
      <c r="AU38" s="1608">
        <f>COUNTIF('PIM Model'!$E$10:$E$30,"Include")</f>
        <v>21</v>
      </c>
      <c r="AV38" s="1608"/>
      <c r="AW38" s="1608"/>
      <c r="AX38" s="1608"/>
      <c r="AY38" s="1608"/>
      <c r="AZ38" s="1608"/>
      <c r="BF38" s="138"/>
    </row>
    <row r="39" spans="2:92" x14ac:dyDescent="0.25">
      <c r="B39" s="137"/>
      <c r="BF39" s="138"/>
    </row>
    <row r="40" spans="2:92" x14ac:dyDescent="0.25">
      <c r="B40" s="1613" t="s">
        <v>704</v>
      </c>
      <c r="C40" s="1614"/>
      <c r="D40" s="1614"/>
      <c r="E40" s="1614"/>
      <c r="F40" s="1614"/>
      <c r="G40" s="1614"/>
      <c r="H40" s="1614"/>
      <c r="I40" s="1614"/>
      <c r="J40" s="1614"/>
      <c r="K40" s="1614"/>
      <c r="L40" s="1614"/>
      <c r="M40" s="1614"/>
      <c r="N40" s="1614"/>
      <c r="O40" s="1614"/>
      <c r="P40" s="1614"/>
      <c r="Q40" s="1614"/>
      <c r="R40" s="1614"/>
      <c r="T40" s="1610">
        <f>IFERROR('PIM Model'!$G$31/'PIM Model'!$H$31,0)</f>
        <v>0</v>
      </c>
      <c r="U40" s="1610"/>
      <c r="V40" s="1610"/>
      <c r="W40" s="1610"/>
      <c r="X40" s="1610"/>
      <c r="Y40" s="1610"/>
      <c r="Z40" s="1610"/>
      <c r="AA40" s="1610"/>
      <c r="AB40" s="1610"/>
      <c r="AF40" s="1503" t="s">
        <v>707</v>
      </c>
      <c r="AG40" s="1503"/>
      <c r="AH40" s="1503"/>
      <c r="AI40" s="1503"/>
      <c r="AJ40" s="1503"/>
      <c r="AK40" s="1503"/>
      <c r="AL40" s="1503"/>
      <c r="AM40" s="1503"/>
      <c r="AN40" s="1503"/>
      <c r="AO40" s="1503"/>
      <c r="AP40" s="1503"/>
      <c r="AQ40" s="1503"/>
      <c r="AR40" s="1503"/>
      <c r="AS40" s="1503"/>
      <c r="AU40" s="1608">
        <f>$AO$28+$AU$28+$BA$28</f>
        <v>15</v>
      </c>
      <c r="AV40" s="1608"/>
      <c r="AW40" s="1608"/>
      <c r="BC40" s="1592"/>
      <c r="BD40" s="1592"/>
      <c r="BE40" s="1592"/>
      <c r="BF40" s="138"/>
    </row>
    <row r="41" spans="2:92" x14ac:dyDescent="0.25">
      <c r="B41" s="137"/>
      <c r="BF41" s="138"/>
      <c r="BP41" s="268"/>
      <c r="CN41" s="270"/>
    </row>
    <row r="42" spans="2:92" x14ac:dyDescent="0.25">
      <c r="B42" s="1607" t="s">
        <v>702</v>
      </c>
      <c r="C42" s="1503"/>
      <c r="D42" s="1503"/>
      <c r="E42" s="1503"/>
      <c r="F42" s="1503"/>
      <c r="G42" s="1503"/>
      <c r="H42" s="1503"/>
      <c r="I42" s="1503"/>
      <c r="J42" s="1503"/>
      <c r="K42" s="1503"/>
      <c r="L42" s="1503"/>
      <c r="M42" s="1503"/>
      <c r="N42" s="1503"/>
      <c r="O42" s="1503"/>
      <c r="P42" s="1503"/>
      <c r="Q42" s="1503"/>
      <c r="R42" s="1503"/>
      <c r="T42" s="1610" t="s">
        <v>758</v>
      </c>
      <c r="U42" s="1610"/>
      <c r="V42" s="1610"/>
      <c r="W42" s="1610"/>
      <c r="X42" s="1610"/>
      <c r="Y42" s="1610"/>
      <c r="Z42" s="1610"/>
      <c r="AA42" s="1610"/>
      <c r="AB42" s="1610"/>
      <c r="AF42" s="1503" t="s">
        <v>705</v>
      </c>
      <c r="AG42" s="1503"/>
      <c r="AH42" s="1503"/>
      <c r="AI42" s="1503"/>
      <c r="AJ42" s="1503"/>
      <c r="AK42" s="1503"/>
      <c r="AL42" s="1503"/>
      <c r="AM42" s="1503"/>
      <c r="AN42" s="1503"/>
      <c r="AO42" s="1503"/>
      <c r="AP42" s="1503"/>
      <c r="AQ42" s="1503"/>
      <c r="AR42" s="1503"/>
      <c r="AS42" s="1503"/>
      <c r="AU42" s="1608" t="s">
        <v>651</v>
      </c>
      <c r="AV42" s="1608"/>
      <c r="AW42" s="1608"/>
      <c r="BC42" s="1592"/>
      <c r="BD42" s="1592"/>
      <c r="BE42" s="1592"/>
      <c r="BF42" s="138"/>
    </row>
    <row r="43" spans="2:92" x14ac:dyDescent="0.25">
      <c r="B43" s="137"/>
      <c r="BF43" s="138"/>
      <c r="BP43" s="268"/>
      <c r="CN43" s="270"/>
    </row>
    <row r="44" spans="2:92" x14ac:dyDescent="0.25">
      <c r="B44" s="1613" t="s">
        <v>700</v>
      </c>
      <c r="C44" s="1614"/>
      <c r="D44" s="1614"/>
      <c r="E44" s="1614"/>
      <c r="F44" s="1614"/>
      <c r="G44" s="1614"/>
      <c r="H44" s="1614"/>
      <c r="I44" s="1614"/>
      <c r="J44" s="1614"/>
      <c r="K44" s="1614"/>
      <c r="L44" s="1614"/>
      <c r="M44" s="1614"/>
      <c r="N44" s="1614"/>
      <c r="O44" s="1614"/>
      <c r="P44" s="1614"/>
      <c r="Q44" s="1614"/>
      <c r="R44" s="1614"/>
      <c r="T44" s="1616">
        <f>'Tracking &amp; Profitability'!$E$7</f>
        <v>0</v>
      </c>
      <c r="U44" s="1616"/>
      <c r="V44" s="1616"/>
      <c r="W44" s="1616"/>
      <c r="X44" s="1616"/>
      <c r="Y44" s="1616"/>
      <c r="Z44" s="1616"/>
      <c r="AA44" s="1616"/>
      <c r="AB44" s="1616"/>
      <c r="AF44" s="1503" t="s">
        <v>703</v>
      </c>
      <c r="AG44" s="1503"/>
      <c r="AH44" s="1503"/>
      <c r="AI44" s="1503"/>
      <c r="AJ44" s="1503"/>
      <c r="AK44" s="1503"/>
      <c r="AL44" s="1503"/>
      <c r="AM44" s="1503"/>
      <c r="AN44" s="1503"/>
      <c r="AO44" s="1503"/>
      <c r="AP44" s="1503"/>
      <c r="AQ44" s="1503"/>
      <c r="AR44" s="1503"/>
      <c r="AS44" s="1503"/>
      <c r="AU44" s="1608" t="s">
        <v>651</v>
      </c>
      <c r="AV44" s="1608"/>
      <c r="AW44" s="1608"/>
      <c r="BC44" s="1592"/>
      <c r="BD44" s="1592"/>
      <c r="BE44" s="1592"/>
      <c r="BF44" s="138"/>
    </row>
    <row r="45" spans="2:92" x14ac:dyDescent="0.25">
      <c r="B45" s="137"/>
      <c r="BF45" s="138"/>
      <c r="CN45" s="270"/>
    </row>
    <row r="46" spans="2:92" x14ac:dyDescent="0.25">
      <c r="B46" s="1618" t="s">
        <v>660</v>
      </c>
      <c r="C46" s="1619"/>
      <c r="D46" s="1619"/>
      <c r="E46" s="1619"/>
      <c r="F46" s="1619"/>
      <c r="G46" s="1619"/>
      <c r="H46" s="1619"/>
      <c r="I46" s="1619"/>
      <c r="J46" s="1619"/>
      <c r="K46" s="1619"/>
      <c r="L46" s="1619"/>
      <c r="M46" s="1619"/>
      <c r="N46" s="1619"/>
      <c r="O46" s="1619"/>
      <c r="P46" s="1619"/>
      <c r="Q46" s="1619"/>
      <c r="R46" s="1619"/>
      <c r="T46" s="1598">
        <v>150</v>
      </c>
      <c r="U46" s="1598"/>
      <c r="V46" s="1598"/>
      <c r="W46" s="1598"/>
      <c r="X46" s="1598"/>
      <c r="Y46" s="1598"/>
      <c r="Z46" s="1598"/>
      <c r="AA46" s="1598"/>
      <c r="AB46" s="1598"/>
      <c r="AF46" s="1612" t="s">
        <v>701</v>
      </c>
      <c r="AG46" s="1612"/>
      <c r="AH46" s="1612"/>
      <c r="AI46" s="1612"/>
      <c r="AJ46" s="1612"/>
      <c r="AK46" s="1612"/>
      <c r="AL46" s="1612"/>
      <c r="AM46" s="1612"/>
      <c r="AN46" s="1612"/>
      <c r="AO46" s="1612"/>
      <c r="AP46" s="1612"/>
      <c r="AQ46" s="1612"/>
      <c r="AR46" s="1612"/>
      <c r="AS46" s="1612"/>
      <c r="AU46" s="1628">
        <v>0.3</v>
      </c>
      <c r="AV46" s="1628"/>
      <c r="AW46" s="1628"/>
      <c r="AX46" s="1628"/>
      <c r="AY46" s="1628"/>
      <c r="AZ46" s="1628"/>
      <c r="BF46" s="138"/>
    </row>
    <row r="47" spans="2:92" x14ac:dyDescent="0.25">
      <c r="B47" s="137"/>
      <c r="BF47" s="138"/>
      <c r="CN47" s="270"/>
    </row>
    <row r="48" spans="2:92" x14ac:dyDescent="0.25">
      <c r="B48" s="1613" t="s">
        <v>481</v>
      </c>
      <c r="C48" s="1614"/>
      <c r="D48" s="1614"/>
      <c r="E48" s="1614"/>
      <c r="F48" s="1614"/>
      <c r="G48" s="1614"/>
      <c r="H48" s="1614"/>
      <c r="I48" s="1614"/>
      <c r="J48" s="1614"/>
      <c r="K48" s="1614"/>
      <c r="L48" s="1614"/>
      <c r="M48" s="1614"/>
      <c r="N48" s="1614"/>
      <c r="O48" s="1614"/>
      <c r="P48" s="1614"/>
      <c r="Q48" s="1614"/>
      <c r="R48" s="1614"/>
      <c r="T48" s="1598">
        <f>$K$10</f>
        <v>0</v>
      </c>
      <c r="U48" s="1598"/>
      <c r="V48" s="1598"/>
      <c r="W48" s="1598"/>
      <c r="X48" s="1598"/>
      <c r="Y48" s="1598"/>
      <c r="Z48" s="1598"/>
      <c r="AA48" s="1598"/>
      <c r="AB48" s="1598"/>
      <c r="AF48" s="1612" t="s">
        <v>699</v>
      </c>
      <c r="AG48" s="1612"/>
      <c r="AH48" s="1612"/>
      <c r="AI48" s="1612"/>
      <c r="AJ48" s="1612"/>
      <c r="AK48" s="1612"/>
      <c r="AL48" s="1612"/>
      <c r="AM48" s="1612"/>
      <c r="AN48" s="1612"/>
      <c r="AO48" s="1612"/>
      <c r="AP48" s="1612"/>
      <c r="AQ48" s="1612"/>
      <c r="AR48" s="1612"/>
      <c r="AS48" s="1612"/>
      <c r="AU48" s="1632">
        <v>2.25</v>
      </c>
      <c r="AV48" s="1633"/>
      <c r="AW48" s="1633"/>
      <c r="AX48" s="1633"/>
      <c r="AY48" s="1633"/>
      <c r="AZ48" s="1633"/>
      <c r="BF48" s="138"/>
    </row>
    <row r="49" spans="2:92" x14ac:dyDescent="0.25">
      <c r="B49" s="137"/>
      <c r="BF49" s="138"/>
      <c r="CN49" s="270"/>
    </row>
    <row r="50" spans="2:92" x14ac:dyDescent="0.25">
      <c r="B50" s="1622" t="s">
        <v>698</v>
      </c>
      <c r="C50" s="1612"/>
      <c r="D50" s="1612"/>
      <c r="E50" s="1612"/>
      <c r="F50" s="1612"/>
      <c r="G50" s="1612"/>
      <c r="H50" s="1612"/>
      <c r="I50" s="1612"/>
      <c r="J50" s="1612"/>
      <c r="K50" s="1612"/>
      <c r="L50" s="1612"/>
      <c r="M50" s="1612"/>
      <c r="N50" s="1612"/>
      <c r="O50" s="1612"/>
      <c r="P50" s="1612"/>
      <c r="Q50" s="1612"/>
      <c r="R50" s="1612"/>
      <c r="T50" s="1620">
        <v>500</v>
      </c>
      <c r="U50" s="1620"/>
      <c r="V50" s="1620"/>
      <c r="W50" s="1620"/>
      <c r="X50" s="1620"/>
      <c r="Y50" s="1620"/>
      <c r="Z50" s="1503" t="s">
        <v>697</v>
      </c>
      <c r="AA50" s="1503"/>
      <c r="AB50" s="1503"/>
      <c r="AC50" s="1620">
        <v>35</v>
      </c>
      <c r="AD50" s="1620"/>
      <c r="AE50" s="1620"/>
      <c r="AF50" s="1620"/>
      <c r="AG50" s="1620"/>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25" t="s">
        <v>681</v>
      </c>
      <c r="C53" s="1626"/>
      <c r="D53" s="1626"/>
      <c r="E53" s="1626"/>
      <c r="F53" s="1626"/>
      <c r="G53" s="1626"/>
      <c r="H53" s="1626"/>
      <c r="I53" s="1626"/>
      <c r="J53" s="1626"/>
      <c r="K53" s="1626"/>
      <c r="L53" s="1626"/>
      <c r="M53" s="1626"/>
      <c r="N53" s="1626"/>
      <c r="O53" s="1626"/>
      <c r="P53" s="1626"/>
      <c r="Q53" s="1626"/>
      <c r="R53" s="1626"/>
      <c r="S53" s="1626"/>
      <c r="T53" s="1626"/>
      <c r="U53" s="1626"/>
      <c r="V53" s="1626"/>
      <c r="W53" s="1626"/>
      <c r="X53" s="1626"/>
      <c r="Y53" s="1626"/>
      <c r="Z53" s="1626"/>
      <c r="AA53" s="1626"/>
      <c r="AB53" s="1626"/>
      <c r="AC53" s="1626"/>
      <c r="AD53" s="1626"/>
      <c r="AE53" s="1626"/>
      <c r="AF53" s="1626"/>
      <c r="AG53" s="1626"/>
      <c r="AH53" s="1626"/>
      <c r="AI53" s="1626"/>
      <c r="AJ53" s="1626"/>
      <c r="AK53" s="1626"/>
      <c r="AL53" s="1626"/>
      <c r="AM53" s="1626"/>
      <c r="AN53" s="1626"/>
      <c r="AO53" s="1626"/>
      <c r="AP53" s="1626"/>
      <c r="AQ53" s="1626"/>
      <c r="AR53" s="1626"/>
      <c r="AS53" s="1626"/>
      <c r="AT53" s="1626"/>
      <c r="AU53" s="1626"/>
      <c r="AV53" s="1626"/>
      <c r="AW53" s="1626"/>
      <c r="AX53" s="1626"/>
      <c r="AY53" s="1626"/>
      <c r="AZ53" s="1626"/>
      <c r="BA53" s="1626"/>
      <c r="BB53" s="1626"/>
      <c r="BC53" s="1626"/>
      <c r="BD53" s="1626"/>
      <c r="BE53" s="1626"/>
      <c r="BF53" s="1627"/>
    </row>
    <row r="54" spans="2:92" x14ac:dyDescent="0.25">
      <c r="B54" s="1629" t="s">
        <v>696</v>
      </c>
      <c r="C54" s="1630"/>
      <c r="D54" s="1630"/>
      <c r="E54" s="1630"/>
      <c r="F54" s="1630"/>
      <c r="G54" s="1630"/>
      <c r="H54" s="1630"/>
      <c r="I54" s="1630"/>
      <c r="J54" s="1630"/>
      <c r="K54" s="1630"/>
      <c r="L54" s="1630"/>
      <c r="M54" s="1630"/>
      <c r="N54" s="1630"/>
      <c r="O54" s="1630"/>
      <c r="P54" s="1630"/>
      <c r="Q54" s="1630"/>
      <c r="R54" s="1630"/>
      <c r="S54" s="1630"/>
      <c r="T54" s="1630"/>
      <c r="U54" s="1630"/>
      <c r="V54" s="1630"/>
      <c r="W54" s="1630"/>
      <c r="X54" s="1630"/>
      <c r="Y54" s="1630"/>
      <c r="Z54" s="1630"/>
      <c r="AA54" s="1630"/>
      <c r="AB54" s="1630"/>
      <c r="AC54" s="1630"/>
      <c r="AD54" s="1630"/>
      <c r="AE54" s="1630"/>
      <c r="AF54" s="1630"/>
      <c r="AG54" s="1630"/>
      <c r="AH54" s="1630"/>
      <c r="AI54" s="1630"/>
      <c r="AJ54" s="1630"/>
      <c r="AK54" s="1630"/>
      <c r="AL54" s="1630"/>
      <c r="AM54" s="1630"/>
      <c r="AN54" s="1630"/>
      <c r="AO54" s="1630"/>
      <c r="AP54" s="1630"/>
      <c r="AQ54" s="1630"/>
      <c r="AR54" s="1630"/>
      <c r="AS54" s="1630"/>
      <c r="AT54" s="1630"/>
      <c r="AU54" s="1630"/>
      <c r="AV54" s="1630"/>
      <c r="AW54" s="1630"/>
      <c r="AX54" s="1630"/>
      <c r="AY54" s="1630"/>
      <c r="AZ54" s="1630"/>
      <c r="BA54" s="1630"/>
      <c r="BB54" s="1630"/>
      <c r="BC54" s="1630"/>
      <c r="BD54" s="1630"/>
      <c r="BE54" s="1630"/>
      <c r="BF54" s="1631"/>
      <c r="BP54" s="268"/>
    </row>
    <row r="55" spans="2:92" x14ac:dyDescent="0.25">
      <c r="B55" s="137"/>
      <c r="AC55" s="273"/>
      <c r="AD55" s="273"/>
      <c r="AE55" s="273"/>
      <c r="AF55" s="273"/>
      <c r="AG55" s="273"/>
      <c r="AH55" s="273"/>
      <c r="AK55" s="1597"/>
      <c r="AL55" s="1597"/>
      <c r="AM55" s="1597"/>
      <c r="AN55" s="1597"/>
      <c r="AO55" s="1465"/>
      <c r="AP55" s="1465"/>
      <c r="AQ55" s="1465"/>
      <c r="AR55" s="134"/>
      <c r="AS55" s="134"/>
      <c r="AT55" s="1465"/>
      <c r="AU55" s="1465"/>
      <c r="AV55" s="1465"/>
      <c r="AW55" s="134"/>
      <c r="AX55" s="134"/>
      <c r="AY55" s="1465"/>
      <c r="AZ55" s="1465"/>
      <c r="BA55" s="1465"/>
      <c r="BB55" s="134"/>
      <c r="BC55" s="134"/>
      <c r="BD55" s="1465"/>
      <c r="BE55" s="1465"/>
      <c r="BF55" s="1615"/>
      <c r="BP55" s="274"/>
    </row>
    <row r="56" spans="2:92" x14ac:dyDescent="0.25">
      <c r="B56" s="137"/>
      <c r="C56" s="1510" t="s">
        <v>103</v>
      </c>
      <c r="D56" s="1510"/>
      <c r="E56" s="1510"/>
      <c r="F56" s="1510"/>
      <c r="G56" s="1510"/>
      <c r="H56" s="1510"/>
      <c r="I56" s="1510"/>
      <c r="J56" s="1510"/>
      <c r="K56" s="1510"/>
      <c r="L56" s="1510"/>
      <c r="M56" s="1510"/>
      <c r="N56" s="1510"/>
      <c r="O56" s="1510"/>
      <c r="P56" s="1510"/>
      <c r="Q56" s="1510"/>
      <c r="R56" s="1510"/>
      <c r="S56" s="1510"/>
      <c r="T56" s="1510"/>
      <c r="U56" s="1510"/>
      <c r="V56" s="1510"/>
      <c r="W56" s="1510"/>
      <c r="X56" s="1510"/>
      <c r="Y56" s="1510"/>
      <c r="Z56" s="1510"/>
      <c r="AC56" s="1608" t="str">
        <f>'PIM Model'!$AD$11</f>
        <v/>
      </c>
      <c r="AD56" s="1608"/>
      <c r="AE56" s="1608" t="str">
        <f>'PIM Model'!$D$11</f>
        <v>%</v>
      </c>
      <c r="AF56" s="1608"/>
      <c r="AG56" s="1608" t="str">
        <f>'PIM Model'!$D$11</f>
        <v>%</v>
      </c>
      <c r="AH56" s="1608"/>
      <c r="AI56" s="1592" t="str">
        <f>'PIM Model'!$D$11</f>
        <v>%</v>
      </c>
      <c r="AJ56" s="1592"/>
      <c r="AK56" s="134"/>
      <c r="AL56" s="134"/>
      <c r="AM56" s="134"/>
      <c r="AN56" s="134"/>
      <c r="AO56" s="1465"/>
      <c r="AP56" s="1465"/>
      <c r="AQ56" s="1465"/>
      <c r="AR56" s="134"/>
      <c r="AS56" s="134"/>
      <c r="AT56" s="1465"/>
      <c r="AU56" s="1465"/>
      <c r="AV56" s="1465"/>
      <c r="AW56" s="134"/>
      <c r="AX56" s="134"/>
      <c r="AY56" s="1465"/>
      <c r="AZ56" s="1465"/>
      <c r="BA56" s="1465"/>
      <c r="BB56" s="134"/>
      <c r="BC56" s="134"/>
      <c r="BD56" s="1465"/>
      <c r="BE56" s="1465"/>
      <c r="BF56" s="1615"/>
      <c r="BP56" s="268"/>
    </row>
    <row r="57" spans="2:92" x14ac:dyDescent="0.25">
      <c r="B57" s="137"/>
      <c r="C57" s="1510" t="s">
        <v>102</v>
      </c>
      <c r="D57" s="1510"/>
      <c r="E57" s="1510"/>
      <c r="F57" s="1510"/>
      <c r="G57" s="1510"/>
      <c r="H57" s="1510"/>
      <c r="I57" s="1510"/>
      <c r="J57" s="1510"/>
      <c r="K57" s="1510"/>
      <c r="L57" s="1510"/>
      <c r="M57" s="1510"/>
      <c r="N57" s="1510"/>
      <c r="O57" s="1510"/>
      <c r="P57" s="1510"/>
      <c r="Q57" s="1510"/>
      <c r="R57" s="1510"/>
      <c r="S57" s="1510"/>
      <c r="T57" s="1510"/>
      <c r="U57" s="1510"/>
      <c r="V57" s="1510"/>
      <c r="W57" s="1510"/>
      <c r="X57" s="1510"/>
      <c r="Y57" s="1510"/>
      <c r="Z57" s="1510"/>
      <c r="AC57" s="1595" t="str">
        <f>'PIM Model'!$AD$13</f>
        <v/>
      </c>
      <c r="AD57" s="1595"/>
      <c r="AE57" s="1595" t="str">
        <f>'PIM Model'!$D$13</f>
        <v>%</v>
      </c>
      <c r="AF57" s="1595"/>
      <c r="AG57" s="1595" t="str">
        <f>'PIM Model'!$D$13</f>
        <v>%</v>
      </c>
      <c r="AH57" s="1595"/>
      <c r="AI57" s="1592" t="str">
        <f>'PIM Model'!$D$13</f>
        <v>%</v>
      </c>
      <c r="AJ57" s="159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10" t="s">
        <v>101</v>
      </c>
      <c r="D58" s="1510"/>
      <c r="E58" s="1510"/>
      <c r="F58" s="1510"/>
      <c r="G58" s="1510"/>
      <c r="H58" s="1510"/>
      <c r="I58" s="1510"/>
      <c r="J58" s="1510"/>
      <c r="K58" s="1510"/>
      <c r="L58" s="1510"/>
      <c r="M58" s="1510"/>
      <c r="N58" s="1510"/>
      <c r="O58" s="1510"/>
      <c r="P58" s="1510"/>
      <c r="Q58" s="1510"/>
      <c r="R58" s="1510"/>
      <c r="S58" s="1510"/>
      <c r="T58" s="1510"/>
      <c r="U58" s="1510"/>
      <c r="V58" s="1510"/>
      <c r="W58" s="1510"/>
      <c r="X58" s="1510"/>
      <c r="Y58" s="1510"/>
      <c r="Z58" s="1510"/>
      <c r="AC58" s="1595" t="str">
        <f>'PIM Model'!$AD$19</f>
        <v/>
      </c>
      <c r="AD58" s="1595"/>
      <c r="AE58" s="1595" t="str">
        <f>'PIM Model'!$D$19</f>
        <v>%</v>
      </c>
      <c r="AF58" s="1595"/>
      <c r="AG58" s="1595" t="str">
        <f>'PIM Model'!$D$19</f>
        <v>%</v>
      </c>
      <c r="AH58" s="1595"/>
      <c r="AI58" s="1592" t="str">
        <f>'PIM Model'!$D$19</f>
        <v>%</v>
      </c>
      <c r="AJ58" s="159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10" t="s">
        <v>100</v>
      </c>
      <c r="D59" s="1510"/>
      <c r="E59" s="1510"/>
      <c r="F59" s="1510"/>
      <c r="G59" s="1510"/>
      <c r="H59" s="1510"/>
      <c r="I59" s="1510"/>
      <c r="J59" s="1510"/>
      <c r="K59" s="1510"/>
      <c r="L59" s="1510"/>
      <c r="M59" s="1510"/>
      <c r="N59" s="1510"/>
      <c r="O59" s="1510"/>
      <c r="P59" s="1510"/>
      <c r="Q59" s="1510"/>
      <c r="R59" s="1510"/>
      <c r="S59" s="1510"/>
      <c r="T59" s="1510"/>
      <c r="U59" s="1510"/>
      <c r="V59" s="1510"/>
      <c r="W59" s="1510"/>
      <c r="X59" s="1510"/>
      <c r="Y59" s="1510"/>
      <c r="Z59" s="1510"/>
      <c r="AC59" s="1595" t="str">
        <f>'PIM Model'!$AD$14</f>
        <v/>
      </c>
      <c r="AD59" s="1595"/>
      <c r="AE59" s="1595" t="str">
        <f>'PIM Model'!$D$14</f>
        <v>%</v>
      </c>
      <c r="AF59" s="1595"/>
      <c r="AG59" s="1595" t="str">
        <f>'PIM Model'!$D$14</f>
        <v>%</v>
      </c>
      <c r="AH59" s="1595"/>
      <c r="AI59" s="1592" t="str">
        <f>'PIM Model'!$D$14</f>
        <v>%</v>
      </c>
      <c r="AJ59" s="159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10" t="s">
        <v>104</v>
      </c>
      <c r="D60" s="1510"/>
      <c r="E60" s="1510"/>
      <c r="F60" s="1510"/>
      <c r="G60" s="1510"/>
      <c r="H60" s="1510"/>
      <c r="I60" s="1510"/>
      <c r="J60" s="1510"/>
      <c r="K60" s="1510"/>
      <c r="L60" s="1510"/>
      <c r="M60" s="1510"/>
      <c r="N60" s="1510"/>
      <c r="O60" s="1510"/>
      <c r="P60" s="1510"/>
      <c r="Q60" s="1510"/>
      <c r="R60" s="1510"/>
      <c r="S60" s="1510"/>
      <c r="T60" s="1510"/>
      <c r="U60" s="1510"/>
      <c r="V60" s="1510"/>
      <c r="W60" s="1510"/>
      <c r="X60" s="1510"/>
      <c r="Y60" s="1510"/>
      <c r="Z60" s="1510"/>
      <c r="AC60" s="1595" t="str">
        <f>'PIM Model'!$AD$15</f>
        <v/>
      </c>
      <c r="AD60" s="1595"/>
      <c r="AE60" s="1595" t="str">
        <f>'PIM Model'!$D$15</f>
        <v>%</v>
      </c>
      <c r="AF60" s="1595"/>
      <c r="AG60" s="1595" t="str">
        <f>'PIM Model'!$D$15</f>
        <v>%</v>
      </c>
      <c r="AH60" s="1595"/>
      <c r="AI60" s="1592" t="str">
        <f>'PIM Model'!$D$15</f>
        <v>%</v>
      </c>
      <c r="AJ60" s="159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10" t="s">
        <v>99</v>
      </c>
      <c r="D61" s="1510"/>
      <c r="E61" s="1510"/>
      <c r="F61" s="1510"/>
      <c r="G61" s="1510"/>
      <c r="H61" s="1510"/>
      <c r="I61" s="1510"/>
      <c r="J61" s="1510"/>
      <c r="K61" s="1510"/>
      <c r="L61" s="1510"/>
      <c r="M61" s="1510"/>
      <c r="N61" s="1510"/>
      <c r="O61" s="1510"/>
      <c r="P61" s="1510"/>
      <c r="Q61" s="1510"/>
      <c r="R61" s="1510"/>
      <c r="S61" s="1510"/>
      <c r="T61" s="1510"/>
      <c r="U61" s="1510"/>
      <c r="V61" s="1510"/>
      <c r="W61" s="1510"/>
      <c r="X61" s="1510"/>
      <c r="Y61" s="1510"/>
      <c r="Z61" s="1510"/>
      <c r="AC61" s="1595" t="str">
        <f>'PIM Model'!$AD$10</f>
        <v/>
      </c>
      <c r="AD61" s="1595"/>
      <c r="AE61" s="1595" t="str">
        <f>'PIM Model'!$D$10</f>
        <v>%</v>
      </c>
      <c r="AF61" s="1595"/>
      <c r="AG61" s="1595" t="str">
        <f>'PIM Model'!$D$10</f>
        <v>%</v>
      </c>
      <c r="AH61" s="1595"/>
      <c r="AI61" s="1592" t="str">
        <f>'PIM Model'!$D$10</f>
        <v>%</v>
      </c>
      <c r="AJ61" s="159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1" t="s">
        <v>98</v>
      </c>
      <c r="D62" s="1421"/>
      <c r="E62" s="1421"/>
      <c r="F62" s="1421"/>
      <c r="G62" s="1421"/>
      <c r="H62" s="1421"/>
      <c r="I62" s="1421"/>
      <c r="J62" s="1421"/>
      <c r="K62" s="1421"/>
      <c r="L62" s="1421"/>
      <c r="M62" s="1421"/>
      <c r="N62" s="1421"/>
      <c r="O62" s="1421"/>
      <c r="P62" s="1421"/>
      <c r="Q62" s="1421"/>
      <c r="R62" s="1421"/>
      <c r="S62" s="1421"/>
      <c r="T62" s="1421"/>
      <c r="U62" s="1421"/>
      <c r="V62" s="1421"/>
      <c r="W62" s="1421"/>
      <c r="X62" s="1421"/>
      <c r="Y62" s="1421"/>
      <c r="Z62" s="1421"/>
      <c r="AC62" s="1595" t="str">
        <f>'PIM Model'!$AD$16</f>
        <v/>
      </c>
      <c r="AD62" s="1595"/>
      <c r="AE62" s="1595" t="str">
        <f>'PIM Model'!$D$16</f>
        <v>%</v>
      </c>
      <c r="AF62" s="1595"/>
      <c r="AG62" s="1595" t="str">
        <f>'PIM Model'!$D$16</f>
        <v>%</v>
      </c>
      <c r="AH62" s="1595"/>
      <c r="AI62" s="1592" t="str">
        <f>'PIM Model'!$D$16</f>
        <v>%</v>
      </c>
      <c r="AJ62" s="159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1" t="s">
        <v>97</v>
      </c>
      <c r="D63" s="1421"/>
      <c r="E63" s="1421"/>
      <c r="F63" s="1421"/>
      <c r="G63" s="1421"/>
      <c r="H63" s="1421"/>
      <c r="I63" s="1421"/>
      <c r="J63" s="1421"/>
      <c r="K63" s="1421"/>
      <c r="L63" s="1421"/>
      <c r="M63" s="1421"/>
      <c r="N63" s="1421"/>
      <c r="O63" s="1421"/>
      <c r="P63" s="1421"/>
      <c r="Q63" s="1421"/>
      <c r="R63" s="1421"/>
      <c r="S63" s="1421"/>
      <c r="T63" s="1421"/>
      <c r="U63" s="1421"/>
      <c r="V63" s="1421"/>
      <c r="W63" s="1421"/>
      <c r="X63" s="1421"/>
      <c r="Y63" s="1421"/>
      <c r="Z63" s="1421"/>
      <c r="AC63" s="1595" t="str">
        <f>'PIM Model'!$AD$20</f>
        <v/>
      </c>
      <c r="AD63" s="1595"/>
      <c r="AE63" s="1595" t="str">
        <f>'PIM Model'!$D$20</f>
        <v>%</v>
      </c>
      <c r="AF63" s="1595"/>
      <c r="AG63" s="1595" t="str">
        <f>'PIM Model'!$D$20</f>
        <v>%</v>
      </c>
      <c r="AH63" s="1595"/>
      <c r="AI63" s="1592" t="str">
        <f>'PIM Model'!$D$20</f>
        <v>%</v>
      </c>
      <c r="AJ63" s="159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1" t="s">
        <v>96</v>
      </c>
      <c r="D64" s="1421"/>
      <c r="E64" s="1421"/>
      <c r="F64" s="1421"/>
      <c r="G64" s="1421"/>
      <c r="H64" s="1421"/>
      <c r="I64" s="1421"/>
      <c r="J64" s="1421"/>
      <c r="K64" s="1421"/>
      <c r="L64" s="1421"/>
      <c r="M64" s="1421"/>
      <c r="N64" s="1421"/>
      <c r="O64" s="1421"/>
      <c r="P64" s="1421"/>
      <c r="Q64" s="1421"/>
      <c r="R64" s="1421"/>
      <c r="S64" s="1421"/>
      <c r="T64" s="1421"/>
      <c r="U64" s="1421"/>
      <c r="V64" s="1421"/>
      <c r="W64" s="1421"/>
      <c r="X64" s="1421"/>
      <c r="Y64" s="1421"/>
      <c r="Z64" s="1421"/>
      <c r="AC64" s="1595" t="str">
        <f>'PIM Model'!$AD$18</f>
        <v/>
      </c>
      <c r="AD64" s="1595"/>
      <c r="AE64" s="1595" t="str">
        <f>'PIM Model'!$D$18</f>
        <v>%</v>
      </c>
      <c r="AF64" s="1595"/>
      <c r="AG64" s="1595" t="str">
        <f>'PIM Model'!$D$18</f>
        <v>%</v>
      </c>
      <c r="AH64" s="1595"/>
      <c r="AI64" s="1592" t="str">
        <f>'PIM Model'!$D$18</f>
        <v>%</v>
      </c>
      <c r="AJ64" s="159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1" t="s">
        <v>95</v>
      </c>
      <c r="D65" s="1421"/>
      <c r="E65" s="1421"/>
      <c r="F65" s="1421"/>
      <c r="G65" s="1421"/>
      <c r="H65" s="1421"/>
      <c r="I65" s="1421"/>
      <c r="J65" s="1421"/>
      <c r="K65" s="1421"/>
      <c r="L65" s="1421"/>
      <c r="M65" s="1421"/>
      <c r="N65" s="1421"/>
      <c r="O65" s="1421"/>
      <c r="P65" s="1421"/>
      <c r="Q65" s="1421"/>
      <c r="R65" s="1421"/>
      <c r="S65" s="1421"/>
      <c r="T65" s="1421"/>
      <c r="U65" s="1421"/>
      <c r="V65" s="1421"/>
      <c r="W65" s="1421"/>
      <c r="X65" s="1421"/>
      <c r="Y65" s="1421"/>
      <c r="Z65" s="1421"/>
      <c r="AC65" s="1595" t="str">
        <f>'PIM Model'!$AD$17</f>
        <v/>
      </c>
      <c r="AD65" s="1595"/>
      <c r="AE65" s="1595" t="str">
        <f>'PIM Model'!$D$17</f>
        <v>%</v>
      </c>
      <c r="AF65" s="1595"/>
      <c r="AG65" s="1595" t="str">
        <f>'PIM Model'!$D$17</f>
        <v>%</v>
      </c>
      <c r="AH65" s="1595"/>
      <c r="AI65" s="1592" t="str">
        <f>'PIM Model'!$D$17</f>
        <v>%</v>
      </c>
      <c r="AJ65" s="159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1" t="s">
        <v>94</v>
      </c>
      <c r="D66" s="1421"/>
      <c r="E66" s="1421"/>
      <c r="F66" s="1421"/>
      <c r="G66" s="1421"/>
      <c r="H66" s="1421"/>
      <c r="I66" s="1421"/>
      <c r="J66" s="1421"/>
      <c r="K66" s="1421"/>
      <c r="L66" s="1421"/>
      <c r="M66" s="1421"/>
      <c r="N66" s="1421"/>
      <c r="O66" s="1421"/>
      <c r="P66" s="1421"/>
      <c r="Q66" s="1421"/>
      <c r="R66" s="1421"/>
      <c r="S66" s="1421"/>
      <c r="T66" s="1421"/>
      <c r="U66" s="1421"/>
      <c r="V66" s="1421"/>
      <c r="W66" s="1421"/>
      <c r="X66" s="1421"/>
      <c r="Y66" s="1421"/>
      <c r="Z66" s="1421"/>
      <c r="AC66" s="1595" t="str">
        <f>'PIM Model'!$AD$27</f>
        <v/>
      </c>
      <c r="AD66" s="1595"/>
      <c r="AE66" s="1595" t="str">
        <f>'PIM Model'!$D$27</f>
        <v>%</v>
      </c>
      <c r="AF66" s="1595"/>
      <c r="AG66" s="1595" t="str">
        <f>'PIM Model'!$D$27</f>
        <v>%</v>
      </c>
      <c r="AH66" s="1595"/>
      <c r="AI66" s="1592" t="str">
        <f>'PIM Model'!$D$27</f>
        <v>%</v>
      </c>
      <c r="AJ66" s="159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592" t="s">
        <v>695</v>
      </c>
      <c r="F67" s="1592"/>
      <c r="G67" s="1592"/>
      <c r="H67" s="1592"/>
      <c r="I67" s="1592"/>
      <c r="J67" s="1592"/>
      <c r="K67" s="1592"/>
      <c r="M67" s="1596" t="s">
        <v>241</v>
      </c>
      <c r="N67" s="1596"/>
      <c r="O67" s="1596"/>
      <c r="P67" t="s">
        <v>651</v>
      </c>
      <c r="S67" s="1594"/>
      <c r="T67" s="1594"/>
      <c r="U67" s="1594"/>
      <c r="V67" s="1592" t="s">
        <v>653</v>
      </c>
      <c r="W67" s="159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1" t="s">
        <v>93</v>
      </c>
      <c r="D68" s="1421"/>
      <c r="E68" s="1421"/>
      <c r="F68" s="1421"/>
      <c r="G68" s="1421"/>
      <c r="H68" s="1421"/>
      <c r="I68" s="1421"/>
      <c r="J68" s="1421"/>
      <c r="K68" s="1421"/>
      <c r="L68" s="1421"/>
      <c r="M68" s="1421"/>
      <c r="N68" s="1421"/>
      <c r="O68" s="1421"/>
      <c r="P68" s="1421"/>
      <c r="Q68" s="1421"/>
      <c r="R68" s="1421"/>
      <c r="S68" s="1421"/>
      <c r="T68" s="1421"/>
      <c r="U68" s="1421"/>
      <c r="V68" s="1421"/>
      <c r="W68" s="1421"/>
      <c r="X68" s="1421"/>
      <c r="Y68" s="1421"/>
      <c r="Z68" s="1421"/>
      <c r="AC68" s="1595" t="str">
        <f>'PIM Model'!$AD$21</f>
        <v/>
      </c>
      <c r="AD68" s="1595"/>
      <c r="AE68" s="1595" t="str">
        <f>'PIM Model'!$D$21</f>
        <v>%</v>
      </c>
      <c r="AF68" s="1595"/>
      <c r="AG68" s="1595" t="str">
        <f>'PIM Model'!$D$21</f>
        <v>%</v>
      </c>
      <c r="AH68" s="1595"/>
      <c r="AI68" s="1592" t="str">
        <f>'PIM Model'!$D$21</f>
        <v>%</v>
      </c>
      <c r="AJ68" s="159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1" t="s">
        <v>92</v>
      </c>
      <c r="D69" s="1421"/>
      <c r="E69" s="1421"/>
      <c r="F69" s="1421"/>
      <c r="G69" s="1421"/>
      <c r="H69" s="1421"/>
      <c r="I69" s="1421"/>
      <c r="J69" s="1421"/>
      <c r="K69" s="1421"/>
      <c r="L69" s="1421"/>
      <c r="M69" s="1421"/>
      <c r="N69" s="1421"/>
      <c r="O69" s="1421"/>
      <c r="P69" s="1421"/>
      <c r="Q69" s="1421"/>
      <c r="R69" s="1421"/>
      <c r="S69" s="1421"/>
      <c r="T69" s="1421"/>
      <c r="U69" s="1421"/>
      <c r="V69" s="1421"/>
      <c r="W69" s="1421"/>
      <c r="X69" s="1421"/>
      <c r="Y69" s="1421"/>
      <c r="Z69" s="1421"/>
      <c r="AC69" s="1595" t="str">
        <f>'PIM Model'!$AD$23</f>
        <v/>
      </c>
      <c r="AD69" s="1595"/>
      <c r="AE69" s="1595" t="str">
        <f>'PIM Model'!$D$23</f>
        <v>%</v>
      </c>
      <c r="AF69" s="1595"/>
      <c r="AG69" s="1595" t="str">
        <f>'PIM Model'!$D$23</f>
        <v>%</v>
      </c>
      <c r="AH69" s="1595"/>
      <c r="AI69" s="1592" t="str">
        <f>'PIM Model'!$D$23</f>
        <v>%</v>
      </c>
      <c r="AJ69" s="159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1" t="s">
        <v>91</v>
      </c>
      <c r="D70" s="1421"/>
      <c r="E70" s="1421"/>
      <c r="F70" s="1421"/>
      <c r="G70" s="1421"/>
      <c r="H70" s="1421"/>
      <c r="I70" s="1421"/>
      <c r="J70" s="1421"/>
      <c r="K70" s="1421"/>
      <c r="L70" s="1421"/>
      <c r="M70" s="1421"/>
      <c r="N70" s="1421"/>
      <c r="O70" s="1421"/>
      <c r="P70" s="1421"/>
      <c r="Q70" s="1421"/>
      <c r="R70" s="1421"/>
      <c r="S70" s="1421"/>
      <c r="T70" s="1421"/>
      <c r="U70" s="1421"/>
      <c r="V70" s="1421"/>
      <c r="W70" s="1421"/>
      <c r="X70" s="1421"/>
      <c r="Y70" s="1421"/>
      <c r="Z70" s="1421"/>
      <c r="AC70" s="1595" t="str">
        <f>'PIM Model'!$AD$24</f>
        <v/>
      </c>
      <c r="AD70" s="1595"/>
      <c r="AE70" s="1595" t="str">
        <f>'PIM Model'!$D$24</f>
        <v>%</v>
      </c>
      <c r="AF70" s="1595"/>
      <c r="AG70" s="1595" t="str">
        <f>'PIM Model'!$D$24</f>
        <v>%</v>
      </c>
      <c r="AH70" s="1595"/>
      <c r="AI70" s="1592" t="str">
        <f>'PIM Model'!$D$24</f>
        <v>%</v>
      </c>
      <c r="AJ70" s="1592"/>
      <c r="AK70" s="134"/>
      <c r="AL70" s="134"/>
      <c r="AM70" s="134"/>
      <c r="AN70" s="134"/>
      <c r="AO70" s="1465"/>
      <c r="AP70" s="1465"/>
      <c r="AQ70" s="1465"/>
      <c r="AR70" s="134"/>
      <c r="AS70" s="134"/>
      <c r="AT70" s="1465"/>
      <c r="AU70" s="1465"/>
      <c r="AV70" s="1465"/>
      <c r="AW70" s="134"/>
      <c r="AX70" s="134"/>
      <c r="AY70" s="1465"/>
      <c r="AZ70" s="1465"/>
      <c r="BA70" s="1465"/>
      <c r="BB70" s="134"/>
      <c r="BC70" s="134"/>
      <c r="BD70" s="1465"/>
      <c r="BE70" s="1465"/>
      <c r="BF70" s="1615"/>
    </row>
    <row r="71" spans="2:70" x14ac:dyDescent="0.25">
      <c r="B71" s="137"/>
      <c r="C71" s="1421" t="s">
        <v>90</v>
      </c>
      <c r="D71" s="1421"/>
      <c r="E71" s="1421"/>
      <c r="F71" s="1421"/>
      <c r="G71" s="1421"/>
      <c r="H71" s="1421"/>
      <c r="I71" s="1421"/>
      <c r="J71" s="1421"/>
      <c r="K71" s="1421"/>
      <c r="L71" s="1421"/>
      <c r="M71" s="1421"/>
      <c r="N71" s="1421"/>
      <c r="O71" s="1421"/>
      <c r="P71" s="1421"/>
      <c r="Q71" s="1421"/>
      <c r="R71" s="1421"/>
      <c r="S71" s="1421"/>
      <c r="T71" s="1421"/>
      <c r="U71" s="1421"/>
      <c r="V71" s="1421"/>
      <c r="W71" s="1421"/>
      <c r="X71" s="1421"/>
      <c r="Y71" s="1421"/>
      <c r="Z71" s="1421"/>
      <c r="AC71" s="1595" t="str">
        <f>'PIM Model'!$AD$25</f>
        <v/>
      </c>
      <c r="AD71" s="1595"/>
      <c r="AE71" s="1595" t="str">
        <f>'PIM Model'!$D$25</f>
        <v>%</v>
      </c>
      <c r="AF71" s="1595"/>
      <c r="AG71" s="1595" t="str">
        <f>'PIM Model'!$D$25</f>
        <v>%</v>
      </c>
      <c r="AH71" s="1595"/>
      <c r="AI71" s="1592" t="str">
        <f>'PIM Model'!$D$25</f>
        <v>%</v>
      </c>
      <c r="AJ71" s="1592"/>
      <c r="AK71" s="134"/>
      <c r="AL71" s="134"/>
      <c r="AM71" s="134"/>
      <c r="AN71" s="134"/>
      <c r="AO71" s="1465"/>
      <c r="AP71" s="1465"/>
      <c r="AQ71" s="1465"/>
      <c r="AR71" s="134"/>
      <c r="AS71" s="134"/>
      <c r="AT71" s="1465"/>
      <c r="AU71" s="1465"/>
      <c r="AV71" s="1465"/>
      <c r="AW71" s="134"/>
      <c r="AX71" s="134"/>
      <c r="AY71" s="1465"/>
      <c r="AZ71" s="1465"/>
      <c r="BA71" s="1465"/>
      <c r="BB71" s="134"/>
      <c r="BC71" s="134"/>
      <c r="BD71" s="1465"/>
      <c r="BE71" s="1465"/>
      <c r="BF71" s="1615"/>
    </row>
    <row r="72" spans="2:70" x14ac:dyDescent="0.25">
      <c r="B72" s="137"/>
      <c r="C72" s="1421" t="s">
        <v>89</v>
      </c>
      <c r="D72" s="1421"/>
      <c r="E72" s="1421"/>
      <c r="F72" s="1421"/>
      <c r="G72" s="1421"/>
      <c r="H72" s="1421"/>
      <c r="I72" s="1421"/>
      <c r="J72" s="1421"/>
      <c r="K72" s="1421"/>
      <c r="L72" s="1421"/>
      <c r="M72" s="1421"/>
      <c r="N72" s="1421"/>
      <c r="O72" s="1421"/>
      <c r="P72" s="1421"/>
      <c r="Q72" s="1421"/>
      <c r="R72" s="1421"/>
      <c r="S72" s="1421"/>
      <c r="T72" s="1421"/>
      <c r="U72" s="1421"/>
      <c r="V72" s="1421"/>
      <c r="W72" s="1421"/>
      <c r="X72" s="1421"/>
      <c r="Y72" s="1421"/>
      <c r="Z72" s="1421"/>
      <c r="AC72" s="1595" t="str">
        <f>'PIM Model'!$AD$26</f>
        <v/>
      </c>
      <c r="AD72" s="1595"/>
      <c r="AE72" s="1595" t="str">
        <f>'PIM Model'!$D$26</f>
        <v>%</v>
      </c>
      <c r="AF72" s="1595"/>
      <c r="AG72" s="1595" t="str">
        <f>'PIM Model'!$D$26</f>
        <v>%</v>
      </c>
      <c r="AH72" s="1595"/>
      <c r="AI72" s="1592" t="str">
        <f>'PIM Model'!$D$26</f>
        <v>%</v>
      </c>
      <c r="AJ72" s="1592"/>
      <c r="AK72" s="134"/>
      <c r="AL72" s="134"/>
      <c r="AM72" s="134"/>
      <c r="AN72" s="134"/>
      <c r="AO72" s="1465"/>
      <c r="AP72" s="1465"/>
      <c r="AQ72" s="1465"/>
      <c r="AR72" s="134"/>
      <c r="AS72" s="134"/>
      <c r="AT72" s="1465"/>
      <c r="AU72" s="1465"/>
      <c r="AV72" s="1465"/>
      <c r="AW72" s="134"/>
      <c r="AX72" s="134"/>
      <c r="AY72" s="1465"/>
      <c r="AZ72" s="1465"/>
      <c r="BA72" s="1465"/>
      <c r="BB72" s="134"/>
      <c r="BC72" s="134"/>
      <c r="BD72" s="1465"/>
      <c r="BE72" s="1465"/>
      <c r="BF72" s="1615"/>
    </row>
    <row r="73" spans="2:70" x14ac:dyDescent="0.25">
      <c r="B73" s="137"/>
      <c r="C73" s="1421" t="s">
        <v>88</v>
      </c>
      <c r="D73" s="1421"/>
      <c r="E73" s="1421"/>
      <c r="F73" s="1421"/>
      <c r="G73" s="1421"/>
      <c r="H73" s="1421"/>
      <c r="I73" s="1421"/>
      <c r="J73" s="1421"/>
      <c r="K73" s="1421"/>
      <c r="L73" s="1421"/>
      <c r="M73" s="1421"/>
      <c r="N73" s="1421"/>
      <c r="O73" s="1421"/>
      <c r="P73" s="1421"/>
      <c r="Q73" s="1421"/>
      <c r="R73" s="1421"/>
      <c r="S73" s="1421"/>
      <c r="T73" s="1421"/>
      <c r="U73" s="1421"/>
      <c r="V73" s="1421"/>
      <c r="W73" s="1421"/>
      <c r="X73" s="1421"/>
      <c r="Y73" s="1421"/>
      <c r="Z73" s="1421"/>
      <c r="AC73" s="1595" t="str">
        <f>'PIM Model'!$AD$29</f>
        <v/>
      </c>
      <c r="AD73" s="1595"/>
      <c r="AE73" s="1595" t="str">
        <f>'PIM Model'!$D$29</f>
        <v>%</v>
      </c>
      <c r="AF73" s="1595"/>
      <c r="AG73" s="1595" t="str">
        <f>'PIM Model'!$D$29</f>
        <v>%</v>
      </c>
      <c r="AH73" s="1595"/>
      <c r="AI73" s="1592" t="str">
        <f>'PIM Model'!$D$29</f>
        <v>%</v>
      </c>
      <c r="AJ73" s="1592"/>
      <c r="AK73" s="134"/>
      <c r="AL73" s="134"/>
      <c r="AM73" s="134"/>
      <c r="AN73" s="134"/>
      <c r="AO73" s="1465"/>
      <c r="AP73" s="1465"/>
      <c r="AQ73" s="1465"/>
      <c r="AR73" s="134"/>
      <c r="AS73" s="134"/>
      <c r="AT73" s="1465"/>
      <c r="AU73" s="1465"/>
      <c r="AV73" s="1465"/>
      <c r="AW73" s="134"/>
      <c r="AX73" s="134"/>
      <c r="AY73" s="1465"/>
      <c r="AZ73" s="1465"/>
      <c r="BA73" s="1465"/>
      <c r="BB73" s="134"/>
      <c r="BC73" s="134"/>
      <c r="BD73" s="1465"/>
      <c r="BE73" s="1465"/>
      <c r="BF73" s="1615"/>
    </row>
    <row r="74" spans="2:70" x14ac:dyDescent="0.25">
      <c r="B74" s="137"/>
      <c r="C74" s="1421" t="s">
        <v>87</v>
      </c>
      <c r="D74" s="1421"/>
      <c r="E74" s="1421"/>
      <c r="F74" s="1421"/>
      <c r="G74" s="1421"/>
      <c r="H74" s="1421"/>
      <c r="I74" s="1421"/>
      <c r="J74" s="1421"/>
      <c r="K74" s="1421"/>
      <c r="L74" s="1421"/>
      <c r="M74" s="1421"/>
      <c r="N74" s="1421"/>
      <c r="O74" s="1421"/>
      <c r="P74" s="1421"/>
      <c r="Q74" s="1421"/>
      <c r="R74" s="1421"/>
      <c r="S74" s="1421"/>
      <c r="T74" s="1421"/>
      <c r="U74" s="1421"/>
      <c r="V74" s="1421"/>
      <c r="W74" s="1421"/>
      <c r="X74" s="1421"/>
      <c r="Y74" s="1421"/>
      <c r="Z74" s="1421"/>
      <c r="AC74" s="1595" t="str">
        <f>'PIM Model'!$AD$30</f>
        <v/>
      </c>
      <c r="AD74" s="1595"/>
      <c r="AE74" s="1595" t="str">
        <f>'PIM Model'!$D$30</f>
        <v>%</v>
      </c>
      <c r="AF74" s="1595"/>
      <c r="AG74" s="1595" t="str">
        <f>'PIM Model'!$D$30</f>
        <v>%</v>
      </c>
      <c r="AH74" s="1595"/>
      <c r="AI74" s="1592" t="str">
        <f>'PIM Model'!$D$30</f>
        <v>%</v>
      </c>
      <c r="AJ74" s="1592"/>
      <c r="AK74" s="134"/>
      <c r="AL74" s="134"/>
      <c r="AM74" s="134"/>
      <c r="AN74" s="134"/>
      <c r="AO74" s="1465"/>
      <c r="AP74" s="1465"/>
      <c r="AQ74" s="1465"/>
      <c r="AR74" s="134"/>
      <c r="AS74" s="134"/>
      <c r="AT74" s="1465"/>
      <c r="AU74" s="1465"/>
      <c r="AV74" s="1465"/>
      <c r="AW74" s="134"/>
      <c r="AX74" s="134"/>
      <c r="AY74" s="1465"/>
      <c r="AZ74" s="1465"/>
      <c r="BA74" s="1465"/>
      <c r="BB74" s="134"/>
      <c r="BC74" s="134"/>
      <c r="BD74" s="1465"/>
      <c r="BE74" s="1465"/>
      <c r="BF74" s="1615"/>
    </row>
    <row r="75" spans="2:70" x14ac:dyDescent="0.25">
      <c r="B75" s="137"/>
      <c r="C75" s="1421" t="s">
        <v>86</v>
      </c>
      <c r="D75" s="1421"/>
      <c r="E75" s="1421"/>
      <c r="F75" s="1421"/>
      <c r="G75" s="1421"/>
      <c r="H75" s="1421"/>
      <c r="I75" s="1421"/>
      <c r="J75" s="1421"/>
      <c r="K75" s="1421"/>
      <c r="L75" s="1421"/>
      <c r="M75" s="1421"/>
      <c r="N75" s="1421"/>
      <c r="O75" s="1421"/>
      <c r="P75" s="1421"/>
      <c r="Q75" s="1421"/>
      <c r="R75" s="1421"/>
      <c r="S75" s="1421"/>
      <c r="T75" s="1421"/>
      <c r="U75" s="1421"/>
      <c r="V75" s="1421"/>
      <c r="W75" s="1421"/>
      <c r="X75" s="1421"/>
      <c r="Y75" s="1421"/>
      <c r="Z75" s="1421"/>
      <c r="AC75" s="1595" t="str">
        <f>'PIM Model'!$AD$28</f>
        <v/>
      </c>
      <c r="AD75" s="1595"/>
      <c r="AE75" s="1595" t="str">
        <f>'PIM Model'!$D$28</f>
        <v>%</v>
      </c>
      <c r="AF75" s="1595"/>
      <c r="AG75" s="1595" t="str">
        <f>'PIM Model'!$D$28</f>
        <v>%</v>
      </c>
      <c r="AH75" s="1595"/>
      <c r="AI75" s="1592" t="str">
        <f>'PIM Model'!$D$28</f>
        <v>%</v>
      </c>
      <c r="AJ75" s="1592"/>
      <c r="BF75" s="138"/>
    </row>
    <row r="76" spans="2:70" x14ac:dyDescent="0.25">
      <c r="B76" s="137"/>
      <c r="C76" s="1421" t="s">
        <v>105</v>
      </c>
      <c r="D76" s="1421"/>
      <c r="E76" s="1421"/>
      <c r="F76" s="1421"/>
      <c r="G76" s="1421"/>
      <c r="H76" s="1421"/>
      <c r="I76" s="1421"/>
      <c r="J76" s="1421"/>
      <c r="K76" s="1421"/>
      <c r="L76" s="1421"/>
      <c r="M76" s="1421"/>
      <c r="N76" s="1421"/>
      <c r="O76" s="1421"/>
      <c r="P76" s="1421"/>
      <c r="Q76" s="1421"/>
      <c r="R76" s="1421"/>
      <c r="S76" s="1421"/>
      <c r="T76" s="1421"/>
      <c r="U76" s="1421"/>
      <c r="V76" s="1421"/>
      <c r="W76" s="1421"/>
      <c r="X76" s="1421"/>
      <c r="Y76" s="1421"/>
      <c r="Z76" s="1421"/>
      <c r="AC76" s="1595" t="str">
        <f>'PIM Model'!$AD$22</f>
        <v/>
      </c>
      <c r="AD76" s="1595"/>
      <c r="AE76" s="1595" t="str">
        <f>'PIM Model'!$D$22</f>
        <v>%</v>
      </c>
      <c r="AF76" s="1595"/>
      <c r="AG76" s="1595" t="str">
        <f>'PIM Model'!$D$22</f>
        <v>%</v>
      </c>
      <c r="AH76" s="1595"/>
      <c r="AI76" s="1592" t="str">
        <f>'PIM Model'!$D$22</f>
        <v>%</v>
      </c>
      <c r="AJ76" s="1592"/>
      <c r="BF76" s="138"/>
    </row>
    <row r="77" spans="2:70" x14ac:dyDescent="0.25">
      <c r="B77" s="671"/>
      <c r="C77" s="1621" t="s">
        <v>726</v>
      </c>
      <c r="D77" s="1621"/>
      <c r="E77" s="1621"/>
      <c r="F77" s="1621"/>
      <c r="G77" s="1621"/>
      <c r="H77" s="1621"/>
      <c r="I77" s="1621"/>
      <c r="J77" s="1621"/>
      <c r="K77" s="1621"/>
      <c r="L77" s="1621"/>
      <c r="M77" s="1621"/>
      <c r="N77" s="1621"/>
      <c r="O77" s="1621"/>
      <c r="P77" s="1621"/>
      <c r="Q77" s="1621"/>
      <c r="R77" s="1621"/>
      <c r="S77" s="1621"/>
      <c r="T77" s="1621"/>
      <c r="U77" s="1621"/>
      <c r="V77" s="1621"/>
      <c r="W77" s="1621"/>
      <c r="X77" s="1621"/>
      <c r="Y77" s="1621"/>
      <c r="Z77" s="1621"/>
      <c r="AC77" s="1595" t="str">
        <f>'PIM Model'!$AD$12</f>
        <v/>
      </c>
      <c r="AD77" s="1595"/>
      <c r="AE77" s="1595" t="str">
        <f>'PIM Model'!$D$12</f>
        <v>%</v>
      </c>
      <c r="AF77" s="1595"/>
      <c r="AG77" s="1595" t="str">
        <f>'PIM Model'!$D$12</f>
        <v>%</v>
      </c>
      <c r="AH77" s="1595"/>
      <c r="AI77" s="1592" t="str">
        <f>'PIM Model'!$D$12</f>
        <v>%</v>
      </c>
      <c r="AJ77" s="1592"/>
      <c r="BF77" s="138"/>
    </row>
    <row r="78" spans="2:70" x14ac:dyDescent="0.25">
      <c r="B78" s="137"/>
      <c r="C78" s="1621" t="s">
        <v>727</v>
      </c>
      <c r="D78" s="1621"/>
      <c r="E78" s="1621"/>
      <c r="F78" s="1621"/>
      <c r="G78" s="1621"/>
      <c r="H78" s="1621"/>
      <c r="I78" s="1621"/>
      <c r="J78" s="1621"/>
      <c r="K78" s="1621"/>
      <c r="L78" s="1621"/>
      <c r="M78" s="1621"/>
      <c r="N78" s="1621"/>
      <c r="O78" s="1621"/>
      <c r="P78" s="1621"/>
      <c r="Q78" s="1621"/>
      <c r="R78" s="1621"/>
      <c r="S78" s="1621"/>
      <c r="T78" s="1621"/>
      <c r="U78" s="1621"/>
      <c r="V78" s="1621"/>
      <c r="W78" s="1621"/>
      <c r="X78" s="1621"/>
      <c r="Y78" s="1621"/>
      <c r="Z78" s="1621"/>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592" t="s">
        <v>694</v>
      </c>
      <c r="E81" s="1592"/>
      <c r="F81" s="1592"/>
      <c r="G81" s="1592"/>
      <c r="H81" s="1592"/>
      <c r="I81" s="1592"/>
      <c r="J81" s="1592"/>
      <c r="K81" s="1592"/>
      <c r="L81" s="1592"/>
      <c r="M81" s="1592"/>
      <c r="N81" s="1592"/>
      <c r="O81" s="1592"/>
      <c r="P81" s="1592"/>
      <c r="Q81" s="1592"/>
      <c r="R81" s="1592"/>
      <c r="S81" s="1592"/>
      <c r="T81" s="1592"/>
      <c r="U81" s="1592"/>
      <c r="V81" s="1592"/>
      <c r="W81" s="1592"/>
      <c r="X81" s="1592"/>
      <c r="Y81" s="1592"/>
      <c r="Z81" s="1592"/>
      <c r="AA81" s="1592"/>
      <c r="AB81" s="1592"/>
      <c r="AC81" s="1592"/>
      <c r="AD81" s="1592"/>
      <c r="AE81" s="1592"/>
      <c r="AF81" s="1592"/>
      <c r="AG81" s="1592"/>
      <c r="AH81" s="1592"/>
      <c r="AI81" s="1592"/>
      <c r="AJ81" s="1592"/>
      <c r="AK81" s="1592"/>
      <c r="AL81" s="1592"/>
      <c r="AM81" s="1592"/>
      <c r="AN81" s="1592"/>
      <c r="AO81" s="1592"/>
      <c r="AP81" s="1592"/>
      <c r="AQ81" s="1592"/>
      <c r="AR81" s="1592"/>
      <c r="AS81" s="1592"/>
      <c r="AT81" s="1592"/>
      <c r="AU81" s="1592"/>
      <c r="AV81" s="1592"/>
      <c r="AW81" s="1592"/>
      <c r="AX81" s="1592"/>
      <c r="AY81" s="1592"/>
      <c r="AZ81" s="1592"/>
      <c r="BA81" s="1592"/>
      <c r="BB81" s="1592"/>
      <c r="BC81" s="1592"/>
      <c r="BD81" s="1592"/>
      <c r="BF81" s="138"/>
    </row>
    <row r="82" spans="1:70" x14ac:dyDescent="0.25">
      <c r="B82" s="137"/>
      <c r="D82" s="1596" t="s">
        <v>241</v>
      </c>
      <c r="E82" s="1596"/>
      <c r="F82" s="1592" t="s">
        <v>693</v>
      </c>
      <c r="G82" s="1592"/>
      <c r="H82" s="1592"/>
      <c r="I82" s="1592"/>
      <c r="J82" s="1592"/>
      <c r="K82" s="1592"/>
      <c r="L82" s="1592"/>
      <c r="M82" s="1592"/>
      <c r="N82" s="1592"/>
      <c r="O82" s="1592"/>
      <c r="P82" s="1592"/>
      <c r="Q82" s="1592"/>
      <c r="R82" s="1592"/>
      <c r="S82" s="1592"/>
      <c r="T82" s="1592"/>
      <c r="U82" s="1592"/>
      <c r="V82" s="1592"/>
      <c r="W82" s="1592"/>
      <c r="X82" s="1592"/>
      <c r="Y82" s="1592"/>
      <c r="Z82" s="1592"/>
      <c r="AA82" s="1592"/>
      <c r="AB82" s="1592"/>
      <c r="AC82" s="1592"/>
      <c r="AD82" s="1592"/>
      <c r="AE82" s="1592"/>
      <c r="AF82" s="1592"/>
      <c r="AG82" s="1592"/>
      <c r="AH82" s="1592"/>
      <c r="AI82" s="1592"/>
      <c r="AJ82" s="1592"/>
      <c r="AK82" s="1592"/>
      <c r="AL82" s="1592"/>
      <c r="AM82" s="1592"/>
      <c r="AN82" s="1592"/>
      <c r="AO82" s="1592"/>
      <c r="AP82" s="1592"/>
      <c r="AQ82" s="1592"/>
      <c r="AR82" s="1592"/>
      <c r="AS82" s="1592"/>
      <c r="AT82" s="1592"/>
      <c r="AU82" s="1592"/>
      <c r="AV82" s="1592"/>
      <c r="AW82" s="1592"/>
      <c r="AX82" s="1592"/>
      <c r="AY82" s="1592"/>
      <c r="AZ82" s="1592"/>
      <c r="BA82" s="1592"/>
      <c r="BB82" s="1592"/>
      <c r="BC82" s="1592"/>
      <c r="BD82" s="1592"/>
      <c r="BF82" s="138"/>
    </row>
    <row r="83" spans="1:70" x14ac:dyDescent="0.25">
      <c r="B83" s="137"/>
      <c r="D83" s="1594"/>
      <c r="E83" s="1594"/>
      <c r="F83" s="1592" t="s">
        <v>692</v>
      </c>
      <c r="G83" s="1592"/>
      <c r="H83" s="1592"/>
      <c r="I83" s="1592"/>
      <c r="J83" s="1592"/>
      <c r="K83" s="1592"/>
      <c r="L83" s="1592"/>
      <c r="M83" s="1592"/>
      <c r="N83" s="1592"/>
      <c r="O83" s="1592"/>
      <c r="P83" s="1592"/>
      <c r="Q83" s="1592"/>
      <c r="R83" s="1592"/>
      <c r="S83" s="1592"/>
      <c r="T83" s="1592"/>
      <c r="U83" s="1592"/>
      <c r="V83" s="1592"/>
      <c r="W83" s="1592"/>
      <c r="X83" s="1592"/>
      <c r="Y83" s="1592"/>
      <c r="Z83" s="1592"/>
      <c r="AA83" s="1592"/>
      <c r="AB83" s="1592"/>
      <c r="AC83" s="1592"/>
      <c r="AD83" s="1592"/>
      <c r="AE83" s="1592"/>
      <c r="AF83" s="1592"/>
      <c r="AG83" s="1592"/>
      <c r="AH83" s="1592"/>
      <c r="AI83" s="1592"/>
      <c r="AJ83" s="1592"/>
      <c r="AK83" s="1592"/>
      <c r="AL83" s="1592"/>
      <c r="AM83" s="1592"/>
      <c r="AN83" s="1592"/>
      <c r="AO83" s="1592"/>
      <c r="AP83" s="1592"/>
      <c r="AQ83" s="1592"/>
      <c r="AR83" s="1592"/>
      <c r="AS83" s="1592"/>
      <c r="AT83" s="1592"/>
      <c r="AU83" s="1592"/>
      <c r="AV83" s="1592"/>
      <c r="AW83" s="1592"/>
      <c r="AX83" s="1592"/>
      <c r="AY83" s="1592"/>
      <c r="AZ83" s="1592"/>
      <c r="BA83" s="1592"/>
      <c r="BB83" s="1592"/>
      <c r="BC83" s="1592"/>
      <c r="BD83" s="1592"/>
      <c r="BF83" s="138"/>
    </row>
    <row r="84" spans="1:70" x14ac:dyDescent="0.25">
      <c r="A84" s="275"/>
      <c r="B84" s="137"/>
      <c r="D84" s="1594"/>
      <c r="E84" s="1594"/>
      <c r="F84" s="1592" t="s">
        <v>691</v>
      </c>
      <c r="G84" s="1592"/>
      <c r="H84" s="1592"/>
      <c r="I84" s="1592"/>
      <c r="J84" s="1592"/>
      <c r="K84" s="1592"/>
      <c r="L84" s="1592"/>
      <c r="M84" s="1592"/>
      <c r="N84" s="1592"/>
      <c r="O84" s="1592"/>
      <c r="P84" s="1592"/>
      <c r="Q84" s="1592"/>
      <c r="R84" s="1592"/>
      <c r="S84" s="1592"/>
      <c r="T84" s="1592"/>
      <c r="U84" s="1592"/>
      <c r="V84" s="1592"/>
      <c r="W84" s="1592"/>
      <c r="X84" s="1592"/>
      <c r="Y84" s="1592"/>
      <c r="Z84" s="1592"/>
      <c r="AA84" s="1592"/>
      <c r="AB84" s="1592"/>
      <c r="AC84" s="1592"/>
      <c r="AD84" s="1592"/>
      <c r="AE84" s="1592"/>
      <c r="AF84" s="1592"/>
      <c r="AG84" s="1592"/>
      <c r="AH84" s="1592"/>
      <c r="AI84" s="1592"/>
      <c r="AJ84" s="1592"/>
      <c r="AK84" s="1592"/>
      <c r="AL84" s="1592"/>
      <c r="AM84" s="1592"/>
      <c r="AN84" s="1592"/>
      <c r="AO84" s="1592"/>
      <c r="AP84" s="1592"/>
      <c r="AQ84" s="1592"/>
      <c r="AR84" s="1592"/>
      <c r="AS84" s="1592"/>
      <c r="AT84" s="1592"/>
      <c r="AU84" s="1592"/>
      <c r="AV84" s="1592"/>
      <c r="AW84" s="1592"/>
      <c r="AX84" s="1592"/>
      <c r="AY84" s="1592"/>
      <c r="AZ84" s="1592"/>
      <c r="BA84" s="1592"/>
      <c r="BB84" s="1592"/>
      <c r="BC84" s="1592"/>
      <c r="BD84" s="1592"/>
      <c r="BF84" s="138"/>
    </row>
    <row r="85" spans="1:70" x14ac:dyDescent="0.25">
      <c r="B85" s="137"/>
      <c r="BF85" s="138"/>
    </row>
    <row r="86" spans="1:70" x14ac:dyDescent="0.25">
      <c r="B86" s="137"/>
      <c r="D86" s="1592" t="s">
        <v>690</v>
      </c>
      <c r="E86" s="1592"/>
      <c r="F86" s="1592"/>
      <c r="G86" s="1592"/>
      <c r="H86" s="1592"/>
      <c r="I86" s="1592"/>
      <c r="J86" s="1592"/>
      <c r="K86" s="1592"/>
      <c r="L86" s="1592"/>
      <c r="M86" s="1592"/>
      <c r="N86" s="1592"/>
      <c r="O86" s="1592"/>
      <c r="P86" s="1592"/>
      <c r="Q86" s="1592"/>
      <c r="R86" s="1592"/>
      <c r="S86" s="1592"/>
      <c r="T86" s="1592"/>
      <c r="U86" s="1592"/>
      <c r="V86" s="1592"/>
      <c r="W86" s="1592"/>
      <c r="X86" s="1592"/>
      <c r="Y86" s="1592"/>
      <c r="Z86" s="1592"/>
      <c r="AA86" s="1592"/>
      <c r="AB86" s="1592"/>
      <c r="AC86" s="1592"/>
      <c r="AD86" s="1592"/>
      <c r="AE86" s="1592"/>
      <c r="AF86" s="1592"/>
      <c r="AG86" s="1592"/>
      <c r="AH86" s="1592"/>
      <c r="AI86" s="1592"/>
      <c r="AJ86" s="1592"/>
      <c r="AK86" s="1592"/>
      <c r="AL86" s="1592"/>
      <c r="AM86" s="1592"/>
      <c r="AN86" s="1592"/>
      <c r="AO86" s="1592"/>
      <c r="AP86" s="1592"/>
      <c r="AQ86" s="1592"/>
      <c r="AR86" s="1592"/>
      <c r="AS86" s="1592"/>
      <c r="AT86" s="1592"/>
      <c r="AU86" s="1592"/>
      <c r="AV86" s="1592"/>
      <c r="AW86" s="1592"/>
      <c r="AX86" s="1592"/>
      <c r="AY86" s="1592"/>
      <c r="AZ86" s="1592"/>
      <c r="BA86" s="1592"/>
      <c r="BB86" s="1592"/>
      <c r="BC86" s="1592"/>
      <c r="BD86" s="1592"/>
      <c r="BF86" s="138"/>
    </row>
    <row r="87" spans="1:70" x14ac:dyDescent="0.25">
      <c r="B87" s="137"/>
      <c r="D87" s="1596" t="s">
        <v>241</v>
      </c>
      <c r="E87" s="1596"/>
      <c r="F87" s="1592" t="s">
        <v>689</v>
      </c>
      <c r="G87" s="1592"/>
      <c r="H87" s="1592"/>
      <c r="I87" s="1592"/>
      <c r="J87" s="1592"/>
      <c r="K87" s="1592"/>
      <c r="L87" s="1592"/>
      <c r="M87" s="1592"/>
      <c r="N87" s="1592"/>
      <c r="O87" s="1592"/>
      <c r="P87" s="1592"/>
      <c r="Q87" s="1592"/>
      <c r="R87" s="1592"/>
      <c r="S87" s="1592"/>
      <c r="T87" s="1592"/>
      <c r="U87" s="1592"/>
      <c r="V87" s="1592"/>
      <c r="W87" s="1592"/>
      <c r="X87" s="1592"/>
      <c r="Y87" s="1592"/>
      <c r="Z87" s="1592"/>
      <c r="AA87" s="1592"/>
      <c r="AB87" s="1592"/>
      <c r="AC87" s="1592"/>
      <c r="AD87" s="1592"/>
      <c r="AE87" s="1592"/>
      <c r="AF87" s="1592"/>
      <c r="AG87" s="1592"/>
      <c r="AH87" s="1592"/>
      <c r="AI87" s="1592"/>
      <c r="AJ87" s="1592"/>
      <c r="AK87" s="1592"/>
      <c r="AL87" s="1592"/>
      <c r="AM87" s="1592"/>
      <c r="AN87" s="1592"/>
      <c r="AO87" s="1592"/>
      <c r="AP87" s="1592"/>
      <c r="AQ87" s="1592"/>
      <c r="AR87" s="1592"/>
      <c r="AS87" s="1592"/>
      <c r="AT87" s="1592"/>
      <c r="AU87" s="1592"/>
      <c r="AV87" s="1592"/>
      <c r="AW87" s="1592"/>
      <c r="AX87" s="1592"/>
      <c r="AY87" s="1592"/>
      <c r="AZ87" s="1592"/>
      <c r="BA87" s="1592"/>
      <c r="BB87" s="1592"/>
      <c r="BC87" s="1592"/>
      <c r="BD87" s="1592"/>
      <c r="BF87" s="138"/>
    </row>
    <row r="88" spans="1:70" x14ac:dyDescent="0.25">
      <c r="B88" s="137"/>
      <c r="D88" s="1594"/>
      <c r="E88" s="1594"/>
      <c r="F88" s="1592" t="s">
        <v>688</v>
      </c>
      <c r="G88" s="1592"/>
      <c r="H88" s="1592"/>
      <c r="I88" s="1592"/>
      <c r="J88" s="1592"/>
      <c r="K88" s="1592"/>
      <c r="L88" s="1592"/>
      <c r="M88" s="1592"/>
      <c r="N88" s="1592"/>
      <c r="O88" s="1592"/>
      <c r="P88" s="1592"/>
      <c r="Q88" s="1592"/>
      <c r="R88" s="1592"/>
      <c r="S88" s="1592"/>
      <c r="T88" s="1592"/>
      <c r="U88" s="1592"/>
      <c r="V88" s="1592"/>
      <c r="W88" s="1592"/>
      <c r="X88" s="1592"/>
      <c r="Y88" s="1592"/>
      <c r="Z88" s="1592"/>
      <c r="AA88" s="1592"/>
      <c r="AB88" s="1592"/>
      <c r="AC88" s="1592"/>
      <c r="AD88" s="1592"/>
      <c r="AE88" s="1592"/>
      <c r="AF88" s="1592"/>
      <c r="AG88" s="1592"/>
      <c r="AH88" s="1592"/>
      <c r="AI88" s="1592"/>
      <c r="AJ88" s="1592"/>
      <c r="AK88" s="1592"/>
      <c r="AL88" s="1592"/>
      <c r="AM88" s="1592"/>
      <c r="AN88" s="1592"/>
      <c r="AO88" s="1592"/>
      <c r="AP88" s="1592"/>
      <c r="AQ88" s="1592"/>
      <c r="AR88" s="1592"/>
      <c r="AS88" s="1592"/>
      <c r="AT88" s="1592"/>
      <c r="AU88" s="1592"/>
      <c r="AV88" s="1592"/>
      <c r="AW88" s="1592"/>
      <c r="AX88" s="1592"/>
      <c r="AY88" s="1592"/>
      <c r="AZ88" s="1592"/>
      <c r="BA88" s="1592"/>
      <c r="BB88" s="1592"/>
      <c r="BC88" s="1592"/>
      <c r="BD88" s="159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50" t="s">
        <v>1007</v>
      </c>
      <c r="C92" s="1551"/>
      <c r="D92" s="1551"/>
      <c r="E92" s="1551"/>
      <c r="F92" s="1551"/>
      <c r="G92" s="1551"/>
      <c r="H92" s="1551"/>
      <c r="I92" s="1551"/>
      <c r="J92" s="1551"/>
      <c r="K92" s="1551"/>
      <c r="L92" s="1551"/>
      <c r="M92" s="1551"/>
      <c r="N92" s="1551"/>
      <c r="O92" s="1551"/>
      <c r="P92" s="1551"/>
      <c r="Q92" s="1551"/>
      <c r="R92" s="1551"/>
      <c r="S92" s="1551"/>
      <c r="T92" s="1551"/>
      <c r="U92" s="1551"/>
      <c r="V92" s="1551"/>
      <c r="W92" s="1551"/>
      <c r="X92" s="1551"/>
      <c r="Y92" s="1551"/>
      <c r="Z92" s="1551"/>
      <c r="AA92" s="1551"/>
      <c r="AB92" s="1551"/>
      <c r="AC92" s="1551"/>
      <c r="AD92" s="1551"/>
      <c r="AE92" s="1551"/>
      <c r="AF92" s="1551"/>
      <c r="AG92" s="1551"/>
      <c r="AH92" s="1551"/>
      <c r="AI92" s="1551"/>
      <c r="AJ92" s="1551"/>
      <c r="AK92" s="1551"/>
      <c r="AL92" s="1551"/>
      <c r="AM92" s="1551"/>
      <c r="AN92" s="1551"/>
      <c r="AO92" s="1551"/>
      <c r="AP92" s="1551"/>
      <c r="AQ92" s="1551"/>
      <c r="AR92" s="1551"/>
      <c r="AS92" s="1551"/>
      <c r="AT92" s="1551"/>
      <c r="AU92" s="1551"/>
      <c r="AV92" s="1551"/>
      <c r="AW92" s="1551"/>
      <c r="AX92" s="1551"/>
      <c r="AY92" s="1551"/>
      <c r="AZ92" s="1551"/>
      <c r="BA92" s="1551"/>
      <c r="BB92" s="1551"/>
      <c r="BC92" s="1551"/>
      <c r="BD92" s="1551"/>
      <c r="BE92" s="1551"/>
      <c r="BF92" s="1552"/>
    </row>
    <row r="93" spans="1:70" ht="15.75" thickBot="1" x14ac:dyDescent="0.3">
      <c r="B93" s="137"/>
      <c r="BF93" s="138"/>
      <c r="BR93" s="268"/>
    </row>
    <row r="94" spans="1:70" ht="15.75" thickBot="1" x14ac:dyDescent="0.3">
      <c r="B94" s="137"/>
      <c r="D94" s="1587" t="s">
        <v>734</v>
      </c>
      <c r="E94" s="1557"/>
      <c r="F94" s="1557"/>
      <c r="G94" s="1557"/>
      <c r="H94" s="1557"/>
      <c r="I94" s="1557"/>
      <c r="J94" s="1557"/>
      <c r="K94" s="1556" t="s">
        <v>735</v>
      </c>
      <c r="L94" s="1557"/>
      <c r="M94" s="1557"/>
      <c r="N94" s="1557"/>
      <c r="O94" s="1557"/>
      <c r="P94" s="1557"/>
      <c r="Q94" s="1557"/>
      <c r="R94" s="1557"/>
      <c r="S94" s="1557"/>
      <c r="T94" s="1557"/>
      <c r="U94" s="1556" t="s">
        <v>795</v>
      </c>
      <c r="V94" s="1557"/>
      <c r="W94" s="1557"/>
      <c r="X94" s="1557"/>
      <c r="Y94" s="1557"/>
      <c r="Z94" s="1557"/>
      <c r="AA94" s="1557"/>
      <c r="AB94" s="1557"/>
      <c r="AC94" s="1557"/>
      <c r="AD94" s="1557"/>
      <c r="AE94" s="1557"/>
      <c r="AF94" s="1557"/>
      <c r="AG94" s="1557"/>
      <c r="AH94" s="1557"/>
      <c r="AI94" s="1557"/>
      <c r="AJ94" s="1556" t="s">
        <v>800</v>
      </c>
      <c r="AK94" s="1557"/>
      <c r="AL94" s="1557"/>
      <c r="AM94" s="1557"/>
      <c r="AN94" s="1557"/>
      <c r="AO94" s="1557"/>
      <c r="AP94" s="1557"/>
      <c r="AQ94" s="1557"/>
      <c r="AR94" s="1557"/>
      <c r="AS94" s="1557"/>
      <c r="AT94" s="1558"/>
      <c r="AU94" s="1556" t="s">
        <v>801</v>
      </c>
      <c r="AV94" s="1557"/>
      <c r="AW94" s="1557"/>
      <c r="AX94" s="1558"/>
      <c r="AY94" s="1556" t="s">
        <v>845</v>
      </c>
      <c r="AZ94" s="1557"/>
      <c r="BA94" s="1557"/>
      <c r="BB94" s="1557"/>
      <c r="BC94" s="1568"/>
      <c r="BF94" s="138"/>
    </row>
    <row r="95" spans="1:70" x14ac:dyDescent="0.25">
      <c r="B95" s="137"/>
      <c r="C95" s="627">
        <v>1</v>
      </c>
      <c r="D95" s="1586">
        <f>'Customer Inputs'!$B$6</f>
        <v>0</v>
      </c>
      <c r="E95" s="1586"/>
      <c r="F95" s="1586"/>
      <c r="G95" s="1586"/>
      <c r="H95" s="1586"/>
      <c r="I95" s="1586"/>
      <c r="J95" s="1586"/>
      <c r="K95" s="1573" t="str">
        <f>IFERROR(IFERROR('Multi-Customer'!$BB$39,VLOOKUP($D95,'Required Info to Submit'!$E$23:$J$32,2,FALSE)),"")</f>
        <v/>
      </c>
      <c r="L95" s="1573"/>
      <c r="M95" s="1573"/>
      <c r="N95" s="1573"/>
      <c r="O95" s="1573"/>
      <c r="P95" s="1573"/>
      <c r="Q95" s="1573"/>
      <c r="R95" s="1573"/>
      <c r="S95" s="1573"/>
      <c r="T95" s="1573"/>
      <c r="U95" s="1573" t="str">
        <f>IFERROR(IFERROR('Multi-Customer'!$BB$41&amp;" "&amp;'Multi-Customer'!$BB$42,VLOOKUP($D95,'Required Info to Submit'!$E$23:$J$32,3,FALSE)),"")</f>
        <v/>
      </c>
      <c r="V95" s="1573"/>
      <c r="W95" s="1573"/>
      <c r="X95" s="1573"/>
      <c r="Y95" s="1573"/>
      <c r="Z95" s="1573"/>
      <c r="AA95" s="1573"/>
      <c r="AB95" s="1573"/>
      <c r="AC95" s="1573"/>
      <c r="AD95" s="1573"/>
      <c r="AE95" s="1573"/>
      <c r="AF95" s="1573"/>
      <c r="AG95" s="1573"/>
      <c r="AH95" s="1573"/>
      <c r="AI95" s="1573"/>
      <c r="AJ95" s="1580" t="str">
        <f>IFERROR(IFERROR('Multi-Customer'!$BB$43,VLOOKUP($D95,'Required Info to Submit'!$E$23:$J$32,4,FALSE)),"")</f>
        <v/>
      </c>
      <c r="AK95" s="1581"/>
      <c r="AL95" s="1581"/>
      <c r="AM95" s="1581"/>
      <c r="AN95" s="1581"/>
      <c r="AO95" s="1581"/>
      <c r="AP95" s="1581"/>
      <c r="AQ95" s="1581"/>
      <c r="AR95" s="1581"/>
      <c r="AS95" s="1581"/>
      <c r="AT95" s="1582"/>
      <c r="AU95" s="1553" t="str">
        <f>IFERROR(IFERROR('Multi-Customer'!$BB$44,VLOOKUP($D95,'Required Info to Submit'!$E$23:$J$32,5,FALSE)),"")</f>
        <v/>
      </c>
      <c r="AV95" s="1554"/>
      <c r="AW95" s="1554"/>
      <c r="AX95" s="1555"/>
      <c r="AY95" s="1565" t="str">
        <f>IFERROR(IFERROR('Multi-Customer'!$BB$45,VLOOKUP($D95,'Required Info to Submit'!$E$23:$J$32,6,FALSE)),"")</f>
        <v/>
      </c>
      <c r="AZ95" s="1566"/>
      <c r="BA95" s="1566"/>
      <c r="BB95" s="1566"/>
      <c r="BC95" s="1567"/>
      <c r="BF95" s="138"/>
    </row>
    <row r="96" spans="1:70" x14ac:dyDescent="0.25">
      <c r="B96" s="137"/>
      <c r="C96" s="628">
        <v>2</v>
      </c>
      <c r="D96" s="1585">
        <f>'Customer Inputs'!$B$7</f>
        <v>0</v>
      </c>
      <c r="E96" s="1585"/>
      <c r="F96" s="1585"/>
      <c r="G96" s="1585"/>
      <c r="H96" s="1585"/>
      <c r="I96" s="1585"/>
      <c r="J96" s="1585"/>
      <c r="K96" s="1572" t="str">
        <f>IFERROR(IFERROR('Multi-Customer'!$BY$39,VLOOKUP($D96,'Required Info to Submit'!$E$23:$J$32,2,FALSE)),"")</f>
        <v/>
      </c>
      <c r="L96" s="1572"/>
      <c r="M96" s="1572"/>
      <c r="N96" s="1572"/>
      <c r="O96" s="1572"/>
      <c r="P96" s="1572"/>
      <c r="Q96" s="1572"/>
      <c r="R96" s="1572"/>
      <c r="S96" s="1572"/>
      <c r="T96" s="1572"/>
      <c r="U96" s="1572" t="str">
        <f>IFERROR(IFERROR('Multi-Customer'!$BY$41&amp;" "&amp;'Multi-Customer'!$BY$42,VLOOKUP($D96,'Required Info to Submit'!$E$23:$J$32,3,FALSE)),"")</f>
        <v/>
      </c>
      <c r="V96" s="1572"/>
      <c r="W96" s="1572"/>
      <c r="X96" s="1572"/>
      <c r="Y96" s="1572"/>
      <c r="Z96" s="1572"/>
      <c r="AA96" s="1572"/>
      <c r="AB96" s="1572"/>
      <c r="AC96" s="1572"/>
      <c r="AD96" s="1572"/>
      <c r="AE96" s="1572"/>
      <c r="AF96" s="1572"/>
      <c r="AG96" s="1572"/>
      <c r="AH96" s="1572"/>
      <c r="AI96" s="1572"/>
      <c r="AJ96" s="1577" t="str">
        <f>IFERROR(IFERROR('Multi-Customer'!$BY$43,VLOOKUP($D96,'Required Info to Submit'!$E$23:$J$32,4,FALSE)),"")</f>
        <v/>
      </c>
      <c r="AK96" s="1578"/>
      <c r="AL96" s="1578"/>
      <c r="AM96" s="1578"/>
      <c r="AN96" s="1578"/>
      <c r="AO96" s="1578"/>
      <c r="AP96" s="1578"/>
      <c r="AQ96" s="1578"/>
      <c r="AR96" s="1578"/>
      <c r="AS96" s="1578"/>
      <c r="AT96" s="1579"/>
      <c r="AU96" s="1500" t="str">
        <f>IFERROR(IFERROR('Multi-Customer'!$BY$44,VLOOKUP($D96,'Required Info to Submit'!$E$23:$J$32,5,FALSE)),"")</f>
        <v/>
      </c>
      <c r="AV96" s="1501"/>
      <c r="AW96" s="1501"/>
      <c r="AX96" s="1502"/>
      <c r="AY96" s="1562" t="str">
        <f>IFERROR(IFERROR('Multi-Customer'!$BY$45,VLOOKUP($D96,'Required Info to Submit'!$E$23:$J$32,6,FALSE)),"")</f>
        <v/>
      </c>
      <c r="AZ96" s="1563"/>
      <c r="BA96" s="1563"/>
      <c r="BB96" s="1563"/>
      <c r="BC96" s="1564"/>
      <c r="BF96" s="138"/>
    </row>
    <row r="97" spans="2:58" x14ac:dyDescent="0.25">
      <c r="B97" s="137"/>
      <c r="C97" s="628">
        <v>3</v>
      </c>
      <c r="D97" s="1585">
        <f>'Customer Inputs'!$B$8</f>
        <v>0</v>
      </c>
      <c r="E97" s="1585"/>
      <c r="F97" s="1585"/>
      <c r="G97" s="1585"/>
      <c r="H97" s="1585"/>
      <c r="I97" s="1585"/>
      <c r="J97" s="1585"/>
      <c r="K97" s="1572" t="str">
        <f>IFERROR(IFERROR('Multi-Customer'!$CV$39,VLOOKUP($D97,'Required Info to Submit'!$E$23:$J$32,2,FALSE)),"")</f>
        <v/>
      </c>
      <c r="L97" s="1572"/>
      <c r="M97" s="1572"/>
      <c r="N97" s="1572"/>
      <c r="O97" s="1572"/>
      <c r="P97" s="1572"/>
      <c r="Q97" s="1572"/>
      <c r="R97" s="1572"/>
      <c r="S97" s="1572"/>
      <c r="T97" s="1572"/>
      <c r="U97" s="1572" t="str">
        <f>IFERROR(IFERROR('Multi-Customer'!$CV$41&amp;" "&amp;'Multi-Customer'!$CV$42,VLOOKUP($D97,'Required Info to Submit'!$E$23:$J$32,3,FALSE)),"")</f>
        <v/>
      </c>
      <c r="V97" s="1572"/>
      <c r="W97" s="1572"/>
      <c r="X97" s="1572"/>
      <c r="Y97" s="1572"/>
      <c r="Z97" s="1572"/>
      <c r="AA97" s="1572"/>
      <c r="AB97" s="1572"/>
      <c r="AC97" s="1572"/>
      <c r="AD97" s="1572"/>
      <c r="AE97" s="1572"/>
      <c r="AF97" s="1572"/>
      <c r="AG97" s="1572"/>
      <c r="AH97" s="1572"/>
      <c r="AI97" s="1572"/>
      <c r="AJ97" s="1577" t="str">
        <f>IFERROR(IFERROR('Multi-Customer'!$CV$43,VLOOKUP($D97,'Required Info to Submit'!$E$23:$J$32,4,FALSE)),"")</f>
        <v/>
      </c>
      <c r="AK97" s="1578"/>
      <c r="AL97" s="1578"/>
      <c r="AM97" s="1578"/>
      <c r="AN97" s="1578"/>
      <c r="AO97" s="1578"/>
      <c r="AP97" s="1578"/>
      <c r="AQ97" s="1578"/>
      <c r="AR97" s="1578"/>
      <c r="AS97" s="1578"/>
      <c r="AT97" s="1579"/>
      <c r="AU97" s="1500" t="str">
        <f>IFERROR(IFERROR('Multi-Customer'!$CV$44,VLOOKUP($D97,'Required Info to Submit'!$E$23:$J$32,5,FALSE)),"")</f>
        <v/>
      </c>
      <c r="AV97" s="1501"/>
      <c r="AW97" s="1501"/>
      <c r="AX97" s="1502"/>
      <c r="AY97" s="1562" t="str">
        <f>IFERROR(IFERROR('Multi-Customer'!$CV$45,VLOOKUP($D97,'Required Info to Submit'!$E$23:$J$32,6,FALSE)),"")</f>
        <v/>
      </c>
      <c r="AZ97" s="1563"/>
      <c r="BA97" s="1563"/>
      <c r="BB97" s="1563"/>
      <c r="BC97" s="1564"/>
      <c r="BF97" s="138"/>
    </row>
    <row r="98" spans="2:58" x14ac:dyDescent="0.25">
      <c r="B98" s="137"/>
      <c r="C98" s="628">
        <v>4</v>
      </c>
      <c r="D98" s="1585">
        <f>'Customer Inputs'!$B$9</f>
        <v>0</v>
      </c>
      <c r="E98" s="1585"/>
      <c r="F98" s="1585"/>
      <c r="G98" s="1585"/>
      <c r="H98" s="1585"/>
      <c r="I98" s="1585"/>
      <c r="J98" s="1585"/>
      <c r="K98" s="1572" t="str">
        <f>IFERROR(IFERROR('Multi-Customer'!$DS$39,VLOOKUP($D98,'Required Info to Submit'!$E$23:$J$32,2,FALSE)),"")</f>
        <v/>
      </c>
      <c r="L98" s="1572"/>
      <c r="M98" s="1572"/>
      <c r="N98" s="1572"/>
      <c r="O98" s="1572"/>
      <c r="P98" s="1572"/>
      <c r="Q98" s="1572"/>
      <c r="R98" s="1572"/>
      <c r="S98" s="1572"/>
      <c r="T98" s="1572"/>
      <c r="U98" s="1572" t="str">
        <f>IFERROR(IFERROR('Multi-Customer'!$DS$41&amp;" "&amp;'Multi-Customer'!$DS$42,VLOOKUP($D98,'Required Info to Submit'!$E$23:$J$32,3,FALSE)),"")</f>
        <v/>
      </c>
      <c r="V98" s="1572"/>
      <c r="W98" s="1572"/>
      <c r="X98" s="1572"/>
      <c r="Y98" s="1572"/>
      <c r="Z98" s="1572"/>
      <c r="AA98" s="1572"/>
      <c r="AB98" s="1572"/>
      <c r="AC98" s="1572"/>
      <c r="AD98" s="1572"/>
      <c r="AE98" s="1572"/>
      <c r="AF98" s="1572"/>
      <c r="AG98" s="1572"/>
      <c r="AH98" s="1572"/>
      <c r="AI98" s="1572"/>
      <c r="AJ98" s="1577" t="str">
        <f>IFERROR(IFERROR('Multi-Customer'!$DS$43,VLOOKUP($D98,'Required Info to Submit'!$E$23:$J$32,4,FALSE)),"")</f>
        <v/>
      </c>
      <c r="AK98" s="1578"/>
      <c r="AL98" s="1578"/>
      <c r="AM98" s="1578"/>
      <c r="AN98" s="1578"/>
      <c r="AO98" s="1578"/>
      <c r="AP98" s="1578"/>
      <c r="AQ98" s="1578"/>
      <c r="AR98" s="1578"/>
      <c r="AS98" s="1578"/>
      <c r="AT98" s="1579"/>
      <c r="AU98" s="1500" t="str">
        <f>IFERROR(IFERROR('Multi-Customer'!$DS$44,VLOOKUP($D98,'Required Info to Submit'!$E$23:$J$32,5,FALSE)),"")</f>
        <v/>
      </c>
      <c r="AV98" s="1501"/>
      <c r="AW98" s="1501"/>
      <c r="AX98" s="1502"/>
      <c r="AY98" s="1562" t="str">
        <f>IFERROR(IFERROR('Multi-Customer'!$DS$45,VLOOKUP($D98,'Required Info to Submit'!$E$23:$J$32,6,FALSE)),"")</f>
        <v/>
      </c>
      <c r="AZ98" s="1563"/>
      <c r="BA98" s="1563"/>
      <c r="BB98" s="1563"/>
      <c r="BC98" s="1564"/>
      <c r="BF98" s="138"/>
    </row>
    <row r="99" spans="2:58" x14ac:dyDescent="0.25">
      <c r="B99" s="137"/>
      <c r="C99" s="628">
        <v>5</v>
      </c>
      <c r="D99" s="1585">
        <f>'Customer Inputs'!$B$10</f>
        <v>0</v>
      </c>
      <c r="E99" s="1585"/>
      <c r="F99" s="1585"/>
      <c r="G99" s="1585"/>
      <c r="H99" s="1585"/>
      <c r="I99" s="1585"/>
      <c r="J99" s="1585"/>
      <c r="K99" s="1572" t="str">
        <f>IFERROR(IFERROR('Multi-Customer'!$EP$39,VLOOKUP($D99,'Required Info to Submit'!$E$23:$J$32,2,FALSE)),"")</f>
        <v/>
      </c>
      <c r="L99" s="1572"/>
      <c r="M99" s="1572"/>
      <c r="N99" s="1572"/>
      <c r="O99" s="1572"/>
      <c r="P99" s="1572"/>
      <c r="Q99" s="1572"/>
      <c r="R99" s="1572"/>
      <c r="S99" s="1572"/>
      <c r="T99" s="1572"/>
      <c r="U99" s="1572" t="str">
        <f>IFERROR(IFERROR('Multi-Customer'!$EP$41&amp;" "&amp;'Multi-Customer'!$EP$42,VLOOKUP($D99,'Required Info to Submit'!$E$23:$J$32,3,FALSE)),"")</f>
        <v/>
      </c>
      <c r="V99" s="1572"/>
      <c r="W99" s="1572"/>
      <c r="X99" s="1572"/>
      <c r="Y99" s="1572"/>
      <c r="Z99" s="1572"/>
      <c r="AA99" s="1572"/>
      <c r="AB99" s="1572"/>
      <c r="AC99" s="1572"/>
      <c r="AD99" s="1572"/>
      <c r="AE99" s="1572"/>
      <c r="AF99" s="1572"/>
      <c r="AG99" s="1572"/>
      <c r="AH99" s="1572"/>
      <c r="AI99" s="1572"/>
      <c r="AJ99" s="1577" t="str">
        <f>IFERROR(IFERROR('Multi-Customer'!$EP$43,VLOOKUP($D99,'Required Info to Submit'!$E$23:$J$32,4,FALSE)),"")</f>
        <v/>
      </c>
      <c r="AK99" s="1578"/>
      <c r="AL99" s="1578"/>
      <c r="AM99" s="1578"/>
      <c r="AN99" s="1578"/>
      <c r="AO99" s="1578"/>
      <c r="AP99" s="1578"/>
      <c r="AQ99" s="1578"/>
      <c r="AR99" s="1578"/>
      <c r="AS99" s="1578"/>
      <c r="AT99" s="1579"/>
      <c r="AU99" s="1500" t="str">
        <f>IFERROR(IFERROR('Multi-Customer'!$EP$44,VLOOKUP($D99,'Required Info to Submit'!$E$23:$J$32,5,FALSE)),"")</f>
        <v/>
      </c>
      <c r="AV99" s="1501"/>
      <c r="AW99" s="1501"/>
      <c r="AX99" s="1502"/>
      <c r="AY99" s="1562" t="str">
        <f>IFERROR(IFERROR('Multi-Customer'!$EP$45,VLOOKUP($D99,'Required Info to Submit'!$E$23:$J$32,6,FALSE)),"")</f>
        <v/>
      </c>
      <c r="AZ99" s="1563"/>
      <c r="BA99" s="1563"/>
      <c r="BB99" s="1563"/>
      <c r="BC99" s="1564"/>
      <c r="BF99" s="138"/>
    </row>
    <row r="100" spans="2:58" x14ac:dyDescent="0.25">
      <c r="B100" s="137"/>
      <c r="C100" s="628">
        <v>6</v>
      </c>
      <c r="D100" s="1585">
        <f>'Customer Inputs'!$B$11</f>
        <v>0</v>
      </c>
      <c r="E100" s="1585"/>
      <c r="F100" s="1585"/>
      <c r="G100" s="1585"/>
      <c r="H100" s="1585"/>
      <c r="I100" s="1585"/>
      <c r="J100" s="1585"/>
      <c r="K100" s="1572" t="str">
        <f>IFERROR(IFERROR('Multi-Customer'!$FM$39,VLOOKUP($D100,'Required Info to Submit'!$E$23:$J$32,2,FALSE)),"")</f>
        <v/>
      </c>
      <c r="L100" s="1572"/>
      <c r="M100" s="1572"/>
      <c r="N100" s="1572"/>
      <c r="O100" s="1572"/>
      <c r="P100" s="1572"/>
      <c r="Q100" s="1572"/>
      <c r="R100" s="1572"/>
      <c r="S100" s="1572"/>
      <c r="T100" s="1572"/>
      <c r="U100" s="1572" t="str">
        <f>IFERROR(IFERROR('Multi-Customer'!$FM$41&amp;" "&amp;'Multi-Customer'!$FM$42,VLOOKUP($D100,'Required Info to Submit'!$E$23:$J$32,3,FALSE)),"")</f>
        <v/>
      </c>
      <c r="V100" s="1572"/>
      <c r="W100" s="1572"/>
      <c r="X100" s="1572"/>
      <c r="Y100" s="1572"/>
      <c r="Z100" s="1572"/>
      <c r="AA100" s="1572"/>
      <c r="AB100" s="1572"/>
      <c r="AC100" s="1572"/>
      <c r="AD100" s="1572"/>
      <c r="AE100" s="1572"/>
      <c r="AF100" s="1572"/>
      <c r="AG100" s="1572"/>
      <c r="AH100" s="1572"/>
      <c r="AI100" s="1572"/>
      <c r="AJ100" s="1577" t="str">
        <f>IFERROR(IFERROR('Multi-Customer'!$FM$43,VLOOKUP($D100,'Required Info to Submit'!$E$23:$J$32,4,FALSE)),"")</f>
        <v/>
      </c>
      <c r="AK100" s="1578"/>
      <c r="AL100" s="1578"/>
      <c r="AM100" s="1578"/>
      <c r="AN100" s="1578"/>
      <c r="AO100" s="1578"/>
      <c r="AP100" s="1578"/>
      <c r="AQ100" s="1578"/>
      <c r="AR100" s="1578"/>
      <c r="AS100" s="1578"/>
      <c r="AT100" s="1579"/>
      <c r="AU100" s="1500" t="str">
        <f>IFERROR(IFERROR('Multi-Customer'!$FM$44,VLOOKUP($D100,'Required Info to Submit'!$E$23:$J$32,5,FALSE)),"")</f>
        <v/>
      </c>
      <c r="AV100" s="1501"/>
      <c r="AW100" s="1501"/>
      <c r="AX100" s="1502"/>
      <c r="AY100" s="1562" t="str">
        <f>IFERROR(IFERROR('Multi-Customer'!$FM$45,VLOOKUP($D100,'Required Info to Submit'!$E$23:$J$32,6,FALSE)),"")</f>
        <v/>
      </c>
      <c r="AZ100" s="1563"/>
      <c r="BA100" s="1563"/>
      <c r="BB100" s="1563"/>
      <c r="BC100" s="1564"/>
      <c r="BF100" s="138"/>
    </row>
    <row r="101" spans="2:58" x14ac:dyDescent="0.25">
      <c r="B101" s="137"/>
      <c r="C101" s="628">
        <v>7</v>
      </c>
      <c r="D101" s="1585">
        <f>'Customer Inputs'!$B$12</f>
        <v>0</v>
      </c>
      <c r="E101" s="1585"/>
      <c r="F101" s="1585"/>
      <c r="G101" s="1585"/>
      <c r="H101" s="1585"/>
      <c r="I101" s="1585"/>
      <c r="J101" s="1585"/>
      <c r="K101" s="1572" t="str">
        <f>IFERROR(IFERROR('Multi-Customer'!$GJ$39,VLOOKUP($D101,'Required Info to Submit'!$E$23:$J$32,2,FALSE)),"")</f>
        <v/>
      </c>
      <c r="L101" s="1572"/>
      <c r="M101" s="1572"/>
      <c r="N101" s="1572"/>
      <c r="O101" s="1572"/>
      <c r="P101" s="1572"/>
      <c r="Q101" s="1572"/>
      <c r="R101" s="1572"/>
      <c r="S101" s="1572"/>
      <c r="T101" s="1572"/>
      <c r="U101" s="1572" t="str">
        <f>IFERROR(IFERROR('Multi-Customer'!$GJ$41&amp;" "&amp;'Multi-Customer'!$GJ$42,VLOOKUP($D101,'Required Info to Submit'!$E$23:$J$32,3,FALSE)),"")</f>
        <v/>
      </c>
      <c r="V101" s="1572"/>
      <c r="W101" s="1572"/>
      <c r="X101" s="1572"/>
      <c r="Y101" s="1572"/>
      <c r="Z101" s="1572"/>
      <c r="AA101" s="1572"/>
      <c r="AB101" s="1572"/>
      <c r="AC101" s="1572"/>
      <c r="AD101" s="1572"/>
      <c r="AE101" s="1572"/>
      <c r="AF101" s="1572"/>
      <c r="AG101" s="1572"/>
      <c r="AH101" s="1572"/>
      <c r="AI101" s="1572"/>
      <c r="AJ101" s="1577" t="str">
        <f>IFERROR(IFERROR('Multi-Customer'!$GJ$43,VLOOKUP($D101,'Required Info to Submit'!$E$23:$J$32,4,FALSE)),"")</f>
        <v/>
      </c>
      <c r="AK101" s="1578"/>
      <c r="AL101" s="1578"/>
      <c r="AM101" s="1578"/>
      <c r="AN101" s="1578"/>
      <c r="AO101" s="1578"/>
      <c r="AP101" s="1578"/>
      <c r="AQ101" s="1578"/>
      <c r="AR101" s="1578"/>
      <c r="AS101" s="1578"/>
      <c r="AT101" s="1579"/>
      <c r="AU101" s="1500" t="str">
        <f>IFERROR(IFERROR('Multi-Customer'!$GJ$44,VLOOKUP($D101,'Required Info to Submit'!$E$23:$J$32,5,FALSE)),"")</f>
        <v/>
      </c>
      <c r="AV101" s="1501"/>
      <c r="AW101" s="1501"/>
      <c r="AX101" s="1502"/>
      <c r="AY101" s="1562" t="str">
        <f>IFERROR(IFERROR('Multi-Customer'!$GJ$45,VLOOKUP($D101,'Required Info to Submit'!$E$23:$J$32,6,FALSE)),"")</f>
        <v/>
      </c>
      <c r="AZ101" s="1563"/>
      <c r="BA101" s="1563"/>
      <c r="BB101" s="1563"/>
      <c r="BC101" s="1564"/>
      <c r="BF101" s="138"/>
    </row>
    <row r="102" spans="2:58" x14ac:dyDescent="0.25">
      <c r="B102" s="137"/>
      <c r="C102" s="628">
        <v>8</v>
      </c>
      <c r="D102" s="1585">
        <f>'Customer Inputs'!$B$13</f>
        <v>0</v>
      </c>
      <c r="E102" s="1585"/>
      <c r="F102" s="1585"/>
      <c r="G102" s="1585"/>
      <c r="H102" s="1585"/>
      <c r="I102" s="1585"/>
      <c r="J102" s="1585"/>
      <c r="K102" s="1572" t="str">
        <f>IFERROR(IFERROR('Multi-Customer'!$HG$39,VLOOKUP($D102,'Required Info to Submit'!$E$23:$J$32,2,FALSE)),"")</f>
        <v/>
      </c>
      <c r="L102" s="1572"/>
      <c r="M102" s="1572"/>
      <c r="N102" s="1572"/>
      <c r="O102" s="1572"/>
      <c r="P102" s="1572"/>
      <c r="Q102" s="1572"/>
      <c r="R102" s="1572"/>
      <c r="S102" s="1572"/>
      <c r="T102" s="1572"/>
      <c r="U102" s="1572" t="str">
        <f>IFERROR(IFERROR('Multi-Customer'!$HG$41&amp;" "&amp;'Multi-Customer'!$HG$42,VLOOKUP($D102,'Required Info to Submit'!$E$23:$J$32,3,FALSE)),"")</f>
        <v/>
      </c>
      <c r="V102" s="1572"/>
      <c r="W102" s="1572"/>
      <c r="X102" s="1572"/>
      <c r="Y102" s="1572"/>
      <c r="Z102" s="1572"/>
      <c r="AA102" s="1572"/>
      <c r="AB102" s="1572"/>
      <c r="AC102" s="1572"/>
      <c r="AD102" s="1572"/>
      <c r="AE102" s="1572"/>
      <c r="AF102" s="1572"/>
      <c r="AG102" s="1572"/>
      <c r="AH102" s="1572"/>
      <c r="AI102" s="1572"/>
      <c r="AJ102" s="1577" t="str">
        <f>IFERROR(IFERROR('Multi-Customer'!$HG$43,VLOOKUP($D102,'Required Info to Submit'!$E$23:$J$32,4,FALSE)),"")</f>
        <v/>
      </c>
      <c r="AK102" s="1578"/>
      <c r="AL102" s="1578"/>
      <c r="AM102" s="1578"/>
      <c r="AN102" s="1578"/>
      <c r="AO102" s="1578"/>
      <c r="AP102" s="1578"/>
      <c r="AQ102" s="1578"/>
      <c r="AR102" s="1578"/>
      <c r="AS102" s="1578"/>
      <c r="AT102" s="1579"/>
      <c r="AU102" s="1500" t="str">
        <f>IFERROR(IFERROR('Multi-Customer'!$HG$44,VLOOKUP($D102,'Required Info to Submit'!$E$23:$J$32,5,FALSE)),"")</f>
        <v/>
      </c>
      <c r="AV102" s="1501"/>
      <c r="AW102" s="1501"/>
      <c r="AX102" s="1502"/>
      <c r="AY102" s="1562" t="str">
        <f>IFERROR(IFERROR('Multi-Customer'!$HG$45,VLOOKUP($D102,'Required Info to Submit'!$E$23:$J$32,6,FALSE)),"")</f>
        <v/>
      </c>
      <c r="AZ102" s="1563"/>
      <c r="BA102" s="1563"/>
      <c r="BB102" s="1563"/>
      <c r="BC102" s="1564"/>
      <c r="BF102" s="138"/>
    </row>
    <row r="103" spans="2:58" x14ac:dyDescent="0.25">
      <c r="B103" s="137"/>
      <c r="C103" s="628">
        <v>9</v>
      </c>
      <c r="D103" s="1585">
        <f>'Customer Inputs'!$B$14</f>
        <v>0</v>
      </c>
      <c r="E103" s="1585"/>
      <c r="F103" s="1585"/>
      <c r="G103" s="1585"/>
      <c r="H103" s="1585"/>
      <c r="I103" s="1585"/>
      <c r="J103" s="1585"/>
      <c r="K103" s="1572" t="str">
        <f>IFERROR(IFERROR('Multi-Customer'!$ID$39,VLOOKUP($D103,'Required Info to Submit'!$E$23:$J$32,2,FALSE)),"")</f>
        <v/>
      </c>
      <c r="L103" s="1572"/>
      <c r="M103" s="1572"/>
      <c r="N103" s="1572"/>
      <c r="O103" s="1572"/>
      <c r="P103" s="1572"/>
      <c r="Q103" s="1572"/>
      <c r="R103" s="1572"/>
      <c r="S103" s="1572"/>
      <c r="T103" s="1572"/>
      <c r="U103" s="1572" t="str">
        <f>IFERROR(IFERROR('Multi-Customer'!$ID$41&amp;" "&amp;'Multi-Customer'!$ID$42,VLOOKUP($D103,'Required Info to Submit'!$E$23:$J$32,3,FALSE)),"")</f>
        <v/>
      </c>
      <c r="V103" s="1572"/>
      <c r="W103" s="1572"/>
      <c r="X103" s="1572"/>
      <c r="Y103" s="1572"/>
      <c r="Z103" s="1572"/>
      <c r="AA103" s="1572"/>
      <c r="AB103" s="1572"/>
      <c r="AC103" s="1572"/>
      <c r="AD103" s="1572"/>
      <c r="AE103" s="1572"/>
      <c r="AF103" s="1572"/>
      <c r="AG103" s="1572"/>
      <c r="AH103" s="1572"/>
      <c r="AI103" s="1572"/>
      <c r="AJ103" s="1577" t="str">
        <f>IFERROR(IFERROR('Multi-Customer'!$ID$43,VLOOKUP($D103,'Required Info to Submit'!$E$23:$J$32,4,FALSE)),"")</f>
        <v/>
      </c>
      <c r="AK103" s="1578"/>
      <c r="AL103" s="1578"/>
      <c r="AM103" s="1578"/>
      <c r="AN103" s="1578"/>
      <c r="AO103" s="1578"/>
      <c r="AP103" s="1578"/>
      <c r="AQ103" s="1578"/>
      <c r="AR103" s="1578"/>
      <c r="AS103" s="1578"/>
      <c r="AT103" s="1579"/>
      <c r="AU103" s="1500" t="str">
        <f>IFERROR(IFERROR('Multi-Customer'!$ID$44,VLOOKUP($D103,'Required Info to Submit'!$E$23:$J$32,5,FALSE)),"")</f>
        <v/>
      </c>
      <c r="AV103" s="1501"/>
      <c r="AW103" s="1501"/>
      <c r="AX103" s="1502"/>
      <c r="AY103" s="1562" t="str">
        <f>IFERROR(IFERROR('Multi-Customer'!$ID$45,VLOOKUP($D103,'Required Info to Submit'!$E$23:$J$32,6,FALSE)),"")</f>
        <v/>
      </c>
      <c r="AZ103" s="1563"/>
      <c r="BA103" s="1563"/>
      <c r="BB103" s="1563"/>
      <c r="BC103" s="1564"/>
      <c r="BF103" s="138"/>
    </row>
    <row r="104" spans="2:58" ht="15.75" thickBot="1" x14ac:dyDescent="0.3">
      <c r="B104" s="137"/>
      <c r="C104" s="629">
        <v>10</v>
      </c>
      <c r="D104" s="1584">
        <f>'Customer Inputs'!$B$15</f>
        <v>0</v>
      </c>
      <c r="E104" s="1584"/>
      <c r="F104" s="1584"/>
      <c r="G104" s="1584"/>
      <c r="H104" s="1584"/>
      <c r="I104" s="1584"/>
      <c r="J104" s="1584"/>
      <c r="K104" s="1583" t="str">
        <f>IFERROR(IFERROR('Multi-Customer'!$JA$39,VLOOKUP($D104,'Required Info to Submit'!$E$23:$J$32,2,FALSE)),"")</f>
        <v/>
      </c>
      <c r="L104" s="1583"/>
      <c r="M104" s="1583"/>
      <c r="N104" s="1583"/>
      <c r="O104" s="1583"/>
      <c r="P104" s="1583"/>
      <c r="Q104" s="1583"/>
      <c r="R104" s="1583"/>
      <c r="S104" s="1583"/>
      <c r="T104" s="1583"/>
      <c r="U104" s="1583" t="str">
        <f>IFERROR(IFERROR('Multi-Customer'!$JA$41&amp;" "&amp;'Multi-Customer'!$JA$42,VLOOKUP($D104,'Required Info to Submit'!$E$23:$J$32,3,FALSE)),"")</f>
        <v/>
      </c>
      <c r="V104" s="1583"/>
      <c r="W104" s="1583"/>
      <c r="X104" s="1583"/>
      <c r="Y104" s="1583"/>
      <c r="Z104" s="1583"/>
      <c r="AA104" s="1583"/>
      <c r="AB104" s="1583"/>
      <c r="AC104" s="1583"/>
      <c r="AD104" s="1583"/>
      <c r="AE104" s="1583"/>
      <c r="AF104" s="1583"/>
      <c r="AG104" s="1583"/>
      <c r="AH104" s="1583"/>
      <c r="AI104" s="1583"/>
      <c r="AJ104" s="1574" t="str">
        <f>IFERROR(IFERROR('Multi-Customer'!$JA$43,VLOOKUP($D104,'Required Info to Submit'!$E$23:$J$32,4,FALSE)),"")</f>
        <v/>
      </c>
      <c r="AK104" s="1575"/>
      <c r="AL104" s="1575"/>
      <c r="AM104" s="1575"/>
      <c r="AN104" s="1575"/>
      <c r="AO104" s="1575"/>
      <c r="AP104" s="1575"/>
      <c r="AQ104" s="1575"/>
      <c r="AR104" s="1575"/>
      <c r="AS104" s="1575"/>
      <c r="AT104" s="1576"/>
      <c r="AU104" s="1569" t="str">
        <f>IFERROR(IFERROR('Multi-Customer'!$JA$44,VLOOKUP($D104,'Required Info to Submit'!$E$23:$J$32,5,FALSE)),"")</f>
        <v/>
      </c>
      <c r="AV104" s="1570"/>
      <c r="AW104" s="1570"/>
      <c r="AX104" s="1571"/>
      <c r="AY104" s="1559" t="str">
        <f>IFERROR(IFERROR('Multi-Customer'!$JA$45,VLOOKUP($D104,'Required Info to Submit'!$E$23:$J$32,6,FALSE)),"")</f>
        <v/>
      </c>
      <c r="AZ104" s="1560"/>
      <c r="BA104" s="1560"/>
      <c r="BB104" s="1560"/>
      <c r="BC104" s="1561"/>
      <c r="BF104" s="138"/>
    </row>
    <row r="105" spans="2:58" x14ac:dyDescent="0.25">
      <c r="B105" s="137"/>
      <c r="BF105" s="138"/>
    </row>
    <row r="106" spans="2:58" x14ac:dyDescent="0.25">
      <c r="B106" s="137"/>
      <c r="BF106" s="138"/>
    </row>
    <row r="107" spans="2:58" ht="18.75" x14ac:dyDescent="0.3">
      <c r="B107" s="1550" t="s">
        <v>1015</v>
      </c>
      <c r="C107" s="1551"/>
      <c r="D107" s="1551"/>
      <c r="E107" s="1551"/>
      <c r="F107" s="1551"/>
      <c r="G107" s="1551"/>
      <c r="H107" s="1551"/>
      <c r="I107" s="1551"/>
      <c r="J107" s="1551"/>
      <c r="K107" s="1551"/>
      <c r="L107" s="1551"/>
      <c r="M107" s="1551"/>
      <c r="N107" s="1551"/>
      <c r="O107" s="1551"/>
      <c r="P107" s="1551"/>
      <c r="Q107" s="1551"/>
      <c r="R107" s="1551"/>
      <c r="S107" s="1551"/>
      <c r="T107" s="1551"/>
      <c r="U107" s="1551"/>
      <c r="V107" s="1551"/>
      <c r="W107" s="1551"/>
      <c r="X107" s="1551"/>
      <c r="Y107" s="1551"/>
      <c r="Z107" s="1551"/>
      <c r="AA107" s="1551"/>
      <c r="AB107" s="1551"/>
      <c r="AC107" s="1551"/>
      <c r="AD107" s="1551"/>
      <c r="AE107" s="1551"/>
      <c r="AF107" s="1551"/>
      <c r="AG107" s="1551"/>
      <c r="AH107" s="1551"/>
      <c r="AI107" s="1551"/>
      <c r="AJ107" s="1551"/>
      <c r="AK107" s="1551"/>
      <c r="AL107" s="1551"/>
      <c r="AM107" s="1551"/>
      <c r="AN107" s="1551"/>
      <c r="AO107" s="1551"/>
      <c r="AP107" s="1551"/>
      <c r="AQ107" s="1551"/>
      <c r="AR107" s="1551"/>
      <c r="AS107" s="1551"/>
      <c r="AT107" s="1551"/>
      <c r="AU107" s="1551"/>
      <c r="AV107" s="1551"/>
      <c r="AW107" s="1551"/>
      <c r="AX107" s="1551"/>
      <c r="AY107" s="1551"/>
      <c r="AZ107" s="1551"/>
      <c r="BA107" s="1551"/>
      <c r="BB107" s="1551"/>
      <c r="BC107" s="1551"/>
      <c r="BD107" s="1551"/>
      <c r="BE107" s="1551"/>
      <c r="BF107" s="1552"/>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8" t="s">
        <v>1016</v>
      </c>
      <c r="V109" s="1639"/>
      <c r="W109" s="1639"/>
      <c r="X109" s="1639"/>
      <c r="Y109" s="1639"/>
      <c r="Z109" s="1639" t="s">
        <v>1009</v>
      </c>
      <c r="AA109" s="1639"/>
      <c r="AB109" s="1639"/>
      <c r="AC109" s="1639"/>
      <c r="AD109" s="1639"/>
      <c r="AE109" s="1639"/>
      <c r="AF109" s="1639" t="s">
        <v>1010</v>
      </c>
      <c r="AG109" s="1639"/>
      <c r="AH109" s="1639"/>
      <c r="AI109" s="1639"/>
      <c r="AJ109" s="1639"/>
      <c r="AK109" s="1639"/>
      <c r="AL109" s="1639"/>
      <c r="AM109" s="1639" t="s">
        <v>1013</v>
      </c>
      <c r="AN109" s="1639"/>
      <c r="AO109" s="1639"/>
      <c r="AP109" s="1639"/>
      <c r="AQ109" s="1639"/>
      <c r="AR109" s="1639"/>
      <c r="AS109" s="1665"/>
      <c r="AT109" s="242"/>
      <c r="AU109" s="242"/>
      <c r="AV109" s="242"/>
      <c r="AW109" s="242"/>
      <c r="AX109" s="242"/>
      <c r="AY109" s="242"/>
      <c r="AZ109" s="242"/>
      <c r="BA109" s="242"/>
      <c r="BB109" s="242"/>
      <c r="BC109" s="242"/>
      <c r="BD109" s="242"/>
      <c r="BE109" s="242"/>
      <c r="BF109" s="632"/>
    </row>
    <row r="110" spans="2:58" x14ac:dyDescent="0.25">
      <c r="B110" s="137"/>
      <c r="D110" s="1634" t="s">
        <v>99</v>
      </c>
      <c r="E110" s="1573"/>
      <c r="F110" s="1573"/>
      <c r="G110" s="1573"/>
      <c r="H110" s="1573"/>
      <c r="I110" s="1573"/>
      <c r="J110" s="1573"/>
      <c r="K110" s="1573"/>
      <c r="L110" s="1573"/>
      <c r="M110" s="1573"/>
      <c r="N110" s="1573"/>
      <c r="O110" s="1573"/>
      <c r="P110" s="1573"/>
      <c r="Q110" s="1573"/>
      <c r="R110" s="1573"/>
      <c r="S110" s="1573"/>
      <c r="T110" s="1635"/>
      <c r="U110" s="1643" t="str">
        <f>IF('PIM Model'!$B$10=0,"",'PIM Model'!$B$10)</f>
        <v/>
      </c>
      <c r="V110" s="1640"/>
      <c r="W110" s="1640"/>
      <c r="X110" s="1640"/>
      <c r="Y110" s="1640"/>
      <c r="Z110" s="1640" t="str">
        <f>'PIM Model'!$AF$10</f>
        <v/>
      </c>
      <c r="AA110" s="1640"/>
      <c r="AB110" s="1640"/>
      <c r="AC110" s="1640"/>
      <c r="AD110" s="1640"/>
      <c r="AE110" s="1640"/>
      <c r="AF110" s="1652" t="str">
        <f>'PIM Model'!$AG$10</f>
        <v/>
      </c>
      <c r="AG110" s="1653"/>
      <c r="AH110" s="1653"/>
      <c r="AI110" s="1653"/>
      <c r="AJ110" s="1653"/>
      <c r="AK110" s="1653"/>
      <c r="AL110" s="1654"/>
      <c r="AM110" s="1652" t="str">
        <f>'PIM Model'!$AH$10</f>
        <v/>
      </c>
      <c r="AN110" s="1653"/>
      <c r="AO110" s="1653"/>
      <c r="AP110" s="1653"/>
      <c r="AQ110" s="1653"/>
      <c r="AR110" s="1653"/>
      <c r="AS110" s="1666"/>
      <c r="BF110" s="138"/>
    </row>
    <row r="111" spans="2:58" x14ac:dyDescent="0.25">
      <c r="B111" s="137"/>
      <c r="D111" s="1636" t="s">
        <v>103</v>
      </c>
      <c r="E111" s="1572"/>
      <c r="F111" s="1572"/>
      <c r="G111" s="1572"/>
      <c r="H111" s="1572"/>
      <c r="I111" s="1572"/>
      <c r="J111" s="1572"/>
      <c r="K111" s="1572"/>
      <c r="L111" s="1572"/>
      <c r="M111" s="1572"/>
      <c r="N111" s="1572"/>
      <c r="O111" s="1572"/>
      <c r="P111" s="1572"/>
      <c r="Q111" s="1572"/>
      <c r="R111" s="1572"/>
      <c r="S111" s="1572"/>
      <c r="T111" s="1637"/>
      <c r="U111" s="1644" t="str">
        <f>IF('PIM Model'!$B$11=0,"",'PIM Model'!$B$11)</f>
        <v/>
      </c>
      <c r="V111" s="1499"/>
      <c r="W111" s="1499"/>
      <c r="X111" s="1499"/>
      <c r="Y111" s="1499"/>
      <c r="Z111" s="1499" t="str">
        <f>'PIM Model'!$AF$11</f>
        <v/>
      </c>
      <c r="AA111" s="1499"/>
      <c r="AB111" s="1499"/>
      <c r="AC111" s="1499"/>
      <c r="AD111" s="1499"/>
      <c r="AE111" s="1499"/>
      <c r="AF111" s="1562" t="str">
        <f>'PIM Model'!$AG$11</f>
        <v/>
      </c>
      <c r="AG111" s="1563"/>
      <c r="AH111" s="1563"/>
      <c r="AI111" s="1563"/>
      <c r="AJ111" s="1563"/>
      <c r="AK111" s="1563"/>
      <c r="AL111" s="1648"/>
      <c r="AM111" s="1562" t="str">
        <f>'PIM Model'!$AH$11</f>
        <v/>
      </c>
      <c r="AN111" s="1563"/>
      <c r="AO111" s="1563"/>
      <c r="AP111" s="1563"/>
      <c r="AQ111" s="1563"/>
      <c r="AR111" s="1563"/>
      <c r="AS111" s="1564"/>
      <c r="BF111" s="138"/>
    </row>
    <row r="112" spans="2:58" x14ac:dyDescent="0.25">
      <c r="B112" s="137"/>
      <c r="D112" s="1636" t="s">
        <v>1399</v>
      </c>
      <c r="E112" s="1572"/>
      <c r="F112" s="1572"/>
      <c r="G112" s="1572"/>
      <c r="H112" s="1572"/>
      <c r="I112" s="1572"/>
      <c r="J112" s="1572"/>
      <c r="K112" s="1572"/>
      <c r="L112" s="1572"/>
      <c r="M112" s="1572"/>
      <c r="N112" s="1572"/>
      <c r="O112" s="1572"/>
      <c r="P112" s="1572"/>
      <c r="Q112" s="1572"/>
      <c r="R112" s="1572"/>
      <c r="S112" s="1572"/>
      <c r="T112" s="1637"/>
      <c r="U112" s="1644" t="str">
        <f>IF('PIM Model'!$B$12=0,"",'PIM Model'!$B$12)</f>
        <v/>
      </c>
      <c r="V112" s="1499"/>
      <c r="W112" s="1499"/>
      <c r="X112" s="1499"/>
      <c r="Y112" s="1499"/>
      <c r="Z112" s="1499" t="str">
        <f>'PIM Model'!$AF$12</f>
        <v/>
      </c>
      <c r="AA112" s="1499"/>
      <c r="AB112" s="1499"/>
      <c r="AC112" s="1499"/>
      <c r="AD112" s="1499"/>
      <c r="AE112" s="1499"/>
      <c r="AF112" s="1562" t="str">
        <f>'PIM Model'!$AG$12</f>
        <v/>
      </c>
      <c r="AG112" s="1563"/>
      <c r="AH112" s="1563"/>
      <c r="AI112" s="1563"/>
      <c r="AJ112" s="1563"/>
      <c r="AK112" s="1563"/>
      <c r="AL112" s="1648"/>
      <c r="AM112" s="1562" t="str">
        <f>'PIM Model'!$AH$12</f>
        <v/>
      </c>
      <c r="AN112" s="1563"/>
      <c r="AO112" s="1563"/>
      <c r="AP112" s="1563"/>
      <c r="AQ112" s="1563"/>
      <c r="AR112" s="1563"/>
      <c r="AS112" s="1564"/>
      <c r="BF112" s="138"/>
    </row>
    <row r="113" spans="2:58" x14ac:dyDescent="0.25">
      <c r="B113" s="137"/>
      <c r="D113" s="1636" t="s">
        <v>102</v>
      </c>
      <c r="E113" s="1572"/>
      <c r="F113" s="1572"/>
      <c r="G113" s="1572"/>
      <c r="H113" s="1572"/>
      <c r="I113" s="1572"/>
      <c r="J113" s="1572"/>
      <c r="K113" s="1572"/>
      <c r="L113" s="1572"/>
      <c r="M113" s="1572"/>
      <c r="N113" s="1572"/>
      <c r="O113" s="1572"/>
      <c r="P113" s="1572"/>
      <c r="Q113" s="1572"/>
      <c r="R113" s="1572"/>
      <c r="S113" s="1572"/>
      <c r="T113" s="1637"/>
      <c r="U113" s="1644" t="str">
        <f>IF('PIM Model'!$B$13=0,"",'PIM Model'!$B$13)</f>
        <v/>
      </c>
      <c r="V113" s="1499"/>
      <c r="W113" s="1499"/>
      <c r="X113" s="1499"/>
      <c r="Y113" s="1499"/>
      <c r="Z113" s="1499" t="str">
        <f>'PIM Model'!$AF$13</f>
        <v/>
      </c>
      <c r="AA113" s="1499"/>
      <c r="AB113" s="1499"/>
      <c r="AC113" s="1499"/>
      <c r="AD113" s="1499"/>
      <c r="AE113" s="1499"/>
      <c r="AF113" s="1562" t="str">
        <f>'PIM Model'!$AG$13</f>
        <v/>
      </c>
      <c r="AG113" s="1563"/>
      <c r="AH113" s="1563"/>
      <c r="AI113" s="1563"/>
      <c r="AJ113" s="1563"/>
      <c r="AK113" s="1563"/>
      <c r="AL113" s="1648"/>
      <c r="AM113" s="1562" t="str">
        <f>'PIM Model'!$AH$13</f>
        <v/>
      </c>
      <c r="AN113" s="1563"/>
      <c r="AO113" s="1563"/>
      <c r="AP113" s="1563"/>
      <c r="AQ113" s="1563"/>
      <c r="AR113" s="1563"/>
      <c r="AS113" s="1564"/>
      <c r="BF113" s="138"/>
    </row>
    <row r="114" spans="2:58" x14ac:dyDescent="0.25">
      <c r="B114" s="137"/>
      <c r="D114" s="1636" t="s">
        <v>100</v>
      </c>
      <c r="E114" s="1572"/>
      <c r="F114" s="1572"/>
      <c r="G114" s="1572"/>
      <c r="H114" s="1572"/>
      <c r="I114" s="1572"/>
      <c r="J114" s="1572"/>
      <c r="K114" s="1572"/>
      <c r="L114" s="1572"/>
      <c r="M114" s="1572"/>
      <c r="N114" s="1572"/>
      <c r="O114" s="1572"/>
      <c r="P114" s="1572"/>
      <c r="Q114" s="1572"/>
      <c r="R114" s="1572"/>
      <c r="S114" s="1572"/>
      <c r="T114" s="1637"/>
      <c r="U114" s="1644" t="str">
        <f>IF('PIM Model'!$B$14=0,"",'PIM Model'!$B$14)</f>
        <v/>
      </c>
      <c r="V114" s="1499"/>
      <c r="W114" s="1499"/>
      <c r="X114" s="1499"/>
      <c r="Y114" s="1499"/>
      <c r="Z114" s="1499" t="str">
        <f>'PIM Model'!$AF$14</f>
        <v/>
      </c>
      <c r="AA114" s="1499"/>
      <c r="AB114" s="1499"/>
      <c r="AC114" s="1499"/>
      <c r="AD114" s="1499"/>
      <c r="AE114" s="1499"/>
      <c r="AF114" s="1562" t="str">
        <f>'PIM Model'!$AG$14</f>
        <v/>
      </c>
      <c r="AG114" s="1563"/>
      <c r="AH114" s="1563"/>
      <c r="AI114" s="1563"/>
      <c r="AJ114" s="1563"/>
      <c r="AK114" s="1563"/>
      <c r="AL114" s="1648"/>
      <c r="AM114" s="1562" t="str">
        <f>'PIM Model'!$AH$14</f>
        <v/>
      </c>
      <c r="AN114" s="1563"/>
      <c r="AO114" s="1563"/>
      <c r="AP114" s="1563"/>
      <c r="AQ114" s="1563"/>
      <c r="AR114" s="1563"/>
      <c r="AS114" s="1564"/>
      <c r="BF114" s="138"/>
    </row>
    <row r="115" spans="2:58" x14ac:dyDescent="0.25">
      <c r="B115" s="137"/>
      <c r="D115" s="1636" t="s">
        <v>104</v>
      </c>
      <c r="E115" s="1572"/>
      <c r="F115" s="1572"/>
      <c r="G115" s="1572"/>
      <c r="H115" s="1572"/>
      <c r="I115" s="1572"/>
      <c r="J115" s="1572"/>
      <c r="K115" s="1572"/>
      <c r="L115" s="1572"/>
      <c r="M115" s="1572"/>
      <c r="N115" s="1572"/>
      <c r="O115" s="1572"/>
      <c r="P115" s="1572"/>
      <c r="Q115" s="1572"/>
      <c r="R115" s="1572"/>
      <c r="S115" s="1572"/>
      <c r="T115" s="1637"/>
      <c r="U115" s="1644" t="str">
        <f>IF('PIM Model'!$B$15=0,"",'PIM Model'!$B$15)</f>
        <v/>
      </c>
      <c r="V115" s="1499"/>
      <c r="W115" s="1499"/>
      <c r="X115" s="1499"/>
      <c r="Y115" s="1499"/>
      <c r="Z115" s="1499" t="str">
        <f>'PIM Model'!$AF$15</f>
        <v/>
      </c>
      <c r="AA115" s="1499"/>
      <c r="AB115" s="1499"/>
      <c r="AC115" s="1499"/>
      <c r="AD115" s="1499"/>
      <c r="AE115" s="1499"/>
      <c r="AF115" s="1562" t="str">
        <f>'PIM Model'!$AG$15</f>
        <v/>
      </c>
      <c r="AG115" s="1563"/>
      <c r="AH115" s="1563"/>
      <c r="AI115" s="1563"/>
      <c r="AJ115" s="1563"/>
      <c r="AK115" s="1563"/>
      <c r="AL115" s="1648"/>
      <c r="AM115" s="1562" t="str">
        <f>'PIM Model'!$AH$15</f>
        <v/>
      </c>
      <c r="AN115" s="1563"/>
      <c r="AO115" s="1563"/>
      <c r="AP115" s="1563"/>
      <c r="AQ115" s="1563"/>
      <c r="AR115" s="1563"/>
      <c r="AS115" s="1564"/>
      <c r="BF115" s="138"/>
    </row>
    <row r="116" spans="2:58" x14ac:dyDescent="0.25">
      <c r="B116" s="137"/>
      <c r="D116" s="1636" t="s">
        <v>98</v>
      </c>
      <c r="E116" s="1572"/>
      <c r="F116" s="1572"/>
      <c r="G116" s="1572"/>
      <c r="H116" s="1572"/>
      <c r="I116" s="1572"/>
      <c r="J116" s="1572"/>
      <c r="K116" s="1572"/>
      <c r="L116" s="1572"/>
      <c r="M116" s="1572"/>
      <c r="N116" s="1572"/>
      <c r="O116" s="1572"/>
      <c r="P116" s="1572"/>
      <c r="Q116" s="1572"/>
      <c r="R116" s="1572"/>
      <c r="S116" s="1572"/>
      <c r="T116" s="1637"/>
      <c r="U116" s="1644" t="str">
        <f>IF('PIM Model'!$B$16=0,"",'PIM Model'!$B$16)</f>
        <v/>
      </c>
      <c r="V116" s="1499"/>
      <c r="W116" s="1499"/>
      <c r="X116" s="1499"/>
      <c r="Y116" s="1499"/>
      <c r="Z116" s="1499" t="str">
        <f>'PIM Model'!$AF$16</f>
        <v/>
      </c>
      <c r="AA116" s="1499"/>
      <c r="AB116" s="1499"/>
      <c r="AC116" s="1499"/>
      <c r="AD116" s="1499"/>
      <c r="AE116" s="1499"/>
      <c r="AF116" s="1562" t="str">
        <f>'PIM Model'!$AG$16</f>
        <v/>
      </c>
      <c r="AG116" s="1563"/>
      <c r="AH116" s="1563"/>
      <c r="AI116" s="1563"/>
      <c r="AJ116" s="1563"/>
      <c r="AK116" s="1563"/>
      <c r="AL116" s="1648"/>
      <c r="AM116" s="1562" t="str">
        <f>'PIM Model'!$AH$16</f>
        <v/>
      </c>
      <c r="AN116" s="1563"/>
      <c r="AO116" s="1563"/>
      <c r="AP116" s="1563"/>
      <c r="AQ116" s="1563"/>
      <c r="AR116" s="1563"/>
      <c r="AS116" s="1564"/>
      <c r="BF116" s="138"/>
    </row>
    <row r="117" spans="2:58" x14ac:dyDescent="0.25">
      <c r="B117" s="137"/>
      <c r="D117" s="1636" t="s">
        <v>95</v>
      </c>
      <c r="E117" s="1572"/>
      <c r="F117" s="1572"/>
      <c r="G117" s="1572"/>
      <c r="H117" s="1572"/>
      <c r="I117" s="1572"/>
      <c r="J117" s="1572"/>
      <c r="K117" s="1572"/>
      <c r="L117" s="1572"/>
      <c r="M117" s="1572"/>
      <c r="N117" s="1572"/>
      <c r="O117" s="1572"/>
      <c r="P117" s="1572"/>
      <c r="Q117" s="1572"/>
      <c r="R117" s="1572"/>
      <c r="S117" s="1572"/>
      <c r="T117" s="1637"/>
      <c r="U117" s="1644" t="str">
        <f>IF('PIM Model'!$B$17=0,"",'PIM Model'!$B$17)</f>
        <v/>
      </c>
      <c r="V117" s="1499"/>
      <c r="W117" s="1499"/>
      <c r="X117" s="1499"/>
      <c r="Y117" s="1499"/>
      <c r="Z117" s="1499" t="str">
        <f>'PIM Model'!$AF$17</f>
        <v/>
      </c>
      <c r="AA117" s="1499"/>
      <c r="AB117" s="1499"/>
      <c r="AC117" s="1499"/>
      <c r="AD117" s="1499"/>
      <c r="AE117" s="1499"/>
      <c r="AF117" s="1562" t="str">
        <f>'PIM Model'!$AG$17</f>
        <v/>
      </c>
      <c r="AG117" s="1563"/>
      <c r="AH117" s="1563"/>
      <c r="AI117" s="1563"/>
      <c r="AJ117" s="1563"/>
      <c r="AK117" s="1563"/>
      <c r="AL117" s="1648"/>
      <c r="AM117" s="1562" t="str">
        <f>'PIM Model'!$AH$17</f>
        <v/>
      </c>
      <c r="AN117" s="1563"/>
      <c r="AO117" s="1563"/>
      <c r="AP117" s="1563"/>
      <c r="AQ117" s="1563"/>
      <c r="AR117" s="1563"/>
      <c r="AS117" s="1564"/>
      <c r="BF117" s="138"/>
    </row>
    <row r="118" spans="2:58" x14ac:dyDescent="0.25">
      <c r="B118" s="137"/>
      <c r="D118" s="1636" t="s">
        <v>96</v>
      </c>
      <c r="E118" s="1572"/>
      <c r="F118" s="1572"/>
      <c r="G118" s="1572"/>
      <c r="H118" s="1572"/>
      <c r="I118" s="1572"/>
      <c r="J118" s="1572"/>
      <c r="K118" s="1572"/>
      <c r="L118" s="1572"/>
      <c r="M118" s="1572"/>
      <c r="N118" s="1572"/>
      <c r="O118" s="1572"/>
      <c r="P118" s="1572"/>
      <c r="Q118" s="1572"/>
      <c r="R118" s="1572"/>
      <c r="S118" s="1572"/>
      <c r="T118" s="1637"/>
      <c r="U118" s="1644" t="str">
        <f>IF('PIM Model'!$B$18=0,"",'PIM Model'!$B$18)</f>
        <v/>
      </c>
      <c r="V118" s="1499"/>
      <c r="W118" s="1499"/>
      <c r="X118" s="1499"/>
      <c r="Y118" s="1499"/>
      <c r="Z118" s="1499" t="str">
        <f>'PIM Model'!$AF$18</f>
        <v/>
      </c>
      <c r="AA118" s="1499"/>
      <c r="AB118" s="1499"/>
      <c r="AC118" s="1499"/>
      <c r="AD118" s="1499"/>
      <c r="AE118" s="1499"/>
      <c r="AF118" s="1562" t="str">
        <f>'PIM Model'!$AG$18</f>
        <v/>
      </c>
      <c r="AG118" s="1563"/>
      <c r="AH118" s="1563"/>
      <c r="AI118" s="1563"/>
      <c r="AJ118" s="1563"/>
      <c r="AK118" s="1563"/>
      <c r="AL118" s="1648"/>
      <c r="AM118" s="1562" t="str">
        <f>'PIM Model'!$AH$18</f>
        <v/>
      </c>
      <c r="AN118" s="1563"/>
      <c r="AO118" s="1563"/>
      <c r="AP118" s="1563"/>
      <c r="AQ118" s="1563"/>
      <c r="AR118" s="1563"/>
      <c r="AS118" s="1564"/>
      <c r="BF118" s="138"/>
    </row>
    <row r="119" spans="2:58" x14ac:dyDescent="0.25">
      <c r="B119" s="137"/>
      <c r="D119" s="1636" t="s">
        <v>101</v>
      </c>
      <c r="E119" s="1572"/>
      <c r="F119" s="1572"/>
      <c r="G119" s="1572"/>
      <c r="H119" s="1572"/>
      <c r="I119" s="1572"/>
      <c r="J119" s="1572"/>
      <c r="K119" s="1572"/>
      <c r="L119" s="1572"/>
      <c r="M119" s="1572"/>
      <c r="N119" s="1572"/>
      <c r="O119" s="1572"/>
      <c r="P119" s="1572"/>
      <c r="Q119" s="1572"/>
      <c r="R119" s="1572"/>
      <c r="S119" s="1572"/>
      <c r="T119" s="1637"/>
      <c r="U119" s="1644" t="str">
        <f>IF('PIM Model'!$B$19=0,"",'PIM Model'!$B$19)</f>
        <v/>
      </c>
      <c r="V119" s="1499"/>
      <c r="W119" s="1499"/>
      <c r="X119" s="1499"/>
      <c r="Y119" s="1499"/>
      <c r="Z119" s="1499" t="str">
        <f>'PIM Model'!$AF$19</f>
        <v/>
      </c>
      <c r="AA119" s="1499"/>
      <c r="AB119" s="1499"/>
      <c r="AC119" s="1499"/>
      <c r="AD119" s="1499"/>
      <c r="AE119" s="1499"/>
      <c r="AF119" s="1562" t="str">
        <f>'PIM Model'!$AG$19</f>
        <v/>
      </c>
      <c r="AG119" s="1563"/>
      <c r="AH119" s="1563"/>
      <c r="AI119" s="1563"/>
      <c r="AJ119" s="1563"/>
      <c r="AK119" s="1563"/>
      <c r="AL119" s="1648"/>
      <c r="AM119" s="1562" t="str">
        <f>'PIM Model'!$AH$19</f>
        <v/>
      </c>
      <c r="AN119" s="1563"/>
      <c r="AO119" s="1563"/>
      <c r="AP119" s="1563"/>
      <c r="AQ119" s="1563"/>
      <c r="AR119" s="1563"/>
      <c r="AS119" s="1564"/>
      <c r="BF119" s="138"/>
    </row>
    <row r="120" spans="2:58" x14ac:dyDescent="0.25">
      <c r="B120" s="137"/>
      <c r="D120" s="1636" t="s">
        <v>97</v>
      </c>
      <c r="E120" s="1572"/>
      <c r="F120" s="1572"/>
      <c r="G120" s="1572"/>
      <c r="H120" s="1572"/>
      <c r="I120" s="1572"/>
      <c r="J120" s="1572"/>
      <c r="K120" s="1572"/>
      <c r="L120" s="1572"/>
      <c r="M120" s="1572"/>
      <c r="N120" s="1572"/>
      <c r="O120" s="1572"/>
      <c r="P120" s="1572"/>
      <c r="Q120" s="1572"/>
      <c r="R120" s="1572"/>
      <c r="S120" s="1572"/>
      <c r="T120" s="1637"/>
      <c r="U120" s="1644" t="str">
        <f>IF('PIM Model'!$B$20=0,"",'PIM Model'!$B$20)</f>
        <v/>
      </c>
      <c r="V120" s="1499"/>
      <c r="W120" s="1499"/>
      <c r="X120" s="1499"/>
      <c r="Y120" s="1499"/>
      <c r="Z120" s="1499" t="str">
        <f>'PIM Model'!$AF$20</f>
        <v/>
      </c>
      <c r="AA120" s="1499"/>
      <c r="AB120" s="1499"/>
      <c r="AC120" s="1499"/>
      <c r="AD120" s="1499"/>
      <c r="AE120" s="1499"/>
      <c r="AF120" s="1562" t="str">
        <f>'PIM Model'!$AG$20</f>
        <v/>
      </c>
      <c r="AG120" s="1563"/>
      <c r="AH120" s="1563"/>
      <c r="AI120" s="1563"/>
      <c r="AJ120" s="1563"/>
      <c r="AK120" s="1563"/>
      <c r="AL120" s="1648"/>
      <c r="AM120" s="1562" t="str">
        <f>'PIM Model'!$AH$20</f>
        <v/>
      </c>
      <c r="AN120" s="1563"/>
      <c r="AO120" s="1563"/>
      <c r="AP120" s="1563"/>
      <c r="AQ120" s="1563"/>
      <c r="AR120" s="1563"/>
      <c r="AS120" s="1564"/>
      <c r="BF120" s="138"/>
    </row>
    <row r="121" spans="2:58" x14ac:dyDescent="0.25">
      <c r="B121" s="137"/>
      <c r="D121" s="1636" t="s">
        <v>93</v>
      </c>
      <c r="E121" s="1572"/>
      <c r="F121" s="1572"/>
      <c r="G121" s="1572"/>
      <c r="H121" s="1572"/>
      <c r="I121" s="1572"/>
      <c r="J121" s="1572"/>
      <c r="K121" s="1572"/>
      <c r="L121" s="1572"/>
      <c r="M121" s="1572"/>
      <c r="N121" s="1572"/>
      <c r="O121" s="1572"/>
      <c r="P121" s="1572"/>
      <c r="Q121" s="1572"/>
      <c r="R121" s="1572"/>
      <c r="S121" s="1572"/>
      <c r="T121" s="1637"/>
      <c r="U121" s="1644" t="str">
        <f>IF('PIM Model'!$B$21=0,"",'PIM Model'!$B$21)</f>
        <v/>
      </c>
      <c r="V121" s="1499"/>
      <c r="W121" s="1499"/>
      <c r="X121" s="1499"/>
      <c r="Y121" s="1499"/>
      <c r="Z121" s="1499" t="str">
        <f>'PIM Model'!$AF$21</f>
        <v/>
      </c>
      <c r="AA121" s="1499"/>
      <c r="AB121" s="1499"/>
      <c r="AC121" s="1499"/>
      <c r="AD121" s="1499"/>
      <c r="AE121" s="1499"/>
      <c r="AF121" s="1562" t="str">
        <f>'PIM Model'!$AG$21</f>
        <v/>
      </c>
      <c r="AG121" s="1563"/>
      <c r="AH121" s="1563"/>
      <c r="AI121" s="1563"/>
      <c r="AJ121" s="1563"/>
      <c r="AK121" s="1563"/>
      <c r="AL121" s="1648"/>
      <c r="AM121" s="1562" t="str">
        <f>'PIM Model'!$AH$21</f>
        <v/>
      </c>
      <c r="AN121" s="1563"/>
      <c r="AO121" s="1563"/>
      <c r="AP121" s="1563"/>
      <c r="AQ121" s="1563"/>
      <c r="AR121" s="1563"/>
      <c r="AS121" s="1564"/>
      <c r="BF121" s="138"/>
    </row>
    <row r="122" spans="2:58" x14ac:dyDescent="0.25">
      <c r="B122" s="137"/>
      <c r="D122" s="1636" t="s">
        <v>105</v>
      </c>
      <c r="E122" s="1572"/>
      <c r="F122" s="1572"/>
      <c r="G122" s="1572"/>
      <c r="H122" s="1572"/>
      <c r="I122" s="1572"/>
      <c r="J122" s="1572"/>
      <c r="K122" s="1572"/>
      <c r="L122" s="1572"/>
      <c r="M122" s="1572"/>
      <c r="N122" s="1572"/>
      <c r="O122" s="1572"/>
      <c r="P122" s="1572"/>
      <c r="Q122" s="1572"/>
      <c r="R122" s="1572"/>
      <c r="S122" s="1572"/>
      <c r="T122" s="1637"/>
      <c r="U122" s="1644" t="str">
        <f>IF('PIM Model'!$B$22=0,"",'PIM Model'!$B$22)</f>
        <v/>
      </c>
      <c r="V122" s="1499"/>
      <c r="W122" s="1499"/>
      <c r="X122" s="1499"/>
      <c r="Y122" s="1499"/>
      <c r="Z122" s="1499" t="str">
        <f>'PIM Model'!$AF$22</f>
        <v/>
      </c>
      <c r="AA122" s="1499"/>
      <c r="AB122" s="1499"/>
      <c r="AC122" s="1499"/>
      <c r="AD122" s="1499"/>
      <c r="AE122" s="1499"/>
      <c r="AF122" s="1562" t="str">
        <f>'PIM Model'!$AG$22</f>
        <v/>
      </c>
      <c r="AG122" s="1563"/>
      <c r="AH122" s="1563"/>
      <c r="AI122" s="1563"/>
      <c r="AJ122" s="1563"/>
      <c r="AK122" s="1563"/>
      <c r="AL122" s="1648"/>
      <c r="AM122" s="1562" t="str">
        <f>'PIM Model'!$AH$22</f>
        <v/>
      </c>
      <c r="AN122" s="1563"/>
      <c r="AO122" s="1563"/>
      <c r="AP122" s="1563"/>
      <c r="AQ122" s="1563"/>
      <c r="AR122" s="1563"/>
      <c r="AS122" s="1564"/>
      <c r="BF122" s="138"/>
    </row>
    <row r="123" spans="2:58" x14ac:dyDescent="0.25">
      <c r="B123" s="137"/>
      <c r="D123" s="1636" t="s">
        <v>92</v>
      </c>
      <c r="E123" s="1572"/>
      <c r="F123" s="1572"/>
      <c r="G123" s="1572"/>
      <c r="H123" s="1572"/>
      <c r="I123" s="1572"/>
      <c r="J123" s="1572"/>
      <c r="K123" s="1572"/>
      <c r="L123" s="1572"/>
      <c r="M123" s="1572"/>
      <c r="N123" s="1572"/>
      <c r="O123" s="1572"/>
      <c r="P123" s="1572"/>
      <c r="Q123" s="1572"/>
      <c r="R123" s="1572"/>
      <c r="S123" s="1572"/>
      <c r="T123" s="1637"/>
      <c r="U123" s="1644" t="str">
        <f>IF('PIM Model'!$B$23=0,"",'PIM Model'!$B$23)</f>
        <v/>
      </c>
      <c r="V123" s="1499"/>
      <c r="W123" s="1499"/>
      <c r="X123" s="1499"/>
      <c r="Y123" s="1499"/>
      <c r="Z123" s="1499" t="str">
        <f>'PIM Model'!$AF$23</f>
        <v/>
      </c>
      <c r="AA123" s="1499"/>
      <c r="AB123" s="1499"/>
      <c r="AC123" s="1499"/>
      <c r="AD123" s="1499"/>
      <c r="AE123" s="1499"/>
      <c r="AF123" s="1562" t="str">
        <f>'PIM Model'!$AG$23</f>
        <v/>
      </c>
      <c r="AG123" s="1563"/>
      <c r="AH123" s="1563"/>
      <c r="AI123" s="1563"/>
      <c r="AJ123" s="1563"/>
      <c r="AK123" s="1563"/>
      <c r="AL123" s="1648"/>
      <c r="AM123" s="1562" t="str">
        <f>'PIM Model'!$AH$23</f>
        <v/>
      </c>
      <c r="AN123" s="1563"/>
      <c r="AO123" s="1563"/>
      <c r="AP123" s="1563"/>
      <c r="AQ123" s="1563"/>
      <c r="AR123" s="1563"/>
      <c r="AS123" s="1564"/>
      <c r="BF123" s="138"/>
    </row>
    <row r="124" spans="2:58" x14ac:dyDescent="0.25">
      <c r="B124" s="137"/>
      <c r="D124" s="1636" t="s">
        <v>91</v>
      </c>
      <c r="E124" s="1572"/>
      <c r="F124" s="1572"/>
      <c r="G124" s="1572"/>
      <c r="H124" s="1572"/>
      <c r="I124" s="1572"/>
      <c r="J124" s="1572"/>
      <c r="K124" s="1572"/>
      <c r="L124" s="1572"/>
      <c r="M124" s="1572"/>
      <c r="N124" s="1572"/>
      <c r="O124" s="1572"/>
      <c r="P124" s="1572"/>
      <c r="Q124" s="1572"/>
      <c r="R124" s="1572"/>
      <c r="S124" s="1572"/>
      <c r="T124" s="1637"/>
      <c r="U124" s="1644" t="str">
        <f>IF('PIM Model'!$B$24=0,"",'PIM Model'!$B$24)</f>
        <v/>
      </c>
      <c r="V124" s="1499"/>
      <c r="W124" s="1499"/>
      <c r="X124" s="1499"/>
      <c r="Y124" s="1499"/>
      <c r="Z124" s="1499" t="str">
        <f>'PIM Model'!$AF$24</f>
        <v/>
      </c>
      <c r="AA124" s="1499"/>
      <c r="AB124" s="1499"/>
      <c r="AC124" s="1499"/>
      <c r="AD124" s="1499"/>
      <c r="AE124" s="1499"/>
      <c r="AF124" s="1562" t="str">
        <f>'PIM Model'!$AG$24</f>
        <v/>
      </c>
      <c r="AG124" s="1563"/>
      <c r="AH124" s="1563"/>
      <c r="AI124" s="1563"/>
      <c r="AJ124" s="1563"/>
      <c r="AK124" s="1563"/>
      <c r="AL124" s="1648"/>
      <c r="AM124" s="1562" t="str">
        <f>'PIM Model'!$AH$24</f>
        <v/>
      </c>
      <c r="AN124" s="1563"/>
      <c r="AO124" s="1563"/>
      <c r="AP124" s="1563"/>
      <c r="AQ124" s="1563"/>
      <c r="AR124" s="1563"/>
      <c r="AS124" s="1564"/>
      <c r="BF124" s="138"/>
    </row>
    <row r="125" spans="2:58" x14ac:dyDescent="0.25">
      <c r="B125" s="137"/>
      <c r="D125" s="1636" t="s">
        <v>90</v>
      </c>
      <c r="E125" s="1572"/>
      <c r="F125" s="1572"/>
      <c r="G125" s="1572"/>
      <c r="H125" s="1572"/>
      <c r="I125" s="1572"/>
      <c r="J125" s="1572"/>
      <c r="K125" s="1572"/>
      <c r="L125" s="1572"/>
      <c r="M125" s="1572"/>
      <c r="N125" s="1572"/>
      <c r="O125" s="1572"/>
      <c r="P125" s="1572"/>
      <c r="Q125" s="1572"/>
      <c r="R125" s="1572"/>
      <c r="S125" s="1572"/>
      <c r="T125" s="1637"/>
      <c r="U125" s="1644" t="str">
        <f>IF('PIM Model'!$B$25=0,"",'PIM Model'!$B$25)</f>
        <v/>
      </c>
      <c r="V125" s="1499"/>
      <c r="W125" s="1499"/>
      <c r="X125" s="1499"/>
      <c r="Y125" s="1499"/>
      <c r="Z125" s="1499" t="str">
        <f>'PIM Model'!$AF$25</f>
        <v/>
      </c>
      <c r="AA125" s="1499"/>
      <c r="AB125" s="1499"/>
      <c r="AC125" s="1499"/>
      <c r="AD125" s="1499"/>
      <c r="AE125" s="1499"/>
      <c r="AF125" s="1562" t="str">
        <f>'PIM Model'!$AG$25</f>
        <v/>
      </c>
      <c r="AG125" s="1563"/>
      <c r="AH125" s="1563"/>
      <c r="AI125" s="1563"/>
      <c r="AJ125" s="1563"/>
      <c r="AK125" s="1563"/>
      <c r="AL125" s="1648"/>
      <c r="AM125" s="1562" t="str">
        <f>'PIM Model'!$AH$25</f>
        <v/>
      </c>
      <c r="AN125" s="1563"/>
      <c r="AO125" s="1563"/>
      <c r="AP125" s="1563"/>
      <c r="AQ125" s="1563"/>
      <c r="AR125" s="1563"/>
      <c r="AS125" s="1564"/>
      <c r="BF125" s="138"/>
    </row>
    <row r="126" spans="2:58" x14ac:dyDescent="0.25">
      <c r="B126" s="137"/>
      <c r="D126" s="1636" t="s">
        <v>89</v>
      </c>
      <c r="E126" s="1572"/>
      <c r="F126" s="1572"/>
      <c r="G126" s="1572"/>
      <c r="H126" s="1572"/>
      <c r="I126" s="1572"/>
      <c r="J126" s="1572"/>
      <c r="K126" s="1572"/>
      <c r="L126" s="1572"/>
      <c r="M126" s="1572"/>
      <c r="N126" s="1572"/>
      <c r="O126" s="1572"/>
      <c r="P126" s="1572"/>
      <c r="Q126" s="1572"/>
      <c r="R126" s="1572"/>
      <c r="S126" s="1572"/>
      <c r="T126" s="1637"/>
      <c r="U126" s="1644" t="str">
        <f>IF('PIM Model'!$B$26=0,"",'PIM Model'!$B$26)</f>
        <v/>
      </c>
      <c r="V126" s="1499"/>
      <c r="W126" s="1499"/>
      <c r="X126" s="1499"/>
      <c r="Y126" s="1499"/>
      <c r="Z126" s="1499" t="str">
        <f>'PIM Model'!$AF$26</f>
        <v/>
      </c>
      <c r="AA126" s="1499"/>
      <c r="AB126" s="1499"/>
      <c r="AC126" s="1499"/>
      <c r="AD126" s="1499"/>
      <c r="AE126" s="1499"/>
      <c r="AF126" s="1562" t="str">
        <f>'PIM Model'!$AG$26</f>
        <v/>
      </c>
      <c r="AG126" s="1563"/>
      <c r="AH126" s="1563"/>
      <c r="AI126" s="1563"/>
      <c r="AJ126" s="1563"/>
      <c r="AK126" s="1563"/>
      <c r="AL126" s="1648"/>
      <c r="AM126" s="1562" t="str">
        <f>'PIM Model'!$AH$26</f>
        <v/>
      </c>
      <c r="AN126" s="1563"/>
      <c r="AO126" s="1563"/>
      <c r="AP126" s="1563"/>
      <c r="AQ126" s="1563"/>
      <c r="AR126" s="1563"/>
      <c r="AS126" s="1564"/>
      <c r="BF126" s="138"/>
    </row>
    <row r="127" spans="2:58" x14ac:dyDescent="0.25">
      <c r="B127" s="137"/>
      <c r="D127" s="1636" t="s">
        <v>94</v>
      </c>
      <c r="E127" s="1572"/>
      <c r="F127" s="1572"/>
      <c r="G127" s="1572"/>
      <c r="H127" s="1572"/>
      <c r="I127" s="1572"/>
      <c r="J127" s="1572"/>
      <c r="K127" s="1572"/>
      <c r="L127" s="1572"/>
      <c r="M127" s="1572"/>
      <c r="N127" s="1572"/>
      <c r="O127" s="1572"/>
      <c r="P127" s="1572"/>
      <c r="Q127" s="1572"/>
      <c r="R127" s="1572"/>
      <c r="S127" s="1572"/>
      <c r="T127" s="1637"/>
      <c r="U127" s="1644" t="str">
        <f>IF('PIM Model'!$B$27=0,"",'PIM Model'!$B$27)</f>
        <v/>
      </c>
      <c r="V127" s="1499"/>
      <c r="W127" s="1499"/>
      <c r="X127" s="1499"/>
      <c r="Y127" s="1499"/>
      <c r="Z127" s="1499" t="str">
        <f>'PIM Model'!$AF$27</f>
        <v/>
      </c>
      <c r="AA127" s="1499"/>
      <c r="AB127" s="1499"/>
      <c r="AC127" s="1499"/>
      <c r="AD127" s="1499"/>
      <c r="AE127" s="1499"/>
      <c r="AF127" s="1562" t="str">
        <f>'PIM Model'!$AG$27</f>
        <v/>
      </c>
      <c r="AG127" s="1563"/>
      <c r="AH127" s="1563"/>
      <c r="AI127" s="1563"/>
      <c r="AJ127" s="1563"/>
      <c r="AK127" s="1563"/>
      <c r="AL127" s="1648"/>
      <c r="AM127" s="1562" t="str">
        <f>'PIM Model'!$AH$27</f>
        <v/>
      </c>
      <c r="AN127" s="1563"/>
      <c r="AO127" s="1563"/>
      <c r="AP127" s="1563"/>
      <c r="AQ127" s="1563"/>
      <c r="AR127" s="1563"/>
      <c r="AS127" s="1564"/>
      <c r="BF127" s="138"/>
    </row>
    <row r="128" spans="2:58" x14ac:dyDescent="0.25">
      <c r="B128" s="137"/>
      <c r="D128" s="1636" t="s">
        <v>86</v>
      </c>
      <c r="E128" s="1572"/>
      <c r="F128" s="1572"/>
      <c r="G128" s="1572"/>
      <c r="H128" s="1572"/>
      <c r="I128" s="1572"/>
      <c r="J128" s="1572"/>
      <c r="K128" s="1572"/>
      <c r="L128" s="1572"/>
      <c r="M128" s="1572"/>
      <c r="N128" s="1572"/>
      <c r="O128" s="1572"/>
      <c r="P128" s="1572"/>
      <c r="Q128" s="1572"/>
      <c r="R128" s="1572"/>
      <c r="S128" s="1572"/>
      <c r="T128" s="1637"/>
      <c r="U128" s="1644" t="str">
        <f>IF('PIM Model'!$B$28=0,"",'PIM Model'!$B$28)</f>
        <v/>
      </c>
      <c r="V128" s="1499"/>
      <c r="W128" s="1499"/>
      <c r="X128" s="1499"/>
      <c r="Y128" s="1499"/>
      <c r="Z128" s="1499" t="str">
        <f>'PIM Model'!$AF$28</f>
        <v/>
      </c>
      <c r="AA128" s="1499"/>
      <c r="AB128" s="1499"/>
      <c r="AC128" s="1499"/>
      <c r="AD128" s="1499"/>
      <c r="AE128" s="1499"/>
      <c r="AF128" s="1562" t="str">
        <f>'PIM Model'!$AG$28</f>
        <v/>
      </c>
      <c r="AG128" s="1563"/>
      <c r="AH128" s="1563"/>
      <c r="AI128" s="1563"/>
      <c r="AJ128" s="1563"/>
      <c r="AK128" s="1563"/>
      <c r="AL128" s="1648"/>
      <c r="AM128" s="1562" t="str">
        <f>'PIM Model'!$AH$28</f>
        <v/>
      </c>
      <c r="AN128" s="1563"/>
      <c r="AO128" s="1563"/>
      <c r="AP128" s="1563"/>
      <c r="AQ128" s="1563"/>
      <c r="AR128" s="1563"/>
      <c r="AS128" s="1564"/>
      <c r="BF128" s="138"/>
    </row>
    <row r="129" spans="2:58" x14ac:dyDescent="0.25">
      <c r="B129" s="137"/>
      <c r="D129" s="1636" t="s">
        <v>88</v>
      </c>
      <c r="E129" s="1572"/>
      <c r="F129" s="1572"/>
      <c r="G129" s="1572"/>
      <c r="H129" s="1572"/>
      <c r="I129" s="1572"/>
      <c r="J129" s="1572"/>
      <c r="K129" s="1572"/>
      <c r="L129" s="1572"/>
      <c r="M129" s="1572"/>
      <c r="N129" s="1572"/>
      <c r="O129" s="1572"/>
      <c r="P129" s="1572"/>
      <c r="Q129" s="1572"/>
      <c r="R129" s="1572"/>
      <c r="S129" s="1572"/>
      <c r="T129" s="1637"/>
      <c r="U129" s="1644" t="str">
        <f>IF('PIM Model'!$B$29=0,"",'PIM Model'!$B$29)</f>
        <v/>
      </c>
      <c r="V129" s="1499"/>
      <c r="W129" s="1499"/>
      <c r="X129" s="1499"/>
      <c r="Y129" s="1499"/>
      <c r="Z129" s="1499" t="str">
        <f>'PIM Model'!$AF$29</f>
        <v/>
      </c>
      <c r="AA129" s="1499"/>
      <c r="AB129" s="1499"/>
      <c r="AC129" s="1499"/>
      <c r="AD129" s="1499"/>
      <c r="AE129" s="1499"/>
      <c r="AF129" s="1562" t="str">
        <f>'PIM Model'!$AG$29</f>
        <v/>
      </c>
      <c r="AG129" s="1563"/>
      <c r="AH129" s="1563"/>
      <c r="AI129" s="1563"/>
      <c r="AJ129" s="1563"/>
      <c r="AK129" s="1563"/>
      <c r="AL129" s="1648"/>
      <c r="AM129" s="1562" t="str">
        <f>'PIM Model'!$AH$29</f>
        <v/>
      </c>
      <c r="AN129" s="1563"/>
      <c r="AO129" s="1563"/>
      <c r="AP129" s="1563"/>
      <c r="AQ129" s="1563"/>
      <c r="AR129" s="1563"/>
      <c r="AS129" s="1564"/>
      <c r="BF129" s="138"/>
    </row>
    <row r="130" spans="2:58" ht="15.75" thickBot="1" x14ac:dyDescent="0.3">
      <c r="B130" s="137"/>
      <c r="D130" s="1645" t="s">
        <v>87</v>
      </c>
      <c r="E130" s="1646"/>
      <c r="F130" s="1646"/>
      <c r="G130" s="1646"/>
      <c r="H130" s="1646"/>
      <c r="I130" s="1646"/>
      <c r="J130" s="1646"/>
      <c r="K130" s="1646"/>
      <c r="L130" s="1646"/>
      <c r="M130" s="1646"/>
      <c r="N130" s="1646"/>
      <c r="O130" s="1646"/>
      <c r="P130" s="1646"/>
      <c r="Q130" s="1646"/>
      <c r="R130" s="1646"/>
      <c r="S130" s="1646"/>
      <c r="T130" s="1647"/>
      <c r="U130" s="1641" t="str">
        <f>IF('PIM Model'!$B$30=0,"",'PIM Model'!$B$30)</f>
        <v/>
      </c>
      <c r="V130" s="1642"/>
      <c r="W130" s="1642"/>
      <c r="X130" s="1642"/>
      <c r="Y130" s="1642"/>
      <c r="Z130" s="1642" t="str">
        <f>'PIM Model'!$AF$30</f>
        <v/>
      </c>
      <c r="AA130" s="1642"/>
      <c r="AB130" s="1642"/>
      <c r="AC130" s="1642"/>
      <c r="AD130" s="1642"/>
      <c r="AE130" s="1642"/>
      <c r="AF130" s="1649" t="str">
        <f>'PIM Model'!$AG$30</f>
        <v/>
      </c>
      <c r="AG130" s="1650"/>
      <c r="AH130" s="1650"/>
      <c r="AI130" s="1650"/>
      <c r="AJ130" s="1650"/>
      <c r="AK130" s="1650"/>
      <c r="AL130" s="1664"/>
      <c r="AM130" s="1649" t="str">
        <f>'PIM Model'!$AH$30</f>
        <v/>
      </c>
      <c r="AN130" s="1650"/>
      <c r="AO130" s="1650"/>
      <c r="AP130" s="1650"/>
      <c r="AQ130" s="1650"/>
      <c r="AR130" s="1650"/>
      <c r="AS130" s="1651"/>
      <c r="BF130" s="138"/>
    </row>
    <row r="131" spans="2:58" ht="16.5" thickTop="1" thickBot="1" x14ac:dyDescent="0.3">
      <c r="B131" s="137"/>
      <c r="D131" s="1655" t="s">
        <v>1014</v>
      </c>
      <c r="E131" s="1656"/>
      <c r="F131" s="1656"/>
      <c r="G131" s="1656"/>
      <c r="H131" s="1656"/>
      <c r="I131" s="1656"/>
      <c r="J131" s="1656"/>
      <c r="K131" s="1656"/>
      <c r="L131" s="1656"/>
      <c r="M131" s="1656"/>
      <c r="N131" s="1656"/>
      <c r="O131" s="1656"/>
      <c r="P131" s="1656"/>
      <c r="Q131" s="1656"/>
      <c r="R131" s="1656"/>
      <c r="S131" s="1656"/>
      <c r="T131" s="1657"/>
      <c r="U131" s="1658">
        <f>COUNT($U$110:$Y$130)</f>
        <v>0</v>
      </c>
      <c r="V131" s="1659"/>
      <c r="W131" s="1659"/>
      <c r="X131" s="1659"/>
      <c r="Y131" s="1659"/>
      <c r="Z131" s="1656">
        <f>COUNTIF($Z$110:$AE$130,"ABOVE")+COUNTIF($Z$110:$AE$130,"BELOW")</f>
        <v>0</v>
      </c>
      <c r="AA131" s="1656"/>
      <c r="AB131" s="1656"/>
      <c r="AC131" s="1656"/>
      <c r="AD131" s="1656"/>
      <c r="AE131" s="1656"/>
      <c r="AF131" s="1660"/>
      <c r="AG131" s="1661"/>
      <c r="AH131" s="1661"/>
      <c r="AI131" s="1661"/>
      <c r="AJ131" s="1661"/>
      <c r="AK131" s="1661"/>
      <c r="AL131" s="1662"/>
      <c r="AM131" s="1660"/>
      <c r="AN131" s="1661"/>
      <c r="AO131" s="1661"/>
      <c r="AP131" s="1661"/>
      <c r="AQ131" s="1661"/>
      <c r="AR131" s="1661"/>
      <c r="AS131" s="166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77" priority="6">
      <formula>LEN(TRIM(U110))&gt;0</formula>
    </cfRule>
  </conditionalFormatting>
  <conditionalFormatting sqref="Z110:AE130">
    <cfRule type="containsText" dxfId="76" priority="4" operator="containsText" text="BELOW">
      <formula>NOT(ISERROR(SEARCH("BELOW",Z110)))</formula>
    </cfRule>
    <cfRule type="containsText" dxfId="7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9" t="s">
        <v>1038</v>
      </c>
      <c r="C2" s="1670"/>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7" t="s">
        <v>854</v>
      </c>
      <c r="C6" s="1668"/>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7" t="s">
        <v>855</v>
      </c>
      <c r="C13" s="1668"/>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74" priority="26">
      <formula>$G242="EXCLUDE"</formula>
    </cfRule>
  </conditionalFormatting>
  <conditionalFormatting sqref="E255:E256">
    <cfRule type="expression" dxfId="73" priority="25">
      <formula>$G255="EXCLUDE"</formula>
    </cfRule>
  </conditionalFormatting>
  <conditionalFormatting sqref="E279:E280">
    <cfRule type="expression" dxfId="72" priority="24">
      <formula>$G279="EXCLUDE"</formula>
    </cfRule>
  </conditionalFormatting>
  <conditionalFormatting sqref="E291:E292">
    <cfRule type="expression" dxfId="71" priority="23">
      <formula>$G291="EXCLUDE"</formula>
    </cfRule>
  </conditionalFormatting>
  <conditionalFormatting sqref="E303:E304">
    <cfRule type="expression" dxfId="70" priority="22">
      <formula>$G303="EXCLUDE"</formula>
    </cfRule>
  </conditionalFormatting>
  <conditionalFormatting sqref="E315:E316">
    <cfRule type="expression" dxfId="69" priority="21">
      <formula>$G315="EXCLUDE"</formula>
    </cfRule>
  </conditionalFormatting>
  <conditionalFormatting sqref="E327:E328">
    <cfRule type="expression" dxfId="68" priority="20">
      <formula>$G327="EXCLUDE"</formula>
    </cfRule>
  </conditionalFormatting>
  <conditionalFormatting sqref="E339:E340">
    <cfRule type="expression" dxfId="67" priority="19">
      <formula>$G339="EXCLUDE"</formula>
    </cfRule>
  </conditionalFormatting>
  <conditionalFormatting sqref="E351:E352">
    <cfRule type="expression" dxfId="66" priority="18">
      <formula>$G351="EXCLUDE"</formula>
    </cfRule>
  </conditionalFormatting>
  <conditionalFormatting sqref="E363:E364">
    <cfRule type="expression" dxfId="65" priority="17">
      <formula>$G363="EXCLUDE"</formula>
    </cfRule>
  </conditionalFormatting>
  <conditionalFormatting sqref="E375:E376">
    <cfRule type="expression" dxfId="64" priority="16">
      <formula>$G375="EXCLUDE"</formula>
    </cfRule>
  </conditionalFormatting>
  <conditionalFormatting sqref="E7:E8">
    <cfRule type="expression" dxfId="63" priority="27">
      <formula>#REF!="EXCLUDE"</formula>
    </cfRule>
  </conditionalFormatting>
  <conditionalFormatting sqref="E497:E499">
    <cfRule type="expression" dxfId="62" priority="28">
      <formula>#REF!="EXCLUDE"</formula>
    </cfRule>
  </conditionalFormatting>
  <conditionalFormatting sqref="E496">
    <cfRule type="expression" dxfId="61" priority="29">
      <formula>#REF!="EXCLUDE"</formula>
    </cfRule>
  </conditionalFormatting>
  <conditionalFormatting sqref="E500:E502">
    <cfRule type="expression" dxfId="60" priority="30">
      <formula>#REF!="EXCLUDE"</formula>
    </cfRule>
  </conditionalFormatting>
  <conditionalFormatting sqref="E387:E388">
    <cfRule type="expression" dxfId="59" priority="15">
      <formula>$G387="EXCLUDE"</formula>
    </cfRule>
  </conditionalFormatting>
  <conditionalFormatting sqref="E399:E400">
    <cfRule type="expression" dxfId="58" priority="14">
      <formula>$G399="EXCLUDE"</formula>
    </cfRule>
  </conditionalFormatting>
  <conditionalFormatting sqref="E411:E412">
    <cfRule type="expression" dxfId="57" priority="13">
      <formula>$G411="EXCLUDE"</formula>
    </cfRule>
  </conditionalFormatting>
  <conditionalFormatting sqref="E423:E424">
    <cfRule type="expression" dxfId="56" priority="12">
      <formula>$G423="EXCLUDE"</formula>
    </cfRule>
  </conditionalFormatting>
  <conditionalFormatting sqref="E435:E436">
    <cfRule type="expression" dxfId="55" priority="11">
      <formula>$G435="EXCLUDE"</formula>
    </cfRule>
  </conditionalFormatting>
  <conditionalFormatting sqref="E447:E448">
    <cfRule type="expression" dxfId="54" priority="10">
      <formula>$G447="EXCLUDE"</formula>
    </cfRule>
  </conditionalFormatting>
  <conditionalFormatting sqref="E459:E460">
    <cfRule type="expression" dxfId="53" priority="9">
      <formula>$G459="EXCLUDE"</formula>
    </cfRule>
  </conditionalFormatting>
  <conditionalFormatting sqref="E471:E472">
    <cfRule type="expression" dxfId="52" priority="8">
      <formula>$G471="EXCLUDE"</formula>
    </cfRule>
  </conditionalFormatting>
  <conditionalFormatting sqref="E483:E484">
    <cfRule type="expression" dxfId="51" priority="7">
      <formula>$G483="EXCLUDE"</formula>
    </cfRule>
  </conditionalFormatting>
  <conditionalFormatting sqref="E267:E268">
    <cfRule type="expression" dxfId="50" priority="6">
      <formula>$G267="EXCLUDE"</formula>
    </cfRule>
  </conditionalFormatting>
  <conditionalFormatting sqref="C241">
    <cfRule type="expression" dxfId="49" priority="5">
      <formula>$G241="EXCLUDE"</formula>
    </cfRule>
  </conditionalFormatting>
  <conditionalFormatting sqref="C253">
    <cfRule type="expression" dxfId="48" priority="4">
      <formula>$G253="EXCLUDE"</formula>
    </cfRule>
  </conditionalFormatting>
  <conditionalFormatting sqref="C265">
    <cfRule type="expression" dxfId="47" priority="3">
      <formula>$G265="EXCLUDE"</formula>
    </cfRule>
  </conditionalFormatting>
  <conditionalFormatting sqref="C243:C252">
    <cfRule type="expression" dxfId="46" priority="2">
      <formula>$G243="EXCLUDE"</formula>
    </cfRule>
  </conditionalFormatting>
  <conditionalFormatting sqref="C266:C276">
    <cfRule type="expression" dxfId="45"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1" t="s">
        <v>1457</v>
      </c>
      <c r="B1" s="1671"/>
      <c r="C1" s="1671"/>
      <c r="D1" s="1671"/>
      <c r="E1" s="1671"/>
      <c r="F1" s="1671" t="s">
        <v>1458</v>
      </c>
      <c r="G1" s="1671"/>
      <c r="H1" s="1671"/>
      <c r="I1" s="1671" t="s">
        <v>1459</v>
      </c>
      <c r="J1" s="1671"/>
      <c r="K1" s="1671"/>
      <c r="L1" s="1671" t="s">
        <v>1460</v>
      </c>
      <c r="M1" s="1671"/>
      <c r="N1" s="1671"/>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92"/>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92"/>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92"/>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92"/>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92"/>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92"/>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92"/>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92"/>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92"/>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92"/>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92"/>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92"/>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92"/>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92"/>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92"/>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92"/>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92"/>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92"/>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92"/>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92"/>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92"/>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92"/>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92"/>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92"/>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92"/>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92"/>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92"/>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92"/>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92"/>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92"/>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92"/>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92"/>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92"/>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92"/>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92"/>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92"/>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92"/>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92"/>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92"/>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92"/>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92"/>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92"/>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2"/>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2"/>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92"/>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92"/>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92"/>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92"/>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92"/>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92"/>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2"/>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92"/>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92"/>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92"/>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92"/>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92"/>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92"/>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92"/>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92"/>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92"/>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92"/>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92"/>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92"/>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92"/>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92"/>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92"/>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92"/>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92"/>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92"/>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92"/>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92"/>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92"/>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92"/>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92"/>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92"/>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92"/>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92"/>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92"/>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92"/>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92"/>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92"/>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92"/>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92"/>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92"/>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92"/>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92"/>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92"/>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92"/>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92"/>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92"/>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92"/>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92"/>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92"/>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92"/>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92"/>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92"/>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92"/>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92"/>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92"/>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92"/>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92"/>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92"/>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92"/>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92"/>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92"/>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92"/>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92"/>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92"/>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92"/>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92"/>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92"/>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92"/>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92"/>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92"/>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92"/>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92"/>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92"/>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92"/>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92"/>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92"/>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92"/>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92"/>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92"/>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92"/>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92"/>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92"/>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92"/>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92"/>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92"/>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92"/>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92"/>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92"/>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92"/>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92"/>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92"/>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92"/>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92"/>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92"/>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92"/>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92"/>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92"/>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92"/>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92"/>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92"/>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92"/>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92"/>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92"/>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92"/>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92"/>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92"/>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92"/>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92"/>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92"/>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92"/>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92"/>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92"/>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92"/>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92"/>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92"/>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92"/>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92"/>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92"/>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92"/>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92"/>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92"/>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92"/>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92"/>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92"/>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92"/>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92"/>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92"/>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92"/>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92"/>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92"/>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92"/>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92"/>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92"/>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92"/>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92"/>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92"/>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92"/>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92"/>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92"/>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92"/>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92"/>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92"/>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92"/>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92"/>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92"/>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92"/>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92"/>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92"/>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92"/>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92"/>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92"/>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92"/>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92"/>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92"/>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92"/>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92"/>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92"/>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92"/>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92"/>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92"/>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92"/>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92"/>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92"/>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92"/>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92"/>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92"/>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92"/>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92"/>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92"/>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92"/>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92"/>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92"/>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92"/>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92"/>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92"/>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92"/>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92"/>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92"/>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92"/>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92"/>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92"/>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92"/>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92"/>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92"/>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92"/>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92"/>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92"/>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92"/>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92"/>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92"/>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92"/>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92"/>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92"/>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92"/>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92"/>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92"/>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92"/>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92"/>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92"/>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92"/>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92"/>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92"/>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92"/>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92"/>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92"/>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92"/>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92"/>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92"/>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92"/>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92"/>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92"/>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92"/>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92"/>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92"/>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92"/>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92"/>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92"/>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92"/>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92"/>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92"/>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92"/>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92"/>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92"/>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92"/>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92"/>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92"/>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92"/>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92"/>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92"/>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92"/>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92"/>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92"/>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92"/>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92"/>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92"/>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92"/>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92"/>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92"/>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92"/>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92"/>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92"/>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92"/>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92"/>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92"/>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92"/>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92"/>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92"/>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92"/>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92"/>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92"/>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92"/>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92"/>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92"/>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92"/>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92"/>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92"/>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92"/>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92"/>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92"/>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92"/>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92"/>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92"/>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92"/>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92"/>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92"/>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92"/>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92"/>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92"/>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92"/>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92"/>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92"/>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92"/>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92"/>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92"/>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92"/>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92"/>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92"/>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92"/>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92"/>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92"/>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92"/>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92"/>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92"/>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92"/>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92"/>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92"/>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92"/>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92"/>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92"/>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92"/>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92"/>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92"/>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92"/>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92"/>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92"/>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92"/>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92"/>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92"/>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92"/>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92"/>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92"/>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92"/>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92"/>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92"/>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92"/>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92"/>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92"/>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92"/>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92"/>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92"/>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92"/>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92"/>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92"/>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92"/>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92"/>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92"/>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92"/>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92"/>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92"/>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92"/>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92"/>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92"/>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92"/>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92"/>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92"/>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92"/>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92"/>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92"/>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92"/>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92"/>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92"/>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92"/>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92"/>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92"/>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92"/>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92"/>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92"/>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92"/>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92"/>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92"/>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92"/>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92"/>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92"/>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92"/>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92"/>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92"/>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92"/>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92"/>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92"/>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92"/>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92"/>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92"/>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92"/>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92"/>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92"/>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92"/>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92"/>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92"/>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92"/>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92"/>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92"/>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92"/>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92"/>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92"/>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92"/>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92"/>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92"/>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92"/>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92"/>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92"/>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92"/>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92"/>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92"/>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92"/>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92"/>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92"/>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92"/>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92"/>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92"/>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92"/>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92"/>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92"/>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92"/>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92"/>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92"/>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92"/>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92"/>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92"/>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92"/>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92"/>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92"/>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92"/>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92"/>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92"/>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92"/>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92"/>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92"/>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92"/>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92"/>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92"/>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92"/>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92"/>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92"/>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92"/>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92"/>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92"/>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92"/>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92"/>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92"/>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92"/>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92"/>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92"/>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92"/>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92"/>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92"/>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92"/>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92"/>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92"/>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92"/>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92"/>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92"/>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92"/>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92"/>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92"/>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92"/>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92"/>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92"/>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92"/>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92"/>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92"/>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92"/>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92"/>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92"/>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92"/>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92"/>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92"/>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92"/>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92"/>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92"/>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92"/>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92"/>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92"/>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92"/>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92"/>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92"/>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92"/>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92"/>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92"/>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92"/>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92"/>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92"/>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92"/>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92"/>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92"/>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92"/>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92"/>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92"/>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92"/>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92"/>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92"/>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92"/>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92"/>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92"/>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92"/>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92"/>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92"/>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92"/>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92"/>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92"/>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92"/>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92"/>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92"/>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92"/>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92"/>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92"/>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92"/>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92"/>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92"/>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92"/>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92"/>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92"/>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92"/>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92"/>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92"/>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92"/>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92"/>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92"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93">
        <v>516</v>
      </c>
      <c r="N533" s="1293"/>
      <c r="O533" s="1292">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93">
        <v>517</v>
      </c>
      <c r="N534" s="1293"/>
      <c r="O534" s="1292" t="s">
        <v>743</v>
      </c>
    </row>
    <row r="535" spans="1:15" x14ac:dyDescent="0.25">
      <c r="A535" s="1160" t="s">
        <v>1502</v>
      </c>
      <c r="B535" s="1119" t="str">
        <f t="shared" ca="1" si="90"/>
        <v>C9</v>
      </c>
      <c r="C535" s="1119" t="str">
        <f t="shared" ca="1" si="91"/>
        <v>D9</v>
      </c>
      <c r="D535" s="1119" t="s">
        <v>1466</v>
      </c>
      <c r="E535" s="1119" t="s">
        <v>1638</v>
      </c>
      <c r="L535" s="1119" t="s">
        <v>1502</v>
      </c>
      <c r="M535" s="1293">
        <v>525</v>
      </c>
      <c r="N535" s="1293"/>
      <c r="O535" s="1292">
        <v>16</v>
      </c>
    </row>
    <row r="536" spans="1:15" x14ac:dyDescent="0.25">
      <c r="A536" s="1160" t="s">
        <v>1503</v>
      </c>
      <c r="B536" s="1119" t="str">
        <f t="shared" ca="1" si="90"/>
        <v>C11</v>
      </c>
      <c r="C536" s="1119" t="str">
        <f t="shared" ca="1" si="91"/>
        <v>D11</v>
      </c>
      <c r="D536" s="1119" t="s">
        <v>1466</v>
      </c>
      <c r="E536" s="1119" t="s">
        <v>1638</v>
      </c>
      <c r="L536" s="1119" t="s">
        <v>1503</v>
      </c>
      <c r="M536" s="1293">
        <v>526</v>
      </c>
      <c r="N536" s="1293"/>
      <c r="O536" s="1292"/>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93">
        <v>527</v>
      </c>
      <c r="N537" s="1293"/>
      <c r="O537" s="1292"/>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93">
        <v>518</v>
      </c>
      <c r="N538" s="1293"/>
      <c r="O538" s="1292"/>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93">
        <v>519</v>
      </c>
      <c r="N539" s="1293"/>
      <c r="O539" s="1292"/>
    </row>
    <row r="540" spans="1:15" x14ac:dyDescent="0.25">
      <c r="A540" s="1160" t="s">
        <v>1514</v>
      </c>
      <c r="B540" s="1119" t="str">
        <f t="shared" ca="1" si="92"/>
        <v>L5</v>
      </c>
      <c r="C540" s="1119" t="str">
        <f t="shared" ca="1" si="93"/>
        <v>L6</v>
      </c>
      <c r="D540" s="1119" t="s">
        <v>1466</v>
      </c>
      <c r="E540" s="1119" t="s">
        <v>1638</v>
      </c>
      <c r="L540" s="1119" t="s">
        <v>1514</v>
      </c>
      <c r="M540" s="1293">
        <v>520</v>
      </c>
      <c r="N540" s="1293"/>
      <c r="O540" s="1292"/>
    </row>
    <row r="541" spans="1:15" x14ac:dyDescent="0.25">
      <c r="A541" s="1160" t="s">
        <v>1499</v>
      </c>
      <c r="B541" s="1119" t="str">
        <f t="shared" ca="1" si="92"/>
        <v>N5</v>
      </c>
      <c r="C541" s="1119" t="str">
        <f t="shared" ca="1" si="93"/>
        <v>N6</v>
      </c>
      <c r="D541" s="1119" t="s">
        <v>1466</v>
      </c>
      <c r="E541" s="1119" t="s">
        <v>1638</v>
      </c>
      <c r="L541" s="1119" t="s">
        <v>1499</v>
      </c>
      <c r="M541" s="1293">
        <v>521</v>
      </c>
      <c r="N541" s="1293"/>
      <c r="O541" s="1292"/>
    </row>
    <row r="542" spans="1:15" x14ac:dyDescent="0.25">
      <c r="A542" s="1160" t="s">
        <v>1608</v>
      </c>
      <c r="B542" s="1119" t="str">
        <f t="shared" ca="1" si="92"/>
        <v>P5</v>
      </c>
      <c r="C542" s="1119" t="str">
        <f t="shared" ca="1" si="93"/>
        <v>P6</v>
      </c>
      <c r="D542" s="1119" t="s">
        <v>1466</v>
      </c>
      <c r="E542" s="1119" t="s">
        <v>1638</v>
      </c>
      <c r="L542" s="1119" t="s">
        <v>1608</v>
      </c>
      <c r="M542" s="1293">
        <v>522</v>
      </c>
      <c r="N542" s="1293"/>
      <c r="O542" s="1292"/>
    </row>
    <row r="543" spans="1:15" x14ac:dyDescent="0.25">
      <c r="A543" s="1160" t="s">
        <v>1609</v>
      </c>
      <c r="B543" s="1119" t="str">
        <f t="shared" ca="1" si="92"/>
        <v>R5</v>
      </c>
      <c r="C543" s="1119" t="str">
        <f t="shared" ca="1" si="93"/>
        <v>R6</v>
      </c>
      <c r="D543" s="1119" t="s">
        <v>1466</v>
      </c>
      <c r="E543" s="1119" t="s">
        <v>1638</v>
      </c>
      <c r="L543" s="1119" t="s">
        <v>1609</v>
      </c>
      <c r="M543" s="1293">
        <v>523</v>
      </c>
      <c r="N543" s="1293"/>
      <c r="O543" s="1292"/>
    </row>
    <row r="544" spans="1:15" x14ac:dyDescent="0.25">
      <c r="A544" s="1160" t="s">
        <v>1610</v>
      </c>
      <c r="B544" s="1119" t="str">
        <f t="shared" ca="1" si="92"/>
        <v>T5</v>
      </c>
      <c r="C544" s="1119" t="str">
        <f t="shared" ca="1" si="93"/>
        <v>T6</v>
      </c>
      <c r="D544" s="1119" t="s">
        <v>1466</v>
      </c>
      <c r="E544" s="1119" t="s">
        <v>1638</v>
      </c>
      <c r="L544" s="1119" t="s">
        <v>1610</v>
      </c>
      <c r="M544" s="1293">
        <v>524</v>
      </c>
      <c r="N544" s="1293"/>
      <c r="O544" s="1292"/>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93">
        <v>529</v>
      </c>
      <c r="N545" s="1293"/>
      <c r="O545" s="1292"/>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93">
        <v>528</v>
      </c>
      <c r="N546" s="1293"/>
      <c r="O546" s="1292"/>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93">
        <v>530</v>
      </c>
      <c r="N547" s="1293"/>
      <c r="O547" s="1292"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93">
        <v>531</v>
      </c>
      <c r="N548" s="1293"/>
      <c r="O548" s="1292">
        <v>17</v>
      </c>
    </row>
    <row r="549" spans="1:15" x14ac:dyDescent="0.25">
      <c r="A549" s="1163" t="s">
        <v>1502</v>
      </c>
      <c r="B549" s="1119" t="str">
        <f t="shared" ca="1" si="94"/>
        <v>C23</v>
      </c>
      <c r="C549" s="1119" t="str">
        <f t="shared" ca="1" si="95"/>
        <v>D23</v>
      </c>
      <c r="D549" s="1119" t="s">
        <v>1466</v>
      </c>
      <c r="E549" s="1119" t="s">
        <v>1638</v>
      </c>
      <c r="L549" s="1119" t="s">
        <v>1502</v>
      </c>
      <c r="M549" s="1293">
        <v>539</v>
      </c>
      <c r="N549" s="1293"/>
      <c r="O549" s="1292" t="s">
        <v>743</v>
      </c>
    </row>
    <row r="550" spans="1:15" x14ac:dyDescent="0.25">
      <c r="A550" s="1163" t="s">
        <v>1503</v>
      </c>
      <c r="B550" s="1119" t="str">
        <f t="shared" ca="1" si="94"/>
        <v>C25</v>
      </c>
      <c r="C550" s="1119" t="str">
        <f t="shared" ca="1" si="95"/>
        <v>D25</v>
      </c>
      <c r="D550" s="1119" t="s">
        <v>1466</v>
      </c>
      <c r="E550" s="1119" t="s">
        <v>1638</v>
      </c>
      <c r="L550" s="1119" t="s">
        <v>1503</v>
      </c>
      <c r="M550" s="1293">
        <v>540</v>
      </c>
      <c r="N550" s="1293"/>
      <c r="O550" s="1292">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93">
        <v>541</v>
      </c>
      <c r="N551" s="1293"/>
      <c r="O551" s="1292"/>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93">
        <v>532</v>
      </c>
      <c r="N552" s="1293"/>
      <c r="O552" s="1292"/>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93">
        <v>533</v>
      </c>
      <c r="N553" s="1293"/>
      <c r="O553" s="1292"/>
    </row>
    <row r="554" spans="1:15" x14ac:dyDescent="0.25">
      <c r="A554" s="1163" t="s">
        <v>1514</v>
      </c>
      <c r="B554" s="1119" t="str">
        <f t="shared" ca="1" si="96"/>
        <v>L19</v>
      </c>
      <c r="C554" s="1119" t="str">
        <f t="shared" ca="1" si="97"/>
        <v>L20</v>
      </c>
      <c r="D554" s="1119" t="s">
        <v>1466</v>
      </c>
      <c r="E554" s="1119" t="s">
        <v>1638</v>
      </c>
      <c r="L554" s="1119" t="s">
        <v>1514</v>
      </c>
      <c r="M554" s="1293">
        <v>534</v>
      </c>
      <c r="N554" s="1293"/>
      <c r="O554" s="1292"/>
    </row>
    <row r="555" spans="1:15" x14ac:dyDescent="0.25">
      <c r="A555" s="1163" t="s">
        <v>1499</v>
      </c>
      <c r="B555" s="1119" t="str">
        <f t="shared" ca="1" si="96"/>
        <v>N19</v>
      </c>
      <c r="C555" s="1119" t="str">
        <f t="shared" ca="1" si="97"/>
        <v>N20</v>
      </c>
      <c r="D555" s="1119" t="s">
        <v>1466</v>
      </c>
      <c r="E555" s="1119" t="s">
        <v>1638</v>
      </c>
      <c r="L555" s="1119" t="s">
        <v>1499</v>
      </c>
      <c r="M555" s="1293">
        <v>535</v>
      </c>
      <c r="N555" s="1293"/>
      <c r="O555" s="1292"/>
    </row>
    <row r="556" spans="1:15" x14ac:dyDescent="0.25">
      <c r="A556" s="1163" t="s">
        <v>1608</v>
      </c>
      <c r="B556" s="1119" t="str">
        <f t="shared" ca="1" si="96"/>
        <v>P19</v>
      </c>
      <c r="C556" s="1119" t="str">
        <f t="shared" ca="1" si="97"/>
        <v>P20</v>
      </c>
      <c r="D556" s="1119" t="s">
        <v>1466</v>
      </c>
      <c r="E556" s="1119" t="s">
        <v>1638</v>
      </c>
      <c r="L556" s="1119" t="s">
        <v>1608</v>
      </c>
      <c r="M556" s="1293">
        <v>536</v>
      </c>
      <c r="N556" s="1293"/>
      <c r="O556" s="1292"/>
    </row>
    <row r="557" spans="1:15" x14ac:dyDescent="0.25">
      <c r="A557" s="1163" t="s">
        <v>1609</v>
      </c>
      <c r="B557" s="1119" t="str">
        <f t="shared" ca="1" si="96"/>
        <v>R19</v>
      </c>
      <c r="C557" s="1119" t="str">
        <f t="shared" ca="1" si="97"/>
        <v>R20</v>
      </c>
      <c r="D557" s="1119" t="s">
        <v>1466</v>
      </c>
      <c r="E557" s="1119" t="s">
        <v>1638</v>
      </c>
      <c r="L557" s="1119" t="s">
        <v>1609</v>
      </c>
      <c r="M557" s="1293">
        <v>537</v>
      </c>
      <c r="N557" s="1293"/>
      <c r="O557" s="1292"/>
    </row>
    <row r="558" spans="1:15" x14ac:dyDescent="0.25">
      <c r="A558" s="1163" t="s">
        <v>1610</v>
      </c>
      <c r="B558" s="1119" t="str">
        <f t="shared" ca="1" si="96"/>
        <v>T19</v>
      </c>
      <c r="C558" s="1119" t="str">
        <f t="shared" ca="1" si="97"/>
        <v>T20</v>
      </c>
      <c r="D558" s="1119" t="s">
        <v>1466</v>
      </c>
      <c r="E558" s="1119" t="s">
        <v>1638</v>
      </c>
      <c r="L558" s="1119" t="s">
        <v>1610</v>
      </c>
      <c r="M558" s="1293">
        <v>538</v>
      </c>
      <c r="N558" s="1293"/>
      <c r="O558" s="1292"/>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93">
        <v>543</v>
      </c>
      <c r="N559" s="1293"/>
      <c r="O559" s="1292"/>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93">
        <v>542</v>
      </c>
      <c r="N560" s="1293"/>
      <c r="O560" s="1292"/>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93">
        <v>544</v>
      </c>
      <c r="N561" s="1293"/>
      <c r="O561" s="1292"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93">
        <v>545</v>
      </c>
      <c r="N562" s="1293"/>
      <c r="O562" s="1292">
        <v>31</v>
      </c>
    </row>
    <row r="563" spans="1:15" x14ac:dyDescent="0.25">
      <c r="A563" s="1160" t="s">
        <v>1502</v>
      </c>
      <c r="B563" s="1119" t="str">
        <f t="shared" ca="1" si="98"/>
        <v>C37</v>
      </c>
      <c r="C563" s="1119" t="str">
        <f t="shared" ca="1" si="99"/>
        <v>D37</v>
      </c>
      <c r="D563" s="1119" t="s">
        <v>1466</v>
      </c>
      <c r="E563" s="1119" t="s">
        <v>1638</v>
      </c>
      <c r="L563" s="1119" t="s">
        <v>1502</v>
      </c>
      <c r="M563" s="1293">
        <v>553</v>
      </c>
      <c r="N563" s="1293"/>
      <c r="O563" s="1292" t="s">
        <v>743</v>
      </c>
    </row>
    <row r="564" spans="1:15" x14ac:dyDescent="0.25">
      <c r="A564" s="1160" t="s">
        <v>1503</v>
      </c>
      <c r="B564" s="1119" t="str">
        <f t="shared" ca="1" si="98"/>
        <v>C39</v>
      </c>
      <c r="C564" s="1119" t="str">
        <f t="shared" ca="1" si="99"/>
        <v>D39</v>
      </c>
      <c r="D564" s="1119" t="s">
        <v>1466</v>
      </c>
      <c r="E564" s="1119" t="s">
        <v>1638</v>
      </c>
      <c r="L564" s="1119" t="s">
        <v>1503</v>
      </c>
      <c r="M564" s="1293">
        <v>554</v>
      </c>
      <c r="N564" s="1293"/>
      <c r="O564" s="1292">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93">
        <v>555</v>
      </c>
      <c r="N565" s="1293"/>
      <c r="O565" s="1294"/>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93">
        <v>546</v>
      </c>
      <c r="N566" s="1293"/>
      <c r="O566" s="1292"/>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93">
        <v>547</v>
      </c>
      <c r="N567" s="1293"/>
      <c r="O567" s="1292"/>
    </row>
    <row r="568" spans="1:15" x14ac:dyDescent="0.25">
      <c r="A568" s="1160" t="s">
        <v>1514</v>
      </c>
      <c r="B568" s="1119" t="str">
        <f t="shared" ca="1" si="100"/>
        <v>L33</v>
      </c>
      <c r="C568" s="1119" t="str">
        <f t="shared" ca="1" si="101"/>
        <v>L34</v>
      </c>
      <c r="D568" s="1119" t="s">
        <v>1466</v>
      </c>
      <c r="E568" s="1119" t="s">
        <v>1638</v>
      </c>
      <c r="L568" s="1119" t="s">
        <v>1514</v>
      </c>
      <c r="M568" s="1293">
        <v>548</v>
      </c>
      <c r="N568" s="1293"/>
      <c r="O568" s="1292"/>
    </row>
    <row r="569" spans="1:15" x14ac:dyDescent="0.25">
      <c r="A569" s="1160" t="s">
        <v>1499</v>
      </c>
      <c r="B569" s="1119" t="str">
        <f t="shared" ca="1" si="100"/>
        <v>N33</v>
      </c>
      <c r="C569" s="1119" t="str">
        <f t="shared" ca="1" si="101"/>
        <v>N34</v>
      </c>
      <c r="D569" s="1119" t="s">
        <v>1466</v>
      </c>
      <c r="E569" s="1119" t="s">
        <v>1638</v>
      </c>
      <c r="L569" s="1119" t="s">
        <v>1499</v>
      </c>
      <c r="M569" s="1293">
        <v>549</v>
      </c>
      <c r="N569" s="1293"/>
      <c r="O569" s="1292"/>
    </row>
    <row r="570" spans="1:15" x14ac:dyDescent="0.25">
      <c r="A570" s="1160" t="s">
        <v>1608</v>
      </c>
      <c r="B570" s="1119" t="str">
        <f t="shared" ca="1" si="100"/>
        <v>P33</v>
      </c>
      <c r="C570" s="1119" t="str">
        <f t="shared" ca="1" si="101"/>
        <v>P34</v>
      </c>
      <c r="D570" s="1119" t="s">
        <v>1466</v>
      </c>
      <c r="E570" s="1119" t="s">
        <v>1638</v>
      </c>
      <c r="L570" s="1119" t="s">
        <v>1608</v>
      </c>
      <c r="M570" s="1293">
        <v>550</v>
      </c>
      <c r="N570" s="1293"/>
      <c r="O570" s="1292"/>
    </row>
    <row r="571" spans="1:15" x14ac:dyDescent="0.25">
      <c r="A571" s="1160" t="s">
        <v>1609</v>
      </c>
      <c r="B571" s="1119" t="str">
        <f t="shared" ca="1" si="100"/>
        <v>R33</v>
      </c>
      <c r="C571" s="1119" t="str">
        <f t="shared" ca="1" si="101"/>
        <v>R34</v>
      </c>
      <c r="D571" s="1119" t="s">
        <v>1466</v>
      </c>
      <c r="E571" s="1119" t="s">
        <v>1638</v>
      </c>
      <c r="L571" s="1119" t="s">
        <v>1609</v>
      </c>
      <c r="M571" s="1293">
        <v>551</v>
      </c>
      <c r="N571" s="1293"/>
      <c r="O571" s="1292"/>
    </row>
    <row r="572" spans="1:15" x14ac:dyDescent="0.25">
      <c r="A572" s="1160" t="s">
        <v>1610</v>
      </c>
      <c r="B572" s="1119" t="str">
        <f t="shared" ca="1" si="100"/>
        <v>T33</v>
      </c>
      <c r="C572" s="1119" t="str">
        <f t="shared" ca="1" si="101"/>
        <v>T34</v>
      </c>
      <c r="D572" s="1119" t="s">
        <v>1466</v>
      </c>
      <c r="E572" s="1119" t="s">
        <v>1638</v>
      </c>
      <c r="L572" s="1119" t="s">
        <v>1610</v>
      </c>
      <c r="M572" s="1293">
        <v>552</v>
      </c>
      <c r="N572" s="1293"/>
      <c r="O572" s="1292"/>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93">
        <v>556</v>
      </c>
      <c r="N573" s="1293"/>
      <c r="O573" s="1292"/>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93">
        <v>557</v>
      </c>
      <c r="N574" s="1293"/>
      <c r="O574" s="1292"/>
    </row>
    <row r="575" spans="1:15" x14ac:dyDescent="0.25">
      <c r="A575" s="1160" t="s">
        <v>1630</v>
      </c>
      <c r="B575" s="1119" t="str">
        <f t="shared" ca="1" si="102"/>
        <v>P39</v>
      </c>
      <c r="C575" s="1119" t="str">
        <f t="shared" ca="1" si="103"/>
        <v>P40</v>
      </c>
      <c r="D575" s="1119" t="s">
        <v>1466</v>
      </c>
      <c r="E575" s="1119" t="s">
        <v>1638</v>
      </c>
      <c r="L575" s="1119" t="s">
        <v>1630</v>
      </c>
      <c r="M575" s="1293">
        <v>561</v>
      </c>
      <c r="N575" s="1293"/>
      <c r="O575" s="1292"/>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93">
        <v>558</v>
      </c>
      <c r="N576" s="1293"/>
      <c r="O576" s="1292"/>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93">
        <v>559</v>
      </c>
      <c r="N577" s="1293"/>
      <c r="O577" s="1292"/>
    </row>
    <row r="578" spans="1:15" x14ac:dyDescent="0.25">
      <c r="A578" s="1161" t="s">
        <v>1506</v>
      </c>
      <c r="B578" s="1119" t="str">
        <f t="shared" ca="1" si="104"/>
        <v>L36</v>
      </c>
      <c r="C578" s="1119" t="str">
        <f t="shared" ca="1" si="105"/>
        <v>L40</v>
      </c>
      <c r="D578" s="1119" t="s">
        <v>1466</v>
      </c>
      <c r="E578" s="1119" t="s">
        <v>1638</v>
      </c>
      <c r="L578" s="1127" t="s">
        <v>1506</v>
      </c>
      <c r="M578" s="1293">
        <v>560</v>
      </c>
      <c r="N578" s="1293"/>
      <c r="O578" s="1292"/>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93">
        <v>562</v>
      </c>
      <c r="N579" s="1293"/>
      <c r="O579" s="1292"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93">
        <v>563</v>
      </c>
      <c r="N580" s="1293"/>
      <c r="O580" s="1292">
        <v>45</v>
      </c>
    </row>
    <row r="581" spans="1:15" x14ac:dyDescent="0.25">
      <c r="A581" s="1163" t="s">
        <v>1502</v>
      </c>
      <c r="B581" s="1119" t="str">
        <f t="shared" ca="1" si="106"/>
        <v>C51</v>
      </c>
      <c r="C581" s="1119" t="str">
        <f t="shared" ca="1" si="107"/>
        <v>D51</v>
      </c>
      <c r="D581" s="1119" t="s">
        <v>1466</v>
      </c>
      <c r="E581" s="1119" t="s">
        <v>1638</v>
      </c>
      <c r="L581" s="1119" t="s">
        <v>1502</v>
      </c>
      <c r="M581" s="1293">
        <v>571</v>
      </c>
      <c r="N581" s="1293"/>
      <c r="O581" s="1292" t="s">
        <v>743</v>
      </c>
    </row>
    <row r="582" spans="1:15" x14ac:dyDescent="0.25">
      <c r="A582" s="1163" t="s">
        <v>1503</v>
      </c>
      <c r="B582" s="1119" t="str">
        <f t="shared" ca="1" si="106"/>
        <v>C53</v>
      </c>
      <c r="C582" s="1119" t="str">
        <f t="shared" ca="1" si="107"/>
        <v>D53</v>
      </c>
      <c r="D582" s="1119" t="s">
        <v>1466</v>
      </c>
      <c r="E582" s="1119" t="s">
        <v>1638</v>
      </c>
      <c r="L582" s="1119" t="s">
        <v>1503</v>
      </c>
      <c r="M582" s="1293">
        <v>572</v>
      </c>
      <c r="N582" s="1293"/>
      <c r="O582" s="1292">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93">
        <v>573</v>
      </c>
      <c r="N583" s="1293"/>
      <c r="O583" s="1294"/>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93">
        <v>564</v>
      </c>
      <c r="N584" s="1293"/>
      <c r="O584" s="1292"/>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93">
        <v>565</v>
      </c>
      <c r="N585" s="1293"/>
      <c r="O585" s="1292"/>
    </row>
    <row r="586" spans="1:15" x14ac:dyDescent="0.25">
      <c r="A586" s="1163" t="s">
        <v>1514</v>
      </c>
      <c r="B586" s="1119" t="str">
        <f t="shared" ca="1" si="108"/>
        <v>L47</v>
      </c>
      <c r="C586" s="1119" t="str">
        <f t="shared" ca="1" si="109"/>
        <v>L48</v>
      </c>
      <c r="D586" s="1119" t="s">
        <v>1466</v>
      </c>
      <c r="E586" s="1119" t="s">
        <v>1638</v>
      </c>
      <c r="L586" s="1119" t="s">
        <v>1514</v>
      </c>
      <c r="M586" s="1293">
        <v>566</v>
      </c>
      <c r="N586" s="1293"/>
      <c r="O586" s="1292"/>
    </row>
    <row r="587" spans="1:15" x14ac:dyDescent="0.25">
      <c r="A587" s="1163" t="s">
        <v>1499</v>
      </c>
      <c r="B587" s="1119" t="str">
        <f t="shared" ca="1" si="108"/>
        <v>N47</v>
      </c>
      <c r="C587" s="1119" t="str">
        <f t="shared" ca="1" si="109"/>
        <v>N48</v>
      </c>
      <c r="D587" s="1119" t="s">
        <v>1466</v>
      </c>
      <c r="E587" s="1119" t="s">
        <v>1638</v>
      </c>
      <c r="L587" s="1119" t="s">
        <v>1499</v>
      </c>
      <c r="M587" s="1293">
        <v>567</v>
      </c>
      <c r="N587" s="1293"/>
      <c r="O587" s="1292"/>
    </row>
    <row r="588" spans="1:15" x14ac:dyDescent="0.25">
      <c r="A588" s="1163" t="s">
        <v>1608</v>
      </c>
      <c r="B588" s="1119" t="str">
        <f t="shared" ca="1" si="108"/>
        <v>P47</v>
      </c>
      <c r="C588" s="1119" t="str">
        <f t="shared" ca="1" si="109"/>
        <v>P48</v>
      </c>
      <c r="D588" s="1119" t="s">
        <v>1466</v>
      </c>
      <c r="E588" s="1119" t="s">
        <v>1638</v>
      </c>
      <c r="L588" s="1119" t="s">
        <v>1608</v>
      </c>
      <c r="M588" s="1293">
        <v>568</v>
      </c>
      <c r="N588" s="1293"/>
      <c r="O588" s="1292"/>
    </row>
    <row r="589" spans="1:15" x14ac:dyDescent="0.25">
      <c r="A589" s="1163" t="s">
        <v>1609</v>
      </c>
      <c r="B589" s="1119" t="str">
        <f t="shared" ca="1" si="108"/>
        <v>R47</v>
      </c>
      <c r="C589" s="1119" t="str">
        <f t="shared" ca="1" si="109"/>
        <v>R48</v>
      </c>
      <c r="D589" s="1119" t="s">
        <v>1466</v>
      </c>
      <c r="E589" s="1119" t="s">
        <v>1638</v>
      </c>
      <c r="L589" s="1119" t="s">
        <v>1609</v>
      </c>
      <c r="M589" s="1293">
        <v>569</v>
      </c>
      <c r="N589" s="1293"/>
      <c r="O589" s="1292"/>
    </row>
    <row r="590" spans="1:15" x14ac:dyDescent="0.25">
      <c r="A590" s="1163" t="s">
        <v>1610</v>
      </c>
      <c r="B590" s="1119" t="str">
        <f t="shared" ca="1" si="108"/>
        <v>T47</v>
      </c>
      <c r="C590" s="1119" t="str">
        <f t="shared" ca="1" si="109"/>
        <v>T48</v>
      </c>
      <c r="D590" s="1119" t="s">
        <v>1466</v>
      </c>
      <c r="E590" s="1119" t="s">
        <v>1638</v>
      </c>
      <c r="L590" s="1119" t="s">
        <v>1610</v>
      </c>
      <c r="M590" s="1293">
        <v>570</v>
      </c>
      <c r="N590" s="1293"/>
      <c r="O590" s="1292"/>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93">
        <v>574</v>
      </c>
      <c r="N591" s="1293"/>
      <c r="O591" s="1292"/>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93">
        <v>575</v>
      </c>
      <c r="N592" s="1293"/>
      <c r="O592" s="1292"/>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93">
        <v>579</v>
      </c>
      <c r="N593" s="1293"/>
      <c r="O593" s="1292"/>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93">
        <v>576</v>
      </c>
      <c r="N594" s="1293"/>
      <c r="O594" s="1292"/>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93">
        <v>577</v>
      </c>
      <c r="N595" s="1293"/>
      <c r="O595" s="1292"/>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93">
        <v>578</v>
      </c>
      <c r="N596" s="1293"/>
      <c r="O596" s="1292"/>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93">
        <v>580</v>
      </c>
      <c r="N597" s="1293"/>
      <c r="O597" s="1292"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93">
        <v>581</v>
      </c>
      <c r="N598" s="1293"/>
      <c r="O598" s="1292">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93">
        <v>582</v>
      </c>
      <c r="N599" s="1293"/>
      <c r="O599" s="1292" t="s">
        <v>743</v>
      </c>
    </row>
    <row r="600" spans="1:15" x14ac:dyDescent="0.25">
      <c r="A600" s="1161" t="s">
        <v>1498</v>
      </c>
      <c r="B600" s="1119" t="str">
        <f t="shared" ca="1" si="112"/>
        <v>J61</v>
      </c>
      <c r="C600" s="1119" t="str">
        <f t="shared" ca="1" si="113"/>
        <v>J62</v>
      </c>
      <c r="D600" s="1119" t="s">
        <v>1466</v>
      </c>
      <c r="E600" s="1119" t="s">
        <v>1638</v>
      </c>
      <c r="L600" s="1119" t="s">
        <v>1498</v>
      </c>
      <c r="M600" s="1293">
        <v>583</v>
      </c>
      <c r="N600" s="1293"/>
      <c r="O600" s="1292">
        <v>74</v>
      </c>
    </row>
    <row r="601" spans="1:15" x14ac:dyDescent="0.25">
      <c r="A601" s="1161" t="s">
        <v>1514</v>
      </c>
      <c r="B601" s="1119" t="str">
        <f t="shared" ca="1" si="112"/>
        <v>L61</v>
      </c>
      <c r="C601" s="1119" t="str">
        <f t="shared" ca="1" si="113"/>
        <v>L62</v>
      </c>
      <c r="D601" s="1119" t="s">
        <v>1466</v>
      </c>
      <c r="E601" s="1119" t="s">
        <v>1638</v>
      </c>
      <c r="L601" s="1119" t="s">
        <v>1514</v>
      </c>
      <c r="M601" s="1293">
        <v>584</v>
      </c>
      <c r="N601" s="1293"/>
      <c r="O601" s="1292"/>
    </row>
    <row r="602" spans="1:15" x14ac:dyDescent="0.25">
      <c r="A602" s="1161" t="s">
        <v>1499</v>
      </c>
      <c r="B602" s="1119" t="str">
        <f t="shared" ca="1" si="112"/>
        <v>N61</v>
      </c>
      <c r="C602" s="1119" t="str">
        <f t="shared" ca="1" si="113"/>
        <v>N62</v>
      </c>
      <c r="D602" s="1119" t="s">
        <v>1466</v>
      </c>
      <c r="E602" s="1119" t="s">
        <v>1638</v>
      </c>
      <c r="L602" s="1119" t="s">
        <v>1499</v>
      </c>
      <c r="M602" s="1293">
        <v>585</v>
      </c>
      <c r="N602" s="1293"/>
      <c r="O602" s="1292"/>
    </row>
    <row r="603" spans="1:15" x14ac:dyDescent="0.25">
      <c r="A603" s="1161" t="s">
        <v>1608</v>
      </c>
      <c r="B603" s="1119" t="str">
        <f t="shared" ca="1" si="112"/>
        <v>P61</v>
      </c>
      <c r="C603" s="1119" t="str">
        <f t="shared" ca="1" si="113"/>
        <v>P62</v>
      </c>
      <c r="D603" s="1119" t="s">
        <v>1466</v>
      </c>
      <c r="E603" s="1119" t="s">
        <v>1638</v>
      </c>
      <c r="L603" s="1119" t="s">
        <v>1608</v>
      </c>
      <c r="M603" s="1293">
        <v>586</v>
      </c>
      <c r="N603" s="1293"/>
      <c r="O603" s="1292"/>
    </row>
    <row r="604" spans="1:15" x14ac:dyDescent="0.25">
      <c r="A604" s="1161" t="s">
        <v>1609</v>
      </c>
      <c r="B604" s="1119" t="str">
        <f t="shared" ca="1" si="112"/>
        <v>R61</v>
      </c>
      <c r="C604" s="1119" t="str">
        <f t="shared" ca="1" si="113"/>
        <v>R62</v>
      </c>
      <c r="D604" s="1119" t="s">
        <v>1466</v>
      </c>
      <c r="E604" s="1119" t="s">
        <v>1638</v>
      </c>
      <c r="L604" s="1119" t="s">
        <v>1609</v>
      </c>
      <c r="M604" s="1293">
        <v>587</v>
      </c>
      <c r="N604" s="1293"/>
      <c r="O604" s="1292"/>
    </row>
    <row r="605" spans="1:15" x14ac:dyDescent="0.25">
      <c r="A605" s="1161" t="s">
        <v>1610</v>
      </c>
      <c r="B605" s="1119" t="str">
        <f t="shared" ca="1" si="112"/>
        <v>T61</v>
      </c>
      <c r="C605" s="1119" t="str">
        <f t="shared" ca="1" si="113"/>
        <v>T62</v>
      </c>
      <c r="D605" s="1119" t="s">
        <v>1466</v>
      </c>
      <c r="E605" s="1119" t="s">
        <v>1638</v>
      </c>
      <c r="L605" s="1119" t="s">
        <v>1610</v>
      </c>
      <c r="M605" s="1293">
        <v>588</v>
      </c>
      <c r="N605" s="1293"/>
      <c r="O605" s="1292"/>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93">
        <v>589</v>
      </c>
      <c r="N606" s="1293"/>
      <c r="O606" s="1292"/>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93">
        <v>590</v>
      </c>
      <c r="N607" s="1293"/>
      <c r="O607" s="1292"/>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93">
        <v>591</v>
      </c>
      <c r="N608" s="1293"/>
      <c r="O608" s="1292"/>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93">
        <v>592</v>
      </c>
      <c r="N609" s="1293"/>
      <c r="O609" s="1292"/>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93">
        <v>593</v>
      </c>
      <c r="N610" s="1293"/>
      <c r="O610" s="1292"/>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93">
        <v>594</v>
      </c>
      <c r="N611" s="1293"/>
      <c r="O611" s="1292"/>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93">
        <v>595</v>
      </c>
      <c r="N612" s="1293"/>
      <c r="O612" s="1292"/>
    </row>
    <row r="613" spans="1:15" x14ac:dyDescent="0.25">
      <c r="A613" s="1161" t="s">
        <v>1506</v>
      </c>
      <c r="B613" s="1119" t="str">
        <f t="shared" ca="1" si="114"/>
        <v>L65</v>
      </c>
      <c r="C613" s="1119" t="str">
        <f t="shared" ca="1" si="115"/>
        <v>L</v>
      </c>
      <c r="D613" s="1119" t="s">
        <v>1473</v>
      </c>
      <c r="E613" s="1119" t="s">
        <v>1638</v>
      </c>
      <c r="L613" s="1119" t="s">
        <v>1506</v>
      </c>
      <c r="M613" s="1293">
        <v>596</v>
      </c>
      <c r="N613" s="1293"/>
      <c r="O613" s="1292"/>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93">
        <v>597</v>
      </c>
      <c r="N614" s="1293"/>
      <c r="O614" s="1292"/>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93">
        <v>598</v>
      </c>
      <c r="N615" s="1293"/>
      <c r="O615" s="1292"/>
    </row>
    <row r="616" spans="1:15" x14ac:dyDescent="0.25">
      <c r="A616" s="1161" t="s">
        <v>1506</v>
      </c>
      <c r="B616" s="1119" t="str">
        <f t="shared" ca="1" si="116"/>
        <v>L66</v>
      </c>
      <c r="C616" s="1119" t="str">
        <f t="shared" ca="1" si="115"/>
        <v>L</v>
      </c>
      <c r="D616" s="1119" t="s">
        <v>1473</v>
      </c>
      <c r="E616" s="1119" t="s">
        <v>1638</v>
      </c>
      <c r="L616" s="1119" t="s">
        <v>1506</v>
      </c>
      <c r="M616" s="1293">
        <v>599</v>
      </c>
      <c r="N616" s="1293"/>
      <c r="O616" s="1292"/>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93">
        <v>600</v>
      </c>
      <c r="N617" s="1293"/>
      <c r="O617" s="1292"/>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93">
        <v>601</v>
      </c>
      <c r="N618" s="1293"/>
      <c r="O618" s="1292"/>
    </row>
    <row r="619" spans="1:15" x14ac:dyDescent="0.25">
      <c r="A619" s="1161" t="s">
        <v>1506</v>
      </c>
      <c r="B619" s="1119" t="str">
        <f t="shared" ca="1" si="117"/>
        <v>L67</v>
      </c>
      <c r="C619" s="1119" t="str">
        <f t="shared" ca="1" si="115"/>
        <v>L</v>
      </c>
      <c r="D619" s="1119" t="s">
        <v>1473</v>
      </c>
      <c r="E619" s="1119" t="s">
        <v>1638</v>
      </c>
      <c r="L619" s="1119" t="s">
        <v>1506</v>
      </c>
      <c r="M619" s="1293">
        <v>602</v>
      </c>
      <c r="N619" s="1293"/>
      <c r="O619" s="1292"/>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93">
        <v>603</v>
      </c>
      <c r="N620" s="1293"/>
      <c r="O620" s="1292"/>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93">
        <v>604</v>
      </c>
      <c r="N621" s="1293"/>
      <c r="O621" s="1292"/>
    </row>
    <row r="622" spans="1:15" x14ac:dyDescent="0.25">
      <c r="A622" s="1161" t="s">
        <v>1506</v>
      </c>
      <c r="B622" s="1119" t="str">
        <f t="shared" ca="1" si="118"/>
        <v>L68</v>
      </c>
      <c r="C622" s="1119" t="str">
        <f t="shared" ca="1" si="115"/>
        <v>L</v>
      </c>
      <c r="D622" s="1119" t="s">
        <v>1473</v>
      </c>
      <c r="E622" s="1119" t="s">
        <v>1638</v>
      </c>
      <c r="L622" s="1119" t="s">
        <v>1506</v>
      </c>
      <c r="M622" s="1293">
        <v>605</v>
      </c>
      <c r="N622" s="1293"/>
      <c r="O622" s="1292"/>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93">
        <v>606</v>
      </c>
      <c r="N623" s="1293"/>
      <c r="O623" s="1292"/>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93">
        <v>607</v>
      </c>
      <c r="N624" s="1293"/>
      <c r="O624" s="1292"/>
    </row>
    <row r="625" spans="1:15" x14ac:dyDescent="0.25">
      <c r="A625" s="1161" t="s">
        <v>1506</v>
      </c>
      <c r="B625" s="1119" t="str">
        <f t="shared" ca="1" si="119"/>
        <v>L69</v>
      </c>
      <c r="C625" s="1119" t="str">
        <f t="shared" ca="1" si="115"/>
        <v>L</v>
      </c>
      <c r="D625" s="1119" t="s">
        <v>1473</v>
      </c>
      <c r="E625" s="1119" t="s">
        <v>1638</v>
      </c>
      <c r="L625" s="1119" t="s">
        <v>1506</v>
      </c>
      <c r="M625" s="1293">
        <v>608</v>
      </c>
      <c r="N625" s="1293"/>
      <c r="O625" s="1292"/>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93">
        <v>609</v>
      </c>
      <c r="N626" s="1293"/>
      <c r="O626" s="1292"/>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93">
        <v>610</v>
      </c>
      <c r="N627" s="1293"/>
      <c r="O627" s="1292"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93">
        <v>611</v>
      </c>
      <c r="N628" s="1293"/>
      <c r="O628" s="1292">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93">
        <v>612</v>
      </c>
      <c r="N629" s="1293"/>
      <c r="O629" s="1292"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93">
        <v>613</v>
      </c>
      <c r="N630" s="1293"/>
      <c r="O630" s="1292">
        <v>90</v>
      </c>
    </row>
    <row r="631" spans="1:15" x14ac:dyDescent="0.25">
      <c r="A631" s="1164" t="s">
        <v>1514</v>
      </c>
      <c r="B631" s="1119" t="str">
        <f t="shared" ca="1" si="120"/>
        <v>L77</v>
      </c>
      <c r="C631" s="1119" t="str">
        <f t="shared" ca="1" si="121"/>
        <v>L78</v>
      </c>
      <c r="D631" s="1119" t="s">
        <v>1466</v>
      </c>
      <c r="E631" s="1119" t="s">
        <v>1638</v>
      </c>
      <c r="L631" s="1119" t="s">
        <v>1514</v>
      </c>
      <c r="M631" s="1293">
        <v>614</v>
      </c>
      <c r="N631" s="1293"/>
      <c r="O631" s="1292"/>
    </row>
    <row r="632" spans="1:15" x14ac:dyDescent="0.25">
      <c r="A632" s="1164" t="s">
        <v>1499</v>
      </c>
      <c r="B632" s="1119" t="str">
        <f t="shared" ca="1" si="120"/>
        <v>N77</v>
      </c>
      <c r="C632" s="1119" t="str">
        <f t="shared" ca="1" si="121"/>
        <v>N78</v>
      </c>
      <c r="D632" s="1119" t="s">
        <v>1466</v>
      </c>
      <c r="E632" s="1119" t="s">
        <v>1638</v>
      </c>
      <c r="L632" s="1119" t="s">
        <v>1499</v>
      </c>
      <c r="M632" s="1293">
        <v>615</v>
      </c>
      <c r="N632" s="1293"/>
      <c r="O632" s="1292"/>
    </row>
    <row r="633" spans="1:15" x14ac:dyDescent="0.25">
      <c r="A633" s="1164" t="s">
        <v>1608</v>
      </c>
      <c r="B633" s="1119" t="str">
        <f t="shared" ca="1" si="120"/>
        <v>P77</v>
      </c>
      <c r="C633" s="1119" t="str">
        <f t="shared" ca="1" si="121"/>
        <v>P78</v>
      </c>
      <c r="D633" s="1119" t="s">
        <v>1466</v>
      </c>
      <c r="E633" s="1119" t="s">
        <v>1638</v>
      </c>
      <c r="L633" s="1119" t="s">
        <v>1608</v>
      </c>
      <c r="M633" s="1293">
        <v>616</v>
      </c>
      <c r="N633" s="1293"/>
      <c r="O633" s="1292"/>
    </row>
    <row r="634" spans="1:15" x14ac:dyDescent="0.25">
      <c r="A634" s="1164" t="s">
        <v>1609</v>
      </c>
      <c r="B634" s="1119" t="str">
        <f t="shared" ca="1" si="120"/>
        <v>R77</v>
      </c>
      <c r="C634" s="1119" t="str">
        <f t="shared" ca="1" si="121"/>
        <v>R78</v>
      </c>
      <c r="D634" s="1119" t="s">
        <v>1466</v>
      </c>
      <c r="E634" s="1119" t="s">
        <v>1638</v>
      </c>
      <c r="L634" s="1119" t="s">
        <v>1609</v>
      </c>
      <c r="M634" s="1293">
        <v>617</v>
      </c>
      <c r="N634" s="1293"/>
      <c r="O634" s="1292"/>
    </row>
    <row r="635" spans="1:15" x14ac:dyDescent="0.25">
      <c r="A635" s="1164" t="s">
        <v>1610</v>
      </c>
      <c r="B635" s="1119" t="str">
        <f t="shared" ca="1" si="120"/>
        <v>T77</v>
      </c>
      <c r="C635" s="1119" t="str">
        <f t="shared" ca="1" si="121"/>
        <v>T78</v>
      </c>
      <c r="D635" s="1119" t="s">
        <v>1466</v>
      </c>
      <c r="E635" s="1119" t="s">
        <v>1638</v>
      </c>
      <c r="L635" s="1119" t="s">
        <v>1610</v>
      </c>
      <c r="M635" s="1293">
        <v>618</v>
      </c>
      <c r="N635" s="1293"/>
      <c r="O635" s="1292"/>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93">
        <v>619</v>
      </c>
      <c r="N636" s="1293"/>
      <c r="O636" s="1292"/>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93">
        <v>620</v>
      </c>
      <c r="N637" s="1293"/>
      <c r="O637" s="1292"/>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93">
        <v>621</v>
      </c>
      <c r="N638" s="1293"/>
      <c r="O638" s="1292"/>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93">
        <v>622</v>
      </c>
      <c r="N639" s="1293"/>
      <c r="O639" s="1292"/>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93">
        <v>623</v>
      </c>
      <c r="N640" s="1293"/>
      <c r="O640" s="1292"/>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93">
        <v>624</v>
      </c>
      <c r="N641" s="1293"/>
      <c r="O641" s="1292"/>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93">
        <v>625</v>
      </c>
      <c r="N642" s="1293"/>
      <c r="O642" s="1292"/>
    </row>
    <row r="643" spans="1:15" x14ac:dyDescent="0.25">
      <c r="A643" s="1164" t="s">
        <v>1506</v>
      </c>
      <c r="B643" s="1119" t="str">
        <f t="shared" ca="1" si="122"/>
        <v>L81</v>
      </c>
      <c r="C643" s="1119" t="str">
        <f t="shared" ca="1" si="123"/>
        <v>L</v>
      </c>
      <c r="D643" s="1119" t="s">
        <v>1473</v>
      </c>
      <c r="E643" s="1119" t="s">
        <v>1638</v>
      </c>
      <c r="L643" s="1119" t="s">
        <v>1506</v>
      </c>
      <c r="M643" s="1293">
        <v>626</v>
      </c>
      <c r="N643" s="1293"/>
      <c r="O643" s="1292"/>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93">
        <v>627</v>
      </c>
      <c r="N644" s="1293"/>
      <c r="O644" s="1292"/>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93">
        <v>628</v>
      </c>
      <c r="N645" s="1293"/>
      <c r="O645" s="1292"/>
    </row>
    <row r="646" spans="1:15" x14ac:dyDescent="0.25">
      <c r="A646" s="1164" t="s">
        <v>1506</v>
      </c>
      <c r="B646" s="1119" t="str">
        <f t="shared" ca="1" si="124"/>
        <v>L82</v>
      </c>
      <c r="C646" s="1119" t="str">
        <f t="shared" ca="1" si="123"/>
        <v>L</v>
      </c>
      <c r="D646" s="1119" t="s">
        <v>1473</v>
      </c>
      <c r="E646" s="1119" t="s">
        <v>1638</v>
      </c>
      <c r="L646" s="1119" t="s">
        <v>1506</v>
      </c>
      <c r="M646" s="1293">
        <v>629</v>
      </c>
      <c r="N646" s="1293"/>
      <c r="O646" s="1292"/>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93">
        <v>630</v>
      </c>
      <c r="N647" s="1293"/>
      <c r="O647" s="1292"/>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93">
        <v>631</v>
      </c>
      <c r="N648" s="1293"/>
      <c r="O648" s="1292"/>
    </row>
    <row r="649" spans="1:15" x14ac:dyDescent="0.25">
      <c r="A649" s="1164" t="s">
        <v>1506</v>
      </c>
      <c r="B649" s="1119" t="str">
        <f t="shared" ca="1" si="125"/>
        <v>L83</v>
      </c>
      <c r="C649" s="1119" t="str">
        <f t="shared" ca="1" si="123"/>
        <v>L</v>
      </c>
      <c r="D649" s="1119" t="s">
        <v>1473</v>
      </c>
      <c r="E649" s="1119" t="s">
        <v>1638</v>
      </c>
      <c r="L649" s="1119" t="s">
        <v>1506</v>
      </c>
      <c r="M649" s="1293">
        <v>632</v>
      </c>
      <c r="N649" s="1293"/>
      <c r="O649" s="1292"/>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93">
        <v>633</v>
      </c>
      <c r="N650" s="1293"/>
      <c r="O650" s="1292"/>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93">
        <v>634</v>
      </c>
      <c r="N651" s="1293"/>
      <c r="O651" s="1292"/>
    </row>
    <row r="652" spans="1:15" x14ac:dyDescent="0.25">
      <c r="A652" s="1164" t="s">
        <v>1506</v>
      </c>
      <c r="B652" s="1119" t="str">
        <f t="shared" ca="1" si="126"/>
        <v>L84</v>
      </c>
      <c r="C652" s="1119" t="str">
        <f t="shared" ca="1" si="123"/>
        <v>L</v>
      </c>
      <c r="D652" s="1119" t="s">
        <v>1473</v>
      </c>
      <c r="E652" s="1119" t="s">
        <v>1638</v>
      </c>
      <c r="L652" s="1119" t="s">
        <v>1506</v>
      </c>
      <c r="M652" s="1293">
        <v>635</v>
      </c>
      <c r="N652" s="1293"/>
      <c r="O652" s="1292"/>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93">
        <v>636</v>
      </c>
      <c r="N653" s="1293"/>
      <c r="O653" s="1292"/>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93">
        <v>637</v>
      </c>
      <c r="N654" s="1293"/>
      <c r="O654" s="1292"/>
    </row>
    <row r="655" spans="1:15" x14ac:dyDescent="0.25">
      <c r="A655" s="1164" t="s">
        <v>1506</v>
      </c>
      <c r="B655" s="1119" t="str">
        <f t="shared" ca="1" si="127"/>
        <v>L85</v>
      </c>
      <c r="C655" s="1119" t="str">
        <f t="shared" ca="1" si="123"/>
        <v>L</v>
      </c>
      <c r="D655" s="1119" t="s">
        <v>1473</v>
      </c>
      <c r="E655" s="1119" t="s">
        <v>1638</v>
      </c>
      <c r="L655" s="1119" t="s">
        <v>1506</v>
      </c>
      <c r="M655" s="1293">
        <v>638</v>
      </c>
      <c r="N655" s="1293"/>
      <c r="O655" s="1292"/>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93">
        <v>639</v>
      </c>
      <c r="N656" s="1293"/>
      <c r="O656" s="1292"/>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93">
        <v>640</v>
      </c>
      <c r="N657" s="1293"/>
      <c r="O657" s="1292"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93">
        <v>641</v>
      </c>
      <c r="N658" s="1293"/>
      <c r="O658" s="1292">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93">
        <v>642</v>
      </c>
      <c r="N659" s="1293"/>
      <c r="O659" s="1292" t="s">
        <v>743</v>
      </c>
    </row>
    <row r="660" spans="1:15" x14ac:dyDescent="0.25">
      <c r="A660" s="1161" t="s">
        <v>1498</v>
      </c>
      <c r="B660" s="1119" t="str">
        <f t="shared" ca="1" si="128"/>
        <v>J93</v>
      </c>
      <c r="C660" s="1119" t="str">
        <f t="shared" ca="1" si="129"/>
        <v>J94</v>
      </c>
      <c r="D660" s="1119" t="s">
        <v>1466</v>
      </c>
      <c r="E660" s="1119" t="s">
        <v>1638</v>
      </c>
      <c r="L660" s="1119" t="s">
        <v>1498</v>
      </c>
      <c r="M660" s="1293">
        <v>643</v>
      </c>
      <c r="N660" s="1293"/>
      <c r="O660" s="1292">
        <v>104</v>
      </c>
    </row>
    <row r="661" spans="1:15" x14ac:dyDescent="0.25">
      <c r="A661" s="1161" t="s">
        <v>1514</v>
      </c>
      <c r="B661" s="1119" t="str">
        <f t="shared" ca="1" si="128"/>
        <v>L93</v>
      </c>
      <c r="C661" s="1119" t="str">
        <f t="shared" ca="1" si="129"/>
        <v>L94</v>
      </c>
      <c r="D661" s="1119" t="s">
        <v>1466</v>
      </c>
      <c r="E661" s="1119" t="s">
        <v>1638</v>
      </c>
      <c r="L661" s="1119" t="s">
        <v>1514</v>
      </c>
      <c r="M661" s="1293">
        <v>644</v>
      </c>
      <c r="N661" s="1293"/>
      <c r="O661" s="1292"/>
    </row>
    <row r="662" spans="1:15" x14ac:dyDescent="0.25">
      <c r="A662" s="1161" t="s">
        <v>1499</v>
      </c>
      <c r="B662" s="1119" t="str">
        <f t="shared" ca="1" si="128"/>
        <v>N93</v>
      </c>
      <c r="C662" s="1119" t="str">
        <f t="shared" ca="1" si="129"/>
        <v>N94</v>
      </c>
      <c r="D662" s="1119" t="s">
        <v>1466</v>
      </c>
      <c r="E662" s="1119" t="s">
        <v>1638</v>
      </c>
      <c r="L662" s="1119" t="s">
        <v>1499</v>
      </c>
      <c r="M662" s="1293">
        <v>645</v>
      </c>
      <c r="N662" s="1293"/>
      <c r="O662" s="1292"/>
    </row>
    <row r="663" spans="1:15" x14ac:dyDescent="0.25">
      <c r="A663" s="1161" t="s">
        <v>1608</v>
      </c>
      <c r="B663" s="1119" t="str">
        <f t="shared" ca="1" si="128"/>
        <v>P93</v>
      </c>
      <c r="C663" s="1119" t="str">
        <f t="shared" ca="1" si="129"/>
        <v>P94</v>
      </c>
      <c r="D663" s="1119" t="s">
        <v>1466</v>
      </c>
      <c r="E663" s="1119" t="s">
        <v>1638</v>
      </c>
      <c r="L663" s="1119" t="s">
        <v>1608</v>
      </c>
      <c r="M663" s="1293">
        <v>646</v>
      </c>
      <c r="N663" s="1293"/>
      <c r="O663" s="1292"/>
    </row>
    <row r="664" spans="1:15" x14ac:dyDescent="0.25">
      <c r="A664" s="1161" t="s">
        <v>1609</v>
      </c>
      <c r="B664" s="1119" t="str">
        <f t="shared" ca="1" si="128"/>
        <v>R93</v>
      </c>
      <c r="C664" s="1119" t="str">
        <f t="shared" ca="1" si="129"/>
        <v>R94</v>
      </c>
      <c r="D664" s="1119" t="s">
        <v>1466</v>
      </c>
      <c r="E664" s="1119" t="s">
        <v>1638</v>
      </c>
      <c r="L664" s="1119" t="s">
        <v>1609</v>
      </c>
      <c r="M664" s="1293">
        <v>647</v>
      </c>
      <c r="N664" s="1293"/>
      <c r="O664" s="1292"/>
    </row>
    <row r="665" spans="1:15" x14ac:dyDescent="0.25">
      <c r="A665" s="1161" t="s">
        <v>1610</v>
      </c>
      <c r="B665" s="1119" t="str">
        <f t="shared" ca="1" si="128"/>
        <v>T93</v>
      </c>
      <c r="C665" s="1119" t="str">
        <f t="shared" ca="1" si="129"/>
        <v>T94</v>
      </c>
      <c r="D665" s="1119" t="s">
        <v>1466</v>
      </c>
      <c r="E665" s="1119" t="s">
        <v>1638</v>
      </c>
      <c r="L665" s="1119" t="s">
        <v>1610</v>
      </c>
      <c r="M665" s="1293">
        <v>648</v>
      </c>
      <c r="N665" s="1293"/>
      <c r="O665" s="1292"/>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93">
        <v>649</v>
      </c>
      <c r="N666" s="1293"/>
      <c r="O666" s="1292"/>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93">
        <v>650</v>
      </c>
      <c r="N667" s="1293"/>
      <c r="O667" s="1292"/>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93">
        <v>651</v>
      </c>
      <c r="N668" s="1293"/>
      <c r="O668" s="1292"/>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93">
        <v>652</v>
      </c>
      <c r="N669" s="1293"/>
      <c r="O669" s="1292"/>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93">
        <v>653</v>
      </c>
      <c r="N670" s="1293"/>
      <c r="O670" s="1292"/>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93">
        <v>654</v>
      </c>
      <c r="N671" s="1293"/>
      <c r="O671" s="1292"/>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93">
        <v>655</v>
      </c>
      <c r="N672" s="1293"/>
      <c r="O672" s="1292"/>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93">
        <v>656</v>
      </c>
      <c r="N673" s="1293"/>
      <c r="O673" s="1292"/>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93">
        <v>657</v>
      </c>
      <c r="N674" s="1293"/>
      <c r="O674" s="1292"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93">
        <v>658</v>
      </c>
      <c r="N675" s="1293"/>
      <c r="O675" s="1292">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93">
        <v>659</v>
      </c>
      <c r="N676" s="1293"/>
      <c r="O676" s="1292" t="s">
        <v>743</v>
      </c>
    </row>
    <row r="677" spans="1:15" x14ac:dyDescent="0.25">
      <c r="A677" s="1164" t="s">
        <v>1498</v>
      </c>
      <c r="B677" s="1119" t="str">
        <f t="shared" ca="1" si="130"/>
        <v>J107</v>
      </c>
      <c r="C677" s="1119" t="str">
        <f t="shared" ca="1" si="131"/>
        <v>J108</v>
      </c>
      <c r="D677" s="1119" t="s">
        <v>1466</v>
      </c>
      <c r="E677" s="1119" t="s">
        <v>1638</v>
      </c>
      <c r="L677" s="1119" t="s">
        <v>1498</v>
      </c>
      <c r="M677" s="1293">
        <v>660</v>
      </c>
      <c r="N677" s="1293"/>
      <c r="O677" s="1292">
        <v>118</v>
      </c>
    </row>
    <row r="678" spans="1:15" x14ac:dyDescent="0.25">
      <c r="A678" s="1164" t="s">
        <v>1514</v>
      </c>
      <c r="B678" s="1119" t="str">
        <f t="shared" ca="1" si="130"/>
        <v>L107</v>
      </c>
      <c r="C678" s="1119" t="str">
        <f t="shared" ca="1" si="131"/>
        <v>L108</v>
      </c>
      <c r="D678" s="1119" t="s">
        <v>1466</v>
      </c>
      <c r="E678" s="1119" t="s">
        <v>1638</v>
      </c>
      <c r="L678" s="1119" t="s">
        <v>1514</v>
      </c>
      <c r="M678" s="1293">
        <v>661</v>
      </c>
      <c r="N678" s="1293"/>
      <c r="O678" s="1292"/>
    </row>
    <row r="679" spans="1:15" x14ac:dyDescent="0.25">
      <c r="A679" s="1164" t="s">
        <v>1499</v>
      </c>
      <c r="B679" s="1119" t="str">
        <f t="shared" ca="1" si="130"/>
        <v>N107</v>
      </c>
      <c r="C679" s="1119" t="str">
        <f t="shared" ca="1" si="131"/>
        <v>N108</v>
      </c>
      <c r="D679" s="1119" t="s">
        <v>1466</v>
      </c>
      <c r="E679" s="1119" t="s">
        <v>1638</v>
      </c>
      <c r="L679" s="1119" t="s">
        <v>1499</v>
      </c>
      <c r="M679" s="1293">
        <v>662</v>
      </c>
      <c r="N679" s="1293"/>
      <c r="O679" s="1292"/>
    </row>
    <row r="680" spans="1:15" x14ac:dyDescent="0.25">
      <c r="A680" s="1164" t="s">
        <v>1608</v>
      </c>
      <c r="B680" s="1119" t="str">
        <f t="shared" ca="1" si="130"/>
        <v>P107</v>
      </c>
      <c r="C680" s="1119" t="str">
        <f t="shared" ca="1" si="131"/>
        <v>P108</v>
      </c>
      <c r="D680" s="1119" t="s">
        <v>1466</v>
      </c>
      <c r="E680" s="1119" t="s">
        <v>1638</v>
      </c>
      <c r="L680" s="1119" t="s">
        <v>1608</v>
      </c>
      <c r="M680" s="1293">
        <v>663</v>
      </c>
      <c r="N680" s="1293"/>
      <c r="O680" s="1292"/>
    </row>
    <row r="681" spans="1:15" x14ac:dyDescent="0.25">
      <c r="A681" s="1164" t="s">
        <v>1609</v>
      </c>
      <c r="B681" s="1119" t="str">
        <f t="shared" ca="1" si="130"/>
        <v>R107</v>
      </c>
      <c r="C681" s="1119" t="str">
        <f t="shared" ca="1" si="131"/>
        <v>R108</v>
      </c>
      <c r="D681" s="1119" t="s">
        <v>1466</v>
      </c>
      <c r="E681" s="1119" t="s">
        <v>1638</v>
      </c>
      <c r="L681" s="1119" t="s">
        <v>1609</v>
      </c>
      <c r="M681" s="1293">
        <v>664</v>
      </c>
      <c r="N681" s="1293"/>
      <c r="O681" s="1292"/>
    </row>
    <row r="682" spans="1:15" x14ac:dyDescent="0.25">
      <c r="A682" s="1164" t="s">
        <v>1610</v>
      </c>
      <c r="B682" s="1119" t="str">
        <f t="shared" ca="1" si="130"/>
        <v>T107</v>
      </c>
      <c r="C682" s="1119" t="str">
        <f t="shared" ca="1" si="131"/>
        <v>T108</v>
      </c>
      <c r="D682" s="1119" t="s">
        <v>1466</v>
      </c>
      <c r="E682" s="1119" t="s">
        <v>1638</v>
      </c>
      <c r="L682" s="1119" t="s">
        <v>1610</v>
      </c>
      <c r="M682" s="1293">
        <v>665</v>
      </c>
      <c r="N682" s="1293"/>
      <c r="O682" s="1292"/>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93">
        <v>666</v>
      </c>
      <c r="N683" s="1293"/>
      <c r="O683" s="1292"/>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93">
        <v>667</v>
      </c>
      <c r="N684" s="1293"/>
      <c r="O684" s="1292"/>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93">
        <v>668</v>
      </c>
      <c r="N685" s="1293"/>
      <c r="O685" s="1292"/>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93">
        <v>669</v>
      </c>
      <c r="N686" s="1293"/>
      <c r="O686" s="1292"/>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93">
        <v>670</v>
      </c>
      <c r="N687" s="1293"/>
      <c r="O687" s="1292"/>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93">
        <v>671</v>
      </c>
      <c r="N688" s="1293"/>
      <c r="O688" s="1292"/>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93">
        <v>672</v>
      </c>
      <c r="N689" s="1293"/>
      <c r="O689" s="1292"/>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93">
        <v>673</v>
      </c>
      <c r="N690" s="1293"/>
      <c r="O690" s="1292"/>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93">
        <v>674</v>
      </c>
      <c r="N691" s="1293"/>
      <c r="O691" s="1292"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93">
        <v>675</v>
      </c>
      <c r="N692" s="1293"/>
      <c r="O692" s="1292">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93">
        <v>676</v>
      </c>
      <c r="N693" s="1293"/>
      <c r="O693" s="1292" t="s">
        <v>743</v>
      </c>
    </row>
    <row r="694" spans="1:15" x14ac:dyDescent="0.25">
      <c r="A694" s="1161" t="s">
        <v>1498</v>
      </c>
      <c r="B694" s="1119" t="str">
        <f t="shared" ca="1" si="132"/>
        <v>J121</v>
      </c>
      <c r="C694" s="1119" t="str">
        <f t="shared" ca="1" si="133"/>
        <v>J122</v>
      </c>
      <c r="D694" s="1119" t="s">
        <v>1466</v>
      </c>
      <c r="E694" s="1119" t="s">
        <v>1638</v>
      </c>
      <c r="L694" s="1119" t="s">
        <v>1498</v>
      </c>
      <c r="M694" s="1293">
        <v>677</v>
      </c>
      <c r="N694" s="1293"/>
      <c r="O694" s="1292">
        <v>134</v>
      </c>
    </row>
    <row r="695" spans="1:15" x14ac:dyDescent="0.25">
      <c r="A695" s="1161" t="s">
        <v>1514</v>
      </c>
      <c r="B695" s="1119" t="str">
        <f t="shared" ca="1" si="132"/>
        <v>L121</v>
      </c>
      <c r="C695" s="1119" t="str">
        <f t="shared" ca="1" si="133"/>
        <v>L122</v>
      </c>
      <c r="D695" s="1119" t="s">
        <v>1466</v>
      </c>
      <c r="E695" s="1119" t="s">
        <v>1638</v>
      </c>
      <c r="L695" s="1119" t="s">
        <v>1514</v>
      </c>
      <c r="M695" s="1293">
        <v>678</v>
      </c>
      <c r="N695" s="1293"/>
      <c r="O695" s="1292"/>
    </row>
    <row r="696" spans="1:15" x14ac:dyDescent="0.25">
      <c r="A696" s="1161" t="s">
        <v>1499</v>
      </c>
      <c r="B696" s="1119" t="str">
        <f t="shared" ca="1" si="132"/>
        <v>N121</v>
      </c>
      <c r="C696" s="1119" t="str">
        <f t="shared" ca="1" si="133"/>
        <v>N122</v>
      </c>
      <c r="D696" s="1119" t="s">
        <v>1466</v>
      </c>
      <c r="E696" s="1119" t="s">
        <v>1638</v>
      </c>
      <c r="L696" s="1119" t="s">
        <v>1499</v>
      </c>
      <c r="M696" s="1293">
        <v>679</v>
      </c>
      <c r="N696" s="1293"/>
      <c r="O696" s="1292"/>
    </row>
    <row r="697" spans="1:15" x14ac:dyDescent="0.25">
      <c r="A697" s="1161" t="s">
        <v>1608</v>
      </c>
      <c r="B697" s="1119" t="str">
        <f t="shared" ca="1" si="132"/>
        <v>P121</v>
      </c>
      <c r="C697" s="1119" t="str">
        <f t="shared" ca="1" si="133"/>
        <v>P122</v>
      </c>
      <c r="D697" s="1119" t="s">
        <v>1466</v>
      </c>
      <c r="E697" s="1119" t="s">
        <v>1638</v>
      </c>
      <c r="L697" s="1119" t="s">
        <v>1608</v>
      </c>
      <c r="M697" s="1293">
        <v>680</v>
      </c>
      <c r="N697" s="1293"/>
      <c r="O697" s="1292"/>
    </row>
    <row r="698" spans="1:15" x14ac:dyDescent="0.25">
      <c r="A698" s="1161" t="s">
        <v>1609</v>
      </c>
      <c r="B698" s="1119" t="str">
        <f t="shared" ca="1" si="132"/>
        <v>R121</v>
      </c>
      <c r="C698" s="1119" t="str">
        <f t="shared" ca="1" si="133"/>
        <v>R122</v>
      </c>
      <c r="D698" s="1119" t="s">
        <v>1466</v>
      </c>
      <c r="E698" s="1119" t="s">
        <v>1638</v>
      </c>
      <c r="L698" s="1119" t="s">
        <v>1609</v>
      </c>
      <c r="M698" s="1293">
        <v>681</v>
      </c>
      <c r="N698" s="1293"/>
      <c r="O698" s="1292"/>
    </row>
    <row r="699" spans="1:15" x14ac:dyDescent="0.25">
      <c r="A699" s="1161" t="s">
        <v>1610</v>
      </c>
      <c r="B699" s="1119" t="str">
        <f t="shared" ca="1" si="132"/>
        <v>T121</v>
      </c>
      <c r="C699" s="1119" t="str">
        <f t="shared" ca="1" si="133"/>
        <v>T122</v>
      </c>
      <c r="D699" s="1119" t="s">
        <v>1466</v>
      </c>
      <c r="E699" s="1119" t="s">
        <v>1638</v>
      </c>
      <c r="L699" s="1119" t="s">
        <v>1610</v>
      </c>
      <c r="M699" s="1293">
        <v>682</v>
      </c>
      <c r="N699" s="1293"/>
      <c r="O699" s="1292"/>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93">
        <v>683</v>
      </c>
      <c r="N700" s="1293"/>
      <c r="O700" s="1292"/>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93">
        <v>684</v>
      </c>
      <c r="N701" s="1293"/>
      <c r="O701" s="1292"/>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93">
        <v>685</v>
      </c>
      <c r="N702" s="1293"/>
      <c r="O702" s="1292"/>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93">
        <v>686</v>
      </c>
      <c r="N703" s="1293"/>
      <c r="O703" s="1292"/>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93">
        <v>687</v>
      </c>
      <c r="N704" s="1293"/>
      <c r="O704" s="1292"/>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93">
        <v>688</v>
      </c>
      <c r="N705" s="1293"/>
      <c r="O705" s="1292"/>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93">
        <v>689</v>
      </c>
      <c r="N706" s="1293"/>
      <c r="O706" s="1292"/>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93">
        <v>690</v>
      </c>
      <c r="N707" s="1293"/>
      <c r="O707" s="1292"/>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93">
        <v>691</v>
      </c>
      <c r="N708" s="1293"/>
      <c r="O708" s="1292"/>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93">
        <v>692</v>
      </c>
      <c r="N709" s="1293"/>
      <c r="O709" s="1292"/>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93">
        <v>693</v>
      </c>
      <c r="N710" s="1293"/>
      <c r="O710" s="1292"/>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93">
        <v>694</v>
      </c>
      <c r="N711" s="1293"/>
      <c r="O711" s="1292"/>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93">
        <v>695</v>
      </c>
      <c r="N712" s="1293"/>
      <c r="O712" s="1292"/>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93">
        <v>696</v>
      </c>
      <c r="N713" s="1293"/>
      <c r="O713" s="1292"/>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93">
        <v>697</v>
      </c>
      <c r="N714" s="1293"/>
      <c r="O714" s="1292"/>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93">
        <v>698</v>
      </c>
      <c r="N715" s="1293"/>
      <c r="O715" s="1292"/>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93">
        <v>699</v>
      </c>
      <c r="N716" s="1293"/>
      <c r="O716" s="1292"/>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93">
        <v>700</v>
      </c>
      <c r="N717" s="1293"/>
      <c r="O717" s="1292"/>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93">
        <v>701</v>
      </c>
      <c r="N718" s="1293"/>
      <c r="O718" s="1292"/>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93">
        <v>702</v>
      </c>
      <c r="N719" s="1293"/>
      <c r="O719" s="1292"/>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93">
        <v>703</v>
      </c>
      <c r="N720" s="1293"/>
      <c r="O720" s="1292"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93">
        <v>704</v>
      </c>
      <c r="N721" s="1293"/>
      <c r="O721" s="1292">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93">
        <v>705</v>
      </c>
      <c r="N722" s="1293"/>
      <c r="O722" s="1292"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93">
        <v>706</v>
      </c>
      <c r="N723" s="1293"/>
      <c r="O723" s="1292">
        <v>150</v>
      </c>
    </row>
    <row r="724" spans="1:15" x14ac:dyDescent="0.25">
      <c r="A724" s="1164" t="s">
        <v>1514</v>
      </c>
      <c r="B724" s="1119" t="str">
        <f t="shared" ca="1" si="135"/>
        <v>L137</v>
      </c>
      <c r="C724" s="1119" t="str">
        <f t="shared" ca="1" si="136"/>
        <v>L138</v>
      </c>
      <c r="D724" s="1119" t="s">
        <v>1466</v>
      </c>
      <c r="E724" s="1119" t="s">
        <v>1638</v>
      </c>
      <c r="L724" s="1119" t="s">
        <v>1514</v>
      </c>
      <c r="M724" s="1293">
        <v>707</v>
      </c>
      <c r="N724" s="1293"/>
      <c r="O724" s="1292"/>
    </row>
    <row r="725" spans="1:15" x14ac:dyDescent="0.25">
      <c r="A725" s="1164" t="s">
        <v>1499</v>
      </c>
      <c r="B725" s="1119" t="str">
        <f t="shared" ca="1" si="135"/>
        <v>N137</v>
      </c>
      <c r="C725" s="1119" t="str">
        <f t="shared" ca="1" si="136"/>
        <v>N138</v>
      </c>
      <c r="D725" s="1119" t="s">
        <v>1466</v>
      </c>
      <c r="E725" s="1119" t="s">
        <v>1638</v>
      </c>
      <c r="L725" s="1119" t="s">
        <v>1499</v>
      </c>
      <c r="M725" s="1293">
        <v>708</v>
      </c>
      <c r="N725" s="1293"/>
      <c r="O725" s="1292"/>
    </row>
    <row r="726" spans="1:15" x14ac:dyDescent="0.25">
      <c r="A726" s="1164" t="s">
        <v>1608</v>
      </c>
      <c r="B726" s="1119" t="str">
        <f t="shared" ca="1" si="135"/>
        <v>P137</v>
      </c>
      <c r="C726" s="1119" t="str">
        <f t="shared" ca="1" si="136"/>
        <v>P138</v>
      </c>
      <c r="D726" s="1119" t="s">
        <v>1466</v>
      </c>
      <c r="E726" s="1119" t="s">
        <v>1638</v>
      </c>
      <c r="L726" s="1119" t="s">
        <v>1608</v>
      </c>
      <c r="M726" s="1293">
        <v>709</v>
      </c>
      <c r="N726" s="1293"/>
      <c r="O726" s="1292"/>
    </row>
    <row r="727" spans="1:15" x14ac:dyDescent="0.25">
      <c r="A727" s="1164" t="s">
        <v>1609</v>
      </c>
      <c r="B727" s="1119" t="str">
        <f t="shared" ca="1" si="135"/>
        <v>R137</v>
      </c>
      <c r="C727" s="1119" t="str">
        <f t="shared" ca="1" si="136"/>
        <v>R138</v>
      </c>
      <c r="D727" s="1119" t="s">
        <v>1466</v>
      </c>
      <c r="E727" s="1119" t="s">
        <v>1638</v>
      </c>
      <c r="L727" s="1119" t="s">
        <v>1609</v>
      </c>
      <c r="M727" s="1293">
        <v>710</v>
      </c>
      <c r="N727" s="1293"/>
      <c r="O727" s="1292"/>
    </row>
    <row r="728" spans="1:15" x14ac:dyDescent="0.25">
      <c r="A728" s="1164" t="s">
        <v>1610</v>
      </c>
      <c r="B728" s="1119" t="str">
        <f t="shared" ca="1" si="135"/>
        <v>T137</v>
      </c>
      <c r="C728" s="1119" t="str">
        <f t="shared" ca="1" si="136"/>
        <v>T138</v>
      </c>
      <c r="D728" s="1119" t="s">
        <v>1466</v>
      </c>
      <c r="E728" s="1119" t="s">
        <v>1638</v>
      </c>
      <c r="L728" s="1119" t="s">
        <v>1610</v>
      </c>
      <c r="M728" s="1293">
        <v>711</v>
      </c>
      <c r="N728" s="1293"/>
      <c r="O728" s="1292"/>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93">
        <v>712</v>
      </c>
      <c r="N729" s="1293"/>
      <c r="O729" s="1292"/>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93">
        <v>713</v>
      </c>
      <c r="N730" s="1293"/>
      <c r="O730" s="1292"/>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93">
        <v>714</v>
      </c>
      <c r="N731" s="1293"/>
      <c r="O731" s="1292"/>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93">
        <v>715</v>
      </c>
      <c r="N732" s="1293"/>
      <c r="O732" s="1292"/>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93">
        <v>716</v>
      </c>
      <c r="N733" s="1293"/>
      <c r="O733" s="1292"/>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93">
        <v>717</v>
      </c>
      <c r="N734" s="1293"/>
      <c r="O734" s="1292"/>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93">
        <v>718</v>
      </c>
      <c r="N735" s="1293"/>
      <c r="O735" s="1292"/>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93">
        <v>719</v>
      </c>
      <c r="N736" s="1293"/>
      <c r="O736" s="1292"/>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93">
        <v>720</v>
      </c>
      <c r="N737" s="1293"/>
      <c r="O737" s="1292"/>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93">
        <v>721</v>
      </c>
      <c r="N738" s="1293"/>
      <c r="O738" s="1292"/>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93">
        <v>722</v>
      </c>
      <c r="N739" s="1293"/>
      <c r="O739" s="1292"/>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93">
        <v>723</v>
      </c>
      <c r="N740" s="1293"/>
      <c r="O740" s="1292"/>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93">
        <v>724</v>
      </c>
      <c r="N741" s="1293"/>
      <c r="O741" s="1292"/>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93">
        <v>725</v>
      </c>
      <c r="N742" s="1293"/>
      <c r="O742" s="1292"/>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93">
        <v>726</v>
      </c>
      <c r="N743" s="1293"/>
      <c r="O743" s="1292"/>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93">
        <v>727</v>
      </c>
      <c r="N744" s="1293"/>
      <c r="O744" s="1292"/>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93">
        <v>728</v>
      </c>
      <c r="N745" s="1293"/>
      <c r="O745" s="1292"/>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93">
        <v>729</v>
      </c>
      <c r="N746" s="1293"/>
      <c r="O746" s="1292"/>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93">
        <v>730</v>
      </c>
      <c r="N747" s="1293"/>
      <c r="O747" s="1292"/>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93">
        <v>731</v>
      </c>
      <c r="N748" s="1293"/>
      <c r="O748" s="1292"/>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93">
        <v>732</v>
      </c>
      <c r="N749" s="1293"/>
      <c r="O749" s="1292"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93">
        <v>733</v>
      </c>
      <c r="N750" s="1293"/>
      <c r="O750" s="1292">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93">
        <v>734</v>
      </c>
      <c r="N751" s="1293"/>
      <c r="O751" s="1292"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93">
        <v>735</v>
      </c>
      <c r="N752" s="1293"/>
      <c r="O752" s="1292">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93">
        <v>736</v>
      </c>
      <c r="N753" s="1293"/>
      <c r="O753" s="1292"/>
    </row>
    <row r="754" spans="1:15" x14ac:dyDescent="0.25">
      <c r="A754" s="1161" t="s">
        <v>1499</v>
      </c>
      <c r="B754" s="1119" t="str">
        <f t="shared" ca="1" si="139"/>
        <v>N153</v>
      </c>
      <c r="C754" s="1119" t="str">
        <f t="shared" ca="1" si="138"/>
        <v>N154</v>
      </c>
      <c r="D754" s="1119" t="s">
        <v>1466</v>
      </c>
      <c r="E754" s="1119" t="s">
        <v>1638</v>
      </c>
      <c r="L754" s="1119" t="s">
        <v>1499</v>
      </c>
      <c r="M754" s="1293">
        <v>737</v>
      </c>
      <c r="N754" s="1293"/>
      <c r="O754" s="1292"/>
    </row>
    <row r="755" spans="1:15" x14ac:dyDescent="0.25">
      <c r="A755" s="1161" t="s">
        <v>1608</v>
      </c>
      <c r="B755" s="1119" t="str">
        <f t="shared" ca="1" si="139"/>
        <v>P153</v>
      </c>
      <c r="C755" s="1119" t="str">
        <f t="shared" ca="1" si="138"/>
        <v>P154</v>
      </c>
      <c r="D755" s="1119" t="s">
        <v>1466</v>
      </c>
      <c r="E755" s="1119" t="s">
        <v>1638</v>
      </c>
      <c r="L755" s="1119" t="s">
        <v>1608</v>
      </c>
      <c r="M755" s="1293">
        <v>738</v>
      </c>
      <c r="N755" s="1293"/>
      <c r="O755" s="1292"/>
    </row>
    <row r="756" spans="1:15" x14ac:dyDescent="0.25">
      <c r="A756" s="1161" t="s">
        <v>1609</v>
      </c>
      <c r="B756" s="1119" t="str">
        <f t="shared" ca="1" si="139"/>
        <v>R153</v>
      </c>
      <c r="C756" s="1119" t="str">
        <f t="shared" ca="1" si="138"/>
        <v>R154</v>
      </c>
      <c r="D756" s="1119" t="s">
        <v>1466</v>
      </c>
      <c r="E756" s="1119" t="s">
        <v>1638</v>
      </c>
      <c r="L756" s="1119" t="s">
        <v>1609</v>
      </c>
      <c r="M756" s="1293">
        <v>739</v>
      </c>
      <c r="N756" s="1293"/>
      <c r="O756" s="1292"/>
    </row>
    <row r="757" spans="1:15" x14ac:dyDescent="0.25">
      <c r="A757" s="1161" t="s">
        <v>1610</v>
      </c>
      <c r="B757" s="1119" t="str">
        <f t="shared" ca="1" si="139"/>
        <v>T153</v>
      </c>
      <c r="C757" s="1119" t="str">
        <f t="shared" ca="1" si="138"/>
        <v>T154</v>
      </c>
      <c r="D757" s="1119" t="s">
        <v>1466</v>
      </c>
      <c r="E757" s="1119" t="s">
        <v>1638</v>
      </c>
      <c r="L757" s="1119" t="s">
        <v>1610</v>
      </c>
      <c r="M757" s="1293">
        <v>740</v>
      </c>
      <c r="N757" s="1293"/>
      <c r="O757" s="1292"/>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93">
        <v>741</v>
      </c>
      <c r="N758" s="1293"/>
      <c r="O758" s="1292"/>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93">
        <v>742</v>
      </c>
      <c r="N759" s="1293"/>
      <c r="O759" s="1292"/>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93">
        <v>743</v>
      </c>
      <c r="N760" s="1293"/>
      <c r="O760" s="1292"/>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93">
        <v>744</v>
      </c>
      <c r="N761" s="1293"/>
      <c r="O761" s="1292"/>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93">
        <v>745</v>
      </c>
      <c r="N762" s="1293"/>
      <c r="O762" s="1292"/>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93">
        <v>746</v>
      </c>
      <c r="N763" s="1293"/>
      <c r="O763" s="1292"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93">
        <v>747</v>
      </c>
      <c r="N764" s="1293"/>
      <c r="O764" s="1292">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93">
        <v>748</v>
      </c>
      <c r="N765" s="1293"/>
      <c r="O765" s="1292"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93">
        <v>749</v>
      </c>
      <c r="N766" s="1293"/>
      <c r="O766" s="1292">
        <v>178</v>
      </c>
    </row>
    <row r="767" spans="1:15" x14ac:dyDescent="0.25">
      <c r="A767" s="1164" t="s">
        <v>1514</v>
      </c>
      <c r="B767" s="1119" t="str">
        <f t="shared" ca="1" si="140"/>
        <v>L167</v>
      </c>
      <c r="C767" s="1119" t="str">
        <f t="shared" ca="1" si="141"/>
        <v>L168</v>
      </c>
      <c r="D767" s="1119" t="s">
        <v>1466</v>
      </c>
      <c r="E767" s="1119" t="s">
        <v>1638</v>
      </c>
      <c r="L767" s="1119" t="s">
        <v>1514</v>
      </c>
      <c r="M767" s="1293">
        <v>750</v>
      </c>
      <c r="N767" s="1293"/>
      <c r="O767" s="1292"/>
    </row>
    <row r="768" spans="1:15" x14ac:dyDescent="0.25">
      <c r="A768" s="1164" t="s">
        <v>1499</v>
      </c>
      <c r="B768" s="1119" t="str">
        <f t="shared" ca="1" si="140"/>
        <v>N167</v>
      </c>
      <c r="C768" s="1119" t="str">
        <f t="shared" ca="1" si="141"/>
        <v>N168</v>
      </c>
      <c r="D768" s="1119" t="s">
        <v>1466</v>
      </c>
      <c r="E768" s="1119" t="s">
        <v>1638</v>
      </c>
      <c r="L768" s="1119" t="s">
        <v>1499</v>
      </c>
      <c r="M768" s="1293">
        <v>751</v>
      </c>
      <c r="N768" s="1293"/>
      <c r="O768" s="1292"/>
    </row>
    <row r="769" spans="1:15" x14ac:dyDescent="0.25">
      <c r="A769" s="1164" t="s">
        <v>1608</v>
      </c>
      <c r="B769" s="1119" t="str">
        <f t="shared" ca="1" si="140"/>
        <v>P167</v>
      </c>
      <c r="C769" s="1119" t="str">
        <f t="shared" ca="1" si="141"/>
        <v>P168</v>
      </c>
      <c r="D769" s="1119" t="s">
        <v>1466</v>
      </c>
      <c r="E769" s="1119" t="s">
        <v>1638</v>
      </c>
      <c r="L769" s="1119" t="s">
        <v>1608</v>
      </c>
      <c r="M769" s="1293">
        <v>752</v>
      </c>
      <c r="N769" s="1293"/>
      <c r="O769" s="1292"/>
    </row>
    <row r="770" spans="1:15" x14ac:dyDescent="0.25">
      <c r="A770" s="1164" t="s">
        <v>1609</v>
      </c>
      <c r="B770" s="1119" t="str">
        <f t="shared" ca="1" si="140"/>
        <v>R167</v>
      </c>
      <c r="C770" s="1119" t="str">
        <f t="shared" ca="1" si="141"/>
        <v>R168</v>
      </c>
      <c r="D770" s="1119" t="s">
        <v>1466</v>
      </c>
      <c r="E770" s="1119" t="s">
        <v>1638</v>
      </c>
      <c r="L770" s="1119" t="s">
        <v>1609</v>
      </c>
      <c r="M770" s="1293">
        <v>753</v>
      </c>
      <c r="N770" s="1293"/>
      <c r="O770" s="1292"/>
    </row>
    <row r="771" spans="1:15" x14ac:dyDescent="0.25">
      <c r="A771" s="1164" t="s">
        <v>1610</v>
      </c>
      <c r="B771" s="1119" t="str">
        <f t="shared" ca="1" si="140"/>
        <v>T167</v>
      </c>
      <c r="C771" s="1119" t="str">
        <f t="shared" ca="1" si="141"/>
        <v>T168</v>
      </c>
      <c r="D771" s="1119" t="s">
        <v>1466</v>
      </c>
      <c r="E771" s="1119" t="s">
        <v>1638</v>
      </c>
      <c r="L771" s="1119" t="s">
        <v>1610</v>
      </c>
      <c r="M771" s="1293">
        <v>754</v>
      </c>
      <c r="N771" s="1293"/>
      <c r="O771" s="1292"/>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93">
        <v>755</v>
      </c>
      <c r="N772" s="1293"/>
      <c r="O772" s="1292"/>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93">
        <v>756</v>
      </c>
      <c r="N773" s="1293"/>
      <c r="O773" s="1292"/>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93">
        <v>757</v>
      </c>
      <c r="N774" s="1293"/>
      <c r="O774" s="1292"/>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93">
        <v>758</v>
      </c>
      <c r="N775" s="1293"/>
      <c r="O775" s="1292"/>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93">
        <v>759</v>
      </c>
      <c r="N776" s="1293"/>
      <c r="O776" s="1292"/>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93">
        <v>760</v>
      </c>
      <c r="N777" s="1293"/>
      <c r="O777" s="1292"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93">
        <v>761</v>
      </c>
      <c r="N778" s="1293"/>
      <c r="O778" s="1292">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93">
        <v>762</v>
      </c>
      <c r="N779" s="1293"/>
      <c r="O779" s="1292"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93">
        <v>763</v>
      </c>
      <c r="N780" s="1293"/>
      <c r="O780" s="1292">
        <v>192</v>
      </c>
    </row>
    <row r="781" spans="1:15" x14ac:dyDescent="0.25">
      <c r="A781" s="1161" t="s">
        <v>1514</v>
      </c>
      <c r="B781" s="1119" t="str">
        <f t="shared" ca="1" si="142"/>
        <v>L181</v>
      </c>
      <c r="C781" s="1119" t="str">
        <f t="shared" ca="1" si="143"/>
        <v>L182</v>
      </c>
      <c r="D781" s="1119" t="s">
        <v>1466</v>
      </c>
      <c r="E781" s="1119" t="s">
        <v>1638</v>
      </c>
      <c r="L781" s="1119" t="s">
        <v>1514</v>
      </c>
      <c r="M781" s="1293">
        <v>764</v>
      </c>
      <c r="N781" s="1293"/>
      <c r="O781" s="1292"/>
    </row>
    <row r="782" spans="1:15" x14ac:dyDescent="0.25">
      <c r="A782" s="1161" t="s">
        <v>1499</v>
      </c>
      <c r="B782" s="1119" t="str">
        <f t="shared" ca="1" si="142"/>
        <v>N181</v>
      </c>
      <c r="C782" s="1119" t="str">
        <f t="shared" ca="1" si="143"/>
        <v>N182</v>
      </c>
      <c r="D782" s="1119" t="s">
        <v>1466</v>
      </c>
      <c r="E782" s="1119" t="s">
        <v>1638</v>
      </c>
      <c r="L782" s="1119" t="s">
        <v>1499</v>
      </c>
      <c r="M782" s="1293">
        <v>765</v>
      </c>
      <c r="N782" s="1293"/>
      <c r="O782" s="1292"/>
    </row>
    <row r="783" spans="1:15" x14ac:dyDescent="0.25">
      <c r="A783" s="1161" t="s">
        <v>1608</v>
      </c>
      <c r="B783" s="1119" t="str">
        <f t="shared" ca="1" si="142"/>
        <v>P181</v>
      </c>
      <c r="C783" s="1119" t="str">
        <f t="shared" ca="1" si="143"/>
        <v>P182</v>
      </c>
      <c r="D783" s="1119" t="s">
        <v>1466</v>
      </c>
      <c r="E783" s="1119" t="s">
        <v>1638</v>
      </c>
      <c r="L783" s="1119" t="s">
        <v>1608</v>
      </c>
      <c r="M783" s="1293">
        <v>766</v>
      </c>
      <c r="N783" s="1293"/>
      <c r="O783" s="1292"/>
    </row>
    <row r="784" spans="1:15" x14ac:dyDescent="0.25">
      <c r="A784" s="1161" t="s">
        <v>1609</v>
      </c>
      <c r="B784" s="1119" t="str">
        <f t="shared" ca="1" si="142"/>
        <v>R181</v>
      </c>
      <c r="C784" s="1119" t="str">
        <f t="shared" ca="1" si="143"/>
        <v>R182</v>
      </c>
      <c r="D784" s="1119" t="s">
        <v>1466</v>
      </c>
      <c r="E784" s="1119" t="s">
        <v>1638</v>
      </c>
      <c r="L784" s="1119" t="s">
        <v>1609</v>
      </c>
      <c r="M784" s="1293">
        <v>767</v>
      </c>
      <c r="N784" s="1293"/>
      <c r="O784" s="1292"/>
    </row>
    <row r="785" spans="1:15" x14ac:dyDescent="0.25">
      <c r="A785" s="1161" t="s">
        <v>1610</v>
      </c>
      <c r="B785" s="1119" t="str">
        <f t="shared" ca="1" si="142"/>
        <v>T181</v>
      </c>
      <c r="C785" s="1119" t="str">
        <f t="shared" ca="1" si="143"/>
        <v>T182</v>
      </c>
      <c r="D785" s="1119" t="s">
        <v>1466</v>
      </c>
      <c r="E785" s="1119" t="s">
        <v>1638</v>
      </c>
      <c r="L785" s="1119" t="s">
        <v>1610</v>
      </c>
      <c r="M785" s="1293">
        <v>768</v>
      </c>
      <c r="N785" s="1293"/>
      <c r="O785" s="1292"/>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93">
        <v>769</v>
      </c>
      <c r="N786" s="1293"/>
      <c r="O786" s="1292"/>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93">
        <v>770</v>
      </c>
      <c r="N787" s="1293"/>
      <c r="O787" s="1292"/>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93">
        <v>771</v>
      </c>
      <c r="N788" s="1293"/>
      <c r="O788" s="1292"/>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93">
        <v>772</v>
      </c>
      <c r="N789" s="1293"/>
      <c r="O789" s="1292"/>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93">
        <v>773</v>
      </c>
      <c r="N790" s="1293"/>
      <c r="O790" s="1292"/>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93">
        <v>774</v>
      </c>
      <c r="N791" s="1293"/>
      <c r="O791" s="1292"/>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93">
        <v>775</v>
      </c>
      <c r="N792" s="1293"/>
      <c r="O792" s="1292"/>
    </row>
    <row r="793" spans="1:15" x14ac:dyDescent="0.25">
      <c r="A793" s="1161" t="s">
        <v>1506</v>
      </c>
      <c r="B793" s="1119" t="str">
        <f t="shared" ca="1" si="144"/>
        <v>L184</v>
      </c>
      <c r="C793" s="1119" t="str">
        <f t="shared" ca="1" si="145"/>
        <v>L185</v>
      </c>
      <c r="D793" s="1119" t="s">
        <v>1466</v>
      </c>
      <c r="E793" s="1119" t="s">
        <v>1638</v>
      </c>
      <c r="L793" s="1119" t="s">
        <v>1506</v>
      </c>
      <c r="M793" s="1293">
        <v>776</v>
      </c>
      <c r="N793" s="1293"/>
      <c r="O793" s="1292"/>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93">
        <v>777</v>
      </c>
      <c r="N794" s="1293"/>
      <c r="O794" s="1292"/>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93">
        <v>778</v>
      </c>
      <c r="N795" s="1293"/>
      <c r="O795" s="1292"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93">
        <v>779</v>
      </c>
      <c r="N796" s="1293"/>
      <c r="O796" s="1292">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93">
        <v>780</v>
      </c>
      <c r="N797" s="1293"/>
      <c r="O797" s="1292"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93">
        <v>781</v>
      </c>
      <c r="N798" s="1293"/>
      <c r="O798" s="1292">
        <v>206</v>
      </c>
    </row>
    <row r="799" spans="1:15" x14ac:dyDescent="0.25">
      <c r="A799" s="1164" t="s">
        <v>1514</v>
      </c>
      <c r="B799" s="1119" t="str">
        <f t="shared" ca="1" si="146"/>
        <v>L195</v>
      </c>
      <c r="C799" s="1119" t="str">
        <f t="shared" ca="1" si="147"/>
        <v>L196</v>
      </c>
      <c r="D799" s="1119" t="s">
        <v>1466</v>
      </c>
      <c r="E799" s="1119" t="s">
        <v>1638</v>
      </c>
      <c r="L799" s="1119" t="s">
        <v>1514</v>
      </c>
      <c r="M799" s="1293">
        <v>782</v>
      </c>
      <c r="N799" s="1293"/>
      <c r="O799" s="1292"/>
    </row>
    <row r="800" spans="1:15" x14ac:dyDescent="0.25">
      <c r="A800" s="1164" t="s">
        <v>1499</v>
      </c>
      <c r="B800" s="1119" t="str">
        <f t="shared" ca="1" si="146"/>
        <v>N195</v>
      </c>
      <c r="C800" s="1119" t="str">
        <f t="shared" ca="1" si="147"/>
        <v>N196</v>
      </c>
      <c r="D800" s="1119" t="s">
        <v>1466</v>
      </c>
      <c r="E800" s="1119" t="s">
        <v>1638</v>
      </c>
      <c r="L800" s="1119" t="s">
        <v>1499</v>
      </c>
      <c r="M800" s="1293">
        <v>783</v>
      </c>
      <c r="N800" s="1293"/>
      <c r="O800" s="1292"/>
    </row>
    <row r="801" spans="1:15" x14ac:dyDescent="0.25">
      <c r="A801" s="1164" t="s">
        <v>1608</v>
      </c>
      <c r="B801" s="1119" t="str">
        <f t="shared" ca="1" si="146"/>
        <v>P195</v>
      </c>
      <c r="C801" s="1119" t="str">
        <f t="shared" ca="1" si="147"/>
        <v>P196</v>
      </c>
      <c r="D801" s="1119" t="s">
        <v>1466</v>
      </c>
      <c r="E801" s="1119" t="s">
        <v>1638</v>
      </c>
      <c r="L801" s="1119" t="s">
        <v>1608</v>
      </c>
      <c r="M801" s="1293">
        <v>784</v>
      </c>
      <c r="N801" s="1293"/>
      <c r="O801" s="1292"/>
    </row>
    <row r="802" spans="1:15" x14ac:dyDescent="0.25">
      <c r="A802" s="1164" t="s">
        <v>1609</v>
      </c>
      <c r="B802" s="1119" t="str">
        <f t="shared" ca="1" si="146"/>
        <v>R195</v>
      </c>
      <c r="C802" s="1119" t="str">
        <f t="shared" ca="1" si="147"/>
        <v>R196</v>
      </c>
      <c r="D802" s="1119" t="s">
        <v>1466</v>
      </c>
      <c r="E802" s="1119" t="s">
        <v>1638</v>
      </c>
      <c r="L802" s="1119" t="s">
        <v>1609</v>
      </c>
      <c r="M802" s="1293">
        <v>785</v>
      </c>
      <c r="N802" s="1293"/>
      <c r="O802" s="1292"/>
    </row>
    <row r="803" spans="1:15" x14ac:dyDescent="0.25">
      <c r="A803" s="1164" t="s">
        <v>1610</v>
      </c>
      <c r="B803" s="1119" t="str">
        <f t="shared" ca="1" si="146"/>
        <v>T195</v>
      </c>
      <c r="C803" s="1119" t="str">
        <f t="shared" ca="1" si="147"/>
        <v>T196</v>
      </c>
      <c r="D803" s="1119" t="s">
        <v>1466</v>
      </c>
      <c r="E803" s="1119" t="s">
        <v>1638</v>
      </c>
      <c r="L803" s="1119" t="s">
        <v>1610</v>
      </c>
      <c r="M803" s="1293">
        <v>786</v>
      </c>
      <c r="N803" s="1293"/>
      <c r="O803" s="1292"/>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93">
        <v>787</v>
      </c>
      <c r="N804" s="1293"/>
      <c r="O804" s="1292"/>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93">
        <v>788</v>
      </c>
      <c r="N805" s="1293"/>
      <c r="O805" s="1292"/>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93">
        <v>789</v>
      </c>
      <c r="N806" s="1293"/>
      <c r="O806" s="1292"/>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93">
        <v>790</v>
      </c>
      <c r="N807" s="1293"/>
      <c r="O807" s="1292"/>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93">
        <v>791</v>
      </c>
      <c r="N808" s="1293"/>
      <c r="O808" s="1292"/>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93">
        <v>792</v>
      </c>
      <c r="N809" s="1293"/>
      <c r="O809" s="1292"/>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93">
        <v>793</v>
      </c>
      <c r="N810" s="1293"/>
      <c r="O810" s="1292"/>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93">
        <v>794</v>
      </c>
      <c r="N811" s="1293"/>
      <c r="O811" s="1292"/>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93">
        <v>795</v>
      </c>
      <c r="N812" s="1293"/>
      <c r="O812" s="1292"/>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93">
        <v>796</v>
      </c>
      <c r="N813" s="1293"/>
      <c r="O813" s="1292"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93">
        <v>797</v>
      </c>
      <c r="N814" s="1293"/>
      <c r="O814" s="1292">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93">
        <v>798</v>
      </c>
      <c r="N815" s="1293"/>
      <c r="O815" s="1292"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93">
        <v>799</v>
      </c>
      <c r="N816" s="1293"/>
      <c r="O816" s="1292">
        <v>222</v>
      </c>
    </row>
    <row r="817" spans="1:15" x14ac:dyDescent="0.25">
      <c r="A817" s="1161" t="s">
        <v>1514</v>
      </c>
      <c r="B817" s="1119" t="str">
        <f t="shared" ca="1" si="148"/>
        <v>L209</v>
      </c>
      <c r="C817" s="1119" t="str">
        <f t="shared" ca="1" si="149"/>
        <v>L210</v>
      </c>
      <c r="D817" s="1119" t="s">
        <v>1466</v>
      </c>
      <c r="E817" s="1119" t="s">
        <v>1638</v>
      </c>
      <c r="L817" s="1119" t="s">
        <v>1514</v>
      </c>
      <c r="M817" s="1293">
        <v>800</v>
      </c>
      <c r="N817" s="1293"/>
      <c r="O817" s="1292"/>
    </row>
    <row r="818" spans="1:15" x14ac:dyDescent="0.25">
      <c r="A818" s="1161" t="s">
        <v>1499</v>
      </c>
      <c r="B818" s="1119" t="str">
        <f t="shared" ca="1" si="148"/>
        <v>N209</v>
      </c>
      <c r="C818" s="1119" t="str">
        <f t="shared" ca="1" si="149"/>
        <v>N210</v>
      </c>
      <c r="D818" s="1119" t="s">
        <v>1466</v>
      </c>
      <c r="E818" s="1119" t="s">
        <v>1638</v>
      </c>
      <c r="L818" s="1119" t="s">
        <v>1499</v>
      </c>
      <c r="M818" s="1293">
        <v>801</v>
      </c>
      <c r="N818" s="1293"/>
      <c r="O818" s="1292"/>
    </row>
    <row r="819" spans="1:15" x14ac:dyDescent="0.25">
      <c r="A819" s="1161" t="s">
        <v>1608</v>
      </c>
      <c r="B819" s="1119" t="str">
        <f t="shared" ca="1" si="148"/>
        <v>P209</v>
      </c>
      <c r="C819" s="1119" t="str">
        <f t="shared" ca="1" si="149"/>
        <v>P210</v>
      </c>
      <c r="D819" s="1119" t="s">
        <v>1466</v>
      </c>
      <c r="E819" s="1119" t="s">
        <v>1638</v>
      </c>
      <c r="L819" s="1119" t="s">
        <v>1608</v>
      </c>
      <c r="M819" s="1293">
        <v>802</v>
      </c>
      <c r="N819" s="1293"/>
      <c r="O819" s="1292"/>
    </row>
    <row r="820" spans="1:15" x14ac:dyDescent="0.25">
      <c r="A820" s="1161" t="s">
        <v>1609</v>
      </c>
      <c r="B820" s="1119" t="str">
        <f t="shared" ca="1" si="148"/>
        <v>R209</v>
      </c>
      <c r="C820" s="1119" t="str">
        <f t="shared" ca="1" si="149"/>
        <v>R210</v>
      </c>
      <c r="D820" s="1119" t="s">
        <v>1466</v>
      </c>
      <c r="E820" s="1119" t="s">
        <v>1638</v>
      </c>
      <c r="L820" s="1119" t="s">
        <v>1609</v>
      </c>
      <c r="M820" s="1293">
        <v>803</v>
      </c>
      <c r="N820" s="1293"/>
      <c r="O820" s="1292"/>
    </row>
    <row r="821" spans="1:15" x14ac:dyDescent="0.25">
      <c r="A821" s="1161" t="s">
        <v>1610</v>
      </c>
      <c r="B821" s="1119" t="str">
        <f t="shared" ca="1" si="148"/>
        <v>T209</v>
      </c>
      <c r="C821" s="1119" t="str">
        <f t="shared" ca="1" si="149"/>
        <v>T210</v>
      </c>
      <c r="D821" s="1119" t="s">
        <v>1466</v>
      </c>
      <c r="E821" s="1119" t="s">
        <v>1638</v>
      </c>
      <c r="L821" s="1119" t="s">
        <v>1610</v>
      </c>
      <c r="M821" s="1293">
        <v>804</v>
      </c>
      <c r="N821" s="1293"/>
      <c r="O821" s="1292"/>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93">
        <v>805</v>
      </c>
      <c r="N822" s="1293"/>
      <c r="O822" s="1292"/>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93">
        <v>806</v>
      </c>
      <c r="N823" s="1293"/>
      <c r="O823" s="1292"/>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93">
        <v>807</v>
      </c>
      <c r="N824" s="1293"/>
      <c r="O824" s="1292"/>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93">
        <v>808</v>
      </c>
      <c r="N825" s="1293"/>
      <c r="O825" s="1292"/>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93">
        <v>809</v>
      </c>
      <c r="N826" s="1293"/>
      <c r="O826" s="1292"/>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93">
        <v>810</v>
      </c>
      <c r="N827" s="1293"/>
      <c r="O827" s="1292"/>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93">
        <v>811</v>
      </c>
      <c r="N828" s="1293"/>
      <c r="O828" s="1292"/>
    </row>
    <row r="829" spans="1:15" x14ac:dyDescent="0.25">
      <c r="A829" s="1161" t="s">
        <v>1506</v>
      </c>
      <c r="B829" s="1119" t="str">
        <f t="shared" ca="1" si="150"/>
        <v>L213</v>
      </c>
      <c r="C829" s="1119" t="str">
        <f t="shared" ca="1" si="151"/>
        <v>L</v>
      </c>
      <c r="D829" s="1119" t="s">
        <v>1473</v>
      </c>
      <c r="E829" s="1119" t="s">
        <v>1638</v>
      </c>
      <c r="L829" s="1119" t="s">
        <v>1506</v>
      </c>
      <c r="M829" s="1293">
        <v>812</v>
      </c>
      <c r="N829" s="1293"/>
      <c r="O829" s="1292"/>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93">
        <v>813</v>
      </c>
      <c r="N830" s="1293"/>
      <c r="O830" s="1292"/>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93">
        <v>814</v>
      </c>
      <c r="N831" s="1293"/>
      <c r="O831" s="1292"/>
    </row>
    <row r="832" spans="1:15" x14ac:dyDescent="0.25">
      <c r="A832" s="1161" t="s">
        <v>1506</v>
      </c>
      <c r="B832" s="1119" t="str">
        <f t="shared" ca="1" si="152"/>
        <v>L214</v>
      </c>
      <c r="C832" s="1119" t="str">
        <f t="shared" ca="1" si="151"/>
        <v>L</v>
      </c>
      <c r="D832" s="1119" t="s">
        <v>1473</v>
      </c>
      <c r="E832" s="1119" t="s">
        <v>1638</v>
      </c>
      <c r="L832" s="1119" t="s">
        <v>1506</v>
      </c>
      <c r="M832" s="1293">
        <v>815</v>
      </c>
      <c r="N832" s="1293"/>
      <c r="O832" s="1292"/>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93">
        <v>816</v>
      </c>
      <c r="N833" s="1293"/>
      <c r="O833" s="1292"/>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93">
        <v>817</v>
      </c>
      <c r="N834" s="1293"/>
      <c r="O834" s="1292"/>
    </row>
    <row r="835" spans="1:15" x14ac:dyDescent="0.25">
      <c r="A835" s="1161" t="s">
        <v>1506</v>
      </c>
      <c r="B835" s="1119" t="str">
        <f t="shared" ca="1" si="153"/>
        <v>L215</v>
      </c>
      <c r="C835" s="1119" t="str">
        <f t="shared" ca="1" si="151"/>
        <v>L</v>
      </c>
      <c r="D835" s="1119" t="s">
        <v>1473</v>
      </c>
      <c r="E835" s="1119" t="s">
        <v>1638</v>
      </c>
      <c r="L835" s="1119" t="s">
        <v>1506</v>
      </c>
      <c r="M835" s="1293">
        <v>818</v>
      </c>
      <c r="N835" s="1293"/>
      <c r="O835" s="1292"/>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93">
        <v>819</v>
      </c>
      <c r="N836" s="1293"/>
      <c r="O836" s="1292"/>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93">
        <v>820</v>
      </c>
      <c r="N837" s="1293"/>
      <c r="O837" s="1292"/>
    </row>
    <row r="838" spans="1:15" x14ac:dyDescent="0.25">
      <c r="A838" s="1161" t="s">
        <v>1506</v>
      </c>
      <c r="B838" s="1119" t="str">
        <f t="shared" ca="1" si="154"/>
        <v>L216</v>
      </c>
      <c r="C838" s="1119" t="str">
        <f t="shared" ca="1" si="151"/>
        <v>L</v>
      </c>
      <c r="D838" s="1119" t="s">
        <v>1473</v>
      </c>
      <c r="E838" s="1119" t="s">
        <v>1638</v>
      </c>
      <c r="L838" s="1119" t="s">
        <v>1506</v>
      </c>
      <c r="M838" s="1293">
        <v>821</v>
      </c>
      <c r="N838" s="1293"/>
      <c r="O838" s="1292"/>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93">
        <v>822</v>
      </c>
      <c r="N839" s="1293"/>
      <c r="O839" s="1292"/>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93">
        <v>823</v>
      </c>
      <c r="N840" s="1293"/>
      <c r="O840" s="1292"/>
    </row>
    <row r="841" spans="1:15" x14ac:dyDescent="0.25">
      <c r="A841" s="1161" t="s">
        <v>1506</v>
      </c>
      <c r="B841" s="1119" t="str">
        <f t="shared" ca="1" si="155"/>
        <v>L217</v>
      </c>
      <c r="C841" s="1119" t="str">
        <f t="shared" ca="1" si="151"/>
        <v>L</v>
      </c>
      <c r="D841" s="1119" t="s">
        <v>1473</v>
      </c>
      <c r="E841" s="1119" t="s">
        <v>1638</v>
      </c>
      <c r="L841" s="1119" t="s">
        <v>1506</v>
      </c>
      <c r="M841" s="1293">
        <v>824</v>
      </c>
      <c r="N841" s="1293"/>
      <c r="O841" s="1292"/>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93">
        <v>825</v>
      </c>
      <c r="N842" s="1293"/>
      <c r="O842" s="1292"/>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93">
        <v>826</v>
      </c>
      <c r="N843" s="1293"/>
      <c r="O843" s="1292"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93">
        <v>827</v>
      </c>
      <c r="N844" s="1293"/>
      <c r="O844" s="1292">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93">
        <v>828</v>
      </c>
      <c r="N845" s="1293"/>
      <c r="O845" s="1292"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93">
        <v>829</v>
      </c>
      <c r="N846" s="1293"/>
      <c r="O846" s="1292">
        <v>238</v>
      </c>
    </row>
    <row r="847" spans="1:15" x14ac:dyDescent="0.25">
      <c r="A847" s="1164" t="s">
        <v>1514</v>
      </c>
      <c r="B847" s="1119" t="str">
        <f t="shared" ca="1" si="156"/>
        <v>L225</v>
      </c>
      <c r="C847" s="1119" t="str">
        <f t="shared" ca="1" si="157"/>
        <v>L226</v>
      </c>
      <c r="D847" s="1119" t="s">
        <v>1466</v>
      </c>
      <c r="E847" s="1119" t="s">
        <v>1638</v>
      </c>
      <c r="L847" s="1119" t="s">
        <v>1514</v>
      </c>
      <c r="M847" s="1293">
        <v>830</v>
      </c>
      <c r="N847" s="1293"/>
      <c r="O847" s="1292"/>
    </row>
    <row r="848" spans="1:15" x14ac:dyDescent="0.25">
      <c r="A848" s="1164" t="s">
        <v>1499</v>
      </c>
      <c r="B848" s="1119" t="str">
        <f t="shared" ca="1" si="156"/>
        <v>N225</v>
      </c>
      <c r="C848" s="1119" t="str">
        <f t="shared" ca="1" si="157"/>
        <v>N226</v>
      </c>
      <c r="D848" s="1119" t="s">
        <v>1466</v>
      </c>
      <c r="E848" s="1119" t="s">
        <v>1638</v>
      </c>
      <c r="L848" s="1119" t="s">
        <v>1499</v>
      </c>
      <c r="M848" s="1293">
        <v>831</v>
      </c>
      <c r="N848" s="1293"/>
      <c r="O848" s="1292"/>
    </row>
    <row r="849" spans="1:15" x14ac:dyDescent="0.25">
      <c r="A849" s="1164" t="s">
        <v>1608</v>
      </c>
      <c r="B849" s="1119" t="str">
        <f t="shared" ca="1" si="156"/>
        <v>P225</v>
      </c>
      <c r="C849" s="1119" t="str">
        <f t="shared" ca="1" si="157"/>
        <v>P226</v>
      </c>
      <c r="D849" s="1119" t="s">
        <v>1466</v>
      </c>
      <c r="E849" s="1119" t="s">
        <v>1638</v>
      </c>
      <c r="L849" s="1119" t="s">
        <v>1608</v>
      </c>
      <c r="M849" s="1293">
        <v>832</v>
      </c>
      <c r="N849" s="1293"/>
      <c r="O849" s="1292"/>
    </row>
    <row r="850" spans="1:15" x14ac:dyDescent="0.25">
      <c r="A850" s="1164" t="s">
        <v>1609</v>
      </c>
      <c r="B850" s="1119" t="str">
        <f t="shared" ca="1" si="156"/>
        <v>R225</v>
      </c>
      <c r="C850" s="1119" t="str">
        <f t="shared" ca="1" si="157"/>
        <v>R226</v>
      </c>
      <c r="D850" s="1119" t="s">
        <v>1466</v>
      </c>
      <c r="E850" s="1119" t="s">
        <v>1638</v>
      </c>
      <c r="L850" s="1119" t="s">
        <v>1609</v>
      </c>
      <c r="M850" s="1293">
        <v>833</v>
      </c>
      <c r="N850" s="1293"/>
      <c r="O850" s="1292"/>
    </row>
    <row r="851" spans="1:15" x14ac:dyDescent="0.25">
      <c r="A851" s="1164" t="s">
        <v>1610</v>
      </c>
      <c r="B851" s="1119" t="str">
        <f t="shared" ca="1" si="156"/>
        <v>T225</v>
      </c>
      <c r="C851" s="1119" t="str">
        <f t="shared" ca="1" si="157"/>
        <v>T226</v>
      </c>
      <c r="D851" s="1119" t="s">
        <v>1466</v>
      </c>
      <c r="E851" s="1119" t="s">
        <v>1638</v>
      </c>
      <c r="L851" s="1119" t="s">
        <v>1610</v>
      </c>
      <c r="M851" s="1293">
        <v>834</v>
      </c>
      <c r="N851" s="1293"/>
      <c r="O851" s="1292"/>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93">
        <v>835</v>
      </c>
      <c r="N852" s="1293"/>
      <c r="O852" s="1292"/>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93">
        <v>836</v>
      </c>
      <c r="N853" s="1293"/>
      <c r="O853" s="1292"/>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93">
        <v>837</v>
      </c>
      <c r="N854" s="1293"/>
      <c r="O854" s="1292"/>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93">
        <v>838</v>
      </c>
      <c r="N855" s="1293"/>
      <c r="O855" s="1292"/>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93">
        <v>839</v>
      </c>
      <c r="N856" s="1293"/>
      <c r="O856" s="1292"/>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93">
        <v>840</v>
      </c>
      <c r="N857" s="1293"/>
      <c r="O857" s="1292"/>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93">
        <v>841</v>
      </c>
      <c r="N858" s="1293"/>
      <c r="O858" s="1292"/>
    </row>
    <row r="859" spans="1:15" x14ac:dyDescent="0.25">
      <c r="A859" s="1164" t="s">
        <v>1506</v>
      </c>
      <c r="B859" s="1119" t="str">
        <f t="shared" ca="1" si="158"/>
        <v>L229</v>
      </c>
      <c r="C859" s="1119" t="str">
        <f t="shared" ca="1" si="159"/>
        <v>L</v>
      </c>
      <c r="D859" s="1119" t="s">
        <v>1473</v>
      </c>
      <c r="E859" s="1119" t="s">
        <v>1638</v>
      </c>
      <c r="L859" s="1119" t="s">
        <v>1506</v>
      </c>
      <c r="M859" s="1293">
        <v>842</v>
      </c>
      <c r="N859" s="1293"/>
      <c r="O859" s="1292"/>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93">
        <v>843</v>
      </c>
      <c r="N860" s="1293"/>
      <c r="O860" s="1292"/>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93">
        <v>844</v>
      </c>
      <c r="N861" s="1293"/>
      <c r="O861" s="1292"/>
    </row>
    <row r="862" spans="1:15" x14ac:dyDescent="0.25">
      <c r="A862" s="1164" t="s">
        <v>1506</v>
      </c>
      <c r="B862" s="1119" t="str">
        <f t="shared" ca="1" si="160"/>
        <v>L230</v>
      </c>
      <c r="C862" s="1119" t="str">
        <f t="shared" ca="1" si="159"/>
        <v>L</v>
      </c>
      <c r="D862" s="1119" t="s">
        <v>1473</v>
      </c>
      <c r="E862" s="1119" t="s">
        <v>1638</v>
      </c>
      <c r="L862" s="1119" t="s">
        <v>1506</v>
      </c>
      <c r="M862" s="1293">
        <v>845</v>
      </c>
      <c r="N862" s="1293"/>
      <c r="O862" s="1292"/>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93">
        <v>846</v>
      </c>
      <c r="N863" s="1293"/>
      <c r="O863" s="1292"/>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93">
        <v>847</v>
      </c>
      <c r="N864" s="1293"/>
      <c r="O864" s="1292"/>
    </row>
    <row r="865" spans="1:15" x14ac:dyDescent="0.25">
      <c r="A865" s="1164" t="s">
        <v>1506</v>
      </c>
      <c r="B865" s="1119" t="str">
        <f t="shared" ca="1" si="161"/>
        <v>L231</v>
      </c>
      <c r="C865" s="1119" t="str">
        <f t="shared" ca="1" si="159"/>
        <v>L</v>
      </c>
      <c r="D865" s="1119" t="s">
        <v>1473</v>
      </c>
      <c r="E865" s="1119" t="s">
        <v>1638</v>
      </c>
      <c r="L865" s="1119" t="s">
        <v>1506</v>
      </c>
      <c r="M865" s="1293">
        <v>848</v>
      </c>
      <c r="N865" s="1293"/>
      <c r="O865" s="1292"/>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93">
        <v>849</v>
      </c>
      <c r="N866" s="1293"/>
      <c r="O866" s="1292"/>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93">
        <v>850</v>
      </c>
      <c r="N867" s="1293"/>
      <c r="O867" s="1292"/>
    </row>
    <row r="868" spans="1:15" x14ac:dyDescent="0.25">
      <c r="A868" s="1164" t="s">
        <v>1506</v>
      </c>
      <c r="B868" s="1119" t="str">
        <f t="shared" ca="1" si="162"/>
        <v>L232</v>
      </c>
      <c r="C868" s="1119" t="str">
        <f t="shared" ca="1" si="159"/>
        <v>L</v>
      </c>
      <c r="D868" s="1119" t="s">
        <v>1473</v>
      </c>
      <c r="E868" s="1119" t="s">
        <v>1638</v>
      </c>
      <c r="L868" s="1119" t="s">
        <v>1506</v>
      </c>
      <c r="M868" s="1293">
        <v>851</v>
      </c>
      <c r="N868" s="1293"/>
      <c r="O868" s="1292"/>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93">
        <v>852</v>
      </c>
      <c r="N869" s="1293"/>
      <c r="O869" s="1292"/>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93">
        <v>853</v>
      </c>
      <c r="N870" s="1293"/>
      <c r="O870" s="1292"/>
    </row>
    <row r="871" spans="1:15" x14ac:dyDescent="0.25">
      <c r="A871" s="1164" t="s">
        <v>1506</v>
      </c>
      <c r="B871" s="1119" t="str">
        <f t="shared" ca="1" si="163"/>
        <v>L233</v>
      </c>
      <c r="C871" s="1119" t="str">
        <f t="shared" ca="1" si="159"/>
        <v>L</v>
      </c>
      <c r="D871" s="1119" t="s">
        <v>1473</v>
      </c>
      <c r="E871" s="1119" t="s">
        <v>1638</v>
      </c>
      <c r="L871" s="1119" t="s">
        <v>1506</v>
      </c>
      <c r="M871" s="1293">
        <v>854</v>
      </c>
      <c r="N871" s="1293"/>
      <c r="O871" s="1292"/>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93">
        <v>855</v>
      </c>
      <c r="N872" s="1293"/>
      <c r="O872" s="1292"/>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93">
        <v>856</v>
      </c>
      <c r="N873" s="1293"/>
      <c r="O873" s="1292"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93">
        <v>857</v>
      </c>
      <c r="N874" s="1293"/>
      <c r="O874" s="1292">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93">
        <v>858</v>
      </c>
      <c r="N875" s="1293"/>
      <c r="O875" s="1292"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93">
        <v>859</v>
      </c>
      <c r="N876" s="1293"/>
      <c r="O876" s="1292">
        <v>252</v>
      </c>
    </row>
    <row r="877" spans="1:15" x14ac:dyDescent="0.25">
      <c r="A877" s="1161" t="s">
        <v>1514</v>
      </c>
      <c r="B877" s="1119" t="str">
        <f t="shared" ca="1" si="164"/>
        <v>L241</v>
      </c>
      <c r="C877" s="1119" t="str">
        <f t="shared" ca="1" si="165"/>
        <v>L242</v>
      </c>
      <c r="D877" s="1119" t="s">
        <v>1466</v>
      </c>
      <c r="E877" s="1119" t="s">
        <v>1638</v>
      </c>
      <c r="L877" s="1119" t="s">
        <v>1514</v>
      </c>
      <c r="M877" s="1293">
        <v>860</v>
      </c>
      <c r="N877" s="1293"/>
      <c r="O877" s="1292"/>
    </row>
    <row r="878" spans="1:15" x14ac:dyDescent="0.25">
      <c r="A878" s="1161" t="s">
        <v>1499</v>
      </c>
      <c r="B878" s="1119" t="str">
        <f t="shared" ca="1" si="164"/>
        <v>N241</v>
      </c>
      <c r="C878" s="1119" t="str">
        <f t="shared" ca="1" si="165"/>
        <v>N242</v>
      </c>
      <c r="D878" s="1119" t="s">
        <v>1466</v>
      </c>
      <c r="E878" s="1119" t="s">
        <v>1638</v>
      </c>
      <c r="L878" s="1119" t="s">
        <v>1499</v>
      </c>
      <c r="M878" s="1293">
        <v>861</v>
      </c>
      <c r="N878" s="1293"/>
      <c r="O878" s="1292"/>
    </row>
    <row r="879" spans="1:15" x14ac:dyDescent="0.25">
      <c r="A879" s="1161" t="s">
        <v>1608</v>
      </c>
      <c r="B879" s="1119" t="str">
        <f t="shared" ca="1" si="164"/>
        <v>P241</v>
      </c>
      <c r="C879" s="1119" t="str">
        <f t="shared" ca="1" si="165"/>
        <v>P242</v>
      </c>
      <c r="D879" s="1119" t="s">
        <v>1466</v>
      </c>
      <c r="E879" s="1119" t="s">
        <v>1638</v>
      </c>
      <c r="L879" s="1119" t="s">
        <v>1608</v>
      </c>
      <c r="M879" s="1293">
        <v>862</v>
      </c>
      <c r="N879" s="1293"/>
      <c r="O879" s="1292"/>
    </row>
    <row r="880" spans="1:15" x14ac:dyDescent="0.25">
      <c r="A880" s="1161" t="s">
        <v>1609</v>
      </c>
      <c r="B880" s="1119" t="str">
        <f t="shared" ca="1" si="164"/>
        <v>R241</v>
      </c>
      <c r="C880" s="1119" t="str">
        <f t="shared" ca="1" si="165"/>
        <v>R242</v>
      </c>
      <c r="D880" s="1119" t="s">
        <v>1466</v>
      </c>
      <c r="E880" s="1119" t="s">
        <v>1638</v>
      </c>
      <c r="L880" s="1119" t="s">
        <v>1609</v>
      </c>
      <c r="M880" s="1293">
        <v>863</v>
      </c>
      <c r="N880" s="1293"/>
      <c r="O880" s="1292"/>
    </row>
    <row r="881" spans="1:15" x14ac:dyDescent="0.25">
      <c r="A881" s="1161" t="s">
        <v>1610</v>
      </c>
      <c r="B881" s="1119" t="str">
        <f t="shared" ca="1" si="164"/>
        <v>T241</v>
      </c>
      <c r="C881" s="1119" t="str">
        <f t="shared" ca="1" si="165"/>
        <v>T242</v>
      </c>
      <c r="D881" s="1119" t="s">
        <v>1466</v>
      </c>
      <c r="E881" s="1119" t="s">
        <v>1638</v>
      </c>
      <c r="L881" s="1119" t="s">
        <v>1610</v>
      </c>
      <c r="M881" s="1293">
        <v>864</v>
      </c>
      <c r="N881" s="1293"/>
      <c r="O881" s="1292"/>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93">
        <v>865</v>
      </c>
      <c r="N882" s="1293"/>
      <c r="O882" s="1292"/>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93">
        <v>866</v>
      </c>
      <c r="N883" s="1293"/>
      <c r="O883" s="1292"/>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93">
        <v>867</v>
      </c>
      <c r="N884" s="1293"/>
      <c r="O884" s="1292"/>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93">
        <v>868</v>
      </c>
      <c r="N885" s="1293"/>
      <c r="O885" s="1292"/>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93">
        <v>869</v>
      </c>
      <c r="N886" s="1293"/>
      <c r="O886" s="1292"/>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93">
        <v>870</v>
      </c>
      <c r="N887" s="1293"/>
      <c r="O887" s="1292"/>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93">
        <v>871</v>
      </c>
      <c r="N888" s="1293"/>
      <c r="O888" s="1292"/>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93">
        <v>872</v>
      </c>
      <c r="N889" s="1293"/>
      <c r="O889" s="1292"/>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93">
        <v>873</v>
      </c>
      <c r="N890" s="1293"/>
      <c r="O890" s="1292"/>
    </row>
    <row r="891" spans="1:15" x14ac:dyDescent="0.25">
      <c r="O891" s="1292" t="s">
        <v>742</v>
      </c>
    </row>
    <row r="892" spans="1:15" x14ac:dyDescent="0.25">
      <c r="O892" s="1292">
        <v>253</v>
      </c>
    </row>
    <row r="893" spans="1:15" x14ac:dyDescent="0.25">
      <c r="O893" s="1292" t="s">
        <v>743</v>
      </c>
    </row>
    <row r="894" spans="1:15" x14ac:dyDescent="0.25">
      <c r="O894" s="1292">
        <v>266</v>
      </c>
    </row>
    <row r="895" spans="1:15" x14ac:dyDescent="0.25">
      <c r="O895" s="1292"/>
    </row>
    <row r="896" spans="1:15" x14ac:dyDescent="0.25">
      <c r="O896" s="1292"/>
    </row>
    <row r="897" spans="15:15" x14ac:dyDescent="0.25">
      <c r="O897" s="1292"/>
    </row>
    <row r="898" spans="15:15" x14ac:dyDescent="0.25">
      <c r="O898" s="1292"/>
    </row>
    <row r="899" spans="15:15" x14ac:dyDescent="0.25">
      <c r="O899" s="1292"/>
    </row>
    <row r="900" spans="15:15" x14ac:dyDescent="0.25">
      <c r="O900" s="1292"/>
    </row>
    <row r="901" spans="15:15" x14ac:dyDescent="0.25">
      <c r="O901" s="1292"/>
    </row>
    <row r="902" spans="15:15" x14ac:dyDescent="0.25">
      <c r="O902" s="1292"/>
    </row>
    <row r="903" spans="15:15" x14ac:dyDescent="0.25">
      <c r="O903" s="1292"/>
    </row>
    <row r="904" spans="15:15" x14ac:dyDescent="0.25">
      <c r="O904" s="1292"/>
    </row>
    <row r="905" spans="15:15" x14ac:dyDescent="0.25">
      <c r="O905" s="1292"/>
    </row>
    <row r="906" spans="15:15" x14ac:dyDescent="0.25">
      <c r="O906" s="1292"/>
    </row>
    <row r="907" spans="15:15" x14ac:dyDescent="0.25">
      <c r="O907" s="1292"/>
    </row>
    <row r="908" spans="15:15" x14ac:dyDescent="0.25">
      <c r="O908" s="1292"/>
    </row>
    <row r="909" spans="15:15" x14ac:dyDescent="0.25">
      <c r="O909" s="1292" t="s">
        <v>742</v>
      </c>
    </row>
    <row r="910" spans="15:15" x14ac:dyDescent="0.25">
      <c r="O910" s="1292">
        <v>267</v>
      </c>
    </row>
    <row r="911" spans="15:15" x14ac:dyDescent="0.25">
      <c r="O911" s="1292" t="s">
        <v>743</v>
      </c>
    </row>
    <row r="912" spans="15:15" x14ac:dyDescent="0.25">
      <c r="O912" s="1292">
        <v>280</v>
      </c>
    </row>
    <row r="913" spans="15:15" x14ac:dyDescent="0.25">
      <c r="O913" s="1292"/>
    </row>
    <row r="914" spans="15:15" x14ac:dyDescent="0.25">
      <c r="O914" s="1292"/>
    </row>
    <row r="915" spans="15:15" x14ac:dyDescent="0.25">
      <c r="O915" s="1292"/>
    </row>
    <row r="916" spans="15:15" x14ac:dyDescent="0.25">
      <c r="O916" s="1292"/>
    </row>
    <row r="917" spans="15:15" x14ac:dyDescent="0.25">
      <c r="O917" s="1292"/>
    </row>
    <row r="918" spans="15:15" x14ac:dyDescent="0.25">
      <c r="O918" s="1292"/>
    </row>
    <row r="919" spans="15:15" x14ac:dyDescent="0.25">
      <c r="O919" s="1292"/>
    </row>
    <row r="920" spans="15:15" x14ac:dyDescent="0.25">
      <c r="O920" s="1292"/>
    </row>
    <row r="921" spans="15:15" x14ac:dyDescent="0.25">
      <c r="O921" s="1292"/>
    </row>
    <row r="922" spans="15:15" x14ac:dyDescent="0.25">
      <c r="O922" s="1292"/>
    </row>
    <row r="923" spans="15:15" x14ac:dyDescent="0.25">
      <c r="O923" s="1292"/>
    </row>
    <row r="924" spans="15:15" x14ac:dyDescent="0.25">
      <c r="O924" s="1292" t="s">
        <v>742</v>
      </c>
    </row>
    <row r="925" spans="15:15" x14ac:dyDescent="0.25">
      <c r="O925" s="1292">
        <v>281</v>
      </c>
    </row>
    <row r="926" spans="15:15" x14ac:dyDescent="0.25">
      <c r="O926" s="1292" t="s">
        <v>743</v>
      </c>
    </row>
    <row r="927" spans="15:15" x14ac:dyDescent="0.25">
      <c r="O927" s="1292">
        <v>294</v>
      </c>
    </row>
    <row r="928" spans="15:15" x14ac:dyDescent="0.25">
      <c r="O928" s="1292"/>
    </row>
    <row r="929" spans="15:15" x14ac:dyDescent="0.25">
      <c r="O929" s="1292"/>
    </row>
    <row r="930" spans="15:15" x14ac:dyDescent="0.25">
      <c r="O930" s="1292"/>
    </row>
    <row r="931" spans="15:15" x14ac:dyDescent="0.25">
      <c r="O931" s="1292"/>
    </row>
    <row r="932" spans="15:15" x14ac:dyDescent="0.25">
      <c r="O932" s="1292"/>
    </row>
    <row r="933" spans="15:15" x14ac:dyDescent="0.25">
      <c r="O933" s="1292"/>
    </row>
    <row r="934" spans="15:15" x14ac:dyDescent="0.25">
      <c r="O934" s="1292"/>
    </row>
    <row r="935" spans="15:15" x14ac:dyDescent="0.25">
      <c r="O935" s="1292"/>
    </row>
    <row r="936" spans="15:15" x14ac:dyDescent="0.25">
      <c r="O936" s="1292"/>
    </row>
    <row r="937" spans="15:15" x14ac:dyDescent="0.25">
      <c r="O937" s="1292"/>
    </row>
    <row r="938" spans="15:15" x14ac:dyDescent="0.25">
      <c r="O938" s="1292"/>
    </row>
    <row r="939" spans="15:15" x14ac:dyDescent="0.25">
      <c r="O939" s="1292" t="s">
        <v>742</v>
      </c>
    </row>
    <row r="940" spans="15:15" x14ac:dyDescent="0.25">
      <c r="O940" s="1292">
        <v>295</v>
      </c>
    </row>
    <row r="941" spans="15:15" x14ac:dyDescent="0.25">
      <c r="O941" s="1292" t="s">
        <v>743</v>
      </c>
    </row>
    <row r="942" spans="15:15" x14ac:dyDescent="0.25">
      <c r="O942" s="1292">
        <v>308</v>
      </c>
    </row>
    <row r="943" spans="15:15" x14ac:dyDescent="0.25">
      <c r="O943" s="1292"/>
    </row>
    <row r="944" spans="15:15" x14ac:dyDescent="0.25">
      <c r="O944" s="1292"/>
    </row>
    <row r="945" spans="15:15" x14ac:dyDescent="0.25">
      <c r="O945" s="1292"/>
    </row>
    <row r="946" spans="15:15" x14ac:dyDescent="0.25">
      <c r="O946" s="1292"/>
    </row>
    <row r="947" spans="15:15" x14ac:dyDescent="0.25">
      <c r="O947" s="1292"/>
    </row>
    <row r="948" spans="15:15" x14ac:dyDescent="0.25">
      <c r="O948" s="1292"/>
    </row>
    <row r="949" spans="15:15" x14ac:dyDescent="0.25">
      <c r="O949" s="1292"/>
    </row>
    <row r="950" spans="15:15" x14ac:dyDescent="0.25">
      <c r="O950" s="1292"/>
    </row>
    <row r="951" spans="15:15" x14ac:dyDescent="0.25">
      <c r="O951" s="1292"/>
    </row>
    <row r="952" spans="15:15" x14ac:dyDescent="0.25">
      <c r="O952" s="1292"/>
    </row>
    <row r="953" spans="15:15" x14ac:dyDescent="0.25">
      <c r="O953" s="1292"/>
    </row>
    <row r="954" spans="15:15" x14ac:dyDescent="0.25">
      <c r="O954" s="1292" t="s">
        <v>742</v>
      </c>
    </row>
    <row r="955" spans="15:15" x14ac:dyDescent="0.25">
      <c r="O955" s="1292">
        <v>309</v>
      </c>
    </row>
    <row r="956" spans="15:15" x14ac:dyDescent="0.25">
      <c r="O956" s="1292" t="s">
        <v>743</v>
      </c>
    </row>
    <row r="957" spans="15:15" x14ac:dyDescent="0.25">
      <c r="O957" s="1292">
        <v>322</v>
      </c>
    </row>
    <row r="958" spans="15:15" x14ac:dyDescent="0.25">
      <c r="O958" s="1292"/>
    </row>
    <row r="959" spans="15:15" x14ac:dyDescent="0.25">
      <c r="O959" s="1292"/>
    </row>
    <row r="960" spans="15:15" x14ac:dyDescent="0.25">
      <c r="O960" s="1292"/>
    </row>
    <row r="961" spans="15:15" x14ac:dyDescent="0.25">
      <c r="O961" s="1292"/>
    </row>
    <row r="962" spans="15:15" x14ac:dyDescent="0.25">
      <c r="O962" s="1292"/>
    </row>
    <row r="963" spans="15:15" x14ac:dyDescent="0.25">
      <c r="O963" s="1292"/>
    </row>
    <row r="964" spans="15:15" x14ac:dyDescent="0.25">
      <c r="O964" s="1292"/>
    </row>
    <row r="965" spans="15:15" x14ac:dyDescent="0.25">
      <c r="O965" s="1292"/>
    </row>
    <row r="966" spans="15:15" x14ac:dyDescent="0.25">
      <c r="O966" s="1292"/>
    </row>
    <row r="967" spans="15:15" x14ac:dyDescent="0.25">
      <c r="O967" s="1292"/>
    </row>
    <row r="968" spans="15:15" x14ac:dyDescent="0.25">
      <c r="O968" s="1292" t="s">
        <v>742</v>
      </c>
    </row>
    <row r="969" spans="15:15" x14ac:dyDescent="0.25">
      <c r="O969" s="1292">
        <v>323</v>
      </c>
    </row>
    <row r="970" spans="15:15" x14ac:dyDescent="0.25">
      <c r="O970" s="1292" t="s">
        <v>743</v>
      </c>
    </row>
    <row r="971" spans="15:15" x14ac:dyDescent="0.25">
      <c r="O971" s="1292">
        <v>336</v>
      </c>
    </row>
    <row r="972" spans="15:15" x14ac:dyDescent="0.25">
      <c r="O972" s="1292"/>
    </row>
    <row r="973" spans="15:15" x14ac:dyDescent="0.25">
      <c r="O973" s="1292"/>
    </row>
    <row r="974" spans="15:15" x14ac:dyDescent="0.25">
      <c r="O974" s="1292"/>
    </row>
    <row r="975" spans="15:15" x14ac:dyDescent="0.25">
      <c r="O975" s="1292"/>
    </row>
    <row r="976" spans="15:15" x14ac:dyDescent="0.25">
      <c r="O976" s="1292"/>
    </row>
    <row r="977" spans="15:15" x14ac:dyDescent="0.25">
      <c r="O977" s="1292"/>
    </row>
    <row r="978" spans="15:15" x14ac:dyDescent="0.25">
      <c r="O978" s="1292"/>
    </row>
    <row r="979" spans="15:15" x14ac:dyDescent="0.25">
      <c r="O979" s="1292"/>
    </row>
    <row r="980" spans="15:15" x14ac:dyDescent="0.25">
      <c r="O980" s="1292"/>
    </row>
    <row r="981" spans="15:15" x14ac:dyDescent="0.25">
      <c r="O981" s="1292"/>
    </row>
    <row r="982" spans="15:15" x14ac:dyDescent="0.25">
      <c r="O982" s="1292"/>
    </row>
    <row r="983" spans="15:15" x14ac:dyDescent="0.25">
      <c r="O983" s="1292"/>
    </row>
    <row r="984" spans="15:15" x14ac:dyDescent="0.25">
      <c r="O984" s="1292"/>
    </row>
    <row r="985" spans="15:15" x14ac:dyDescent="0.25">
      <c r="O985" s="1292" t="s">
        <v>742</v>
      </c>
    </row>
    <row r="986" spans="15:15" x14ac:dyDescent="0.25">
      <c r="O986" s="1292">
        <v>337</v>
      </c>
    </row>
    <row r="987" spans="15:15" x14ac:dyDescent="0.25">
      <c r="O987" s="1292" t="s">
        <v>743</v>
      </c>
    </row>
    <row r="988" spans="15:15" x14ac:dyDescent="0.25">
      <c r="O988" s="1292">
        <v>350</v>
      </c>
    </row>
    <row r="989" spans="15:15" x14ac:dyDescent="0.25">
      <c r="O989" s="1292"/>
    </row>
    <row r="990" spans="15:15" x14ac:dyDescent="0.25">
      <c r="O990" s="1292"/>
    </row>
    <row r="991" spans="15:15" x14ac:dyDescent="0.25">
      <c r="O991" s="1292"/>
    </row>
    <row r="992" spans="15:15" x14ac:dyDescent="0.25">
      <c r="O992" s="1292"/>
    </row>
    <row r="993" spans="15:15" x14ac:dyDescent="0.25">
      <c r="O993" s="1292"/>
    </row>
    <row r="994" spans="15:15" x14ac:dyDescent="0.25">
      <c r="O994" s="1292"/>
    </row>
    <row r="995" spans="15:15" x14ac:dyDescent="0.25">
      <c r="O995" s="1292"/>
    </row>
    <row r="996" spans="15:15" x14ac:dyDescent="0.25">
      <c r="O996" s="1292"/>
    </row>
    <row r="997" spans="15:15" x14ac:dyDescent="0.25">
      <c r="O997" s="1292"/>
    </row>
    <row r="998" spans="15:15" x14ac:dyDescent="0.25">
      <c r="O998" s="1292"/>
    </row>
    <row r="999" spans="15:15" x14ac:dyDescent="0.25">
      <c r="O999" s="1292"/>
    </row>
    <row r="1000" spans="15:15" x14ac:dyDescent="0.25">
      <c r="O1000" s="1292"/>
    </row>
    <row r="1001" spans="15:15" x14ac:dyDescent="0.25">
      <c r="O1001" s="1292"/>
    </row>
    <row r="1002" spans="15:15" x14ac:dyDescent="0.25">
      <c r="O1002" s="1292" t="s">
        <v>742</v>
      </c>
    </row>
    <row r="1003" spans="15:15" x14ac:dyDescent="0.25">
      <c r="O1003" s="1292">
        <v>351</v>
      </c>
    </row>
    <row r="1004" spans="15:15" x14ac:dyDescent="0.25">
      <c r="O1004" s="1292" t="s">
        <v>743</v>
      </c>
    </row>
    <row r="1005" spans="15:15" x14ac:dyDescent="0.25">
      <c r="O1005" s="1292">
        <v>364</v>
      </c>
    </row>
    <row r="1006" spans="15:15" x14ac:dyDescent="0.25">
      <c r="O1006" s="1292"/>
    </row>
    <row r="1007" spans="15:15" x14ac:dyDescent="0.25">
      <c r="O1007" s="1292"/>
    </row>
    <row r="1008" spans="15:15" x14ac:dyDescent="0.25">
      <c r="O1008" s="1292"/>
    </row>
    <row r="1009" spans="15:15" x14ac:dyDescent="0.25">
      <c r="O1009" s="1292"/>
    </row>
    <row r="1010" spans="15:15" x14ac:dyDescent="0.25">
      <c r="O1010" s="1292"/>
    </row>
    <row r="1011" spans="15:15" x14ac:dyDescent="0.25">
      <c r="O1011" s="1292"/>
    </row>
    <row r="1012" spans="15:15" x14ac:dyDescent="0.25">
      <c r="O1012" s="1292"/>
    </row>
    <row r="1013" spans="15:15" x14ac:dyDescent="0.25">
      <c r="O1013" s="1292"/>
    </row>
    <row r="1014" spans="15:15" x14ac:dyDescent="0.25">
      <c r="O1014" s="1292"/>
    </row>
    <row r="1015" spans="15:15" x14ac:dyDescent="0.25">
      <c r="O1015" s="1292"/>
    </row>
    <row r="1016" spans="15:15" x14ac:dyDescent="0.25">
      <c r="O1016" s="1292"/>
    </row>
    <row r="1017" spans="15:15" x14ac:dyDescent="0.25">
      <c r="O1017" s="1292"/>
    </row>
    <row r="1018" spans="15:15" x14ac:dyDescent="0.25">
      <c r="O1018" s="1292" t="s">
        <v>742</v>
      </c>
    </row>
    <row r="1019" spans="15:15" x14ac:dyDescent="0.25">
      <c r="O1019" s="1292">
        <v>365</v>
      </c>
    </row>
    <row r="1020" spans="15:15" x14ac:dyDescent="0.25">
      <c r="O1020" s="1292" t="s">
        <v>743</v>
      </c>
    </row>
    <row r="1021" spans="15:15" x14ac:dyDescent="0.25">
      <c r="O1021" s="1292">
        <v>378</v>
      </c>
    </row>
    <row r="1022" spans="15:15" x14ac:dyDescent="0.25">
      <c r="O1022" s="1292"/>
    </row>
    <row r="1023" spans="15:15" x14ac:dyDescent="0.25">
      <c r="O1023" s="1292"/>
    </row>
    <row r="1024" spans="15:15" x14ac:dyDescent="0.25">
      <c r="O1024" s="1292"/>
    </row>
    <row r="1025" spans="15:15" x14ac:dyDescent="0.25">
      <c r="O1025" s="1292"/>
    </row>
    <row r="1026" spans="15:15" x14ac:dyDescent="0.25">
      <c r="O1026" s="1292"/>
    </row>
    <row r="1027" spans="15:15" x14ac:dyDescent="0.25">
      <c r="O1027" s="1292"/>
    </row>
    <row r="1028" spans="15:15" x14ac:dyDescent="0.25">
      <c r="O1028" s="1292"/>
    </row>
    <row r="1029" spans="15:15" x14ac:dyDescent="0.25">
      <c r="O1029" s="1292"/>
    </row>
    <row r="1030" spans="15:15" x14ac:dyDescent="0.25">
      <c r="O1030" s="1292"/>
    </row>
    <row r="1031" spans="15:15" x14ac:dyDescent="0.25">
      <c r="O1031" s="1292"/>
    </row>
    <row r="1032" spans="15:15" x14ac:dyDescent="0.25">
      <c r="O1032" s="1292"/>
    </row>
    <row r="1033" spans="15:15" x14ac:dyDescent="0.25">
      <c r="O1033" s="1292"/>
    </row>
    <row r="1034" spans="15:15" x14ac:dyDescent="0.25">
      <c r="O1034" s="1292" t="s">
        <v>742</v>
      </c>
    </row>
    <row r="1035" spans="15:15" x14ac:dyDescent="0.25">
      <c r="O1035" s="1292">
        <v>379</v>
      </c>
    </row>
    <row r="1036" spans="15:15" x14ac:dyDescent="0.25">
      <c r="O1036" s="1292" t="s">
        <v>743</v>
      </c>
    </row>
    <row r="1037" spans="15:15" x14ac:dyDescent="0.25">
      <c r="O1037" s="1292">
        <v>392</v>
      </c>
    </row>
    <row r="1038" spans="15:15" x14ac:dyDescent="0.25">
      <c r="O1038" s="1292"/>
    </row>
    <row r="1039" spans="15:15" x14ac:dyDescent="0.25">
      <c r="O1039" s="1292"/>
    </row>
    <row r="1040" spans="15:15" x14ac:dyDescent="0.25">
      <c r="O1040" s="1292"/>
    </row>
    <row r="1041" spans="15:15" x14ac:dyDescent="0.25">
      <c r="O1041" s="1292"/>
    </row>
    <row r="1042" spans="15:15" x14ac:dyDescent="0.25">
      <c r="O1042" s="1292"/>
    </row>
    <row r="1043" spans="15:15" x14ac:dyDescent="0.25">
      <c r="O1043" s="1292"/>
    </row>
    <row r="1044" spans="15:15" x14ac:dyDescent="0.25">
      <c r="O1044" s="1292"/>
    </row>
    <row r="1045" spans="15:15" x14ac:dyDescent="0.25">
      <c r="O1045" s="1292"/>
    </row>
    <row r="1046" spans="15:15" x14ac:dyDescent="0.25">
      <c r="O1046" s="1292"/>
    </row>
    <row r="1047" spans="15:15" x14ac:dyDescent="0.25">
      <c r="O1047" s="1292"/>
    </row>
    <row r="1048" spans="15:15" x14ac:dyDescent="0.25">
      <c r="O1048" s="1292"/>
    </row>
    <row r="1049" spans="15:15" x14ac:dyDescent="0.25">
      <c r="O1049" s="1292" t="s">
        <v>742</v>
      </c>
    </row>
    <row r="1050" spans="15:15" x14ac:dyDescent="0.25">
      <c r="O1050" s="1292">
        <v>393</v>
      </c>
    </row>
    <row r="1051" spans="15:15" x14ac:dyDescent="0.25">
      <c r="O1051" s="1292" t="s">
        <v>743</v>
      </c>
    </row>
    <row r="1052" spans="15:15" x14ac:dyDescent="0.25">
      <c r="O1052" s="1292">
        <v>405</v>
      </c>
    </row>
    <row r="1053" spans="15:15" x14ac:dyDescent="0.25">
      <c r="O1053" s="1292"/>
    </row>
    <row r="1054" spans="15:15" x14ac:dyDescent="0.25">
      <c r="O1054" s="1292"/>
    </row>
    <row r="1055" spans="15:15" x14ac:dyDescent="0.25">
      <c r="O1055" s="1292"/>
    </row>
    <row r="1056" spans="15:15" x14ac:dyDescent="0.25">
      <c r="O1056" s="1292"/>
    </row>
    <row r="1057" spans="15:15" x14ac:dyDescent="0.25">
      <c r="O1057" s="1292"/>
    </row>
    <row r="1058" spans="15:15" x14ac:dyDescent="0.25">
      <c r="O1058" s="1292"/>
    </row>
    <row r="1059" spans="15:15" x14ac:dyDescent="0.25">
      <c r="O1059" s="1292"/>
    </row>
    <row r="1060" spans="15:15" x14ac:dyDescent="0.25">
      <c r="O1060" s="1292"/>
    </row>
    <row r="1061" spans="15:15" x14ac:dyDescent="0.25">
      <c r="O1061" s="1292"/>
    </row>
    <row r="1062" spans="15:15" x14ac:dyDescent="0.25">
      <c r="O1062" s="1292"/>
    </row>
    <row r="1063" spans="15:15" x14ac:dyDescent="0.25">
      <c r="O1063" s="1292"/>
    </row>
    <row r="1064" spans="15:15" x14ac:dyDescent="0.25">
      <c r="O1064" s="1292" t="s">
        <v>742</v>
      </c>
    </row>
    <row r="1065" spans="15:15" x14ac:dyDescent="0.25">
      <c r="O1065" s="1292">
        <v>406</v>
      </c>
    </row>
    <row r="1066" spans="15:15" x14ac:dyDescent="0.25">
      <c r="O1066" s="1292" t="s">
        <v>743</v>
      </c>
    </row>
    <row r="1067" spans="15:15" x14ac:dyDescent="0.25">
      <c r="O1067" s="1292">
        <v>419</v>
      </c>
    </row>
    <row r="1068" spans="15:15" x14ac:dyDescent="0.25">
      <c r="O1068" s="1292"/>
    </row>
    <row r="1069" spans="15:15" x14ac:dyDescent="0.25">
      <c r="O1069" s="1292"/>
    </row>
    <row r="1070" spans="15:15" x14ac:dyDescent="0.25">
      <c r="O1070" s="1292"/>
    </row>
    <row r="1071" spans="15:15" x14ac:dyDescent="0.25">
      <c r="O1071" s="1292"/>
    </row>
    <row r="1072" spans="15:15" x14ac:dyDescent="0.25">
      <c r="O1072" s="1292"/>
    </row>
    <row r="1073" spans="15:15" x14ac:dyDescent="0.25">
      <c r="O1073" s="1292"/>
    </row>
    <row r="1074" spans="15:15" x14ac:dyDescent="0.25">
      <c r="O1074" s="1292"/>
    </row>
    <row r="1075" spans="15:15" x14ac:dyDescent="0.25">
      <c r="O1075" s="1292"/>
    </row>
    <row r="1076" spans="15:15" x14ac:dyDescent="0.25">
      <c r="O1076" s="1292"/>
    </row>
    <row r="1077" spans="15:15" x14ac:dyDescent="0.25">
      <c r="O1077" s="1292"/>
    </row>
    <row r="1078" spans="15:15" x14ac:dyDescent="0.25">
      <c r="O1078" s="1292"/>
    </row>
    <row r="1079" spans="15:15" x14ac:dyDescent="0.25">
      <c r="O1079" s="1292"/>
    </row>
    <row r="1080" spans="15:15" x14ac:dyDescent="0.25">
      <c r="O1080" s="1292"/>
    </row>
    <row r="1081" spans="15:15" x14ac:dyDescent="0.25">
      <c r="O1081" s="1292"/>
    </row>
    <row r="1082" spans="15:15" x14ac:dyDescent="0.25">
      <c r="O1082" s="1292"/>
    </row>
    <row r="1083" spans="15:15" x14ac:dyDescent="0.25">
      <c r="O1083" s="1292" t="s">
        <v>742</v>
      </c>
    </row>
    <row r="1084" spans="15:15" x14ac:dyDescent="0.25">
      <c r="O1084" s="1292">
        <v>420</v>
      </c>
    </row>
    <row r="1085" spans="15:15" x14ac:dyDescent="0.25">
      <c r="O1085" s="1292" t="s">
        <v>743</v>
      </c>
    </row>
    <row r="1086" spans="15:15" x14ac:dyDescent="0.25">
      <c r="O1086" s="1292">
        <v>434</v>
      </c>
    </row>
    <row r="1087" spans="15:15" x14ac:dyDescent="0.25">
      <c r="O1087" s="1292"/>
    </row>
    <row r="1088" spans="15:15" x14ac:dyDescent="0.25">
      <c r="O1088" s="1292"/>
    </row>
    <row r="1089" spans="15:15" x14ac:dyDescent="0.25">
      <c r="O1089" s="1292"/>
    </row>
    <row r="1090" spans="15:15" x14ac:dyDescent="0.25">
      <c r="O1090" s="1292"/>
    </row>
    <row r="1091" spans="15:15" x14ac:dyDescent="0.25">
      <c r="O1091" s="1292"/>
    </row>
    <row r="1092" spans="15:15" x14ac:dyDescent="0.25">
      <c r="O1092" s="1292"/>
    </row>
    <row r="1093" spans="15:15" x14ac:dyDescent="0.25">
      <c r="O1093" s="1292"/>
    </row>
    <row r="1094" spans="15:15" x14ac:dyDescent="0.25">
      <c r="O1094" s="1292"/>
    </row>
    <row r="1095" spans="15:15" x14ac:dyDescent="0.25">
      <c r="O1095" s="1292"/>
    </row>
    <row r="1096" spans="15:15" x14ac:dyDescent="0.25">
      <c r="O1096" s="1292"/>
    </row>
    <row r="1097" spans="15:15" x14ac:dyDescent="0.25">
      <c r="O1097" s="1292"/>
    </row>
    <row r="1098" spans="15:15" x14ac:dyDescent="0.25">
      <c r="O1098" s="1292"/>
    </row>
    <row r="1099" spans="15:15" x14ac:dyDescent="0.25">
      <c r="O1099" s="1292"/>
    </row>
    <row r="1100" spans="15:15" x14ac:dyDescent="0.25">
      <c r="O1100" s="1292"/>
    </row>
    <row r="1101" spans="15:15" x14ac:dyDescent="0.25">
      <c r="O1101" s="1292"/>
    </row>
    <row r="1102" spans="15:15" x14ac:dyDescent="0.25">
      <c r="O1102" s="1292" t="s">
        <v>742</v>
      </c>
    </row>
    <row r="1103" spans="15:15" x14ac:dyDescent="0.25">
      <c r="O1103" s="1292">
        <v>435</v>
      </c>
    </row>
    <row r="1104" spans="15:15" x14ac:dyDescent="0.25">
      <c r="O1104" s="1292" t="s">
        <v>743</v>
      </c>
    </row>
    <row r="1105" spans="15:15" x14ac:dyDescent="0.25">
      <c r="O1105" s="1292">
        <v>448</v>
      </c>
    </row>
    <row r="1106" spans="15:15" x14ac:dyDescent="0.25">
      <c r="O1106" s="1292"/>
    </row>
    <row r="1107" spans="15:15" x14ac:dyDescent="0.25">
      <c r="O1107" s="1292"/>
    </row>
    <row r="1108" spans="15:15" x14ac:dyDescent="0.25">
      <c r="O1108" s="1292"/>
    </row>
    <row r="1109" spans="15:15" x14ac:dyDescent="0.25">
      <c r="O1109" s="1292"/>
    </row>
    <row r="1110" spans="15:15" x14ac:dyDescent="0.25">
      <c r="O1110" s="1292"/>
    </row>
    <row r="1111" spans="15:15" x14ac:dyDescent="0.25">
      <c r="O1111" s="1292"/>
    </row>
    <row r="1112" spans="15:15" x14ac:dyDescent="0.25">
      <c r="O1112" s="1292"/>
    </row>
    <row r="1113" spans="15:15" x14ac:dyDescent="0.25">
      <c r="O1113" s="1292"/>
    </row>
    <row r="1114" spans="15:15" x14ac:dyDescent="0.25">
      <c r="O1114" s="1292"/>
    </row>
    <row r="1115" spans="15:15" x14ac:dyDescent="0.25">
      <c r="O1115" s="1292"/>
    </row>
    <row r="1116" spans="15:15" x14ac:dyDescent="0.25">
      <c r="O1116" s="1292"/>
    </row>
    <row r="1117" spans="15:15" x14ac:dyDescent="0.25">
      <c r="O1117" s="1292"/>
    </row>
    <row r="1118" spans="15:15" x14ac:dyDescent="0.25">
      <c r="O1118" s="1292"/>
    </row>
    <row r="1119" spans="15:15" x14ac:dyDescent="0.25">
      <c r="O1119" s="1292"/>
    </row>
    <row r="1120" spans="15:15" x14ac:dyDescent="0.25">
      <c r="O1120" s="1292" t="s">
        <v>742</v>
      </c>
    </row>
    <row r="1121" spans="15:15" x14ac:dyDescent="0.25">
      <c r="O1121" s="1292">
        <v>449</v>
      </c>
    </row>
    <row r="1122" spans="15:15" x14ac:dyDescent="0.25">
      <c r="O1122" s="1292" t="s">
        <v>743</v>
      </c>
    </row>
    <row r="1123" spans="15:15" x14ac:dyDescent="0.25">
      <c r="O1123" s="1292">
        <v>462</v>
      </c>
    </row>
    <row r="1124" spans="15:15" x14ac:dyDescent="0.25">
      <c r="O1124" s="1292"/>
    </row>
    <row r="1125" spans="15:15" x14ac:dyDescent="0.25">
      <c r="O1125" s="1292"/>
    </row>
    <row r="1126" spans="15:15" x14ac:dyDescent="0.25">
      <c r="O1126" s="1292"/>
    </row>
    <row r="1127" spans="15:15" x14ac:dyDescent="0.25">
      <c r="O1127" s="1292"/>
    </row>
    <row r="1128" spans="15:15" x14ac:dyDescent="0.25">
      <c r="O1128" s="1292"/>
    </row>
    <row r="1129" spans="15:15" x14ac:dyDescent="0.25">
      <c r="O1129" s="1292"/>
    </row>
    <row r="1130" spans="15:15" x14ac:dyDescent="0.25">
      <c r="O1130" s="1292"/>
    </row>
    <row r="1131" spans="15:15" x14ac:dyDescent="0.25">
      <c r="O1131" s="1292"/>
    </row>
    <row r="1132" spans="15:15" x14ac:dyDescent="0.25">
      <c r="O1132" s="1292"/>
    </row>
    <row r="1133" spans="15:15" x14ac:dyDescent="0.25">
      <c r="O1133" s="1292"/>
    </row>
    <row r="1134" spans="15:15" x14ac:dyDescent="0.25">
      <c r="O1134" s="1292"/>
    </row>
    <row r="1135" spans="15:15" x14ac:dyDescent="0.25">
      <c r="O1135" s="1292"/>
    </row>
    <row r="1136" spans="15:15" x14ac:dyDescent="0.25">
      <c r="O1136" s="1292"/>
    </row>
    <row r="1137" spans="15:15" x14ac:dyDescent="0.25">
      <c r="O1137" s="1292"/>
    </row>
    <row r="1138" spans="15:15" x14ac:dyDescent="0.25">
      <c r="O1138" s="1292" t="s">
        <v>742</v>
      </c>
    </row>
    <row r="1139" spans="15:15" x14ac:dyDescent="0.25">
      <c r="O1139" s="1292">
        <v>463</v>
      </c>
    </row>
    <row r="1140" spans="15:15" x14ac:dyDescent="0.25">
      <c r="O1140" s="1292" t="s">
        <v>743</v>
      </c>
    </row>
    <row r="1141" spans="15:15" x14ac:dyDescent="0.25">
      <c r="O1141" s="1292">
        <v>474</v>
      </c>
    </row>
    <row r="1142" spans="15:15" x14ac:dyDescent="0.25">
      <c r="O1142" s="1292"/>
    </row>
    <row r="1143" spans="15:15" x14ac:dyDescent="0.25">
      <c r="O1143" s="1292"/>
    </row>
    <row r="1144" spans="15:15" x14ac:dyDescent="0.25">
      <c r="O1144" s="1292"/>
    </row>
    <row r="1145" spans="15:15" x14ac:dyDescent="0.25">
      <c r="O1145" s="1292"/>
    </row>
  </sheetData>
  <sheetProtection algorithmName="SHA-512" hashValue="zG5jKBpln7p6wCWK+YAugllOyJON7Fx5zQ7QKMjPV65svSxvQA630BqE2KkTclXaUcTBqxbLz9jydiNMmKnzPg==" saltValue="x1n/fS5O9+SXBt+LGSpQsg==" spinCount="100000" sheet="1" objects="1" scenarios="1"/>
  <autoFilter ref="A2:F532" xr:uid="{B8FDFD84-BF90-4B94-AD25-C16F8B1E00C2}"/>
  <mergeCells count="4">
    <mergeCell ref="A1:E1"/>
    <mergeCell ref="F1:H1"/>
    <mergeCell ref="I1:K1"/>
    <mergeCell ref="L1:N1"/>
  </mergeCells>
  <conditionalFormatting sqref="A155:A157">
    <cfRule type="expression" dxfId="44" priority="26">
      <formula>#REF!="EXCLUDE"</formula>
    </cfRule>
  </conditionalFormatting>
  <conditionalFormatting sqref="A154">
    <cfRule type="expression" dxfId="43" priority="27">
      <formula>#REF!="EXCLUDE"</formula>
    </cfRule>
  </conditionalFormatting>
  <conditionalFormatting sqref="A158:A160">
    <cfRule type="expression" dxfId="42" priority="28">
      <formula>#REF!="EXCLUDE"</formula>
    </cfRule>
  </conditionalFormatting>
  <conditionalFormatting sqref="L155:L157">
    <cfRule type="expression" dxfId="41" priority="23">
      <formula>#REF!="EXCLUDE"</formula>
    </cfRule>
  </conditionalFormatting>
  <conditionalFormatting sqref="L154">
    <cfRule type="expression" dxfId="40" priority="24">
      <formula>#REF!="EXCLUDE"</formula>
    </cfRule>
  </conditionalFormatting>
  <conditionalFormatting sqref="L158:L160">
    <cfRule type="expression" dxfId="39" priority="25">
      <formula>#REF!="EXCLUDE"</formula>
    </cfRule>
  </conditionalFormatting>
  <conditionalFormatting sqref="A273:A275">
    <cfRule type="expression" dxfId="38" priority="22">
      <formula>$G273="EXCLUDE"</formula>
    </cfRule>
  </conditionalFormatting>
  <conditionalFormatting sqref="A285:A287">
    <cfRule type="expression" dxfId="37" priority="21">
      <formula>$G285="EXCLUDE"</formula>
    </cfRule>
  </conditionalFormatting>
  <conditionalFormatting sqref="A297:A299">
    <cfRule type="expression" dxfId="36" priority="20">
      <formula>$G297="EXCLUDE"</formula>
    </cfRule>
  </conditionalFormatting>
  <conditionalFormatting sqref="A309:A311">
    <cfRule type="expression" dxfId="35" priority="19">
      <formula>$G309="EXCLUDE"</formula>
    </cfRule>
  </conditionalFormatting>
  <conditionalFormatting sqref="A321:A323">
    <cfRule type="expression" dxfId="34" priority="18">
      <formula>$G321="EXCLUDE"</formula>
    </cfRule>
  </conditionalFormatting>
  <conditionalFormatting sqref="A333:A335">
    <cfRule type="expression" dxfId="33" priority="17">
      <formula>$G333="EXCLUDE"</formula>
    </cfRule>
  </conditionalFormatting>
  <conditionalFormatting sqref="A345:A347">
    <cfRule type="expression" dxfId="32" priority="16">
      <formula>$G345="EXCLUDE"</formula>
    </cfRule>
  </conditionalFormatting>
  <conditionalFormatting sqref="A357:A359">
    <cfRule type="expression" dxfId="31" priority="15">
      <formula>$G357="EXCLUDE"</formula>
    </cfRule>
  </conditionalFormatting>
  <conditionalFormatting sqref="A369:A371">
    <cfRule type="expression" dxfId="30" priority="14">
      <formula>$G369="EXCLUDE"</formula>
    </cfRule>
  </conditionalFormatting>
  <conditionalFormatting sqref="A381:A383">
    <cfRule type="expression" dxfId="29" priority="13">
      <formula>$G381="EXCLUDE"</formula>
    </cfRule>
  </conditionalFormatting>
  <conditionalFormatting sqref="A393:A395">
    <cfRule type="expression" dxfId="28" priority="12">
      <formula>$G393="EXCLUDE"</formula>
    </cfRule>
  </conditionalFormatting>
  <conditionalFormatting sqref="A405:A407">
    <cfRule type="expression" dxfId="27" priority="11">
      <formula>$G405="EXCLUDE"</formula>
    </cfRule>
  </conditionalFormatting>
  <conditionalFormatting sqref="A417:A419">
    <cfRule type="expression" dxfId="26" priority="10">
      <formula>$G417="EXCLUDE"</formula>
    </cfRule>
  </conditionalFormatting>
  <conditionalFormatting sqref="A429:A431">
    <cfRule type="expression" dxfId="25" priority="9">
      <formula>$G429="EXCLUDE"</formula>
    </cfRule>
  </conditionalFormatting>
  <conditionalFormatting sqref="A441:A443">
    <cfRule type="expression" dxfId="24" priority="8">
      <formula>$G441="EXCLUDE"</formula>
    </cfRule>
  </conditionalFormatting>
  <conditionalFormatting sqref="A453:A455">
    <cfRule type="expression" dxfId="23" priority="7">
      <formula>$G453="EXCLUDE"</formula>
    </cfRule>
  </conditionalFormatting>
  <conditionalFormatting sqref="A465:A467">
    <cfRule type="expression" dxfId="22" priority="6">
      <formula>$G465="EXCLUDE"</formula>
    </cfRule>
  </conditionalFormatting>
  <conditionalFormatting sqref="A477:A479">
    <cfRule type="expression" dxfId="21" priority="5">
      <formula>$G477="EXCLUDE"</formula>
    </cfRule>
  </conditionalFormatting>
  <conditionalFormatting sqref="A489:A491">
    <cfRule type="expression" dxfId="20" priority="4">
      <formula>$G489="EXCLUDE"</formula>
    </cfRule>
  </conditionalFormatting>
  <conditionalFormatting sqref="A501:A503">
    <cfRule type="expression" dxfId="19" priority="3">
      <formula>$G501="EXCLUDE"</formula>
    </cfRule>
  </conditionalFormatting>
  <conditionalFormatting sqref="A513:A515">
    <cfRule type="expression" dxfId="18"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17"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tabSelected="1"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2022-01-12T06:14:57Z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d19b9d50-8350-4903-bb89-f08714f1d2ea</vt:lpwstr>
  </property>
  <property fmtid="{D5CDD505-2E9C-101B-9397-08002B2CF9AE}" pid="4" name="Classification">
    <vt:lpwstr>LV_R3STR1CT3D</vt:lpwstr>
  </property>
  <property fmtid="{D5CDD505-2E9C-101B-9397-08002B2CF9AE}" pid="5" name="ContainsPII">
    <vt:lpwstr>No</vt:lpwstr>
  </property>
</Properties>
</file>