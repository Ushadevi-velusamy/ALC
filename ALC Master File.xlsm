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63F8BA39-AAE6-4FD1-AC2B-8BDCEC78ACF4}" xr6:coauthVersionLast="46" xr6:coauthVersionMax="46" xr10:uidLastSave="{00000000-0000-0000-0000-000000000000}"/>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6" i="11" l="1"/>
  <c r="Z38" i="72"/>
  <c r="AB38" i="72"/>
  <c r="Z37" i="72" s="1"/>
  <c r="AB37" i="72"/>
  <c r="IQ5" i="72"/>
  <c r="HU5" i="72"/>
  <c r="GY5" i="72"/>
  <c r="GC5" i="72"/>
  <c r="FG5" i="72"/>
  <c r="EK5" i="72"/>
  <c r="DO5" i="72"/>
  <c r="CS5" i="72"/>
  <c r="BW5" i="72"/>
  <c r="BA5" i="72"/>
  <c r="AA39" i="72" a="1"/>
  <c r="AA39" i="72" s="1"/>
  <c r="AP7" i="75" l="1"/>
  <c r="AP8" i="75"/>
  <c r="AP9" i="75"/>
  <c r="AP10" i="75"/>
  <c r="AP11" i="75"/>
  <c r="AP12" i="75"/>
  <c r="AP13" i="75"/>
  <c r="AP14" i="75"/>
  <c r="AP15" i="75"/>
  <c r="AP6" i="75"/>
  <c r="AW1" i="72"/>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G18" i="89" l="1"/>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IZ29" i="72" l="1" a="1"/>
  <c r="IZ29" i="72" s="1"/>
  <c r="IZ23" i="72" a="1"/>
  <c r="IZ23" i="72" s="1"/>
  <c r="IZ31" i="72" a="1"/>
  <c r="IZ31" i="72" s="1"/>
  <c r="IZ22" i="72" a="1"/>
  <c r="IZ22" i="72" s="1"/>
  <c r="IZ33" i="72" a="1"/>
  <c r="IZ33" i="72" s="1"/>
  <c r="IZ34" i="72" a="1"/>
  <c r="IZ34" i="72" s="1"/>
  <c r="IZ27" i="72" a="1"/>
  <c r="IZ27" i="72" s="1"/>
  <c r="IZ26" i="72" a="1"/>
  <c r="IZ26" i="72" s="1"/>
  <c r="JA26" i="72" s="1"/>
  <c r="IZ30" i="72" a="1"/>
  <c r="IZ30" i="72" s="1"/>
  <c r="JA30" i="72" s="1"/>
  <c r="IZ20" i="72" a="1"/>
  <c r="IZ20" i="72" s="1"/>
  <c r="JA20" i="72" s="1"/>
  <c r="IZ15" i="72" a="1"/>
  <c r="IZ15" i="72" s="1"/>
  <c r="JA15" i="72" s="1"/>
  <c r="IZ25" i="72" a="1"/>
  <c r="IZ25" i="72" s="1"/>
  <c r="JA25" i="72" s="1"/>
  <c r="IZ19" i="72" a="1"/>
  <c r="IZ19" i="72" s="1"/>
  <c r="JA19" i="72" s="1"/>
  <c r="IZ17" i="72" a="1"/>
  <c r="IZ17" i="72" s="1"/>
  <c r="JA17" i="72" s="1"/>
  <c r="IZ18" i="72" a="1"/>
  <c r="IZ18" i="72" s="1"/>
  <c r="JA18" i="72" s="1"/>
  <c r="IZ16" i="72" a="1"/>
  <c r="IZ16" i="72" s="1"/>
  <c r="JA16" i="72" s="1"/>
  <c r="IZ21" i="72" a="1"/>
  <c r="IZ21" i="72" s="1"/>
  <c r="JA21" i="72" s="1"/>
  <c r="IZ32" i="72" a="1"/>
  <c r="IZ32" i="72" s="1"/>
  <c r="JA32" i="72" s="1"/>
  <c r="IZ14" i="72" a="1"/>
  <c r="IZ14" i="72" s="1"/>
  <c r="JA14" i="72" s="1"/>
  <c r="IZ24" i="72" a="1"/>
  <c r="IZ24" i="72" s="1"/>
  <c r="JA24" i="72" s="1"/>
  <c r="IZ28" i="72" a="1"/>
  <c r="IZ28" i="72" s="1"/>
  <c r="JA28" i="72" s="1"/>
  <c r="ID27" i="72" a="1"/>
  <c r="ID27" i="72" s="1"/>
  <c r="ID33" i="72" a="1"/>
  <c r="ID33" i="72" s="1"/>
  <c r="ID30" i="72" a="1"/>
  <c r="ID30" i="72" s="1"/>
  <c r="IE30" i="72" s="1"/>
  <c r="ID22" i="72" a="1"/>
  <c r="ID22" i="72" s="1"/>
  <c r="ID32" i="72" a="1"/>
  <c r="ID32" i="72" s="1"/>
  <c r="ID19" i="72" a="1"/>
  <c r="ID19" i="72" s="1"/>
  <c r="ID29" i="72" a="1"/>
  <c r="ID29" i="72" s="1"/>
  <c r="ID23" i="72" a="1"/>
  <c r="ID23" i="72" s="1"/>
  <c r="ID24" i="72" a="1"/>
  <c r="ID24" i="72" s="1"/>
  <c r="IE24" i="72" s="1"/>
  <c r="ID15" i="72" a="1"/>
  <c r="ID15" i="72" s="1"/>
  <c r="ID20" i="72" a="1"/>
  <c r="ID20" i="72" s="1"/>
  <c r="IE20" i="72" s="1"/>
  <c r="ID34" i="72" a="1"/>
  <c r="ID34" i="72" s="1"/>
  <c r="IE34" i="72" s="1"/>
  <c r="ID25" i="72" a="1"/>
  <c r="ID25" i="72" s="1"/>
  <c r="IE25" i="72" s="1"/>
  <c r="ID14" i="72" a="1"/>
  <c r="ID14" i="72" s="1"/>
  <c r="IE14" i="72" s="1"/>
  <c r="ID26" i="72" a="1"/>
  <c r="ID26" i="72" s="1"/>
  <c r="IE26" i="72" s="1"/>
  <c r="ID31" i="72" a="1"/>
  <c r="ID31" i="72" s="1"/>
  <c r="IE31" i="72" s="1"/>
  <c r="ID17" i="72" a="1"/>
  <c r="ID17" i="72" s="1"/>
  <c r="IE17" i="72" s="1"/>
  <c r="ID21" i="72" a="1"/>
  <c r="ID21" i="72" s="1"/>
  <c r="IE21" i="72" s="1"/>
  <c r="ID18" i="72" a="1"/>
  <c r="ID18" i="72" s="1"/>
  <c r="IE18" i="72" s="1"/>
  <c r="ID16" i="72" a="1"/>
  <c r="ID16" i="72" s="1"/>
  <c r="IE16" i="72" s="1"/>
  <c r="ID28" i="72" a="1"/>
  <c r="ID28" i="72" s="1"/>
  <c r="IE28" i="72" s="1"/>
  <c r="HH24" i="72" a="1"/>
  <c r="HH24" i="72" s="1"/>
  <c r="HH22" i="72" a="1"/>
  <c r="HH22" i="72" s="1"/>
  <c r="HI22" i="72" s="1"/>
  <c r="HH34" i="72" a="1"/>
  <c r="HH34" i="72" s="1"/>
  <c r="HH26" i="72" a="1"/>
  <c r="HH26" i="72" s="1"/>
  <c r="HH25" i="72" a="1"/>
  <c r="HH25" i="72" s="1"/>
  <c r="HH20" i="72" a="1"/>
  <c r="HH20" i="72" s="1"/>
  <c r="HH14" i="72" a="1"/>
  <c r="HH14" i="72" s="1"/>
  <c r="HH27" i="72" a="1"/>
  <c r="HH27" i="72" s="1"/>
  <c r="HH31" i="72" a="1"/>
  <c r="HH31" i="72" s="1"/>
  <c r="HI31" i="72" s="1"/>
  <c r="HH33" i="72" a="1"/>
  <c r="HH33" i="72" s="1"/>
  <c r="HI33" i="72" s="1"/>
  <c r="HH16" i="72" a="1"/>
  <c r="HH16" i="72" s="1"/>
  <c r="HI16" i="72" s="1"/>
  <c r="HH28" i="72" a="1"/>
  <c r="HH28" i="72" s="1"/>
  <c r="HH23" i="72" a="1"/>
  <c r="HH23" i="72" s="1"/>
  <c r="HI23" i="72" s="1"/>
  <c r="HH32" i="72" a="1"/>
  <c r="HH32" i="72" s="1"/>
  <c r="HI32" i="72" s="1"/>
  <c r="HH17" i="72" a="1"/>
  <c r="HH17" i="72" s="1"/>
  <c r="HI17" i="72" s="1"/>
  <c r="HH29" i="72" a="1"/>
  <c r="HH29" i="72" s="1"/>
  <c r="HI29" i="72" s="1"/>
  <c r="HH15" i="72" a="1"/>
  <c r="HH15" i="72" s="1"/>
  <c r="HI15" i="72" s="1"/>
  <c r="HH19" i="72" a="1"/>
  <c r="HH19" i="72" s="1"/>
  <c r="HI19" i="72" s="1"/>
  <c r="HH18" i="72" a="1"/>
  <c r="HH18" i="72" s="1"/>
  <c r="HI18" i="72" s="1"/>
  <c r="HH30" i="72" a="1"/>
  <c r="HH30" i="72" s="1"/>
  <c r="HI30" i="72" s="1"/>
  <c r="HH21" i="72" a="1"/>
  <c r="HH21" i="72" s="1"/>
  <c r="HI21" i="72" s="1"/>
  <c r="GL14" i="72" a="1"/>
  <c r="GL14" i="72" s="1"/>
  <c r="GM14" i="72" s="1"/>
  <c r="GL24" i="72" a="1"/>
  <c r="GL24" i="72" s="1"/>
  <c r="GL26" i="72" a="1"/>
  <c r="GL26" i="72" s="1"/>
  <c r="GL28" i="72" a="1"/>
  <c r="GL28" i="72" s="1"/>
  <c r="GL15" i="72" a="1"/>
  <c r="GL15" i="72" s="1"/>
  <c r="GL34" i="72" a="1"/>
  <c r="GL34" i="72" s="1"/>
  <c r="GL18" i="72" a="1"/>
  <c r="GL18" i="72" s="1"/>
  <c r="GL23" i="72" a="1"/>
  <c r="GL23" i="72" s="1"/>
  <c r="GL33" i="72" a="1"/>
  <c r="GL33" i="72" s="1"/>
  <c r="GM33" i="72" s="1"/>
  <c r="GL29" i="72" a="1"/>
  <c r="GL29" i="72" s="1"/>
  <c r="GL16" i="72" a="1"/>
  <c r="GL16" i="72" s="1"/>
  <c r="GM16" i="72" s="1"/>
  <c r="GL22" i="72" a="1"/>
  <c r="GL22" i="72" s="1"/>
  <c r="GM22" i="72" s="1"/>
  <c r="GL31" i="72" a="1"/>
  <c r="GL31" i="72" s="1"/>
  <c r="GM31" i="72" s="1"/>
  <c r="GL30" i="72" a="1"/>
  <c r="GL30" i="72" s="1"/>
  <c r="GL25" i="72" a="1"/>
  <c r="GL25" i="72" s="1"/>
  <c r="GM25" i="72" s="1"/>
  <c r="GL17" i="72" a="1"/>
  <c r="GL17" i="72" s="1"/>
  <c r="GM17" i="72" s="1"/>
  <c r="GL32" i="72" a="1"/>
  <c r="GL32" i="72" s="1"/>
  <c r="GM32" i="72" s="1"/>
  <c r="GL21" i="72" a="1"/>
  <c r="GL21" i="72" s="1"/>
  <c r="GM21" i="72" s="1"/>
  <c r="GL19" i="72" a="1"/>
  <c r="GL19" i="72" s="1"/>
  <c r="GM19" i="72" s="1"/>
  <c r="GL20" i="72" a="1"/>
  <c r="GL20" i="72" s="1"/>
  <c r="GM20" i="72" s="1"/>
  <c r="GL27" i="72" a="1"/>
  <c r="GL27" i="72" s="1"/>
  <c r="GM27" i="72" s="1"/>
  <c r="FP24" i="72" a="1"/>
  <c r="FP24" i="72" s="1"/>
  <c r="FP27" i="72" a="1"/>
  <c r="FP27" i="72" s="1"/>
  <c r="FP16" i="72" a="1"/>
  <c r="FP16" i="72" s="1"/>
  <c r="FQ16" i="72" s="1"/>
  <c r="FP19" i="72" a="1"/>
  <c r="FP19" i="72" s="1"/>
  <c r="FP26" i="72" a="1"/>
  <c r="FP26" i="72" s="1"/>
  <c r="FQ26" i="72" s="1"/>
  <c r="FP34" i="72" a="1"/>
  <c r="FP34" i="72" s="1"/>
  <c r="FP18" i="72" a="1"/>
  <c r="FP18" i="72" s="1"/>
  <c r="FP21" i="72" a="1"/>
  <c r="FP21" i="72" s="1"/>
  <c r="FP28" i="72" a="1"/>
  <c r="FP28" i="72" s="1"/>
  <c r="FQ28" i="72" s="1"/>
  <c r="FP20" i="72" a="1"/>
  <c r="FP20" i="72" s="1"/>
  <c r="FP22" i="72" a="1"/>
  <c r="FP22" i="72" s="1"/>
  <c r="FQ22" i="72" s="1"/>
  <c r="FP25" i="72" a="1"/>
  <c r="FP25" i="72" s="1"/>
  <c r="FQ25" i="72" s="1"/>
  <c r="FP23" i="72" a="1"/>
  <c r="FP23" i="72" s="1"/>
  <c r="FQ23" i="72" s="1"/>
  <c r="FP15" i="72" a="1"/>
  <c r="FP15" i="72" s="1"/>
  <c r="FQ15" i="72" s="1"/>
  <c r="FP17" i="72" a="1"/>
  <c r="FP17" i="72" s="1"/>
  <c r="FQ17" i="72" s="1"/>
  <c r="FP33" i="72" a="1"/>
  <c r="FP33" i="72" s="1"/>
  <c r="FQ33" i="72" s="1"/>
  <c r="FP30" i="72" a="1"/>
  <c r="FP30" i="72" s="1"/>
  <c r="FQ30" i="72" s="1"/>
  <c r="FP14" i="72" a="1"/>
  <c r="FP14" i="72" s="1"/>
  <c r="FQ14" i="72" s="1"/>
  <c r="FP32" i="72" a="1"/>
  <c r="FP32" i="72" s="1"/>
  <c r="FQ32" i="72" s="1"/>
  <c r="FP31" i="72" a="1"/>
  <c r="FP31" i="72" s="1"/>
  <c r="FQ31" i="72" s="1"/>
  <c r="FP29" i="72" a="1"/>
  <c r="FP29" i="72" s="1"/>
  <c r="FQ29" i="72" s="1"/>
  <c r="ET32" i="72" a="1"/>
  <c r="ET32" i="72" s="1"/>
  <c r="ET29" i="72" a="1"/>
  <c r="ET29" i="72" s="1"/>
  <c r="ET15" i="72" a="1"/>
  <c r="ET15" i="72" s="1"/>
  <c r="EU15" i="72" s="1"/>
  <c r="ET23" i="72" a="1"/>
  <c r="ET23" i="72" s="1"/>
  <c r="EU23" i="72" s="1"/>
  <c r="ET24" i="72" a="1"/>
  <c r="ET24" i="72" s="1"/>
  <c r="EU24" i="72" s="1"/>
  <c r="ET21" i="72" a="1"/>
  <c r="ET21" i="72" s="1"/>
  <c r="ET16" i="72" a="1"/>
  <c r="ET16" i="72" s="1"/>
  <c r="ET31" i="72" a="1"/>
  <c r="ET31" i="72" s="1"/>
  <c r="ET28" i="72" a="1"/>
  <c r="ET28" i="72" s="1"/>
  <c r="EU28" i="72" s="1"/>
  <c r="ET27" i="72" a="1"/>
  <c r="ET27" i="72" s="1"/>
  <c r="EU27" i="72" s="1"/>
  <c r="ET33" i="72" a="1"/>
  <c r="ET33" i="72" s="1"/>
  <c r="EU33" i="72" s="1"/>
  <c r="ET19" i="72" a="1"/>
  <c r="ET19" i="72" s="1"/>
  <c r="EU19" i="72" s="1"/>
  <c r="ET26" i="72" a="1"/>
  <c r="ET26" i="72" s="1"/>
  <c r="EU26" i="72" s="1"/>
  <c r="ET30" i="72" a="1"/>
  <c r="ET30" i="72" s="1"/>
  <c r="EU30" i="72" s="1"/>
  <c r="ET34" i="72" a="1"/>
  <c r="ET34" i="72" s="1"/>
  <c r="EU34" i="72" s="1"/>
  <c r="ET22" i="72" a="1"/>
  <c r="ET22" i="72" s="1"/>
  <c r="EU22" i="72" s="1"/>
  <c r="ET20" i="72" a="1"/>
  <c r="ET20" i="72" s="1"/>
  <c r="EU20" i="72" s="1"/>
  <c r="ET25" i="72" a="1"/>
  <c r="ET25" i="72" s="1"/>
  <c r="EU25" i="72" s="1"/>
  <c r="ET17" i="72" a="1"/>
  <c r="ET17" i="72" s="1"/>
  <c r="EU17" i="72" s="1"/>
  <c r="ET18" i="72" a="1"/>
  <c r="ET18" i="72" s="1"/>
  <c r="EU18" i="72" s="1"/>
  <c r="ET14" i="72" a="1"/>
  <c r="ET14" i="72" s="1"/>
  <c r="EU14" i="72" s="1"/>
  <c r="DX23" i="72" a="1"/>
  <c r="DX23" i="72" s="1"/>
  <c r="DX26" i="72" a="1"/>
  <c r="DX26" i="72" s="1"/>
  <c r="DY26" i="72" s="1"/>
  <c r="DX21" i="72" a="1"/>
  <c r="DX21" i="72" s="1"/>
  <c r="DX34" i="72" a="1"/>
  <c r="DX34" i="72" s="1"/>
  <c r="DX15" i="72" a="1"/>
  <c r="DX15" i="72" s="1"/>
  <c r="DX29" i="72" a="1"/>
  <c r="DX29" i="72" s="1"/>
  <c r="DX18" i="72" a="1"/>
  <c r="DX18" i="72" s="1"/>
  <c r="DX20" i="72" a="1"/>
  <c r="DX20" i="72" s="1"/>
  <c r="DX19" i="72" a="1"/>
  <c r="DX19" i="72" s="1"/>
  <c r="DX28" i="72" a="1"/>
  <c r="DX28" i="72" s="1"/>
  <c r="DY28" i="72" s="1"/>
  <c r="DX27" i="72" a="1"/>
  <c r="DX27" i="72" s="1"/>
  <c r="DY27" i="72" s="1"/>
  <c r="DX32" i="72" a="1"/>
  <c r="DX32" i="72" s="1"/>
  <c r="DY32" i="72" s="1"/>
  <c r="DX16" i="72" a="1"/>
  <c r="DX16" i="72" s="1"/>
  <c r="DY16" i="72" s="1"/>
  <c r="DX31" i="72" a="1"/>
  <c r="DX31" i="72" s="1"/>
  <c r="DY31" i="72" s="1"/>
  <c r="DX17" i="72" a="1"/>
  <c r="DX17" i="72" s="1"/>
  <c r="DY17" i="72" s="1"/>
  <c r="DX30" i="72" a="1"/>
  <c r="DX30" i="72" s="1"/>
  <c r="DY30" i="72" s="1"/>
  <c r="DX22" i="72" a="1"/>
  <c r="DX22" i="72" s="1"/>
  <c r="DY22" i="72" s="1"/>
  <c r="DX14" i="72" a="1"/>
  <c r="DX14" i="72" s="1"/>
  <c r="DY14" i="72" s="1"/>
  <c r="DX33" i="72" a="1"/>
  <c r="DX33" i="72" s="1"/>
  <c r="DY33" i="72" s="1"/>
  <c r="DX25" i="72" a="1"/>
  <c r="DX25" i="72" s="1"/>
  <c r="DY25" i="72" s="1"/>
  <c r="DX24" i="72" a="1"/>
  <c r="DX24" i="72" s="1"/>
  <c r="DY24" i="72" s="1"/>
  <c r="DB15" i="72" a="1"/>
  <c r="DB15" i="72" s="1"/>
  <c r="DB32" i="72" a="1"/>
  <c r="DB32" i="72" s="1"/>
  <c r="DB25" i="72" a="1"/>
  <c r="DB25" i="72" s="1"/>
  <c r="DB18" i="72" a="1"/>
  <c r="DB18" i="72" s="1"/>
  <c r="DC18" i="72" s="1"/>
  <c r="DB34" i="72" a="1"/>
  <c r="DB34" i="72" s="1"/>
  <c r="DB31" i="72" a="1"/>
  <c r="DB31" i="72" s="1"/>
  <c r="DB19" i="72" a="1"/>
  <c r="DB19" i="72" s="1"/>
  <c r="DB20" i="72" a="1"/>
  <c r="DB20" i="72" s="1"/>
  <c r="DB16" i="72" a="1"/>
  <c r="DB16" i="72" s="1"/>
  <c r="DB22" i="72" a="1"/>
  <c r="DB22" i="72" s="1"/>
  <c r="DC22" i="72" s="1"/>
  <c r="DB24" i="72" a="1"/>
  <c r="DB24" i="72" s="1"/>
  <c r="DC24" i="72" s="1"/>
  <c r="DB17" i="72" a="1"/>
  <c r="DB17" i="72" s="1"/>
  <c r="DC17" i="72" s="1"/>
  <c r="DB33" i="72" a="1"/>
  <c r="DB33" i="72" s="1"/>
  <c r="DC33" i="72" s="1"/>
  <c r="DB26" i="72" a="1"/>
  <c r="DB26" i="72" s="1"/>
  <c r="DC26" i="72" s="1"/>
  <c r="DB23" i="72" a="1"/>
  <c r="DB23" i="72" s="1"/>
  <c r="DC23" i="72" s="1"/>
  <c r="DB27" i="72" a="1"/>
  <c r="DB27" i="72" s="1"/>
  <c r="DC27" i="72" s="1"/>
  <c r="DB28" i="72" a="1"/>
  <c r="DB28" i="72" s="1"/>
  <c r="DC28" i="72" s="1"/>
  <c r="DB21" i="72" a="1"/>
  <c r="DB21" i="72" s="1"/>
  <c r="DC21" i="72" s="1"/>
  <c r="DB14" i="72" a="1"/>
  <c r="DB14" i="72" s="1"/>
  <c r="DC14" i="72" s="1"/>
  <c r="DB30" i="72" a="1"/>
  <c r="DB30" i="72" s="1"/>
  <c r="DC30" i="72" s="1"/>
  <c r="DB29" i="72" a="1"/>
  <c r="DB29" i="72" s="1"/>
  <c r="DC29" i="72" s="1"/>
  <c r="CF17" i="72" a="1"/>
  <c r="CF17" i="72" s="1"/>
  <c r="CF33" i="72" a="1"/>
  <c r="CF33" i="72" s="1"/>
  <c r="CF30" i="72" a="1"/>
  <c r="CF30" i="72" s="1"/>
  <c r="CG30" i="72" s="1"/>
  <c r="CF19" i="72" a="1"/>
  <c r="CF19" i="72" s="1"/>
  <c r="CF16" i="72" a="1"/>
  <c r="CF16" i="72" s="1"/>
  <c r="CF32" i="72" a="1"/>
  <c r="CF32" i="72" s="1"/>
  <c r="CF21" i="72" a="1"/>
  <c r="CF21" i="72" s="1"/>
  <c r="CF18" i="72" a="1"/>
  <c r="CF18" i="72" s="1"/>
  <c r="CG18" i="72" s="1"/>
  <c r="CF34" i="72" a="1"/>
  <c r="CF34" i="72" s="1"/>
  <c r="CF23" i="72" a="1"/>
  <c r="CF23" i="72" s="1"/>
  <c r="CF20" i="72" a="1"/>
  <c r="CF20" i="72" s="1"/>
  <c r="CG20" i="72" s="1"/>
  <c r="CF24" i="72" a="1"/>
  <c r="CF24" i="72" s="1"/>
  <c r="CG24" i="72" s="1"/>
  <c r="CF25" i="72" a="1"/>
  <c r="CF25" i="72" s="1"/>
  <c r="CG25" i="72" s="1"/>
  <c r="CF22" i="72" a="1"/>
  <c r="CF22" i="72" s="1"/>
  <c r="CG22" i="72" s="1"/>
  <c r="CF14" i="72" a="1"/>
  <c r="CF14" i="72" s="1"/>
  <c r="CG14" i="72" s="1"/>
  <c r="CF29" i="72" a="1"/>
  <c r="CF29" i="72" s="1"/>
  <c r="CG29" i="72" s="1"/>
  <c r="CF26" i="72" a="1"/>
  <c r="CF26" i="72" s="1"/>
  <c r="CG26" i="72" s="1"/>
  <c r="CF15" i="72" a="1"/>
  <c r="CF15" i="72" s="1"/>
  <c r="CG15" i="72" s="1"/>
  <c r="CF31" i="72" a="1"/>
  <c r="CF31" i="72" s="1"/>
  <c r="CG31" i="72" s="1"/>
  <c r="CF28" i="72" a="1"/>
  <c r="CF28" i="72" s="1"/>
  <c r="CG28" i="72" s="1"/>
  <c r="CF27" i="72" a="1"/>
  <c r="CF27" i="72" s="1"/>
  <c r="CG27" i="72" s="1"/>
  <c r="BJ18" i="72" a="1"/>
  <c r="BJ18" i="72" s="1"/>
  <c r="BJ34" i="72" a="1"/>
  <c r="BJ34" i="72" s="1"/>
  <c r="BJ27" i="72" a="1"/>
  <c r="BJ27" i="72" s="1"/>
  <c r="BK27" i="72" s="1"/>
  <c r="BJ24" i="72" a="1"/>
  <c r="BJ24" i="72" s="1"/>
  <c r="BJ22" i="72" a="1"/>
  <c r="BJ22" i="72" s="1"/>
  <c r="BJ15" i="72" a="1"/>
  <c r="BJ15" i="72" s="1"/>
  <c r="BJ31" i="72" a="1"/>
  <c r="BJ31" i="72" s="1"/>
  <c r="BJ28" i="72" a="1"/>
  <c r="BJ28" i="72" s="1"/>
  <c r="BJ21" i="72" a="1"/>
  <c r="BJ21" i="72" s="1"/>
  <c r="BJ33" i="72" a="1"/>
  <c r="BJ33" i="72" s="1"/>
  <c r="BK33" i="72" s="1"/>
  <c r="BJ26" i="72" a="1"/>
  <c r="BJ26" i="72" s="1"/>
  <c r="BK26" i="72" s="1"/>
  <c r="BJ19" i="72" a="1"/>
  <c r="BJ19" i="72" s="1"/>
  <c r="BK19" i="72" s="1"/>
  <c r="BJ16" i="72" a="1"/>
  <c r="BJ16" i="72" s="1"/>
  <c r="BK16" i="72" s="1"/>
  <c r="BJ32" i="72" a="1"/>
  <c r="BJ32" i="72" s="1"/>
  <c r="BK32" i="72" s="1"/>
  <c r="BJ25" i="72" a="1"/>
  <c r="BJ25" i="72" s="1"/>
  <c r="BK25" i="72" s="1"/>
  <c r="BJ30" i="72" a="1"/>
  <c r="BJ30" i="72" s="1"/>
  <c r="BK30" i="72" s="1"/>
  <c r="BJ23" i="72" a="1"/>
  <c r="BJ23" i="72" s="1"/>
  <c r="BK23" i="72" s="1"/>
  <c r="BJ20" i="72" a="1"/>
  <c r="BJ20" i="72" s="1"/>
  <c r="BK20" i="72" s="1"/>
  <c r="BJ14" i="72" a="1"/>
  <c r="BJ14" i="72" s="1"/>
  <c r="BK14" i="72" s="1"/>
  <c r="AY14" i="72" s="1" a="1"/>
  <c r="AY14" i="72" s="1"/>
  <c r="BJ29" i="72" a="1"/>
  <c r="BJ29" i="72" s="1"/>
  <c r="BK29" i="72" s="1"/>
  <c r="BJ17" i="72" a="1"/>
  <c r="BJ17" i="72" s="1"/>
  <c r="BK17" i="72" s="1"/>
  <c r="BK34" i="72"/>
  <c r="BK31" i="72"/>
  <c r="BK18" i="72"/>
  <c r="JA33" i="72"/>
  <c r="DC25" i="72"/>
  <c r="DC15" i="72"/>
  <c r="DC31" i="72"/>
  <c r="DC16" i="72"/>
  <c r="DC20" i="72"/>
  <c r="DC32" i="72"/>
  <c r="DC34" i="72"/>
  <c r="DY34" i="72"/>
  <c r="DY19" i="72"/>
  <c r="DY18" i="72"/>
  <c r="DY21" i="72"/>
  <c r="DY15" i="72"/>
  <c r="DY20" i="72"/>
  <c r="DY23" i="72"/>
  <c r="DY29" i="72"/>
  <c r="EU16" i="72"/>
  <c r="EU31" i="72"/>
  <c r="EU21" i="72"/>
  <c r="EU29" i="72"/>
  <c r="EU32" i="72"/>
  <c r="FQ21" i="72"/>
  <c r="FQ19" i="72"/>
  <c r="FQ24" i="72"/>
  <c r="FQ34" i="72"/>
  <c r="FQ20" i="72"/>
  <c r="FQ18" i="72"/>
  <c r="FQ27" i="72"/>
  <c r="HI14" i="72"/>
  <c r="HI24" i="72"/>
  <c r="HI27" i="72"/>
  <c r="HI25" i="72"/>
  <c r="HI20" i="72"/>
  <c r="HI28" i="72"/>
  <c r="HI26" i="72"/>
  <c r="HI34" i="72"/>
  <c r="BK28" i="72"/>
  <c r="BK24" i="72"/>
  <c r="BK21" i="72"/>
  <c r="GM23" i="72"/>
  <c r="GM28" i="72"/>
  <c r="GM18" i="72"/>
  <c r="GM26" i="72"/>
  <c r="GM34" i="72"/>
  <c r="GM24" i="72"/>
  <c r="GM29" i="72"/>
  <c r="GM30" i="72"/>
  <c r="GM15" i="72"/>
  <c r="IE32" i="72"/>
  <c r="IE19" i="72"/>
  <c r="IE22" i="72"/>
  <c r="IE15" i="72"/>
  <c r="IE27" i="72"/>
  <c r="IE33" i="72"/>
  <c r="IE29" i="72"/>
  <c r="IE23" i="72"/>
  <c r="CG21" i="72"/>
  <c r="CG34" i="72"/>
  <c r="CG23" i="72"/>
  <c r="JA34" i="72"/>
  <c r="JA29" i="72"/>
  <c r="JA27" i="72"/>
  <c r="JA22" i="72"/>
  <c r="JA23" i="72"/>
  <c r="JA31" i="72"/>
  <c r="DC19" i="72"/>
  <c r="CG17" i="72"/>
  <c r="CG33" i="72"/>
  <c r="CG16" i="72"/>
  <c r="CG32" i="72"/>
  <c r="CG19" i="72"/>
  <c r="BK22" i="72"/>
  <c r="BK15"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W48"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BW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BW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BW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W15" i="72"/>
  <c r="CD15" i="72" s="1"/>
  <c r="BW34" i="72"/>
  <c r="CD34" i="72" s="1"/>
  <c r="BW18" i="72"/>
  <c r="CD18" i="72" s="1"/>
  <c r="BW30" i="72"/>
  <c r="BX30" i="72" s="1"/>
  <c r="BY30" i="72" s="1"/>
  <c r="BW32" i="72"/>
  <c r="BZ32" i="72" s="1"/>
  <c r="AN4" i="75"/>
  <c r="F75" i="59"/>
  <c r="F74" i="59"/>
  <c r="F76" i="59"/>
  <c r="BW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BZ19" i="72" l="1"/>
  <c r="BZ17" i="72"/>
  <c r="CD33" i="72"/>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AA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A29" i="72"/>
  <c r="BA33" i="72"/>
  <c r="BA17" i="72"/>
  <c r="BA15" i="72"/>
  <c r="BA30" i="72"/>
  <c r="BA23" i="72"/>
  <c r="BA22" i="72"/>
  <c r="BA31" i="72"/>
  <c r="BA34" i="72"/>
  <c r="BA21" i="72"/>
  <c r="BA16" i="72"/>
  <c r="BA24" i="72"/>
  <c r="BA19" i="72"/>
  <c r="BA28" i="72"/>
  <c r="BA20" i="72"/>
  <c r="BA26" i="72"/>
  <c r="BA25" i="72"/>
  <c r="BA14" i="72"/>
  <c r="BA32" i="72"/>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EQ23" i="72" s="1"/>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GC16" i="72"/>
  <c r="GD16" i="72" s="1"/>
  <c r="GE16" i="72" s="1"/>
  <c r="CS17" i="72"/>
  <c r="CZ17" i="72" s="1"/>
  <c r="DO32" i="72"/>
  <c r="DV32" i="72" s="1"/>
  <c r="GY17" i="72"/>
  <c r="HF17" i="72" s="1"/>
  <c r="HU23" i="72"/>
  <c r="HX23" i="72" s="1"/>
  <c r="FG28" i="72"/>
  <c r="FN28" i="72" s="1"/>
  <c r="HU18" i="72"/>
  <c r="IA18" i="72" s="1"/>
  <c r="FG34" i="72"/>
  <c r="FJ34" i="72" s="1"/>
  <c r="HU21" i="72"/>
  <c r="IB21" i="72" s="1"/>
  <c r="FG32" i="72"/>
  <c r="FJ32" i="72" s="1"/>
  <c r="HU26" i="72"/>
  <c r="HV26" i="72" s="1"/>
  <c r="HW26" i="72" s="1"/>
  <c r="FG30" i="72"/>
  <c r="FM30" i="72" s="1"/>
  <c r="HU29" i="72"/>
  <c r="IB29" i="72" s="1"/>
  <c r="HU32" i="72"/>
  <c r="HX32" i="72" s="1"/>
  <c r="CS22" i="72"/>
  <c r="CV22" i="72" s="1"/>
  <c r="CB35" i="72"/>
  <c r="BH18" i="72"/>
  <c r="EK32" i="72"/>
  <c r="EN32" i="72" s="1"/>
  <c r="GC29" i="72"/>
  <c r="GJ29" i="72" s="1"/>
  <c r="CS33" i="72"/>
  <c r="CZ33" i="72" s="1"/>
  <c r="IQ33" i="72"/>
  <c r="IW33" i="72" s="1"/>
  <c r="EK33" i="72"/>
  <c r="EN33" i="72" s="1"/>
  <c r="GC32" i="72"/>
  <c r="GF32" i="72" s="1"/>
  <c r="CS19" i="72"/>
  <c r="CV19" i="72" s="1"/>
  <c r="DO20" i="72"/>
  <c r="DP20" i="72" s="1"/>
  <c r="DQ20" i="72" s="1"/>
  <c r="GY33" i="72"/>
  <c r="GZ33" i="72" s="1"/>
  <c r="HA33" i="72" s="1"/>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HU19" i="72"/>
  <c r="IA19" i="72" s="1"/>
  <c r="CS24" i="72"/>
  <c r="CT24" i="72" s="1"/>
  <c r="CU24" i="72" s="1"/>
  <c r="DO28" i="72"/>
  <c r="DV28" i="72" s="1"/>
  <c r="GY34" i="72"/>
  <c r="HB34" i="72" s="1"/>
  <c r="IQ25" i="72"/>
  <c r="IW25" i="72" s="1"/>
  <c r="DO24" i="72"/>
  <c r="DP24" i="72" s="1"/>
  <c r="DQ24" i="72" s="1"/>
  <c r="GY28" i="72"/>
  <c r="GZ28" i="72" s="1"/>
  <c r="HA28" i="72" s="1"/>
  <c r="IQ20" i="72"/>
  <c r="IT20" i="72" s="1"/>
  <c r="DO27" i="72"/>
  <c r="DU27" i="72" s="1"/>
  <c r="GY27" i="72"/>
  <c r="HB27" i="72" s="1"/>
  <c r="IQ23" i="72"/>
  <c r="IR23" i="72" s="1"/>
  <c r="IS23" i="72" s="1"/>
  <c r="DO18" i="72"/>
  <c r="DR18" i="72" s="1"/>
  <c r="GY22" i="72"/>
  <c r="GZ22" i="72" s="1"/>
  <c r="HA22" i="72" s="1"/>
  <c r="IQ18" i="72"/>
  <c r="IW18" i="72" s="1"/>
  <c r="DO22" i="72"/>
  <c r="DP22" i="72" s="1"/>
  <c r="DQ22" i="72" s="1"/>
  <c r="GY25" i="72"/>
  <c r="HF25" i="72" s="1"/>
  <c r="IQ30" i="72"/>
  <c r="IX30" i="72" s="1"/>
  <c r="DO21" i="72"/>
  <c r="DP21" i="72" s="1"/>
  <c r="DQ21" i="72" s="1"/>
  <c r="FG14" i="72"/>
  <c r="FH14" i="72" s="1"/>
  <c r="FI14" i="72" s="1"/>
  <c r="HU25" i="72"/>
  <c r="HV25" i="72" s="1"/>
  <c r="HW25" i="72" s="1"/>
  <c r="FG18" i="72"/>
  <c r="FH18" i="72" s="1"/>
  <c r="FI18" i="72" s="1"/>
  <c r="HU33" i="72"/>
  <c r="HV33" i="72" s="1"/>
  <c r="HW33" i="72" s="1"/>
  <c r="EK26" i="72"/>
  <c r="EQ26" i="72" s="1"/>
  <c r="GC20" i="72"/>
  <c r="GD20" i="72" s="1"/>
  <c r="GE20" i="72" s="1"/>
  <c r="IQ26" i="72"/>
  <c r="IX26" i="72" s="1"/>
  <c r="DO29" i="72"/>
  <c r="DU29" i="72" s="1"/>
  <c r="GY31" i="72"/>
  <c r="HE31" i="72" s="1"/>
  <c r="IQ16" i="72"/>
  <c r="IW16" i="72" s="1"/>
  <c r="DO17" i="72"/>
  <c r="DP17" i="72" s="1"/>
  <c r="DQ17" i="72" s="1"/>
  <c r="GY15" i="72"/>
  <c r="HB15" i="72" s="1"/>
  <c r="GF25" i="72"/>
  <c r="IQ24" i="72"/>
  <c r="IW24" i="72" s="1"/>
  <c r="DO23" i="72"/>
  <c r="DV23" i="72" s="1"/>
  <c r="GY23" i="72"/>
  <c r="HE23" i="72" s="1"/>
  <c r="CS23" i="72"/>
  <c r="CZ23" i="72" s="1"/>
  <c r="DO30" i="72"/>
  <c r="DP30" i="72" s="1"/>
  <c r="DQ30" i="72" s="1"/>
  <c r="GY26" i="72"/>
  <c r="GZ26" i="72" s="1"/>
  <c r="HA26" i="72" s="1"/>
  <c r="CS18" i="72"/>
  <c r="CY18" i="72" s="1"/>
  <c r="EK16" i="72"/>
  <c r="ER16" i="72" s="1"/>
  <c r="DO14" i="72"/>
  <c r="DR14" i="72" s="1"/>
  <c r="DO34" i="72"/>
  <c r="DV34" i="72" s="1"/>
  <c r="GY14" i="72"/>
  <c r="HF14" i="72" s="1"/>
  <c r="HU28" i="72"/>
  <c r="IB28" i="72" s="1"/>
  <c r="EK14" i="72"/>
  <c r="EL14" i="72" s="1"/>
  <c r="EM14" i="72" s="1"/>
  <c r="GC14" i="72"/>
  <c r="GJ14" i="72" s="1"/>
  <c r="CS31" i="72"/>
  <c r="CY31" i="72" s="1"/>
  <c r="GC26" i="72"/>
  <c r="GJ26" i="72" s="1"/>
  <c r="EK21" i="72"/>
  <c r="EL21" i="72" s="1"/>
  <c r="EM21" i="72" s="1"/>
  <c r="GC23" i="72"/>
  <c r="GF23" i="72" s="1"/>
  <c r="CS26" i="72"/>
  <c r="CZ26" i="72" s="1"/>
  <c r="DO31" i="72"/>
  <c r="DP31" i="72" s="1"/>
  <c r="DQ31" i="72" s="1"/>
  <c r="GC28" i="72"/>
  <c r="GD28" i="72" s="1"/>
  <c r="GE28" i="72" s="1"/>
  <c r="CS14" i="72"/>
  <c r="CY14" i="72" s="1"/>
  <c r="EK20" i="72"/>
  <c r="ER20" i="72" s="1"/>
  <c r="GC31" i="72"/>
  <c r="GI31" i="72" s="1"/>
  <c r="CS25" i="72"/>
  <c r="CY25" i="72" s="1"/>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GC27" i="72"/>
  <c r="GJ27" i="72" s="1"/>
  <c r="CS28" i="72"/>
  <c r="CY28" i="72" s="1"/>
  <c r="HU16" i="72"/>
  <c r="IB16" i="72" s="1"/>
  <c r="EK22" i="72"/>
  <c r="EQ22" i="72" s="1"/>
  <c r="GC21" i="72"/>
  <c r="GD21" i="72" s="1"/>
  <c r="GE21" i="72" s="1"/>
  <c r="CS30" i="72"/>
  <c r="CV30" i="72" s="1"/>
  <c r="EK24" i="72"/>
  <c r="EN24" i="72" s="1"/>
  <c r="GC24" i="72"/>
  <c r="GD24" i="72" s="1"/>
  <c r="GE24" i="72" s="1"/>
  <c r="CS27" i="72"/>
  <c r="CT27" i="72" s="1"/>
  <c r="CU27" i="72" s="1"/>
  <c r="EK19" i="72"/>
  <c r="EN19" i="72" s="1"/>
  <c r="GC19" i="72"/>
  <c r="GD19" i="72" s="1"/>
  <c r="GE19" i="72" s="1"/>
  <c r="CS21" i="72"/>
  <c r="CT21" i="72" s="1"/>
  <c r="CU21" i="72" s="1"/>
  <c r="EK34" i="72"/>
  <c r="ER34" i="72" s="1"/>
  <c r="GC22" i="72"/>
  <c r="GI22" i="72" s="1"/>
  <c r="CS16" i="72"/>
  <c r="CY16" i="72" s="1"/>
  <c r="FG19" i="72"/>
  <c r="FJ19" i="72" s="1"/>
  <c r="FG17" i="72"/>
  <c r="FN17" i="72" s="1"/>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CS4" i="72"/>
  <c r="FG4" i="72"/>
  <c r="B76" i="64"/>
  <c r="B59" i="64"/>
  <c r="B53" i="64"/>
  <c r="B36" i="64"/>
  <c r="B26" i="64"/>
  <c r="B14" i="64"/>
  <c r="T26" i="64"/>
  <c r="U26" i="64" s="1"/>
  <c r="J36" i="64"/>
  <c r="K36" i="64" s="1"/>
  <c r="T14" i="64"/>
  <c r="U14" i="64" s="1"/>
  <c r="O14" i="64"/>
  <c r="P14" i="64" s="1"/>
  <c r="IX28" i="72" l="1"/>
  <c r="IW32" i="72"/>
  <c r="HV17" i="72"/>
  <c r="HW17" i="72" s="1"/>
  <c r="IA17" i="72"/>
  <c r="HE18" i="72"/>
  <c r="HB21" i="72"/>
  <c r="FJ30" i="72"/>
  <c r="FN25" i="72"/>
  <c r="FH25" i="72"/>
  <c r="FI25" i="72" s="1"/>
  <c r="EL23" i="72"/>
  <c r="EM23" i="72" s="1"/>
  <c r="IA30" i="72"/>
  <c r="HB18" i="72"/>
  <c r="FH33" i="72"/>
  <c r="FI33" i="72" s="1"/>
  <c r="HV21" i="72"/>
  <c r="HW21" i="72" s="1"/>
  <c r="GZ18" i="72"/>
  <c r="HA18" i="72" s="1"/>
  <c r="IW15" i="72"/>
  <c r="IX15" i="72"/>
  <c r="IX18" i="72"/>
  <c r="EN23" i="72"/>
  <c r="H22" i="72"/>
  <c r="H14" i="72"/>
  <c r="H28" i="72"/>
  <c r="H25" i="72"/>
  <c r="H19" i="72"/>
  <c r="H23" i="72"/>
  <c r="DU22" i="72"/>
  <c r="IB22" i="72"/>
  <c r="H33" i="72"/>
  <c r="H26" i="72"/>
  <c r="H16" i="72"/>
  <c r="H32" i="72"/>
  <c r="IA22" i="72"/>
  <c r="H30" i="72"/>
  <c r="H15" i="72"/>
  <c r="H27" i="72"/>
  <c r="H20" i="72"/>
  <c r="H31" i="72"/>
  <c r="H29" i="72"/>
  <c r="H21" i="72"/>
  <c r="EL26" i="72"/>
  <c r="EM26" i="72" s="1"/>
  <c r="ER23" i="72"/>
  <c r="H17" i="72"/>
  <c r="H18" i="72"/>
  <c r="H34" i="72"/>
  <c r="H24" i="72"/>
  <c r="BG32" i="72"/>
  <c r="BD25" i="72"/>
  <c r="BG26" i="72"/>
  <c r="BG20" i="72"/>
  <c r="BG28" i="72"/>
  <c r="BD19" i="72"/>
  <c r="BG24" i="72"/>
  <c r="BD16" i="72"/>
  <c r="BB21" i="72"/>
  <c r="BC21" i="72" s="1"/>
  <c r="BB34" i="72"/>
  <c r="BC34" i="72" s="1"/>
  <c r="BG31" i="72"/>
  <c r="BB22" i="72"/>
  <c r="BC22" i="72" s="1"/>
  <c r="BH23" i="72"/>
  <c r="BH30" i="72"/>
  <c r="BD15" i="72"/>
  <c r="BH17" i="72"/>
  <c r="BG33" i="72"/>
  <c r="BG29" i="72"/>
  <c r="BG27" i="72"/>
  <c r="IB34" i="72"/>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G21" i="72"/>
  <c r="G15" i="72"/>
  <c r="G29" i="72"/>
  <c r="G28" i="72"/>
  <c r="G23" i="72"/>
  <c r="G32" i="72"/>
  <c r="G30" i="72"/>
  <c r="G25" i="72"/>
  <c r="G31" i="72"/>
  <c r="G20" i="72"/>
  <c r="G22" i="72"/>
  <c r="G24" i="72"/>
  <c r="G16" i="72"/>
  <c r="G34" i="72"/>
  <c r="G18" i="72"/>
  <c r="G27" i="72"/>
  <c r="G19" i="72"/>
  <c r="G26" i="72"/>
  <c r="G17" i="72"/>
  <c r="G33" i="72"/>
  <c r="C14" i="72"/>
  <c r="T14" i="72"/>
  <c r="C21" i="72"/>
  <c r="G14" i="72"/>
  <c r="C34" i="72"/>
  <c r="C28" i="72"/>
  <c r="C30" i="72"/>
  <c r="C26" i="72"/>
  <c r="C17" i="72"/>
  <c r="T17" i="72"/>
  <c r="E28" i="72"/>
  <c r="F26" i="76" s="1"/>
  <c r="D28" i="72"/>
  <c r="E26" i="76" s="1"/>
  <c r="C24" i="72"/>
  <c r="C20" i="72"/>
  <c r="C27" i="72"/>
  <c r="C18" i="72"/>
  <c r="C25" i="72"/>
  <c r="C31" i="72"/>
  <c r="C22" i="72"/>
  <c r="C29" i="72"/>
  <c r="C19" i="72"/>
  <c r="C15" i="72"/>
  <c r="C32" i="72"/>
  <c r="C33" i="72"/>
  <c r="C23"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D30" i="76" l="1"/>
  <c r="L32" i="72"/>
  <c r="J32" i="72"/>
  <c r="N32" i="72"/>
  <c r="AQ32" i="72" s="1"/>
  <c r="K32" i="72"/>
  <c r="I32" i="72"/>
  <c r="D20" i="76"/>
  <c r="N22" i="72"/>
  <c r="AQ22" i="72" s="1"/>
  <c r="L22" i="72"/>
  <c r="I22" i="72"/>
  <c r="J22" i="72"/>
  <c r="K22" i="72"/>
  <c r="D25" i="76"/>
  <c r="J27" i="72"/>
  <c r="K27" i="72"/>
  <c r="I27" i="72"/>
  <c r="L27" i="72"/>
  <c r="N27" i="72"/>
  <c r="AQ27" i="72" s="1"/>
  <c r="D28" i="76"/>
  <c r="L30" i="72"/>
  <c r="K30" i="72"/>
  <c r="J30" i="72"/>
  <c r="I30" i="72"/>
  <c r="N30" i="72"/>
  <c r="AQ30" i="72" s="1"/>
  <c r="D19" i="76"/>
  <c r="L21" i="72"/>
  <c r="I21" i="72"/>
  <c r="N21" i="72"/>
  <c r="AQ21" i="72" s="1"/>
  <c r="K21" i="72"/>
  <c r="J21" i="72"/>
  <c r="D13" i="76"/>
  <c r="J15" i="72"/>
  <c r="K15" i="72"/>
  <c r="L15" i="72"/>
  <c r="N15" i="72"/>
  <c r="I15" i="72"/>
  <c r="D29" i="76"/>
  <c r="J31" i="72"/>
  <c r="K31" i="72"/>
  <c r="N31" i="72"/>
  <c r="AQ31" i="72" s="1"/>
  <c r="L31" i="72"/>
  <c r="I31" i="72"/>
  <c r="D18" i="76"/>
  <c r="N20" i="72"/>
  <c r="AQ20" i="72" s="1"/>
  <c r="J20" i="72"/>
  <c r="L20" i="72"/>
  <c r="I20" i="72"/>
  <c r="K20" i="72"/>
  <c r="D26" i="76"/>
  <c r="H26" i="76" s="1"/>
  <c r="J28" i="72"/>
  <c r="L28" i="72"/>
  <c r="N28" i="72"/>
  <c r="AQ28" i="72" s="1"/>
  <c r="I28" i="72"/>
  <c r="K28" i="72"/>
  <c r="D21" i="76"/>
  <c r="I23" i="72"/>
  <c r="N23" i="72"/>
  <c r="AQ23" i="72" s="1"/>
  <c r="K23" i="72"/>
  <c r="J23" i="72"/>
  <c r="L23" i="72"/>
  <c r="D17" i="76"/>
  <c r="N19" i="72"/>
  <c r="AQ19" i="72" s="1"/>
  <c r="I19" i="72"/>
  <c r="J19" i="72"/>
  <c r="L19" i="72"/>
  <c r="K19" i="72"/>
  <c r="D23" i="76"/>
  <c r="N25" i="72"/>
  <c r="AQ25" i="72" s="1"/>
  <c r="L25" i="72"/>
  <c r="I25" i="72"/>
  <c r="J25" i="72"/>
  <c r="K25" i="72"/>
  <c r="D22" i="76"/>
  <c r="L24" i="72"/>
  <c r="I24" i="72"/>
  <c r="N24" i="72"/>
  <c r="AQ24" i="72" s="1"/>
  <c r="K24" i="72"/>
  <c r="J24" i="72"/>
  <c r="D15" i="76"/>
  <c r="L17" i="72"/>
  <c r="K17" i="72"/>
  <c r="I17" i="72"/>
  <c r="J17" i="72"/>
  <c r="N17" i="72"/>
  <c r="AQ17" i="72" s="1"/>
  <c r="D32" i="76"/>
  <c r="K34" i="72"/>
  <c r="J34" i="72"/>
  <c r="L34" i="72"/>
  <c r="I34" i="72"/>
  <c r="N34" i="72"/>
  <c r="AQ34" i="72" s="1"/>
  <c r="D12" i="76"/>
  <c r="L14" i="72"/>
  <c r="J14" i="72"/>
  <c r="K14" i="72"/>
  <c r="N14" i="72"/>
  <c r="AQ14" i="72" s="1"/>
  <c r="I14" i="72"/>
  <c r="D31" i="76"/>
  <c r="I33" i="72"/>
  <c r="K33" i="72"/>
  <c r="L33" i="72"/>
  <c r="J33" i="72"/>
  <c r="N33" i="72"/>
  <c r="AQ33" i="72" s="1"/>
  <c r="D27" i="76"/>
  <c r="I29" i="72"/>
  <c r="O25" i="70" s="1"/>
  <c r="L29" i="72"/>
  <c r="N29" i="72"/>
  <c r="AQ29" i="72" s="1"/>
  <c r="J29" i="72"/>
  <c r="K29" i="72"/>
  <c r="D16" i="76"/>
  <c r="K18" i="72"/>
  <c r="I18" i="72"/>
  <c r="J18" i="72"/>
  <c r="L18" i="72"/>
  <c r="N18" i="72"/>
  <c r="AQ18" i="72" s="1"/>
  <c r="D24" i="76"/>
  <c r="I26" i="72"/>
  <c r="L26" i="72"/>
  <c r="N26" i="72"/>
  <c r="AQ26" i="72" s="1"/>
  <c r="K26" i="72"/>
  <c r="J26" i="72"/>
  <c r="D14" i="76"/>
  <c r="N16" i="72"/>
  <c r="AQ16" i="72" s="1"/>
  <c r="I16" i="72"/>
  <c r="J16" i="72"/>
  <c r="L16" i="72"/>
  <c r="K16" i="72"/>
  <c r="I45" i="43"/>
  <c r="I42" i="43"/>
  <c r="P28" i="70"/>
  <c r="AQ15"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T35" i="72"/>
  <c r="Q25" i="72" s="1"/>
  <c r="F14" i="72"/>
  <c r="G12" i="76" s="1"/>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E29" i="72"/>
  <c r="F27" i="76" s="1"/>
  <c r="D29" i="72"/>
  <c r="E27" i="76" s="1"/>
  <c r="H27" i="76" s="1"/>
  <c r="E34" i="72"/>
  <c r="F32" i="76" s="1"/>
  <c r="D34" i="72"/>
  <c r="E32" i="76" s="1"/>
  <c r="E18" i="72"/>
  <c r="F16" i="76" s="1"/>
  <c r="D18" i="72"/>
  <c r="E16" i="76" s="1"/>
  <c r="E32" i="72"/>
  <c r="F30" i="76" s="1"/>
  <c r="D32" i="72"/>
  <c r="E30" i="76" s="1"/>
  <c r="H30" i="76" s="1"/>
  <c r="W31" i="72"/>
  <c r="E21" i="72"/>
  <c r="F19" i="76" s="1"/>
  <c r="D21" i="72"/>
  <c r="E19" i="76" s="1"/>
  <c r="D14" i="72"/>
  <c r="E12" i="76" s="1"/>
  <c r="E22" i="72"/>
  <c r="F20" i="76" s="1"/>
  <c r="D22" i="72"/>
  <c r="E20" i="76" s="1"/>
  <c r="E25" i="72"/>
  <c r="F23" i="76" s="1"/>
  <c r="D25" i="72"/>
  <c r="E23" i="76" s="1"/>
  <c r="H23" i="76" s="1"/>
  <c r="E17" i="72"/>
  <c r="F15" i="76" s="1"/>
  <c r="D17" i="72"/>
  <c r="E15" i="76" s="1"/>
  <c r="H15" i="76" s="1"/>
  <c r="E33" i="72"/>
  <c r="F31" i="76" s="1"/>
  <c r="D33" i="72"/>
  <c r="E31" i="76" s="1"/>
  <c r="E15" i="72"/>
  <c r="F13" i="76" s="1"/>
  <c r="D15" i="72"/>
  <c r="E13" i="76" s="1"/>
  <c r="E23" i="72"/>
  <c r="F21" i="76" s="1"/>
  <c r="D23" i="72"/>
  <c r="E21" i="76" s="1"/>
  <c r="V28" i="72"/>
  <c r="E31" i="72"/>
  <c r="F29" i="76" s="1"/>
  <c r="D31" i="72"/>
  <c r="E29" i="76" s="1"/>
  <c r="E26" i="72"/>
  <c r="F24" i="76" s="1"/>
  <c r="D26" i="72"/>
  <c r="E24" i="76" s="1"/>
  <c r="E24" i="72"/>
  <c r="F22" i="76" s="1"/>
  <c r="D24" i="72"/>
  <c r="E22" i="76" s="1"/>
  <c r="E30" i="72"/>
  <c r="F28" i="76" s="1"/>
  <c r="D30" i="72"/>
  <c r="E28" i="76" s="1"/>
  <c r="H28" i="76" s="1"/>
  <c r="E27" i="72"/>
  <c r="F25" i="76" s="1"/>
  <c r="D27" i="72"/>
  <c r="E25" i="76" s="1"/>
  <c r="E20" i="72"/>
  <c r="F18" i="76" s="1"/>
  <c r="D20" i="72"/>
  <c r="E18" i="76" s="1"/>
  <c r="H18" i="76" s="1"/>
  <c r="E16" i="72"/>
  <c r="D16" i="72"/>
  <c r="E14" i="76" s="1"/>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H21" i="76" l="1"/>
  <c r="H13" i="76"/>
  <c r="H20" i="76"/>
  <c r="H24" i="76"/>
  <c r="H12" i="76"/>
  <c r="D33" i="76"/>
  <c r="A32" i="76" s="1"/>
  <c r="L32" i="76" s="1"/>
  <c r="AH32" i="76" s="1"/>
  <c r="H16" i="76"/>
  <c r="L35" i="72"/>
  <c r="M35" i="72" s="1"/>
  <c r="H31" i="76"/>
  <c r="H32" i="76"/>
  <c r="H17" i="76"/>
  <c r="H14" i="76"/>
  <c r="H25" i="76"/>
  <c r="H22" i="76"/>
  <c r="H29" i="76"/>
  <c r="H19" i="76"/>
  <c r="O10" i="70"/>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26" i="76"/>
  <c r="L26" i="76" s="1"/>
  <c r="AH26"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A15" i="76" l="1"/>
  <c r="L15" i="76" s="1"/>
  <c r="AH15" i="76" s="1"/>
  <c r="A28" i="76"/>
  <c r="L28" i="76" s="1"/>
  <c r="AH28" i="76" s="1"/>
  <c r="A31" i="76"/>
  <c r="L31" i="76" s="1"/>
  <c r="AH31" i="76" s="1"/>
  <c r="A23" i="76"/>
  <c r="L23" i="76" s="1"/>
  <c r="AH23" i="76" s="1"/>
  <c r="A30" i="76"/>
  <c r="L30" i="76" s="1"/>
  <c r="AH30" i="76" s="1"/>
  <c r="A12" i="76"/>
  <c r="L12" i="76" s="1"/>
  <c r="AH12" i="76" s="1"/>
  <c r="AH33" i="76" s="1"/>
  <c r="A25" i="76"/>
  <c r="L25" i="76" s="1"/>
  <c r="AH25" i="76" s="1"/>
  <c r="A17" i="76"/>
  <c r="L17" i="76" s="1"/>
  <c r="AH17" i="76" s="1"/>
  <c r="A14" i="76"/>
  <c r="L14" i="76" s="1"/>
  <c r="AH14" i="76" s="1"/>
  <c r="A29" i="76"/>
  <c r="L29" i="76" s="1"/>
  <c r="AH29" i="76" s="1"/>
  <c r="A16" i="76"/>
  <c r="L16" i="76" s="1"/>
  <c r="AH16" i="76" s="1"/>
  <c r="A20" i="76"/>
  <c r="L20" i="76" s="1"/>
  <c r="AH20" i="76" s="1"/>
  <c r="A19" i="76"/>
  <c r="L19" i="76" s="1"/>
  <c r="AH19" i="76" s="1"/>
  <c r="A21" i="76"/>
  <c r="L21" i="76" s="1"/>
  <c r="AH21" i="76" s="1"/>
  <c r="A22" i="76"/>
  <c r="L22" i="76" s="1"/>
  <c r="AH22" i="76" s="1"/>
  <c r="A18" i="76"/>
  <c r="L18" i="76" s="1"/>
  <c r="AH18" i="76" s="1"/>
  <c r="A24" i="76"/>
  <c r="L24" i="76" s="1"/>
  <c r="AH24" i="76" s="1"/>
  <c r="A13" i="76"/>
  <c r="L13" i="76" s="1"/>
  <c r="AH13" i="76" s="1"/>
  <c r="A27" i="76"/>
  <c r="L27" i="76" s="1"/>
  <c r="AH27" i="76" s="1"/>
  <c r="M22" i="72"/>
  <c r="W20" i="76" s="1"/>
  <c r="M20" i="72"/>
  <c r="W18" i="76" s="1"/>
  <c r="M21" i="72"/>
  <c r="W19" i="76" s="1"/>
  <c r="M23" i="72"/>
  <c r="W21" i="76" s="1"/>
  <c r="M34" i="72"/>
  <c r="W32" i="76" s="1"/>
  <c r="M18" i="72"/>
  <c r="W16" i="76" s="1"/>
  <c r="M26" i="72"/>
  <c r="W24" i="76" s="1"/>
  <c r="M31" i="72"/>
  <c r="W29" i="76" s="1"/>
  <c r="M15" i="72"/>
  <c r="W13" i="76" s="1"/>
  <c r="M19" i="72"/>
  <c r="W17" i="76" s="1"/>
  <c r="M30" i="72"/>
  <c r="W28" i="76" s="1"/>
  <c r="M14" i="72"/>
  <c r="W12" i="76" s="1"/>
  <c r="W33" i="76" s="1"/>
  <c r="M25" i="72"/>
  <c r="W23" i="76" s="1"/>
  <c r="M29" i="72"/>
  <c r="W27" i="76" s="1"/>
  <c r="M32" i="72"/>
  <c r="W30" i="76" s="1"/>
  <c r="M24" i="72"/>
  <c r="W22" i="76" s="1"/>
  <c r="M28" i="72"/>
  <c r="W26" i="76" s="1"/>
  <c r="M27" i="72"/>
  <c r="W25" i="76" s="1"/>
  <c r="M17" i="72"/>
  <c r="W15" i="76" s="1"/>
  <c r="M33" i="72"/>
  <c r="W31" i="76" s="1"/>
  <c r="M16" i="72"/>
  <c r="W14" i="76" s="1"/>
  <c r="E6" i="1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F33" i="76"/>
  <c r="R21" i="72"/>
  <c r="R32" i="72"/>
  <c r="R15" i="72"/>
  <c r="R33" i="72"/>
  <c r="R18" i="72"/>
  <c r="R28" i="72"/>
  <c r="R23" i="72"/>
  <c r="R16" i="72"/>
  <c r="R22" i="72"/>
  <c r="R26" i="72"/>
  <c r="R17" i="72"/>
  <c r="R19" i="72"/>
  <c r="R30" i="72"/>
  <c r="R25" i="72"/>
  <c r="R24" i="72"/>
  <c r="R27" i="72"/>
  <c r="Q35" i="72"/>
  <c r="V35" i="72"/>
  <c r="V11" i="72" s="1"/>
  <c r="S7" i="64"/>
  <c r="L33" i="76" l="1"/>
  <c r="R13" i="76" s="1"/>
  <c r="A33" i="76"/>
  <c r="N33" i="12"/>
  <c r="I32" i="12" s="1"/>
  <c r="N34" i="12"/>
  <c r="J44" i="43"/>
  <c r="J39" i="43"/>
  <c r="E39" i="43"/>
  <c r="F39" i="43" s="1"/>
  <c r="I39" i="43" s="1"/>
  <c r="E44" i="43"/>
  <c r="F44" i="43" s="1"/>
  <c r="I44" i="43" s="1"/>
  <c r="AB16" i="75"/>
  <c r="AU3" i="76" s="1"/>
  <c r="AE25" i="36"/>
  <c r="E11" i="11" s="1"/>
  <c r="AF25" i="36"/>
  <c r="E15" i="11" s="1"/>
  <c r="R32" i="76"/>
  <c r="R12" i="76"/>
  <c r="R19" i="76"/>
  <c r="Q27" i="76"/>
  <c r="Q12" i="76"/>
  <c r="O26" i="76"/>
  <c r="O22" i="76"/>
  <c r="Q22" i="76"/>
  <c r="P26" i="76"/>
  <c r="O23" i="76"/>
  <c r="O16" i="76"/>
  <c r="Q28" i="76"/>
  <c r="Q17" i="76"/>
  <c r="P16" i="76"/>
  <c r="O19" i="76"/>
  <c r="Q23" i="76"/>
  <c r="P17" i="76"/>
  <c r="P25" i="76"/>
  <c r="P20" i="76"/>
  <c r="O28" i="76"/>
  <c r="P32" i="76"/>
  <c r="Q20" i="76"/>
  <c r="O13" i="76"/>
  <c r="O25" i="76"/>
  <c r="P30" i="76"/>
  <c r="O14" i="76"/>
  <c r="Q14" i="76"/>
  <c r="R35" i="72"/>
  <c r="C10" i="69"/>
  <c r="C4" i="69"/>
  <c r="R28" i="76" l="1"/>
  <c r="O24" i="76"/>
  <c r="Q21" i="76"/>
  <c r="O20" i="76"/>
  <c r="S20" i="76" s="1"/>
  <c r="P28" i="76"/>
  <c r="S28" i="76" s="1"/>
  <c r="P21" i="76"/>
  <c r="Q31" i="76"/>
  <c r="Q25" i="76"/>
  <c r="Q19" i="76"/>
  <c r="O31" i="76"/>
  <c r="O21" i="76"/>
  <c r="Q16" i="76"/>
  <c r="P23" i="76"/>
  <c r="S23" i="76" s="1"/>
  <c r="O18" i="76"/>
  <c r="P12" i="76"/>
  <c r="P29" i="76"/>
  <c r="R22" i="76"/>
  <c r="T22" i="76" s="1"/>
  <c r="R27" i="76"/>
  <c r="R16" i="76"/>
  <c r="R15" i="76"/>
  <c r="O30" i="76"/>
  <c r="P18" i="76"/>
  <c r="O27" i="76"/>
  <c r="O29" i="76"/>
  <c r="S29" i="76" s="1"/>
  <c r="R21" i="76"/>
  <c r="R30" i="76"/>
  <c r="R26" i="76"/>
  <c r="Q30" i="76"/>
  <c r="Q24" i="76"/>
  <c r="P19" i="76"/>
  <c r="P14" i="76"/>
  <c r="Q26" i="76"/>
  <c r="P31" i="76"/>
  <c r="S31" i="76" s="1"/>
  <c r="P24" i="76"/>
  <c r="P22" i="76"/>
  <c r="P13" i="76"/>
  <c r="O17" i="76"/>
  <c r="S17" i="76" s="1"/>
  <c r="Q13" i="76"/>
  <c r="O32" i="76"/>
  <c r="S32" i="76" s="1"/>
  <c r="O15" i="76"/>
  <c r="T15" i="76" s="1"/>
  <c r="Q15" i="76"/>
  <c r="P15" i="76"/>
  <c r="Q32" i="76"/>
  <c r="Q18" i="76"/>
  <c r="P27" i="76"/>
  <c r="S27" i="76" s="1"/>
  <c r="Q29" i="76"/>
  <c r="R24" i="76"/>
  <c r="T24" i="76" s="1"/>
  <c r="R29" i="76"/>
  <c r="R25" i="76"/>
  <c r="T25" i="76" s="1"/>
  <c r="R18" i="76"/>
  <c r="R31" i="76"/>
  <c r="R23" i="76"/>
  <c r="T23" i="76" s="1"/>
  <c r="O12" i="76"/>
  <c r="S12" i="76" s="1"/>
  <c r="R17" i="76"/>
  <c r="R20" i="76"/>
  <c r="R14" i="76"/>
  <c r="T14" i="76" s="1"/>
  <c r="S21" i="76"/>
  <c r="S18" i="76"/>
  <c r="T29" i="76"/>
  <c r="T13" i="76"/>
  <c r="S13" i="76"/>
  <c r="AO13" i="76" s="1"/>
  <c r="T19" i="76"/>
  <c r="S19" i="76"/>
  <c r="S14" i="76"/>
  <c r="S25" i="76"/>
  <c r="T28" i="76"/>
  <c r="S16" i="76"/>
  <c r="T16" i="76"/>
  <c r="S22" i="76"/>
  <c r="T26" i="76"/>
  <c r="S26" i="76"/>
  <c r="H33" i="12"/>
  <c r="J47" i="43"/>
  <c r="E17" i="12" s="1"/>
  <c r="B26" i="65" s="1"/>
  <c r="I47" i="43"/>
  <c r="E29" i="11" s="1"/>
  <c r="Y31" i="76"/>
  <c r="AA31" i="76" s="1"/>
  <c r="Y23" i="76"/>
  <c r="AA23" i="76" s="1"/>
  <c r="R33" i="76"/>
  <c r="Q33" i="76"/>
  <c r="P33" i="76"/>
  <c r="C35" i="72"/>
  <c r="D35" i="72"/>
  <c r="T20" i="76" l="1"/>
  <c r="T32" i="76"/>
  <c r="T21" i="76"/>
  <c r="T30" i="76"/>
  <c r="T12" i="76"/>
  <c r="AP12" i="76" s="1"/>
  <c r="S30" i="76"/>
  <c r="S15" i="76"/>
  <c r="AO15" i="76" s="1"/>
  <c r="O33" i="76"/>
  <c r="T17" i="76"/>
  <c r="T27" i="76"/>
  <c r="T18" i="76"/>
  <c r="AP18" i="76" s="1"/>
  <c r="S24" i="76"/>
  <c r="T31" i="76"/>
  <c r="AP31" i="76" s="1"/>
  <c r="N35" i="72"/>
  <c r="K35" i="72"/>
  <c r="J35" i="72"/>
  <c r="I35" i="72"/>
  <c r="E23" i="11"/>
  <c r="Z23" i="76"/>
  <c r="Z31" i="76"/>
  <c r="AO20" i="76"/>
  <c r="AO23" i="76"/>
  <c r="AO12" i="76"/>
  <c r="AP27" i="76"/>
  <c r="AP23" i="76"/>
  <c r="AO17" i="76"/>
  <c r="AO27" i="76"/>
  <c r="AO22" i="76"/>
  <c r="AO28" i="76"/>
  <c r="AO21" i="76"/>
  <c r="AO25" i="76"/>
  <c r="AO14" i="76"/>
  <c r="AO18" i="76"/>
  <c r="AP22" i="76"/>
  <c r="AP32" i="76"/>
  <c r="AP24" i="76"/>
  <c r="AP14" i="76"/>
  <c r="AO31" i="76"/>
  <c r="AO19" i="76"/>
  <c r="AO26" i="76"/>
  <c r="AP13" i="76"/>
  <c r="AO30" i="76"/>
  <c r="AO16" i="76"/>
  <c r="AP16" i="76"/>
  <c r="AP20" i="76"/>
  <c r="AP25" i="76"/>
  <c r="AP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17" i="76" l="1"/>
  <c r="Z17" i="76" l="1"/>
  <c r="AA17" i="76"/>
  <c r="Y29" i="76"/>
  <c r="AA29" i="76" s="1"/>
  <c r="Z29" i="76" l="1"/>
  <c r="Y28" i="76" l="1"/>
  <c r="AA28" i="76" s="1"/>
  <c r="Z28" i="76" l="1"/>
  <c r="Y16" i="76" l="1"/>
  <c r="Y21" i="76"/>
  <c r="Y26" i="76"/>
  <c r="Z26" i="76" l="1"/>
  <c r="AA26" i="76"/>
  <c r="Z21" i="76"/>
  <c r="AA21" i="76"/>
  <c r="Z16" i="76"/>
  <c r="AA16" i="76"/>
  <c r="Y27" i="76"/>
  <c r="AA27" i="76" s="1"/>
  <c r="Z27" i="76" l="1"/>
  <c r="Y22" i="76" l="1"/>
  <c r="Z22" i="76" l="1"/>
  <c r="AA22" i="76"/>
  <c r="Y25" i="76"/>
  <c r="Z25" i="76" l="1"/>
  <c r="AA25" i="76"/>
  <c r="Y18" i="76"/>
  <c r="Z18" i="76" l="1"/>
  <c r="AA18" i="76"/>
  <c r="Y20" i="76"/>
  <c r="AA20" i="76" s="1"/>
  <c r="Z20" i="76" l="1"/>
  <c r="Y15" i="76" l="1"/>
  <c r="AA15" i="76" s="1"/>
  <c r="Y19" i="76"/>
  <c r="Z19" i="76" l="1"/>
  <c r="AA19" i="76"/>
  <c r="Z15" i="76"/>
  <c r="Y13" i="76" l="1"/>
  <c r="Z13" i="76" l="1"/>
  <c r="AA13" i="76"/>
  <c r="AU34" i="72"/>
  <c r="W30" i="70" s="1"/>
  <c r="Y14" i="76" l="1"/>
  <c r="AA14" i="76" s="1"/>
  <c r="AU32" i="72"/>
  <c r="W28" i="70" s="1"/>
  <c r="AU16" i="72"/>
  <c r="W12" i="70" s="1"/>
  <c r="Z14" i="76" l="1"/>
  <c r="Y24" i="76" l="1"/>
  <c r="Y12" i="76"/>
  <c r="AA12" i="76" s="1"/>
  <c r="Y32" i="76"/>
  <c r="Z32" i="76" l="1"/>
  <c r="AA32" i="76"/>
  <c r="Z24" i="76"/>
  <c r="AA24" i="76"/>
  <c r="Z12" i="76"/>
  <c r="G32" i="70" l="1"/>
  <c r="H10" i="54" s="1"/>
  <c r="M91" i="54" l="1"/>
  <c r="M29" i="54"/>
  <c r="M18" i="54"/>
  <c r="M40" i="54"/>
  <c r="Y30" i="76"/>
  <c r="Z30" i="76" l="1"/>
  <c r="Z33" i="76" s="1"/>
  <c r="X32" i="76" s="1"/>
  <c r="AA30" i="76"/>
  <c r="M94" i="54"/>
  <c r="Y33" i="76"/>
  <c r="AC23" i="76" s="1"/>
  <c r="AA33" i="76"/>
  <c r="X23" i="76" l="1"/>
  <c r="X15" i="76"/>
  <c r="X28" i="76"/>
  <c r="X13" i="76"/>
  <c r="X26" i="76"/>
  <c r="X18" i="76"/>
  <c r="X12" i="76"/>
  <c r="X33" i="76" s="1"/>
  <c r="AB32" i="76" s="1"/>
  <c r="X27" i="76"/>
  <c r="X16" i="76"/>
  <c r="X19" i="76"/>
  <c r="X30" i="76"/>
  <c r="X14" i="76"/>
  <c r="X31" i="76"/>
  <c r="X17" i="76"/>
  <c r="X25" i="76"/>
  <c r="X22" i="76"/>
  <c r="X21" i="76"/>
  <c r="X20" i="76"/>
  <c r="X24" i="76"/>
  <c r="X29" i="76"/>
  <c r="B25" i="65"/>
  <c r="B38" i="65"/>
  <c r="M96" i="54"/>
  <c r="F22" i="12" s="1"/>
  <c r="E22" i="12"/>
  <c r="N22" i="12" s="1"/>
  <c r="AC32" i="76"/>
  <c r="AC27" i="76"/>
  <c r="AC20" i="76"/>
  <c r="AC28" i="76"/>
  <c r="AC18" i="76"/>
  <c r="AC21" i="76"/>
  <c r="AC26" i="76"/>
  <c r="AC16" i="76"/>
  <c r="AC31" i="76"/>
  <c r="AC25" i="76"/>
  <c r="AC24" i="76"/>
  <c r="AC12" i="76"/>
  <c r="AC19" i="76"/>
  <c r="AC22" i="76"/>
  <c r="AC14" i="76"/>
  <c r="AC29" i="76"/>
  <c r="AC13" i="76"/>
  <c r="AC15" i="76"/>
  <c r="AC17" i="76"/>
  <c r="AC30" i="76"/>
  <c r="AB14" i="76" l="1"/>
  <c r="AB25" i="76"/>
  <c r="AB29" i="76"/>
  <c r="AB30" i="76"/>
  <c r="AB19" i="76"/>
  <c r="AB13" i="76"/>
  <c r="AB24" i="76"/>
  <c r="AB21" i="76"/>
  <c r="AB12" i="76"/>
  <c r="AB33" i="76" s="1"/>
  <c r="AB23" i="76"/>
  <c r="AB26" i="76"/>
  <c r="AB16" i="76"/>
  <c r="AB20" i="76"/>
  <c r="AB31" i="76"/>
  <c r="AB18" i="76"/>
  <c r="AB22" i="76"/>
  <c r="AB28" i="76"/>
  <c r="AB15" i="76"/>
  <c r="AB27" i="76"/>
  <c r="AB17" i="76"/>
  <c r="U1" i="12"/>
  <c r="S6" i="64"/>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<sst xmlns="http://schemas.openxmlformats.org/spreadsheetml/2006/main" count="5011" uniqueCount="1505">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</sst>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4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0" t="s">
        <v>779</v>
      </c>
      <c r="B1" s="1190"/>
      <c r="C1" s="1190"/>
      <c r="D1" s="1190"/>
      <c r="E1" s="1190"/>
    </row>
    <row r="2" spans="1:5" x14ac:dyDescent="0.25">
      <c r="A2" s="1190" t="s">
        <v>780</v>
      </c>
      <c r="B2" s="1190"/>
      <c r="C2" s="1190"/>
      <c r="D2" s="1190"/>
      <c r="E2" s="1190"/>
    </row>
    <row r="3" spans="1:5" x14ac:dyDescent="0.25">
      <c r="A3" s="74"/>
    </row>
    <row r="4" spans="1:5" ht="78" customHeight="1" x14ac:dyDescent="0.25">
      <c r="A4" s="1208" t="s">
        <v>781</v>
      </c>
      <c r="B4" s="1208"/>
      <c r="C4" s="1208"/>
      <c r="D4" s="1208"/>
      <c r="E4" s="1208"/>
    </row>
    <row r="5" spans="1:5" x14ac:dyDescent="0.25">
      <c r="A5" s="74"/>
    </row>
    <row r="6" spans="1:5" ht="31.5" customHeight="1" x14ac:dyDescent="0.25">
      <c r="A6" s="1207" t="s">
        <v>782</v>
      </c>
      <c r="B6" s="1207"/>
      <c r="C6" s="1207"/>
      <c r="D6" s="1207"/>
      <c r="E6" s="1207"/>
    </row>
    <row r="7" spans="1:5" ht="15.75" thickBot="1" x14ac:dyDescent="0.3">
      <c r="A7" s="75"/>
    </row>
    <row r="8" spans="1:5" ht="15" customHeight="1" x14ac:dyDescent="0.25">
      <c r="A8" s="1201" t="s">
        <v>783</v>
      </c>
      <c r="B8" s="1202"/>
      <c r="C8" s="1202"/>
      <c r="D8" s="1202"/>
      <c r="E8" s="1203"/>
    </row>
    <row r="9" spans="1:5" ht="15" customHeight="1" thickBot="1" x14ac:dyDescent="0.3">
      <c r="A9" s="1204" t="s">
        <v>784</v>
      </c>
      <c r="B9" s="1205"/>
      <c r="C9" s="1205"/>
      <c r="D9" s="1205"/>
      <c r="E9" s="1206"/>
    </row>
    <row r="10" spans="1:5" x14ac:dyDescent="0.25">
      <c r="A10" s="76"/>
      <c r="B10" s="1198"/>
      <c r="C10" s="1198"/>
      <c r="D10" s="80"/>
    </row>
    <row r="11" spans="1:5" ht="31.5" customHeight="1" thickBot="1" x14ac:dyDescent="0.3">
      <c r="A11" s="78" t="s">
        <v>785</v>
      </c>
      <c r="B11" s="1199" t="s">
        <v>786</v>
      </c>
      <c r="C11" s="1199"/>
      <c r="D11" s="80">
        <f>Welcome!$D$4</f>
        <v>0</v>
      </c>
    </row>
    <row r="12" spans="1:5" ht="15.75" thickBot="1" x14ac:dyDescent="0.3">
      <c r="A12" s="78" t="s">
        <v>787</v>
      </c>
      <c r="B12" s="1200">
        <f>'MDA Worksheet'!$R$18</f>
        <v>0</v>
      </c>
      <c r="C12" s="1200"/>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197"/>
      <c r="C17" s="1197"/>
      <c r="D17" s="1197"/>
      <c r="E17" s="1197"/>
    </row>
    <row r="18" spans="1:5" x14ac:dyDescent="0.25">
      <c r="A18" s="76"/>
      <c r="B18" s="119"/>
      <c r="C18" s="76"/>
      <c r="D18" s="119"/>
    </row>
    <row r="19" spans="1:5" ht="15.75" thickBot="1" x14ac:dyDescent="0.3">
      <c r="A19" s="78" t="s">
        <v>863</v>
      </c>
      <c r="B19" s="1197">
        <f>Welcome!$D$8</f>
        <v>0</v>
      </c>
      <c r="C19" s="1197"/>
      <c r="D19" s="1197"/>
      <c r="E19" s="1197"/>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75" t="s">
        <v>1284</v>
      </c>
      <c r="B42" s="1176"/>
      <c r="C42" s="1176"/>
      <c r="D42" s="1176"/>
      <c r="E42" s="1177"/>
    </row>
    <row r="43" spans="1:5" s="900" customFormat="1" x14ac:dyDescent="0.25">
      <c r="A43" s="1178"/>
      <c r="B43" s="1179"/>
      <c r="C43" s="1179"/>
      <c r="D43" s="1179"/>
      <c r="E43" s="1180"/>
    </row>
    <row r="44" spans="1:5" s="900" customFormat="1" ht="15.75" thickBot="1" x14ac:dyDescent="0.3">
      <c r="A44" s="1181"/>
      <c r="B44" s="1182"/>
      <c r="C44" s="1182"/>
      <c r="D44" s="1182"/>
      <c r="E44" s="1183"/>
    </row>
    <row r="45" spans="1:5" s="900" customFormat="1" ht="15.75" thickBot="1" x14ac:dyDescent="0.3">
      <c r="A45" s="958"/>
    </row>
    <row r="46" spans="1:5" s="900" customFormat="1" ht="15.75" thickBot="1" x14ac:dyDescent="0.3">
      <c r="A46" s="1175" t="s">
        <v>1273</v>
      </c>
      <c r="B46" s="1176"/>
      <c r="C46" s="1176"/>
      <c r="D46" s="1176"/>
      <c r="E46" s="1177"/>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209"/>
      <c r="B53" s="1210"/>
      <c r="C53" s="1210"/>
      <c r="D53" s="1210"/>
      <c r="E53" s="1211"/>
    </row>
    <row r="54" spans="1:5" s="900" customFormat="1" ht="15.75" thickBot="1" x14ac:dyDescent="0.3">
      <c r="A54" s="1212"/>
      <c r="B54" s="1213"/>
      <c r="C54" s="1213"/>
      <c r="D54" s="1213"/>
      <c r="E54" s="1214"/>
    </row>
    <row r="55" spans="1:5" ht="15.75" thickBot="1" x14ac:dyDescent="0.3">
      <c r="A55" s="958"/>
      <c r="B55" s="900"/>
      <c r="C55" s="900"/>
      <c r="D55" s="900"/>
      <c r="E55" s="900"/>
    </row>
    <row r="56" spans="1:5" ht="30.75" customHeight="1" thickBot="1" x14ac:dyDescent="0.3">
      <c r="A56" s="1191" t="s">
        <v>795</v>
      </c>
      <c r="B56" s="1192"/>
      <c r="C56" s="1192"/>
      <c r="D56" s="1192"/>
      <c r="E56" s="1193"/>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194" t="s">
        <v>807</v>
      </c>
      <c r="B67" s="1195"/>
      <c r="C67" s="1195"/>
      <c r="D67" s="1195"/>
      <c r="E67" s="1196"/>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84" t="s">
        <v>1285</v>
      </c>
      <c r="B74" s="1185"/>
      <c r="C74" s="1185"/>
      <c r="D74" s="1185"/>
      <c r="E74" s="1186"/>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87" t="s">
        <v>810</v>
      </c>
      <c r="B78" s="1188"/>
      <c r="C78" s="1188"/>
      <c r="D78" s="1188"/>
      <c r="E78" s="1189"/>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87" t="s">
        <v>812</v>
      </c>
      <c r="B83" s="1188"/>
      <c r="C83" s="1188"/>
      <c r="D83" s="1188"/>
      <c r="E83" s="1189"/>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239" priority="7">
      <formula>NOT(ISBLANK(C48))</formula>
    </cfRule>
  </conditionalFormatting>
  <conditionalFormatting sqref="E48">
    <cfRule type="expression" dxfId="238" priority="6">
      <formula>NOT(ISBLANK(E48))</formula>
    </cfRule>
  </conditionalFormatting>
  <conditionalFormatting sqref="E49">
    <cfRule type="expression" dxfId="237" priority="5">
      <formula>NOT(ISBLANK(E49))</formula>
    </cfRule>
  </conditionalFormatting>
  <conditionalFormatting sqref="E51">
    <cfRule type="expression" dxfId="236" priority="4">
      <formula>NOT(ISBLANK(E51))</formula>
    </cfRule>
  </conditionalFormatting>
  <conditionalFormatting sqref="C49">
    <cfRule type="expression" dxfId="235" priority="3">
      <formula>NOT(ISBLANK(C49))</formula>
    </cfRule>
  </conditionalFormatting>
  <conditionalFormatting sqref="C50">
    <cfRule type="expression" dxfId="234" priority="2">
      <formula>NOT(ISBLANK(C50))</formula>
    </cfRule>
  </conditionalFormatting>
  <conditionalFormatting sqref="C51">
    <cfRule type="expression" dxfId="23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5" t="s">
        <v>1252</v>
      </c>
      <c r="D3" s="1216"/>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6" t="s">
        <v>1307</v>
      </c>
      <c r="C29" s="1227"/>
      <c r="D29" s="1227"/>
      <c r="E29" s="1227"/>
      <c r="F29" s="1227"/>
      <c r="G29" s="1227"/>
      <c r="H29" s="1227"/>
      <c r="I29" s="1228"/>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7"/>
      <c r="C30" s="1218"/>
      <c r="D30" s="1218"/>
      <c r="E30" s="1218"/>
      <c r="F30" s="1218"/>
      <c r="G30" s="1218"/>
      <c r="H30" s="1218"/>
      <c r="I30" s="1219"/>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0"/>
      <c r="C31" s="1221"/>
      <c r="D31" s="1221"/>
      <c r="E31" s="1221"/>
      <c r="F31" s="1221"/>
      <c r="G31" s="1221"/>
      <c r="H31" s="1221"/>
      <c r="I31" s="1222"/>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0"/>
      <c r="C32" s="1221"/>
      <c r="D32" s="1221"/>
      <c r="E32" s="1221"/>
      <c r="F32" s="1221"/>
      <c r="G32" s="1221"/>
      <c r="H32" s="1221"/>
      <c r="I32" s="1222"/>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0"/>
      <c r="C33" s="1221"/>
      <c r="D33" s="1221"/>
      <c r="E33" s="1221"/>
      <c r="F33" s="1221"/>
      <c r="G33" s="1221"/>
      <c r="H33" s="1221"/>
      <c r="I33" s="1222"/>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0"/>
      <c r="C34" s="1221"/>
      <c r="D34" s="1221"/>
      <c r="E34" s="1221"/>
      <c r="F34" s="1221"/>
      <c r="G34" s="1221"/>
      <c r="H34" s="1221"/>
      <c r="I34" s="1222"/>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3"/>
      <c r="C35" s="1224"/>
      <c r="D35" s="1224"/>
      <c r="E35" s="1224"/>
      <c r="F35" s="1224"/>
      <c r="G35" s="1224"/>
      <c r="H35" s="1224"/>
      <c r="I35" s="1225"/>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29" t="s">
        <v>1198</v>
      </c>
      <c r="C37" s="1230"/>
      <c r="D37" s="1230"/>
      <c r="E37" s="1230"/>
      <c r="F37" s="1230"/>
      <c r="G37" s="1230"/>
      <c r="H37" s="1230"/>
      <c r="I37" s="1231"/>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7"/>
      <c r="C38" s="1218"/>
      <c r="D38" s="1218"/>
      <c r="E38" s="1218"/>
      <c r="F38" s="1218"/>
      <c r="G38" s="1218"/>
      <c r="H38" s="1218"/>
      <c r="I38" s="1219"/>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0"/>
      <c r="C39" s="1221"/>
      <c r="D39" s="1221"/>
      <c r="E39" s="1221"/>
      <c r="F39" s="1221"/>
      <c r="G39" s="1221"/>
      <c r="H39" s="1221"/>
      <c r="I39" s="1222"/>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0"/>
      <c r="C40" s="1221"/>
      <c r="D40" s="1221"/>
      <c r="E40" s="1221"/>
      <c r="F40" s="1221"/>
      <c r="G40" s="1221"/>
      <c r="H40" s="1221"/>
      <c r="I40" s="1222"/>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0"/>
      <c r="C41" s="1221"/>
      <c r="D41" s="1221"/>
      <c r="E41" s="1221"/>
      <c r="F41" s="1221"/>
      <c r="G41" s="1221"/>
      <c r="H41" s="1221"/>
      <c r="I41" s="1222"/>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0"/>
      <c r="C42" s="1221"/>
      <c r="D42" s="1221"/>
      <c r="E42" s="1221"/>
      <c r="F42" s="1221"/>
      <c r="G42" s="1221"/>
      <c r="H42" s="1221"/>
      <c r="I42" s="1222"/>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3"/>
      <c r="C43" s="1224"/>
      <c r="D43" s="1224"/>
      <c r="E43" s="1224"/>
      <c r="F43" s="1224"/>
      <c r="G43" s="1224"/>
      <c r="H43" s="1224"/>
      <c r="I43" s="1225"/>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3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K1" zoomScale="82" zoomScaleNormal="82" zoomScaleSheetLayoutView="80" workbookViewId="0">
      <selection activeCell="T6" sqref="T6"/>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0" hidden="1" customWidth="1"/>
    <col min="10" max="10" width="23.140625" style="10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13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2" t="s">
        <v>942</v>
      </c>
      <c r="G2" s="1232"/>
      <c r="H2" s="1016"/>
      <c r="I2" s="1059"/>
      <c r="J2" s="1059"/>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7"/>
      <c r="M3" s="1237"/>
      <c r="N3" s="1237"/>
      <c r="O3" s="791"/>
      <c r="P3" s="1233" t="str">
        <f>IF(COUNTIFS($P$6:$P$15,"&gt;0")&lt;$C$4,"Must Enter Expected Sales for All Locations","")</f>
        <v/>
      </c>
      <c r="Q3" s="1233"/>
      <c r="R3" s="1233"/>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4" t="str">
        <f>IF(COUNTIFS($P$6:$P$15,"&gt;0")&lt;$C$4,"VVVVV","")</f>
        <v/>
      </c>
      <c r="P4" s="1234"/>
      <c r="Q4" s="1234"/>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7" t="s">
        <v>754</v>
      </c>
      <c r="H5" s="1066" t="s">
        <v>1330</v>
      </c>
      <c r="I5" s="1067" t="s">
        <v>1412</v>
      </c>
      <c r="J5" s="688" t="s">
        <v>1413</v>
      </c>
      <c r="K5" s="1018" t="s">
        <v>940</v>
      </c>
      <c r="L5" s="689" t="s">
        <v>1331</v>
      </c>
      <c r="M5" s="689" t="s">
        <v>1338</v>
      </c>
      <c r="N5" s="689" t="s">
        <v>938</v>
      </c>
      <c r="O5" s="690" t="s">
        <v>1332</v>
      </c>
      <c r="P5" s="800" t="s">
        <v>1333</v>
      </c>
      <c r="Q5" s="801" t="s">
        <v>1334</v>
      </c>
      <c r="R5" s="801" t="s">
        <v>1335</v>
      </c>
      <c r="S5" s="801" t="s">
        <v>205</v>
      </c>
      <c r="T5" s="1022" t="s">
        <v>1336</v>
      </c>
      <c r="U5" s="1023" t="s">
        <v>1337</v>
      </c>
      <c r="V5" s="1027" t="s">
        <v>1503</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8" t="s">
        <v>1450</v>
      </c>
      <c r="AT5" s="1138" t="s">
        <v>1456</v>
      </c>
      <c r="AU5" s="1138" t="s">
        <v>1457</v>
      </c>
      <c r="AV5" s="1138" t="s">
        <v>1467</v>
      </c>
      <c r="AW5" s="1138" t="s">
        <v>1468</v>
      </c>
      <c r="AX5" s="1138" t="s">
        <v>1452</v>
      </c>
      <c r="AY5" s="1138" t="s">
        <v>1455</v>
      </c>
      <c r="AZ5" s="1138" t="s">
        <v>1458</v>
      </c>
      <c r="BA5" s="1139" t="s">
        <v>1459</v>
      </c>
      <c r="BB5" s="1139" t="s">
        <v>1460</v>
      </c>
      <c r="BC5" s="1140" t="s">
        <v>1461</v>
      </c>
      <c r="BD5" s="1140"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1"/>
      <c r="H6" s="1068"/>
      <c r="I6" s="1133"/>
      <c r="J6" s="1113"/>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1"/>
      <c r="U6" s="803"/>
      <c r="V6" s="1026" t="s">
        <v>671</v>
      </c>
      <c r="W6" s="1025"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t="str">
        <f>IF($G6="","",IF(AR6="","Prospect","Existing"))</f>
        <v/>
      </c>
      <c r="AQ6" s="1024" t="str">
        <f>IF($F6="","",IF(OR(U6="",U6="Existing"),IFERROR(VLOOKUP($G6,'Existing Customers'!$A:$F,4,FALSE),""),""))</f>
        <v/>
      </c>
      <c r="AR6" s="137" t="str">
        <f>IF($F6="","",IFERROR(VLOOKUP($G6,'Existing Customers'!$A:$F,4,FALSE),""))</f>
        <v/>
      </c>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69"/>
      <c r="H7" s="1064"/>
      <c r="I7" s="1134"/>
      <c r="J7" s="1115"/>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2"/>
      <c r="U7" s="803"/>
      <c r="V7" s="653" t="s">
        <v>671</v>
      </c>
      <c r="W7" s="1025"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t="str">
        <f t="shared" ref="AP7:AP15" si="11">IF($G7="","",IF(AR7="","Prospect","Existing"))</f>
        <v/>
      </c>
      <c r="AQ7" s="1024" t="str">
        <f>IF($F7="","",IF(OR(U7="",U7="Existing"),IFERROR(VLOOKUP($G7,'Existing Customers'!$A:$F,4,FALSE),""),""))</f>
        <v/>
      </c>
      <c r="AR7" s="137" t="str">
        <f>IF($F7="","",IFERROR(VLOOKUP($G7,'Existing Customers'!$A:$F,4,FALSE),""))</f>
        <v/>
      </c>
      <c r="AS7" s="53" t="str">
        <f>IF($F7="","",IFERROR(VLOOKUP($G7,'Existing Customer Variable Exp'!$B:$L,6,FALSE),0))</f>
        <v/>
      </c>
      <c r="AT7" s="53" t="str">
        <f>IF($F7="","",IF(AS7=0,Welcome!$G$26,0))</f>
        <v/>
      </c>
      <c r="AU7" s="53" t="str">
        <f t="shared" ref="AU7:AU15" si="12">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3">IF($F7="","",IF(AS7&lt;&gt;"",COUNTIF($AS$6:$AS$15,AS7),1))</f>
        <v/>
      </c>
      <c r="BA7" s="53" t="str">
        <f t="shared" ref="BA7:BA15" si="14">IF($F7="","",IFERROR(AX7/AZ7,0))</f>
        <v/>
      </c>
      <c r="BB7" s="53" t="str">
        <f t="shared" ref="BB7:BB15" si="15">IF($F7="","",IFERROR(AY7/AZ7,0))</f>
        <v/>
      </c>
      <c r="BC7" s="53" t="str">
        <f>IF($F7="","",IFERROR(VLOOKUP($H7,'Prospect Slot Assumptions'!$A:$D,4,FALSE),0))</f>
        <v/>
      </c>
      <c r="BD7" s="53" t="str">
        <f t="shared" ref="BD7:BD15" si="16">IF($F7="","",IFERROR(BC7*BB7,0))</f>
        <v/>
      </c>
    </row>
    <row r="8" spans="1:56" x14ac:dyDescent="0.25">
      <c r="A8" t="str">
        <f t="shared" si="0"/>
        <v/>
      </c>
      <c r="B8">
        <f t="shared" si="1"/>
        <v>0</v>
      </c>
      <c r="C8" s="144">
        <v>3</v>
      </c>
      <c r="D8" s="144"/>
      <c r="E8" s="732"/>
      <c r="F8" s="649" t="str">
        <f>IF(Welcome!$D$14="Select # of Locations","",IF($C8&lt;=Welcome!$D$14,$C8,""))</f>
        <v/>
      </c>
      <c r="G8" s="1069"/>
      <c r="H8" s="1064"/>
      <c r="I8" s="1134"/>
      <c r="J8" s="1115"/>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2"/>
      <c r="U8" s="803"/>
      <c r="V8" s="653" t="s">
        <v>671</v>
      </c>
      <c r="W8" s="1025"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t="str">
        <f t="shared" si="11"/>
        <v/>
      </c>
      <c r="AQ8" s="1024" t="str">
        <f>IF($F8="","",IF(OR(U8="",U8="Existing"),IFERROR(VLOOKUP($G8,'Existing Customers'!$A:$F,4,FALSE),""),""))</f>
        <v/>
      </c>
      <c r="AR8" s="137" t="str">
        <f>IF($F8="","",IFERROR(VLOOKUP($G8,'Existing Customers'!$A:$F,4,FALSE),""))</f>
        <v/>
      </c>
      <c r="AS8" s="53" t="str">
        <f>IF($F8="","",IFERROR(VLOOKUP($G8,'Existing Customer Variable Exp'!$B:$L,6,FALSE),0))</f>
        <v/>
      </c>
      <c r="AT8" s="53" t="str">
        <f>IF($F8="","",IF(AS8=0,Welcome!$G$26,0))</f>
        <v/>
      </c>
      <c r="AU8" s="53" t="str">
        <f t="shared" si="12"/>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3"/>
        <v/>
      </c>
      <c r="BA8" s="53" t="str">
        <f t="shared" si="14"/>
        <v/>
      </c>
      <c r="BB8" s="53" t="str">
        <f t="shared" si="15"/>
        <v/>
      </c>
      <c r="BC8" s="53" t="str">
        <f>IF($F8="","",IFERROR(VLOOKUP($H8,'Prospect Slot Assumptions'!$A:$D,4,FALSE),0))</f>
        <v/>
      </c>
      <c r="BD8" s="53" t="str">
        <f t="shared" si="16"/>
        <v/>
      </c>
    </row>
    <row r="9" spans="1:56" x14ac:dyDescent="0.25">
      <c r="A9" t="str">
        <f t="shared" si="0"/>
        <v/>
      </c>
      <c r="B9">
        <f t="shared" si="1"/>
        <v>0</v>
      </c>
      <c r="C9" s="144">
        <v>4</v>
      </c>
      <c r="D9" s="144"/>
      <c r="E9" s="732"/>
      <c r="F9" s="649" t="str">
        <f>IF(Welcome!$D$14="Select # of Locations","",IF($C9&lt;=Welcome!$D$14,$C9,""))</f>
        <v/>
      </c>
      <c r="G9" s="1069"/>
      <c r="H9" s="1064"/>
      <c r="I9" s="1134"/>
      <c r="J9" s="1115"/>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2"/>
      <c r="U9" s="803"/>
      <c r="V9" s="653" t="s">
        <v>671</v>
      </c>
      <c r="W9" s="1025"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t="str">
        <f t="shared" si="11"/>
        <v/>
      </c>
      <c r="AQ9" s="1024" t="str">
        <f>IF($F9="","",IF(OR(U9="",U9="Existing"),IFERROR(VLOOKUP($G9,'Existing Customers'!$A:$F,4,FALSE),""),""))</f>
        <v/>
      </c>
      <c r="AR9" s="137" t="str">
        <f>IF($F9="","",IFERROR(VLOOKUP($G9,'Existing Customers'!$A:$F,4,FALSE),""))</f>
        <v/>
      </c>
      <c r="AS9" s="53" t="str">
        <f>IF($F9="","",IFERROR(VLOOKUP($G9,'Existing Customer Variable Exp'!$B:$L,6,FALSE),0))</f>
        <v/>
      </c>
      <c r="AT9" s="53" t="str">
        <f>IF($F9="","",IF(AS9=0,Welcome!$G$26,0))</f>
        <v/>
      </c>
      <c r="AU9" s="53" t="str">
        <f t="shared" si="12"/>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3"/>
        <v/>
      </c>
      <c r="BA9" s="53" t="str">
        <f t="shared" si="14"/>
        <v/>
      </c>
      <c r="BB9" s="53" t="str">
        <f t="shared" si="15"/>
        <v/>
      </c>
      <c r="BC9" s="53" t="str">
        <f>IF($F9="","",IFERROR(VLOOKUP($H9,'Prospect Slot Assumptions'!$A:$D,4,FALSE),0))</f>
        <v/>
      </c>
      <c r="BD9" s="53" t="str">
        <f t="shared" si="16"/>
        <v/>
      </c>
    </row>
    <row r="10" spans="1:56" x14ac:dyDescent="0.25">
      <c r="A10" t="str">
        <f t="shared" si="0"/>
        <v/>
      </c>
      <c r="B10">
        <f t="shared" si="1"/>
        <v>0</v>
      </c>
      <c r="C10" s="144">
        <v>5</v>
      </c>
      <c r="D10" s="144"/>
      <c r="E10" s="732"/>
      <c r="F10" s="649" t="str">
        <f>IF(Welcome!$D$14="Select # of Locations","",IF($C10&lt;=Welcome!$D$14,$C10,""))</f>
        <v/>
      </c>
      <c r="G10" s="1069"/>
      <c r="H10" s="1064"/>
      <c r="I10" s="1134"/>
      <c r="J10" s="1115"/>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2"/>
      <c r="U10" s="803"/>
      <c r="V10" s="653" t="s">
        <v>671</v>
      </c>
      <c r="W10" s="1025"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t="str">
        <f t="shared" si="11"/>
        <v/>
      </c>
      <c r="AQ10" s="1024" t="str">
        <f>IF($F10="","",IF(OR(U10="",U10="Existing"),IFERROR(VLOOKUP($G10,'Existing Customers'!$A:$F,4,FALSE),""),""))</f>
        <v/>
      </c>
      <c r="AR10" s="137" t="str">
        <f>IF($F10="","",IFERROR(VLOOKUP($G10,'Existing Customers'!$A:$F,4,FALSE),""))</f>
        <v/>
      </c>
      <c r="AS10" s="53" t="str">
        <f>IF($F10="","",IFERROR(VLOOKUP($G10,'Existing Customer Variable Exp'!$B:$L,6,FALSE),0))</f>
        <v/>
      </c>
      <c r="AT10" s="53" t="str">
        <f>IF($F10="","",IF(AS10=0,Welcome!$G$26,0))</f>
        <v/>
      </c>
      <c r="AU10" s="53" t="str">
        <f t="shared" si="12"/>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3"/>
        <v/>
      </c>
      <c r="BA10" s="53" t="str">
        <f t="shared" si="14"/>
        <v/>
      </c>
      <c r="BB10" s="53" t="str">
        <f t="shared" si="15"/>
        <v/>
      </c>
      <c r="BC10" s="53" t="str">
        <f>IF($F10="","",IFERROR(VLOOKUP($H10,'Prospect Slot Assumptions'!$A:$D,4,FALSE),0))</f>
        <v/>
      </c>
      <c r="BD10" s="53" t="str">
        <f t="shared" si="16"/>
        <v/>
      </c>
    </row>
    <row r="11" spans="1:56" x14ac:dyDescent="0.25">
      <c r="A11" t="str">
        <f t="shared" si="0"/>
        <v/>
      </c>
      <c r="B11">
        <f t="shared" si="1"/>
        <v>0</v>
      </c>
      <c r="C11" s="144">
        <v>6</v>
      </c>
      <c r="D11" s="144"/>
      <c r="E11" s="732"/>
      <c r="F11" s="649" t="str">
        <f>IF(Welcome!$D$14="Select # of Locations","",IF($C11&lt;=Welcome!$D$14,$C11,""))</f>
        <v/>
      </c>
      <c r="G11" s="1069"/>
      <c r="H11" s="1064"/>
      <c r="I11" s="1134"/>
      <c r="J11" s="1115"/>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2"/>
      <c r="U11" s="803"/>
      <c r="V11" s="653" t="s">
        <v>671</v>
      </c>
      <c r="W11" s="1025"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t="str">
        <f t="shared" si="11"/>
        <v/>
      </c>
      <c r="AQ11" s="1024" t="str">
        <f>IF($F11="","",IF(OR(U11="",U11="Existing"),IFERROR(VLOOKUP($G11,'Existing Customers'!$A:$F,4,FALSE),""),""))</f>
        <v/>
      </c>
      <c r="AR11" s="137" t="str">
        <f>IF($F11="","",IFERROR(VLOOKUP($G11,'Existing Customers'!$A:$F,4,FALSE),""))</f>
        <v/>
      </c>
      <c r="AS11" s="53" t="str">
        <f>IF($F11="","",IFERROR(VLOOKUP($G11,'Existing Customer Variable Exp'!$B:$L,6,FALSE),0))</f>
        <v/>
      </c>
      <c r="AT11" s="53" t="str">
        <f>IF($F11="","",IF(AS11=0,Welcome!$G$26,0))</f>
        <v/>
      </c>
      <c r="AU11" s="53" t="str">
        <f t="shared" si="12"/>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3"/>
        <v/>
      </c>
      <c r="BA11" s="53" t="str">
        <f t="shared" si="14"/>
        <v/>
      </c>
      <c r="BB11" s="53" t="str">
        <f t="shared" si="15"/>
        <v/>
      </c>
      <c r="BC11" s="53" t="str">
        <f>IF($F11="","",IFERROR(VLOOKUP($H11,'Prospect Slot Assumptions'!$A:$D,4,FALSE),0))</f>
        <v/>
      </c>
      <c r="BD11" s="53" t="str">
        <f t="shared" si="16"/>
        <v/>
      </c>
    </row>
    <row r="12" spans="1:56" x14ac:dyDescent="0.25">
      <c r="A12" t="str">
        <f t="shared" si="0"/>
        <v/>
      </c>
      <c r="B12">
        <f t="shared" si="1"/>
        <v>0</v>
      </c>
      <c r="C12" s="144">
        <v>7</v>
      </c>
      <c r="D12" s="144"/>
      <c r="E12" s="732"/>
      <c r="F12" s="649" t="str">
        <f>IF(Welcome!$D$14="Select # of Locations","",IF($C12&lt;=Welcome!$D$14,$C12,""))</f>
        <v/>
      </c>
      <c r="G12" s="1069"/>
      <c r="H12" s="1064"/>
      <c r="I12" s="1134"/>
      <c r="J12" s="1115"/>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2"/>
      <c r="U12" s="803"/>
      <c r="V12" s="653" t="s">
        <v>671</v>
      </c>
      <c r="W12" s="1025"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t="str">
        <f t="shared" si="11"/>
        <v/>
      </c>
      <c r="AQ12" s="1024" t="str">
        <f>IF($F12="","",IF(OR(U12="",U12="Existing"),IFERROR(VLOOKUP($G12,'Existing Customers'!$A:$F,4,FALSE),""),""))</f>
        <v/>
      </c>
      <c r="AR12" s="137" t="str">
        <f>IF($F12="","",IFERROR(VLOOKUP($G12,'Existing Customers'!$A:$F,4,FALSE),""))</f>
        <v/>
      </c>
      <c r="AS12" s="53" t="str">
        <f>IF($F12="","",IFERROR(VLOOKUP($G12,'Existing Customer Variable Exp'!$B:$L,6,FALSE),0))</f>
        <v/>
      </c>
      <c r="AT12" s="53" t="str">
        <f>IF($F12="","",IF(AS12=0,Welcome!$G$26,0))</f>
        <v/>
      </c>
      <c r="AU12" s="53" t="str">
        <f t="shared" si="12"/>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3"/>
        <v/>
      </c>
      <c r="BA12" s="53" t="str">
        <f t="shared" si="14"/>
        <v/>
      </c>
      <c r="BB12" s="53" t="str">
        <f t="shared" si="15"/>
        <v/>
      </c>
      <c r="BC12" s="53" t="str">
        <f>IF($F12="","",IFERROR(VLOOKUP($H12,'Prospect Slot Assumptions'!$A:$D,4,FALSE),0))</f>
        <v/>
      </c>
      <c r="BD12" s="53" t="str">
        <f t="shared" si="16"/>
        <v/>
      </c>
    </row>
    <row r="13" spans="1:56" x14ac:dyDescent="0.25">
      <c r="A13" t="str">
        <f t="shared" si="0"/>
        <v/>
      </c>
      <c r="B13">
        <f t="shared" si="1"/>
        <v>0</v>
      </c>
      <c r="C13" s="144">
        <v>8</v>
      </c>
      <c r="D13" s="144"/>
      <c r="E13" s="732"/>
      <c r="F13" s="649" t="str">
        <f>IF(Welcome!$D$14="Select # of Locations","",IF($C13&lt;=Welcome!$D$14,$C13,""))</f>
        <v/>
      </c>
      <c r="G13" s="1069"/>
      <c r="H13" s="1064"/>
      <c r="I13" s="1134"/>
      <c r="J13" s="1115"/>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2"/>
      <c r="U13" s="803"/>
      <c r="V13" s="653" t="s">
        <v>671</v>
      </c>
      <c r="W13" s="1025"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7">IF(K13="Enter Spend&gt;&gt;&gt;",TRUE,FALSE)</f>
        <v>0</v>
      </c>
      <c r="AN13" s="137" t="str">
        <f t="shared" si="10"/>
        <v>CLEAR</v>
      </c>
      <c r="AO13" s="137"/>
      <c r="AP13" s="137" t="str">
        <f t="shared" si="11"/>
        <v/>
      </c>
      <c r="AQ13" s="1024" t="str">
        <f>IF($F13="","",IF(OR(U13="",U13="Existing"),IFERROR(VLOOKUP($G13,'Existing Customers'!$A:$F,4,FALSE),""),""))</f>
        <v/>
      </c>
      <c r="AR13" s="137" t="str">
        <f>IF($F13="","",IFERROR(VLOOKUP($G13,'Existing Customers'!$A:$F,4,FALSE),""))</f>
        <v/>
      </c>
      <c r="AS13" s="53" t="str">
        <f>IF($F13="","",IFERROR(VLOOKUP($G13,'Existing Customer Variable Exp'!$B:$L,6,FALSE),0))</f>
        <v/>
      </c>
      <c r="AT13" s="53" t="str">
        <f>IF($F13="","",IF(AS13=0,Welcome!$G$26,0))</f>
        <v/>
      </c>
      <c r="AU13" s="53" t="str">
        <f t="shared" si="12"/>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3"/>
        <v/>
      </c>
      <c r="BA13" s="53" t="str">
        <f t="shared" si="14"/>
        <v/>
      </c>
      <c r="BB13" s="53" t="str">
        <f t="shared" si="15"/>
        <v/>
      </c>
      <c r="BC13" s="53" t="str">
        <f>IF($F13="","",IFERROR(VLOOKUP($H13,'Prospect Slot Assumptions'!$A:$D,4,FALSE),0))</f>
        <v/>
      </c>
      <c r="BD13" s="53" t="str">
        <f t="shared" si="16"/>
        <v/>
      </c>
    </row>
    <row r="14" spans="1:56" x14ac:dyDescent="0.25">
      <c r="A14" t="str">
        <f t="shared" si="0"/>
        <v/>
      </c>
      <c r="B14">
        <f t="shared" si="1"/>
        <v>0</v>
      </c>
      <c r="C14" s="144">
        <v>9</v>
      </c>
      <c r="D14" s="144"/>
      <c r="E14" s="732"/>
      <c r="F14" s="649" t="str">
        <f>IF(Welcome!$D$14="Select # of Locations","",IF($C14&lt;=Welcome!$D$14,$C14,""))</f>
        <v/>
      </c>
      <c r="G14" s="1069"/>
      <c r="H14" s="1064"/>
      <c r="I14" s="1134"/>
      <c r="J14" s="1115"/>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2"/>
      <c r="U14" s="803"/>
      <c r="V14" s="653" t="s">
        <v>671</v>
      </c>
      <c r="W14" s="1025"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7"/>
        <v>0</v>
      </c>
      <c r="AN14" s="137" t="str">
        <f t="shared" si="10"/>
        <v>CLEAR</v>
      </c>
      <c r="AO14" s="137"/>
      <c r="AP14" s="137" t="str">
        <f t="shared" si="11"/>
        <v/>
      </c>
      <c r="AQ14" s="1024" t="str">
        <f>IF($F14="","",IF(OR(U14="",U14="Existing"),IFERROR(VLOOKUP($G14,'Existing Customers'!$A:$F,4,FALSE),""),""))</f>
        <v/>
      </c>
      <c r="AR14" s="137" t="str">
        <f>IF($F14="","",IFERROR(VLOOKUP($G14,'Existing Customers'!$A:$F,4,FALSE),""))</f>
        <v/>
      </c>
      <c r="AS14" s="53" t="str">
        <f>IF($F14="","",IFERROR(VLOOKUP($G14,'Existing Customer Variable Exp'!$B:$L,6,FALSE),0))</f>
        <v/>
      </c>
      <c r="AT14" s="53" t="str">
        <f>IF($F14="","",IF(AS14=0,Welcome!$G$26,0))</f>
        <v/>
      </c>
      <c r="AU14" s="53" t="str">
        <f t="shared" si="12"/>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3"/>
        <v/>
      </c>
      <c r="BA14" s="53" t="str">
        <f t="shared" si="14"/>
        <v/>
      </c>
      <c r="BB14" s="53" t="str">
        <f t="shared" si="15"/>
        <v/>
      </c>
      <c r="BC14" s="53" t="str">
        <f>IF($F14="","",IFERROR(VLOOKUP($H14,'Prospect Slot Assumptions'!$A:$D,4,FALSE),0))</f>
        <v/>
      </c>
      <c r="BD14" s="53" t="str">
        <f t="shared" si="16"/>
        <v/>
      </c>
    </row>
    <row r="15" spans="1:56" ht="15.75" thickBot="1" x14ac:dyDescent="0.3">
      <c r="A15" t="str">
        <f t="shared" si="0"/>
        <v/>
      </c>
      <c r="B15">
        <f t="shared" si="1"/>
        <v>0</v>
      </c>
      <c r="C15" s="144">
        <v>10</v>
      </c>
      <c r="D15" s="144"/>
      <c r="E15" s="732"/>
      <c r="F15" s="650" t="str">
        <f>IF(Welcome!$D$14="Select # of Locations","",IF($C15&lt;=Welcome!$D$14,$C15,""))</f>
        <v/>
      </c>
      <c r="G15" s="1070"/>
      <c r="H15" s="1065"/>
      <c r="I15" s="1072"/>
      <c r="J15" s="1114"/>
      <c r="K15" s="1021" t="str">
        <f>IF($C$4&gt;=$C15,IF(SUMIF('Existing Customers'!$A:$A,'Customer Inputs'!$G15,'Existing Customers'!$Q:$Q)=0,"Enter Spend&gt;&gt;&gt;",ROUND(SUMIF('Existing Customers'!$A:$A,'Customer Inputs'!$G15,'Existing Customers'!$Q:$Q),0)),"")</f>
        <v/>
      </c>
      <c r="L15" s="652" t="str">
        <f>IF($F15="","",'Multi-Customer'!$IQ49)</f>
        <v/>
      </c>
      <c r="M15" s="1154"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3"/>
      <c r="U15" s="810"/>
      <c r="V15" s="654" t="s">
        <v>671</v>
      </c>
      <c r="W15" s="1025"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7"/>
        <v>0</v>
      </c>
      <c r="AN15" s="137" t="str">
        <f t="shared" si="10"/>
        <v>CLEAR</v>
      </c>
      <c r="AO15" s="137"/>
      <c r="AP15" s="137" t="str">
        <f t="shared" si="11"/>
        <v/>
      </c>
      <c r="AQ15" s="1024" t="str">
        <f>IF($F15="","",IF(OR(U15="",U15="Existing"),IFERROR(VLOOKUP($G15,'Existing Customers'!$A:$F,4,FALSE),""),""))</f>
        <v/>
      </c>
      <c r="AR15" s="137" t="str">
        <f>IF($F15="","",IFERROR(VLOOKUP($G15,'Existing Customers'!$A:$F,4,FALSE),""))</f>
        <v/>
      </c>
      <c r="AS15" s="53" t="str">
        <f>IF($F15="","",IFERROR(VLOOKUP($G15,'Existing Customer Variable Exp'!$B:$L,6,FALSE),0))</f>
        <v/>
      </c>
      <c r="AT15" s="53" t="str">
        <f>IF($F15="","",IF(AS15=0,Welcome!$G$26,0))</f>
        <v/>
      </c>
      <c r="AU15" s="53" t="str">
        <f t="shared" si="12"/>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3"/>
        <v/>
      </c>
      <c r="BA15" s="53" t="str">
        <f t="shared" si="14"/>
        <v/>
      </c>
      <c r="BB15" s="53" t="str">
        <f t="shared" si="15"/>
        <v/>
      </c>
      <c r="BC15" s="53" t="str">
        <f>IF($F15="","",IFERROR(VLOOKUP($H15,'Prospect Slot Assumptions'!$A:$D,4,FALSE),0))</f>
        <v/>
      </c>
      <c r="BD15" s="53" t="str">
        <f t="shared" si="16"/>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7" t="s">
        <v>1186</v>
      </c>
      <c r="H17" s="1107" t="s">
        <v>1186</v>
      </c>
      <c r="I17" s="1235">
        <f>SUM($I$6:$I$15)</f>
        <v>0</v>
      </c>
      <c r="J17" s="1238" t="s">
        <v>1444</v>
      </c>
      <c r="K17" s="1240">
        <f>SUM($K$6:$K$15)</f>
        <v>0</v>
      </c>
      <c r="L17" s="1238" t="s">
        <v>1445</v>
      </c>
      <c r="M17" s="790"/>
      <c r="N17" s="790"/>
      <c r="O17" s="790"/>
      <c r="P17" s="1235">
        <f>SUMIF($F$6:$F$15,"&gt;0",$P$6:$P$15)</f>
        <v>0</v>
      </c>
      <c r="Q17" s="1242" t="s">
        <v>1446</v>
      </c>
      <c r="R17" s="1108"/>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7"/>
      <c r="H18" s="1107"/>
      <c r="I18" s="1236"/>
      <c r="J18" s="1239"/>
      <c r="K18" s="1241"/>
      <c r="L18" s="1239"/>
      <c r="M18" s="790"/>
      <c r="N18" s="790"/>
      <c r="O18" s="790"/>
      <c r="P18" s="1236"/>
      <c r="Q18" s="1243"/>
      <c r="R18" s="1108"/>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hwawkDPv6Zh7sA2bAED7cO4ulX01WM1BY4LjX79Oo3vlh5DO2gYf5ehm6V++7wzFg9NnjkqOO3BNojKCbS3ofw==" saltValue="vctJgrRXlrU4p8HCXp5ww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31" priority="11">
      <formula>$U6="Existing"</formula>
    </cfRule>
    <cfRule type="expression" dxfId="230" priority="35">
      <formula>AND($K6&lt;&gt;"Enter Spend&gt;&gt;&gt;",$U6&lt;&gt;"Prospect")</formula>
    </cfRule>
  </conditionalFormatting>
  <conditionalFormatting sqref="O6:O15 L6:L15">
    <cfRule type="expression" dxfId="229" priority="31">
      <formula>Q6&lt;&gt;""</formula>
    </cfRule>
  </conditionalFormatting>
  <conditionalFormatting sqref="S6:S15">
    <cfRule type="expression" dxfId="228" priority="29">
      <formula>$W6="Zip Code Not Serviced"</formula>
    </cfRule>
  </conditionalFormatting>
  <conditionalFormatting sqref="L3:N3">
    <cfRule type="expression" dxfId="227" priority="25">
      <formula>$AN$4&gt;0</formula>
    </cfRule>
  </conditionalFormatting>
  <conditionalFormatting sqref="T6:V15">
    <cfRule type="expression" dxfId="226" priority="20">
      <formula>AND($K6&lt;&gt;"Enter Spend&gt;&gt;&gt;",$U$6="Prospect")</formula>
    </cfRule>
  </conditionalFormatting>
  <conditionalFormatting sqref="T6:V15">
    <cfRule type="expression" dxfId="225" priority="21">
      <formula>$F6=""</formula>
    </cfRule>
    <cfRule type="notContainsBlanks" dxfId="224" priority="22">
      <formula>LEN(TRIM(T6))&gt;0</formula>
    </cfRule>
  </conditionalFormatting>
  <conditionalFormatting sqref="T6:V15">
    <cfRule type="expression" dxfId="223" priority="19">
      <formula>$AN6="FLAG"</formula>
    </cfRule>
  </conditionalFormatting>
  <conditionalFormatting sqref="T6:T15">
    <cfRule type="expression" dxfId="222" priority="18">
      <formula>$W6="Zip Code Not Serviced"</formula>
    </cfRule>
  </conditionalFormatting>
  <conditionalFormatting sqref="T6:T15">
    <cfRule type="expression" dxfId="221" priority="17">
      <formula>$W6="Zip Code Not Serviced"</formula>
    </cfRule>
  </conditionalFormatting>
  <conditionalFormatting sqref="U6:U15">
    <cfRule type="expression" dxfId="220" priority="16">
      <formula>$W6="Zip Code Not Serviced"</formula>
    </cfRule>
  </conditionalFormatting>
  <conditionalFormatting sqref="G6:G15">
    <cfRule type="expression" dxfId="219" priority="33">
      <formula>$F6&lt;&gt;""</formula>
    </cfRule>
    <cfRule type="notContainsBlanks" dxfId="218" priority="43">
      <formula>LEN(TRIM(G6))&gt;0</formula>
    </cfRule>
  </conditionalFormatting>
  <conditionalFormatting sqref="P6:S15">
    <cfRule type="expression" dxfId="217" priority="36">
      <formula>$F6=""</formula>
    </cfRule>
    <cfRule type="notContainsBlanks" dxfId="216" priority="37">
      <formula>LEN(TRIM(P6))&gt;0</formula>
    </cfRule>
  </conditionalFormatting>
  <conditionalFormatting sqref="H6:H15">
    <cfRule type="notContainsBlanks" dxfId="215" priority="12">
      <formula>LEN(TRIM(H6))&gt;0</formula>
    </cfRule>
    <cfRule type="expression" dxfId="214" priority="13">
      <formula>$F6&lt;&gt;""</formula>
    </cfRule>
  </conditionalFormatting>
  <conditionalFormatting sqref="K6:S15">
    <cfRule type="expression" dxfId="213" priority="23">
      <formula>$AN6="FLAG"</formula>
    </cfRule>
  </conditionalFormatting>
  <conditionalFormatting sqref="U14">
    <cfRule type="expression" dxfId="212" priority="10">
      <formula>$AP14="Prospect"</formula>
    </cfRule>
  </conditionalFormatting>
  <conditionalFormatting sqref="U13">
    <cfRule type="expression" dxfId="211" priority="9">
      <formula>$AP13="Prospect"</formula>
    </cfRule>
  </conditionalFormatting>
  <conditionalFormatting sqref="U15">
    <cfRule type="expression" dxfId="210" priority="8">
      <formula>$AP15="Prospect"</formula>
    </cfRule>
  </conditionalFormatting>
  <conditionalFormatting sqref="U12">
    <cfRule type="expression" dxfId="209" priority="7">
      <formula>$AP12="Prospect"</formula>
    </cfRule>
  </conditionalFormatting>
  <conditionalFormatting sqref="U11">
    <cfRule type="expression" dxfId="208" priority="6">
      <formula>$AP11="Prospect"</formula>
    </cfRule>
  </conditionalFormatting>
  <conditionalFormatting sqref="U10">
    <cfRule type="expression" dxfId="207" priority="5">
      <formula>$AP10="Prospect"</formula>
    </cfRule>
  </conditionalFormatting>
  <conditionalFormatting sqref="U9">
    <cfRule type="expression" dxfId="206" priority="4">
      <formula>$AP9="Prospect"</formula>
    </cfRule>
  </conditionalFormatting>
  <conditionalFormatting sqref="U8">
    <cfRule type="expression" dxfId="205" priority="3">
      <formula>$AP8="Prospect"</formula>
    </cfRule>
  </conditionalFormatting>
  <conditionalFormatting sqref="U7">
    <cfRule type="expression" dxfId="204" priority="2">
      <formula>$AP7="Prospect"</formula>
    </cfRule>
  </conditionalFormatting>
  <conditionalFormatting sqref="U6">
    <cfRule type="expression" dxfId="203"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55" t="e">
        <f>VLOOKUP($H$4,'Market Geography'!$D:$G,4,FALSE)</f>
        <v>#N/A</v>
      </c>
      <c r="I3" s="1256"/>
      <c r="J3" s="1256"/>
      <c r="K3" s="1257"/>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52">
        <f>Welcome!$D$4</f>
        <v>0</v>
      </c>
      <c r="I4" s="1253"/>
      <c r="J4" s="1253"/>
      <c r="K4" s="1254"/>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52" t="str">
        <f>'Multi-Customer'!$S$49</f>
        <v>Enter Customer(s)</v>
      </c>
      <c r="I5" s="1253"/>
      <c r="J5" s="1253"/>
      <c r="K5" s="1254"/>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52" t="str">
        <f>'Multi-Customer'!$AH$40</f>
        <v>Enter Customer(s)</v>
      </c>
      <c r="I6" s="1253"/>
      <c r="J6" s="1253"/>
      <c r="K6" s="1254"/>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8" t="s">
        <v>207</v>
      </c>
      <c r="I7" s="1259"/>
      <c r="J7" s="1259"/>
      <c r="K7" s="1260"/>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7"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4" t="e">
        <f>'Multi-Customer'!$I15*'PIM Ranges'!$AP13</f>
        <v>#DIV/0!</v>
      </c>
      <c r="T11" s="1174" t="e">
        <f>'Multi-Customer'!$J15*'PIM Ranges'!$AP13</f>
        <v>#DIV/0!</v>
      </c>
      <c r="U11" s="1174"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7"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4" t="e">
        <f>'Multi-Customer'!$I16*'PIM Ranges'!$AP14</f>
        <v>#DIV/0!</v>
      </c>
      <c r="T12" s="1174" t="e">
        <f>'Multi-Customer'!$J16*'PIM Ranges'!$AP14</f>
        <v>#DIV/0!</v>
      </c>
      <c r="U12" s="1174"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4" t="e">
        <f>'Multi-Customer'!$I26*'PIM Ranges'!$AP24</f>
        <v>#DIV/0!</v>
      </c>
      <c r="T22" s="1174" t="e">
        <f>'Multi-Customer'!$J26*'PIM Ranges'!$AP24</f>
        <v>#DIV/0!</v>
      </c>
      <c r="U22" s="1174"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4" t="e">
        <f>'Multi-Customer'!$I28*'PIM Ranges'!$AP26</f>
        <v>#DIV/0!</v>
      </c>
      <c r="T24" s="1174" t="e">
        <f>'Multi-Customer'!$J28*'PIM Ranges'!$AP26</f>
        <v>#DIV/0!</v>
      </c>
      <c r="U24" s="1174"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4" t="e">
        <f>'Multi-Customer'!$I29*'PIM Ranges'!$AP27</f>
        <v>#DIV/0!</v>
      </c>
      <c r="T25" s="1174" t="e">
        <f>'Multi-Customer'!$J29*'PIM Ranges'!$AP27</f>
        <v>#DIV/0!</v>
      </c>
      <c r="U25" s="1174"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4" t="e">
        <f>'Multi-Customer'!$I30*'PIM Ranges'!$AP28</f>
        <v>#DIV/0!</v>
      </c>
      <c r="T26" s="1174" t="e">
        <f>'Multi-Customer'!$J30*'PIM Ranges'!$AP28</f>
        <v>#DIV/0!</v>
      </c>
      <c r="U26" s="1174"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4" t="e">
        <f>'Multi-Customer'!$I31*'PIM Ranges'!$AO29</f>
        <v>#DIV/0!</v>
      </c>
      <c r="T27" s="1174" t="e">
        <f>'Multi-Customer'!$J31*'PIM Ranges'!$AO29</f>
        <v>#DIV/0!</v>
      </c>
      <c r="U27" s="1174"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4" t="e">
        <f>'Multi-Customer'!$I33*'PIM Ranges'!$AP31</f>
        <v>#DIV/0!</v>
      </c>
      <c r="T29" s="1174" t="e">
        <f>'Multi-Customer'!$J33*'PIM Ranges'!$AP31</f>
        <v>#DIV/0!</v>
      </c>
      <c r="U29" s="1174"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4" t="e">
        <f>'Multi-Customer'!$I34*'PIM Ranges'!$AP32</f>
        <v>#DIV/0!</v>
      </c>
      <c r="T30" s="1174" t="e">
        <f>'Multi-Customer'!$J34*'PIM Ranges'!$AP32</f>
        <v>#DIV/0!</v>
      </c>
      <c r="U30" s="1174"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49" t="s">
        <v>119</v>
      </c>
      <c r="H33" s="1250"/>
      <c r="I33" s="506" t="e">
        <f>IF($E$3="MDA",'PIM Ranges'!$AX$7,'PIM Ranges'!$BJ$7)</f>
        <v>#DIV/0!</v>
      </c>
      <c r="J33" s="137"/>
      <c r="K33" s="1251" t="str">
        <f>IF(COUNTIF($AB$10:$AB$30,"ERROR")&lt;1,"",IF(COUNTIF($AB$10:$AB$30,"ERROR")&lt;2,(COUNTIF($AB$10:$AB$30,"ERROR")&amp;" Margin Missing Above"),(COUNTIF($AB$10:$AB$30,"ERROR")&amp;" Margins Missing Above")))</f>
        <v/>
      </c>
      <c r="L33" s="1251"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44" t="s">
        <v>498</v>
      </c>
      <c r="H34" s="1245"/>
      <c r="I34" s="502">
        <f>J31</f>
        <v>0</v>
      </c>
      <c r="J34" s="137"/>
      <c r="K34" s="1251" t="str">
        <f>IF(COUNTIFS($L$10:$L$30,"X",$AF$10:$AF$30,"BELOW")&lt;1,"",IF(COUNTIFS($L$10:$L$30,"X",$AF$10:$AF$30,"BELOW")&lt;2,(COUNTIFS($L$10:$L$30,"X",$AF$10:$AF$30,"BELOW")&amp;" Margin Below Minimum"),(COUNTIFS($L$10:$L$30,"X",$AF$10:$AF$30,"BELOW")&amp;" Margins Below Minimum")))</f>
        <v/>
      </c>
      <c r="L34" s="1251"/>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44" t="s">
        <v>1398</v>
      </c>
      <c r="H35" s="1245"/>
      <c r="I35" s="503" t="str">
        <f>IFERROR(I34/G31,"")</f>
        <v/>
      </c>
      <c r="K35" s="1251" t="str">
        <f>IF(COUNTIFS($L$10:$L$30,"X",$AF$10:$AF$30,"ABOVE")&lt;1,"",IF(COUNTIFS($L$10:$L$30,"X",$AF$10:$AF$30,"ABOVE")&lt;2,(COUNTIFS($L$10:$L$30,"X",$AF$10:$AF$30,"ABOVE")&amp;" Margin Above Maximum"),(COUNTIFS($L$10:$L$30,"X",$AF$10:$AF$30,"ABOVE")&amp;" Margins Above Maximum")))</f>
        <v/>
      </c>
      <c r="L35" s="1251"/>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44"/>
      <c r="H36" s="1245"/>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44" t="str">
        <f>IFERROR(IF(I35&gt;I33,"","Below Recommended TAGP: "),"")</f>
        <v/>
      </c>
      <c r="H37" s="1245"/>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44"/>
      <c r="H38" s="1245"/>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44" t="s">
        <v>1399</v>
      </c>
      <c r="H39" s="1245"/>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46" t="s">
        <v>499</v>
      </c>
      <c r="H40" s="1247"/>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48"/>
      <c r="G52" s="1248"/>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48"/>
      <c r="G53" s="1248"/>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48"/>
      <c r="G54" s="1248"/>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55" t="e">
        <f>VLOOKUP($L$4,'Market Geography'!$D:$G,4,FALSE)</f>
        <v>#N/A</v>
      </c>
      <c r="M3" s="1256" t="e">
        <f>IF(#REF!="New Business",#REF!,#REF!)</f>
        <v>#REF!</v>
      </c>
      <c r="N3" s="1257"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52">
        <f>Welcome!$D$4</f>
        <v>0</v>
      </c>
      <c r="M4" s="1253"/>
      <c r="N4" s="1254"/>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52" t="str">
        <f>'Multi-Customer'!$S$49</f>
        <v>Enter Customer(s)</v>
      </c>
      <c r="M5" s="1253"/>
      <c r="N5" s="1254"/>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52" t="str">
        <f>'Multi-Customer'!$AH$40</f>
        <v>Enter Customer(s)</v>
      </c>
      <c r="M6" s="1253"/>
      <c r="N6" s="1254"/>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4" t="s">
        <v>207</v>
      </c>
      <c r="M7" s="1275"/>
      <c r="N7" s="1276"/>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77">
        <f>IFERROR('PIM Model'!$G$31,0)</f>
        <v>0</v>
      </c>
      <c r="I9" s="1278"/>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85">
        <f>IFERROR('PIM Model'!$G$32,0)</f>
        <v>0</v>
      </c>
      <c r="I10" s="1286"/>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79"/>
      <c r="H12" s="1280"/>
      <c r="I12" s="193"/>
      <c r="J12" s="1284"/>
      <c r="K12" s="1284"/>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81" t="str">
        <f>IF($E$15="YES","**Tier 1 used for modeling purposes**","")</f>
        <v/>
      </c>
      <c r="K18" s="1282"/>
      <c r="L18" s="1283"/>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62"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62"/>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81" t="str">
        <f>IF($E$26="YES","**Tier 1 used for modeling purposes**","")</f>
        <v/>
      </c>
      <c r="K29" s="1282"/>
      <c r="L29" s="1283"/>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62"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62"/>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81" t="str">
        <f>IF($E$37="YES","**Tier 1 payout used for modeling purposes**","")</f>
        <v/>
      </c>
      <c r="K40" s="1282"/>
      <c r="L40" s="1283"/>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65"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66"/>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66"/>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67"/>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68"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69"/>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72" t="str">
        <f>IF($M$71&gt;=10000,"The amount entered is $10,000 or above. This model can be submitted but will require additional approved before the agreement can be generated. Business Context will need to be provided","")</f>
        <v/>
      </c>
      <c r="N72" s="1273"/>
      <c r="O72" s="182"/>
      <c r="Q72" s="742"/>
    </row>
    <row r="73" spans="2:17" s="915" customFormat="1" ht="34.5" customHeight="1" x14ac:dyDescent="0.25">
      <c r="B73" s="181"/>
      <c r="C73" s="270"/>
      <c r="D73" s="1271" t="s">
        <v>1289</v>
      </c>
      <c r="E73" s="1271"/>
      <c r="F73" s="926"/>
      <c r="G73" s="1270" t="s">
        <v>1290</v>
      </c>
      <c r="H73" s="1270"/>
      <c r="I73" s="1270"/>
      <c r="J73" s="1270"/>
      <c r="K73" s="1270"/>
      <c r="L73" s="197"/>
      <c r="M73" s="1272"/>
      <c r="N73" s="1273"/>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61" t="s">
        <v>1200</v>
      </c>
      <c r="G87" s="1261"/>
      <c r="H87" s="148"/>
      <c r="I87" s="255" t="s">
        <v>910</v>
      </c>
      <c r="J87" s="148"/>
      <c r="K87" s="255" t="s">
        <v>891</v>
      </c>
      <c r="L87" s="148"/>
      <c r="M87" s="148"/>
      <c r="N87" s="769"/>
      <c r="O87" s="279"/>
    </row>
    <row r="88" spans="2:20" s="179" customFormat="1" ht="18" customHeight="1" x14ac:dyDescent="0.25">
      <c r="B88" s="277"/>
      <c r="C88" s="195"/>
      <c r="D88" s="253" t="s">
        <v>1085</v>
      </c>
      <c r="E88" s="148"/>
      <c r="F88" s="1261"/>
      <c r="G88" s="1261"/>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61"/>
      <c r="G89" s="1261"/>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63"/>
      <c r="D98" s="1263"/>
      <c r="I98" s="704"/>
      <c r="L98" s="5"/>
      <c r="M98" s="1264"/>
      <c r="N98" s="1264"/>
      <c r="P98"/>
    </row>
  </sheetData>
  <sheetProtection algorithmName="SHA-512" hashValue="GOjPQE/bpgZzdZGxqZZMNCgwW3Fd+MqZ7CViquusZ6VjVplORjPEwvT74OQO8tfHPQ97GC5xS73jDwROX5DQsA==" saltValue="LRDYEKJprr3HXiz7UGBhZQ==" spinCount="100000" sheet="1" objects="1" scenarios="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300" t="s">
        <v>211</v>
      </c>
      <c r="D2" s="1300"/>
      <c r="E2" s="1300"/>
      <c r="F2" s="545"/>
      <c r="G2" s="175"/>
      <c r="H2" s="175"/>
      <c r="I2" s="175"/>
      <c r="J2" s="175"/>
      <c r="K2" s="175"/>
      <c r="L2" s="178"/>
    </row>
    <row r="3" spans="2:23" x14ac:dyDescent="0.25">
      <c r="B3" s="181"/>
      <c r="C3" s="1305" t="s">
        <v>1300</v>
      </c>
      <c r="D3" s="1306"/>
      <c r="E3" s="420">
        <f>Welcome!$D$8</f>
        <v>0</v>
      </c>
      <c r="F3" s="424"/>
      <c r="G3" s="512" t="s">
        <v>110</v>
      </c>
      <c r="H3" s="1303" t="str">
        <f>IFERROR(VLOOKUP($H$4,'Market Geography'!$D:$G,4,FALSE),"Select Market")</f>
        <v>Select Market</v>
      </c>
      <c r="I3" s="1303"/>
      <c r="J3" s="1303"/>
      <c r="K3" s="1304"/>
      <c r="L3" s="182"/>
    </row>
    <row r="4" spans="2:23" x14ac:dyDescent="0.25">
      <c r="B4" s="181"/>
      <c r="C4" s="1292" t="s">
        <v>1301</v>
      </c>
      <c r="D4" s="1293"/>
      <c r="E4" s="389" t="str">
        <f>Welcome!$D$12</f>
        <v>Select Term</v>
      </c>
      <c r="F4" s="546"/>
      <c r="G4" s="513" t="s">
        <v>901</v>
      </c>
      <c r="H4" s="1288">
        <f>Welcome!$D$4</f>
        <v>0</v>
      </c>
      <c r="I4" s="1288"/>
      <c r="J4" s="1288"/>
      <c r="K4" s="1289"/>
      <c r="L4" s="182"/>
    </row>
    <row r="5" spans="2:23" x14ac:dyDescent="0.25">
      <c r="B5" s="181"/>
      <c r="C5" s="1292" t="s">
        <v>1308</v>
      </c>
      <c r="D5" s="1293"/>
      <c r="E5" s="146">
        <f>'PIM Model'!$G$31</f>
        <v>0</v>
      </c>
      <c r="F5" s="547"/>
      <c r="G5" s="513" t="s">
        <v>107</v>
      </c>
      <c r="H5" s="1288" t="str">
        <f>'Multi-Customer'!$S$49</f>
        <v>Enter Customer(s)</v>
      </c>
      <c r="I5" s="1288"/>
      <c r="J5" s="1288"/>
      <c r="K5" s="1289"/>
      <c r="L5" s="182"/>
    </row>
    <row r="6" spans="2:23" x14ac:dyDescent="0.25">
      <c r="B6" s="181"/>
      <c r="C6" s="1292" t="s">
        <v>1309</v>
      </c>
      <c r="D6" s="1293"/>
      <c r="E6" s="147">
        <f>'PIM Model'!$E$6</f>
        <v>0</v>
      </c>
      <c r="F6" s="424"/>
      <c r="G6" s="513" t="s">
        <v>1318</v>
      </c>
      <c r="H6" s="1288" t="str">
        <f>IF('Multi-Customer'!$AH$40 = "MULTIPLE MENU TYPES","MULTIPLE TYPES",'Multi-Customer'!$AH$40)</f>
        <v>Enter Customer(s)</v>
      </c>
      <c r="I6" s="1288"/>
      <c r="J6" s="1288"/>
      <c r="K6" s="1289"/>
      <c r="L6" s="182"/>
      <c r="R6" s="548"/>
    </row>
    <row r="7" spans="2:23" ht="15.75" thickBot="1" x14ac:dyDescent="0.3">
      <c r="B7" s="181"/>
      <c r="C7" s="1294" t="s">
        <v>1310</v>
      </c>
      <c r="D7" s="1295"/>
      <c r="E7" s="421">
        <f>IFERROR('PIM Ranges'!$AU$3,0)</f>
        <v>0</v>
      </c>
      <c r="F7" s="180"/>
      <c r="G7" s="514" t="s">
        <v>1311</v>
      </c>
      <c r="H7" s="1290" t="s">
        <v>207</v>
      </c>
      <c r="I7" s="1290"/>
      <c r="J7" s="1290"/>
      <c r="K7" s="1291"/>
      <c r="L7" s="182"/>
      <c r="P7" s="180"/>
      <c r="Q7" s="156"/>
      <c r="R7" s="549"/>
      <c r="S7" s="137"/>
      <c r="T7" s="156"/>
      <c r="U7" s="180"/>
      <c r="V7" s="156"/>
      <c r="W7" s="180"/>
    </row>
    <row r="8" spans="2:23" ht="13.9" customHeight="1" x14ac:dyDescent="0.25">
      <c r="B8" s="181"/>
      <c r="D8" s="139"/>
      <c r="E8" s="1248"/>
      <c r="F8" s="1248"/>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6" t="s">
        <v>906</v>
      </c>
      <c r="J10" s="1296"/>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97" t="str">
        <f>IFERROR($E11/$E$5,"")</f>
        <v/>
      </c>
      <c r="J11" s="1297"/>
      <c r="K11" s="271"/>
      <c r="L11" s="182"/>
      <c r="R11" s="548"/>
    </row>
    <row r="12" spans="2:23" ht="36" customHeight="1" x14ac:dyDescent="0.25">
      <c r="B12" s="181"/>
      <c r="C12" s="270"/>
      <c r="D12" s="1298" t="s">
        <v>702</v>
      </c>
      <c r="E12" s="1298"/>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97" t="str">
        <f>IFERROR(E13/E5,"")</f>
        <v/>
      </c>
      <c r="J13" s="1297"/>
      <c r="K13" s="271"/>
      <c r="L13" s="182"/>
    </row>
    <row r="14" spans="2:23" s="835" customFormat="1" ht="36.6" customHeight="1" x14ac:dyDescent="0.25">
      <c r="B14" s="181"/>
      <c r="C14" s="270"/>
      <c r="D14" s="1298" t="s">
        <v>1201</v>
      </c>
      <c r="E14" s="1298"/>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97" t="str">
        <f>IFERROR($E15/$E$5,"")</f>
        <v/>
      </c>
      <c r="J15" s="1297"/>
      <c r="K15" s="271"/>
      <c r="L15" s="182"/>
    </row>
    <row r="16" spans="2:23" ht="26.45" customHeight="1" x14ac:dyDescent="0.25">
      <c r="B16" s="181"/>
      <c r="C16" s="270"/>
      <c r="D16" s="1287" t="s">
        <v>704</v>
      </c>
      <c r="E16" s="1287"/>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97" t="str">
        <f>IFERROR($E17/$E$5,"")</f>
        <v/>
      </c>
      <c r="J17" s="1297"/>
      <c r="K17" s="271"/>
      <c r="L17" s="182"/>
    </row>
    <row r="18" spans="2:12" ht="25.9" customHeight="1" x14ac:dyDescent="0.25">
      <c r="B18" s="181"/>
      <c r="C18" s="270"/>
      <c r="D18" s="1287" t="s">
        <v>703</v>
      </c>
      <c r="E18" s="1299"/>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301" t="str">
        <f>IFERROR($E19/$E$5,"")</f>
        <v/>
      </c>
      <c r="J19" s="1301"/>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97" t="str">
        <f>IFERROR($E23/$E$5,"")</f>
        <v/>
      </c>
      <c r="J23" s="1297"/>
      <c r="K23" s="271"/>
      <c r="L23" s="182"/>
    </row>
    <row r="24" spans="2:12" ht="16.149999999999999" customHeight="1" x14ac:dyDescent="0.25">
      <c r="B24" s="181"/>
      <c r="C24" s="270"/>
      <c r="D24" s="1302" t="s">
        <v>953</v>
      </c>
      <c r="E24" s="1302"/>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6" t="s">
        <v>906</v>
      </c>
      <c r="J28" s="1296"/>
      <c r="K28" s="271"/>
      <c r="L28" s="182"/>
    </row>
    <row r="29" spans="2:12" ht="25.15" customHeight="1" x14ac:dyDescent="0.25">
      <c r="B29" s="181"/>
      <c r="C29" s="270"/>
      <c r="D29" s="569" t="s">
        <v>224</v>
      </c>
      <c r="E29" s="570">
        <f>IFERROR('EB_CM (Back)'!$I$47,0)</f>
        <v>0</v>
      </c>
      <c r="F29" s="197"/>
      <c r="G29" s="557">
        <f>IFERROR(E29/'PIM Model'!$H$31,0)</f>
        <v>0</v>
      </c>
      <c r="H29" s="197"/>
      <c r="I29" s="1297" t="str">
        <f>IFERROR($E29/$E$5,"")</f>
        <v/>
      </c>
      <c r="J29" s="1297"/>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97" t="str">
        <f>IFERROR($E30/$E$5,"")</f>
        <v/>
      </c>
      <c r="J30" s="1297"/>
      <c r="K30" s="271"/>
      <c r="L30" s="182"/>
    </row>
    <row r="31" spans="2:12" ht="27.6" customHeight="1" x14ac:dyDescent="0.25">
      <c r="B31" s="181"/>
      <c r="C31" s="575"/>
      <c r="D31" s="1287" t="s">
        <v>233</v>
      </c>
      <c r="E31" s="1287"/>
      <c r="F31" s="576"/>
      <c r="G31" s="576"/>
      <c r="H31" s="576"/>
      <c r="I31" s="566"/>
      <c r="J31" s="566"/>
      <c r="K31" s="273"/>
      <c r="L31" s="182"/>
    </row>
    <row r="32" spans="2:12" s="1061" customFormat="1" ht="27.6" customHeight="1" x14ac:dyDescent="0.25">
      <c r="B32" s="181"/>
      <c r="C32" s="180"/>
      <c r="D32" s="180"/>
      <c r="E32" s="180"/>
      <c r="H32" s="180"/>
      <c r="I32" s="180"/>
      <c r="J32" s="180"/>
      <c r="K32" s="180"/>
      <c r="L32" s="182"/>
    </row>
    <row r="33" spans="2:12" s="1061" customFormat="1" ht="27.6" customHeight="1" x14ac:dyDescent="0.25">
      <c r="B33" s="181"/>
      <c r="C33" s="275"/>
      <c r="D33" s="190"/>
      <c r="E33" s="190"/>
      <c r="F33" s="190"/>
      <c r="G33" s="190"/>
      <c r="H33" s="190"/>
      <c r="I33" s="568"/>
      <c r="J33" s="568"/>
      <c r="K33" s="276"/>
      <c r="L33" s="182"/>
    </row>
    <row r="34" spans="2:12" s="1061" customFormat="1" ht="23.25" customHeight="1" x14ac:dyDescent="0.25">
      <c r="B34" s="181"/>
      <c r="C34" s="270"/>
      <c r="D34" s="6" t="s">
        <v>1409</v>
      </c>
      <c r="E34" s="1062" t="s">
        <v>269</v>
      </c>
      <c r="F34" s="197"/>
      <c r="G34" s="1062" t="s">
        <v>1313</v>
      </c>
      <c r="H34" s="197"/>
      <c r="I34" s="1063"/>
      <c r="J34" s="1063"/>
      <c r="K34" s="271"/>
      <c r="L34" s="182"/>
    </row>
    <row r="35" spans="2:12" s="1061" customFormat="1" ht="23.25" customHeight="1" x14ac:dyDescent="0.25">
      <c r="B35" s="181"/>
      <c r="C35" s="270"/>
      <c r="D35" s="569" t="s">
        <v>1410</v>
      </c>
      <c r="E35" s="1073">
        <f>IFERROR('Customer Inputs'!BA16,0)</f>
        <v>0</v>
      </c>
      <c r="F35" s="197"/>
      <c r="G35" s="1063"/>
      <c r="H35" s="197"/>
      <c r="I35" s="1063"/>
      <c r="J35" s="1063"/>
      <c r="K35" s="271"/>
      <c r="L35" s="182"/>
    </row>
    <row r="36" spans="2:12" s="1061" customFormat="1" ht="22.5" customHeight="1" x14ac:dyDescent="0.25">
      <c r="B36" s="181"/>
      <c r="C36" s="270"/>
      <c r="D36" s="569" t="s">
        <v>1411</v>
      </c>
      <c r="E36" s="1073">
        <f>IFERROR('Customer Inputs'!BD16,0)</f>
        <v>0</v>
      </c>
      <c r="F36" s="197"/>
      <c r="G36" s="557">
        <f>IFERROR(E36*'Customer Inputs'!BC16/'PIM Model'!$H$31,0)</f>
        <v>0</v>
      </c>
      <c r="H36" s="197"/>
      <c r="I36" s="1063"/>
      <c r="J36" s="1063"/>
      <c r="K36" s="271"/>
      <c r="L36" s="182"/>
    </row>
    <row r="37" spans="2:12" s="1061" customFormat="1" ht="27.6" customHeight="1" x14ac:dyDescent="0.25">
      <c r="B37" s="181"/>
      <c r="C37" s="575"/>
      <c r="D37" s="1287"/>
      <c r="E37" s="1287"/>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nxRWulwQLVL90uulJJ+uCONy637VrpMfdiB/O7nLfe7NENwHW06mWOHrT+NZxXG2SlC+bDmpblQulHzIENsM4Q==" saltValue="N0u6TXaui3THNC1rVl+vm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topLeftCell="A2"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3"/>
      <c r="K3" s="1053"/>
      <c r="L3" s="1053"/>
      <c r="M3" s="1053"/>
      <c r="S3" s="279"/>
    </row>
    <row r="4" spans="1:31" ht="14.45" customHeight="1" x14ac:dyDescent="0.25">
      <c r="B4" s="181"/>
      <c r="C4" s="1305" t="s">
        <v>1300</v>
      </c>
      <c r="D4" s="1306"/>
      <c r="E4" s="697">
        <f>Welcome!$D$8</f>
        <v>0</v>
      </c>
      <c r="F4" s="142"/>
      <c r="G4" s="512" t="s">
        <v>110</v>
      </c>
      <c r="H4" s="1255" t="str">
        <f>IFERROR(VLOOKUP($H$5,'Market Geography'!$D:$G,4,FALSE),"Select Market")</f>
        <v>Select Market</v>
      </c>
      <c r="I4" s="1256"/>
      <c r="J4" s="1257"/>
      <c r="K4" s="1053"/>
      <c r="L4" s="1053"/>
      <c r="M4" s="1053"/>
      <c r="N4" s="1053"/>
      <c r="O4" s="1053"/>
      <c r="P4" s="884"/>
      <c r="Q4" s="886"/>
      <c r="R4" s="791"/>
      <c r="S4" s="581"/>
    </row>
    <row r="5" spans="1:31" x14ac:dyDescent="0.25">
      <c r="B5" s="181"/>
      <c r="C5" s="1292" t="s">
        <v>1301</v>
      </c>
      <c r="D5" s="1293"/>
      <c r="E5" s="389" t="str">
        <f>Welcome!$D$12</f>
        <v>Select Term</v>
      </c>
      <c r="F5" s="142"/>
      <c r="G5" s="513" t="s">
        <v>901</v>
      </c>
      <c r="H5" s="1252">
        <f>Welcome!$D$4</f>
        <v>0</v>
      </c>
      <c r="I5" s="1253"/>
      <c r="J5" s="1254"/>
      <c r="K5" s="1053"/>
      <c r="L5" s="1053"/>
      <c r="M5" s="1053"/>
      <c r="N5" s="1053"/>
      <c r="O5" s="1053"/>
      <c r="P5" s="884"/>
      <c r="Q5" s="886"/>
      <c r="R5" s="791"/>
      <c r="S5" s="581"/>
    </row>
    <row r="6" spans="1:31" x14ac:dyDescent="0.25">
      <c r="B6" s="181"/>
      <c r="C6" s="1292" t="s">
        <v>1308</v>
      </c>
      <c r="D6" s="1293"/>
      <c r="E6" s="390">
        <f>IFERROR('PIM Model'!$G$31,0)</f>
        <v>0</v>
      </c>
      <c r="F6" s="423"/>
      <c r="G6" s="513" t="s">
        <v>107</v>
      </c>
      <c r="H6" s="1252" t="str">
        <f>'Multi-Customer'!$S$49</f>
        <v>Enter Customer(s)</v>
      </c>
      <c r="I6" s="1253"/>
      <c r="J6" s="1254"/>
      <c r="K6" s="1053"/>
      <c r="L6" s="1053"/>
      <c r="M6" s="1053"/>
      <c r="N6" s="1053"/>
      <c r="O6" s="1053"/>
      <c r="P6" s="884"/>
      <c r="Q6" s="886"/>
      <c r="R6" s="791"/>
      <c r="S6" s="581"/>
    </row>
    <row r="7" spans="1:31" x14ac:dyDescent="0.25">
      <c r="B7" s="181"/>
      <c r="C7" s="1292" t="s">
        <v>1309</v>
      </c>
      <c r="D7" s="1293"/>
      <c r="E7" s="582">
        <f>IFERROR('Variable Costs (Back)'!$K$26,0)</f>
        <v>0</v>
      </c>
      <c r="F7" s="180"/>
      <c r="G7" s="513" t="s">
        <v>1318</v>
      </c>
      <c r="H7" s="1252" t="str">
        <f>'Multi-Customer'!$AH$40</f>
        <v>Enter Customer(s)</v>
      </c>
      <c r="I7" s="1253"/>
      <c r="J7" s="1254"/>
      <c r="K7" s="1053"/>
      <c r="L7" s="1053"/>
      <c r="M7" s="1053"/>
      <c r="N7" s="1053"/>
      <c r="O7" s="1053"/>
      <c r="P7" s="884"/>
      <c r="Q7" s="886"/>
      <c r="R7" s="791"/>
      <c r="S7" s="581"/>
    </row>
    <row r="8" spans="1:31" ht="15.75" thickBot="1" x14ac:dyDescent="0.3">
      <c r="B8" s="181"/>
      <c r="C8" s="1294" t="s">
        <v>1310</v>
      </c>
      <c r="D8" s="1295"/>
      <c r="E8" s="421">
        <f>IFERROR('PIM Ranges'!$AU$3,0)</f>
        <v>0</v>
      </c>
      <c r="F8" s="424"/>
      <c r="G8" s="514" t="s">
        <v>1311</v>
      </c>
      <c r="H8" s="1274" t="s">
        <v>207</v>
      </c>
      <c r="I8" s="1275"/>
      <c r="J8" s="1276"/>
      <c r="K8" s="1053"/>
      <c r="L8" s="1053"/>
      <c r="M8" s="1053"/>
      <c r="N8" s="1053"/>
      <c r="O8" s="1053"/>
      <c r="P8" s="885"/>
      <c r="Q8" s="886"/>
      <c r="R8" s="791"/>
      <c r="S8" s="583"/>
    </row>
    <row r="9" spans="1:31" ht="8.4499999999999993" customHeight="1" x14ac:dyDescent="0.25">
      <c r="B9" s="181"/>
      <c r="D9" s="139"/>
      <c r="E9" s="696"/>
      <c r="F9" s="696"/>
      <c r="G9" s="696"/>
      <c r="H9" s="696"/>
      <c r="I9" s="696"/>
      <c r="J9" s="1051"/>
      <c r="K9" s="1051"/>
      <c r="L9" s="1051"/>
      <c r="M9" s="1051"/>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2" t="s">
        <v>1251</v>
      </c>
      <c r="R11" s="1312"/>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7" t="s">
        <v>1251</v>
      </c>
      <c r="R21" s="1308"/>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1" t="s">
        <v>233</v>
      </c>
      <c r="E32" s="1311"/>
      <c r="F32" s="1311"/>
      <c r="G32" s="1311"/>
      <c r="H32" s="600"/>
      <c r="I32" s="1310" t="str">
        <f>IF($I$33=0,IF($N$33=0,"","Customer EB % Missing"),IF($N$33=0,"Customer Drops/Wk Missing","Customer EB % &amp; Drops/Wk Missing"))</f>
        <v>Customer Drops/Wk Missing</v>
      </c>
      <c r="J32" s="1310"/>
      <c r="K32" s="1310"/>
      <c r="L32" s="1310"/>
      <c r="M32" s="1310"/>
      <c r="N32" s="1310"/>
      <c r="O32" s="199"/>
      <c r="P32"/>
      <c r="Q32" s="882"/>
      <c r="R32" s="879"/>
      <c r="S32" s="182"/>
      <c r="T32" s="5"/>
    </row>
    <row r="33" spans="2:20" ht="36.75" customHeight="1" x14ac:dyDescent="0.25">
      <c r="B33" s="181"/>
      <c r="C33" s="270"/>
      <c r="D33" s="7"/>
      <c r="E33" s="1054" t="s">
        <v>1312</v>
      </c>
      <c r="F33" s="591"/>
      <c r="G33" s="1055" t="s">
        <v>1313</v>
      </c>
      <c r="H33" s="766" t="e">
        <f>I33+N33</f>
        <v>#VALUE!</v>
      </c>
      <c r="I33" s="1055" t="s">
        <v>906</v>
      </c>
      <c r="J33" s="197"/>
      <c r="K33" s="1055" t="s">
        <v>1405</v>
      </c>
      <c r="L33" s="197"/>
      <c r="M33" s="1056" t="s">
        <v>1406</v>
      </c>
      <c r="N33" s="561">
        <f>'Customer Inputs'!$AA$16</f>
        <v>0</v>
      </c>
      <c r="O33" s="199"/>
      <c r="P33"/>
      <c r="Q33" s="1075"/>
      <c r="R33" s="1074"/>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1">
        <f>IFERROR(E34/($E$7*Welcome!$D$14*52),0)</f>
        <v>0</v>
      </c>
      <c r="L34" s="197"/>
      <c r="M34" s="1141">
        <f>IFERROR(E34/(Welcome!$D$14*52),0)</f>
        <v>0</v>
      </c>
      <c r="N34" s="561">
        <f>'Customer Inputs'!$AA$16</f>
        <v>0</v>
      </c>
      <c r="O34" s="199"/>
      <c r="P34"/>
      <c r="Q34" s="1075"/>
      <c r="R34" s="1074"/>
      <c r="S34" s="182"/>
      <c r="T34" s="5"/>
    </row>
    <row r="35" spans="2:20" s="1053" customFormat="1" ht="24" customHeight="1" x14ac:dyDescent="0.25">
      <c r="B35" s="181"/>
      <c r="C35" s="270"/>
      <c r="D35" s="7"/>
      <c r="E35" s="591"/>
      <c r="F35" s="591"/>
      <c r="G35" s="597"/>
      <c r="H35" s="597"/>
      <c r="I35" s="197"/>
      <c r="J35" s="197"/>
      <c r="K35" s="197"/>
      <c r="L35" s="197"/>
      <c r="M35" s="197"/>
      <c r="N35" s="197"/>
      <c r="O35" s="199"/>
      <c r="P35" s="1052"/>
      <c r="Q35" s="1058"/>
      <c r="R35" s="1058"/>
      <c r="S35" s="182"/>
    </row>
    <row r="36" spans="2:20" s="1053" customFormat="1" ht="24" customHeight="1" x14ac:dyDescent="0.25">
      <c r="B36" s="181"/>
      <c r="C36" s="270"/>
      <c r="D36" s="8" t="s">
        <v>1407</v>
      </c>
      <c r="E36" s="12">
        <f>IFERROR('Customer Inputs'!BC16,0)</f>
        <v>0</v>
      </c>
      <c r="F36" s="1057"/>
      <c r="G36" s="585">
        <f>IFERROR(E36/'PIM Model'!$H$31,0)</f>
        <v>0</v>
      </c>
      <c r="H36" s="601"/>
      <c r="I36" s="197"/>
      <c r="J36" s="197"/>
      <c r="K36" s="197"/>
      <c r="L36" s="197"/>
      <c r="M36" s="197"/>
      <c r="N36" s="197"/>
      <c r="O36" s="199"/>
      <c r="P36" s="1052"/>
      <c r="Q36" s="1058"/>
      <c r="R36" s="1058"/>
      <c r="S36" s="182"/>
    </row>
    <row r="37" spans="2:20" s="1053" customFormat="1" ht="24" customHeight="1" x14ac:dyDescent="0.25">
      <c r="B37" s="181"/>
      <c r="C37" s="270"/>
      <c r="D37" s="7"/>
      <c r="E37" s="591"/>
      <c r="F37" s="591"/>
      <c r="G37" s="597"/>
      <c r="H37" s="597"/>
      <c r="I37" s="197"/>
      <c r="J37" s="197"/>
      <c r="K37" s="197"/>
      <c r="L37" s="197"/>
      <c r="M37" s="197"/>
      <c r="N37" s="197"/>
      <c r="O37" s="199"/>
      <c r="P37" s="1052"/>
      <c r="Q37" s="1307" t="s">
        <v>1251</v>
      </c>
      <c r="R37" s="1308"/>
      <c r="S37" s="182"/>
    </row>
    <row r="38" spans="2:20" s="1053" customFormat="1" ht="24" customHeight="1" x14ac:dyDescent="0.25">
      <c r="B38" s="181"/>
      <c r="C38" s="270"/>
      <c r="D38" s="8" t="s">
        <v>1408</v>
      </c>
      <c r="E38" s="12">
        <f>IFERROR(E34-E36,0)</f>
        <v>0</v>
      </c>
      <c r="F38" s="1057"/>
      <c r="G38" s="585">
        <f>IFERROR(E38/'PIM Model'!$H$31,0)</f>
        <v>0</v>
      </c>
      <c r="H38" s="601">
        <f>'EB_CM (Back)'!$C$26-'EB_CM (Back)'!$C$27</f>
        <v>0.08</v>
      </c>
      <c r="I38" s="594">
        <f>IFERROR($E$38/'PIM Model'!$G$31,0)</f>
        <v>0</v>
      </c>
      <c r="J38" s="197"/>
      <c r="K38" s="1141">
        <f>IFERROR(E38/($E$7*Welcome!$D$14*52),0)</f>
        <v>0</v>
      </c>
      <c r="L38" s="197"/>
      <c r="M38" s="1141">
        <f>IFERROR(E38/(Welcome!$D$14*52),0)</f>
        <v>0</v>
      </c>
      <c r="N38" s="602" t="str">
        <f>IFERROR(IF($Q$38="Yes","Approve",IF(H38&gt;0,"Reject","Approve")),"Reject")</f>
        <v>Reject</v>
      </c>
      <c r="O38" s="199"/>
      <c r="P38" s="1052"/>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09"/>
      <c r="C41" s="1309"/>
      <c r="D41" s="1309"/>
      <c r="N41" s="1264"/>
      <c r="O41" s="1264"/>
      <c r="P41" s="1264"/>
      <c r="Q41" s="1264"/>
      <c r="R41" s="1264"/>
      <c r="S41" s="1264"/>
    </row>
    <row r="42" spans="2:20" x14ac:dyDescent="0.25">
      <c r="S42" s="607"/>
    </row>
  </sheetData>
  <sheetProtection algorithmName="SHA-512" hashValue="NkTE8tYFdlJVEvbWAaKxJXVJsAMV0KW0ak9BxmnfwSsnnIMSMLWTHsVJTmsT/jVgS7VX8D5a75AOMET+o6gmkA==" saltValue="JAxudWtiU2MQ5xHgZ4SL+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5" t="s">
        <v>667</v>
      </c>
      <c r="D2" s="1316"/>
      <c r="E2" s="1316"/>
      <c r="F2" s="1316"/>
      <c r="G2" s="1316"/>
      <c r="H2" s="1316"/>
      <c r="I2" s="1316"/>
      <c r="J2" s="1316"/>
      <c r="K2" s="1316"/>
      <c r="L2" s="1316"/>
      <c r="M2" s="1316"/>
      <c r="N2" s="1316"/>
      <c r="O2" s="1316"/>
      <c r="P2" s="1317"/>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8"/>
      <c r="G4" s="1318"/>
      <c r="P4" s="658"/>
      <c r="T4" s="1" t="s">
        <v>490</v>
      </c>
    </row>
    <row r="5" spans="3:23" x14ac:dyDescent="0.25">
      <c r="C5" s="140"/>
      <c r="E5" s="435"/>
      <c r="P5" s="141"/>
    </row>
    <row r="6" spans="3:23" x14ac:dyDescent="0.25">
      <c r="C6" s="140"/>
      <c r="E6" s="139" t="s">
        <v>1319</v>
      </c>
      <c r="F6" s="1318"/>
      <c r="G6" s="1318"/>
      <c r="P6" s="141"/>
    </row>
    <row r="7" spans="3:23" x14ac:dyDescent="0.25">
      <c r="C7" s="140"/>
      <c r="E7" s="139"/>
      <c r="P7" s="141"/>
    </row>
    <row r="8" spans="3:23" x14ac:dyDescent="0.25">
      <c r="C8" s="140"/>
      <c r="E8" s="139" t="s">
        <v>1320</v>
      </c>
      <c r="F8" s="1318"/>
      <c r="G8" s="1318"/>
      <c r="P8" s="141"/>
    </row>
    <row r="9" spans="3:23" x14ac:dyDescent="0.25">
      <c r="C9" s="140"/>
      <c r="E9" s="139" t="s">
        <v>1321</v>
      </c>
      <c r="F9" s="1318"/>
      <c r="G9" s="1318"/>
      <c r="P9" s="141"/>
    </row>
    <row r="10" spans="3:23" x14ac:dyDescent="0.25">
      <c r="C10" s="140"/>
      <c r="E10" s="139" t="s">
        <v>897</v>
      </c>
      <c r="F10" s="1318"/>
      <c r="G10" s="1318"/>
      <c r="P10" s="141"/>
    </row>
    <row r="11" spans="3:23" x14ac:dyDescent="0.25">
      <c r="C11" s="140"/>
      <c r="E11" s="139" t="s">
        <v>850</v>
      </c>
      <c r="F11" s="1318"/>
      <c r="G11" s="1318"/>
      <c r="P11" s="141"/>
    </row>
    <row r="12" spans="3:23" x14ac:dyDescent="0.25">
      <c r="C12" s="140"/>
      <c r="E12" s="139" t="s">
        <v>1322</v>
      </c>
      <c r="F12" s="1318"/>
      <c r="G12" s="1318"/>
      <c r="P12" s="141"/>
    </row>
    <row r="13" spans="3:23" x14ac:dyDescent="0.25">
      <c r="C13" s="140"/>
      <c r="E13" s="139"/>
      <c r="F13" s="1320"/>
      <c r="G13" s="1320"/>
      <c r="P13" s="141"/>
    </row>
    <row r="14" spans="3:23" x14ac:dyDescent="0.25">
      <c r="C14" s="140"/>
      <c r="E14" s="139" t="s">
        <v>1323</v>
      </c>
      <c r="F14" s="1319"/>
      <c r="G14" s="1319"/>
      <c r="H14" s="671"/>
      <c r="P14" s="141"/>
      <c r="Q14" s="845">
        <f>WEEKDAY(F14,2)</f>
        <v>6</v>
      </c>
    </row>
    <row r="15" spans="3:23" s="1012" customFormat="1" ht="13.5" customHeight="1" x14ac:dyDescent="0.25">
      <c r="C15" s="140"/>
      <c r="F15" s="55" t="s">
        <v>1034</v>
      </c>
      <c r="G15" s="55" t="str">
        <f>IF(F14="","",TEXT(F14,"dddd"))</f>
        <v/>
      </c>
      <c r="O15" s="1074"/>
      <c r="P15" s="141"/>
    </row>
    <row r="16" spans="3:23" s="1012" customFormat="1" ht="13.5" customHeight="1" x14ac:dyDescent="0.25">
      <c r="C16" s="140"/>
      <c r="O16" s="1074"/>
      <c r="P16" s="141"/>
    </row>
    <row r="17" spans="1:17" s="1012" customFormat="1" ht="13.5" customHeight="1" x14ac:dyDescent="0.25">
      <c r="C17" s="140"/>
      <c r="E17" s="139" t="s">
        <v>1324</v>
      </c>
      <c r="F17" s="1321" t="str">
        <f>IF(F14="","",F14+(363*IF(OR(Welcome!D12="Select Term",Welcome!D12=""),0,Welcome!D12))+6)</f>
        <v/>
      </c>
      <c r="G17" s="1321"/>
      <c r="O17" s="1074"/>
      <c r="P17" s="141"/>
    </row>
    <row r="18" spans="1:17" ht="13.5" customHeight="1" x14ac:dyDescent="0.25">
      <c r="C18" s="140"/>
      <c r="P18" s="141"/>
    </row>
    <row r="19" spans="1:17" s="839" customFormat="1" ht="14.25" customHeight="1" x14ac:dyDescent="0.25">
      <c r="C19" s="140"/>
      <c r="E19" s="139" t="s">
        <v>1325</v>
      </c>
      <c r="F19" s="1313">
        <f>Welcome!D8</f>
        <v>0</v>
      </c>
      <c r="G19" s="1314"/>
      <c r="K19" s="1012"/>
      <c r="L19" s="1012"/>
      <c r="M19" s="1012"/>
      <c r="N19" s="1012"/>
      <c r="O19" s="1074"/>
      <c r="P19" s="141"/>
    </row>
    <row r="20" spans="1:17" s="839" customFormat="1" ht="26.45" customHeight="1" x14ac:dyDescent="0.25">
      <c r="C20" s="140"/>
      <c r="K20" s="1012"/>
      <c r="L20" s="1012"/>
      <c r="M20" s="1012"/>
      <c r="N20" s="1012"/>
      <c r="O20" s="1074"/>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6"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6"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6"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6"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6"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6"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6"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6"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6"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6"/>
      <c r="K1" s="1036"/>
      <c r="L1" s="1036"/>
      <c r="M1" s="1036"/>
      <c r="N1" s="1036"/>
      <c r="O1" s="1036"/>
      <c r="P1" s="1036"/>
      <c r="Q1" s="1036"/>
      <c r="R1" s="1036"/>
      <c r="S1" s="1028"/>
    </row>
    <row r="2" spans="1:19" ht="15.75" thickBot="1" x14ac:dyDescent="0.3">
      <c r="A2" s="1036"/>
      <c r="B2" s="1322" t="s">
        <v>1345</v>
      </c>
      <c r="C2" s="1323"/>
      <c r="D2" s="1323"/>
      <c r="E2" s="1323"/>
      <c r="F2" s="1323"/>
      <c r="G2" s="1323"/>
      <c r="H2" s="1323"/>
      <c r="I2" s="1324"/>
      <c r="J2" s="1036"/>
      <c r="K2" s="1036"/>
      <c r="L2" s="1036"/>
      <c r="M2" s="1325" t="s">
        <v>1346</v>
      </c>
      <c r="N2" s="1325"/>
      <c r="O2" s="1325"/>
      <c r="P2" s="1036"/>
      <c r="Q2" s="1036"/>
      <c r="R2" s="1036"/>
      <c r="S2" s="1028"/>
    </row>
    <row r="3" spans="1:19" x14ac:dyDescent="0.25">
      <c r="A3" s="1036"/>
      <c r="B3" s="1117"/>
      <c r="C3" s="1076"/>
      <c r="D3" s="1076"/>
      <c r="E3" s="1076"/>
      <c r="F3" s="1076"/>
      <c r="G3" s="1076"/>
      <c r="H3" s="1076"/>
      <c r="I3" s="1118"/>
      <c r="J3" s="1036"/>
      <c r="K3" s="1036"/>
      <c r="L3" s="1036"/>
      <c r="M3" s="1037" t="s">
        <v>1347</v>
      </c>
      <c r="N3" s="1037">
        <v>500</v>
      </c>
      <c r="O3" s="1037">
        <v>25</v>
      </c>
      <c r="P3" s="1036"/>
      <c r="Q3" s="1036" t="s">
        <v>1347</v>
      </c>
      <c r="R3" s="1036"/>
      <c r="S3" s="1028"/>
    </row>
    <row r="4" spans="1:19" ht="25.5" x14ac:dyDescent="0.25">
      <c r="A4" s="1036"/>
      <c r="B4" s="1119" t="s">
        <v>381</v>
      </c>
      <c r="C4" s="1120" t="s">
        <v>1348</v>
      </c>
      <c r="D4" s="1120" t="s">
        <v>1349</v>
      </c>
      <c r="E4" s="1120" t="s">
        <v>1350</v>
      </c>
      <c r="F4" s="1120" t="s">
        <v>1351</v>
      </c>
      <c r="G4" s="1121" t="s">
        <v>1352</v>
      </c>
      <c r="H4" s="1121" t="s">
        <v>1353</v>
      </c>
      <c r="I4" s="1122" t="s">
        <v>1354</v>
      </c>
      <c r="J4" s="1036"/>
      <c r="K4" s="1036"/>
      <c r="L4" s="1036"/>
      <c r="M4" s="1037" t="s">
        <v>1355</v>
      </c>
      <c r="N4" s="1037">
        <v>500</v>
      </c>
      <c r="O4" s="1037">
        <v>35</v>
      </c>
      <c r="P4" s="1036"/>
      <c r="Q4" s="1036" t="s">
        <v>1355</v>
      </c>
      <c r="R4" s="1036"/>
      <c r="S4" s="1028"/>
    </row>
    <row r="5" spans="1:19" ht="15.75" thickBot="1" x14ac:dyDescent="0.3">
      <c r="A5" s="1036"/>
      <c r="B5" s="1038">
        <f>'Existing Customers'!$AB$2</f>
        <v>0</v>
      </c>
      <c r="C5" s="1030" t="s">
        <v>669</v>
      </c>
      <c r="D5" s="1030" t="s">
        <v>1356</v>
      </c>
      <c r="E5" s="1030" t="s">
        <v>671</v>
      </c>
      <c r="F5" s="1030" t="s">
        <v>669</v>
      </c>
      <c r="G5" s="1039" t="str">
        <f>IFERROR('PIM Model'!H31/('PIM Model'!E6*52*Welcome!D14),"")</f>
        <v/>
      </c>
      <c r="H5" s="1039" t="str">
        <f>IFERROR('PIM Model'!G31/('PIM Model'!E6*52*Welcome!D14),"")</f>
        <v/>
      </c>
      <c r="I5" s="1040" t="str">
        <f>IFERROR('PIM Model'!G31/'PIM Model'!H31,"")</f>
        <v/>
      </c>
      <c r="J5" s="1036"/>
      <c r="K5" s="1036"/>
      <c r="L5" s="1036"/>
      <c r="M5" s="1037" t="s">
        <v>1357</v>
      </c>
      <c r="N5" s="1037">
        <v>500</v>
      </c>
      <c r="O5" s="1037">
        <v>50</v>
      </c>
      <c r="P5" s="1036"/>
      <c r="Q5" s="1036" t="s">
        <v>1357</v>
      </c>
      <c r="R5" s="1036"/>
      <c r="S5" s="1028"/>
    </row>
    <row r="6" spans="1:19" ht="15.75" thickBot="1" x14ac:dyDescent="0.3">
      <c r="A6" s="1036"/>
      <c r="B6" s="704"/>
      <c r="C6" s="704"/>
      <c r="D6" s="704"/>
      <c r="E6" s="704"/>
      <c r="F6" s="704"/>
      <c r="G6" s="704"/>
      <c r="H6" s="704"/>
      <c r="I6" s="704"/>
      <c r="J6" s="1036"/>
      <c r="K6" s="1036"/>
      <c r="L6" s="1036"/>
      <c r="M6" s="1037"/>
      <c r="N6" s="1037"/>
      <c r="O6" s="1037"/>
      <c r="P6" s="1036"/>
      <c r="Q6" s="1036" t="s">
        <v>1358</v>
      </c>
      <c r="R6" s="1036"/>
      <c r="S6" s="1028"/>
    </row>
    <row r="7" spans="1:19" ht="15.75" thickBot="1" x14ac:dyDescent="0.3">
      <c r="A7" s="1036"/>
      <c r="B7" s="1322" t="s">
        <v>1359</v>
      </c>
      <c r="C7" s="1323"/>
      <c r="D7" s="1323"/>
      <c r="E7" s="1323"/>
      <c r="F7" s="1323"/>
      <c r="G7" s="1323"/>
      <c r="H7" s="1323"/>
      <c r="I7" s="1324"/>
      <c r="J7" s="1036"/>
      <c r="K7" s="1036"/>
      <c r="L7" s="1036"/>
      <c r="M7" s="1037" t="s">
        <v>1358</v>
      </c>
      <c r="N7" s="1037">
        <v>600</v>
      </c>
      <c r="O7" s="1037">
        <v>35</v>
      </c>
      <c r="P7" s="1036"/>
      <c r="Q7" s="1036" t="s">
        <v>1360</v>
      </c>
      <c r="R7" s="1036"/>
      <c r="S7" s="1028"/>
    </row>
    <row r="8" spans="1:19" x14ac:dyDescent="0.25">
      <c r="A8" s="1036"/>
      <c r="B8" s="1123"/>
      <c r="C8" s="1124"/>
      <c r="D8" s="1124"/>
      <c r="E8" s="1124"/>
      <c r="F8" s="1124"/>
      <c r="G8" s="1124"/>
      <c r="H8" s="1124"/>
      <c r="I8" s="1125"/>
      <c r="J8" s="1036"/>
      <c r="K8" s="1036"/>
      <c r="L8" s="1036"/>
      <c r="M8" s="1037" t="s">
        <v>1360</v>
      </c>
      <c r="N8" s="1037">
        <v>600</v>
      </c>
      <c r="O8" s="1037">
        <v>50</v>
      </c>
      <c r="P8" s="1036"/>
      <c r="Q8" s="1036" t="s">
        <v>1361</v>
      </c>
      <c r="R8" s="1036"/>
      <c r="S8" s="1028"/>
    </row>
    <row r="9" spans="1:19" ht="65.25" customHeight="1" x14ac:dyDescent="0.25">
      <c r="A9" s="1036"/>
      <c r="B9" s="1126" t="s">
        <v>1362</v>
      </c>
      <c r="C9" s="1120" t="s">
        <v>1363</v>
      </c>
      <c r="D9" s="1120" t="s">
        <v>1364</v>
      </c>
      <c r="E9" s="1120" t="s">
        <v>1365</v>
      </c>
      <c r="F9" s="1120" t="s">
        <v>1366</v>
      </c>
      <c r="G9" s="1120" t="s">
        <v>1367</v>
      </c>
      <c r="H9" s="1120" t="s">
        <v>1368</v>
      </c>
      <c r="I9" s="1127" t="s">
        <v>1369</v>
      </c>
      <c r="J9" s="1036"/>
      <c r="K9" s="1036"/>
      <c r="L9" s="1036"/>
      <c r="M9" s="1037" t="s">
        <v>1361</v>
      </c>
      <c r="N9" s="1037">
        <v>750</v>
      </c>
      <c r="O9" s="1037">
        <v>35</v>
      </c>
      <c r="P9" s="1036"/>
      <c r="Q9" s="1036" t="s">
        <v>1361</v>
      </c>
      <c r="R9" s="1036"/>
      <c r="S9" s="1028"/>
    </row>
    <row r="10" spans="1:19" x14ac:dyDescent="0.25">
      <c r="A10" s="1036"/>
      <c r="B10" s="1043">
        <v>85</v>
      </c>
      <c r="C10" s="1044">
        <v>500</v>
      </c>
      <c r="D10" s="1045" t="s">
        <v>1355</v>
      </c>
      <c r="E10" s="1041">
        <f>VLOOKUP($D$10,$M$3:$O$17,2,FALSE)</f>
        <v>500</v>
      </c>
      <c r="F10" s="1041">
        <f>VLOOKUP($D$10,$M$3:$O$17,3,FALSE)</f>
        <v>35</v>
      </c>
      <c r="G10" s="1045"/>
      <c r="H10" s="1045" t="s">
        <v>669</v>
      </c>
      <c r="I10" s="1046" t="s">
        <v>1370</v>
      </c>
      <c r="J10" s="1036"/>
      <c r="K10" s="1036"/>
      <c r="L10" s="1036"/>
      <c r="M10" s="1037" t="s">
        <v>1371</v>
      </c>
      <c r="N10" s="1037">
        <v>750</v>
      </c>
      <c r="O10" s="1037">
        <v>50</v>
      </c>
      <c r="P10" s="1036"/>
      <c r="Q10" s="1036" t="s">
        <v>1372</v>
      </c>
      <c r="R10" s="1036"/>
      <c r="S10" s="1028"/>
    </row>
    <row r="11" spans="1:19" x14ac:dyDescent="0.25">
      <c r="A11" s="1036"/>
      <c r="B11" s="1128"/>
      <c r="C11" s="1076"/>
      <c r="D11" s="1076"/>
      <c r="E11" s="1129"/>
      <c r="F11" s="1129"/>
      <c r="G11" s="1076"/>
      <c r="H11" s="1129"/>
      <c r="I11" s="1118"/>
      <c r="J11" s="1036"/>
      <c r="K11" s="1036"/>
      <c r="L11" s="1036"/>
      <c r="M11" s="1037"/>
      <c r="N11" s="1037"/>
      <c r="O11" s="1037"/>
      <c r="P11" s="1036"/>
      <c r="Q11" s="1036" t="s">
        <v>1373</v>
      </c>
      <c r="R11" s="1036"/>
      <c r="S11" s="1028"/>
    </row>
    <row r="12" spans="1:19" ht="48.75" customHeight="1" x14ac:dyDescent="0.25">
      <c r="A12" s="1036"/>
      <c r="B12" s="1126" t="s">
        <v>1374</v>
      </c>
      <c r="C12" s="1120" t="s">
        <v>1375</v>
      </c>
      <c r="D12" s="1120" t="s">
        <v>1376</v>
      </c>
      <c r="E12" s="1120" t="s">
        <v>1377</v>
      </c>
      <c r="F12" s="1120" t="s">
        <v>1378</v>
      </c>
      <c r="G12" s="1120" t="s">
        <v>1379</v>
      </c>
      <c r="H12" s="1120" t="s">
        <v>1380</v>
      </c>
      <c r="I12" s="1127" t="s">
        <v>1381</v>
      </c>
      <c r="J12" s="1036"/>
      <c r="K12" s="1036"/>
      <c r="L12" s="1036"/>
      <c r="M12" s="1037" t="s">
        <v>1372</v>
      </c>
      <c r="N12" s="1037">
        <v>1000</v>
      </c>
      <c r="O12" s="1037">
        <v>35</v>
      </c>
      <c r="P12" s="1036"/>
      <c r="Q12" s="1036" t="s">
        <v>1382</v>
      </c>
      <c r="R12" s="1036"/>
      <c r="S12" s="1028"/>
    </row>
    <row r="13" spans="1:19" ht="51" customHeight="1" thickBot="1" x14ac:dyDescent="0.3">
      <c r="A13" s="1036"/>
      <c r="B13" s="1038" t="s">
        <v>669</v>
      </c>
      <c r="C13" s="1031">
        <v>30</v>
      </c>
      <c r="D13" s="1030" t="s">
        <v>489</v>
      </c>
      <c r="E13" s="1042" t="s">
        <v>669</v>
      </c>
      <c r="F13" s="1031">
        <v>2.25</v>
      </c>
      <c r="G13" s="1031">
        <v>30</v>
      </c>
      <c r="H13" s="1030" t="s">
        <v>489</v>
      </c>
      <c r="I13" s="1047" t="s">
        <v>1383</v>
      </c>
      <c r="J13" s="1036"/>
      <c r="K13" s="1036"/>
      <c r="L13" s="1036"/>
      <c r="M13" s="1037" t="s">
        <v>1373</v>
      </c>
      <c r="N13" s="1037">
        <v>1000</v>
      </c>
      <c r="O13" s="1037">
        <v>50</v>
      </c>
      <c r="P13" s="1036"/>
      <c r="Q13" s="1036" t="s">
        <v>1384</v>
      </c>
      <c r="R13" s="1036"/>
      <c r="S13" s="1028"/>
    </row>
    <row r="14" spans="1:19" ht="15.75" thickBot="1" x14ac:dyDescent="0.3">
      <c r="A14" s="1036"/>
      <c r="B14" s="704"/>
      <c r="C14" s="704"/>
      <c r="D14" s="704"/>
      <c r="E14" s="704"/>
      <c r="F14" s="704"/>
      <c r="G14" s="704"/>
      <c r="H14" s="704"/>
      <c r="I14" s="704"/>
      <c r="J14" s="1036"/>
      <c r="K14" s="1036"/>
      <c r="L14" s="1036"/>
      <c r="M14" s="1037"/>
      <c r="N14" s="1037"/>
      <c r="O14" s="1037"/>
      <c r="P14" s="1036"/>
      <c r="Q14" s="1036" t="s">
        <v>1385</v>
      </c>
      <c r="R14" s="1036"/>
      <c r="S14" s="1028"/>
    </row>
    <row r="15" spans="1:19" ht="15.75" thickBot="1" x14ac:dyDescent="0.3">
      <c r="A15" s="1036"/>
      <c r="B15" s="1326" t="s">
        <v>1386</v>
      </c>
      <c r="C15" s="1327"/>
      <c r="D15" s="1327"/>
      <c r="E15" s="1327"/>
      <c r="F15" s="1327"/>
      <c r="G15" s="1328"/>
      <c r="H15" s="704"/>
      <c r="I15" s="704"/>
      <c r="J15" s="1036"/>
      <c r="K15" s="1036"/>
      <c r="L15" s="1036"/>
      <c r="M15" s="1037" t="s">
        <v>1387</v>
      </c>
      <c r="N15" s="1037">
        <v>1500</v>
      </c>
      <c r="O15" s="1037">
        <v>35</v>
      </c>
      <c r="P15" s="1036"/>
      <c r="Q15" s="1036"/>
      <c r="R15" s="1036"/>
      <c r="S15" s="1028"/>
    </row>
    <row r="16" spans="1:19" x14ac:dyDescent="0.25">
      <c r="A16" s="1036"/>
      <c r="B16" s="1117"/>
      <c r="C16" s="1076"/>
      <c r="D16" s="1076"/>
      <c r="E16" s="1076"/>
      <c r="F16" s="1076"/>
      <c r="G16" s="1118"/>
      <c r="H16" s="704"/>
      <c r="I16" s="704"/>
      <c r="J16" s="1036"/>
      <c r="K16" s="1036"/>
      <c r="L16" s="1036"/>
      <c r="M16" s="1037" t="s">
        <v>1384</v>
      </c>
      <c r="N16" s="1037">
        <v>1500</v>
      </c>
      <c r="O16" s="1037">
        <v>50</v>
      </c>
      <c r="P16" s="1036"/>
      <c r="Q16" s="1036"/>
      <c r="R16" s="1036"/>
      <c r="S16" s="1028"/>
    </row>
    <row r="17" spans="1:19" ht="51" customHeight="1" x14ac:dyDescent="0.25">
      <c r="A17" s="1036"/>
      <c r="B17" s="1130" t="s">
        <v>1392</v>
      </c>
      <c r="C17" s="1131" t="s">
        <v>1388</v>
      </c>
      <c r="D17" s="1131" t="s">
        <v>1389</v>
      </c>
      <c r="E17" s="1131" t="s">
        <v>1393</v>
      </c>
      <c r="F17" s="1132" t="s">
        <v>1390</v>
      </c>
      <c r="G17" s="1122" t="s">
        <v>1394</v>
      </c>
      <c r="H17" s="704"/>
      <c r="I17" s="704"/>
      <c r="J17" s="1036"/>
      <c r="K17" s="1036"/>
      <c r="L17" s="1036"/>
      <c r="M17" s="1037" t="s">
        <v>1385</v>
      </c>
      <c r="N17" s="1037">
        <v>5000</v>
      </c>
      <c r="O17" s="1037">
        <v>100</v>
      </c>
      <c r="P17" s="1036"/>
      <c r="Q17" s="1036"/>
      <c r="R17" s="1036"/>
      <c r="S17" s="1028"/>
    </row>
    <row r="18" spans="1:19" ht="19.5" customHeight="1" thickBot="1" x14ac:dyDescent="0.3">
      <c r="A18" s="1036"/>
      <c r="B18" s="1033">
        <v>13</v>
      </c>
      <c r="C18" s="1032" t="s">
        <v>685</v>
      </c>
      <c r="D18" s="1034">
        <v>25</v>
      </c>
      <c r="E18" s="1032" t="s">
        <v>1391</v>
      </c>
      <c r="F18" s="1035">
        <v>2</v>
      </c>
      <c r="G18" s="1050" t="str">
        <f>IF('Pricing Schedule'!E5="PB","before","after")</f>
        <v>before</v>
      </c>
      <c r="H18" s="704"/>
      <c r="I18" s="704"/>
      <c r="J18" s="1036"/>
      <c r="K18" s="1036"/>
      <c r="L18" s="1036"/>
      <c r="M18" s="1036"/>
      <c r="N18" s="1036"/>
      <c r="O18" s="1036"/>
      <c r="P18" s="1036"/>
      <c r="Q18" s="1036"/>
      <c r="R18" s="1036"/>
      <c r="S18" s="1028"/>
    </row>
    <row r="19" spans="1:19" x14ac:dyDescent="0.25">
      <c r="A19" s="1036"/>
      <c r="B19" s="1076"/>
      <c r="C19" s="1076"/>
      <c r="D19" s="1076"/>
      <c r="E19" s="1076"/>
      <c r="F19" s="1076"/>
      <c r="G19" s="1076"/>
      <c r="H19" s="704"/>
      <c r="I19" s="704"/>
      <c r="J19" s="1036"/>
      <c r="K19" s="1036"/>
      <c r="L19" s="1036"/>
      <c r="M19" s="1036"/>
      <c r="N19" s="1036"/>
      <c r="O19" s="1036"/>
      <c r="P19" s="1036"/>
      <c r="Q19" s="1036"/>
      <c r="R19" s="1036"/>
      <c r="S19" s="1028"/>
    </row>
    <row r="20" spans="1:19" x14ac:dyDescent="0.25">
      <c r="A20" s="1036"/>
      <c r="B20" s="704"/>
      <c r="C20" s="704"/>
      <c r="D20" s="704"/>
      <c r="E20" s="704"/>
      <c r="F20" s="704"/>
      <c r="G20" s="704"/>
      <c r="H20" s="704"/>
      <c r="I20" s="704"/>
      <c r="J20" s="1036"/>
      <c r="K20" s="1036"/>
      <c r="L20" s="1036"/>
      <c r="M20" s="1036"/>
      <c r="N20" s="1036"/>
      <c r="O20" s="1036"/>
      <c r="P20" s="1036"/>
      <c r="Q20" s="1036"/>
      <c r="R20" s="1036"/>
      <c r="S20" s="1028"/>
    </row>
    <row r="21" spans="1:19" x14ac:dyDescent="0.25">
      <c r="A21" s="1036"/>
      <c r="B21" s="1036"/>
      <c r="C21" s="1036"/>
      <c r="D21" s="1036"/>
      <c r="E21" s="1036"/>
      <c r="F21" s="1036"/>
      <c r="G21" s="1036"/>
      <c r="H21" s="1036"/>
      <c r="I21" s="1036"/>
      <c r="J21" s="1036"/>
      <c r="K21" s="1036"/>
      <c r="L21" s="1036"/>
      <c r="M21" s="1036"/>
      <c r="N21" s="1036"/>
      <c r="O21" s="1036"/>
      <c r="P21" s="1036"/>
      <c r="Q21" s="1036"/>
      <c r="R21" s="1036"/>
      <c r="S21" s="1028"/>
    </row>
    <row r="22" spans="1:19" x14ac:dyDescent="0.25">
      <c r="A22" s="1028"/>
      <c r="B22" s="1028"/>
      <c r="C22" s="1028"/>
      <c r="D22" s="1028"/>
      <c r="E22" s="1028"/>
      <c r="F22" s="1028"/>
      <c r="G22" s="1028"/>
      <c r="H22" s="1028"/>
      <c r="I22" s="1028"/>
      <c r="J22" s="1028"/>
      <c r="K22" s="1028"/>
      <c r="L22" s="1028"/>
      <c r="M22" s="1028"/>
      <c r="N22" s="1028"/>
      <c r="O22" s="1028"/>
      <c r="P22" s="1028"/>
      <c r="Q22" s="1028"/>
      <c r="R22" s="1028"/>
      <c r="S22" s="1028"/>
    </row>
    <row r="23" spans="1:19" x14ac:dyDescent="0.25">
      <c r="A23" s="1028"/>
      <c r="B23" s="1028"/>
      <c r="C23" s="1028"/>
      <c r="D23" s="1028"/>
      <c r="E23" s="1028"/>
      <c r="F23" s="1028"/>
      <c r="G23" s="1028"/>
      <c r="H23" s="1028"/>
      <c r="I23" s="1028"/>
      <c r="J23" s="1028"/>
      <c r="K23" s="1028"/>
      <c r="L23" s="1028"/>
      <c r="M23" s="1028"/>
      <c r="N23" s="1028"/>
      <c r="O23" s="1028"/>
      <c r="P23" s="1028"/>
      <c r="Q23" s="1028"/>
      <c r="R23" s="1028"/>
      <c r="S23" s="1028"/>
    </row>
    <row r="24" spans="1:19" x14ac:dyDescent="0.25">
      <c r="A24" s="1028"/>
      <c r="B24" s="1028"/>
      <c r="C24" s="1028"/>
      <c r="D24" s="1028"/>
      <c r="E24" s="1028"/>
      <c r="F24" s="1028"/>
      <c r="G24" s="1028"/>
      <c r="H24" s="1028"/>
      <c r="I24" s="1028"/>
      <c r="J24" s="1028"/>
      <c r="K24" s="1028"/>
      <c r="L24" s="1028"/>
      <c r="M24" s="1028"/>
      <c r="N24" s="1028"/>
      <c r="O24" s="1028"/>
      <c r="P24" s="1028"/>
      <c r="Q24" s="1028"/>
      <c r="R24" s="1028"/>
      <c r="S24" s="1028"/>
    </row>
    <row r="25" spans="1:19" x14ac:dyDescent="0.25">
      <c r="A25" s="1028"/>
      <c r="B25" s="1028"/>
      <c r="C25" s="1028"/>
      <c r="D25" s="1028"/>
      <c r="E25" s="1028"/>
      <c r="F25" s="1028"/>
      <c r="G25" s="1028"/>
      <c r="H25" s="1028"/>
      <c r="I25" s="1028"/>
      <c r="J25" s="1028"/>
      <c r="K25" s="1028"/>
      <c r="L25" s="1028"/>
      <c r="M25" s="1028"/>
      <c r="N25" s="1028"/>
      <c r="O25" s="1028"/>
      <c r="P25" s="1028"/>
      <c r="Q25" s="1028"/>
      <c r="R25" s="1028"/>
      <c r="S25" s="1028"/>
    </row>
    <row r="26" spans="1:19" x14ac:dyDescent="0.25">
      <c r="A26" s="1028"/>
      <c r="B26" s="1028"/>
      <c r="C26" s="1028"/>
      <c r="D26" s="1028"/>
      <c r="E26" s="1028"/>
      <c r="F26" s="1028"/>
      <c r="G26" s="1028"/>
      <c r="H26" s="1028"/>
      <c r="I26" s="1028"/>
      <c r="J26" s="1028"/>
      <c r="K26" s="1028"/>
      <c r="L26" s="1028"/>
      <c r="M26" s="1028"/>
      <c r="N26" s="1028"/>
      <c r="O26" s="1028"/>
      <c r="P26" s="1028"/>
      <c r="Q26" s="1028"/>
      <c r="R26" s="1028"/>
      <c r="S26" s="1028"/>
    </row>
    <row r="27" spans="1:19" x14ac:dyDescent="0.25">
      <c r="A27" s="1028"/>
      <c r="B27" s="1028"/>
      <c r="C27" s="1028"/>
      <c r="D27" s="1028"/>
      <c r="E27" s="1028"/>
      <c r="F27" s="1028"/>
      <c r="G27" s="1028"/>
      <c r="H27" s="1028"/>
      <c r="I27" s="1028"/>
      <c r="J27" s="1028"/>
      <c r="K27" s="1028"/>
      <c r="L27" s="1028"/>
      <c r="M27" s="1028"/>
      <c r="N27" s="1028"/>
      <c r="O27" s="1028"/>
      <c r="P27" s="1028"/>
      <c r="Q27" s="1028"/>
      <c r="R27" s="1028"/>
      <c r="S27" s="1028"/>
    </row>
    <row r="28" spans="1:19" x14ac:dyDescent="0.25">
      <c r="A28" s="1028"/>
      <c r="B28" s="1028"/>
      <c r="C28" s="1028"/>
      <c r="D28" s="1028"/>
      <c r="E28" s="1028"/>
      <c r="F28" s="1028"/>
      <c r="G28" s="1028"/>
      <c r="H28" s="1028"/>
      <c r="I28" s="1028"/>
      <c r="J28" s="1028"/>
      <c r="K28" s="1028"/>
      <c r="L28" s="1028"/>
      <c r="M28" s="1028"/>
      <c r="N28" s="1028"/>
      <c r="O28" s="1028"/>
      <c r="P28" s="1028"/>
      <c r="Q28" s="1028"/>
      <c r="R28" s="1028"/>
      <c r="S28" s="1028"/>
    </row>
    <row r="29" spans="1:19" x14ac:dyDescent="0.25">
      <c r="A29" s="1028"/>
      <c r="B29" s="1028"/>
      <c r="C29" s="1028"/>
      <c r="D29" s="1028"/>
      <c r="E29" s="1028"/>
      <c r="F29" s="1028"/>
      <c r="G29" s="1028"/>
      <c r="H29" s="1028"/>
      <c r="I29" s="1028"/>
      <c r="J29" s="1028"/>
      <c r="K29" s="1028"/>
      <c r="L29" s="1028"/>
      <c r="M29" s="1028"/>
      <c r="N29" s="1028"/>
      <c r="O29" s="1028"/>
      <c r="P29" s="1028"/>
      <c r="Q29" s="1028"/>
      <c r="R29" s="1028"/>
      <c r="S29" s="1028"/>
    </row>
    <row r="30" spans="1:19" x14ac:dyDescent="0.25">
      <c r="A30" s="1028"/>
      <c r="B30" s="1028"/>
      <c r="C30" s="1028"/>
      <c r="D30" s="1028"/>
      <c r="E30" s="1028"/>
      <c r="F30" s="1028"/>
      <c r="G30" s="1028"/>
      <c r="H30" s="1028"/>
      <c r="I30" s="1028"/>
      <c r="J30" s="1028"/>
      <c r="K30" s="1028"/>
      <c r="L30" s="1028"/>
      <c r="M30" s="1028"/>
      <c r="N30" s="1028"/>
      <c r="O30" s="1028"/>
      <c r="P30" s="1028"/>
      <c r="Q30" s="1028"/>
      <c r="R30" s="1028"/>
      <c r="S30" s="1028"/>
    </row>
    <row r="31" spans="1:19" x14ac:dyDescent="0.25">
      <c r="A31" s="1028"/>
      <c r="B31" s="1028"/>
      <c r="C31" s="1028"/>
      <c r="D31" s="1028"/>
      <c r="E31" s="1028"/>
      <c r="F31" s="1028"/>
      <c r="G31" s="1028"/>
      <c r="H31" s="1028"/>
      <c r="I31" s="1028"/>
      <c r="J31" s="1028"/>
      <c r="K31" s="1028"/>
      <c r="L31" s="1028"/>
      <c r="M31" s="1028"/>
      <c r="N31" s="1028"/>
      <c r="O31" s="1028"/>
      <c r="P31" s="1028"/>
      <c r="Q31" s="1028"/>
      <c r="R31" s="1028"/>
      <c r="S31" s="1028"/>
    </row>
    <row r="32" spans="1:19" x14ac:dyDescent="0.25">
      <c r="A32" s="1028"/>
      <c r="B32" s="1028"/>
      <c r="C32" s="1028"/>
      <c r="D32" s="1028"/>
      <c r="E32" s="1028"/>
      <c r="F32" s="1028"/>
      <c r="G32" s="1028"/>
      <c r="H32" s="1028"/>
      <c r="I32" s="1028"/>
      <c r="J32" s="1028"/>
      <c r="K32" s="1028"/>
      <c r="L32" s="1028"/>
      <c r="M32" s="1028"/>
      <c r="N32" s="1028"/>
      <c r="O32" s="1028"/>
      <c r="P32" s="1028"/>
      <c r="Q32" s="1028"/>
      <c r="R32" s="1028"/>
      <c r="S32" s="1028"/>
    </row>
    <row r="33" spans="1:19" x14ac:dyDescent="0.25">
      <c r="A33" s="1028"/>
      <c r="B33" s="1028"/>
      <c r="C33" s="1028"/>
      <c r="D33" s="1028"/>
      <c r="E33" s="1028"/>
      <c r="F33" s="1028"/>
      <c r="G33" s="1028"/>
      <c r="H33" s="1028"/>
      <c r="I33" s="1028"/>
      <c r="J33" s="1028"/>
      <c r="K33" s="1028"/>
      <c r="L33" s="1028"/>
      <c r="M33" s="1028"/>
      <c r="N33" s="1028"/>
      <c r="O33" s="1028"/>
      <c r="P33" s="1028"/>
      <c r="Q33" s="1028"/>
      <c r="R33" s="1028"/>
      <c r="S33" s="1028"/>
    </row>
    <row r="34" spans="1:19" x14ac:dyDescent="0.25">
      <c r="A34" s="1028"/>
      <c r="B34" s="1028"/>
      <c r="C34" s="1028"/>
      <c r="D34" s="1028"/>
      <c r="E34" s="1028"/>
      <c r="F34" s="1028"/>
      <c r="G34" s="1028"/>
      <c r="H34" s="1028"/>
      <c r="I34" s="1028"/>
      <c r="J34" s="1028"/>
      <c r="K34" s="1028"/>
      <c r="L34" s="1028"/>
      <c r="M34" s="1028"/>
      <c r="N34" s="1028"/>
      <c r="O34" s="1028"/>
      <c r="P34" s="1028"/>
      <c r="Q34" s="1028"/>
      <c r="R34" s="1028"/>
      <c r="S34" s="1028"/>
    </row>
    <row r="35" spans="1:19" x14ac:dyDescent="0.25">
      <c r="A35" s="1028"/>
      <c r="B35" s="1028"/>
      <c r="C35" s="1028"/>
      <c r="D35" s="1028"/>
      <c r="E35" s="1028"/>
      <c r="F35" s="1028"/>
      <c r="G35" s="1028"/>
      <c r="H35" s="1028"/>
      <c r="I35" s="1028"/>
      <c r="J35" s="1028"/>
      <c r="K35" s="1028"/>
      <c r="L35" s="1028"/>
      <c r="M35" s="1028"/>
      <c r="N35" s="1028"/>
      <c r="O35" s="1028"/>
      <c r="P35" s="1028"/>
      <c r="Q35" s="1028"/>
      <c r="R35" s="1028"/>
      <c r="S35" s="1028"/>
    </row>
    <row r="36" spans="1:19" x14ac:dyDescent="0.25">
      <c r="A36" s="1028"/>
      <c r="B36" s="1028"/>
      <c r="C36" s="1028"/>
      <c r="D36" s="1028"/>
      <c r="E36" s="1028"/>
      <c r="F36" s="1028"/>
      <c r="G36" s="1028"/>
      <c r="H36" s="1028"/>
      <c r="I36" s="1028"/>
      <c r="J36" s="1028"/>
      <c r="K36" s="1028"/>
      <c r="L36" s="1028"/>
      <c r="M36" s="1028"/>
      <c r="N36" s="1028"/>
      <c r="O36" s="1028"/>
      <c r="P36" s="1028"/>
      <c r="Q36" s="1028"/>
      <c r="R36" s="1028"/>
      <c r="S36" s="1028"/>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29" t="s">
        <v>1414</v>
      </c>
      <c r="C2" s="1323"/>
      <c r="D2" s="1323"/>
      <c r="E2" s="1323"/>
      <c r="F2" s="1323"/>
      <c r="G2" s="1323"/>
      <c r="H2" s="1323"/>
      <c r="I2" s="1323"/>
      <c r="J2" s="1323"/>
      <c r="K2" s="1323"/>
      <c r="L2" s="1323"/>
      <c r="M2" s="1323"/>
      <c r="N2" s="1324"/>
      <c r="O2" s="704"/>
      <c r="U2" s="1109">
        <f>IF(ISNA(U4),0,1)</f>
        <v>0</v>
      </c>
    </row>
    <row r="3" spans="1:21" ht="15.75" thickBot="1" x14ac:dyDescent="0.3">
      <c r="A3" s="704"/>
      <c r="B3" s="1076"/>
      <c r="C3" s="1076"/>
      <c r="D3" s="1076"/>
      <c r="E3" s="1076"/>
      <c r="F3" s="1076"/>
      <c r="G3" s="1076"/>
      <c r="H3" s="1076"/>
      <c r="I3" s="1076"/>
      <c r="J3" s="1076"/>
      <c r="K3" s="1076"/>
      <c r="L3" s="1076"/>
      <c r="M3" s="1076"/>
      <c r="N3" s="1076"/>
      <c r="O3" s="704"/>
      <c r="U3" s="1109">
        <f>IF(ISNA(U5),0,1)</f>
        <v>0</v>
      </c>
    </row>
    <row r="4" spans="1:21" ht="54" customHeight="1" x14ac:dyDescent="0.25">
      <c r="A4" s="704"/>
      <c r="B4" s="1077" t="s">
        <v>1415</v>
      </c>
      <c r="C4" s="1078" t="s">
        <v>1416</v>
      </c>
      <c r="D4" s="1078" t="s">
        <v>1417</v>
      </c>
      <c r="E4" s="1078" t="s">
        <v>1418</v>
      </c>
      <c r="F4" s="1078" t="s">
        <v>1419</v>
      </c>
      <c r="G4" s="1078" t="s">
        <v>1420</v>
      </c>
      <c r="H4" s="1078" t="s">
        <v>1421</v>
      </c>
      <c r="I4" s="1078" t="s">
        <v>1422</v>
      </c>
      <c r="J4" s="1078" t="s">
        <v>1423</v>
      </c>
      <c r="K4" s="1078" t="s">
        <v>1424</v>
      </c>
      <c r="L4" s="1078" t="s">
        <v>1425</v>
      </c>
      <c r="M4" s="1079" t="s">
        <v>1426</v>
      </c>
      <c r="N4" s="1080" t="s">
        <v>1427</v>
      </c>
      <c r="O4" s="704"/>
      <c r="U4" s="1109" t="e">
        <f>MATCH("Yes",K11:K30,0)</f>
        <v>#N/A</v>
      </c>
    </row>
    <row r="5" spans="1:21" ht="15.75" thickBot="1" x14ac:dyDescent="0.3">
      <c r="A5" s="704"/>
      <c r="B5" s="1038">
        <v>1</v>
      </c>
      <c r="C5" s="1030"/>
      <c r="D5" s="1030" t="s">
        <v>685</v>
      </c>
      <c r="E5" s="1030" t="s">
        <v>1428</v>
      </c>
      <c r="F5" s="1030" t="s">
        <v>1429</v>
      </c>
      <c r="G5" s="1030" t="s">
        <v>669</v>
      </c>
      <c r="H5" s="1030" t="s">
        <v>671</v>
      </c>
      <c r="I5" s="1030" t="s">
        <v>671</v>
      </c>
      <c r="J5" s="1030" t="s">
        <v>669</v>
      </c>
      <c r="K5" s="1030" t="s">
        <v>671</v>
      </c>
      <c r="L5" s="1030" t="s">
        <v>671</v>
      </c>
      <c r="M5" s="1082" t="str">
        <f>'Required Info to Submit'!F17</f>
        <v/>
      </c>
      <c r="N5" s="1081" t="s">
        <v>671</v>
      </c>
      <c r="O5" s="704"/>
      <c r="U5" s="1110" t="e">
        <f>MATCH("Yes",I11:I30,0)</f>
        <v>#N/A</v>
      </c>
    </row>
    <row r="6" spans="1:21" x14ac:dyDescent="0.25">
      <c r="A6" s="704"/>
      <c r="B6" s="1076"/>
      <c r="C6" s="1076"/>
      <c r="D6" s="1076"/>
      <c r="E6" s="1076"/>
      <c r="F6" s="1076"/>
      <c r="G6" s="1076"/>
      <c r="H6" s="1076"/>
      <c r="I6" s="1076"/>
      <c r="J6" s="1076"/>
      <c r="K6" s="1076"/>
      <c r="L6" s="1076"/>
      <c r="M6" s="1076"/>
      <c r="N6" s="1076"/>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0" t="s">
        <v>1430</v>
      </c>
      <c r="C8" s="1323"/>
      <c r="D8" s="1323"/>
      <c r="E8" s="1323"/>
      <c r="F8" s="1323"/>
      <c r="G8" s="1323"/>
      <c r="H8" s="1323"/>
      <c r="I8" s="1323"/>
      <c r="J8" s="1323"/>
      <c r="K8" s="1323"/>
      <c r="L8" s="1323"/>
      <c r="M8" s="1323"/>
      <c r="N8" s="1324"/>
      <c r="O8" s="704"/>
    </row>
    <row r="9" spans="1:21" ht="15.75" thickBot="1" x14ac:dyDescent="0.3">
      <c r="A9" s="704"/>
      <c r="B9" s="1076"/>
      <c r="C9" s="1076"/>
      <c r="D9" s="1076"/>
      <c r="E9" s="1076"/>
      <c r="F9" s="1076"/>
      <c r="G9" s="1076"/>
      <c r="H9" s="1076"/>
      <c r="I9" s="1076"/>
      <c r="J9" s="1076"/>
      <c r="K9" s="1076"/>
      <c r="L9" s="1076"/>
      <c r="M9" s="1076"/>
      <c r="N9" s="1076"/>
      <c r="O9" s="704"/>
    </row>
    <row r="10" spans="1:21" ht="33" customHeight="1" x14ac:dyDescent="0.25">
      <c r="A10" s="704"/>
      <c r="B10" s="1085" t="s">
        <v>1415</v>
      </c>
      <c r="C10" s="1079" t="s">
        <v>1431</v>
      </c>
      <c r="D10" s="1079" t="s">
        <v>1432</v>
      </c>
      <c r="E10" s="1079" t="s">
        <v>1433</v>
      </c>
      <c r="F10" s="1086" t="s">
        <v>1434</v>
      </c>
      <c r="G10" s="1086" t="s">
        <v>1435</v>
      </c>
      <c r="H10" s="1079" t="s">
        <v>1395</v>
      </c>
      <c r="I10" s="1079" t="s">
        <v>1436</v>
      </c>
      <c r="J10" s="1079" t="s">
        <v>1437</v>
      </c>
      <c r="K10" s="1079" t="s">
        <v>1438</v>
      </c>
      <c r="L10" s="1079" t="s">
        <v>1439</v>
      </c>
      <c r="M10" s="1079" t="s">
        <v>1376</v>
      </c>
      <c r="N10" s="1080" t="s">
        <v>1440</v>
      </c>
      <c r="O10" s="704"/>
    </row>
    <row r="11" spans="1:21" x14ac:dyDescent="0.25">
      <c r="A11" s="704"/>
      <c r="B11" s="1087">
        <v>1</v>
      </c>
      <c r="C11" s="1088">
        <v>15</v>
      </c>
      <c r="D11" s="1089"/>
      <c r="E11" s="1045"/>
      <c r="F11" s="1098"/>
      <c r="G11" s="1045"/>
      <c r="H11" s="1089" t="s">
        <v>489</v>
      </c>
      <c r="I11" s="1135" t="s">
        <v>671</v>
      </c>
      <c r="J11" s="1099">
        <v>2.25</v>
      </c>
      <c r="K11" s="1045" t="s">
        <v>671</v>
      </c>
      <c r="L11" s="1099">
        <v>30</v>
      </c>
      <c r="M11" s="1101" t="s">
        <v>489</v>
      </c>
      <c r="N11" s="1103" t="s">
        <v>103</v>
      </c>
      <c r="O11" s="704"/>
      <c r="P11">
        <f>'Agreement Worksheet'!$F$13</f>
        <v>2.25</v>
      </c>
    </row>
    <row r="12" spans="1:21" x14ac:dyDescent="0.25">
      <c r="A12" s="704"/>
      <c r="B12" s="1090">
        <v>1</v>
      </c>
      <c r="C12" s="1088">
        <v>16</v>
      </c>
      <c r="D12" s="1091"/>
      <c r="E12" s="1045"/>
      <c r="F12" s="1095"/>
      <c r="G12" s="1045"/>
      <c r="H12" s="1089" t="s">
        <v>489</v>
      </c>
      <c r="I12" s="1135" t="s">
        <v>671</v>
      </c>
      <c r="J12" s="1099">
        <v>2.25</v>
      </c>
      <c r="K12" s="1045" t="s">
        <v>671</v>
      </c>
      <c r="L12" s="1099">
        <v>30</v>
      </c>
      <c r="M12" s="1101" t="s">
        <v>489</v>
      </c>
      <c r="N12" s="1104" t="s">
        <v>102</v>
      </c>
      <c r="O12" s="704"/>
      <c r="P12" s="1074">
        <f>'Agreement Worksheet'!$C$13</f>
        <v>30</v>
      </c>
    </row>
    <row r="13" spans="1:21" ht="26.25" x14ac:dyDescent="0.25">
      <c r="A13" s="704"/>
      <c r="B13" s="1087">
        <v>1</v>
      </c>
      <c r="C13" s="1088">
        <v>17</v>
      </c>
      <c r="D13" s="1089"/>
      <c r="E13" s="1045"/>
      <c r="F13" s="1095"/>
      <c r="G13" s="1045"/>
      <c r="H13" s="1089" t="s">
        <v>489</v>
      </c>
      <c r="I13" s="1135" t="s">
        <v>671</v>
      </c>
      <c r="J13" s="1099">
        <v>2.25</v>
      </c>
      <c r="K13" s="1045" t="s">
        <v>671</v>
      </c>
      <c r="L13" s="1099">
        <v>30</v>
      </c>
      <c r="M13" s="1101" t="s">
        <v>489</v>
      </c>
      <c r="N13" s="1104" t="s">
        <v>101</v>
      </c>
      <c r="O13" s="704"/>
      <c r="P13" s="1074" t="str">
        <f>'Agreement Worksheet'!$D$13</f>
        <v>%</v>
      </c>
    </row>
    <row r="14" spans="1:21" x14ac:dyDescent="0.25">
      <c r="A14" s="704"/>
      <c r="B14" s="1087">
        <v>1</v>
      </c>
      <c r="C14" s="1088">
        <v>18</v>
      </c>
      <c r="D14" s="1092"/>
      <c r="E14" s="1045"/>
      <c r="F14" s="1095"/>
      <c r="G14" s="1083"/>
      <c r="H14" s="1089" t="s">
        <v>489</v>
      </c>
      <c r="I14" s="1135" t="s">
        <v>671</v>
      </c>
      <c r="J14" s="1099">
        <v>2.25</v>
      </c>
      <c r="K14" s="1045" t="s">
        <v>671</v>
      </c>
      <c r="L14" s="1099">
        <v>30</v>
      </c>
      <c r="M14" s="1101" t="s">
        <v>489</v>
      </c>
      <c r="N14" s="1104" t="s">
        <v>100</v>
      </c>
      <c r="O14" s="704"/>
    </row>
    <row r="15" spans="1:21" ht="26.25" x14ac:dyDescent="0.25">
      <c r="A15" s="704"/>
      <c r="B15" s="1087">
        <v>1</v>
      </c>
      <c r="C15" s="1088">
        <v>19</v>
      </c>
      <c r="D15" s="1092"/>
      <c r="E15" s="1045"/>
      <c r="F15" s="1095"/>
      <c r="G15" s="1083"/>
      <c r="H15" s="1089" t="s">
        <v>489</v>
      </c>
      <c r="I15" s="1135" t="s">
        <v>671</v>
      </c>
      <c r="J15" s="1099">
        <v>2.25</v>
      </c>
      <c r="K15" s="1045" t="s">
        <v>671</v>
      </c>
      <c r="L15" s="1099">
        <v>30</v>
      </c>
      <c r="M15" s="1101" t="s">
        <v>489</v>
      </c>
      <c r="N15" s="1104" t="s">
        <v>104</v>
      </c>
      <c r="O15" s="704"/>
    </row>
    <row r="16" spans="1:21" ht="26.25" x14ac:dyDescent="0.25">
      <c r="A16" s="704"/>
      <c r="B16" s="1087">
        <v>1</v>
      </c>
      <c r="C16" s="1088">
        <v>20</v>
      </c>
      <c r="D16" s="1092"/>
      <c r="E16" s="1045"/>
      <c r="F16" s="1095"/>
      <c r="G16" s="1083"/>
      <c r="H16" s="1089" t="s">
        <v>489</v>
      </c>
      <c r="I16" s="1135" t="s">
        <v>671</v>
      </c>
      <c r="J16" s="1099">
        <v>2.25</v>
      </c>
      <c r="K16" s="1045" t="s">
        <v>671</v>
      </c>
      <c r="L16" s="1099">
        <v>30</v>
      </c>
      <c r="M16" s="1101" t="s">
        <v>489</v>
      </c>
      <c r="N16" s="1104" t="s">
        <v>99</v>
      </c>
      <c r="O16" s="704"/>
    </row>
    <row r="17" spans="1:15" x14ac:dyDescent="0.25">
      <c r="A17" s="704"/>
      <c r="B17" s="1087">
        <v>1</v>
      </c>
      <c r="C17" s="1088">
        <v>21</v>
      </c>
      <c r="D17" s="1092"/>
      <c r="E17" s="1045"/>
      <c r="F17" s="1095"/>
      <c r="G17" s="1083"/>
      <c r="H17" s="1089" t="s">
        <v>489</v>
      </c>
      <c r="I17" s="1135" t="s">
        <v>671</v>
      </c>
      <c r="J17" s="1099">
        <v>2.25</v>
      </c>
      <c r="K17" s="1045" t="s">
        <v>671</v>
      </c>
      <c r="L17" s="1099">
        <v>30</v>
      </c>
      <c r="M17" s="1101" t="s">
        <v>489</v>
      </c>
      <c r="N17" s="1104" t="s">
        <v>98</v>
      </c>
      <c r="O17" s="704"/>
    </row>
    <row r="18" spans="1:15" x14ac:dyDescent="0.25">
      <c r="A18" s="704"/>
      <c r="B18" s="1087">
        <v>1</v>
      </c>
      <c r="C18" s="1088">
        <v>22</v>
      </c>
      <c r="D18" s="1092"/>
      <c r="E18" s="1045"/>
      <c r="F18" s="1095"/>
      <c r="G18" s="1083"/>
      <c r="H18" s="1089" t="s">
        <v>489</v>
      </c>
      <c r="I18" s="1135" t="s">
        <v>671</v>
      </c>
      <c r="J18" s="1099">
        <v>2.25</v>
      </c>
      <c r="K18" s="1045" t="s">
        <v>671</v>
      </c>
      <c r="L18" s="1099">
        <v>30</v>
      </c>
      <c r="M18" s="1101" t="s">
        <v>489</v>
      </c>
      <c r="N18" s="1104" t="s">
        <v>97</v>
      </c>
      <c r="O18" s="704"/>
    </row>
    <row r="19" spans="1:15" x14ac:dyDescent="0.25">
      <c r="A19" s="704"/>
      <c r="B19" s="1087">
        <v>1</v>
      </c>
      <c r="C19" s="1088">
        <v>23</v>
      </c>
      <c r="D19" s="1092"/>
      <c r="E19" s="1045"/>
      <c r="F19" s="1095"/>
      <c r="G19" s="1083"/>
      <c r="H19" s="1089" t="s">
        <v>489</v>
      </c>
      <c r="I19" s="1135" t="s">
        <v>671</v>
      </c>
      <c r="J19" s="1099">
        <v>2.25</v>
      </c>
      <c r="K19" s="1045" t="s">
        <v>671</v>
      </c>
      <c r="L19" s="1099">
        <v>30</v>
      </c>
      <c r="M19" s="1101" t="s">
        <v>489</v>
      </c>
      <c r="N19" s="1104" t="s">
        <v>96</v>
      </c>
      <c r="O19" s="704"/>
    </row>
    <row r="20" spans="1:15" x14ac:dyDescent="0.25">
      <c r="A20" s="704"/>
      <c r="B20" s="1087">
        <v>1</v>
      </c>
      <c r="C20" s="1088">
        <v>24</v>
      </c>
      <c r="D20" s="1092"/>
      <c r="E20" s="1045"/>
      <c r="F20" s="1095"/>
      <c r="G20" s="1083"/>
      <c r="H20" s="1089" t="s">
        <v>489</v>
      </c>
      <c r="I20" s="1135" t="s">
        <v>671</v>
      </c>
      <c r="J20" s="1099">
        <v>2.25</v>
      </c>
      <c r="K20" s="1045" t="s">
        <v>671</v>
      </c>
      <c r="L20" s="1099">
        <v>30</v>
      </c>
      <c r="M20" s="1101" t="s">
        <v>489</v>
      </c>
      <c r="N20" s="1104" t="s">
        <v>95</v>
      </c>
      <c r="O20" s="704"/>
    </row>
    <row r="21" spans="1:15" x14ac:dyDescent="0.25">
      <c r="A21" s="704"/>
      <c r="B21" s="1087">
        <v>1</v>
      </c>
      <c r="C21" s="1088">
        <v>25</v>
      </c>
      <c r="D21" s="1092"/>
      <c r="E21" s="1045" t="s">
        <v>1441</v>
      </c>
      <c r="F21" s="1095"/>
      <c r="G21" s="1083"/>
      <c r="H21" s="1089" t="s">
        <v>489</v>
      </c>
      <c r="I21" s="1135" t="s">
        <v>671</v>
      </c>
      <c r="J21" s="1099">
        <v>2.25</v>
      </c>
      <c r="K21" s="1045" t="s">
        <v>671</v>
      </c>
      <c r="L21" s="1099">
        <v>30</v>
      </c>
      <c r="M21" s="1101" t="s">
        <v>489</v>
      </c>
      <c r="N21" s="1104" t="s">
        <v>94</v>
      </c>
      <c r="O21" s="704"/>
    </row>
    <row r="22" spans="1:15" x14ac:dyDescent="0.25">
      <c r="A22" s="704"/>
      <c r="B22" s="1087">
        <v>1</v>
      </c>
      <c r="C22" s="1088">
        <v>26</v>
      </c>
      <c r="D22" s="1092"/>
      <c r="E22" s="1045"/>
      <c r="F22" s="1095"/>
      <c r="G22" s="1083"/>
      <c r="H22" s="1089" t="s">
        <v>489</v>
      </c>
      <c r="I22" s="1135" t="s">
        <v>671</v>
      </c>
      <c r="J22" s="1099">
        <v>2.25</v>
      </c>
      <c r="K22" s="1045" t="s">
        <v>671</v>
      </c>
      <c r="L22" s="1099">
        <v>30</v>
      </c>
      <c r="M22" s="1101" t="s">
        <v>489</v>
      </c>
      <c r="N22" s="1104" t="s">
        <v>93</v>
      </c>
      <c r="O22" s="704"/>
    </row>
    <row r="23" spans="1:15" x14ac:dyDescent="0.25">
      <c r="A23" s="704"/>
      <c r="B23" s="1087">
        <v>1</v>
      </c>
      <c r="C23" s="1088">
        <v>29</v>
      </c>
      <c r="D23" s="1092"/>
      <c r="E23" s="1045"/>
      <c r="F23" s="1095"/>
      <c r="G23" s="1083"/>
      <c r="H23" s="1089" t="s">
        <v>489</v>
      </c>
      <c r="I23" s="1135" t="s">
        <v>671</v>
      </c>
      <c r="J23" s="1099">
        <v>2.25</v>
      </c>
      <c r="K23" s="1045" t="s">
        <v>671</v>
      </c>
      <c r="L23" s="1099">
        <v>30</v>
      </c>
      <c r="M23" s="1101" t="s">
        <v>489</v>
      </c>
      <c r="N23" s="1104" t="s">
        <v>92</v>
      </c>
      <c r="O23" s="704"/>
    </row>
    <row r="24" spans="1:15" x14ac:dyDescent="0.25">
      <c r="A24" s="704"/>
      <c r="B24" s="1087">
        <v>1</v>
      </c>
      <c r="C24" s="1088">
        <v>30</v>
      </c>
      <c r="D24" s="1092"/>
      <c r="E24" s="1045"/>
      <c r="F24" s="1095"/>
      <c r="G24" s="1083"/>
      <c r="H24" s="1089" t="s">
        <v>489</v>
      </c>
      <c r="I24" s="1135" t="s">
        <v>671</v>
      </c>
      <c r="J24" s="1099">
        <v>2.25</v>
      </c>
      <c r="K24" s="1045" t="s">
        <v>671</v>
      </c>
      <c r="L24" s="1099">
        <v>30</v>
      </c>
      <c r="M24" s="1101" t="s">
        <v>489</v>
      </c>
      <c r="N24" s="1104" t="s">
        <v>91</v>
      </c>
      <c r="O24" s="704"/>
    </row>
    <row r="25" spans="1:15" x14ac:dyDescent="0.25">
      <c r="A25" s="704"/>
      <c r="B25" s="1087">
        <v>1</v>
      </c>
      <c r="C25" s="1088">
        <v>31</v>
      </c>
      <c r="D25" s="1092"/>
      <c r="E25" s="1045"/>
      <c r="F25" s="1095"/>
      <c r="G25" s="1083"/>
      <c r="H25" s="1089" t="s">
        <v>489</v>
      </c>
      <c r="I25" s="1135" t="s">
        <v>671</v>
      </c>
      <c r="J25" s="1099">
        <v>2.25</v>
      </c>
      <c r="K25" s="1045" t="s">
        <v>671</v>
      </c>
      <c r="L25" s="1099">
        <v>30</v>
      </c>
      <c r="M25" s="1101" t="s">
        <v>489</v>
      </c>
      <c r="N25" s="1104" t="s">
        <v>90</v>
      </c>
      <c r="O25" s="704"/>
    </row>
    <row r="26" spans="1:15" x14ac:dyDescent="0.25">
      <c r="A26" s="704"/>
      <c r="B26" s="1087">
        <v>1</v>
      </c>
      <c r="C26" s="1088">
        <v>32</v>
      </c>
      <c r="D26" s="1092"/>
      <c r="E26" s="1045"/>
      <c r="F26" s="1095"/>
      <c r="G26" s="1083"/>
      <c r="H26" s="1089" t="s">
        <v>489</v>
      </c>
      <c r="I26" s="1135" t="s">
        <v>671</v>
      </c>
      <c r="J26" s="1099">
        <v>2.25</v>
      </c>
      <c r="K26" s="1045" t="s">
        <v>671</v>
      </c>
      <c r="L26" s="1099">
        <v>30</v>
      </c>
      <c r="M26" s="1101" t="s">
        <v>489</v>
      </c>
      <c r="N26" s="1104" t="s">
        <v>89</v>
      </c>
      <c r="O26" s="704"/>
    </row>
    <row r="27" spans="1:15" x14ac:dyDescent="0.25">
      <c r="A27" s="704"/>
      <c r="B27" s="1087">
        <v>1</v>
      </c>
      <c r="C27" s="1088">
        <v>33</v>
      </c>
      <c r="D27" s="1092"/>
      <c r="E27" s="1045"/>
      <c r="F27" s="1095"/>
      <c r="G27" s="1083"/>
      <c r="H27" s="1089" t="s">
        <v>489</v>
      </c>
      <c r="I27" s="1135" t="s">
        <v>671</v>
      </c>
      <c r="J27" s="1099">
        <v>2.25</v>
      </c>
      <c r="K27" s="1045" t="s">
        <v>671</v>
      </c>
      <c r="L27" s="1099">
        <v>30</v>
      </c>
      <c r="M27" s="1101" t="s">
        <v>489</v>
      </c>
      <c r="N27" s="1104" t="s">
        <v>88</v>
      </c>
      <c r="O27" s="704"/>
    </row>
    <row r="28" spans="1:15" x14ac:dyDescent="0.25">
      <c r="A28" s="704"/>
      <c r="B28" s="1087">
        <v>1</v>
      </c>
      <c r="C28" s="1088">
        <v>34</v>
      </c>
      <c r="D28" s="1092"/>
      <c r="E28" s="1045"/>
      <c r="F28" s="1095"/>
      <c r="G28" s="1083"/>
      <c r="H28" s="1089" t="s">
        <v>489</v>
      </c>
      <c r="I28" s="1135" t="s">
        <v>671</v>
      </c>
      <c r="J28" s="1099">
        <v>2.25</v>
      </c>
      <c r="K28" s="1045" t="s">
        <v>671</v>
      </c>
      <c r="L28" s="1099">
        <v>30</v>
      </c>
      <c r="M28" s="1101" t="s">
        <v>489</v>
      </c>
      <c r="N28" s="1104" t="s">
        <v>87</v>
      </c>
      <c r="O28" s="704"/>
    </row>
    <row r="29" spans="1:15" x14ac:dyDescent="0.25">
      <c r="A29" s="704"/>
      <c r="B29" s="1087">
        <v>1</v>
      </c>
      <c r="C29" s="1088">
        <v>35</v>
      </c>
      <c r="D29" s="1092"/>
      <c r="E29" s="1045"/>
      <c r="F29" s="1095"/>
      <c r="G29" s="1083"/>
      <c r="H29" s="1089" t="s">
        <v>489</v>
      </c>
      <c r="I29" s="1135" t="s">
        <v>671</v>
      </c>
      <c r="J29" s="1099">
        <v>2.25</v>
      </c>
      <c r="K29" s="1045" t="s">
        <v>671</v>
      </c>
      <c r="L29" s="1099">
        <v>30</v>
      </c>
      <c r="M29" s="1101" t="s">
        <v>489</v>
      </c>
      <c r="N29" s="1104" t="s">
        <v>86</v>
      </c>
      <c r="O29" s="704"/>
    </row>
    <row r="30" spans="1:15" ht="15.75" thickBot="1" x14ac:dyDescent="0.3">
      <c r="A30" s="704"/>
      <c r="B30" s="1038">
        <v>1</v>
      </c>
      <c r="C30" s="1093">
        <v>37</v>
      </c>
      <c r="D30" s="1094"/>
      <c r="E30" s="1030"/>
      <c r="F30" s="1096"/>
      <c r="G30" s="1084"/>
      <c r="H30" s="1042" t="s">
        <v>489</v>
      </c>
      <c r="I30" s="1136" t="s">
        <v>671</v>
      </c>
      <c r="J30" s="1100">
        <v>2.25</v>
      </c>
      <c r="K30" s="1030" t="s">
        <v>671</v>
      </c>
      <c r="L30" s="1100">
        <v>30</v>
      </c>
      <c r="M30" s="1102" t="s">
        <v>489</v>
      </c>
      <c r="N30" s="1105" t="s">
        <v>105</v>
      </c>
      <c r="O30" s="704"/>
    </row>
    <row r="31" spans="1:15" ht="15.75" hidden="1" thickBot="1" x14ac:dyDescent="0.3">
      <c r="A31" s="704"/>
      <c r="B31" s="1076"/>
      <c r="C31" s="1076"/>
      <c r="D31" s="1076"/>
      <c r="E31" s="1076"/>
      <c r="F31" s="1076"/>
      <c r="G31" s="1076"/>
      <c r="H31" s="1076"/>
      <c r="I31" s="1076"/>
      <c r="J31" s="1076"/>
      <c r="K31" s="1076"/>
      <c r="L31" s="1076"/>
      <c r="M31" s="1076"/>
      <c r="N31" s="1076"/>
      <c r="O31" s="704"/>
    </row>
    <row r="32" spans="1:15" ht="15.75" hidden="1" thickBot="1" x14ac:dyDescent="0.3">
      <c r="A32" s="704"/>
      <c r="B32" s="1330" t="s">
        <v>1442</v>
      </c>
      <c r="C32" s="1331"/>
      <c r="D32" s="1331"/>
      <c r="E32" s="1331"/>
      <c r="F32" s="1331"/>
      <c r="G32" s="1331"/>
      <c r="H32" s="1331"/>
      <c r="I32" s="1331"/>
      <c r="J32" s="1331"/>
      <c r="K32" s="1331"/>
      <c r="L32" s="1331"/>
      <c r="M32" s="1331"/>
      <c r="N32" s="1332"/>
      <c r="O32" s="704"/>
    </row>
    <row r="33" spans="1:15" ht="15.75" hidden="1" thickBot="1" x14ac:dyDescent="0.3">
      <c r="A33" s="704"/>
      <c r="B33" s="1076"/>
      <c r="C33" s="1076"/>
      <c r="D33" s="1076"/>
      <c r="E33" s="1076"/>
      <c r="F33" s="1076"/>
      <c r="G33" s="1076"/>
      <c r="H33" s="1076"/>
      <c r="I33" s="1076"/>
      <c r="J33" s="1076"/>
      <c r="K33" s="1076"/>
      <c r="L33" s="1076"/>
      <c r="M33" s="1076"/>
      <c r="N33" s="1076"/>
      <c r="O33" s="704"/>
    </row>
    <row r="34" spans="1:15" ht="36.75" hidden="1" customHeight="1" x14ac:dyDescent="0.25">
      <c r="A34" s="704"/>
      <c r="B34" s="1085" t="s">
        <v>1415</v>
      </c>
      <c r="C34" s="1079" t="s">
        <v>1431</v>
      </c>
      <c r="D34" s="1079" t="s">
        <v>1432</v>
      </c>
      <c r="E34" s="1079" t="s">
        <v>1433</v>
      </c>
      <c r="F34" s="1086" t="s">
        <v>1434</v>
      </c>
      <c r="G34" s="1086" t="s">
        <v>1435</v>
      </c>
      <c r="H34" s="1079" t="s">
        <v>1395</v>
      </c>
      <c r="I34" s="1079" t="s">
        <v>1436</v>
      </c>
      <c r="J34" s="1079" t="s">
        <v>1437</v>
      </c>
      <c r="K34" s="1079" t="s">
        <v>1438</v>
      </c>
      <c r="L34" s="1079" t="s">
        <v>1439</v>
      </c>
      <c r="M34" s="1079" t="s">
        <v>1376</v>
      </c>
      <c r="N34" s="1080" t="s">
        <v>1440</v>
      </c>
      <c r="O34" s="704"/>
    </row>
    <row r="35" spans="1:15" hidden="1" x14ac:dyDescent="0.25">
      <c r="A35" s="704"/>
      <c r="B35" s="1090">
        <v>1</v>
      </c>
      <c r="C35" s="1088">
        <v>15</v>
      </c>
      <c r="D35" s="1089"/>
      <c r="E35" s="1045"/>
      <c r="F35" s="1095"/>
      <c r="G35" s="1045"/>
      <c r="H35" s="1089" t="s">
        <v>489</v>
      </c>
      <c r="I35" s="1045" t="s">
        <v>671</v>
      </c>
      <c r="J35" s="1089">
        <v>2.25</v>
      </c>
      <c r="K35" s="1045" t="s">
        <v>671</v>
      </c>
      <c r="L35" s="1089">
        <v>30</v>
      </c>
      <c r="M35" s="1089" t="s">
        <v>489</v>
      </c>
      <c r="N35" s="1111" t="s">
        <v>103</v>
      </c>
      <c r="O35" s="704"/>
    </row>
    <row r="36" spans="1:15" hidden="1" x14ac:dyDescent="0.25">
      <c r="A36" s="704"/>
      <c r="B36" s="1090">
        <v>1</v>
      </c>
      <c r="C36" s="1088">
        <v>15</v>
      </c>
      <c r="D36" s="1106">
        <v>131</v>
      </c>
      <c r="E36" s="1045"/>
      <c r="F36" s="1095"/>
      <c r="G36" s="1045"/>
      <c r="H36" s="1089" t="s">
        <v>489</v>
      </c>
      <c r="I36" s="1045" t="s">
        <v>671</v>
      </c>
      <c r="J36" s="1089">
        <v>2.25</v>
      </c>
      <c r="K36" s="1045" t="s">
        <v>671</v>
      </c>
      <c r="L36" s="1089">
        <v>30</v>
      </c>
      <c r="M36" s="1089" t="s">
        <v>489</v>
      </c>
      <c r="N36" s="1103" t="s">
        <v>1447</v>
      </c>
      <c r="O36" s="704"/>
    </row>
    <row r="37" spans="1:15" hidden="1" x14ac:dyDescent="0.25">
      <c r="A37" s="704"/>
      <c r="B37" s="1090">
        <v>1</v>
      </c>
      <c r="C37" s="1088">
        <v>15</v>
      </c>
      <c r="D37" s="1106">
        <v>254</v>
      </c>
      <c r="E37" s="1045"/>
      <c r="F37" s="1095"/>
      <c r="G37" s="1045"/>
      <c r="H37" s="1089" t="s">
        <v>489</v>
      </c>
      <c r="I37" s="1045" t="s">
        <v>671</v>
      </c>
      <c r="J37" s="1089">
        <v>2.25</v>
      </c>
      <c r="K37" s="1045" t="s">
        <v>671</v>
      </c>
      <c r="L37" s="1089">
        <v>30</v>
      </c>
      <c r="M37" s="1089" t="s">
        <v>489</v>
      </c>
      <c r="N37" s="1103" t="s">
        <v>1447</v>
      </c>
      <c r="O37" s="704"/>
    </row>
    <row r="38" spans="1:15" hidden="1" x14ac:dyDescent="0.25">
      <c r="A38" s="704"/>
      <c r="B38" s="1090">
        <v>1</v>
      </c>
      <c r="C38" s="1088">
        <v>15</v>
      </c>
      <c r="D38" s="1106">
        <v>373</v>
      </c>
      <c r="E38" s="1045"/>
      <c r="F38" s="1095"/>
      <c r="G38" s="1045"/>
      <c r="H38" s="1089" t="s">
        <v>489</v>
      </c>
      <c r="I38" s="1045" t="s">
        <v>671</v>
      </c>
      <c r="J38" s="1089">
        <v>2.25</v>
      </c>
      <c r="K38" s="1045" t="s">
        <v>671</v>
      </c>
      <c r="L38" s="1089">
        <v>30</v>
      </c>
      <c r="M38" s="1089" t="s">
        <v>489</v>
      </c>
      <c r="N38" s="1103" t="s">
        <v>1447</v>
      </c>
      <c r="O38" s="704"/>
    </row>
    <row r="39" spans="1:15" hidden="1" x14ac:dyDescent="0.25">
      <c r="A39" s="704"/>
      <c r="B39" s="1090">
        <v>1</v>
      </c>
      <c r="C39" s="1088">
        <v>15</v>
      </c>
      <c r="D39" s="1106">
        <v>132</v>
      </c>
      <c r="E39" s="1045"/>
      <c r="F39" s="1095"/>
      <c r="G39" s="1045"/>
      <c r="H39" s="1089" t="s">
        <v>489</v>
      </c>
      <c r="I39" s="1045" t="s">
        <v>671</v>
      </c>
      <c r="J39" s="1089">
        <v>2.25</v>
      </c>
      <c r="K39" s="1045" t="s">
        <v>671</v>
      </c>
      <c r="L39" s="1089">
        <v>30</v>
      </c>
      <c r="M39" s="1089" t="s">
        <v>489</v>
      </c>
      <c r="N39" s="1103" t="s">
        <v>1447</v>
      </c>
      <c r="O39" s="704"/>
    </row>
    <row r="40" spans="1:15" hidden="1" x14ac:dyDescent="0.25">
      <c r="A40" s="704"/>
      <c r="B40" s="1090">
        <v>1</v>
      </c>
      <c r="C40" s="1088">
        <v>15</v>
      </c>
      <c r="D40" s="1106">
        <v>368</v>
      </c>
      <c r="E40" s="1045"/>
      <c r="F40" s="1095"/>
      <c r="G40" s="1045"/>
      <c r="H40" s="1089" t="s">
        <v>489</v>
      </c>
      <c r="I40" s="1045" t="s">
        <v>671</v>
      </c>
      <c r="J40" s="1089">
        <v>2.25</v>
      </c>
      <c r="K40" s="1045" t="s">
        <v>671</v>
      </c>
      <c r="L40" s="1089">
        <v>30</v>
      </c>
      <c r="M40" s="1089" t="s">
        <v>489</v>
      </c>
      <c r="N40" s="1103" t="s">
        <v>1447</v>
      </c>
      <c r="O40" s="704"/>
    </row>
    <row r="41" spans="1:15" hidden="1" x14ac:dyDescent="0.25">
      <c r="A41" s="704"/>
      <c r="B41" s="1090">
        <v>1</v>
      </c>
      <c r="C41" s="1088">
        <v>15</v>
      </c>
      <c r="D41" s="1106">
        <v>369</v>
      </c>
      <c r="E41" s="1045"/>
      <c r="F41" s="1095"/>
      <c r="G41" s="1045"/>
      <c r="H41" s="1089" t="s">
        <v>489</v>
      </c>
      <c r="I41" s="1045" t="s">
        <v>671</v>
      </c>
      <c r="J41" s="1089">
        <v>2.25</v>
      </c>
      <c r="K41" s="1045" t="s">
        <v>671</v>
      </c>
      <c r="L41" s="1089">
        <v>30</v>
      </c>
      <c r="M41" s="1089" t="s">
        <v>489</v>
      </c>
      <c r="N41" s="1103" t="s">
        <v>1447</v>
      </c>
      <c r="O41" s="704"/>
    </row>
    <row r="42" spans="1:15" hidden="1" x14ac:dyDescent="0.25">
      <c r="A42" s="704"/>
      <c r="B42" s="1090">
        <v>1</v>
      </c>
      <c r="C42" s="1088">
        <v>15</v>
      </c>
      <c r="D42" s="1106">
        <v>384</v>
      </c>
      <c r="E42" s="1045"/>
      <c r="F42" s="1095"/>
      <c r="G42" s="1045"/>
      <c r="H42" s="1089" t="s">
        <v>489</v>
      </c>
      <c r="I42" s="1045" t="s">
        <v>671</v>
      </c>
      <c r="J42" s="1089">
        <v>2.25</v>
      </c>
      <c r="K42" s="1045" t="s">
        <v>671</v>
      </c>
      <c r="L42" s="1089">
        <v>30</v>
      </c>
      <c r="M42" s="1089" t="s">
        <v>489</v>
      </c>
      <c r="N42" s="1103" t="s">
        <v>1447</v>
      </c>
      <c r="O42" s="704"/>
    </row>
    <row r="43" spans="1:15" hidden="1" x14ac:dyDescent="0.25">
      <c r="A43" s="704"/>
      <c r="B43" s="1090">
        <v>1</v>
      </c>
      <c r="C43" s="1088">
        <v>15</v>
      </c>
      <c r="D43" s="1106">
        <v>381</v>
      </c>
      <c r="E43" s="1045"/>
      <c r="F43" s="1095"/>
      <c r="G43" s="1045"/>
      <c r="H43" s="1089" t="s">
        <v>489</v>
      </c>
      <c r="I43" s="1045" t="s">
        <v>671</v>
      </c>
      <c r="J43" s="1089">
        <v>2.25</v>
      </c>
      <c r="K43" s="1045" t="s">
        <v>671</v>
      </c>
      <c r="L43" s="1089">
        <v>30</v>
      </c>
      <c r="M43" s="1089" t="s">
        <v>489</v>
      </c>
      <c r="N43" s="1103" t="s">
        <v>1447</v>
      </c>
      <c r="O43" s="704"/>
    </row>
    <row r="44" spans="1:15" hidden="1" x14ac:dyDescent="0.25">
      <c r="A44" s="704"/>
      <c r="B44" s="1090">
        <v>1</v>
      </c>
      <c r="C44" s="1088">
        <v>15</v>
      </c>
      <c r="D44" s="1106">
        <v>377</v>
      </c>
      <c r="E44" s="1045"/>
      <c r="F44" s="1095"/>
      <c r="G44" s="1045"/>
      <c r="H44" s="1089" t="s">
        <v>489</v>
      </c>
      <c r="I44" s="1045" t="s">
        <v>671</v>
      </c>
      <c r="J44" s="1089">
        <v>2.25</v>
      </c>
      <c r="K44" s="1045" t="s">
        <v>671</v>
      </c>
      <c r="L44" s="1089">
        <v>30</v>
      </c>
      <c r="M44" s="1089" t="s">
        <v>489</v>
      </c>
      <c r="N44" s="1103" t="s">
        <v>1447</v>
      </c>
      <c r="O44" s="704"/>
    </row>
    <row r="45" spans="1:15" hidden="1" x14ac:dyDescent="0.25">
      <c r="A45" s="704"/>
      <c r="B45" s="1090">
        <v>1</v>
      </c>
      <c r="C45" s="1088">
        <v>15</v>
      </c>
      <c r="D45" s="1106">
        <v>388</v>
      </c>
      <c r="E45" s="1045"/>
      <c r="F45" s="1095"/>
      <c r="G45" s="1045"/>
      <c r="H45" s="1089" t="s">
        <v>489</v>
      </c>
      <c r="I45" s="1045" t="s">
        <v>671</v>
      </c>
      <c r="J45" s="1089">
        <v>2.25</v>
      </c>
      <c r="K45" s="1045" t="s">
        <v>671</v>
      </c>
      <c r="L45" s="1089">
        <v>30</v>
      </c>
      <c r="M45" s="1089" t="s">
        <v>489</v>
      </c>
      <c r="N45" s="1103" t="s">
        <v>1447</v>
      </c>
      <c r="O45" s="704"/>
    </row>
    <row r="46" spans="1:15" hidden="1" x14ac:dyDescent="0.25">
      <c r="A46" s="704"/>
      <c r="B46" s="1090">
        <v>1</v>
      </c>
      <c r="C46" s="1088">
        <v>16</v>
      </c>
      <c r="D46" s="1091"/>
      <c r="E46" s="1045"/>
      <c r="F46" s="1095"/>
      <c r="G46" s="1045"/>
      <c r="H46" s="1089" t="s">
        <v>489</v>
      </c>
      <c r="I46" s="1045" t="s">
        <v>671</v>
      </c>
      <c r="J46" s="1089">
        <v>2.25</v>
      </c>
      <c r="K46" s="1045" t="s">
        <v>671</v>
      </c>
      <c r="L46" s="1089">
        <v>30</v>
      </c>
      <c r="M46" s="1089" t="s">
        <v>489</v>
      </c>
      <c r="N46" s="1104" t="s">
        <v>102</v>
      </c>
      <c r="O46" s="704"/>
    </row>
    <row r="47" spans="1:15" ht="26.25" hidden="1" x14ac:dyDescent="0.25">
      <c r="A47" s="704"/>
      <c r="B47" s="1087">
        <v>1</v>
      </c>
      <c r="C47" s="1088">
        <v>17</v>
      </c>
      <c r="D47" s="1089"/>
      <c r="E47" s="1045"/>
      <c r="F47" s="1095"/>
      <c r="G47" s="1045"/>
      <c r="H47" s="1089" t="s">
        <v>489</v>
      </c>
      <c r="I47" s="1045" t="s">
        <v>671</v>
      </c>
      <c r="J47" s="1089">
        <v>2.25</v>
      </c>
      <c r="K47" s="1045" t="s">
        <v>671</v>
      </c>
      <c r="L47" s="1089">
        <v>30</v>
      </c>
      <c r="M47" s="1089" t="s">
        <v>489</v>
      </c>
      <c r="N47" s="1104" t="s">
        <v>101</v>
      </c>
      <c r="O47" s="704"/>
    </row>
    <row r="48" spans="1:15" hidden="1" x14ac:dyDescent="0.25">
      <c r="A48" s="704"/>
      <c r="B48" s="1087">
        <v>1</v>
      </c>
      <c r="C48" s="1088">
        <v>18</v>
      </c>
      <c r="D48" s="1092"/>
      <c r="E48" s="1045"/>
      <c r="F48" s="1095"/>
      <c r="G48" s="1083"/>
      <c r="H48" s="1089" t="s">
        <v>489</v>
      </c>
      <c r="I48" s="1045" t="s">
        <v>671</v>
      </c>
      <c r="J48" s="1089">
        <v>2.25</v>
      </c>
      <c r="K48" s="1045" t="s">
        <v>671</v>
      </c>
      <c r="L48" s="1089">
        <v>30</v>
      </c>
      <c r="M48" s="1089" t="s">
        <v>489</v>
      </c>
      <c r="N48" s="1104" t="s">
        <v>100</v>
      </c>
      <c r="O48" s="704"/>
    </row>
    <row r="49" spans="1:15" ht="26.25" hidden="1" x14ac:dyDescent="0.25">
      <c r="A49" s="704"/>
      <c r="B49" s="1087">
        <v>1</v>
      </c>
      <c r="C49" s="1088">
        <v>19</v>
      </c>
      <c r="D49" s="1092"/>
      <c r="E49" s="1045"/>
      <c r="F49" s="1095"/>
      <c r="G49" s="1083"/>
      <c r="H49" s="1089" t="s">
        <v>489</v>
      </c>
      <c r="I49" s="1045" t="s">
        <v>671</v>
      </c>
      <c r="J49" s="1089">
        <v>2.25</v>
      </c>
      <c r="K49" s="1045" t="s">
        <v>671</v>
      </c>
      <c r="L49" s="1089">
        <v>30</v>
      </c>
      <c r="M49" s="1089" t="s">
        <v>489</v>
      </c>
      <c r="N49" s="1104" t="s">
        <v>104</v>
      </c>
      <c r="O49" s="704"/>
    </row>
    <row r="50" spans="1:15" ht="26.25" hidden="1" x14ac:dyDescent="0.25">
      <c r="A50" s="704"/>
      <c r="B50" s="1087">
        <v>1</v>
      </c>
      <c r="C50" s="1088">
        <v>20</v>
      </c>
      <c r="D50" s="1092"/>
      <c r="E50" s="1045"/>
      <c r="F50" s="1095"/>
      <c r="G50" s="1083"/>
      <c r="H50" s="1089" t="s">
        <v>489</v>
      </c>
      <c r="I50" s="1045" t="s">
        <v>671</v>
      </c>
      <c r="J50" s="1089">
        <v>2.25</v>
      </c>
      <c r="K50" s="1045" t="s">
        <v>671</v>
      </c>
      <c r="L50" s="1089">
        <v>30</v>
      </c>
      <c r="M50" s="1089" t="s">
        <v>489</v>
      </c>
      <c r="N50" s="1104" t="s">
        <v>99</v>
      </c>
      <c r="O50" s="704"/>
    </row>
    <row r="51" spans="1:15" hidden="1" x14ac:dyDescent="0.25">
      <c r="A51" s="704"/>
      <c r="B51" s="1087">
        <v>1</v>
      </c>
      <c r="C51" s="1088">
        <v>21</v>
      </c>
      <c r="D51" s="1092"/>
      <c r="E51" s="1045"/>
      <c r="F51" s="1095"/>
      <c r="G51" s="1083"/>
      <c r="H51" s="1089" t="s">
        <v>489</v>
      </c>
      <c r="I51" s="1045" t="s">
        <v>671</v>
      </c>
      <c r="J51" s="1089">
        <v>2.25</v>
      </c>
      <c r="K51" s="1045" t="s">
        <v>671</v>
      </c>
      <c r="L51" s="1089">
        <v>30</v>
      </c>
      <c r="M51" s="1089" t="s">
        <v>489</v>
      </c>
      <c r="N51" s="1104" t="s">
        <v>98</v>
      </c>
      <c r="O51" s="704"/>
    </row>
    <row r="52" spans="1:15" hidden="1" x14ac:dyDescent="0.25">
      <c r="A52" s="704"/>
      <c r="B52" s="1087">
        <v>1</v>
      </c>
      <c r="C52" s="1088">
        <v>22</v>
      </c>
      <c r="D52" s="1092"/>
      <c r="E52" s="1045"/>
      <c r="F52" s="1095"/>
      <c r="G52" s="1083"/>
      <c r="H52" s="1089" t="s">
        <v>489</v>
      </c>
      <c r="I52" s="1045" t="s">
        <v>671</v>
      </c>
      <c r="J52" s="1089">
        <v>2.25</v>
      </c>
      <c r="K52" s="1045" t="s">
        <v>671</v>
      </c>
      <c r="L52" s="1089">
        <v>30</v>
      </c>
      <c r="M52" s="1089" t="s">
        <v>489</v>
      </c>
      <c r="N52" s="1104" t="s">
        <v>97</v>
      </c>
      <c r="O52" s="704"/>
    </row>
    <row r="53" spans="1:15" hidden="1" x14ac:dyDescent="0.25">
      <c r="A53" s="704"/>
      <c r="B53" s="1087">
        <v>1</v>
      </c>
      <c r="C53" s="1088">
        <v>23</v>
      </c>
      <c r="D53" s="1092"/>
      <c r="E53" s="1045"/>
      <c r="F53" s="1095"/>
      <c r="G53" s="1083"/>
      <c r="H53" s="1089" t="s">
        <v>489</v>
      </c>
      <c r="I53" s="1045" t="s">
        <v>671</v>
      </c>
      <c r="J53" s="1089">
        <v>2.25</v>
      </c>
      <c r="K53" s="1045" t="s">
        <v>671</v>
      </c>
      <c r="L53" s="1089">
        <v>30</v>
      </c>
      <c r="M53" s="1089" t="s">
        <v>489</v>
      </c>
      <c r="N53" s="1104" t="s">
        <v>96</v>
      </c>
      <c r="O53" s="704"/>
    </row>
    <row r="54" spans="1:15" hidden="1" x14ac:dyDescent="0.25">
      <c r="A54" s="704"/>
      <c r="B54" s="1087">
        <v>1</v>
      </c>
      <c r="C54" s="1088">
        <v>24</v>
      </c>
      <c r="D54" s="1092"/>
      <c r="E54" s="1045"/>
      <c r="F54" s="1095"/>
      <c r="G54" s="1083"/>
      <c r="H54" s="1089" t="s">
        <v>489</v>
      </c>
      <c r="I54" s="1045" t="s">
        <v>671</v>
      </c>
      <c r="J54" s="1089">
        <v>2.25</v>
      </c>
      <c r="K54" s="1045" t="s">
        <v>671</v>
      </c>
      <c r="L54" s="1089">
        <v>30</v>
      </c>
      <c r="M54" s="1089" t="s">
        <v>489</v>
      </c>
      <c r="N54" s="1104" t="s">
        <v>95</v>
      </c>
      <c r="O54" s="704"/>
    </row>
    <row r="55" spans="1:15" hidden="1" x14ac:dyDescent="0.25">
      <c r="A55" s="704"/>
      <c r="B55" s="1087">
        <v>1</v>
      </c>
      <c r="C55" s="1088">
        <v>25</v>
      </c>
      <c r="D55" s="1092"/>
      <c r="E55" s="1045" t="s">
        <v>1441</v>
      </c>
      <c r="F55" s="1095"/>
      <c r="G55" s="1083"/>
      <c r="H55" s="1089" t="s">
        <v>489</v>
      </c>
      <c r="I55" s="1045" t="s">
        <v>669</v>
      </c>
      <c r="J55" s="1112">
        <v>2.25</v>
      </c>
      <c r="K55" s="1045" t="s">
        <v>671</v>
      </c>
      <c r="L55" s="1089">
        <v>30</v>
      </c>
      <c r="M55" s="1089" t="s">
        <v>489</v>
      </c>
      <c r="N55" s="1104" t="s">
        <v>94</v>
      </c>
      <c r="O55" s="704"/>
    </row>
    <row r="56" spans="1:15" hidden="1" x14ac:dyDescent="0.25">
      <c r="A56" s="704"/>
      <c r="B56" s="1087">
        <v>1</v>
      </c>
      <c r="C56" s="1088">
        <v>26</v>
      </c>
      <c r="D56" s="1092"/>
      <c r="E56" s="1045"/>
      <c r="F56" s="1095"/>
      <c r="G56" s="1083"/>
      <c r="H56" s="1089" t="s">
        <v>489</v>
      </c>
      <c r="I56" s="1045" t="s">
        <v>671</v>
      </c>
      <c r="J56" s="1089">
        <v>2.25</v>
      </c>
      <c r="K56" s="1045" t="s">
        <v>671</v>
      </c>
      <c r="L56" s="1089">
        <v>30</v>
      </c>
      <c r="M56" s="1089" t="s">
        <v>489</v>
      </c>
      <c r="N56" s="1104" t="s">
        <v>93</v>
      </c>
      <c r="O56" s="704"/>
    </row>
    <row r="57" spans="1:15" hidden="1" x14ac:dyDescent="0.25">
      <c r="A57" s="704"/>
      <c r="B57" s="1087">
        <v>1</v>
      </c>
      <c r="C57" s="1088">
        <v>29</v>
      </c>
      <c r="D57" s="1092"/>
      <c r="E57" s="1045"/>
      <c r="F57" s="1095"/>
      <c r="G57" s="1083"/>
      <c r="H57" s="1089" t="s">
        <v>489</v>
      </c>
      <c r="I57" s="1045" t="s">
        <v>671</v>
      </c>
      <c r="J57" s="1089">
        <v>2.25</v>
      </c>
      <c r="K57" s="1045" t="s">
        <v>671</v>
      </c>
      <c r="L57" s="1089">
        <v>30</v>
      </c>
      <c r="M57" s="1089" t="s">
        <v>489</v>
      </c>
      <c r="N57" s="1104" t="s">
        <v>92</v>
      </c>
      <c r="O57" s="704"/>
    </row>
    <row r="58" spans="1:15" hidden="1" x14ac:dyDescent="0.25">
      <c r="A58" s="704"/>
      <c r="B58" s="1087">
        <v>1</v>
      </c>
      <c r="C58" s="1088">
        <v>30</v>
      </c>
      <c r="D58" s="1092"/>
      <c r="E58" s="1045"/>
      <c r="F58" s="1095"/>
      <c r="G58" s="1083"/>
      <c r="H58" s="1089" t="s">
        <v>489</v>
      </c>
      <c r="I58" s="1045" t="s">
        <v>671</v>
      </c>
      <c r="J58" s="1089">
        <v>2.25</v>
      </c>
      <c r="K58" s="1045" t="s">
        <v>671</v>
      </c>
      <c r="L58" s="1089">
        <v>30</v>
      </c>
      <c r="M58" s="1089" t="s">
        <v>489</v>
      </c>
      <c r="N58" s="1104" t="s">
        <v>91</v>
      </c>
      <c r="O58" s="704"/>
    </row>
    <row r="59" spans="1:15" hidden="1" x14ac:dyDescent="0.25">
      <c r="A59" s="704"/>
      <c r="B59" s="1087">
        <v>1</v>
      </c>
      <c r="C59" s="1088">
        <v>31</v>
      </c>
      <c r="D59" s="1092"/>
      <c r="E59" s="1045"/>
      <c r="F59" s="1095"/>
      <c r="G59" s="1083"/>
      <c r="H59" s="1089" t="s">
        <v>489</v>
      </c>
      <c r="I59" s="1045" t="s">
        <v>671</v>
      </c>
      <c r="J59" s="1089">
        <v>2.25</v>
      </c>
      <c r="K59" s="1045" t="s">
        <v>671</v>
      </c>
      <c r="L59" s="1089">
        <v>30</v>
      </c>
      <c r="M59" s="1089" t="s">
        <v>489</v>
      </c>
      <c r="N59" s="1104" t="s">
        <v>90</v>
      </c>
      <c r="O59" s="704"/>
    </row>
    <row r="60" spans="1:15" hidden="1" x14ac:dyDescent="0.25">
      <c r="A60" s="704"/>
      <c r="B60" s="1087">
        <v>1</v>
      </c>
      <c r="C60" s="1088">
        <v>32</v>
      </c>
      <c r="D60" s="1092"/>
      <c r="E60" s="1045"/>
      <c r="F60" s="1095"/>
      <c r="G60" s="1083"/>
      <c r="H60" s="1089" t="s">
        <v>489</v>
      </c>
      <c r="I60" s="1045" t="s">
        <v>671</v>
      </c>
      <c r="J60" s="1089">
        <v>2.25</v>
      </c>
      <c r="K60" s="1045" t="s">
        <v>671</v>
      </c>
      <c r="L60" s="1089">
        <v>30</v>
      </c>
      <c r="M60" s="1089" t="s">
        <v>489</v>
      </c>
      <c r="N60" s="1104" t="s">
        <v>89</v>
      </c>
      <c r="O60" s="704"/>
    </row>
    <row r="61" spans="1:15" hidden="1" x14ac:dyDescent="0.25">
      <c r="A61" s="704"/>
      <c r="B61" s="1087">
        <v>1</v>
      </c>
      <c r="C61" s="1088">
        <v>33</v>
      </c>
      <c r="D61" s="1092"/>
      <c r="E61" s="1045"/>
      <c r="F61" s="1095"/>
      <c r="G61" s="1083"/>
      <c r="H61" s="1089" t="s">
        <v>489</v>
      </c>
      <c r="I61" s="1045" t="s">
        <v>671</v>
      </c>
      <c r="J61" s="1089">
        <v>2.25</v>
      </c>
      <c r="K61" s="1045" t="s">
        <v>671</v>
      </c>
      <c r="L61" s="1089">
        <v>30</v>
      </c>
      <c r="M61" s="1089" t="s">
        <v>489</v>
      </c>
      <c r="N61" s="1104" t="s">
        <v>88</v>
      </c>
      <c r="O61" s="704"/>
    </row>
    <row r="62" spans="1:15" hidden="1" x14ac:dyDescent="0.25">
      <c r="A62" s="704"/>
      <c r="B62" s="1087">
        <v>1</v>
      </c>
      <c r="C62" s="1088">
        <v>34</v>
      </c>
      <c r="D62" s="1092"/>
      <c r="E62" s="1045"/>
      <c r="F62" s="1095"/>
      <c r="G62" s="1083"/>
      <c r="H62" s="1089" t="s">
        <v>489</v>
      </c>
      <c r="I62" s="1045" t="s">
        <v>671</v>
      </c>
      <c r="J62" s="1089">
        <v>2.25</v>
      </c>
      <c r="K62" s="1045" t="s">
        <v>671</v>
      </c>
      <c r="L62" s="1089">
        <v>30</v>
      </c>
      <c r="M62" s="1089" t="s">
        <v>489</v>
      </c>
      <c r="N62" s="1104" t="s">
        <v>87</v>
      </c>
      <c r="O62" s="704"/>
    </row>
    <row r="63" spans="1:15" hidden="1" x14ac:dyDescent="0.25">
      <c r="A63" s="704"/>
      <c r="B63" s="1087">
        <v>1</v>
      </c>
      <c r="C63" s="1088">
        <v>35</v>
      </c>
      <c r="D63" s="1092"/>
      <c r="E63" s="1045"/>
      <c r="F63" s="1095"/>
      <c r="G63" s="1083"/>
      <c r="H63" s="1089" t="s">
        <v>489</v>
      </c>
      <c r="I63" s="1045" t="s">
        <v>671</v>
      </c>
      <c r="J63" s="1089">
        <v>2.25</v>
      </c>
      <c r="K63" s="1045" t="s">
        <v>671</v>
      </c>
      <c r="L63" s="1089">
        <v>30</v>
      </c>
      <c r="M63" s="1089" t="s">
        <v>489</v>
      </c>
      <c r="N63" s="1104" t="s">
        <v>86</v>
      </c>
      <c r="O63" s="704"/>
    </row>
    <row r="64" spans="1:15" ht="15.75" hidden="1" thickBot="1" x14ac:dyDescent="0.3">
      <c r="A64" s="704"/>
      <c r="B64" s="1038">
        <v>1</v>
      </c>
      <c r="C64" s="1093">
        <v>37</v>
      </c>
      <c r="D64" s="1094"/>
      <c r="E64" s="1030"/>
      <c r="F64" s="1096"/>
      <c r="G64" s="1084"/>
      <c r="H64" s="1042" t="s">
        <v>489</v>
      </c>
      <c r="I64" s="1030" t="s">
        <v>671</v>
      </c>
      <c r="J64" s="1042">
        <v>2.25</v>
      </c>
      <c r="K64" s="1030" t="s">
        <v>671</v>
      </c>
      <c r="L64" s="1042">
        <v>30</v>
      </c>
      <c r="M64" s="1042" t="s">
        <v>489</v>
      </c>
      <c r="N64" s="1105" t="s">
        <v>105</v>
      </c>
      <c r="O64" s="704"/>
    </row>
    <row r="65" spans="1:15" hidden="1" x14ac:dyDescent="0.25">
      <c r="A65" s="704"/>
      <c r="B65" s="1076"/>
      <c r="C65" s="1076"/>
      <c r="D65" s="1076"/>
      <c r="E65" s="1076"/>
      <c r="F65" s="1076"/>
      <c r="G65" s="1076"/>
      <c r="H65" s="1076"/>
      <c r="I65" s="1076"/>
      <c r="J65" s="1076"/>
      <c r="K65" s="1076"/>
      <c r="L65" s="1076"/>
      <c r="M65" s="1076"/>
      <c r="N65" s="1076"/>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X14" workbookViewId="0">
      <selection activeCell="AA15" sqref="AA15"/>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6"/>
      <c r="K2" s="1336"/>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88" t="e">
        <f>VLOOKUP($J$4,'Market Geography'!$D:$G,4,FALSE)</f>
        <v>#N/A</v>
      </c>
      <c r="K3" s="1288"/>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88">
        <f>Welcome!$D$4</f>
        <v>0</v>
      </c>
      <c r="K4" s="1288"/>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7" t="e">
        <f>VLOOKUP($J$4,'Market Geography'!$D:$F,3,FALSE)</f>
        <v>#N/A</v>
      </c>
      <c r="K5" s="1337"/>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88" t="s">
        <v>134</v>
      </c>
      <c r="K6" s="1288"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88" t="str">
        <f>IF(Welcome!$D$8="MDA","C","N")</f>
        <v>N</v>
      </c>
      <c r="K7" s="1288"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3" t="s">
        <v>1003</v>
      </c>
      <c r="AE13" s="1334"/>
      <c r="AF13" s="1335"/>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IF(AND(SUMIF('Existing Customers'!$A:$A,'Variable Costs (Back)'!$AC15,'Existing Customers'!$Q:$Q)&gt;0,'Customer Inputs'!$U6&lt;&gt;"Prospect"),IF('Customer Inputs'!$V6&lt;&gt;"Yes","Existing","New"),"New")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IF(AND(SUMIF('Existing Customers'!$A:$A,'Variable Costs (Back)'!$AC16,'Existing Customers'!$Q:$Q)&gt;0,'Customer Inputs'!$U7&lt;&gt;"Prospect"),IF('Customer Inputs'!$V7&lt;&gt;"Yes","Existing","New"),"New")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IF(AND(SUMIF('Existing Customers'!$A:$A,'Variable Costs (Back)'!$AC17,'Existing Customers'!$Q:$Q)&gt;0,'Customer Inputs'!$U8&lt;&gt;"Prospect"),IF('Customer Inputs'!$V8&lt;&gt;"Yes","Existing","New"),"New")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IF(AND(SUMIF('Existing Customers'!$A:$A,'Variable Costs (Back)'!$AC18,'Existing Customers'!$Q:$Q)&gt;0,'Customer Inputs'!$U9&lt;&gt;"Prospect"),IF('Customer Inputs'!$V9&lt;&gt;"Yes","Existing","New"),"New")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IF(AND(SUMIF('Existing Customers'!$A:$A,'Variable Costs (Back)'!$AC19,'Existing Customers'!$Q:$Q)&gt;0,'Customer Inputs'!$U10&lt;&gt;"Prospect"),IF('Customer Inputs'!$V10&lt;&gt;"Yes","Existing","New"),"New")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IF(AND(SUMIF('Existing Customers'!$A:$A,'Variable Costs (Back)'!$AC20,'Existing Customers'!$Q:$Q)&gt;0,'Customer Inputs'!$U11&lt;&gt;"Prospect"),IF('Customer Inputs'!$V11&lt;&gt;"Yes","Existing","New"),"New")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IF(AND(SUMIF('Existing Customers'!$A:$A,'Variable Costs (Back)'!$AC21,'Existing Customers'!$Q:$Q)&gt;0,'Customer Inputs'!$U12&lt;&gt;"Prospect"),IF('Customer Inputs'!$V12&lt;&gt;"Yes","Existing","New"),"New")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IF(AND(SUMIF('Existing Customers'!$A:$A,'Variable Costs (Back)'!$AC22,'Existing Customers'!$Q:$Q)&gt;0,'Customer Inputs'!$U13&lt;&gt;"Prospect"),IF('Customer Inputs'!$V13&lt;&gt;"Yes","Existing","New"),"New")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IF(AND(SUMIF('Existing Customers'!$A:$A,'Variable Costs (Back)'!$AC23,'Existing Customers'!$Q:$Q)&gt;0,'Customer Inputs'!$U14&lt;&gt;"Prospect"),IF('Customer Inputs'!$V14&lt;&gt;"Yes","Existing","New"),"New")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IF(AND(SUMIF('Existing Customers'!$A:$A,'Variable Costs (Back)'!$AC24,'Existing Customers'!$Q:$Q)&gt;0,'Customer Inputs'!$U15&lt;&gt;"Prospect"),IF('Customer Inputs'!$V15&lt;&gt;"Yes","Existing","New"),"New")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39" t="s">
        <v>1048</v>
      </c>
      <c r="F1" s="1340"/>
      <c r="G1" s="1340"/>
      <c r="H1" s="1340"/>
      <c r="I1" s="1340"/>
      <c r="J1" s="1341"/>
      <c r="L1" s="1339" t="s">
        <v>1047</v>
      </c>
      <c r="M1" s="1341"/>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str">
        <f>'Multi-Customer'!$AH$39</f>
        <v>Enter Customer(s)</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str">
        <f>'Multi-Customer'!$AH$39</f>
        <v>Enter Customer(s)</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str">
        <f>IF($B$4="Multiple Menu Types",B6&amp;B5,B6&amp;B4)</f>
        <v>Q1Enter Customer(s)</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39" t="s">
        <v>1049</v>
      </c>
      <c r="F20" s="1340"/>
      <c r="G20" s="1341"/>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8" t="s">
        <v>113</v>
      </c>
      <c r="M22" s="1338"/>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39" t="s">
        <v>1047</v>
      </c>
      <c r="M23" s="1341"/>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8" t="s">
        <v>1050</v>
      </c>
      <c r="F28" s="1338"/>
      <c r="G28" s="1338"/>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0">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0">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0">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0">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0">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0">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0">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0">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0">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V1" zoomScale="90" zoomScaleNormal="90" workbookViewId="0">
      <selection activeCell="BI14" sqref="BI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49" customWidth="1"/>
    <col min="9" max="11" width="9.140625" style="1149"/>
    <col min="12" max="12" width="12.85546875" style="1149" customWidth="1"/>
    <col min="13" max="13" width="17.42578125" style="1149" customWidth="1"/>
    <col min="14" max="14" width="11.7109375" style="11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49" customWidth="1"/>
    <col min="60" max="60" width="11.85546875" style="1149" customWidth="1"/>
    <col min="61" max="62" width="11.140625" style="1149" customWidth="1"/>
    <col min="63" max="63" width="11.28515625" style="1149" customWidth="1"/>
    <col min="64" max="64" width="12.140625" style="1149" customWidth="1"/>
    <col min="65" max="65" width="10.28515625" style="1149" customWidth="1"/>
    <col min="66" max="68" width="8.5703125" style="1149" customWidth="1"/>
    <col min="69" max="69" width="10.28515625" style="1149" customWidth="1"/>
    <col min="70" max="70" width="10.85546875" style="1149" customWidth="1"/>
    <col min="71" max="71" width="10.7109375" style="1149" customWidth="1"/>
    <col min="74" max="74" width="28.28515625" bestFit="1" customWidth="1"/>
    <col min="75" max="75" width="17.5703125" bestFit="1" customWidth="1"/>
    <col min="77" max="77" width="12.140625" customWidth="1"/>
    <col min="78" max="78" width="11.7109375" customWidth="1"/>
    <col min="81" max="83" width="9.140625" style="1149"/>
    <col min="84" max="84" width="11.85546875" style="1149" customWidth="1"/>
    <col min="85" max="85" width="11.7109375" style="1149" customWidth="1"/>
    <col min="86" max="86" width="10.140625" style="1149" customWidth="1"/>
    <col min="87" max="87" width="9.85546875" style="1149" customWidth="1"/>
    <col min="88" max="90" width="9.140625" style="1149"/>
    <col min="91" max="91" width="10.28515625" style="1149" customWidth="1"/>
    <col min="92" max="92" width="10.140625" style="1149" customWidth="1"/>
    <col min="93" max="93" width="10" style="1149" customWidth="1"/>
    <col min="96" max="96" width="28.28515625" bestFit="1" customWidth="1"/>
    <col min="97" max="97" width="17.5703125" bestFit="1" customWidth="1"/>
    <col min="99" max="99" width="11.140625" customWidth="1"/>
    <col min="100" max="100" width="10.42578125" customWidth="1"/>
    <col min="103" max="106" width="9.140625" style="1149"/>
    <col min="107" max="107" width="11" style="1149" customWidth="1"/>
    <col min="108" max="108" width="9" style="1149" customWidth="1"/>
    <col min="109" max="109" width="9.42578125" style="1149" customWidth="1"/>
    <col min="110" max="112" width="9.140625" style="1149"/>
    <col min="113" max="113" width="9.28515625" style="1149" customWidth="1"/>
    <col min="114" max="114" width="10.5703125" style="1149" customWidth="1"/>
    <col min="115" max="115" width="9.42578125" style="1149" customWidth="1"/>
    <col min="118" max="118" width="28.28515625" bestFit="1" customWidth="1"/>
    <col min="119" max="119" width="17.5703125" bestFit="1" customWidth="1"/>
    <col min="121" max="121" width="11.7109375" customWidth="1"/>
    <col min="122" max="122" width="10.28515625" customWidth="1"/>
    <col min="125" max="127" width="9.140625" style="1149"/>
    <col min="128" max="128" width="10.140625" style="1149" customWidth="1"/>
    <col min="129" max="129" width="10.7109375" style="1149" customWidth="1"/>
    <col min="130" max="130" width="10" style="1149" customWidth="1"/>
    <col min="131" max="131" width="10.140625" style="1149" customWidth="1"/>
    <col min="132" max="134" width="9.140625" style="1149"/>
    <col min="135" max="135" width="10" style="1149" customWidth="1"/>
    <col min="136" max="137" width="9.140625" style="1149"/>
    <col min="140" max="140" width="28.28515625" bestFit="1" customWidth="1"/>
    <col min="141" max="141" width="17.5703125" bestFit="1" customWidth="1"/>
    <col min="143" max="143" width="10.140625" customWidth="1"/>
    <col min="144" max="144" width="10.28515625" customWidth="1"/>
    <col min="147" max="150" width="9.140625" style="1149"/>
    <col min="151" max="151" width="11.7109375" style="1149" customWidth="1"/>
    <col min="152" max="159" width="9.140625" style="1149"/>
    <col min="162" max="162" width="28.28515625" bestFit="1" customWidth="1"/>
    <col min="163" max="163" width="17.5703125" bestFit="1" customWidth="1"/>
    <col min="165" max="165" width="10.140625" customWidth="1"/>
    <col min="169" max="171" width="9.140625" style="1149"/>
    <col min="172" max="172" width="10.7109375" style="1149" customWidth="1"/>
    <col min="173" max="173" width="11.5703125" style="1149" customWidth="1"/>
    <col min="174" max="181" width="9.140625" style="1149"/>
    <col min="184" max="184" width="28.28515625" bestFit="1" customWidth="1"/>
    <col min="185" max="185" width="17.5703125" bestFit="1" customWidth="1"/>
    <col min="187" max="187" width="10.140625" customWidth="1"/>
    <col min="188" max="188" width="10.85546875" customWidth="1"/>
    <col min="191" max="194" width="9.140625" style="1149"/>
    <col min="195" max="195" width="11.5703125" style="1149" customWidth="1"/>
    <col min="196" max="203" width="9.140625" style="1149"/>
    <col min="206" max="206" width="28.28515625" bestFit="1" customWidth="1"/>
    <col min="207" max="207" width="17.5703125" bestFit="1" customWidth="1"/>
    <col min="209" max="209" width="11.5703125" customWidth="1"/>
    <col min="210" max="210" width="10.42578125" customWidth="1"/>
    <col min="213" max="216" width="9.140625" style="1149"/>
    <col min="217" max="217" width="11.42578125" style="1149" customWidth="1"/>
    <col min="218" max="225" width="9.140625" style="1149"/>
    <col min="228" max="228" width="28.28515625" bestFit="1" customWidth="1"/>
    <col min="229" max="229" width="17.5703125" bestFit="1" customWidth="1"/>
    <col min="231" max="232" width="10.42578125" customWidth="1"/>
    <col min="235" max="238" width="9.140625" style="1149"/>
    <col min="239" max="239" width="11.42578125" style="1149" customWidth="1"/>
    <col min="240" max="247" width="9.140625" style="1149"/>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49" customWidth="1"/>
    <col min="258" max="258" width="9.42578125" style="1149" customWidth="1"/>
    <col min="259" max="260" width="7.7109375" style="1149" customWidth="1"/>
    <col min="261" max="261" width="12.5703125" style="1149" customWidth="1"/>
    <col min="262" max="262" width="10.85546875" style="1149" customWidth="1"/>
    <col min="263" max="263" width="10.42578125" style="1149" customWidth="1"/>
    <col min="264" max="266" width="7.7109375" style="1149" customWidth="1"/>
    <col min="267" max="267" width="8.5703125" style="1149" customWidth="1"/>
    <col min="268" max="268" width="9.28515625" style="1149" customWidth="1"/>
    <col min="269" max="269" width="11" style="1149"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2" t="s">
        <v>857</v>
      </c>
      <c r="U1" s="1342"/>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2" t="s">
        <v>858</v>
      </c>
      <c r="U5" s="1342"/>
      <c r="V5">
        <f>COUNT(BA1,BW1,CS1,DO1,EK1,FG1,GC1,GY1,HU1,IQ1)</f>
        <v>10</v>
      </c>
      <c r="AZ5" s="85" t="s">
        <v>958</v>
      </c>
      <c r="BA5">
        <f>IFERROR(VLOOKUP(BA$1,'Existing Customers'!$A:$AD,30,FALSE),BA6)</f>
        <v>0</v>
      </c>
      <c r="BV5" s="85" t="s">
        <v>958</v>
      </c>
      <c r="BW5">
        <f>IFERROR(VLOOKUP(BW$1,'Existing Customers'!$A:$AD,30,FALSE),BW6)</f>
        <v>0</v>
      </c>
      <c r="CR5" s="85" t="s">
        <v>958</v>
      </c>
      <c r="CS5">
        <f>IFERROR(VLOOKUP(CS$1,'Existing Customers'!$A:$AD,30,FALSE),CS6)</f>
        <v>0</v>
      </c>
      <c r="DN5" s="85" t="s">
        <v>958</v>
      </c>
      <c r="DO5">
        <f>IFERROR(VLOOKUP(DO$1,'Existing Customers'!$A:$AD,30,FALSE),DO6)</f>
        <v>0</v>
      </c>
      <c r="EJ5" s="85" t="s">
        <v>958</v>
      </c>
      <c r="EK5">
        <f>IFERROR(VLOOKUP(EK$1,'Existing Customers'!$A:$AD,30,FALSE),EK6)</f>
        <v>0</v>
      </c>
      <c r="FF5" s="85" t="s">
        <v>958</v>
      </c>
      <c r="FG5">
        <f>IFERROR(VLOOKUP(FG$1,'Existing Customers'!$A:$AD,30,FALSE),FG6)</f>
        <v>0</v>
      </c>
      <c r="GB5" s="85" t="s">
        <v>958</v>
      </c>
      <c r="GC5">
        <f>IFERROR(VLOOKUP(GC$1,'Existing Customers'!$A:$AD,30,FALSE),GC6)</f>
        <v>0</v>
      </c>
      <c r="GX5" s="85" t="s">
        <v>958</v>
      </c>
      <c r="GY5">
        <f>IFERROR(VLOOKUP(GY$1,'Existing Customers'!$A:$AD,30,FALSE),GY6)</f>
        <v>0</v>
      </c>
      <c r="HT5" s="85" t="s">
        <v>958</v>
      </c>
      <c r="HU5">
        <f>IFERROR(VLOOKUP(HU$1,'Existing Customers'!$A:$AD,30,FALSE),HU6)</f>
        <v>0</v>
      </c>
      <c r="IP5" s="85" t="s">
        <v>958</v>
      </c>
      <c r="IQ5">
        <f>IFERROR(VLOOKUP(IQ$1,'Existing Customers'!$A:$AD,30,FALSE),IQ6)</f>
        <v>0</v>
      </c>
    </row>
    <row r="6" spans="2:286" x14ac:dyDescent="0.25">
      <c r="T6" s="1342"/>
      <c r="U6" s="1342"/>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49" customFormat="1" x14ac:dyDescent="0.25">
      <c r="AZ9" s="1151" t="s">
        <v>550</v>
      </c>
      <c r="BA9" s="395">
        <f>IFERROR($BG$35/$BA$35,0)</f>
        <v>0</v>
      </c>
      <c r="BV9" s="1151" t="s">
        <v>550</v>
      </c>
      <c r="BW9" s="395">
        <f>IFERROR($CC$35/$BW$35,0)</f>
        <v>0</v>
      </c>
      <c r="CR9" s="1151" t="s">
        <v>550</v>
      </c>
      <c r="CS9" s="395">
        <f>IFERROR($CY$35/$CS$35,0)</f>
        <v>0</v>
      </c>
      <c r="DN9" s="1151" t="s">
        <v>550</v>
      </c>
      <c r="DO9" s="395">
        <f>IFERROR($DU$35/$DO$35,0)</f>
        <v>0</v>
      </c>
      <c r="EJ9" s="1151" t="s">
        <v>550</v>
      </c>
      <c r="EK9" s="395">
        <f>IFERROR($EQ$35/$EK$35,0)</f>
        <v>0</v>
      </c>
      <c r="FF9" s="1151" t="s">
        <v>550</v>
      </c>
      <c r="FG9" s="395">
        <f>IFERROR($FM$35/$FG$35,0)</f>
        <v>0</v>
      </c>
      <c r="GB9" s="1151" t="s">
        <v>550</v>
      </c>
      <c r="GC9" s="395">
        <f>IFERROR($GI$35/$GC$35,0)</f>
        <v>0</v>
      </c>
      <c r="GX9" s="1151" t="s">
        <v>550</v>
      </c>
      <c r="GY9" s="395">
        <f>IFERROR($HE$35/$GY$35,0)</f>
        <v>0</v>
      </c>
      <c r="HT9" s="1151" t="s">
        <v>550</v>
      </c>
      <c r="HU9" s="395">
        <f>IFERROR($IA$35/$HU$35,0)</f>
        <v>0</v>
      </c>
      <c r="IP9" s="1151" t="s">
        <v>550</v>
      </c>
      <c r="IQ9" s="395">
        <f>IFERROR($IW$35/$IQ$35,0)</f>
        <v>0</v>
      </c>
    </row>
    <row r="10" spans="2:286" s="1149" customFormat="1" x14ac:dyDescent="0.25">
      <c r="AZ10" s="1151" t="s">
        <v>1483</v>
      </c>
      <c r="BA10" s="395">
        <f>IFERROR($BH$35/$BA$35,0)</f>
        <v>0</v>
      </c>
      <c r="BV10" s="1151" t="s">
        <v>1483</v>
      </c>
      <c r="BW10" s="395">
        <f>IFERROR($CD$35/$BW$35,0)</f>
        <v>0</v>
      </c>
      <c r="CR10" s="1151" t="s">
        <v>1483</v>
      </c>
      <c r="CS10" s="395">
        <f>IFERROR($CZ$35/$CS$35,0)</f>
        <v>0</v>
      </c>
      <c r="DN10" s="1151" t="s">
        <v>1483</v>
      </c>
      <c r="DO10" s="395">
        <f>IFERROR($DV$35/$DO$35,0)</f>
        <v>0</v>
      </c>
      <c r="EJ10" s="1151" t="s">
        <v>1483</v>
      </c>
      <c r="EK10" s="395">
        <f>IFERROR($ER$35/$EK$35,0)</f>
        <v>0</v>
      </c>
      <c r="FF10" s="1151" t="s">
        <v>1483</v>
      </c>
      <c r="FG10" s="395">
        <f>IFERROR($FN$35/$FG$35,0)</f>
        <v>0</v>
      </c>
      <c r="GB10" s="1151" t="s">
        <v>1483</v>
      </c>
      <c r="GC10" s="395">
        <f>IFERROR($GJ$35/$GC$35,0)</f>
        <v>0</v>
      </c>
      <c r="GX10" s="1151" t="s">
        <v>1483</v>
      </c>
      <c r="GY10" s="395">
        <f>IFERROR($HF$35/$GY$35,0)</f>
        <v>0</v>
      </c>
      <c r="HT10" s="1151" t="s">
        <v>1483</v>
      </c>
      <c r="HU10" s="395">
        <f>IFERROR($IB$35/$HU$35,0)</f>
        <v>0</v>
      </c>
      <c r="IP10" s="1151" t="s">
        <v>1483</v>
      </c>
      <c r="IQ10" s="395">
        <f>IFERROR($IX$35/$IQ$35,0)</f>
        <v>0</v>
      </c>
    </row>
    <row r="11" spans="2:286" ht="15.75" thickBot="1" x14ac:dyDescent="0.3">
      <c r="S11" s="85" t="s">
        <v>842</v>
      </c>
      <c r="U11" t="s">
        <v>974</v>
      </c>
      <c r="V11" s="24">
        <f>IFERROR(V35/U35,0)</f>
        <v>0</v>
      </c>
      <c r="AC11" t="s">
        <v>977</v>
      </c>
      <c r="AH11" t="s">
        <v>1031</v>
      </c>
      <c r="AU11" s="1343"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3"/>
      <c r="AZ12" s="85"/>
      <c r="BA12" s="1166"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6"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3"/>
      <c r="AV13" s="394"/>
      <c r="AW13" s="394"/>
      <c r="AX13" s="394"/>
      <c r="AY13" s="64" t="s">
        <v>930</v>
      </c>
      <c r="AZ13" s="90" t="s">
        <v>108</v>
      </c>
      <c r="BA13" s="91" t="s">
        <v>82</v>
      </c>
      <c r="BB13" s="92" t="s">
        <v>83</v>
      </c>
      <c r="BC13" s="92" t="s">
        <v>404</v>
      </c>
      <c r="BD13" s="92" t="s">
        <v>508</v>
      </c>
      <c r="BE13" s="401" t="s">
        <v>405</v>
      </c>
      <c r="BF13" s="93" t="s">
        <v>200</v>
      </c>
      <c r="BG13" s="93" t="s">
        <v>961</v>
      </c>
      <c r="BH13" s="1162" t="s">
        <v>1475</v>
      </c>
      <c r="BI13" s="93" t="s">
        <v>1476</v>
      </c>
      <c r="BJ13" s="93" t="s">
        <v>1477</v>
      </c>
      <c r="BK13" s="93" t="s">
        <v>1478</v>
      </c>
      <c r="BL13" s="93" t="s">
        <v>1479</v>
      </c>
      <c r="BM13" s="1167" t="s">
        <v>1480</v>
      </c>
      <c r="BN13" s="1167" t="s">
        <v>218</v>
      </c>
      <c r="BO13" s="93" t="s">
        <v>1471</v>
      </c>
      <c r="BP13" s="93" t="s">
        <v>203</v>
      </c>
      <c r="BQ13" s="1167" t="s">
        <v>1481</v>
      </c>
      <c r="BR13" s="1167" t="s">
        <v>1482</v>
      </c>
      <c r="BS13" s="1167" t="s">
        <v>1474</v>
      </c>
      <c r="BT13" s="394"/>
      <c r="BU13" s="64" t="s">
        <v>930</v>
      </c>
      <c r="BV13" s="90" t="s">
        <v>108</v>
      </c>
      <c r="BW13" s="91" t="s">
        <v>82</v>
      </c>
      <c r="BX13" s="92" t="s">
        <v>83</v>
      </c>
      <c r="BY13" s="92" t="s">
        <v>404</v>
      </c>
      <c r="BZ13" s="92" t="s">
        <v>508</v>
      </c>
      <c r="CA13" s="93" t="s">
        <v>405</v>
      </c>
      <c r="CB13" s="93" t="s">
        <v>200</v>
      </c>
      <c r="CC13" s="93" t="s">
        <v>961</v>
      </c>
      <c r="CD13" s="1162" t="s">
        <v>1475</v>
      </c>
      <c r="CE13" s="93" t="s">
        <v>1476</v>
      </c>
      <c r="CF13" s="93" t="s">
        <v>1477</v>
      </c>
      <c r="CG13" s="93" t="s">
        <v>1478</v>
      </c>
      <c r="CH13" s="1167" t="s">
        <v>1479</v>
      </c>
      <c r="CI13" s="1167" t="s">
        <v>1480</v>
      </c>
      <c r="CJ13" s="93" t="s">
        <v>218</v>
      </c>
      <c r="CK13" s="93" t="s">
        <v>1471</v>
      </c>
      <c r="CL13" s="93" t="s">
        <v>203</v>
      </c>
      <c r="CM13" s="1167" t="s">
        <v>1481</v>
      </c>
      <c r="CN13" s="1167" t="s">
        <v>1482</v>
      </c>
      <c r="CO13" s="1167"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7" t="s">
        <v>1479</v>
      </c>
      <c r="DE13" s="1167" t="s">
        <v>1480</v>
      </c>
      <c r="DF13" s="93" t="s">
        <v>218</v>
      </c>
      <c r="DG13" s="93" t="s">
        <v>1471</v>
      </c>
      <c r="DH13" s="93" t="s">
        <v>203</v>
      </c>
      <c r="DI13" s="1167" t="s">
        <v>1481</v>
      </c>
      <c r="DJ13" s="1167" t="s">
        <v>1482</v>
      </c>
      <c r="DK13" s="1167"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7" t="s">
        <v>1479</v>
      </c>
      <c r="EA13" s="1167" t="s">
        <v>1480</v>
      </c>
      <c r="EB13" s="93" t="s">
        <v>218</v>
      </c>
      <c r="EC13" s="93" t="s">
        <v>1471</v>
      </c>
      <c r="ED13" s="93" t="s">
        <v>203</v>
      </c>
      <c r="EE13" s="1167" t="s">
        <v>1481</v>
      </c>
      <c r="EF13" s="1167" t="s">
        <v>1482</v>
      </c>
      <c r="EG13" s="1167"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7" t="s">
        <v>1479</v>
      </c>
      <c r="EW13" s="1167" t="s">
        <v>1480</v>
      </c>
      <c r="EX13" s="93" t="s">
        <v>218</v>
      </c>
      <c r="EY13" s="93" t="s">
        <v>1471</v>
      </c>
      <c r="EZ13" s="93" t="s">
        <v>203</v>
      </c>
      <c r="FA13" s="1167" t="s">
        <v>1481</v>
      </c>
      <c r="FB13" s="1167" t="s">
        <v>1482</v>
      </c>
      <c r="FC13" s="1167"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7" t="s">
        <v>1479</v>
      </c>
      <c r="FS13" s="1167" t="s">
        <v>1480</v>
      </c>
      <c r="FT13" s="93" t="s">
        <v>218</v>
      </c>
      <c r="FU13" s="93" t="s">
        <v>1471</v>
      </c>
      <c r="FV13" s="93" t="s">
        <v>203</v>
      </c>
      <c r="FW13" s="1167" t="s">
        <v>1481</v>
      </c>
      <c r="FX13" s="1167" t="s">
        <v>1482</v>
      </c>
      <c r="FY13" s="1167"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7" t="s">
        <v>1479</v>
      </c>
      <c r="GO13" s="1167" t="s">
        <v>1480</v>
      </c>
      <c r="GP13" s="93" t="s">
        <v>218</v>
      </c>
      <c r="GQ13" s="93" t="s">
        <v>1471</v>
      </c>
      <c r="GR13" s="93" t="s">
        <v>203</v>
      </c>
      <c r="GS13" s="1167" t="s">
        <v>1481</v>
      </c>
      <c r="GT13" s="1167" t="s">
        <v>1482</v>
      </c>
      <c r="GU13" s="1167"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7" t="s">
        <v>1479</v>
      </c>
      <c r="HK13" s="1167" t="s">
        <v>1480</v>
      </c>
      <c r="HL13" s="93" t="s">
        <v>218</v>
      </c>
      <c r="HM13" s="93" t="s">
        <v>1471</v>
      </c>
      <c r="HN13" s="93" t="s">
        <v>203</v>
      </c>
      <c r="HO13" s="1167" t="s">
        <v>1481</v>
      </c>
      <c r="HP13" s="1167" t="s">
        <v>1482</v>
      </c>
      <c r="HQ13" s="1167"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7" t="s">
        <v>1479</v>
      </c>
      <c r="IG13" s="1167" t="s">
        <v>1480</v>
      </c>
      <c r="IH13" s="93" t="s">
        <v>218</v>
      </c>
      <c r="II13" s="93" t="s">
        <v>1471</v>
      </c>
      <c r="IJ13" s="93" t="s">
        <v>203</v>
      </c>
      <c r="IK13" s="1167" t="s">
        <v>1481</v>
      </c>
      <c r="IL13" s="1167" t="s">
        <v>1482</v>
      </c>
      <c r="IM13" s="1167"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7" t="s">
        <v>1479</v>
      </c>
      <c r="JC13" s="1167" t="s">
        <v>1480</v>
      </c>
      <c r="JD13" s="93" t="s">
        <v>218</v>
      </c>
      <c r="JE13" s="93" t="s">
        <v>1471</v>
      </c>
      <c r="JF13" s="93" t="s">
        <v>203</v>
      </c>
      <c r="JG13" s="1167" t="s">
        <v>1481</v>
      </c>
      <c r="JH13" s="1167" t="s">
        <v>1482</v>
      </c>
      <c r="JI13" s="1167"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7" t="e">
        <f t="shared" ref="I14:K35" si="0">ROUND(SUM($BA14*BN14+$BW14*CJ14+$CS14*DF14+$DO14*EB14+$EK14*EX14+$FG14*FT14+$GC14*GP14+$GY14*HL14+$HU14*IH14+$IQ14*JD14)/$C14,2)</f>
        <v>#DIV/0!</v>
      </c>
      <c r="J14" s="1157" t="e">
        <f t="shared" si="0"/>
        <v>#DIV/0!</v>
      </c>
      <c r="K14" s="1157" t="e">
        <f t="shared" si="0"/>
        <v>#DIV/0!</v>
      </c>
      <c r="L14" s="496" t="e">
        <f t="shared" ref="L14:L34" si="1">SUM(AY14*BA14,BU14*BW14,CQ14*CS14,DM14*DO14,EI14*EK14,FE14*FG14,GA14*GC14,GW14*GY14,HS14*HU14,IO14*IQ14)/C14</f>
        <v>#DIV/0!</v>
      </c>
      <c r="M14" s="496" t="e">
        <f>L14/$L$35</f>
        <v>#DIV/0!</v>
      </c>
      <c r="N14" s="1158"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3" t="e">
        <f>_xlfn.CONCAT($AW$1,"_",IF(NOT(ISBLANK('Customer Inputs'!$H$6)),'Customer Inputs'!$H$6,""),"_",IF(AND(NOT(ISBLANK('Customer Inputs'!$G$6)),'Customer Inputs'!$G$6&lt;&gt;"New"),IF('Customer Inputs'!$M$6&lt;&gt;"Enter Menu Type&gt;&gt;",IF('Customer Inputs'!$R$6=0,'Customer Inputs'!$M$6,'Customer Inputs'!$R$6),'Customer Inputs'!$R$6),""),"_",AZ14)</f>
        <v>#N/A</v>
      </c>
      <c r="BJ14" s="1164">
        <f t="array" ref="BJ14">IFERROR(INDEX('Margin Guidence Table'!$A$1:$AD$30000,MATCH(1,('Margin Guidence Table'!$A$1:$A$30000=$BI14)*('Margin Guidence Table'!$H$1:$H$30000&lt;=ROUND($BA$3,0))*('Margin Guidence Table'!$G$1:$G$30000&gt;=ROUND($BA$3,0)),0),MATCH("DATA_POINTS",'Margin Guidence Table'!$A$1:$AC$1,0)),0)</f>
        <v>0</v>
      </c>
      <c r="BK14" s="1161" t="str">
        <f>IF(BJ14&gt;15,"SEGMENT","DEFAULT")</f>
        <v>DEFAULT</v>
      </c>
      <c r="BL14" s="1161">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1">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5">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5">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5">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5">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5">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5">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1">
        <f>IFERROR(IF(AND($BW$2&lt;&gt;"Enter Spend&gt;&gt;&gt;",'Customer Inputs'!$U$7="EXISTING"),SUMIFS('Existing Customers'!$S:$S,'Existing Customers'!$H:$H,$BV14,'Existing Customers'!$A:$A,$BW$1),CM14*BW14),0)</f>
        <v>0</v>
      </c>
      <c r="CD14" s="1161">
        <f>IFERROR(IF(AND($BW$2&lt;&gt;"Enter Spend&gt;&gt;&gt;",'Customer Inputs'!$U$7="EXISTING"),SUMIFS('Existing Customers'!$U:$U,'Existing Customers'!$H:$H,$BV14,'Existing Customers'!$A:$A,$BW$1),CN14*BW14),0)</f>
        <v>0</v>
      </c>
      <c r="CE14" s="1164" t="e">
        <f>_xlfn.CONCAT($AW$1,"_",IF(NOT(ISBLANK('Customer Inputs'!$H$7)),'Customer Inputs'!$H$7,""),"_",IF(AND(NOT(ISBLANK('Customer Inputs'!$G$7)),'Customer Inputs'!$G$7&lt;&gt;"New"),IF('Customer Inputs'!$M$7&lt;&gt;"Enter Menu Type&gt;&gt;",IF('Customer Inputs'!$R$7=0,'Customer Inputs'!$M$7,'Customer Inputs'!$R$7),'Customer Inputs'!$R$7),""),"_",BV14)</f>
        <v>#N/A</v>
      </c>
      <c r="CF14" s="1164">
        <f t="array" ref="CF14">IFERROR(INDEX('Margin Guidence Table'!$A$1:$AD$30000,MATCH(1,('Margin Guidence Table'!$A$1:$A$30000=$CE14)*('Margin Guidence Table'!$H$1:$H$30000&lt;=ROUND($BW$3,0))*('Margin Guidence Table'!$G$1:$G$30000&gt;=ROUND($BW$3,0)),0),MATCH("DATA_POINTS",'Margin Guidence Table'!$A$1:$AC$1,0)),0)</f>
        <v>0</v>
      </c>
      <c r="CG14" s="1161" t="str">
        <f>IF(CF14&gt;15,"SEGMENT","DEFAULT")</f>
        <v>DEFAULT</v>
      </c>
      <c r="CH14" s="1161">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1">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5">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5">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5">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5">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5">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5">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1">
        <f>IFERROR(IF(AND($CS$2&lt;&gt;"Enter Spend&gt;&gt;&gt;",'Customer Inputs'!$U$8="EXISTING"),SUMIFS('Existing Customers'!$S:$S,'Existing Customers'!$H:$H,$CR14,'Existing Customers'!$A:$A,$CS$1),DI14*CS14),0)</f>
        <v>0</v>
      </c>
      <c r="CZ14" s="1161">
        <f>IFERROR(IF(AND($CS$2&lt;&gt;"Enter Spend&gt;&gt;&gt;",'Customer Inputs'!$U$8="EXISTING"),SUMIFS('Existing Customers'!$U:$U,'Existing Customers'!$H:$H,$CR14,'Existing Customers'!$A:$A,$CS$1),DJ14*CS14),0)</f>
        <v>0</v>
      </c>
      <c r="DA14" s="1164" t="e">
        <f>_xlfn.CONCAT($AW$1,"_",IF(NOT(ISBLANK('Customer Inputs'!$H$8)),'Customer Inputs'!$H$8,""),"_",IF(AND(NOT(ISBLANK('Customer Inputs'!$G$8)),'Customer Inputs'!$G$8&lt;&gt;"New"),IF('Customer Inputs'!$M$8&lt;&gt;"Enter Menu Type&gt;&gt;",IF('Customer Inputs'!$R$8=0,'Customer Inputs'!$M$8,'Customer Inputs'!$R$8),'Customer Inputs'!$R$8),""),"_",CR14)</f>
        <v>#N/A</v>
      </c>
      <c r="DB14" s="1164">
        <f t="array" ref="DB14">IFERROR(INDEX('Margin Guidence Table'!$A$1:$AD$30000,MATCH(1,('Margin Guidence Table'!$A$1:$A$30000=DA14)*('Margin Guidence Table'!$H$1:$H$30000&lt;=ROUND($CS$3,0))*('Margin Guidence Table'!$G$1:$G$30000&gt;=ROUND($CS$3,0)),0),MATCH("DATA_POINTS",'Margin Guidence Table'!$A$1:$AC$1,0)),0)</f>
        <v>0</v>
      </c>
      <c r="DC14" s="1161" t="str">
        <f>IF(DB14&gt;15,"SEGMENT","DEFAULT")</f>
        <v>DEFAULT</v>
      </c>
      <c r="DD14" s="1161">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1">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5">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5">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5">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5">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5">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5">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1">
        <f>IFERROR(IF(AND($DO$2&lt;&gt;"Enter Spend&gt;&gt;&gt;",'Customer Inputs'!$U$9="EXISTING"),SUMIFS('Existing Customers'!$S:$S,'Existing Customers'!$H:$H,$DP14,'Existing Customers'!$A:$A,$DO$1),EE14*DO14),0)</f>
        <v>0</v>
      </c>
      <c r="DV14" s="1161">
        <f>IFERROR(IF(AND($DO$2&lt;&gt;"Enter Spend&gt;&gt;&gt;",'Customer Inputs'!$U$9="EXISTING"),SUMIFS('Existing Customers'!$U:$U,'Existing Customers'!$H:$H,$DN14,'Existing Customers'!$A:$A,$DO$1),EF14*DO14),0)</f>
        <v>0</v>
      </c>
      <c r="DW14" s="1164" t="e">
        <f>_xlfn.CONCAT($AW$1,"_",IF(NOT(ISBLANK('Customer Inputs'!$H$9)),'Customer Inputs'!$H$9,""),"_",IF(AND(NOT(ISBLANK('Customer Inputs'!$G$9)),'Customer Inputs'!$G$9&lt;&gt;"New"),IF('Customer Inputs'!$M$9&lt;&gt;"Enter Menu Type&gt;&gt;",IF('Customer Inputs'!$R$9=0,'Customer Inputs'!$M$9,'Customer Inputs'!$R$9),'Customer Inputs'!$R$9),""),"_",DN14)</f>
        <v>#N/A</v>
      </c>
      <c r="DX14" s="1164">
        <f t="array" ref="DX14">IFERROR(INDEX('Margin Guidence Table'!$A$1:$AD$30000,MATCH(1,('Margin Guidence Table'!$A$1:$A$30000=DW14)*('Margin Guidence Table'!$H$1:$H$30000&lt;=ROUND($DO$3,0))*('Margin Guidence Table'!$G$1:$G$30000&gt;=ROUND($DO$3,0)),0),MATCH("DATA_POINTS",'Margin Guidence Table'!$A$1:$AC$1,0)),0)</f>
        <v>0</v>
      </c>
      <c r="DY14" s="1161" t="str">
        <f>IF(DX14&gt;15,"SEGMENT","DEFAULT")</f>
        <v>DEFAULT</v>
      </c>
      <c r="DZ14" s="1161">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1">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5">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5">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5">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5">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5">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5">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1">
        <f>IFERROR(IF(AND($EK$2&lt;&gt;"Enter Spend&gt;&gt;&gt;",'Customer Inputs'!$U$10="EXISTING"),SUMIFS('Existing Customers'!$S:$S,'Existing Customers'!$H:$H,$EJ14,'Existing Customers'!$A:$A,$EK$1),FA14*EK14),0)</f>
        <v>0</v>
      </c>
      <c r="ER14" s="1161">
        <f>IFERROR(IF(AND($EK$2&lt;&gt;"Enter Spend&gt;&gt;&gt;",'Customer Inputs'!$U$10="EXISTING"),SUMIFS('Existing Customers'!$U:$U,'Existing Customers'!$H:$H,$EJ14,'Existing Customers'!$A:$A,$EK$1),FB14*EK14),0)</f>
        <v>0</v>
      </c>
      <c r="ES14" s="1164" t="e">
        <f>_xlfn.CONCAT($AW$1,"_",IF(NOT(ISBLANK('Customer Inputs'!$H$10)),'Customer Inputs'!$H$10,""),"_",IF(AND(NOT(ISBLANK('Customer Inputs'!$G$10)),'Customer Inputs'!$G$10&lt;&gt;"New"),IF('Customer Inputs'!$M$10&lt;&gt;"Enter Menu Type&gt;&gt;",IF('Customer Inputs'!$R$10=0,'Customer Inputs'!$M$10,'Customer Inputs'!$R$10),'Customer Inputs'!$R$10),""),"_",EJ14)</f>
        <v>#N/A</v>
      </c>
      <c r="ET14" s="1164">
        <f t="array" ref="ET14">IFERROR(INDEX('Margin Guidence Table'!$A$1:$AD$30000,MATCH(1,('Margin Guidence Table'!$A$1:$A$30000=ES14)*('Margin Guidence Table'!$H$1:$H$30000&lt;=ROUND($EK$3,0))*('Margin Guidence Table'!$G$1:$G$30000&gt;=ROUND($EK$3,0)),0),MATCH("DATA_POINTS",'Margin Guidence Table'!$A$1:$AC$1,0)),0)</f>
        <v>0</v>
      </c>
      <c r="EU14" s="1161" t="str">
        <f>IF(ET14&gt;15,"SEGMENT","DEFAULT")</f>
        <v>DEFAULT</v>
      </c>
      <c r="EV14" s="1161">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1"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5">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5">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5">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5">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5">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5">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1">
        <f>IFERROR(IF(AND($FG$2&lt;&gt;"Enter Spend&gt;&gt;&gt;",'Customer Inputs'!$U$11="EXISTING"),SUMIFS('Existing Customers'!$S:$S,'Existing Customers'!$H:$H,$FF14,'Existing Customers'!$A:$A,$FG$1),FW14*FG14),0)</f>
        <v>0</v>
      </c>
      <c r="FN14" s="1161">
        <f>IFERROR(IF(AND($FG$2&lt;&gt;"Enter Spend&gt;&gt;&gt;",'Customer Inputs'!$U$11="EXISTING"),SUMIFS('Existing Customers'!$U:$U,'Existing Customers'!$H:$H,$FF14,'Existing Customers'!$A:$A,$FG$1),FX14*FG14),0)</f>
        <v>0</v>
      </c>
      <c r="FO14" s="1164" t="e">
        <f>_xlfn.CONCAT($AW$1,"_",IF(NOT(ISBLANK('Customer Inputs'!$H$11)),'Customer Inputs'!$H$11,""),"_",IF(AND(NOT(ISBLANK('Customer Inputs'!$G$11)),'Customer Inputs'!$G$11&lt;&gt;"New"),IF('Customer Inputs'!$M$11&lt;&gt;"Enter Menu Type&gt;&gt;",IF('Customer Inputs'!$R$11=0,'Customer Inputs'!$M$11,'Customer Inputs'!$R$11),'Customer Inputs'!$R$11),""),"_",FF14)</f>
        <v>#N/A</v>
      </c>
      <c r="FP14" s="1164">
        <f t="array" ref="FP14">IFERROR(INDEX('Margin Guidence Table'!$A$1:$AD$30000,MATCH(1,('Margin Guidence Table'!$A$1:$A$30000=FO14)*('Margin Guidence Table'!$H$1:$H$30000&lt;=ROUND($FG$3,0))*('Margin Guidence Table'!$G$1:$G$30000&gt;=ROUND($FG$3,0)),0),MATCH("DATA_POINTS",'Margin Guidence Table'!$A$1:$AC$1,0)),0)</f>
        <v>0</v>
      </c>
      <c r="FQ14" s="1161" t="str">
        <f>IF(FP14&gt;15,"SEGMENT","DEFAULT")</f>
        <v>DEFAULT</v>
      </c>
      <c r="FR14" s="1161">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1">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5">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5">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5">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5">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5">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5">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1">
        <f>IFERROR(IF(AND($GC$2&lt;&gt;"Enter Spend&gt;&gt;&gt;",'Customer Inputs'!$U$12="EXISTING"),SUMIFS('Existing Customers'!$S:$S,'Existing Customers'!$H:$H,$GB14,'Existing Customers'!$A:$A,$GC$1),GS14*GC14),0)</f>
        <v>0</v>
      </c>
      <c r="GJ14" s="1161">
        <f>IFERROR(IF(AND($GC$2&lt;&gt;"Enter Spend&gt;&gt;&gt;",'Customer Inputs'!$U$12="EXISTING"),SUMIFS('Existing Customers'!$U:$U,'Existing Customers'!$H:$H,$GB14,'Existing Customers'!$A:$A,$GC$1),GT14*GC14),0)</f>
        <v>0</v>
      </c>
      <c r="GK14" s="1164" t="e">
        <f>_xlfn.CONCAT($AW$1,"_",IF(NOT(ISBLANK('Customer Inputs'!$H$12)),'Customer Inputs'!$H$12,""),"_",IF(AND(NOT(ISBLANK('Customer Inputs'!$G$12)),'Customer Inputs'!$G$12&lt;&gt;"New"),IF('Customer Inputs'!$M$12&lt;&gt;"Enter Menu Type&gt;&gt;",IF('Customer Inputs'!$R$12=0,'Customer Inputs'!$M$12,'Customer Inputs'!$R$12),'Customer Inputs'!$R$12),""),"_",GB14)</f>
        <v>#N/A</v>
      </c>
      <c r="GL14" s="1164">
        <f t="array" ref="GL14">IFERROR(INDEX('Margin Guidence Table'!$A$1:$AD$30000,MATCH(1,('Margin Guidence Table'!$A$1:$A$30000=GK14)*('Margin Guidence Table'!$H$1:$H$30000&lt;=ROUND($GC$3,0))*('Margin Guidence Table'!$G$1:$G$30000&gt;=ROUND($GC$3,0)),0),MATCH("DATA_POINTS",'Margin Guidence Table'!$A$1:$AC$1,0)),0)</f>
        <v>0</v>
      </c>
      <c r="GM14" s="1161" t="str">
        <f>IF(GL14&gt;15,"SEGMENT","DEFAULT")</f>
        <v>DEFAULT</v>
      </c>
      <c r="GN14" s="1161">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1">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5">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5">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5">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5">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5">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5">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1">
        <f>IFERROR(IF(AND($GY$2&lt;&gt;"Enter Spend&gt;&gt;&gt;",'Customer Inputs'!$U$13="EXISTING"),SUMIFS('Existing Customers'!$S:$S,'Existing Customers'!$H:$H,$GX14,'Existing Customers'!$A:$A,$GY$1),HO14*GY14),0)</f>
        <v>0</v>
      </c>
      <c r="HF14" s="1161">
        <f>IFERROR(IF(AND($GY$2&lt;&gt;"Enter Spend&gt;&gt;&gt;",'Customer Inputs'!$U$13="EXISTING"),SUMIFS('Existing Customers'!$U:$U,'Existing Customers'!$H:$H,$GX14,'Existing Customers'!$A:$A,$GY$1),HP14*GY14),0)</f>
        <v>0</v>
      </c>
      <c r="HG14" s="1164" t="e">
        <f>_xlfn.CONCAT($AW$1,"_",IF(NOT(ISBLANK('Customer Inputs'!$H$13)),'Customer Inputs'!$H$13,""),"_",IF(AND(NOT(ISBLANK('Customer Inputs'!$G$13)),'Customer Inputs'!$G$13&lt;&gt;"New"),IF('Customer Inputs'!$M$13&lt;&gt;"Enter Menu Type&gt;&gt;",IF('Customer Inputs'!$R$13=0,'Customer Inputs'!$M$13,'Customer Inputs'!$R$13),'Customer Inputs'!$R$13),""),"_",GX14)</f>
        <v>#N/A</v>
      </c>
      <c r="HH14" s="1164">
        <f t="array" ref="HH14">IFERROR(INDEX('Margin Guidence Table'!$A$1:$AD$30000,MATCH(1,('Margin Guidence Table'!$A$1:$A$30000=HG14)*('Margin Guidence Table'!$H$1:$H$30000&lt;=ROUND($GY$3,0))*('Margin Guidence Table'!$G$1:$G$30000&gt;=ROUND($GY$3,0)),0),MATCH("DATA_POINTS",'Margin Guidence Table'!$A$1:$AC$1,0)),0)</f>
        <v>0</v>
      </c>
      <c r="HI14" s="1161" t="str">
        <f>IF(HH14&gt;15,"SEGMENT","DEFAULT")</f>
        <v>DEFAULT</v>
      </c>
      <c r="HJ14" s="1161">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1">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5">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5">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5">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5">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5">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5">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1">
        <f>IFERROR(IF(AND($HU$2&lt;&gt;"Enter Spend&gt;&gt;&gt;",'Customer Inputs'!$U$14="EXISTING"),SUMIFS('Existing Customers'!$S:$S,'Existing Customers'!$H:$H,$HT14,'Existing Customers'!$A:$A,$HU$1),IK14*HU14),0)</f>
        <v>0</v>
      </c>
      <c r="IB14" s="1161">
        <f>IFERROR(IF(AND($HU$2&lt;&gt;"Enter Spend&gt;&gt;&gt;",'Customer Inputs'!$U$14="EXISTING"),SUMIFS('Existing Customers'!$U:$U,'Existing Customers'!$H:$H,$HT14,'Existing Customers'!$A:$A,$HU$1),IL14*HU14),0)</f>
        <v>0</v>
      </c>
      <c r="IC14" s="1164" t="e">
        <f>_xlfn.CONCAT($AW$1,"_",IF(NOT(ISBLANK('Customer Inputs'!$H$14)),'Customer Inputs'!$H$14,""),"_",IF(AND(NOT(ISBLANK('Customer Inputs'!$G$14)),'Customer Inputs'!$G$14&lt;&gt;"New"),IF('Customer Inputs'!$M$14&lt;&gt;"Enter Menu Type&gt;&gt;",IF('Customer Inputs'!$R$14=0,'Customer Inputs'!$M$14,'Customer Inputs'!$R$14),'Customer Inputs'!$R$14),""),"_",HT14)</f>
        <v>#N/A</v>
      </c>
      <c r="ID14" s="1164">
        <f t="array" ref="ID14">IFERROR(INDEX('Margin Guidence Table'!$A$1:$AD$30000,MATCH(1,('Margin Guidence Table'!$A$1:$A$30000=IC14)*('Margin Guidence Table'!$H$1:$H$30000&lt;=ROUND($HU$3,0))*('Margin Guidence Table'!$G$1:$G$30000&gt;=ROUND($HU$3,0)),0),MATCH("DATA_POINTS",'Margin Guidence Table'!$A$1:$AC$1,0)),0)</f>
        <v>0</v>
      </c>
      <c r="IE14" s="1161" t="str">
        <f>IF(ID14&gt;15,"SEGMENT","DEFAULT")</f>
        <v>DEFAULT</v>
      </c>
      <c r="IF14" s="1161">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1">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5">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5">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5">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5">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5">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5">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1">
        <f>IFERROR(IF(AND($IQ$2&lt;&gt;"Enter Spend&gt;&gt;&gt;",'Customer Inputs'!$U$15="EXISTING"),SUMIFS('Existing Customers'!$S:$S,'Existing Customers'!$H:$H,$IP14,'Existing Customers'!$A:$A,$IQ$1),JG14*IQ14),0)</f>
        <v>0</v>
      </c>
      <c r="IX14" s="1161">
        <f>IFERROR(IF(AND($IQ$2&lt;&gt;"Enter Spend&gt;&gt;&gt;",'Customer Inputs'!$U$15="EXISTING"),SUMIFS('Existing Customers'!$U:$U,'Existing Customers'!$H:$H,$IP14,'Existing Customers'!$A:$A,$IQ$1),JH14*IQ14),0)</f>
        <v>0</v>
      </c>
      <c r="IY14" s="1164" t="e">
        <f>_xlfn.CONCAT($AW$1,"_",IF(NOT(ISBLANK('Customer Inputs'!$H$15)),'Customer Inputs'!$H$15,""),"_",IF(AND(NOT(ISBLANK('Customer Inputs'!$G$15)),'Customer Inputs'!$G$15&lt;&gt;"New"),IF('Customer Inputs'!$M$15&lt;&gt;"Enter Menu Type&gt;&gt;",IF('Customer Inputs'!$R$15=0,'Customer Inputs'!$M$15,'Customer Inputs'!$R$15),'Customer Inputs'!$R$15),""),"_",IP14)</f>
        <v>#N/A</v>
      </c>
      <c r="IZ14" s="1164">
        <f t="array" ref="IZ14">IFERROR(INDEX('Margin Guidence Table'!$A$1:$AD$30000,MATCH(1,('Margin Guidence Table'!$A$1:$A$30000=IY14)*('Margin Guidence Table'!$H$1:$H$30000&lt;=ROUND($IQ$3,0))*('Margin Guidence Table'!$G$1:$G$30000&gt;=ROUND($IQ$3,0)),0),MATCH("DATA_POINTS",'Margin Guidence Table'!$A$1:$AC$1,0)),0)</f>
        <v>0</v>
      </c>
      <c r="JA14" s="1161" t="str">
        <f>IF(IZ14&gt;15,"SEGMENT","DEFAULT")</f>
        <v>DEFAULT</v>
      </c>
      <c r="JB14" s="1161">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1">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5">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5">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5">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5">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5">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5">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7" t="e">
        <f t="shared" si="0"/>
        <v>#DIV/0!</v>
      </c>
      <c r="J15" s="1157" t="e">
        <f t="shared" si="0"/>
        <v>#DIV/0!</v>
      </c>
      <c r="K15" s="1157" t="e">
        <f t="shared" si="0"/>
        <v>#DIV/0!</v>
      </c>
      <c r="L15" s="496" t="e">
        <f t="shared" si="1"/>
        <v>#DIV/0!</v>
      </c>
      <c r="M15" s="496" t="e">
        <f t="shared" ref="M15:M35" si="15">L15/$L$35</f>
        <v>#DIV/0!</v>
      </c>
      <c r="N15" s="1158"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3" t="e">
        <f>_xlfn.CONCAT($AW$1,"_",IF(NOT(ISBLANK('Customer Inputs'!$H$6)),'Customer Inputs'!$H$6,""),"_",IF(AND(NOT(ISBLANK('Customer Inputs'!$G$6)),'Customer Inputs'!$G$6&lt;&gt;"New"),IF('Customer Inputs'!$M$6&lt;&gt;"Enter Menu Type&gt;&gt;",IF('Customer Inputs'!$R$6=0,'Customer Inputs'!$M$6,'Customer Inputs'!$R$6),'Customer Inputs'!$R$6),""),"_",AZ15)</f>
        <v>#N/A</v>
      </c>
      <c r="BJ15" s="1164">
        <f t="array" ref="BJ15">IFERROR(INDEX('Margin Guidence Table'!$A$1:$AD$30000,MATCH(1,('Margin Guidence Table'!$A$1:$A$30000=$BI15)*('Margin Guidence Table'!$H$1:$H$30000&lt;=ROUND($BA$3,0))*('Margin Guidence Table'!$G$1:$G$30000&gt;=ROUND($BA$3,0)),0),MATCH("DATA_POINTS",'Margin Guidence Table'!$A$1:$AC$1,0)),0)</f>
        <v>0</v>
      </c>
      <c r="BK15" s="1161" t="str">
        <f t="shared" ref="BK15:BK34" si="24">IF(BJ15&gt;15,"SEGMENT","DEFAULT")</f>
        <v>DEFAULT</v>
      </c>
      <c r="BL15" s="1161">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1">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5">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5">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5">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5">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5">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5">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1">
        <f>IFERROR(IF(AND($BW$2&lt;&gt;"Enter Spend&gt;&gt;&gt;",'Customer Inputs'!$U$7="EXISTING"),SUMIFS('Existing Customers'!$S:$S,'Existing Customers'!$H:$H,$BV15,'Existing Customers'!$A:$A,$BW$1),CM15*BW15),0)</f>
        <v>0</v>
      </c>
      <c r="CD15" s="1161">
        <f>IFERROR(IF(AND($BW$2&lt;&gt;"Enter Spend&gt;&gt;&gt;",'Customer Inputs'!$U$7="EXISTING"),SUMIFS('Existing Customers'!$U:$U,'Existing Customers'!$H:$H,$BV15,'Existing Customers'!$A:$A,$BW$1),CN15*BW15),0)</f>
        <v>0</v>
      </c>
      <c r="CE15" s="1164" t="e">
        <f>_xlfn.CONCAT($AW$1,"_",IF(NOT(ISBLANK('Customer Inputs'!$H$7)),'Customer Inputs'!$H$7,""),"_",IF(AND(NOT(ISBLANK('Customer Inputs'!$G$7)),'Customer Inputs'!$G$7&lt;&gt;"New"),IF('Customer Inputs'!$M$7&lt;&gt;"Enter Menu Type&gt;&gt;",IF('Customer Inputs'!$R$7=0,'Customer Inputs'!$M$7,'Customer Inputs'!$R$7),'Customer Inputs'!$R$7),""),"_",BV15)</f>
        <v>#N/A</v>
      </c>
      <c r="CF15" s="1164">
        <f t="array" ref="CF15">IFERROR(INDEX('Margin Guidence Table'!$A$1:$AD$30000,MATCH(1,('Margin Guidence Table'!$A$1:$A$30000=$CE15)*('Margin Guidence Table'!$H$1:$H$30000&lt;=ROUND($BW$3,0))*('Margin Guidence Table'!$G$1:$G$30000&gt;=ROUND($BW$3,0)),0),MATCH("DATA_POINTS",'Margin Guidence Table'!$A$1:$AC$1,0)),0)</f>
        <v>0</v>
      </c>
      <c r="CG15" s="1161" t="str">
        <f t="shared" ref="CG15:CG34" si="25">IF(CF15&gt;15,"SEGMENT","DEFAULT")</f>
        <v>DEFAULT</v>
      </c>
      <c r="CH15" s="1161">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1">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5">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5">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5">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5">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5">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5">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1">
        <f>IFERROR(IF(AND($CS$2&lt;&gt;"Enter Spend&gt;&gt;&gt;",'Customer Inputs'!$U$8="EXISTING"),SUMIFS('Existing Customers'!$S:$S,'Existing Customers'!$H:$H,$CR15,'Existing Customers'!$A:$A,$CS$1),DI15*CS15),0)</f>
        <v>0</v>
      </c>
      <c r="CZ15" s="1161">
        <f>IFERROR(IF(AND($CS$2&lt;&gt;"Enter Spend&gt;&gt;&gt;",'Customer Inputs'!$U$8="EXISTING"),SUMIFS('Existing Customers'!$U:$U,'Existing Customers'!$H:$H,$CR15,'Existing Customers'!$A:$A,$CS$1),DJ15*CS15),0)</f>
        <v>0</v>
      </c>
      <c r="DA15" s="1164" t="e">
        <f>_xlfn.CONCAT($AW$1,"_",IF(NOT(ISBLANK('Customer Inputs'!$H$8)),'Customer Inputs'!$H$8,""),"_",IF(AND(NOT(ISBLANK('Customer Inputs'!$G$8)),'Customer Inputs'!$G$8&lt;&gt;"New"),IF('Customer Inputs'!$M$8&lt;&gt;"Enter Menu Type&gt;&gt;",IF('Customer Inputs'!$R$8=0,'Customer Inputs'!$M$8,'Customer Inputs'!$R$8),'Customer Inputs'!$R$8),""),"_",CR15)</f>
        <v>#N/A</v>
      </c>
      <c r="DB15" s="1164">
        <f t="array" ref="DB15">IFERROR(INDEX('Margin Guidence Table'!$A$1:$AD$30000,MATCH(1,('Margin Guidence Table'!$A$1:$A$30000=DA15)*('Margin Guidence Table'!$H$1:$H$30000&lt;=ROUND($CS$3,0))*('Margin Guidence Table'!$G$1:$G$30000&gt;=ROUND($CS$3,0)),0),MATCH("DATA_POINTS",'Margin Guidence Table'!$A$1:$AC$1,0)),0)</f>
        <v>0</v>
      </c>
      <c r="DC15" s="1161" t="str">
        <f t="shared" ref="DC15:DC34" si="26">IF(DB15&gt;15,"SEGMENT","DEFAULT")</f>
        <v>DEFAULT</v>
      </c>
      <c r="DD15" s="1161">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1">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5">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5">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5">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5">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5">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5">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1">
        <f>IFERROR(IF(AND($DO$2&lt;&gt;"Enter Spend&gt;&gt;&gt;",'Customer Inputs'!$U$9="EXISTING"),SUMIFS('Existing Customers'!$S:$S,'Existing Customers'!$H:$H,$DP15,'Existing Customers'!$A:$A,$DO$1),EE15*DO15),0)</f>
        <v>0</v>
      </c>
      <c r="DV15" s="1161">
        <f>IFERROR(IF(AND($DO$2&lt;&gt;"Enter Spend&gt;&gt;&gt;",'Customer Inputs'!$U$9="EXISTING"),SUMIFS('Existing Customers'!$U:$U,'Existing Customers'!$H:$H,$DN15,'Existing Customers'!$A:$A,$DO$1),EF15*DO15),0)</f>
        <v>0</v>
      </c>
      <c r="DW15" s="1164" t="e">
        <f>_xlfn.CONCAT($AW$1,"_",IF(NOT(ISBLANK('Customer Inputs'!$H$9)),'Customer Inputs'!$H$9,""),"_",IF(AND(NOT(ISBLANK('Customer Inputs'!$G$9)),'Customer Inputs'!$G$9&lt;&gt;"New"),IF('Customer Inputs'!$M$9&lt;&gt;"Enter Menu Type&gt;&gt;",IF('Customer Inputs'!$R$9=0,'Customer Inputs'!$M$9,'Customer Inputs'!$R$9),'Customer Inputs'!$R$9),""),"_",DN15)</f>
        <v>#N/A</v>
      </c>
      <c r="DX15" s="1164">
        <f t="array" ref="DX15">IFERROR(INDEX('Margin Guidence Table'!$A$1:$AD$30000,MATCH(1,('Margin Guidence Table'!$A$1:$A$30000=DW15)*('Margin Guidence Table'!$H$1:$H$30000&lt;=ROUND($DO$3,0))*('Margin Guidence Table'!$G$1:$G$30000&gt;=ROUND($DO$3,0)),0),MATCH("DATA_POINTS",'Margin Guidence Table'!$A$1:$AC$1,0)),0)</f>
        <v>0</v>
      </c>
      <c r="DY15" s="1161" t="str">
        <f t="shared" ref="DY15:DY34" si="27">IF(DX15&gt;15,"SEGMENT","DEFAULT")</f>
        <v>DEFAULT</v>
      </c>
      <c r="DZ15" s="1161">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1">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5">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5">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5">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5">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5">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5">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1">
        <f>IFERROR(IF(AND($EK$2&lt;&gt;"Enter Spend&gt;&gt;&gt;",'Customer Inputs'!$U$10="EXISTING"),SUMIFS('Existing Customers'!$S:$S,'Existing Customers'!$H:$H,$EJ15,'Existing Customers'!$A:$A,$EK$1),FA15*EK15),0)</f>
        <v>0</v>
      </c>
      <c r="ER15" s="1161">
        <f>IFERROR(IF(AND($EK$2&lt;&gt;"Enter Spend&gt;&gt;&gt;",'Customer Inputs'!$U$10="EXISTING"),SUMIFS('Existing Customers'!$U:$U,'Existing Customers'!$H:$H,$EJ15,'Existing Customers'!$A:$A,$EK$1),FB15*EK15),0)</f>
        <v>0</v>
      </c>
      <c r="ES15" s="1164" t="e">
        <f>_xlfn.CONCAT($AW$1,"_",IF(NOT(ISBLANK('Customer Inputs'!$H$10)),'Customer Inputs'!$H$10,""),"_",IF(AND(NOT(ISBLANK('Customer Inputs'!$G$10)),'Customer Inputs'!$G$10&lt;&gt;"New"),IF('Customer Inputs'!$M$10&lt;&gt;"Enter Menu Type&gt;&gt;",IF('Customer Inputs'!$R$10=0,'Customer Inputs'!$M$10,'Customer Inputs'!$R$10),'Customer Inputs'!$R$10),""),"_",EJ15)</f>
        <v>#N/A</v>
      </c>
      <c r="ET15" s="1164">
        <f t="array" ref="ET15">IFERROR(INDEX('Margin Guidence Table'!$A$1:$AD$30000,MATCH(1,('Margin Guidence Table'!$A$1:$A$30000=ES15)*('Margin Guidence Table'!$H$1:$H$30000&lt;=ROUND($EK$3,0))*('Margin Guidence Table'!$G$1:$G$30000&gt;=ROUND($EK$3,0)),0),MATCH("DATA_POINTS",'Margin Guidence Table'!$A$1:$AC$1,0)),0)</f>
        <v>0</v>
      </c>
      <c r="EU15" s="1161" t="str">
        <f t="shared" ref="EU15:EU34" si="28">IF(ET15&gt;15,"SEGMENT","DEFAULT")</f>
        <v>DEFAULT</v>
      </c>
      <c r="EV15" s="1161">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1"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5">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5">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5">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5">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5">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5">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1">
        <f>IFERROR(IF(AND($FG$2&lt;&gt;"Enter Spend&gt;&gt;&gt;",'Customer Inputs'!$U$11="EXISTING"),SUMIFS('Existing Customers'!$S:$S,'Existing Customers'!$H:$H,$FF15,'Existing Customers'!$A:$A,$FG$1),FW15*FG15),0)</f>
        <v>0</v>
      </c>
      <c r="FN15" s="1161">
        <f>IFERROR(IF(AND($FG$2&lt;&gt;"Enter Spend&gt;&gt;&gt;",'Customer Inputs'!$U$11="EXISTING"),SUMIFS('Existing Customers'!$U:$U,'Existing Customers'!$H:$H,$FF15,'Existing Customers'!$A:$A,$FG$1),FX15*FG15),0)</f>
        <v>0</v>
      </c>
      <c r="FO15" s="1164" t="e">
        <f>_xlfn.CONCAT($AW$1,"_",IF(NOT(ISBLANK('Customer Inputs'!$H$11)),'Customer Inputs'!$H$11,""),"_",IF(AND(NOT(ISBLANK('Customer Inputs'!$G$11)),'Customer Inputs'!$G$11&lt;&gt;"New"),IF('Customer Inputs'!$M$11&lt;&gt;"Enter Menu Type&gt;&gt;",IF('Customer Inputs'!$R$11=0,'Customer Inputs'!$M$11,'Customer Inputs'!$R$11),'Customer Inputs'!$R$11),""),"_",FF15)</f>
        <v>#N/A</v>
      </c>
      <c r="FP15" s="1164">
        <f t="array" ref="FP15">IFERROR(INDEX('Margin Guidence Table'!$A$1:$AD$30000,MATCH(1,('Margin Guidence Table'!$A$1:$A$30000=FO15)*('Margin Guidence Table'!$H$1:$H$30000&lt;=ROUND($FG$3,0))*('Margin Guidence Table'!$G$1:$G$30000&gt;=ROUND($FG$3,0)),0),MATCH("DATA_POINTS",'Margin Guidence Table'!$A$1:$AC$1,0)),0)</f>
        <v>0</v>
      </c>
      <c r="FQ15" s="1161" t="str">
        <f t="shared" ref="FQ15:FQ34" si="29">IF(FP15&gt;15,"SEGMENT","DEFAULT")</f>
        <v>DEFAULT</v>
      </c>
      <c r="FR15" s="1161">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1">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5">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5">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5">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5">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5">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5">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1">
        <f>IFERROR(IF(AND($GC$2&lt;&gt;"Enter Spend&gt;&gt;&gt;",'Customer Inputs'!$U$12="EXISTING"),SUMIFS('Existing Customers'!$S:$S,'Existing Customers'!$H:$H,$GB15,'Existing Customers'!$A:$A,$GC$1),GS15*GC15),0)</f>
        <v>0</v>
      </c>
      <c r="GJ15" s="1161">
        <f>IFERROR(IF(AND($GC$2&lt;&gt;"Enter Spend&gt;&gt;&gt;",'Customer Inputs'!$U$12="EXISTING"),SUMIFS('Existing Customers'!$U:$U,'Existing Customers'!$H:$H,$GB15,'Existing Customers'!$A:$A,$GC$1),GT15*GC15),0)</f>
        <v>0</v>
      </c>
      <c r="GK15" s="1164" t="e">
        <f>_xlfn.CONCAT($AW$1,"_",IF(NOT(ISBLANK('Customer Inputs'!$H$12)),'Customer Inputs'!$H$12,""),"_",IF(AND(NOT(ISBLANK('Customer Inputs'!$G$12)),'Customer Inputs'!$G$12&lt;&gt;"New"),IF('Customer Inputs'!$M$12&lt;&gt;"Enter Menu Type&gt;&gt;",IF('Customer Inputs'!$R$12=0,'Customer Inputs'!$M$12,'Customer Inputs'!$R$12),'Customer Inputs'!$R$12),""),"_",GB15)</f>
        <v>#N/A</v>
      </c>
      <c r="GL15" s="1164">
        <f t="array" ref="GL15">IFERROR(INDEX('Margin Guidence Table'!$A$1:$AD$30000,MATCH(1,('Margin Guidence Table'!$A$1:$A$30000=GK15)*('Margin Guidence Table'!$H$1:$H$30000&lt;=ROUND($GC$3,0))*('Margin Guidence Table'!$G$1:$G$30000&gt;=ROUND($GC$3,0)),0),MATCH("DATA_POINTS",'Margin Guidence Table'!$A$1:$AC$1,0)),0)</f>
        <v>0</v>
      </c>
      <c r="GM15" s="1161" t="str">
        <f t="shared" ref="GM15:GM34" si="30">IF(GL15&gt;15,"SEGMENT","DEFAULT")</f>
        <v>DEFAULT</v>
      </c>
      <c r="GN15" s="1161">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1">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5">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5">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5">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5">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5">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5">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1">
        <f>IFERROR(IF(AND($GY$2&lt;&gt;"Enter Spend&gt;&gt;&gt;",'Customer Inputs'!$U$13="EXISTING"),SUMIFS('Existing Customers'!$S:$S,'Existing Customers'!$H:$H,$GX15,'Existing Customers'!$A:$A,$GY$1),HO15*GY15),0)</f>
        <v>0</v>
      </c>
      <c r="HF15" s="1161">
        <f>IFERROR(IF(AND($GY$2&lt;&gt;"Enter Spend&gt;&gt;&gt;",'Customer Inputs'!$U$13="EXISTING"),SUMIFS('Existing Customers'!$U:$U,'Existing Customers'!$H:$H,$GX15,'Existing Customers'!$A:$A,$GY$1),HP15*GY15),0)</f>
        <v>0</v>
      </c>
      <c r="HG15" s="1164" t="e">
        <f>_xlfn.CONCAT($AW$1,"_",IF(NOT(ISBLANK('Customer Inputs'!$H$13)),'Customer Inputs'!$H$13,""),"_",IF(AND(NOT(ISBLANK('Customer Inputs'!$G$13)),'Customer Inputs'!$G$13&lt;&gt;"New"),IF('Customer Inputs'!$M$13&lt;&gt;"Enter Menu Type&gt;&gt;",IF('Customer Inputs'!$R$13=0,'Customer Inputs'!$M$13,'Customer Inputs'!$R$13),'Customer Inputs'!$R$13),""),"_",GX15)</f>
        <v>#N/A</v>
      </c>
      <c r="HH15" s="1164">
        <f t="array" ref="HH15">IFERROR(INDEX('Margin Guidence Table'!$A$1:$AD$30000,MATCH(1,('Margin Guidence Table'!$A$1:$A$30000=HG15)*('Margin Guidence Table'!$H$1:$H$30000&lt;=ROUND($GY$3,0))*('Margin Guidence Table'!$G$1:$G$30000&gt;=ROUND($GY$3,0)),0),MATCH("DATA_POINTS",'Margin Guidence Table'!$A$1:$AC$1,0)),0)</f>
        <v>0</v>
      </c>
      <c r="HI15" s="1161" t="str">
        <f t="shared" ref="HI15:HI34" si="31">IF(HH15&gt;15,"SEGMENT","DEFAULT")</f>
        <v>DEFAULT</v>
      </c>
      <c r="HJ15" s="1161">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1">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5">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5">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5">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5">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5">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5">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1">
        <f>IFERROR(IF(AND($HU$2&lt;&gt;"Enter Spend&gt;&gt;&gt;",'Customer Inputs'!$U$14="EXISTING"),SUMIFS('Existing Customers'!$S:$S,'Existing Customers'!$H:$H,$HT15,'Existing Customers'!$A:$A,$HU$1),IK15*HU15),0)</f>
        <v>0</v>
      </c>
      <c r="IB15" s="1161">
        <f>IFERROR(IF(AND($HU$2&lt;&gt;"Enter Spend&gt;&gt;&gt;",'Customer Inputs'!$U$14="EXISTING"),SUMIFS('Existing Customers'!$U:$U,'Existing Customers'!$H:$H,$HT15,'Existing Customers'!$A:$A,$HU$1),IL15*HU15),0)</f>
        <v>0</v>
      </c>
      <c r="IC15" s="1164" t="e">
        <f>_xlfn.CONCAT($AW$1,"_",IF(NOT(ISBLANK('Customer Inputs'!$H$14)),'Customer Inputs'!$H$14,""),"_",IF(AND(NOT(ISBLANK('Customer Inputs'!$G$14)),'Customer Inputs'!$G$14&lt;&gt;"New"),IF('Customer Inputs'!$M$14&lt;&gt;"Enter Menu Type&gt;&gt;",IF('Customer Inputs'!$R$14=0,'Customer Inputs'!$M$14,'Customer Inputs'!$R$14),'Customer Inputs'!$R$14),""),"_",HT15)</f>
        <v>#N/A</v>
      </c>
      <c r="ID15" s="1164">
        <f t="array" ref="ID15">IFERROR(INDEX('Margin Guidence Table'!$A$1:$AD$30000,MATCH(1,('Margin Guidence Table'!$A$1:$A$30000=IC15)*('Margin Guidence Table'!$H$1:$H$30000&lt;=ROUND($HU$3,0))*('Margin Guidence Table'!$G$1:$G$30000&gt;=ROUND($HU$3,0)),0),MATCH("DATA_POINTS",'Margin Guidence Table'!$A$1:$AC$1,0)),0)</f>
        <v>0</v>
      </c>
      <c r="IE15" s="1161" t="str">
        <f t="shared" ref="IE15:IE34" si="32">IF(ID15&gt;15,"SEGMENT","DEFAULT")</f>
        <v>DEFAULT</v>
      </c>
      <c r="IF15" s="1161">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1">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5">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5">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5">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5">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5">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5">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1">
        <f>IFERROR(IF(AND($IQ$2&lt;&gt;"Enter Spend&gt;&gt;&gt;",'Customer Inputs'!$U$15="EXISTING"),SUMIFS('Existing Customers'!$S:$S,'Existing Customers'!$H:$H,$IP15,'Existing Customers'!$A:$A,$IQ$1),JG15*IQ15),0)</f>
        <v>0</v>
      </c>
      <c r="IX15" s="1161">
        <f>IFERROR(IF(AND($IQ$2&lt;&gt;"Enter Spend&gt;&gt;&gt;",'Customer Inputs'!$U$15="EXISTING"),SUMIFS('Existing Customers'!$U:$U,'Existing Customers'!$H:$H,$IP15,'Existing Customers'!$A:$A,$IQ$1),JH15*IQ15),0)</f>
        <v>0</v>
      </c>
      <c r="IY15" s="1164" t="e">
        <f>_xlfn.CONCAT($AW$1,"_",IF(NOT(ISBLANK('Customer Inputs'!$H$15)),'Customer Inputs'!$H$15,""),"_",IF(AND(NOT(ISBLANK('Customer Inputs'!$G$15)),'Customer Inputs'!$G$15&lt;&gt;"New"),IF('Customer Inputs'!$M$15&lt;&gt;"Enter Menu Type&gt;&gt;",IF('Customer Inputs'!$R$15=0,'Customer Inputs'!$M$15,'Customer Inputs'!$R$15),'Customer Inputs'!$R$15),""),"_",IP15)</f>
        <v>#N/A</v>
      </c>
      <c r="IZ15" s="1164">
        <f t="array" ref="IZ15">IFERROR(INDEX('Margin Guidence Table'!$A$1:$AD$30000,MATCH(1,('Margin Guidence Table'!$A$1:$A$30000=IY15)*('Margin Guidence Table'!$H$1:$H$30000&lt;=ROUND($IQ$3,0))*('Margin Guidence Table'!$G$1:$G$30000&gt;=ROUND($IQ$3,0)),0),MATCH("DATA_POINTS",'Margin Guidence Table'!$A$1:$AC$1,0)),0)</f>
        <v>0</v>
      </c>
      <c r="JA15" s="1161" t="str">
        <f t="shared" ref="JA15:JA34" si="33">IF(IZ15&gt;15,"SEGMENT","DEFAULT")</f>
        <v>DEFAULT</v>
      </c>
      <c r="JB15" s="1161">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1">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5">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5">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5">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5">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5">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5">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7" t="e">
        <f t="shared" si="0"/>
        <v>#DIV/0!</v>
      </c>
      <c r="J16" s="1157" t="e">
        <f t="shared" si="0"/>
        <v>#DIV/0!</v>
      </c>
      <c r="K16" s="1157" t="e">
        <f t="shared" si="0"/>
        <v>#DIV/0!</v>
      </c>
      <c r="L16" s="496" t="e">
        <f t="shared" si="1"/>
        <v>#DIV/0!</v>
      </c>
      <c r="M16" s="496" t="e">
        <f t="shared" si="15"/>
        <v>#DIV/0!</v>
      </c>
      <c r="N16" s="1158"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3" t="e">
        <f>_xlfn.CONCAT($AW$1,"_",IF(NOT(ISBLANK('Customer Inputs'!$H$6)),'Customer Inputs'!$H$6,""),"_",IF(AND(NOT(ISBLANK('Customer Inputs'!$G$6)),'Customer Inputs'!$G$6&lt;&gt;"New"),IF('Customer Inputs'!$M$6&lt;&gt;"Enter Menu Type&gt;&gt;",IF('Customer Inputs'!$R$6=0,'Customer Inputs'!$M$6,'Customer Inputs'!$R$6),'Customer Inputs'!$R$6),""),"_",AZ16)</f>
        <v>#N/A</v>
      </c>
      <c r="BJ16" s="1164">
        <f t="array" ref="BJ16">IFERROR(INDEX('Margin Guidence Table'!$A$1:$AD$30000,MATCH(1,('Margin Guidence Table'!$A$1:$A$30000=$BI16)*('Margin Guidence Table'!$H$1:$H$30000&lt;=ROUND($BA$3,0))*('Margin Guidence Table'!$G$1:$G$30000&gt;=ROUND($BA$3,0)),0),MATCH("DATA_POINTS",'Margin Guidence Table'!$A$1:$AC$1,0)),0)</f>
        <v>0</v>
      </c>
      <c r="BK16" s="1161" t="str">
        <f t="shared" si="24"/>
        <v>DEFAULT</v>
      </c>
      <c r="BL16" s="1161">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1">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5">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5">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5">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5">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5">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5">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1">
        <f>IFERROR(IF(AND($BW$2&lt;&gt;"Enter Spend&gt;&gt;&gt;",'Customer Inputs'!$U$7="EXISTING"),SUMIFS('Existing Customers'!$S:$S,'Existing Customers'!$H:$H,$BV16,'Existing Customers'!$A:$A,$BW$1),CM16*BW16),0)</f>
        <v>0</v>
      </c>
      <c r="CD16" s="1161">
        <f>IFERROR(IF(AND($BW$2&lt;&gt;"Enter Spend&gt;&gt;&gt;",'Customer Inputs'!$U$7="EXISTING"),SUMIFS('Existing Customers'!$U:$U,'Existing Customers'!$H:$H,$BV16,'Existing Customers'!$A:$A,$BW$1),CN16*BW16),0)</f>
        <v>0</v>
      </c>
      <c r="CE16" s="1164" t="e">
        <f>_xlfn.CONCAT($AW$1,"_",IF(NOT(ISBLANK('Customer Inputs'!$H$7)),'Customer Inputs'!$H$7,""),"_",IF(AND(NOT(ISBLANK('Customer Inputs'!$G$7)),'Customer Inputs'!$G$7&lt;&gt;"New"),IF('Customer Inputs'!$M$7&lt;&gt;"Enter Menu Type&gt;&gt;",IF('Customer Inputs'!$R$7=0,'Customer Inputs'!$M$7,'Customer Inputs'!$R$7),'Customer Inputs'!$R$7),""),"_",BV16)</f>
        <v>#N/A</v>
      </c>
      <c r="CF16" s="1164">
        <f t="array" ref="CF16">IFERROR(INDEX('Margin Guidence Table'!$A$1:$AD$30000,MATCH(1,('Margin Guidence Table'!$A$1:$A$30000=$CE16)*('Margin Guidence Table'!$H$1:$H$30000&lt;=ROUND($BW$3,0))*('Margin Guidence Table'!$G$1:$G$30000&gt;=ROUND($BW$3,0)),0),MATCH("DATA_POINTS",'Margin Guidence Table'!$A$1:$AC$1,0)),0)</f>
        <v>0</v>
      </c>
      <c r="CG16" s="1161" t="str">
        <f t="shared" si="25"/>
        <v>DEFAULT</v>
      </c>
      <c r="CH16" s="1161">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1">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5">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5">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5">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5">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5">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5">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1">
        <f>IFERROR(IF(AND($CS$2&lt;&gt;"Enter Spend&gt;&gt;&gt;",'Customer Inputs'!$U$8="EXISTING"),SUMIFS('Existing Customers'!$S:$S,'Existing Customers'!$H:$H,$CR16,'Existing Customers'!$A:$A,$CS$1),DI16*CS16),0)</f>
        <v>0</v>
      </c>
      <c r="CZ16" s="1161">
        <f>IFERROR(IF(AND($CS$2&lt;&gt;"Enter Spend&gt;&gt;&gt;",'Customer Inputs'!$U$8="EXISTING"),SUMIFS('Existing Customers'!$U:$U,'Existing Customers'!$H:$H,$CR16,'Existing Customers'!$A:$A,$CS$1),DJ16*CS16),0)</f>
        <v>0</v>
      </c>
      <c r="DA16" s="1164" t="e">
        <f>_xlfn.CONCAT($AW$1,"_",IF(NOT(ISBLANK('Customer Inputs'!$H$8)),'Customer Inputs'!$H$8,""),"_",IF(AND(NOT(ISBLANK('Customer Inputs'!$G$8)),'Customer Inputs'!$G$8&lt;&gt;"New"),IF('Customer Inputs'!$M$8&lt;&gt;"Enter Menu Type&gt;&gt;",IF('Customer Inputs'!$R$8=0,'Customer Inputs'!$M$8,'Customer Inputs'!$R$8),'Customer Inputs'!$R$8),""),"_",CR16)</f>
        <v>#N/A</v>
      </c>
      <c r="DB16" s="1164">
        <f t="array" ref="DB16">IFERROR(INDEX('Margin Guidence Table'!$A$1:$AD$30000,MATCH(1,('Margin Guidence Table'!$A$1:$A$30000=DA16)*('Margin Guidence Table'!$H$1:$H$30000&lt;=ROUND($CS$3,0))*('Margin Guidence Table'!$G$1:$G$30000&gt;=ROUND($CS$3,0)),0),MATCH("DATA_POINTS",'Margin Guidence Table'!$A$1:$AC$1,0)),0)</f>
        <v>0</v>
      </c>
      <c r="DC16" s="1161" t="str">
        <f t="shared" si="26"/>
        <v>DEFAULT</v>
      </c>
      <c r="DD16" s="1161">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1">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5">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5">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5">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5">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5">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5">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1">
        <f>IFERROR(IF(AND($DO$2&lt;&gt;"Enter Spend&gt;&gt;&gt;",'Customer Inputs'!$U$9="EXISTING"),SUMIFS('Existing Customers'!$S:$S,'Existing Customers'!$H:$H,$DP16,'Existing Customers'!$A:$A,$DO$1),EE16*DO16),0)</f>
        <v>0</v>
      </c>
      <c r="DV16" s="1161">
        <f>IFERROR(IF(AND($DO$2&lt;&gt;"Enter Spend&gt;&gt;&gt;",'Customer Inputs'!$U$9="EXISTING"),SUMIFS('Existing Customers'!$U:$U,'Existing Customers'!$H:$H,$DN16,'Existing Customers'!$A:$A,$DO$1),EF16*DO16),0)</f>
        <v>0</v>
      </c>
      <c r="DW16" s="1164" t="e">
        <f>_xlfn.CONCAT($AW$1,"_",IF(NOT(ISBLANK('Customer Inputs'!$H$9)),'Customer Inputs'!$H$9,""),"_",IF(AND(NOT(ISBLANK('Customer Inputs'!$G$9)),'Customer Inputs'!$G$9&lt;&gt;"New"),IF('Customer Inputs'!$M$9&lt;&gt;"Enter Menu Type&gt;&gt;",IF('Customer Inputs'!$R$9=0,'Customer Inputs'!$M$9,'Customer Inputs'!$R$9),'Customer Inputs'!$R$9),""),"_",DN16)</f>
        <v>#N/A</v>
      </c>
      <c r="DX16" s="1164">
        <f t="array" ref="DX16">IFERROR(INDEX('Margin Guidence Table'!$A$1:$AD$30000,MATCH(1,('Margin Guidence Table'!$A$1:$A$30000=DW16)*('Margin Guidence Table'!$H$1:$H$30000&lt;=ROUND($DO$3,0))*('Margin Guidence Table'!$G$1:$G$30000&gt;=ROUND($DO$3,0)),0),MATCH("DATA_POINTS",'Margin Guidence Table'!$A$1:$AC$1,0)),0)</f>
        <v>0</v>
      </c>
      <c r="DY16" s="1161" t="str">
        <f t="shared" si="27"/>
        <v>DEFAULT</v>
      </c>
      <c r="DZ16" s="1161">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1">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5">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5">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5">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5">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5">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5">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1">
        <f>IFERROR(IF(AND($EK$2&lt;&gt;"Enter Spend&gt;&gt;&gt;",'Customer Inputs'!$U$10="EXISTING"),SUMIFS('Existing Customers'!$S:$S,'Existing Customers'!$H:$H,$EJ16,'Existing Customers'!$A:$A,$EK$1),FA16*EK16),0)</f>
        <v>0</v>
      </c>
      <c r="ER16" s="1161">
        <f>IFERROR(IF(AND($EK$2&lt;&gt;"Enter Spend&gt;&gt;&gt;",'Customer Inputs'!$U$10="EXISTING"),SUMIFS('Existing Customers'!$U:$U,'Existing Customers'!$H:$H,$EJ16,'Existing Customers'!$A:$A,$EK$1),FB16*EK16),0)</f>
        <v>0</v>
      </c>
      <c r="ES16" s="1164" t="e">
        <f>_xlfn.CONCAT($AW$1,"_",IF(NOT(ISBLANK('Customer Inputs'!$H$10)),'Customer Inputs'!$H$10,""),"_",IF(AND(NOT(ISBLANK('Customer Inputs'!$G$10)),'Customer Inputs'!$G$10&lt;&gt;"New"),IF('Customer Inputs'!$M$10&lt;&gt;"Enter Menu Type&gt;&gt;",IF('Customer Inputs'!$R$10=0,'Customer Inputs'!$M$10,'Customer Inputs'!$R$10),'Customer Inputs'!$R$10),""),"_",EJ16)</f>
        <v>#N/A</v>
      </c>
      <c r="ET16" s="1164">
        <f t="array" ref="ET16">IFERROR(INDEX('Margin Guidence Table'!$A$1:$AD$30000,MATCH(1,('Margin Guidence Table'!$A$1:$A$30000=ES16)*('Margin Guidence Table'!$H$1:$H$30000&lt;=ROUND($EK$3,0))*('Margin Guidence Table'!$G$1:$G$30000&gt;=ROUND($EK$3,0)),0),MATCH("DATA_POINTS",'Margin Guidence Table'!$A$1:$AC$1,0)),0)</f>
        <v>0</v>
      </c>
      <c r="EU16" s="1161" t="str">
        <f t="shared" si="28"/>
        <v>DEFAULT</v>
      </c>
      <c r="EV16" s="1161">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1"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5">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5">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5">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5">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5">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5">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1">
        <f>IFERROR(IF(AND($FG$2&lt;&gt;"Enter Spend&gt;&gt;&gt;",'Customer Inputs'!$U$11="EXISTING"),SUMIFS('Existing Customers'!$S:$S,'Existing Customers'!$H:$H,$FF16,'Existing Customers'!$A:$A,$FG$1),FW16*FG16),0)</f>
        <v>0</v>
      </c>
      <c r="FN16" s="1161">
        <f>IFERROR(IF(AND($FG$2&lt;&gt;"Enter Spend&gt;&gt;&gt;",'Customer Inputs'!$U$11="EXISTING"),SUMIFS('Existing Customers'!$U:$U,'Existing Customers'!$H:$H,$FF16,'Existing Customers'!$A:$A,$FG$1),FX16*FG16),0)</f>
        <v>0</v>
      </c>
      <c r="FO16" s="1164" t="e">
        <f>_xlfn.CONCAT($AW$1,"_",IF(NOT(ISBLANK('Customer Inputs'!$H$11)),'Customer Inputs'!$H$11,""),"_",IF(AND(NOT(ISBLANK('Customer Inputs'!$G$11)),'Customer Inputs'!$G$11&lt;&gt;"New"),IF('Customer Inputs'!$M$11&lt;&gt;"Enter Menu Type&gt;&gt;",IF('Customer Inputs'!$R$11=0,'Customer Inputs'!$M$11,'Customer Inputs'!$R$11),'Customer Inputs'!$R$11),""),"_",FF16)</f>
        <v>#N/A</v>
      </c>
      <c r="FP16" s="1164">
        <f t="array" ref="FP16">IFERROR(INDEX('Margin Guidence Table'!$A$1:$AD$30000,MATCH(1,('Margin Guidence Table'!$A$1:$A$30000=FO16)*('Margin Guidence Table'!$H$1:$H$30000&lt;=ROUND($FG$3,0))*('Margin Guidence Table'!$G$1:$G$30000&gt;=ROUND($FG$3,0)),0),MATCH("DATA_POINTS",'Margin Guidence Table'!$A$1:$AC$1,0)),0)</f>
        <v>0</v>
      </c>
      <c r="FQ16" s="1161" t="str">
        <f t="shared" si="29"/>
        <v>DEFAULT</v>
      </c>
      <c r="FR16" s="1161">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1">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5">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5">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5">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5">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5">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5">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1">
        <f>IFERROR(IF(AND($GC$2&lt;&gt;"Enter Spend&gt;&gt;&gt;",'Customer Inputs'!$U$12="EXISTING"),SUMIFS('Existing Customers'!$S:$S,'Existing Customers'!$H:$H,$GB16,'Existing Customers'!$A:$A,$GC$1),GS16*GC16),0)</f>
        <v>0</v>
      </c>
      <c r="GJ16" s="1161">
        <f>IFERROR(IF(AND($GC$2&lt;&gt;"Enter Spend&gt;&gt;&gt;",'Customer Inputs'!$U$12="EXISTING"),SUMIFS('Existing Customers'!$U:$U,'Existing Customers'!$H:$H,$GB16,'Existing Customers'!$A:$A,$GC$1),GT16*GC16),0)</f>
        <v>0</v>
      </c>
      <c r="GK16" s="1164" t="e">
        <f>_xlfn.CONCAT($AW$1,"_",IF(NOT(ISBLANK('Customer Inputs'!$H$12)),'Customer Inputs'!$H$12,""),"_",IF(AND(NOT(ISBLANK('Customer Inputs'!$G$12)),'Customer Inputs'!$G$12&lt;&gt;"New"),IF('Customer Inputs'!$M$12&lt;&gt;"Enter Menu Type&gt;&gt;",IF('Customer Inputs'!$R$12=0,'Customer Inputs'!$M$12,'Customer Inputs'!$R$12),'Customer Inputs'!$R$12),""),"_",GB16)</f>
        <v>#N/A</v>
      </c>
      <c r="GL16" s="1164">
        <f t="array" ref="GL16">IFERROR(INDEX('Margin Guidence Table'!$A$1:$AD$30000,MATCH(1,('Margin Guidence Table'!$A$1:$A$30000=GK16)*('Margin Guidence Table'!$H$1:$H$30000&lt;=ROUND($GC$3,0))*('Margin Guidence Table'!$G$1:$G$30000&gt;=ROUND($GC$3,0)),0),MATCH("DATA_POINTS",'Margin Guidence Table'!$A$1:$AC$1,0)),0)</f>
        <v>0</v>
      </c>
      <c r="GM16" s="1161" t="str">
        <f t="shared" si="30"/>
        <v>DEFAULT</v>
      </c>
      <c r="GN16" s="1161">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1">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5">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5">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5">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5">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5">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5">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1">
        <f>IFERROR(IF(AND($GY$2&lt;&gt;"Enter Spend&gt;&gt;&gt;",'Customer Inputs'!$U$13="EXISTING"),SUMIFS('Existing Customers'!$S:$S,'Existing Customers'!$H:$H,$GX16,'Existing Customers'!$A:$A,$GY$1),HO16*GY16),0)</f>
        <v>0</v>
      </c>
      <c r="HF16" s="1161">
        <f>IFERROR(IF(AND($GY$2&lt;&gt;"Enter Spend&gt;&gt;&gt;",'Customer Inputs'!$U$13="EXISTING"),SUMIFS('Existing Customers'!$U:$U,'Existing Customers'!$H:$H,$GX16,'Existing Customers'!$A:$A,$GY$1),HP16*GY16),0)</f>
        <v>0</v>
      </c>
      <c r="HG16" s="1164" t="e">
        <f>_xlfn.CONCAT($AW$1,"_",IF(NOT(ISBLANK('Customer Inputs'!$H$13)),'Customer Inputs'!$H$13,""),"_",IF(AND(NOT(ISBLANK('Customer Inputs'!$G$13)),'Customer Inputs'!$G$13&lt;&gt;"New"),IF('Customer Inputs'!$M$13&lt;&gt;"Enter Menu Type&gt;&gt;",IF('Customer Inputs'!$R$13=0,'Customer Inputs'!$M$13,'Customer Inputs'!$R$13),'Customer Inputs'!$R$13),""),"_",GX16)</f>
        <v>#N/A</v>
      </c>
      <c r="HH16" s="1164">
        <f t="array" ref="HH16">IFERROR(INDEX('Margin Guidence Table'!$A$1:$AD$30000,MATCH(1,('Margin Guidence Table'!$A$1:$A$30000=HG16)*('Margin Guidence Table'!$H$1:$H$30000&lt;=ROUND($GY$3,0))*('Margin Guidence Table'!$G$1:$G$30000&gt;=ROUND($GY$3,0)),0),MATCH("DATA_POINTS",'Margin Guidence Table'!$A$1:$AC$1,0)),0)</f>
        <v>0</v>
      </c>
      <c r="HI16" s="1161" t="str">
        <f t="shared" si="31"/>
        <v>DEFAULT</v>
      </c>
      <c r="HJ16" s="1161">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1">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5">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5">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5">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5">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5">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5">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1">
        <f>IFERROR(IF(AND($HU$2&lt;&gt;"Enter Spend&gt;&gt;&gt;",'Customer Inputs'!$U$14="EXISTING"),SUMIFS('Existing Customers'!$S:$S,'Existing Customers'!$H:$H,$HT16,'Existing Customers'!$A:$A,$HU$1),IK16*HU16),0)</f>
        <v>0</v>
      </c>
      <c r="IB16" s="1161">
        <f>IFERROR(IF(AND($HU$2&lt;&gt;"Enter Spend&gt;&gt;&gt;",'Customer Inputs'!$U$14="EXISTING"),SUMIFS('Existing Customers'!$U:$U,'Existing Customers'!$H:$H,$HT16,'Existing Customers'!$A:$A,$HU$1),IL16*HU16),0)</f>
        <v>0</v>
      </c>
      <c r="IC16" s="1164" t="e">
        <f>_xlfn.CONCAT($AW$1,"_",IF(NOT(ISBLANK('Customer Inputs'!$H$14)),'Customer Inputs'!$H$14,""),"_",IF(AND(NOT(ISBLANK('Customer Inputs'!$G$14)),'Customer Inputs'!$G$14&lt;&gt;"New"),IF('Customer Inputs'!$M$14&lt;&gt;"Enter Menu Type&gt;&gt;",IF('Customer Inputs'!$R$14=0,'Customer Inputs'!$M$14,'Customer Inputs'!$R$14),'Customer Inputs'!$R$14),""),"_",HT16)</f>
        <v>#N/A</v>
      </c>
      <c r="ID16" s="1164">
        <f t="array" ref="ID16">IFERROR(INDEX('Margin Guidence Table'!$A$1:$AD$30000,MATCH(1,('Margin Guidence Table'!$A$1:$A$30000=IC16)*('Margin Guidence Table'!$H$1:$H$30000&lt;=ROUND($HU$3,0))*('Margin Guidence Table'!$G$1:$G$30000&gt;=ROUND($HU$3,0)),0),MATCH("DATA_POINTS",'Margin Guidence Table'!$A$1:$AC$1,0)),0)</f>
        <v>0</v>
      </c>
      <c r="IE16" s="1161" t="str">
        <f t="shared" si="32"/>
        <v>DEFAULT</v>
      </c>
      <c r="IF16" s="1161">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1">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5">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5">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5">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5">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5">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5">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1">
        <f>IFERROR(IF(AND($IQ$2&lt;&gt;"Enter Spend&gt;&gt;&gt;",'Customer Inputs'!$U$15="EXISTING"),SUMIFS('Existing Customers'!$S:$S,'Existing Customers'!$H:$H,$IP16,'Existing Customers'!$A:$A,$IQ$1),JG16*IQ16),0)</f>
        <v>0</v>
      </c>
      <c r="IX16" s="1161">
        <f>IFERROR(IF(AND($IQ$2&lt;&gt;"Enter Spend&gt;&gt;&gt;",'Customer Inputs'!$U$15="EXISTING"),SUMIFS('Existing Customers'!$U:$U,'Existing Customers'!$H:$H,$IP16,'Existing Customers'!$A:$A,$IQ$1),JH16*IQ16),0)</f>
        <v>0</v>
      </c>
      <c r="IY16" s="1164" t="e">
        <f>_xlfn.CONCAT($AW$1,"_",IF(NOT(ISBLANK('Customer Inputs'!$H$15)),'Customer Inputs'!$H$15,""),"_",IF(AND(NOT(ISBLANK('Customer Inputs'!$G$15)),'Customer Inputs'!$G$15&lt;&gt;"New"),IF('Customer Inputs'!$M$15&lt;&gt;"Enter Menu Type&gt;&gt;",IF('Customer Inputs'!$R$15=0,'Customer Inputs'!$M$15,'Customer Inputs'!$R$15),'Customer Inputs'!$R$15),""),"_",IP16)</f>
        <v>#N/A</v>
      </c>
      <c r="IZ16" s="1164">
        <f t="array" ref="IZ16">IFERROR(INDEX('Margin Guidence Table'!$A$1:$AD$30000,MATCH(1,('Margin Guidence Table'!$A$1:$A$30000=IY16)*('Margin Guidence Table'!$H$1:$H$30000&lt;=ROUND($IQ$3,0))*('Margin Guidence Table'!$G$1:$G$30000&gt;=ROUND($IQ$3,0)),0),MATCH("DATA_POINTS",'Margin Guidence Table'!$A$1:$AC$1,0)),0)</f>
        <v>0</v>
      </c>
      <c r="JA16" s="1161" t="str">
        <f t="shared" si="33"/>
        <v>DEFAULT</v>
      </c>
      <c r="JB16" s="1161">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1">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5">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5">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5">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5">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5">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5">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7" t="e">
        <f t="shared" si="0"/>
        <v>#DIV/0!</v>
      </c>
      <c r="J17" s="1157" t="e">
        <f t="shared" si="0"/>
        <v>#DIV/0!</v>
      </c>
      <c r="K17" s="1157" t="e">
        <f t="shared" si="0"/>
        <v>#DIV/0!</v>
      </c>
      <c r="L17" s="496" t="e">
        <f t="shared" si="1"/>
        <v>#DIV/0!</v>
      </c>
      <c r="M17" s="496" t="e">
        <f t="shared" si="15"/>
        <v>#DIV/0!</v>
      </c>
      <c r="N17" s="1158"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3" t="e">
        <f>_xlfn.CONCAT($AW$1,"_",IF(NOT(ISBLANK('Customer Inputs'!$H$6)),'Customer Inputs'!$H$6,""),"_",IF(AND(NOT(ISBLANK('Customer Inputs'!$G$6)),'Customer Inputs'!$G$6&lt;&gt;"New"),IF('Customer Inputs'!$M$6&lt;&gt;"Enter Menu Type&gt;&gt;",IF('Customer Inputs'!$R$6=0,'Customer Inputs'!$M$6,'Customer Inputs'!$R$6),'Customer Inputs'!$R$6),""),"_",AZ17)</f>
        <v>#N/A</v>
      </c>
      <c r="BJ17" s="1164">
        <f t="array" ref="BJ17">IFERROR(INDEX('Margin Guidence Table'!$A$1:$AD$30000,MATCH(1,('Margin Guidence Table'!$A$1:$A$30000=$BI17)*('Margin Guidence Table'!$H$1:$H$30000&lt;=ROUND($BA$3,0))*('Margin Guidence Table'!$G$1:$G$30000&gt;=ROUND($BA$3,0)),0),MATCH("DATA_POINTS",'Margin Guidence Table'!$A$1:$AC$1,0)),0)</f>
        <v>0</v>
      </c>
      <c r="BK17" s="1161" t="str">
        <f t="shared" si="24"/>
        <v>DEFAULT</v>
      </c>
      <c r="BL17" s="1161">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1">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5">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5">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5">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5">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5">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5">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1">
        <f>IFERROR(IF(AND($BW$2&lt;&gt;"Enter Spend&gt;&gt;&gt;",'Customer Inputs'!$U$7="EXISTING"),SUMIFS('Existing Customers'!$S:$S,'Existing Customers'!$H:$H,$BV17,'Existing Customers'!$A:$A,$BW$1),CM17*BW17),0)</f>
        <v>0</v>
      </c>
      <c r="CD17" s="1161">
        <f>IFERROR(IF(AND($BW$2&lt;&gt;"Enter Spend&gt;&gt;&gt;",'Customer Inputs'!$U$7="EXISTING"),SUMIFS('Existing Customers'!$U:$U,'Existing Customers'!$H:$H,$BV17,'Existing Customers'!$A:$A,$BW$1),CN17*BW17),0)</f>
        <v>0</v>
      </c>
      <c r="CE17" s="1164" t="e">
        <f>_xlfn.CONCAT($AW$1,"_",IF(NOT(ISBLANK('Customer Inputs'!$H$7)),'Customer Inputs'!$H$7,""),"_",IF(AND(NOT(ISBLANK('Customer Inputs'!$G$7)),'Customer Inputs'!$G$7&lt;&gt;"New"),IF('Customer Inputs'!$M$7&lt;&gt;"Enter Menu Type&gt;&gt;",IF('Customer Inputs'!$R$7=0,'Customer Inputs'!$M$7,'Customer Inputs'!$R$7),'Customer Inputs'!$R$7),""),"_",BV17)</f>
        <v>#N/A</v>
      </c>
      <c r="CF17" s="1164">
        <f t="array" ref="CF17">IFERROR(INDEX('Margin Guidence Table'!$A$1:$AD$30000,MATCH(1,('Margin Guidence Table'!$A$1:$A$30000=$CE17)*('Margin Guidence Table'!$H$1:$H$30000&lt;=ROUND($BW$3,0))*('Margin Guidence Table'!$G$1:$G$30000&gt;=ROUND($BW$3,0)),0),MATCH("DATA_POINTS",'Margin Guidence Table'!$A$1:$AC$1,0)),0)</f>
        <v>0</v>
      </c>
      <c r="CG17" s="1161" t="str">
        <f t="shared" si="25"/>
        <v>DEFAULT</v>
      </c>
      <c r="CH17" s="1161">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1">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5">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5">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5">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5">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5">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5">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1">
        <f>IFERROR(IF(AND($CS$2&lt;&gt;"Enter Spend&gt;&gt;&gt;",'Customer Inputs'!$U$8="EXISTING"),SUMIFS('Existing Customers'!$S:$S,'Existing Customers'!$H:$H,$CR17,'Existing Customers'!$A:$A,$CS$1),DI17*CS17),0)</f>
        <v>0</v>
      </c>
      <c r="CZ17" s="1161">
        <f>IFERROR(IF(AND($CS$2&lt;&gt;"Enter Spend&gt;&gt;&gt;",'Customer Inputs'!$U$8="EXISTING"),SUMIFS('Existing Customers'!$U:$U,'Existing Customers'!$H:$H,$CR17,'Existing Customers'!$A:$A,$CS$1),DJ17*CS17),0)</f>
        <v>0</v>
      </c>
      <c r="DA17" s="1164" t="e">
        <f>_xlfn.CONCAT($AW$1,"_",IF(NOT(ISBLANK('Customer Inputs'!$H$8)),'Customer Inputs'!$H$8,""),"_",IF(AND(NOT(ISBLANK('Customer Inputs'!$G$8)),'Customer Inputs'!$G$8&lt;&gt;"New"),IF('Customer Inputs'!$M$8&lt;&gt;"Enter Menu Type&gt;&gt;",IF('Customer Inputs'!$R$8=0,'Customer Inputs'!$M$8,'Customer Inputs'!$R$8),'Customer Inputs'!$R$8),""),"_",CR17)</f>
        <v>#N/A</v>
      </c>
      <c r="DB17" s="1164">
        <f t="array" ref="DB17">IFERROR(INDEX('Margin Guidence Table'!$A$1:$AD$30000,MATCH(1,('Margin Guidence Table'!$A$1:$A$30000=DA17)*('Margin Guidence Table'!$H$1:$H$30000&lt;=ROUND($CS$3,0))*('Margin Guidence Table'!$G$1:$G$30000&gt;=ROUND($CS$3,0)),0),MATCH("DATA_POINTS",'Margin Guidence Table'!$A$1:$AC$1,0)),0)</f>
        <v>0</v>
      </c>
      <c r="DC17" s="1161" t="str">
        <f t="shared" si="26"/>
        <v>DEFAULT</v>
      </c>
      <c r="DD17" s="1161">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1">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5">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5">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5">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5">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5">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5">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1">
        <f>IFERROR(IF(AND($DO$2&lt;&gt;"Enter Spend&gt;&gt;&gt;",'Customer Inputs'!$U$9="EXISTING"),SUMIFS('Existing Customers'!$S:$S,'Existing Customers'!$H:$H,$DP17,'Existing Customers'!$A:$A,$DO$1),EE17*DO17),0)</f>
        <v>0</v>
      </c>
      <c r="DV17" s="1161">
        <f>IFERROR(IF(AND($DO$2&lt;&gt;"Enter Spend&gt;&gt;&gt;",'Customer Inputs'!$U$9="EXISTING"),SUMIFS('Existing Customers'!$U:$U,'Existing Customers'!$H:$H,$DN17,'Existing Customers'!$A:$A,$DO$1),EF17*DO17),0)</f>
        <v>0</v>
      </c>
      <c r="DW17" s="1164" t="e">
        <f>_xlfn.CONCAT($AW$1,"_",IF(NOT(ISBLANK('Customer Inputs'!$H$9)),'Customer Inputs'!$H$9,""),"_",IF(AND(NOT(ISBLANK('Customer Inputs'!$G$9)),'Customer Inputs'!$G$9&lt;&gt;"New"),IF('Customer Inputs'!$M$9&lt;&gt;"Enter Menu Type&gt;&gt;",IF('Customer Inputs'!$R$9=0,'Customer Inputs'!$M$9,'Customer Inputs'!$R$9),'Customer Inputs'!$R$9),""),"_",DN17)</f>
        <v>#N/A</v>
      </c>
      <c r="DX17" s="1164">
        <f t="array" ref="DX17">IFERROR(INDEX('Margin Guidence Table'!$A$1:$AD$30000,MATCH(1,('Margin Guidence Table'!$A$1:$A$30000=DW17)*('Margin Guidence Table'!$H$1:$H$30000&lt;=ROUND($DO$3,0))*('Margin Guidence Table'!$G$1:$G$30000&gt;=ROUND($DO$3,0)),0),MATCH("DATA_POINTS",'Margin Guidence Table'!$A$1:$AC$1,0)),0)</f>
        <v>0</v>
      </c>
      <c r="DY17" s="1161" t="str">
        <f t="shared" si="27"/>
        <v>DEFAULT</v>
      </c>
      <c r="DZ17" s="1161">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1">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5">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5">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5">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5">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5">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5">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1">
        <f>IFERROR(IF(AND($EK$2&lt;&gt;"Enter Spend&gt;&gt;&gt;",'Customer Inputs'!$U$10="EXISTING"),SUMIFS('Existing Customers'!$S:$S,'Existing Customers'!$H:$H,$EJ17,'Existing Customers'!$A:$A,$EK$1),FA17*EK17),0)</f>
        <v>0</v>
      </c>
      <c r="ER17" s="1161">
        <f>IFERROR(IF(AND($EK$2&lt;&gt;"Enter Spend&gt;&gt;&gt;",'Customer Inputs'!$U$10="EXISTING"),SUMIFS('Existing Customers'!$U:$U,'Existing Customers'!$H:$H,$EJ17,'Existing Customers'!$A:$A,$EK$1),FB17*EK17),0)</f>
        <v>0</v>
      </c>
      <c r="ES17" s="1164" t="e">
        <f>_xlfn.CONCAT($AW$1,"_",IF(NOT(ISBLANK('Customer Inputs'!$H$10)),'Customer Inputs'!$H$10,""),"_",IF(AND(NOT(ISBLANK('Customer Inputs'!$G$10)),'Customer Inputs'!$G$10&lt;&gt;"New"),IF('Customer Inputs'!$M$10&lt;&gt;"Enter Menu Type&gt;&gt;",IF('Customer Inputs'!$R$10=0,'Customer Inputs'!$M$10,'Customer Inputs'!$R$10),'Customer Inputs'!$R$10),""),"_",EJ17)</f>
        <v>#N/A</v>
      </c>
      <c r="ET17" s="1164">
        <f t="array" ref="ET17">IFERROR(INDEX('Margin Guidence Table'!$A$1:$AD$30000,MATCH(1,('Margin Guidence Table'!$A$1:$A$30000=ES17)*('Margin Guidence Table'!$H$1:$H$30000&lt;=ROUND($EK$3,0))*('Margin Guidence Table'!$G$1:$G$30000&gt;=ROUND($EK$3,0)),0),MATCH("DATA_POINTS",'Margin Guidence Table'!$A$1:$AC$1,0)),0)</f>
        <v>0</v>
      </c>
      <c r="EU17" s="1161" t="str">
        <f t="shared" si="28"/>
        <v>DEFAULT</v>
      </c>
      <c r="EV17" s="1161">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1"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5">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5">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5">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5">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5">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5">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1">
        <f>IFERROR(IF(AND($FG$2&lt;&gt;"Enter Spend&gt;&gt;&gt;",'Customer Inputs'!$U$11="EXISTING"),SUMIFS('Existing Customers'!$S:$S,'Existing Customers'!$H:$H,$FF17,'Existing Customers'!$A:$A,$FG$1),FW17*FG17),0)</f>
        <v>0</v>
      </c>
      <c r="FN17" s="1161">
        <f>IFERROR(IF(AND($FG$2&lt;&gt;"Enter Spend&gt;&gt;&gt;",'Customer Inputs'!$U$11="EXISTING"),SUMIFS('Existing Customers'!$U:$U,'Existing Customers'!$H:$H,$FF17,'Existing Customers'!$A:$A,$FG$1),FX17*FG17),0)</f>
        <v>0</v>
      </c>
      <c r="FO17" s="1164" t="e">
        <f>_xlfn.CONCAT($AW$1,"_",IF(NOT(ISBLANK('Customer Inputs'!$H$11)),'Customer Inputs'!$H$11,""),"_",IF(AND(NOT(ISBLANK('Customer Inputs'!$G$11)),'Customer Inputs'!$G$11&lt;&gt;"New"),IF('Customer Inputs'!$M$11&lt;&gt;"Enter Menu Type&gt;&gt;",IF('Customer Inputs'!$R$11=0,'Customer Inputs'!$M$11,'Customer Inputs'!$R$11),'Customer Inputs'!$R$11),""),"_",FF17)</f>
        <v>#N/A</v>
      </c>
      <c r="FP17" s="1164">
        <f t="array" ref="FP17">IFERROR(INDEX('Margin Guidence Table'!$A$1:$AD$30000,MATCH(1,('Margin Guidence Table'!$A$1:$A$30000=FO17)*('Margin Guidence Table'!$H$1:$H$30000&lt;=ROUND($FG$3,0))*('Margin Guidence Table'!$G$1:$G$30000&gt;=ROUND($FG$3,0)),0),MATCH("DATA_POINTS",'Margin Guidence Table'!$A$1:$AC$1,0)),0)</f>
        <v>0</v>
      </c>
      <c r="FQ17" s="1161" t="str">
        <f t="shared" si="29"/>
        <v>DEFAULT</v>
      </c>
      <c r="FR17" s="1161">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1">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5">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5">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5">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5">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5">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5">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1">
        <f>IFERROR(IF(AND($GC$2&lt;&gt;"Enter Spend&gt;&gt;&gt;",'Customer Inputs'!$U$12="EXISTING"),SUMIFS('Existing Customers'!$S:$S,'Existing Customers'!$H:$H,$GB17,'Existing Customers'!$A:$A,$GC$1),GS17*GC17),0)</f>
        <v>0</v>
      </c>
      <c r="GJ17" s="1161">
        <f>IFERROR(IF(AND($GC$2&lt;&gt;"Enter Spend&gt;&gt;&gt;",'Customer Inputs'!$U$12="EXISTING"),SUMIFS('Existing Customers'!$U:$U,'Existing Customers'!$H:$H,$GB17,'Existing Customers'!$A:$A,$GC$1),GT17*GC17),0)</f>
        <v>0</v>
      </c>
      <c r="GK17" s="1164" t="e">
        <f>_xlfn.CONCAT($AW$1,"_",IF(NOT(ISBLANK('Customer Inputs'!$H$12)),'Customer Inputs'!$H$12,""),"_",IF(AND(NOT(ISBLANK('Customer Inputs'!$G$12)),'Customer Inputs'!$G$12&lt;&gt;"New"),IF('Customer Inputs'!$M$12&lt;&gt;"Enter Menu Type&gt;&gt;",IF('Customer Inputs'!$R$12=0,'Customer Inputs'!$M$12,'Customer Inputs'!$R$12),'Customer Inputs'!$R$12),""),"_",GB17)</f>
        <v>#N/A</v>
      </c>
      <c r="GL17" s="1164">
        <f t="array" ref="GL17">IFERROR(INDEX('Margin Guidence Table'!$A$1:$AD$30000,MATCH(1,('Margin Guidence Table'!$A$1:$A$30000=GK17)*('Margin Guidence Table'!$H$1:$H$30000&lt;=ROUND($GC$3,0))*('Margin Guidence Table'!$G$1:$G$30000&gt;=ROUND($GC$3,0)),0),MATCH("DATA_POINTS",'Margin Guidence Table'!$A$1:$AC$1,0)),0)</f>
        <v>0</v>
      </c>
      <c r="GM17" s="1161" t="str">
        <f t="shared" si="30"/>
        <v>DEFAULT</v>
      </c>
      <c r="GN17" s="1161">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1">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5">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5">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5">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5">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5">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5">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1">
        <f>IFERROR(IF(AND($GY$2&lt;&gt;"Enter Spend&gt;&gt;&gt;",'Customer Inputs'!$U$13="EXISTING"),SUMIFS('Existing Customers'!$S:$S,'Existing Customers'!$H:$H,$GX17,'Existing Customers'!$A:$A,$GY$1),HO17*GY17),0)</f>
        <v>0</v>
      </c>
      <c r="HF17" s="1161">
        <f>IFERROR(IF(AND($GY$2&lt;&gt;"Enter Spend&gt;&gt;&gt;",'Customer Inputs'!$U$13="EXISTING"),SUMIFS('Existing Customers'!$U:$U,'Existing Customers'!$H:$H,$GX17,'Existing Customers'!$A:$A,$GY$1),HP17*GY17),0)</f>
        <v>0</v>
      </c>
      <c r="HG17" s="1164" t="e">
        <f>_xlfn.CONCAT($AW$1,"_",IF(NOT(ISBLANK('Customer Inputs'!$H$13)),'Customer Inputs'!$H$13,""),"_",IF(AND(NOT(ISBLANK('Customer Inputs'!$G$13)),'Customer Inputs'!$G$13&lt;&gt;"New"),IF('Customer Inputs'!$M$13&lt;&gt;"Enter Menu Type&gt;&gt;",IF('Customer Inputs'!$R$13=0,'Customer Inputs'!$M$13,'Customer Inputs'!$R$13),'Customer Inputs'!$R$13),""),"_",GX17)</f>
        <v>#N/A</v>
      </c>
      <c r="HH17" s="1164">
        <f t="array" ref="HH17">IFERROR(INDEX('Margin Guidence Table'!$A$1:$AD$30000,MATCH(1,('Margin Guidence Table'!$A$1:$A$30000=HG17)*('Margin Guidence Table'!$H$1:$H$30000&lt;=ROUND($GY$3,0))*('Margin Guidence Table'!$G$1:$G$30000&gt;=ROUND($GY$3,0)),0),MATCH("DATA_POINTS",'Margin Guidence Table'!$A$1:$AC$1,0)),0)</f>
        <v>0</v>
      </c>
      <c r="HI17" s="1161" t="str">
        <f t="shared" si="31"/>
        <v>DEFAULT</v>
      </c>
      <c r="HJ17" s="1161">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1">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5">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5">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5">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5">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5">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5">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1">
        <f>IFERROR(IF(AND($HU$2&lt;&gt;"Enter Spend&gt;&gt;&gt;",'Customer Inputs'!$U$14="EXISTING"),SUMIFS('Existing Customers'!$S:$S,'Existing Customers'!$H:$H,$HT17,'Existing Customers'!$A:$A,$HU$1),IK17*HU17),0)</f>
        <v>0</v>
      </c>
      <c r="IB17" s="1161">
        <f>IFERROR(IF(AND($HU$2&lt;&gt;"Enter Spend&gt;&gt;&gt;",'Customer Inputs'!$U$14="EXISTING"),SUMIFS('Existing Customers'!$U:$U,'Existing Customers'!$H:$H,$HT17,'Existing Customers'!$A:$A,$HU$1),IL17*HU17),0)</f>
        <v>0</v>
      </c>
      <c r="IC17" s="1164" t="e">
        <f>_xlfn.CONCAT($AW$1,"_",IF(NOT(ISBLANK('Customer Inputs'!$H$14)),'Customer Inputs'!$H$14,""),"_",IF(AND(NOT(ISBLANK('Customer Inputs'!$G$14)),'Customer Inputs'!$G$14&lt;&gt;"New"),IF('Customer Inputs'!$M$14&lt;&gt;"Enter Menu Type&gt;&gt;",IF('Customer Inputs'!$R$14=0,'Customer Inputs'!$M$14,'Customer Inputs'!$R$14),'Customer Inputs'!$R$14),""),"_",HT17)</f>
        <v>#N/A</v>
      </c>
      <c r="ID17" s="1164">
        <f t="array" ref="ID17">IFERROR(INDEX('Margin Guidence Table'!$A$1:$AD$30000,MATCH(1,('Margin Guidence Table'!$A$1:$A$30000=IC17)*('Margin Guidence Table'!$H$1:$H$30000&lt;=ROUND($HU$3,0))*('Margin Guidence Table'!$G$1:$G$30000&gt;=ROUND($HU$3,0)),0),MATCH("DATA_POINTS",'Margin Guidence Table'!$A$1:$AC$1,0)),0)</f>
        <v>0</v>
      </c>
      <c r="IE17" s="1161" t="str">
        <f t="shared" si="32"/>
        <v>DEFAULT</v>
      </c>
      <c r="IF17" s="1161">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1">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5">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5">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5">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5">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5">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5">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1">
        <f>IFERROR(IF(AND($IQ$2&lt;&gt;"Enter Spend&gt;&gt;&gt;",'Customer Inputs'!$U$15="EXISTING"),SUMIFS('Existing Customers'!$S:$S,'Existing Customers'!$H:$H,$IP17,'Existing Customers'!$A:$A,$IQ$1),JG17*IQ17),0)</f>
        <v>0</v>
      </c>
      <c r="IX17" s="1161">
        <f>IFERROR(IF(AND($IQ$2&lt;&gt;"Enter Spend&gt;&gt;&gt;",'Customer Inputs'!$U$15="EXISTING"),SUMIFS('Existing Customers'!$U:$U,'Existing Customers'!$H:$H,$IP17,'Existing Customers'!$A:$A,$IQ$1),JH17*IQ17),0)</f>
        <v>0</v>
      </c>
      <c r="IY17" s="1164" t="e">
        <f>_xlfn.CONCAT($AW$1,"_",IF(NOT(ISBLANK('Customer Inputs'!$H$15)),'Customer Inputs'!$H$15,""),"_",IF(AND(NOT(ISBLANK('Customer Inputs'!$G$15)),'Customer Inputs'!$G$15&lt;&gt;"New"),IF('Customer Inputs'!$M$15&lt;&gt;"Enter Menu Type&gt;&gt;",IF('Customer Inputs'!$R$15=0,'Customer Inputs'!$M$15,'Customer Inputs'!$R$15),'Customer Inputs'!$R$15),""),"_",IP17)</f>
        <v>#N/A</v>
      </c>
      <c r="IZ17" s="1164">
        <f t="array" ref="IZ17">IFERROR(INDEX('Margin Guidence Table'!$A$1:$AD$30000,MATCH(1,('Margin Guidence Table'!$A$1:$A$30000=IY17)*('Margin Guidence Table'!$H$1:$H$30000&lt;=ROUND($IQ$3,0))*('Margin Guidence Table'!$G$1:$G$30000&gt;=ROUND($IQ$3,0)),0),MATCH("DATA_POINTS",'Margin Guidence Table'!$A$1:$AC$1,0)),0)</f>
        <v>0</v>
      </c>
      <c r="JA17" s="1161" t="str">
        <f t="shared" si="33"/>
        <v>DEFAULT</v>
      </c>
      <c r="JB17" s="1161">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1">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5">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5">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5">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5">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5">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5">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7" t="e">
        <f t="shared" si="0"/>
        <v>#DIV/0!</v>
      </c>
      <c r="J18" s="1157" t="e">
        <f t="shared" si="0"/>
        <v>#DIV/0!</v>
      </c>
      <c r="K18" s="1157" t="e">
        <f t="shared" si="0"/>
        <v>#DIV/0!</v>
      </c>
      <c r="L18" s="496" t="e">
        <f t="shared" si="1"/>
        <v>#DIV/0!</v>
      </c>
      <c r="M18" s="496" t="e">
        <f t="shared" si="15"/>
        <v>#DIV/0!</v>
      </c>
      <c r="N18" s="1158"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3" t="e">
        <f>_xlfn.CONCAT($AW$1,"_",IF(NOT(ISBLANK('Customer Inputs'!$H$6)),'Customer Inputs'!$H$6,""),"_",IF(AND(NOT(ISBLANK('Customer Inputs'!$G$6)),'Customer Inputs'!$G$6&lt;&gt;"New"),IF('Customer Inputs'!$M$6&lt;&gt;"Enter Menu Type&gt;&gt;",IF('Customer Inputs'!$R$6=0,'Customer Inputs'!$M$6,'Customer Inputs'!$R$6),'Customer Inputs'!$R$6),""),"_",AZ18)</f>
        <v>#N/A</v>
      </c>
      <c r="BJ18" s="1164">
        <f t="array" ref="BJ18">IFERROR(INDEX('Margin Guidence Table'!$A$1:$AD$30000,MATCH(1,('Margin Guidence Table'!$A$1:$A$30000=$BI18)*('Margin Guidence Table'!$H$1:$H$30000&lt;=ROUND($BA$3,0))*('Margin Guidence Table'!$G$1:$G$30000&gt;=ROUND($BA$3,0)),0),MATCH("DATA_POINTS",'Margin Guidence Table'!$A$1:$AC$1,0)),0)</f>
        <v>0</v>
      </c>
      <c r="BK18" s="1161" t="str">
        <f t="shared" si="24"/>
        <v>DEFAULT</v>
      </c>
      <c r="BL18" s="1161">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1">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5">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5">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5">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5">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5">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5">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1">
        <f>IFERROR(IF(AND($BW$2&lt;&gt;"Enter Spend&gt;&gt;&gt;",'Customer Inputs'!$U$7="EXISTING"),SUMIFS('Existing Customers'!$S:$S,'Existing Customers'!$H:$H,$BV18,'Existing Customers'!$A:$A,$BW$1),CM18*BW18),0)</f>
        <v>0</v>
      </c>
      <c r="CD18" s="1161">
        <f>IFERROR(IF(AND($BW$2&lt;&gt;"Enter Spend&gt;&gt;&gt;",'Customer Inputs'!$U$7="EXISTING"),SUMIFS('Existing Customers'!$U:$U,'Existing Customers'!$H:$H,$BV18,'Existing Customers'!$A:$A,$BW$1),CN18*BW18),0)</f>
        <v>0</v>
      </c>
      <c r="CE18" s="1164" t="e">
        <f>_xlfn.CONCAT($AW$1,"_",IF(NOT(ISBLANK('Customer Inputs'!$H$7)),'Customer Inputs'!$H$7,""),"_",IF(AND(NOT(ISBLANK('Customer Inputs'!$G$7)),'Customer Inputs'!$G$7&lt;&gt;"New"),IF('Customer Inputs'!$M$7&lt;&gt;"Enter Menu Type&gt;&gt;",IF('Customer Inputs'!$R$7=0,'Customer Inputs'!$M$7,'Customer Inputs'!$R$7),'Customer Inputs'!$R$7),""),"_",BV18)</f>
        <v>#N/A</v>
      </c>
      <c r="CF18" s="1164">
        <f t="array" ref="CF18">IFERROR(INDEX('Margin Guidence Table'!$A$1:$AD$30000,MATCH(1,('Margin Guidence Table'!$A$1:$A$30000=$CE18)*('Margin Guidence Table'!$H$1:$H$30000&lt;=ROUND($BW$3,0))*('Margin Guidence Table'!$G$1:$G$30000&gt;=ROUND($BW$3,0)),0),MATCH("DATA_POINTS",'Margin Guidence Table'!$A$1:$AC$1,0)),0)</f>
        <v>0</v>
      </c>
      <c r="CG18" s="1161" t="str">
        <f t="shared" si="25"/>
        <v>DEFAULT</v>
      </c>
      <c r="CH18" s="1161">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1">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5">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5">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5">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5">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5">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5">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1">
        <f>IFERROR(IF(AND($CS$2&lt;&gt;"Enter Spend&gt;&gt;&gt;",'Customer Inputs'!$U$8="EXISTING"),SUMIFS('Existing Customers'!$S:$S,'Existing Customers'!$H:$H,$CR18,'Existing Customers'!$A:$A,$CS$1),DI18*CS18),0)</f>
        <v>0</v>
      </c>
      <c r="CZ18" s="1161">
        <f>IFERROR(IF(AND($CS$2&lt;&gt;"Enter Spend&gt;&gt;&gt;",'Customer Inputs'!$U$8="EXISTING"),SUMIFS('Existing Customers'!$U:$U,'Existing Customers'!$H:$H,$CR18,'Existing Customers'!$A:$A,$CS$1),DJ18*CS18),0)</f>
        <v>0</v>
      </c>
      <c r="DA18" s="1164" t="e">
        <f>_xlfn.CONCAT($AW$1,"_",IF(NOT(ISBLANK('Customer Inputs'!$H$8)),'Customer Inputs'!$H$8,""),"_",IF(AND(NOT(ISBLANK('Customer Inputs'!$G$8)),'Customer Inputs'!$G$8&lt;&gt;"New"),IF('Customer Inputs'!$M$8&lt;&gt;"Enter Menu Type&gt;&gt;",IF('Customer Inputs'!$R$8=0,'Customer Inputs'!$M$8,'Customer Inputs'!$R$8),'Customer Inputs'!$R$8),""),"_",CR18)</f>
        <v>#N/A</v>
      </c>
      <c r="DB18" s="1164">
        <f t="array" ref="DB18">IFERROR(INDEX('Margin Guidence Table'!$A$1:$AD$30000,MATCH(1,('Margin Guidence Table'!$A$1:$A$30000=DA18)*('Margin Guidence Table'!$H$1:$H$30000&lt;=ROUND($CS$3,0))*('Margin Guidence Table'!$G$1:$G$30000&gt;=ROUND($CS$3,0)),0),MATCH("DATA_POINTS",'Margin Guidence Table'!$A$1:$AC$1,0)),0)</f>
        <v>0</v>
      </c>
      <c r="DC18" s="1161" t="str">
        <f t="shared" si="26"/>
        <v>DEFAULT</v>
      </c>
      <c r="DD18" s="1161">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1">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5">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5">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5">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5">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5">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5">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1">
        <f>IFERROR(IF(AND($DO$2&lt;&gt;"Enter Spend&gt;&gt;&gt;",'Customer Inputs'!$U$9="EXISTING"),SUMIFS('Existing Customers'!$S:$S,'Existing Customers'!$H:$H,$DP18,'Existing Customers'!$A:$A,$DO$1),EE18*DO18),0)</f>
        <v>0</v>
      </c>
      <c r="DV18" s="1161">
        <f>IFERROR(IF(AND($DO$2&lt;&gt;"Enter Spend&gt;&gt;&gt;",'Customer Inputs'!$U$9="EXISTING"),SUMIFS('Existing Customers'!$U:$U,'Existing Customers'!$H:$H,$DN18,'Existing Customers'!$A:$A,$DO$1),EF18*DO18),0)</f>
        <v>0</v>
      </c>
      <c r="DW18" s="1164" t="e">
        <f>_xlfn.CONCAT($AW$1,"_",IF(NOT(ISBLANK('Customer Inputs'!$H$9)),'Customer Inputs'!$H$9,""),"_",IF(AND(NOT(ISBLANK('Customer Inputs'!$G$9)),'Customer Inputs'!$G$9&lt;&gt;"New"),IF('Customer Inputs'!$M$9&lt;&gt;"Enter Menu Type&gt;&gt;",IF('Customer Inputs'!$R$9=0,'Customer Inputs'!$M$9,'Customer Inputs'!$R$9),'Customer Inputs'!$R$9),""),"_",DN18)</f>
        <v>#N/A</v>
      </c>
      <c r="DX18" s="1164">
        <f t="array" ref="DX18">IFERROR(INDEX('Margin Guidence Table'!$A$1:$AD$30000,MATCH(1,('Margin Guidence Table'!$A$1:$A$30000=DW18)*('Margin Guidence Table'!$H$1:$H$30000&lt;=ROUND($DO$3,0))*('Margin Guidence Table'!$G$1:$G$30000&gt;=ROUND($DO$3,0)),0),MATCH("DATA_POINTS",'Margin Guidence Table'!$A$1:$AC$1,0)),0)</f>
        <v>0</v>
      </c>
      <c r="DY18" s="1161" t="str">
        <f t="shared" si="27"/>
        <v>DEFAULT</v>
      </c>
      <c r="DZ18" s="1161">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1">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5">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5">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5">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5">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5">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5">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1">
        <f>IFERROR(IF(AND($EK$2&lt;&gt;"Enter Spend&gt;&gt;&gt;",'Customer Inputs'!$U$10="EXISTING"),SUMIFS('Existing Customers'!$S:$S,'Existing Customers'!$H:$H,$EJ18,'Existing Customers'!$A:$A,$EK$1),FA18*EK18),0)</f>
        <v>0</v>
      </c>
      <c r="ER18" s="1161">
        <f>IFERROR(IF(AND($EK$2&lt;&gt;"Enter Spend&gt;&gt;&gt;",'Customer Inputs'!$U$10="EXISTING"),SUMIFS('Existing Customers'!$U:$U,'Existing Customers'!$H:$H,$EJ18,'Existing Customers'!$A:$A,$EK$1),FB18*EK18),0)</f>
        <v>0</v>
      </c>
      <c r="ES18" s="1164" t="e">
        <f>_xlfn.CONCAT($AW$1,"_",IF(NOT(ISBLANK('Customer Inputs'!$H$10)),'Customer Inputs'!$H$10,""),"_",IF(AND(NOT(ISBLANK('Customer Inputs'!$G$10)),'Customer Inputs'!$G$10&lt;&gt;"New"),IF('Customer Inputs'!$M$10&lt;&gt;"Enter Menu Type&gt;&gt;",IF('Customer Inputs'!$R$10=0,'Customer Inputs'!$M$10,'Customer Inputs'!$R$10),'Customer Inputs'!$R$10),""),"_",EJ18)</f>
        <v>#N/A</v>
      </c>
      <c r="ET18" s="1164">
        <f t="array" ref="ET18">IFERROR(INDEX('Margin Guidence Table'!$A$1:$AD$30000,MATCH(1,('Margin Guidence Table'!$A$1:$A$30000=ES18)*('Margin Guidence Table'!$H$1:$H$30000&lt;=ROUND($EK$3,0))*('Margin Guidence Table'!$G$1:$G$30000&gt;=ROUND($EK$3,0)),0),MATCH("DATA_POINTS",'Margin Guidence Table'!$A$1:$AC$1,0)),0)</f>
        <v>0</v>
      </c>
      <c r="EU18" s="1161" t="str">
        <f t="shared" si="28"/>
        <v>DEFAULT</v>
      </c>
      <c r="EV18" s="1161">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1"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5">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5">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5">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5">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5">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5">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1">
        <f>IFERROR(IF(AND($FG$2&lt;&gt;"Enter Spend&gt;&gt;&gt;",'Customer Inputs'!$U$11="EXISTING"),SUMIFS('Existing Customers'!$S:$S,'Existing Customers'!$H:$H,$FF18,'Existing Customers'!$A:$A,$FG$1),FW18*FG18),0)</f>
        <v>0</v>
      </c>
      <c r="FN18" s="1161">
        <f>IFERROR(IF(AND($FG$2&lt;&gt;"Enter Spend&gt;&gt;&gt;",'Customer Inputs'!$U$11="EXISTING"),SUMIFS('Existing Customers'!$U:$U,'Existing Customers'!$H:$H,$FF18,'Existing Customers'!$A:$A,$FG$1),FX18*FG18),0)</f>
        <v>0</v>
      </c>
      <c r="FO18" s="1164" t="e">
        <f>_xlfn.CONCAT($AW$1,"_",IF(NOT(ISBLANK('Customer Inputs'!$H$11)),'Customer Inputs'!$H$11,""),"_",IF(AND(NOT(ISBLANK('Customer Inputs'!$G$11)),'Customer Inputs'!$G$11&lt;&gt;"New"),IF('Customer Inputs'!$M$11&lt;&gt;"Enter Menu Type&gt;&gt;",IF('Customer Inputs'!$R$11=0,'Customer Inputs'!$M$11,'Customer Inputs'!$R$11),'Customer Inputs'!$R$11),""),"_",FF18)</f>
        <v>#N/A</v>
      </c>
      <c r="FP18" s="1164">
        <f t="array" ref="FP18">IFERROR(INDEX('Margin Guidence Table'!$A$1:$AD$30000,MATCH(1,('Margin Guidence Table'!$A$1:$A$30000=FO18)*('Margin Guidence Table'!$H$1:$H$30000&lt;=ROUND($FG$3,0))*('Margin Guidence Table'!$G$1:$G$30000&gt;=ROUND($FG$3,0)),0),MATCH("DATA_POINTS",'Margin Guidence Table'!$A$1:$AC$1,0)),0)</f>
        <v>0</v>
      </c>
      <c r="FQ18" s="1161" t="str">
        <f t="shared" si="29"/>
        <v>DEFAULT</v>
      </c>
      <c r="FR18" s="1161">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1">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5">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5">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5">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5">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5">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5">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1">
        <f>IFERROR(IF(AND($GC$2&lt;&gt;"Enter Spend&gt;&gt;&gt;",'Customer Inputs'!$U$12="EXISTING"),SUMIFS('Existing Customers'!$S:$S,'Existing Customers'!$H:$H,$GB18,'Existing Customers'!$A:$A,$GC$1),GS18*GC18),0)</f>
        <v>0</v>
      </c>
      <c r="GJ18" s="1161">
        <f>IFERROR(IF(AND($GC$2&lt;&gt;"Enter Spend&gt;&gt;&gt;",'Customer Inputs'!$U$12="EXISTING"),SUMIFS('Existing Customers'!$U:$U,'Existing Customers'!$H:$H,$GB18,'Existing Customers'!$A:$A,$GC$1),GT18*GC18),0)</f>
        <v>0</v>
      </c>
      <c r="GK18" s="1164" t="e">
        <f>_xlfn.CONCAT($AW$1,"_",IF(NOT(ISBLANK('Customer Inputs'!$H$12)),'Customer Inputs'!$H$12,""),"_",IF(AND(NOT(ISBLANK('Customer Inputs'!$G$12)),'Customer Inputs'!$G$12&lt;&gt;"New"),IF('Customer Inputs'!$M$12&lt;&gt;"Enter Menu Type&gt;&gt;",IF('Customer Inputs'!$R$12=0,'Customer Inputs'!$M$12,'Customer Inputs'!$R$12),'Customer Inputs'!$R$12),""),"_",GB18)</f>
        <v>#N/A</v>
      </c>
      <c r="GL18" s="1164">
        <f t="array" ref="GL18">IFERROR(INDEX('Margin Guidence Table'!$A$1:$AD$30000,MATCH(1,('Margin Guidence Table'!$A$1:$A$30000=GK18)*('Margin Guidence Table'!$H$1:$H$30000&lt;=ROUND($GC$3,0))*('Margin Guidence Table'!$G$1:$G$30000&gt;=ROUND($GC$3,0)),0),MATCH("DATA_POINTS",'Margin Guidence Table'!$A$1:$AC$1,0)),0)</f>
        <v>0</v>
      </c>
      <c r="GM18" s="1161" t="str">
        <f t="shared" si="30"/>
        <v>DEFAULT</v>
      </c>
      <c r="GN18" s="1161">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1">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5">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5">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5">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5">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5">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5">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1">
        <f>IFERROR(IF(AND($GY$2&lt;&gt;"Enter Spend&gt;&gt;&gt;",'Customer Inputs'!$U$13="EXISTING"),SUMIFS('Existing Customers'!$S:$S,'Existing Customers'!$H:$H,$GX18,'Existing Customers'!$A:$A,$GY$1),HO18*GY18),0)</f>
        <v>0</v>
      </c>
      <c r="HF18" s="1161">
        <f>IFERROR(IF(AND($GY$2&lt;&gt;"Enter Spend&gt;&gt;&gt;",'Customer Inputs'!$U$13="EXISTING"),SUMIFS('Existing Customers'!$U:$U,'Existing Customers'!$H:$H,$GX18,'Existing Customers'!$A:$A,$GY$1),HP18*GY18),0)</f>
        <v>0</v>
      </c>
      <c r="HG18" s="1164" t="e">
        <f>_xlfn.CONCAT($AW$1,"_",IF(NOT(ISBLANK('Customer Inputs'!$H$13)),'Customer Inputs'!$H$13,""),"_",IF(AND(NOT(ISBLANK('Customer Inputs'!$G$13)),'Customer Inputs'!$G$13&lt;&gt;"New"),IF('Customer Inputs'!$M$13&lt;&gt;"Enter Menu Type&gt;&gt;",IF('Customer Inputs'!$R$13=0,'Customer Inputs'!$M$13,'Customer Inputs'!$R$13),'Customer Inputs'!$R$13),""),"_",GX18)</f>
        <v>#N/A</v>
      </c>
      <c r="HH18" s="1164">
        <f t="array" ref="HH18">IFERROR(INDEX('Margin Guidence Table'!$A$1:$AD$30000,MATCH(1,('Margin Guidence Table'!$A$1:$A$30000=HG18)*('Margin Guidence Table'!$H$1:$H$30000&lt;=ROUND($GY$3,0))*('Margin Guidence Table'!$G$1:$G$30000&gt;=ROUND($GY$3,0)),0),MATCH("DATA_POINTS",'Margin Guidence Table'!$A$1:$AC$1,0)),0)</f>
        <v>0</v>
      </c>
      <c r="HI18" s="1161" t="str">
        <f t="shared" si="31"/>
        <v>DEFAULT</v>
      </c>
      <c r="HJ18" s="1161">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1">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5">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5">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5">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5">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5">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5">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1">
        <f>IFERROR(IF(AND($HU$2&lt;&gt;"Enter Spend&gt;&gt;&gt;",'Customer Inputs'!$U$14="EXISTING"),SUMIFS('Existing Customers'!$S:$S,'Existing Customers'!$H:$H,$HT18,'Existing Customers'!$A:$A,$HU$1),IK18*HU18),0)</f>
        <v>0</v>
      </c>
      <c r="IB18" s="1161">
        <f>IFERROR(IF(AND($HU$2&lt;&gt;"Enter Spend&gt;&gt;&gt;",'Customer Inputs'!$U$14="EXISTING"),SUMIFS('Existing Customers'!$U:$U,'Existing Customers'!$H:$H,$HT18,'Existing Customers'!$A:$A,$HU$1),IL18*HU18),0)</f>
        <v>0</v>
      </c>
      <c r="IC18" s="1164" t="e">
        <f>_xlfn.CONCAT($AW$1,"_",IF(NOT(ISBLANK('Customer Inputs'!$H$14)),'Customer Inputs'!$H$14,""),"_",IF(AND(NOT(ISBLANK('Customer Inputs'!$G$14)),'Customer Inputs'!$G$14&lt;&gt;"New"),IF('Customer Inputs'!$M$14&lt;&gt;"Enter Menu Type&gt;&gt;",IF('Customer Inputs'!$R$14=0,'Customer Inputs'!$M$14,'Customer Inputs'!$R$14),'Customer Inputs'!$R$14),""),"_",HT18)</f>
        <v>#N/A</v>
      </c>
      <c r="ID18" s="1164">
        <f t="array" ref="ID18">IFERROR(INDEX('Margin Guidence Table'!$A$1:$AD$30000,MATCH(1,('Margin Guidence Table'!$A$1:$A$30000=IC18)*('Margin Guidence Table'!$H$1:$H$30000&lt;=ROUND($HU$3,0))*('Margin Guidence Table'!$G$1:$G$30000&gt;=ROUND($HU$3,0)),0),MATCH("DATA_POINTS",'Margin Guidence Table'!$A$1:$AC$1,0)),0)</f>
        <v>0</v>
      </c>
      <c r="IE18" s="1161" t="str">
        <f t="shared" si="32"/>
        <v>DEFAULT</v>
      </c>
      <c r="IF18" s="1161">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1">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5">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5">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5">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5">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5">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5">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1">
        <f>IFERROR(IF(AND($IQ$2&lt;&gt;"Enter Spend&gt;&gt;&gt;",'Customer Inputs'!$U$15="EXISTING"),SUMIFS('Existing Customers'!$S:$S,'Existing Customers'!$H:$H,$IP18,'Existing Customers'!$A:$A,$IQ$1),JG18*IQ18),0)</f>
        <v>0</v>
      </c>
      <c r="IX18" s="1161">
        <f>IFERROR(IF(AND($IQ$2&lt;&gt;"Enter Spend&gt;&gt;&gt;",'Customer Inputs'!$U$15="EXISTING"),SUMIFS('Existing Customers'!$U:$U,'Existing Customers'!$H:$H,$IP18,'Existing Customers'!$A:$A,$IQ$1),JH18*IQ18),0)</f>
        <v>0</v>
      </c>
      <c r="IY18" s="1164" t="e">
        <f>_xlfn.CONCAT($AW$1,"_",IF(NOT(ISBLANK('Customer Inputs'!$H$15)),'Customer Inputs'!$H$15,""),"_",IF(AND(NOT(ISBLANK('Customer Inputs'!$G$15)),'Customer Inputs'!$G$15&lt;&gt;"New"),IF('Customer Inputs'!$M$15&lt;&gt;"Enter Menu Type&gt;&gt;",IF('Customer Inputs'!$R$15=0,'Customer Inputs'!$M$15,'Customer Inputs'!$R$15),'Customer Inputs'!$R$15),""),"_",IP18)</f>
        <v>#N/A</v>
      </c>
      <c r="IZ18" s="1164">
        <f t="array" ref="IZ18">IFERROR(INDEX('Margin Guidence Table'!$A$1:$AD$30000,MATCH(1,('Margin Guidence Table'!$A$1:$A$30000=IY18)*('Margin Guidence Table'!$H$1:$H$30000&lt;=ROUND($IQ$3,0))*('Margin Guidence Table'!$G$1:$G$30000&gt;=ROUND($IQ$3,0)),0),MATCH("DATA_POINTS",'Margin Guidence Table'!$A$1:$AC$1,0)),0)</f>
        <v>0</v>
      </c>
      <c r="JA18" s="1161" t="str">
        <f t="shared" si="33"/>
        <v>DEFAULT</v>
      </c>
      <c r="JB18" s="1161">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1">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5">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5">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5">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5">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5">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5">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7" t="e">
        <f t="shared" si="0"/>
        <v>#DIV/0!</v>
      </c>
      <c r="J19" s="1157" t="e">
        <f t="shared" si="0"/>
        <v>#DIV/0!</v>
      </c>
      <c r="K19" s="1157" t="e">
        <f t="shared" si="0"/>
        <v>#DIV/0!</v>
      </c>
      <c r="L19" s="496" t="e">
        <f t="shared" si="1"/>
        <v>#DIV/0!</v>
      </c>
      <c r="M19" s="496" t="e">
        <f t="shared" si="15"/>
        <v>#DIV/0!</v>
      </c>
      <c r="N19" s="1158"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3" t="e">
        <f>_xlfn.CONCAT($AW$1,"_",IF(NOT(ISBLANK('Customer Inputs'!$H$6)),'Customer Inputs'!$H$6,""),"_",IF(AND(NOT(ISBLANK('Customer Inputs'!$G$6)),'Customer Inputs'!$G$6&lt;&gt;"New"),IF('Customer Inputs'!$M$6&lt;&gt;"Enter Menu Type&gt;&gt;",IF('Customer Inputs'!$R$6=0,'Customer Inputs'!$M$6,'Customer Inputs'!$R$6),'Customer Inputs'!$R$6),""),"_",AZ19)</f>
        <v>#N/A</v>
      </c>
      <c r="BJ19" s="1164">
        <f t="array" ref="BJ19">IFERROR(INDEX('Margin Guidence Table'!$A$1:$AD$30000,MATCH(1,('Margin Guidence Table'!$A$1:$A$30000=$BI19)*('Margin Guidence Table'!$H$1:$H$30000&lt;=ROUND($BA$3,0))*('Margin Guidence Table'!$G$1:$G$30000&gt;=ROUND($BA$3,0)),0),MATCH("DATA_POINTS",'Margin Guidence Table'!$A$1:$AC$1,0)),0)</f>
        <v>0</v>
      </c>
      <c r="BK19" s="1161" t="str">
        <f t="shared" si="24"/>
        <v>DEFAULT</v>
      </c>
      <c r="BL19" s="1161">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1">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5">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5">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5">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5">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5">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5">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1">
        <f>IFERROR(IF(AND($BW$2&lt;&gt;"Enter Spend&gt;&gt;&gt;",'Customer Inputs'!$U$7="EXISTING"),SUMIFS('Existing Customers'!$S:$S,'Existing Customers'!$H:$H,$BV19,'Existing Customers'!$A:$A,$BW$1),CM19*BW19),0)</f>
        <v>0</v>
      </c>
      <c r="CD19" s="1161">
        <f>IFERROR(IF(AND($BW$2&lt;&gt;"Enter Spend&gt;&gt;&gt;",'Customer Inputs'!$U$7="EXISTING"),SUMIFS('Existing Customers'!$U:$U,'Existing Customers'!$H:$H,$BV19,'Existing Customers'!$A:$A,$BW$1),CN19*BW19),0)</f>
        <v>0</v>
      </c>
      <c r="CE19" s="1164" t="e">
        <f>_xlfn.CONCAT($AW$1,"_",IF(NOT(ISBLANK('Customer Inputs'!$H$7)),'Customer Inputs'!$H$7,""),"_",IF(AND(NOT(ISBLANK('Customer Inputs'!$G$7)),'Customer Inputs'!$G$7&lt;&gt;"New"),IF('Customer Inputs'!$M$7&lt;&gt;"Enter Menu Type&gt;&gt;",IF('Customer Inputs'!$R$7=0,'Customer Inputs'!$M$7,'Customer Inputs'!$R$7),'Customer Inputs'!$R$7),""),"_",BV19)</f>
        <v>#N/A</v>
      </c>
      <c r="CF19" s="1164">
        <f t="array" ref="CF19">IFERROR(INDEX('Margin Guidence Table'!$A$1:$AD$30000,MATCH(1,('Margin Guidence Table'!$A$1:$A$30000=$CE19)*('Margin Guidence Table'!$H$1:$H$30000&lt;=ROUND($BW$3,0))*('Margin Guidence Table'!$G$1:$G$30000&gt;=ROUND($BW$3,0)),0),MATCH("DATA_POINTS",'Margin Guidence Table'!$A$1:$AC$1,0)),0)</f>
        <v>0</v>
      </c>
      <c r="CG19" s="1161" t="str">
        <f t="shared" si="25"/>
        <v>DEFAULT</v>
      </c>
      <c r="CH19" s="1161">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1">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5">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5">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5">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5">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5">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5">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1">
        <f>IFERROR(IF(AND($CS$2&lt;&gt;"Enter Spend&gt;&gt;&gt;",'Customer Inputs'!$U$8="EXISTING"),SUMIFS('Existing Customers'!$S:$S,'Existing Customers'!$H:$H,$CR19,'Existing Customers'!$A:$A,$CS$1),DI19*CS19),0)</f>
        <v>0</v>
      </c>
      <c r="CZ19" s="1161">
        <f>IFERROR(IF(AND($CS$2&lt;&gt;"Enter Spend&gt;&gt;&gt;",'Customer Inputs'!$U$8="EXISTING"),SUMIFS('Existing Customers'!$U:$U,'Existing Customers'!$H:$H,$CR19,'Existing Customers'!$A:$A,$CS$1),DJ19*CS19),0)</f>
        <v>0</v>
      </c>
      <c r="DA19" s="1164" t="e">
        <f>_xlfn.CONCAT($AW$1,"_",IF(NOT(ISBLANK('Customer Inputs'!$H$8)),'Customer Inputs'!$H$8,""),"_",IF(AND(NOT(ISBLANK('Customer Inputs'!$G$8)),'Customer Inputs'!$G$8&lt;&gt;"New"),IF('Customer Inputs'!$M$8&lt;&gt;"Enter Menu Type&gt;&gt;",IF('Customer Inputs'!$R$8=0,'Customer Inputs'!$M$8,'Customer Inputs'!$R$8),'Customer Inputs'!$R$8),""),"_",CR19)</f>
        <v>#N/A</v>
      </c>
      <c r="DB19" s="1164">
        <f t="array" ref="DB19">IFERROR(INDEX('Margin Guidence Table'!$A$1:$AD$30000,MATCH(1,('Margin Guidence Table'!$A$1:$A$30000=DA19)*('Margin Guidence Table'!$H$1:$H$30000&lt;=ROUND($CS$3,0))*('Margin Guidence Table'!$G$1:$G$30000&gt;=ROUND($CS$3,0)),0),MATCH("DATA_POINTS",'Margin Guidence Table'!$A$1:$AC$1,0)),0)</f>
        <v>0</v>
      </c>
      <c r="DC19" s="1161" t="str">
        <f t="shared" si="26"/>
        <v>DEFAULT</v>
      </c>
      <c r="DD19" s="1161">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1">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5">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5">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5">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5">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5">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5">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1">
        <f>IFERROR(IF(AND($DO$2&lt;&gt;"Enter Spend&gt;&gt;&gt;",'Customer Inputs'!$U$9="EXISTING"),SUMIFS('Existing Customers'!$S:$S,'Existing Customers'!$H:$H,$DP19,'Existing Customers'!$A:$A,$DO$1),EE19*DO19),0)</f>
        <v>0</v>
      </c>
      <c r="DV19" s="1161">
        <f>IFERROR(IF(AND($DO$2&lt;&gt;"Enter Spend&gt;&gt;&gt;",'Customer Inputs'!$U$9="EXISTING"),SUMIFS('Existing Customers'!$U:$U,'Existing Customers'!$H:$H,$DN19,'Existing Customers'!$A:$A,$DO$1),EF19*DO19),0)</f>
        <v>0</v>
      </c>
      <c r="DW19" s="1164" t="e">
        <f>_xlfn.CONCAT($AW$1,"_",IF(NOT(ISBLANK('Customer Inputs'!$H$9)),'Customer Inputs'!$H$9,""),"_",IF(AND(NOT(ISBLANK('Customer Inputs'!$G$9)),'Customer Inputs'!$G$9&lt;&gt;"New"),IF('Customer Inputs'!$M$9&lt;&gt;"Enter Menu Type&gt;&gt;",IF('Customer Inputs'!$R$9=0,'Customer Inputs'!$M$9,'Customer Inputs'!$R$9),'Customer Inputs'!$R$9),""),"_",DN19)</f>
        <v>#N/A</v>
      </c>
      <c r="DX19" s="1164">
        <f t="array" ref="DX19">IFERROR(INDEX('Margin Guidence Table'!$A$1:$AD$30000,MATCH(1,('Margin Guidence Table'!$A$1:$A$30000=DW19)*('Margin Guidence Table'!$H$1:$H$30000&lt;=ROUND($DO$3,0))*('Margin Guidence Table'!$G$1:$G$30000&gt;=ROUND($DO$3,0)),0),MATCH("DATA_POINTS",'Margin Guidence Table'!$A$1:$AC$1,0)),0)</f>
        <v>0</v>
      </c>
      <c r="DY19" s="1161" t="str">
        <f t="shared" si="27"/>
        <v>DEFAULT</v>
      </c>
      <c r="DZ19" s="1161">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1">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5">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5">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5">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5">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5">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5">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1">
        <f>IFERROR(IF(AND($EK$2&lt;&gt;"Enter Spend&gt;&gt;&gt;",'Customer Inputs'!$U$10="EXISTING"),SUMIFS('Existing Customers'!$S:$S,'Existing Customers'!$H:$H,$EJ19,'Existing Customers'!$A:$A,$EK$1),FA19*EK19),0)</f>
        <v>0</v>
      </c>
      <c r="ER19" s="1161">
        <f>IFERROR(IF(AND($EK$2&lt;&gt;"Enter Spend&gt;&gt;&gt;",'Customer Inputs'!$U$10="EXISTING"),SUMIFS('Existing Customers'!$U:$U,'Existing Customers'!$H:$H,$EJ19,'Existing Customers'!$A:$A,$EK$1),FB19*EK19),0)</f>
        <v>0</v>
      </c>
      <c r="ES19" s="1164" t="e">
        <f>_xlfn.CONCAT($AW$1,"_",IF(NOT(ISBLANK('Customer Inputs'!$H$10)),'Customer Inputs'!$H$10,""),"_",IF(AND(NOT(ISBLANK('Customer Inputs'!$G$10)),'Customer Inputs'!$G$10&lt;&gt;"New"),IF('Customer Inputs'!$M$10&lt;&gt;"Enter Menu Type&gt;&gt;",IF('Customer Inputs'!$R$10=0,'Customer Inputs'!$M$10,'Customer Inputs'!$R$10),'Customer Inputs'!$R$10),""),"_",EJ19)</f>
        <v>#N/A</v>
      </c>
      <c r="ET19" s="1164">
        <f t="array" ref="ET19">IFERROR(INDEX('Margin Guidence Table'!$A$1:$AD$30000,MATCH(1,('Margin Guidence Table'!$A$1:$A$30000=ES19)*('Margin Guidence Table'!$H$1:$H$30000&lt;=ROUND($EK$3,0))*('Margin Guidence Table'!$G$1:$G$30000&gt;=ROUND($EK$3,0)),0),MATCH("DATA_POINTS",'Margin Guidence Table'!$A$1:$AC$1,0)),0)</f>
        <v>0</v>
      </c>
      <c r="EU19" s="1161" t="str">
        <f t="shared" si="28"/>
        <v>DEFAULT</v>
      </c>
      <c r="EV19" s="1161">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1"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5">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5">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5">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5">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5">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5">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1">
        <f>IFERROR(IF(AND($FG$2&lt;&gt;"Enter Spend&gt;&gt;&gt;",'Customer Inputs'!$U$11="EXISTING"),SUMIFS('Existing Customers'!$S:$S,'Existing Customers'!$H:$H,$FF19,'Existing Customers'!$A:$A,$FG$1),FW19*FG19),0)</f>
        <v>0</v>
      </c>
      <c r="FN19" s="1161">
        <f>IFERROR(IF(AND($FG$2&lt;&gt;"Enter Spend&gt;&gt;&gt;",'Customer Inputs'!$U$11="EXISTING"),SUMIFS('Existing Customers'!$U:$U,'Existing Customers'!$H:$H,$FF19,'Existing Customers'!$A:$A,$FG$1),FX19*FG19),0)</f>
        <v>0</v>
      </c>
      <c r="FO19" s="1164" t="e">
        <f>_xlfn.CONCAT($AW$1,"_",IF(NOT(ISBLANK('Customer Inputs'!$H$11)),'Customer Inputs'!$H$11,""),"_",IF(AND(NOT(ISBLANK('Customer Inputs'!$G$11)),'Customer Inputs'!$G$11&lt;&gt;"New"),IF('Customer Inputs'!$M$11&lt;&gt;"Enter Menu Type&gt;&gt;",IF('Customer Inputs'!$R$11=0,'Customer Inputs'!$M$11,'Customer Inputs'!$R$11),'Customer Inputs'!$R$11),""),"_",FF19)</f>
        <v>#N/A</v>
      </c>
      <c r="FP19" s="1164">
        <f t="array" ref="FP19">IFERROR(INDEX('Margin Guidence Table'!$A$1:$AD$30000,MATCH(1,('Margin Guidence Table'!$A$1:$A$30000=FO19)*('Margin Guidence Table'!$H$1:$H$30000&lt;=ROUND($FG$3,0))*('Margin Guidence Table'!$G$1:$G$30000&gt;=ROUND($FG$3,0)),0),MATCH("DATA_POINTS",'Margin Guidence Table'!$A$1:$AC$1,0)),0)</f>
        <v>0</v>
      </c>
      <c r="FQ19" s="1161" t="str">
        <f t="shared" si="29"/>
        <v>DEFAULT</v>
      </c>
      <c r="FR19" s="1161">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1">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5">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5">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5">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5">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5">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5">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1">
        <f>IFERROR(IF(AND($GC$2&lt;&gt;"Enter Spend&gt;&gt;&gt;",'Customer Inputs'!$U$12="EXISTING"),SUMIFS('Existing Customers'!$S:$S,'Existing Customers'!$H:$H,$GB19,'Existing Customers'!$A:$A,$GC$1),GS19*GC19),0)</f>
        <v>0</v>
      </c>
      <c r="GJ19" s="1161">
        <f>IFERROR(IF(AND($GC$2&lt;&gt;"Enter Spend&gt;&gt;&gt;",'Customer Inputs'!$U$12="EXISTING"),SUMIFS('Existing Customers'!$U:$U,'Existing Customers'!$H:$H,$GB19,'Existing Customers'!$A:$A,$GC$1),GT19*GC19),0)</f>
        <v>0</v>
      </c>
      <c r="GK19" s="1164" t="e">
        <f>_xlfn.CONCAT($AW$1,"_",IF(NOT(ISBLANK('Customer Inputs'!$H$12)),'Customer Inputs'!$H$12,""),"_",IF(AND(NOT(ISBLANK('Customer Inputs'!$G$12)),'Customer Inputs'!$G$12&lt;&gt;"New"),IF('Customer Inputs'!$M$12&lt;&gt;"Enter Menu Type&gt;&gt;",IF('Customer Inputs'!$R$12=0,'Customer Inputs'!$M$12,'Customer Inputs'!$R$12),'Customer Inputs'!$R$12),""),"_",GB19)</f>
        <v>#N/A</v>
      </c>
      <c r="GL19" s="1164">
        <f t="array" ref="GL19">IFERROR(INDEX('Margin Guidence Table'!$A$1:$AD$30000,MATCH(1,('Margin Guidence Table'!$A$1:$A$30000=GK19)*('Margin Guidence Table'!$H$1:$H$30000&lt;=ROUND($GC$3,0))*('Margin Guidence Table'!$G$1:$G$30000&gt;=ROUND($GC$3,0)),0),MATCH("DATA_POINTS",'Margin Guidence Table'!$A$1:$AC$1,0)),0)</f>
        <v>0</v>
      </c>
      <c r="GM19" s="1161" t="str">
        <f t="shared" si="30"/>
        <v>DEFAULT</v>
      </c>
      <c r="GN19" s="1161">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1">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5">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5">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5">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5">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5">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5">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1">
        <f>IFERROR(IF(AND($GY$2&lt;&gt;"Enter Spend&gt;&gt;&gt;",'Customer Inputs'!$U$13="EXISTING"),SUMIFS('Existing Customers'!$S:$S,'Existing Customers'!$H:$H,$GX19,'Existing Customers'!$A:$A,$GY$1),HO19*GY19),0)</f>
        <v>0</v>
      </c>
      <c r="HF19" s="1161">
        <f>IFERROR(IF(AND($GY$2&lt;&gt;"Enter Spend&gt;&gt;&gt;",'Customer Inputs'!$U$13="EXISTING"),SUMIFS('Existing Customers'!$U:$U,'Existing Customers'!$H:$H,$GX19,'Existing Customers'!$A:$A,$GY$1),HP19*GY19),0)</f>
        <v>0</v>
      </c>
      <c r="HG19" s="1164" t="e">
        <f>_xlfn.CONCAT($AW$1,"_",IF(NOT(ISBLANK('Customer Inputs'!$H$13)),'Customer Inputs'!$H$13,""),"_",IF(AND(NOT(ISBLANK('Customer Inputs'!$G$13)),'Customer Inputs'!$G$13&lt;&gt;"New"),IF('Customer Inputs'!$M$13&lt;&gt;"Enter Menu Type&gt;&gt;",IF('Customer Inputs'!$R$13=0,'Customer Inputs'!$M$13,'Customer Inputs'!$R$13),'Customer Inputs'!$R$13),""),"_",GX19)</f>
        <v>#N/A</v>
      </c>
      <c r="HH19" s="1164">
        <f t="array" ref="HH19">IFERROR(INDEX('Margin Guidence Table'!$A$1:$AD$30000,MATCH(1,('Margin Guidence Table'!$A$1:$A$30000=HG19)*('Margin Guidence Table'!$H$1:$H$30000&lt;=ROUND($GY$3,0))*('Margin Guidence Table'!$G$1:$G$30000&gt;=ROUND($GY$3,0)),0),MATCH("DATA_POINTS",'Margin Guidence Table'!$A$1:$AC$1,0)),0)</f>
        <v>0</v>
      </c>
      <c r="HI19" s="1161" t="str">
        <f t="shared" si="31"/>
        <v>DEFAULT</v>
      </c>
      <c r="HJ19" s="1161">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1">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5">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5">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5">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5">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5">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5">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1">
        <f>IFERROR(IF(AND($HU$2&lt;&gt;"Enter Spend&gt;&gt;&gt;",'Customer Inputs'!$U$14="EXISTING"),SUMIFS('Existing Customers'!$S:$S,'Existing Customers'!$H:$H,$HT19,'Existing Customers'!$A:$A,$HU$1),IK19*HU19),0)</f>
        <v>0</v>
      </c>
      <c r="IB19" s="1161">
        <f>IFERROR(IF(AND($HU$2&lt;&gt;"Enter Spend&gt;&gt;&gt;",'Customer Inputs'!$U$14="EXISTING"),SUMIFS('Existing Customers'!$U:$U,'Existing Customers'!$H:$H,$HT19,'Existing Customers'!$A:$A,$HU$1),IL19*HU19),0)</f>
        <v>0</v>
      </c>
      <c r="IC19" s="1164" t="e">
        <f>_xlfn.CONCAT($AW$1,"_",IF(NOT(ISBLANK('Customer Inputs'!$H$14)),'Customer Inputs'!$H$14,""),"_",IF(AND(NOT(ISBLANK('Customer Inputs'!$G$14)),'Customer Inputs'!$G$14&lt;&gt;"New"),IF('Customer Inputs'!$M$14&lt;&gt;"Enter Menu Type&gt;&gt;",IF('Customer Inputs'!$R$14=0,'Customer Inputs'!$M$14,'Customer Inputs'!$R$14),'Customer Inputs'!$R$14),""),"_",HT19)</f>
        <v>#N/A</v>
      </c>
      <c r="ID19" s="1164">
        <f t="array" ref="ID19">IFERROR(INDEX('Margin Guidence Table'!$A$1:$AD$30000,MATCH(1,('Margin Guidence Table'!$A$1:$A$30000=IC19)*('Margin Guidence Table'!$H$1:$H$30000&lt;=ROUND($HU$3,0))*('Margin Guidence Table'!$G$1:$G$30000&gt;=ROUND($HU$3,0)),0),MATCH("DATA_POINTS",'Margin Guidence Table'!$A$1:$AC$1,0)),0)</f>
        <v>0</v>
      </c>
      <c r="IE19" s="1161" t="str">
        <f t="shared" si="32"/>
        <v>DEFAULT</v>
      </c>
      <c r="IF19" s="1161">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1">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5">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5">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5">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5">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5">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5">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1">
        <f>IFERROR(IF(AND($IQ$2&lt;&gt;"Enter Spend&gt;&gt;&gt;",'Customer Inputs'!$U$15="EXISTING"),SUMIFS('Existing Customers'!$S:$S,'Existing Customers'!$H:$H,$IP19,'Existing Customers'!$A:$A,$IQ$1),JG19*IQ19),0)</f>
        <v>0</v>
      </c>
      <c r="IX19" s="1161">
        <f>IFERROR(IF(AND($IQ$2&lt;&gt;"Enter Spend&gt;&gt;&gt;",'Customer Inputs'!$U$15="EXISTING"),SUMIFS('Existing Customers'!$U:$U,'Existing Customers'!$H:$H,$IP19,'Existing Customers'!$A:$A,$IQ$1),JH19*IQ19),0)</f>
        <v>0</v>
      </c>
      <c r="IY19" s="1164" t="e">
        <f>_xlfn.CONCAT($AW$1,"_",IF(NOT(ISBLANK('Customer Inputs'!$H$15)),'Customer Inputs'!$H$15,""),"_",IF(AND(NOT(ISBLANK('Customer Inputs'!$G$15)),'Customer Inputs'!$G$15&lt;&gt;"New"),IF('Customer Inputs'!$M$15&lt;&gt;"Enter Menu Type&gt;&gt;",IF('Customer Inputs'!$R$15=0,'Customer Inputs'!$M$15,'Customer Inputs'!$R$15),'Customer Inputs'!$R$15),""),"_",IP19)</f>
        <v>#N/A</v>
      </c>
      <c r="IZ19" s="1164">
        <f t="array" ref="IZ19">IFERROR(INDEX('Margin Guidence Table'!$A$1:$AD$30000,MATCH(1,('Margin Guidence Table'!$A$1:$A$30000=IY19)*('Margin Guidence Table'!$H$1:$H$30000&lt;=ROUND($IQ$3,0))*('Margin Guidence Table'!$G$1:$G$30000&gt;=ROUND($IQ$3,0)),0),MATCH("DATA_POINTS",'Margin Guidence Table'!$A$1:$AC$1,0)),0)</f>
        <v>0</v>
      </c>
      <c r="JA19" s="1161" t="str">
        <f t="shared" si="33"/>
        <v>DEFAULT</v>
      </c>
      <c r="JB19" s="1161">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1">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5">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5">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5">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5">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5">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5">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7" t="e">
        <f t="shared" si="0"/>
        <v>#DIV/0!</v>
      </c>
      <c r="J20" s="1157" t="e">
        <f t="shared" si="0"/>
        <v>#DIV/0!</v>
      </c>
      <c r="K20" s="1157" t="e">
        <f t="shared" si="0"/>
        <v>#DIV/0!</v>
      </c>
      <c r="L20" s="496" t="e">
        <f t="shared" si="1"/>
        <v>#DIV/0!</v>
      </c>
      <c r="M20" s="496" t="e">
        <f t="shared" si="15"/>
        <v>#DIV/0!</v>
      </c>
      <c r="N20" s="1158"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3" t="e">
        <f>_xlfn.CONCAT($AW$1,"_",IF(NOT(ISBLANK('Customer Inputs'!$H$6)),'Customer Inputs'!$H$6,""),"_",IF(AND(NOT(ISBLANK('Customer Inputs'!$G$6)),'Customer Inputs'!$G$6&lt;&gt;"New"),IF('Customer Inputs'!$M$6&lt;&gt;"Enter Menu Type&gt;&gt;",IF('Customer Inputs'!$R$6=0,'Customer Inputs'!$M$6,'Customer Inputs'!$R$6),'Customer Inputs'!$R$6),""),"_",AZ20)</f>
        <v>#N/A</v>
      </c>
      <c r="BJ20" s="1164">
        <f t="array" ref="BJ20">IFERROR(INDEX('Margin Guidence Table'!$A$1:$AD$30000,MATCH(1,('Margin Guidence Table'!$A$1:$A$30000=$BI20)*('Margin Guidence Table'!$H$1:$H$30000&lt;=ROUND($BA$3,0))*('Margin Guidence Table'!$G$1:$G$30000&gt;=ROUND($BA$3,0)),0),MATCH("DATA_POINTS",'Margin Guidence Table'!$A$1:$AC$1,0)),0)</f>
        <v>0</v>
      </c>
      <c r="BK20" s="1161" t="str">
        <f t="shared" si="24"/>
        <v>DEFAULT</v>
      </c>
      <c r="BL20" s="1161">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1">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5">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5">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5">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5">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5">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5">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1">
        <f>IFERROR(IF(AND($BW$2&lt;&gt;"Enter Spend&gt;&gt;&gt;",'Customer Inputs'!$U$7="EXISTING"),SUMIFS('Existing Customers'!$S:$S,'Existing Customers'!$H:$H,$BV20,'Existing Customers'!$A:$A,$BW$1),CM20*BW20),0)</f>
        <v>0</v>
      </c>
      <c r="CD20" s="1161">
        <f>IFERROR(IF(AND($BW$2&lt;&gt;"Enter Spend&gt;&gt;&gt;",'Customer Inputs'!$U$7="EXISTING"),SUMIFS('Existing Customers'!$U:$U,'Existing Customers'!$H:$H,$BV20,'Existing Customers'!$A:$A,$BW$1),CN20*BW20),0)</f>
        <v>0</v>
      </c>
      <c r="CE20" s="1164" t="e">
        <f>_xlfn.CONCAT($AW$1,"_",IF(NOT(ISBLANK('Customer Inputs'!$H$7)),'Customer Inputs'!$H$7,""),"_",IF(AND(NOT(ISBLANK('Customer Inputs'!$G$7)),'Customer Inputs'!$G$7&lt;&gt;"New"),IF('Customer Inputs'!$M$7&lt;&gt;"Enter Menu Type&gt;&gt;",IF('Customer Inputs'!$R$7=0,'Customer Inputs'!$M$7,'Customer Inputs'!$R$7),'Customer Inputs'!$R$7),""),"_",BV20)</f>
        <v>#N/A</v>
      </c>
      <c r="CF20" s="1164">
        <f t="array" ref="CF20">IFERROR(INDEX('Margin Guidence Table'!$A$1:$AD$30000,MATCH(1,('Margin Guidence Table'!$A$1:$A$30000=$CE20)*('Margin Guidence Table'!$H$1:$H$30000&lt;=ROUND($BW$3,0))*('Margin Guidence Table'!$G$1:$G$30000&gt;=ROUND($BW$3,0)),0),MATCH("DATA_POINTS",'Margin Guidence Table'!$A$1:$AC$1,0)),0)</f>
        <v>0</v>
      </c>
      <c r="CG20" s="1161" t="str">
        <f t="shared" si="25"/>
        <v>DEFAULT</v>
      </c>
      <c r="CH20" s="1161">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1">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5">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5">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5">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5">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5">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5">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1">
        <f>IFERROR(IF(AND($CS$2&lt;&gt;"Enter Spend&gt;&gt;&gt;",'Customer Inputs'!$U$8="EXISTING"),SUMIFS('Existing Customers'!$S:$S,'Existing Customers'!$H:$H,$CR20,'Existing Customers'!$A:$A,$CS$1),DI20*CS20),0)</f>
        <v>0</v>
      </c>
      <c r="CZ20" s="1161">
        <f>IFERROR(IF(AND($CS$2&lt;&gt;"Enter Spend&gt;&gt;&gt;",'Customer Inputs'!$U$8="EXISTING"),SUMIFS('Existing Customers'!$U:$U,'Existing Customers'!$H:$H,$CR20,'Existing Customers'!$A:$A,$CS$1),DJ20*CS20),0)</f>
        <v>0</v>
      </c>
      <c r="DA20" s="1164" t="e">
        <f>_xlfn.CONCAT($AW$1,"_",IF(NOT(ISBLANK('Customer Inputs'!$H$8)),'Customer Inputs'!$H$8,""),"_",IF(AND(NOT(ISBLANK('Customer Inputs'!$G$8)),'Customer Inputs'!$G$8&lt;&gt;"New"),IF('Customer Inputs'!$M$8&lt;&gt;"Enter Menu Type&gt;&gt;",IF('Customer Inputs'!$R$8=0,'Customer Inputs'!$M$8,'Customer Inputs'!$R$8),'Customer Inputs'!$R$8),""),"_",CR20)</f>
        <v>#N/A</v>
      </c>
      <c r="DB20" s="1164">
        <f t="array" ref="DB20">IFERROR(INDEX('Margin Guidence Table'!$A$1:$AD$30000,MATCH(1,('Margin Guidence Table'!$A$1:$A$30000=DA20)*('Margin Guidence Table'!$H$1:$H$30000&lt;=ROUND($CS$3,0))*('Margin Guidence Table'!$G$1:$G$30000&gt;=ROUND($CS$3,0)),0),MATCH("DATA_POINTS",'Margin Guidence Table'!$A$1:$AC$1,0)),0)</f>
        <v>0</v>
      </c>
      <c r="DC20" s="1161" t="str">
        <f t="shared" si="26"/>
        <v>DEFAULT</v>
      </c>
      <c r="DD20" s="1161">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1">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5">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5">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5">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5">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5">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5">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1">
        <f>IFERROR(IF(AND($DO$2&lt;&gt;"Enter Spend&gt;&gt;&gt;",'Customer Inputs'!$U$9="EXISTING"),SUMIFS('Existing Customers'!$S:$S,'Existing Customers'!$H:$H,$DP20,'Existing Customers'!$A:$A,$DO$1),EE20*DO20),0)</f>
        <v>0</v>
      </c>
      <c r="DV20" s="1161">
        <f>IFERROR(IF(AND($DO$2&lt;&gt;"Enter Spend&gt;&gt;&gt;",'Customer Inputs'!$U$9="EXISTING"),SUMIFS('Existing Customers'!$U:$U,'Existing Customers'!$H:$H,$DN20,'Existing Customers'!$A:$A,$DO$1),EF20*DO20),0)</f>
        <v>0</v>
      </c>
      <c r="DW20" s="1164" t="e">
        <f>_xlfn.CONCAT($AW$1,"_",IF(NOT(ISBLANK('Customer Inputs'!$H$9)),'Customer Inputs'!$H$9,""),"_",IF(AND(NOT(ISBLANK('Customer Inputs'!$G$9)),'Customer Inputs'!$G$9&lt;&gt;"New"),IF('Customer Inputs'!$M$9&lt;&gt;"Enter Menu Type&gt;&gt;",IF('Customer Inputs'!$R$9=0,'Customer Inputs'!$M$9,'Customer Inputs'!$R$9),'Customer Inputs'!$R$9),""),"_",DN20)</f>
        <v>#N/A</v>
      </c>
      <c r="DX20" s="1164">
        <f t="array" ref="DX20">IFERROR(INDEX('Margin Guidence Table'!$A$1:$AD$30000,MATCH(1,('Margin Guidence Table'!$A$1:$A$30000=DW20)*('Margin Guidence Table'!$H$1:$H$30000&lt;=ROUND($DO$3,0))*('Margin Guidence Table'!$G$1:$G$30000&gt;=ROUND($DO$3,0)),0),MATCH("DATA_POINTS",'Margin Guidence Table'!$A$1:$AC$1,0)),0)</f>
        <v>0</v>
      </c>
      <c r="DY20" s="1161" t="str">
        <f t="shared" si="27"/>
        <v>DEFAULT</v>
      </c>
      <c r="DZ20" s="1161">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1">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5">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5">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5">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5">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5">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5">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1">
        <f>IFERROR(IF(AND($EK$2&lt;&gt;"Enter Spend&gt;&gt;&gt;",'Customer Inputs'!$U$10="EXISTING"),SUMIFS('Existing Customers'!$S:$S,'Existing Customers'!$H:$H,$EJ20,'Existing Customers'!$A:$A,$EK$1),FA20*EK20),0)</f>
        <v>0</v>
      </c>
      <c r="ER20" s="1161">
        <f>IFERROR(IF(AND($EK$2&lt;&gt;"Enter Spend&gt;&gt;&gt;",'Customer Inputs'!$U$10="EXISTING"),SUMIFS('Existing Customers'!$U:$U,'Existing Customers'!$H:$H,$EJ20,'Existing Customers'!$A:$A,$EK$1),FB20*EK20),0)</f>
        <v>0</v>
      </c>
      <c r="ES20" s="1164" t="e">
        <f>_xlfn.CONCAT($AW$1,"_",IF(NOT(ISBLANK('Customer Inputs'!$H$10)),'Customer Inputs'!$H$10,""),"_",IF(AND(NOT(ISBLANK('Customer Inputs'!$G$10)),'Customer Inputs'!$G$10&lt;&gt;"New"),IF('Customer Inputs'!$M$10&lt;&gt;"Enter Menu Type&gt;&gt;",IF('Customer Inputs'!$R$10=0,'Customer Inputs'!$M$10,'Customer Inputs'!$R$10),'Customer Inputs'!$R$10),""),"_",EJ20)</f>
        <v>#N/A</v>
      </c>
      <c r="ET20" s="1164">
        <f t="array" ref="ET20">IFERROR(INDEX('Margin Guidence Table'!$A$1:$AD$30000,MATCH(1,('Margin Guidence Table'!$A$1:$A$30000=ES20)*('Margin Guidence Table'!$H$1:$H$30000&lt;=ROUND($EK$3,0))*('Margin Guidence Table'!$G$1:$G$30000&gt;=ROUND($EK$3,0)),0),MATCH("DATA_POINTS",'Margin Guidence Table'!$A$1:$AC$1,0)),0)</f>
        <v>0</v>
      </c>
      <c r="EU20" s="1161" t="str">
        <f t="shared" si="28"/>
        <v>DEFAULT</v>
      </c>
      <c r="EV20" s="1161">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1"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5">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5">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5">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5">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5">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5">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1">
        <f>IFERROR(IF(AND($FG$2&lt;&gt;"Enter Spend&gt;&gt;&gt;",'Customer Inputs'!$U$11="EXISTING"),SUMIFS('Existing Customers'!$S:$S,'Existing Customers'!$H:$H,$FF20,'Existing Customers'!$A:$A,$FG$1),FW20*FG20),0)</f>
        <v>0</v>
      </c>
      <c r="FN20" s="1161">
        <f>IFERROR(IF(AND($FG$2&lt;&gt;"Enter Spend&gt;&gt;&gt;",'Customer Inputs'!$U$11="EXISTING"),SUMIFS('Existing Customers'!$U:$U,'Existing Customers'!$H:$H,$FF20,'Existing Customers'!$A:$A,$FG$1),FX20*FG20),0)</f>
        <v>0</v>
      </c>
      <c r="FO20" s="1164" t="e">
        <f>_xlfn.CONCAT($AW$1,"_",IF(NOT(ISBLANK('Customer Inputs'!$H$11)),'Customer Inputs'!$H$11,""),"_",IF(AND(NOT(ISBLANK('Customer Inputs'!$G$11)),'Customer Inputs'!$G$11&lt;&gt;"New"),IF('Customer Inputs'!$M$11&lt;&gt;"Enter Menu Type&gt;&gt;",IF('Customer Inputs'!$R$11=0,'Customer Inputs'!$M$11,'Customer Inputs'!$R$11),'Customer Inputs'!$R$11),""),"_",FF20)</f>
        <v>#N/A</v>
      </c>
      <c r="FP20" s="1164">
        <f t="array" ref="FP20">IFERROR(INDEX('Margin Guidence Table'!$A$1:$AD$30000,MATCH(1,('Margin Guidence Table'!$A$1:$A$30000=FO20)*('Margin Guidence Table'!$H$1:$H$30000&lt;=ROUND($FG$3,0))*('Margin Guidence Table'!$G$1:$G$30000&gt;=ROUND($FG$3,0)),0),MATCH("DATA_POINTS",'Margin Guidence Table'!$A$1:$AC$1,0)),0)</f>
        <v>0</v>
      </c>
      <c r="FQ20" s="1161" t="str">
        <f t="shared" si="29"/>
        <v>DEFAULT</v>
      </c>
      <c r="FR20" s="1161">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1">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5">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5">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5">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5">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5">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5">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1">
        <f>IFERROR(IF(AND($GC$2&lt;&gt;"Enter Spend&gt;&gt;&gt;",'Customer Inputs'!$U$12="EXISTING"),SUMIFS('Existing Customers'!$S:$S,'Existing Customers'!$H:$H,$GB20,'Existing Customers'!$A:$A,$GC$1),GS20*GC20),0)</f>
        <v>0</v>
      </c>
      <c r="GJ20" s="1161">
        <f>IFERROR(IF(AND($GC$2&lt;&gt;"Enter Spend&gt;&gt;&gt;",'Customer Inputs'!$U$12="EXISTING"),SUMIFS('Existing Customers'!$U:$U,'Existing Customers'!$H:$H,$GB20,'Existing Customers'!$A:$A,$GC$1),GT20*GC20),0)</f>
        <v>0</v>
      </c>
      <c r="GK20" s="1164" t="e">
        <f>_xlfn.CONCAT($AW$1,"_",IF(NOT(ISBLANK('Customer Inputs'!$H$12)),'Customer Inputs'!$H$12,""),"_",IF(AND(NOT(ISBLANK('Customer Inputs'!$G$12)),'Customer Inputs'!$G$12&lt;&gt;"New"),IF('Customer Inputs'!$M$12&lt;&gt;"Enter Menu Type&gt;&gt;",IF('Customer Inputs'!$R$12=0,'Customer Inputs'!$M$12,'Customer Inputs'!$R$12),'Customer Inputs'!$R$12),""),"_",GB20)</f>
        <v>#N/A</v>
      </c>
      <c r="GL20" s="1164">
        <f t="array" ref="GL20">IFERROR(INDEX('Margin Guidence Table'!$A$1:$AD$30000,MATCH(1,('Margin Guidence Table'!$A$1:$A$30000=GK20)*('Margin Guidence Table'!$H$1:$H$30000&lt;=ROUND($GC$3,0))*('Margin Guidence Table'!$G$1:$G$30000&gt;=ROUND($GC$3,0)),0),MATCH("DATA_POINTS",'Margin Guidence Table'!$A$1:$AC$1,0)),0)</f>
        <v>0</v>
      </c>
      <c r="GM20" s="1161" t="str">
        <f t="shared" si="30"/>
        <v>DEFAULT</v>
      </c>
      <c r="GN20" s="1161">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1">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5">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5">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5">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5">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5">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5">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1">
        <f>IFERROR(IF(AND($GY$2&lt;&gt;"Enter Spend&gt;&gt;&gt;",'Customer Inputs'!$U$13="EXISTING"),SUMIFS('Existing Customers'!$S:$S,'Existing Customers'!$H:$H,$GX20,'Existing Customers'!$A:$A,$GY$1),HO20*GY20),0)</f>
        <v>0</v>
      </c>
      <c r="HF20" s="1161">
        <f>IFERROR(IF(AND($GY$2&lt;&gt;"Enter Spend&gt;&gt;&gt;",'Customer Inputs'!$U$13="EXISTING"),SUMIFS('Existing Customers'!$U:$U,'Existing Customers'!$H:$H,$GX20,'Existing Customers'!$A:$A,$GY$1),HP20*GY20),0)</f>
        <v>0</v>
      </c>
      <c r="HG20" s="1164" t="e">
        <f>_xlfn.CONCAT($AW$1,"_",IF(NOT(ISBLANK('Customer Inputs'!$H$13)),'Customer Inputs'!$H$13,""),"_",IF(AND(NOT(ISBLANK('Customer Inputs'!$G$13)),'Customer Inputs'!$G$13&lt;&gt;"New"),IF('Customer Inputs'!$M$13&lt;&gt;"Enter Menu Type&gt;&gt;",IF('Customer Inputs'!$R$13=0,'Customer Inputs'!$M$13,'Customer Inputs'!$R$13),'Customer Inputs'!$R$13),""),"_",GX20)</f>
        <v>#N/A</v>
      </c>
      <c r="HH20" s="1164">
        <f t="array" ref="HH20">IFERROR(INDEX('Margin Guidence Table'!$A$1:$AD$30000,MATCH(1,('Margin Guidence Table'!$A$1:$A$30000=HG20)*('Margin Guidence Table'!$H$1:$H$30000&lt;=ROUND($GY$3,0))*('Margin Guidence Table'!$G$1:$G$30000&gt;=ROUND($GY$3,0)),0),MATCH("DATA_POINTS",'Margin Guidence Table'!$A$1:$AC$1,0)),0)</f>
        <v>0</v>
      </c>
      <c r="HI20" s="1161" t="str">
        <f t="shared" si="31"/>
        <v>DEFAULT</v>
      </c>
      <c r="HJ20" s="1161">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1">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5">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5">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5">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5">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5">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5">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1">
        <f>IFERROR(IF(AND($HU$2&lt;&gt;"Enter Spend&gt;&gt;&gt;",'Customer Inputs'!$U$14="EXISTING"),SUMIFS('Existing Customers'!$S:$S,'Existing Customers'!$H:$H,$HT20,'Existing Customers'!$A:$A,$HU$1),IK20*HU20),0)</f>
        <v>0</v>
      </c>
      <c r="IB20" s="1161">
        <f>IFERROR(IF(AND($HU$2&lt;&gt;"Enter Spend&gt;&gt;&gt;",'Customer Inputs'!$U$14="EXISTING"),SUMIFS('Existing Customers'!$U:$U,'Existing Customers'!$H:$H,$HT20,'Existing Customers'!$A:$A,$HU$1),IL20*HU20),0)</f>
        <v>0</v>
      </c>
      <c r="IC20" s="1164" t="e">
        <f>_xlfn.CONCAT($AW$1,"_",IF(NOT(ISBLANK('Customer Inputs'!$H$14)),'Customer Inputs'!$H$14,""),"_",IF(AND(NOT(ISBLANK('Customer Inputs'!$G$14)),'Customer Inputs'!$G$14&lt;&gt;"New"),IF('Customer Inputs'!$M$14&lt;&gt;"Enter Menu Type&gt;&gt;",IF('Customer Inputs'!$R$14=0,'Customer Inputs'!$M$14,'Customer Inputs'!$R$14),'Customer Inputs'!$R$14),""),"_",HT20)</f>
        <v>#N/A</v>
      </c>
      <c r="ID20" s="1164">
        <f t="array" ref="ID20">IFERROR(INDEX('Margin Guidence Table'!$A$1:$AD$30000,MATCH(1,('Margin Guidence Table'!$A$1:$A$30000=IC20)*('Margin Guidence Table'!$H$1:$H$30000&lt;=ROUND($HU$3,0))*('Margin Guidence Table'!$G$1:$G$30000&gt;=ROUND($HU$3,0)),0),MATCH("DATA_POINTS",'Margin Guidence Table'!$A$1:$AC$1,0)),0)</f>
        <v>0</v>
      </c>
      <c r="IE20" s="1161" t="str">
        <f t="shared" si="32"/>
        <v>DEFAULT</v>
      </c>
      <c r="IF20" s="1161">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1">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5">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5">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5">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5">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5">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5">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1">
        <f>IFERROR(IF(AND($IQ$2&lt;&gt;"Enter Spend&gt;&gt;&gt;",'Customer Inputs'!$U$15="EXISTING"),SUMIFS('Existing Customers'!$S:$S,'Existing Customers'!$H:$H,$IP20,'Existing Customers'!$A:$A,$IQ$1),JG20*IQ20),0)</f>
        <v>0</v>
      </c>
      <c r="IX20" s="1161">
        <f>IFERROR(IF(AND($IQ$2&lt;&gt;"Enter Spend&gt;&gt;&gt;",'Customer Inputs'!$U$15="EXISTING"),SUMIFS('Existing Customers'!$U:$U,'Existing Customers'!$H:$H,$IP20,'Existing Customers'!$A:$A,$IQ$1),JH20*IQ20),0)</f>
        <v>0</v>
      </c>
      <c r="IY20" s="1164" t="e">
        <f>_xlfn.CONCAT($AW$1,"_",IF(NOT(ISBLANK('Customer Inputs'!$H$15)),'Customer Inputs'!$H$15,""),"_",IF(AND(NOT(ISBLANK('Customer Inputs'!$G$15)),'Customer Inputs'!$G$15&lt;&gt;"New"),IF('Customer Inputs'!$M$15&lt;&gt;"Enter Menu Type&gt;&gt;",IF('Customer Inputs'!$R$15=0,'Customer Inputs'!$M$15,'Customer Inputs'!$R$15),'Customer Inputs'!$R$15),""),"_",IP20)</f>
        <v>#N/A</v>
      </c>
      <c r="IZ20" s="1164">
        <f t="array" ref="IZ20">IFERROR(INDEX('Margin Guidence Table'!$A$1:$AD$30000,MATCH(1,('Margin Guidence Table'!$A$1:$A$30000=IY20)*('Margin Guidence Table'!$H$1:$H$30000&lt;=ROUND($IQ$3,0))*('Margin Guidence Table'!$G$1:$G$30000&gt;=ROUND($IQ$3,0)),0),MATCH("DATA_POINTS",'Margin Guidence Table'!$A$1:$AC$1,0)),0)</f>
        <v>0</v>
      </c>
      <c r="JA20" s="1161" t="str">
        <f t="shared" si="33"/>
        <v>DEFAULT</v>
      </c>
      <c r="JB20" s="1161">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1">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5">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5">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5">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5">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5">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5">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7" t="e">
        <f t="shared" si="0"/>
        <v>#DIV/0!</v>
      </c>
      <c r="J21" s="1157" t="e">
        <f t="shared" si="0"/>
        <v>#DIV/0!</v>
      </c>
      <c r="K21" s="1157" t="e">
        <f t="shared" si="0"/>
        <v>#DIV/0!</v>
      </c>
      <c r="L21" s="496" t="e">
        <f t="shared" si="1"/>
        <v>#DIV/0!</v>
      </c>
      <c r="M21" s="496" t="e">
        <f t="shared" si="15"/>
        <v>#DIV/0!</v>
      </c>
      <c r="N21" s="1158"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3" t="e">
        <f>_xlfn.CONCAT($AW$1,"_",IF(NOT(ISBLANK('Customer Inputs'!$H$6)),'Customer Inputs'!$H$6,""),"_",IF(AND(NOT(ISBLANK('Customer Inputs'!$G$6)),'Customer Inputs'!$G$6&lt;&gt;"New"),IF('Customer Inputs'!$M$6&lt;&gt;"Enter Menu Type&gt;&gt;",IF('Customer Inputs'!$R$6=0,'Customer Inputs'!$M$6,'Customer Inputs'!$R$6),'Customer Inputs'!$R$6),""),"_",AZ21)</f>
        <v>#N/A</v>
      </c>
      <c r="BJ21" s="1164">
        <f t="array" ref="BJ21">IFERROR(INDEX('Margin Guidence Table'!$A$1:$AD$30000,MATCH(1,('Margin Guidence Table'!$A$1:$A$30000=$BI21)*('Margin Guidence Table'!$H$1:$H$30000&lt;=ROUND($BA$3,0))*('Margin Guidence Table'!$G$1:$G$30000&gt;=ROUND($BA$3,0)),0),MATCH("DATA_POINTS",'Margin Guidence Table'!$A$1:$AC$1,0)),0)</f>
        <v>0</v>
      </c>
      <c r="BK21" s="1161" t="str">
        <f t="shared" si="24"/>
        <v>DEFAULT</v>
      </c>
      <c r="BL21" s="1161">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1">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5">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5">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5">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5">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5">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5">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1">
        <f>IFERROR(IF(AND($BW$2&lt;&gt;"Enter Spend&gt;&gt;&gt;",'Customer Inputs'!$U$7="EXISTING"),SUMIFS('Existing Customers'!$S:$S,'Existing Customers'!$H:$H,$BV21,'Existing Customers'!$A:$A,$BW$1),CM21*BW21),0)</f>
        <v>0</v>
      </c>
      <c r="CD21" s="1161">
        <f>IFERROR(IF(AND($BW$2&lt;&gt;"Enter Spend&gt;&gt;&gt;",'Customer Inputs'!$U$7="EXISTING"),SUMIFS('Existing Customers'!$U:$U,'Existing Customers'!$H:$H,$BV21,'Existing Customers'!$A:$A,$BW$1),CN21*BW21),0)</f>
        <v>0</v>
      </c>
      <c r="CE21" s="1164" t="e">
        <f>_xlfn.CONCAT($AW$1,"_",IF(NOT(ISBLANK('Customer Inputs'!$H$7)),'Customer Inputs'!$H$7,""),"_",IF(AND(NOT(ISBLANK('Customer Inputs'!$G$7)),'Customer Inputs'!$G$7&lt;&gt;"New"),IF('Customer Inputs'!$M$7&lt;&gt;"Enter Menu Type&gt;&gt;",IF('Customer Inputs'!$R$7=0,'Customer Inputs'!$M$7,'Customer Inputs'!$R$7),'Customer Inputs'!$R$7),""),"_",BV21)</f>
        <v>#N/A</v>
      </c>
      <c r="CF21" s="1164">
        <f t="array" ref="CF21">IFERROR(INDEX('Margin Guidence Table'!$A$1:$AD$30000,MATCH(1,('Margin Guidence Table'!$A$1:$A$30000=$CE21)*('Margin Guidence Table'!$H$1:$H$30000&lt;=ROUND($BW$3,0))*('Margin Guidence Table'!$G$1:$G$30000&gt;=ROUND($BW$3,0)),0),MATCH("DATA_POINTS",'Margin Guidence Table'!$A$1:$AC$1,0)),0)</f>
        <v>0</v>
      </c>
      <c r="CG21" s="1161" t="str">
        <f t="shared" si="25"/>
        <v>DEFAULT</v>
      </c>
      <c r="CH21" s="1161">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1">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5">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5">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5">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5">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5">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5">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1">
        <f>IFERROR(IF(AND($CS$2&lt;&gt;"Enter Spend&gt;&gt;&gt;",'Customer Inputs'!$U$8="EXISTING"),SUMIFS('Existing Customers'!$S:$S,'Existing Customers'!$H:$H,$CR21,'Existing Customers'!$A:$A,$CS$1),DI21*CS21),0)</f>
        <v>0</v>
      </c>
      <c r="CZ21" s="1161">
        <f>IFERROR(IF(AND($CS$2&lt;&gt;"Enter Spend&gt;&gt;&gt;",'Customer Inputs'!$U$8="EXISTING"),SUMIFS('Existing Customers'!$U:$U,'Existing Customers'!$H:$H,$CR21,'Existing Customers'!$A:$A,$CS$1),DJ21*CS21),0)</f>
        <v>0</v>
      </c>
      <c r="DA21" s="1164" t="e">
        <f>_xlfn.CONCAT($AW$1,"_",IF(NOT(ISBLANK('Customer Inputs'!$H$8)),'Customer Inputs'!$H$8,""),"_",IF(AND(NOT(ISBLANK('Customer Inputs'!$G$8)),'Customer Inputs'!$G$8&lt;&gt;"New"),IF('Customer Inputs'!$M$8&lt;&gt;"Enter Menu Type&gt;&gt;",IF('Customer Inputs'!$R$8=0,'Customer Inputs'!$M$8,'Customer Inputs'!$R$8),'Customer Inputs'!$R$8),""),"_",CR21)</f>
        <v>#N/A</v>
      </c>
      <c r="DB21" s="1164">
        <f t="array" ref="DB21">IFERROR(INDEX('Margin Guidence Table'!$A$1:$AD$30000,MATCH(1,('Margin Guidence Table'!$A$1:$A$30000=DA21)*('Margin Guidence Table'!$H$1:$H$30000&lt;=ROUND($CS$3,0))*('Margin Guidence Table'!$G$1:$G$30000&gt;=ROUND($CS$3,0)),0),MATCH("DATA_POINTS",'Margin Guidence Table'!$A$1:$AC$1,0)),0)</f>
        <v>0</v>
      </c>
      <c r="DC21" s="1161" t="str">
        <f t="shared" si="26"/>
        <v>DEFAULT</v>
      </c>
      <c r="DD21" s="1161">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1">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5">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5">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5">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5">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5">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5">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1">
        <f>IFERROR(IF(AND($DO$2&lt;&gt;"Enter Spend&gt;&gt;&gt;",'Customer Inputs'!$U$9="EXISTING"),SUMIFS('Existing Customers'!$S:$S,'Existing Customers'!$H:$H,$DP21,'Existing Customers'!$A:$A,$DO$1),EE21*DO21),0)</f>
        <v>0</v>
      </c>
      <c r="DV21" s="1161">
        <f>IFERROR(IF(AND($DO$2&lt;&gt;"Enter Spend&gt;&gt;&gt;",'Customer Inputs'!$U$9="EXISTING"),SUMIFS('Existing Customers'!$U:$U,'Existing Customers'!$H:$H,$DN21,'Existing Customers'!$A:$A,$DO$1),EF21*DO21),0)</f>
        <v>0</v>
      </c>
      <c r="DW21" s="1164" t="e">
        <f>_xlfn.CONCAT($AW$1,"_",IF(NOT(ISBLANK('Customer Inputs'!$H$9)),'Customer Inputs'!$H$9,""),"_",IF(AND(NOT(ISBLANK('Customer Inputs'!$G$9)),'Customer Inputs'!$G$9&lt;&gt;"New"),IF('Customer Inputs'!$M$9&lt;&gt;"Enter Menu Type&gt;&gt;",IF('Customer Inputs'!$R$9=0,'Customer Inputs'!$M$9,'Customer Inputs'!$R$9),'Customer Inputs'!$R$9),""),"_",DN21)</f>
        <v>#N/A</v>
      </c>
      <c r="DX21" s="1164">
        <f t="array" ref="DX21">IFERROR(INDEX('Margin Guidence Table'!$A$1:$AD$30000,MATCH(1,('Margin Guidence Table'!$A$1:$A$30000=DW21)*('Margin Guidence Table'!$H$1:$H$30000&lt;=ROUND($DO$3,0))*('Margin Guidence Table'!$G$1:$G$30000&gt;=ROUND($DO$3,0)),0),MATCH("DATA_POINTS",'Margin Guidence Table'!$A$1:$AC$1,0)),0)</f>
        <v>0</v>
      </c>
      <c r="DY21" s="1161" t="str">
        <f t="shared" si="27"/>
        <v>DEFAULT</v>
      </c>
      <c r="DZ21" s="1161">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1">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5">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5">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5">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5">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5">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5">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1">
        <f>IFERROR(IF(AND($EK$2&lt;&gt;"Enter Spend&gt;&gt;&gt;",'Customer Inputs'!$U$10="EXISTING"),SUMIFS('Existing Customers'!$S:$S,'Existing Customers'!$H:$H,$EJ21,'Existing Customers'!$A:$A,$EK$1),FA21*EK21),0)</f>
        <v>0</v>
      </c>
      <c r="ER21" s="1161">
        <f>IFERROR(IF(AND($EK$2&lt;&gt;"Enter Spend&gt;&gt;&gt;",'Customer Inputs'!$U$10="EXISTING"),SUMIFS('Existing Customers'!$U:$U,'Existing Customers'!$H:$H,$EJ21,'Existing Customers'!$A:$A,$EK$1),FB21*EK21),0)</f>
        <v>0</v>
      </c>
      <c r="ES21" s="1164" t="e">
        <f>_xlfn.CONCAT($AW$1,"_",IF(NOT(ISBLANK('Customer Inputs'!$H$10)),'Customer Inputs'!$H$10,""),"_",IF(AND(NOT(ISBLANK('Customer Inputs'!$G$10)),'Customer Inputs'!$G$10&lt;&gt;"New"),IF('Customer Inputs'!$M$10&lt;&gt;"Enter Menu Type&gt;&gt;",IF('Customer Inputs'!$R$10=0,'Customer Inputs'!$M$10,'Customer Inputs'!$R$10),'Customer Inputs'!$R$10),""),"_",EJ21)</f>
        <v>#N/A</v>
      </c>
      <c r="ET21" s="1164">
        <f t="array" ref="ET21">IFERROR(INDEX('Margin Guidence Table'!$A$1:$AD$30000,MATCH(1,('Margin Guidence Table'!$A$1:$A$30000=ES21)*('Margin Guidence Table'!$H$1:$H$30000&lt;=ROUND($EK$3,0))*('Margin Guidence Table'!$G$1:$G$30000&gt;=ROUND($EK$3,0)),0),MATCH("DATA_POINTS",'Margin Guidence Table'!$A$1:$AC$1,0)),0)</f>
        <v>0</v>
      </c>
      <c r="EU21" s="1161" t="str">
        <f t="shared" si="28"/>
        <v>DEFAULT</v>
      </c>
      <c r="EV21" s="1161">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1"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5">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5">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5">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5">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5">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5">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1">
        <f>IFERROR(IF(AND($FG$2&lt;&gt;"Enter Spend&gt;&gt;&gt;",'Customer Inputs'!$U$11="EXISTING"),SUMIFS('Existing Customers'!$S:$S,'Existing Customers'!$H:$H,$FF21,'Existing Customers'!$A:$A,$FG$1),FW21*FG21),0)</f>
        <v>0</v>
      </c>
      <c r="FN21" s="1161">
        <f>IFERROR(IF(AND($FG$2&lt;&gt;"Enter Spend&gt;&gt;&gt;",'Customer Inputs'!$U$11="EXISTING"),SUMIFS('Existing Customers'!$U:$U,'Existing Customers'!$H:$H,$FF21,'Existing Customers'!$A:$A,$FG$1),FX21*FG21),0)</f>
        <v>0</v>
      </c>
      <c r="FO21" s="1164" t="e">
        <f>_xlfn.CONCAT($AW$1,"_",IF(NOT(ISBLANK('Customer Inputs'!$H$11)),'Customer Inputs'!$H$11,""),"_",IF(AND(NOT(ISBLANK('Customer Inputs'!$G$11)),'Customer Inputs'!$G$11&lt;&gt;"New"),IF('Customer Inputs'!$M$11&lt;&gt;"Enter Menu Type&gt;&gt;",IF('Customer Inputs'!$R$11=0,'Customer Inputs'!$M$11,'Customer Inputs'!$R$11),'Customer Inputs'!$R$11),""),"_",FF21)</f>
        <v>#N/A</v>
      </c>
      <c r="FP21" s="1164">
        <f t="array" ref="FP21">IFERROR(INDEX('Margin Guidence Table'!$A$1:$AD$30000,MATCH(1,('Margin Guidence Table'!$A$1:$A$30000=FO21)*('Margin Guidence Table'!$H$1:$H$30000&lt;=ROUND($FG$3,0))*('Margin Guidence Table'!$G$1:$G$30000&gt;=ROUND($FG$3,0)),0),MATCH("DATA_POINTS",'Margin Guidence Table'!$A$1:$AC$1,0)),0)</f>
        <v>0</v>
      </c>
      <c r="FQ21" s="1161" t="str">
        <f t="shared" si="29"/>
        <v>DEFAULT</v>
      </c>
      <c r="FR21" s="1161">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1">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5">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5">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5">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5">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5">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5">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1">
        <f>IFERROR(IF(AND($GC$2&lt;&gt;"Enter Spend&gt;&gt;&gt;",'Customer Inputs'!$U$12="EXISTING"),SUMIFS('Existing Customers'!$S:$S,'Existing Customers'!$H:$H,$GB21,'Existing Customers'!$A:$A,$GC$1),GS21*GC21),0)</f>
        <v>0</v>
      </c>
      <c r="GJ21" s="1161">
        <f>IFERROR(IF(AND($GC$2&lt;&gt;"Enter Spend&gt;&gt;&gt;",'Customer Inputs'!$U$12="EXISTING"),SUMIFS('Existing Customers'!$U:$U,'Existing Customers'!$H:$H,$GB21,'Existing Customers'!$A:$A,$GC$1),GT21*GC21),0)</f>
        <v>0</v>
      </c>
      <c r="GK21" s="1164" t="e">
        <f>_xlfn.CONCAT($AW$1,"_",IF(NOT(ISBLANK('Customer Inputs'!$H$12)),'Customer Inputs'!$H$12,""),"_",IF(AND(NOT(ISBLANK('Customer Inputs'!$G$12)),'Customer Inputs'!$G$12&lt;&gt;"New"),IF('Customer Inputs'!$M$12&lt;&gt;"Enter Menu Type&gt;&gt;",IF('Customer Inputs'!$R$12=0,'Customer Inputs'!$M$12,'Customer Inputs'!$R$12),'Customer Inputs'!$R$12),""),"_",GB21)</f>
        <v>#N/A</v>
      </c>
      <c r="GL21" s="1164">
        <f t="array" ref="GL21">IFERROR(INDEX('Margin Guidence Table'!$A$1:$AD$30000,MATCH(1,('Margin Guidence Table'!$A$1:$A$30000=GK21)*('Margin Guidence Table'!$H$1:$H$30000&lt;=ROUND($GC$3,0))*('Margin Guidence Table'!$G$1:$G$30000&gt;=ROUND($GC$3,0)),0),MATCH("DATA_POINTS",'Margin Guidence Table'!$A$1:$AC$1,0)),0)</f>
        <v>0</v>
      </c>
      <c r="GM21" s="1161" t="str">
        <f t="shared" si="30"/>
        <v>DEFAULT</v>
      </c>
      <c r="GN21" s="1161">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1">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5">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5">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5">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5">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5">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5">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1">
        <f>IFERROR(IF(AND($GY$2&lt;&gt;"Enter Spend&gt;&gt;&gt;",'Customer Inputs'!$U$13="EXISTING"),SUMIFS('Existing Customers'!$S:$S,'Existing Customers'!$H:$H,$GX21,'Existing Customers'!$A:$A,$GY$1),HO21*GY21),0)</f>
        <v>0</v>
      </c>
      <c r="HF21" s="1161">
        <f>IFERROR(IF(AND($GY$2&lt;&gt;"Enter Spend&gt;&gt;&gt;",'Customer Inputs'!$U$13="EXISTING"),SUMIFS('Existing Customers'!$U:$U,'Existing Customers'!$H:$H,$GX21,'Existing Customers'!$A:$A,$GY$1),HP21*GY21),0)</f>
        <v>0</v>
      </c>
      <c r="HG21" s="1164" t="e">
        <f>_xlfn.CONCAT($AW$1,"_",IF(NOT(ISBLANK('Customer Inputs'!$H$13)),'Customer Inputs'!$H$13,""),"_",IF(AND(NOT(ISBLANK('Customer Inputs'!$G$13)),'Customer Inputs'!$G$13&lt;&gt;"New"),IF('Customer Inputs'!$M$13&lt;&gt;"Enter Menu Type&gt;&gt;",IF('Customer Inputs'!$R$13=0,'Customer Inputs'!$M$13,'Customer Inputs'!$R$13),'Customer Inputs'!$R$13),""),"_",GX21)</f>
        <v>#N/A</v>
      </c>
      <c r="HH21" s="1164">
        <f t="array" ref="HH21">IFERROR(INDEX('Margin Guidence Table'!$A$1:$AD$30000,MATCH(1,('Margin Guidence Table'!$A$1:$A$30000=HG21)*('Margin Guidence Table'!$H$1:$H$30000&lt;=ROUND($GY$3,0))*('Margin Guidence Table'!$G$1:$G$30000&gt;=ROUND($GY$3,0)),0),MATCH("DATA_POINTS",'Margin Guidence Table'!$A$1:$AC$1,0)),0)</f>
        <v>0</v>
      </c>
      <c r="HI21" s="1161" t="str">
        <f t="shared" si="31"/>
        <v>DEFAULT</v>
      </c>
      <c r="HJ21" s="1161">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1">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5">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5">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5">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5">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5">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5">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1">
        <f>IFERROR(IF(AND($HU$2&lt;&gt;"Enter Spend&gt;&gt;&gt;",'Customer Inputs'!$U$14="EXISTING"),SUMIFS('Existing Customers'!$S:$S,'Existing Customers'!$H:$H,$HT21,'Existing Customers'!$A:$A,$HU$1),IK21*HU21),0)</f>
        <v>0</v>
      </c>
      <c r="IB21" s="1161">
        <f>IFERROR(IF(AND($HU$2&lt;&gt;"Enter Spend&gt;&gt;&gt;",'Customer Inputs'!$U$14="EXISTING"),SUMIFS('Existing Customers'!$U:$U,'Existing Customers'!$H:$H,$HT21,'Existing Customers'!$A:$A,$HU$1),IL21*HU21),0)</f>
        <v>0</v>
      </c>
      <c r="IC21" s="1164" t="e">
        <f>_xlfn.CONCAT($AW$1,"_",IF(NOT(ISBLANK('Customer Inputs'!$H$14)),'Customer Inputs'!$H$14,""),"_",IF(AND(NOT(ISBLANK('Customer Inputs'!$G$14)),'Customer Inputs'!$G$14&lt;&gt;"New"),IF('Customer Inputs'!$M$14&lt;&gt;"Enter Menu Type&gt;&gt;",IF('Customer Inputs'!$R$14=0,'Customer Inputs'!$M$14,'Customer Inputs'!$R$14),'Customer Inputs'!$R$14),""),"_",HT21)</f>
        <v>#N/A</v>
      </c>
      <c r="ID21" s="1164">
        <f t="array" ref="ID21">IFERROR(INDEX('Margin Guidence Table'!$A$1:$AD$30000,MATCH(1,('Margin Guidence Table'!$A$1:$A$30000=IC21)*('Margin Guidence Table'!$H$1:$H$30000&lt;=ROUND($HU$3,0))*('Margin Guidence Table'!$G$1:$G$30000&gt;=ROUND($HU$3,0)),0),MATCH("DATA_POINTS",'Margin Guidence Table'!$A$1:$AC$1,0)),0)</f>
        <v>0</v>
      </c>
      <c r="IE21" s="1161" t="str">
        <f t="shared" si="32"/>
        <v>DEFAULT</v>
      </c>
      <c r="IF21" s="1161">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1">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5">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5">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5">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5">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5">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5">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1">
        <f>IFERROR(IF(AND($IQ$2&lt;&gt;"Enter Spend&gt;&gt;&gt;",'Customer Inputs'!$U$15="EXISTING"),SUMIFS('Existing Customers'!$S:$S,'Existing Customers'!$H:$H,$IP21,'Existing Customers'!$A:$A,$IQ$1),JG21*IQ21),0)</f>
        <v>0</v>
      </c>
      <c r="IX21" s="1161">
        <f>IFERROR(IF(AND($IQ$2&lt;&gt;"Enter Spend&gt;&gt;&gt;",'Customer Inputs'!$U$15="EXISTING"),SUMIFS('Existing Customers'!$U:$U,'Existing Customers'!$H:$H,$IP21,'Existing Customers'!$A:$A,$IQ$1),JH21*IQ21),0)</f>
        <v>0</v>
      </c>
      <c r="IY21" s="1164" t="e">
        <f>_xlfn.CONCAT($AW$1,"_",IF(NOT(ISBLANK('Customer Inputs'!$H$15)),'Customer Inputs'!$H$15,""),"_",IF(AND(NOT(ISBLANK('Customer Inputs'!$G$15)),'Customer Inputs'!$G$15&lt;&gt;"New"),IF('Customer Inputs'!$M$15&lt;&gt;"Enter Menu Type&gt;&gt;",IF('Customer Inputs'!$R$15=0,'Customer Inputs'!$M$15,'Customer Inputs'!$R$15),'Customer Inputs'!$R$15),""),"_",IP21)</f>
        <v>#N/A</v>
      </c>
      <c r="IZ21" s="1164">
        <f t="array" ref="IZ21">IFERROR(INDEX('Margin Guidence Table'!$A$1:$AD$30000,MATCH(1,('Margin Guidence Table'!$A$1:$A$30000=IY21)*('Margin Guidence Table'!$H$1:$H$30000&lt;=ROUND($IQ$3,0))*('Margin Guidence Table'!$G$1:$G$30000&gt;=ROUND($IQ$3,0)),0),MATCH("DATA_POINTS",'Margin Guidence Table'!$A$1:$AC$1,0)),0)</f>
        <v>0</v>
      </c>
      <c r="JA21" s="1161" t="str">
        <f t="shared" si="33"/>
        <v>DEFAULT</v>
      </c>
      <c r="JB21" s="1161">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1">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5">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5">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5">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5">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5">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5">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7" t="e">
        <f t="shared" si="0"/>
        <v>#DIV/0!</v>
      </c>
      <c r="J22" s="1157" t="e">
        <f t="shared" si="0"/>
        <v>#DIV/0!</v>
      </c>
      <c r="K22" s="1157" t="e">
        <f t="shared" si="0"/>
        <v>#DIV/0!</v>
      </c>
      <c r="L22" s="496" t="e">
        <f t="shared" si="1"/>
        <v>#DIV/0!</v>
      </c>
      <c r="M22" s="496" t="e">
        <f t="shared" si="15"/>
        <v>#DIV/0!</v>
      </c>
      <c r="N22" s="1158"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3" t="e">
        <f>_xlfn.CONCAT($AW$1,"_",IF(NOT(ISBLANK('Customer Inputs'!$H$6)),'Customer Inputs'!$H$6,""),"_",IF(AND(NOT(ISBLANK('Customer Inputs'!$G$6)),'Customer Inputs'!$G$6&lt;&gt;"New"),IF('Customer Inputs'!$M$6&lt;&gt;"Enter Menu Type&gt;&gt;",IF('Customer Inputs'!$R$6=0,'Customer Inputs'!$M$6,'Customer Inputs'!$R$6),'Customer Inputs'!$R$6),""),"_",AZ22)</f>
        <v>#N/A</v>
      </c>
      <c r="BJ22" s="1164">
        <f t="array" ref="BJ22">IFERROR(INDEX('Margin Guidence Table'!$A$1:$AD$30000,MATCH(1,('Margin Guidence Table'!$A$1:$A$30000=$BI22)*('Margin Guidence Table'!$H$1:$H$30000&lt;=ROUND($BA$3,0))*('Margin Guidence Table'!$G$1:$G$30000&gt;=ROUND($BA$3,0)),0),MATCH("DATA_POINTS",'Margin Guidence Table'!$A$1:$AC$1,0)),0)</f>
        <v>0</v>
      </c>
      <c r="BK22" s="1161" t="str">
        <f t="shared" si="24"/>
        <v>DEFAULT</v>
      </c>
      <c r="BL22" s="1161">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1">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5">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5">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5">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5">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5">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5">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1">
        <f>IFERROR(IF(AND($BW$2&lt;&gt;"Enter Spend&gt;&gt;&gt;",'Customer Inputs'!$U$7="EXISTING"),SUMIFS('Existing Customers'!$S:$S,'Existing Customers'!$H:$H,$BV22,'Existing Customers'!$A:$A,$BW$1),CM22*BW22),0)</f>
        <v>0</v>
      </c>
      <c r="CD22" s="1161">
        <f>IFERROR(IF(AND($BW$2&lt;&gt;"Enter Spend&gt;&gt;&gt;",'Customer Inputs'!$U$7="EXISTING"),SUMIFS('Existing Customers'!$U:$U,'Existing Customers'!$H:$H,$BV22,'Existing Customers'!$A:$A,$BW$1),CN22*BW22),0)</f>
        <v>0</v>
      </c>
      <c r="CE22" s="1164" t="e">
        <f>_xlfn.CONCAT($AW$1,"_",IF(NOT(ISBLANK('Customer Inputs'!$H$7)),'Customer Inputs'!$H$7,""),"_",IF(AND(NOT(ISBLANK('Customer Inputs'!$G$7)),'Customer Inputs'!$G$7&lt;&gt;"New"),IF('Customer Inputs'!$M$7&lt;&gt;"Enter Menu Type&gt;&gt;",IF('Customer Inputs'!$R$7=0,'Customer Inputs'!$M$7,'Customer Inputs'!$R$7),'Customer Inputs'!$R$7),""),"_",BV22)</f>
        <v>#N/A</v>
      </c>
      <c r="CF22" s="1164">
        <f t="array" ref="CF22">IFERROR(INDEX('Margin Guidence Table'!$A$1:$AD$30000,MATCH(1,('Margin Guidence Table'!$A$1:$A$30000=$CE22)*('Margin Guidence Table'!$H$1:$H$30000&lt;=ROUND($BW$3,0))*('Margin Guidence Table'!$G$1:$G$30000&gt;=ROUND($BW$3,0)),0),MATCH("DATA_POINTS",'Margin Guidence Table'!$A$1:$AC$1,0)),0)</f>
        <v>0</v>
      </c>
      <c r="CG22" s="1161" t="str">
        <f t="shared" si="25"/>
        <v>DEFAULT</v>
      </c>
      <c r="CH22" s="1161">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1">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5">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5">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5">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5">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5">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5">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1">
        <f>IFERROR(IF(AND($CS$2&lt;&gt;"Enter Spend&gt;&gt;&gt;",'Customer Inputs'!$U$8="EXISTING"),SUMIFS('Existing Customers'!$S:$S,'Existing Customers'!$H:$H,$CR22,'Existing Customers'!$A:$A,$CS$1),DI22*CS22),0)</f>
        <v>0</v>
      </c>
      <c r="CZ22" s="1161">
        <f>IFERROR(IF(AND($CS$2&lt;&gt;"Enter Spend&gt;&gt;&gt;",'Customer Inputs'!$U$8="EXISTING"),SUMIFS('Existing Customers'!$U:$U,'Existing Customers'!$H:$H,$CR22,'Existing Customers'!$A:$A,$CS$1),DJ22*CS22),0)</f>
        <v>0</v>
      </c>
      <c r="DA22" s="1164" t="e">
        <f>_xlfn.CONCAT($AW$1,"_",IF(NOT(ISBLANK('Customer Inputs'!$H$8)),'Customer Inputs'!$H$8,""),"_",IF(AND(NOT(ISBLANK('Customer Inputs'!$G$8)),'Customer Inputs'!$G$8&lt;&gt;"New"),IF('Customer Inputs'!$M$8&lt;&gt;"Enter Menu Type&gt;&gt;",IF('Customer Inputs'!$R$8=0,'Customer Inputs'!$M$8,'Customer Inputs'!$R$8),'Customer Inputs'!$R$8),""),"_",CR22)</f>
        <v>#N/A</v>
      </c>
      <c r="DB22" s="1164">
        <f t="array" ref="DB22">IFERROR(INDEX('Margin Guidence Table'!$A$1:$AD$30000,MATCH(1,('Margin Guidence Table'!$A$1:$A$30000=DA22)*('Margin Guidence Table'!$H$1:$H$30000&lt;=ROUND($CS$3,0))*('Margin Guidence Table'!$G$1:$G$30000&gt;=ROUND($CS$3,0)),0),MATCH("DATA_POINTS",'Margin Guidence Table'!$A$1:$AC$1,0)),0)</f>
        <v>0</v>
      </c>
      <c r="DC22" s="1161" t="str">
        <f t="shared" si="26"/>
        <v>DEFAULT</v>
      </c>
      <c r="DD22" s="1161">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1">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5">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5">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5">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5">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5">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5">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1">
        <f>IFERROR(IF(AND($DO$2&lt;&gt;"Enter Spend&gt;&gt;&gt;",'Customer Inputs'!$U$9="EXISTING"),SUMIFS('Existing Customers'!$S:$S,'Existing Customers'!$H:$H,$DP22,'Existing Customers'!$A:$A,$DO$1),EE22*DO22),0)</f>
        <v>0</v>
      </c>
      <c r="DV22" s="1161">
        <f>IFERROR(IF(AND($DO$2&lt;&gt;"Enter Spend&gt;&gt;&gt;",'Customer Inputs'!$U$9="EXISTING"),SUMIFS('Existing Customers'!$U:$U,'Existing Customers'!$H:$H,$DN22,'Existing Customers'!$A:$A,$DO$1),EF22*DO22),0)</f>
        <v>0</v>
      </c>
      <c r="DW22" s="1164" t="e">
        <f>_xlfn.CONCAT($AW$1,"_",IF(NOT(ISBLANK('Customer Inputs'!$H$9)),'Customer Inputs'!$H$9,""),"_",IF(AND(NOT(ISBLANK('Customer Inputs'!$G$9)),'Customer Inputs'!$G$9&lt;&gt;"New"),IF('Customer Inputs'!$M$9&lt;&gt;"Enter Menu Type&gt;&gt;",IF('Customer Inputs'!$R$9=0,'Customer Inputs'!$M$9,'Customer Inputs'!$R$9),'Customer Inputs'!$R$9),""),"_",DN22)</f>
        <v>#N/A</v>
      </c>
      <c r="DX22" s="1164">
        <f t="array" ref="DX22">IFERROR(INDEX('Margin Guidence Table'!$A$1:$AD$30000,MATCH(1,('Margin Guidence Table'!$A$1:$A$30000=DW22)*('Margin Guidence Table'!$H$1:$H$30000&lt;=ROUND($DO$3,0))*('Margin Guidence Table'!$G$1:$G$30000&gt;=ROUND($DO$3,0)),0),MATCH("DATA_POINTS",'Margin Guidence Table'!$A$1:$AC$1,0)),0)</f>
        <v>0</v>
      </c>
      <c r="DY22" s="1161" t="str">
        <f t="shared" si="27"/>
        <v>DEFAULT</v>
      </c>
      <c r="DZ22" s="1161">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1">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5">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5">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5">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5">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5">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5">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1">
        <f>IFERROR(IF(AND($EK$2&lt;&gt;"Enter Spend&gt;&gt;&gt;",'Customer Inputs'!$U$10="EXISTING"),SUMIFS('Existing Customers'!$S:$S,'Existing Customers'!$H:$H,$EJ22,'Existing Customers'!$A:$A,$EK$1),FA22*EK22),0)</f>
        <v>0</v>
      </c>
      <c r="ER22" s="1161">
        <f>IFERROR(IF(AND($EK$2&lt;&gt;"Enter Spend&gt;&gt;&gt;",'Customer Inputs'!$U$10="EXISTING"),SUMIFS('Existing Customers'!$U:$U,'Existing Customers'!$H:$H,$EJ22,'Existing Customers'!$A:$A,$EK$1),FB22*EK22),0)</f>
        <v>0</v>
      </c>
      <c r="ES22" s="1164" t="e">
        <f>_xlfn.CONCAT($AW$1,"_",IF(NOT(ISBLANK('Customer Inputs'!$H$10)),'Customer Inputs'!$H$10,""),"_",IF(AND(NOT(ISBLANK('Customer Inputs'!$G$10)),'Customer Inputs'!$G$10&lt;&gt;"New"),IF('Customer Inputs'!$M$10&lt;&gt;"Enter Menu Type&gt;&gt;",IF('Customer Inputs'!$R$10=0,'Customer Inputs'!$M$10,'Customer Inputs'!$R$10),'Customer Inputs'!$R$10),""),"_",EJ22)</f>
        <v>#N/A</v>
      </c>
      <c r="ET22" s="1164">
        <f t="array" ref="ET22">IFERROR(INDEX('Margin Guidence Table'!$A$1:$AD$30000,MATCH(1,('Margin Guidence Table'!$A$1:$A$30000=ES22)*('Margin Guidence Table'!$H$1:$H$30000&lt;=ROUND($EK$3,0))*('Margin Guidence Table'!$G$1:$G$30000&gt;=ROUND($EK$3,0)),0),MATCH("DATA_POINTS",'Margin Guidence Table'!$A$1:$AC$1,0)),0)</f>
        <v>0</v>
      </c>
      <c r="EU22" s="1161" t="str">
        <f t="shared" si="28"/>
        <v>DEFAULT</v>
      </c>
      <c r="EV22" s="1161">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1"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5">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5">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5">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5">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5">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5">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1">
        <f>IFERROR(IF(AND($FG$2&lt;&gt;"Enter Spend&gt;&gt;&gt;",'Customer Inputs'!$U$11="EXISTING"),SUMIFS('Existing Customers'!$S:$S,'Existing Customers'!$H:$H,$FF22,'Existing Customers'!$A:$A,$FG$1),FW22*FG22),0)</f>
        <v>0</v>
      </c>
      <c r="FN22" s="1161">
        <f>IFERROR(IF(AND($FG$2&lt;&gt;"Enter Spend&gt;&gt;&gt;",'Customer Inputs'!$U$11="EXISTING"),SUMIFS('Existing Customers'!$U:$U,'Existing Customers'!$H:$H,$FF22,'Existing Customers'!$A:$A,$FG$1),FX22*FG22),0)</f>
        <v>0</v>
      </c>
      <c r="FO22" s="1164" t="e">
        <f>_xlfn.CONCAT($AW$1,"_",IF(NOT(ISBLANK('Customer Inputs'!$H$11)),'Customer Inputs'!$H$11,""),"_",IF(AND(NOT(ISBLANK('Customer Inputs'!$G$11)),'Customer Inputs'!$G$11&lt;&gt;"New"),IF('Customer Inputs'!$M$11&lt;&gt;"Enter Menu Type&gt;&gt;",IF('Customer Inputs'!$R$11=0,'Customer Inputs'!$M$11,'Customer Inputs'!$R$11),'Customer Inputs'!$R$11),""),"_",FF22)</f>
        <v>#N/A</v>
      </c>
      <c r="FP22" s="1164">
        <f t="array" ref="FP22">IFERROR(INDEX('Margin Guidence Table'!$A$1:$AD$30000,MATCH(1,('Margin Guidence Table'!$A$1:$A$30000=FO22)*('Margin Guidence Table'!$H$1:$H$30000&lt;=ROUND($FG$3,0))*('Margin Guidence Table'!$G$1:$G$30000&gt;=ROUND($FG$3,0)),0),MATCH("DATA_POINTS",'Margin Guidence Table'!$A$1:$AC$1,0)),0)</f>
        <v>0</v>
      </c>
      <c r="FQ22" s="1161" t="str">
        <f t="shared" si="29"/>
        <v>DEFAULT</v>
      </c>
      <c r="FR22" s="1161">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1">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5">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5">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5">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5">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5">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5">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1">
        <f>IFERROR(IF(AND($GC$2&lt;&gt;"Enter Spend&gt;&gt;&gt;",'Customer Inputs'!$U$12="EXISTING"),SUMIFS('Existing Customers'!$S:$S,'Existing Customers'!$H:$H,$GB22,'Existing Customers'!$A:$A,$GC$1),GS22*GC22),0)</f>
        <v>0</v>
      </c>
      <c r="GJ22" s="1161">
        <f>IFERROR(IF(AND($GC$2&lt;&gt;"Enter Spend&gt;&gt;&gt;",'Customer Inputs'!$U$12="EXISTING"),SUMIFS('Existing Customers'!$U:$U,'Existing Customers'!$H:$H,$GB22,'Existing Customers'!$A:$A,$GC$1),GT22*GC22),0)</f>
        <v>0</v>
      </c>
      <c r="GK22" s="1164" t="e">
        <f>_xlfn.CONCAT($AW$1,"_",IF(NOT(ISBLANK('Customer Inputs'!$H$12)),'Customer Inputs'!$H$12,""),"_",IF(AND(NOT(ISBLANK('Customer Inputs'!$G$12)),'Customer Inputs'!$G$12&lt;&gt;"New"),IF('Customer Inputs'!$M$12&lt;&gt;"Enter Menu Type&gt;&gt;",IF('Customer Inputs'!$R$12=0,'Customer Inputs'!$M$12,'Customer Inputs'!$R$12),'Customer Inputs'!$R$12),""),"_",GB22)</f>
        <v>#N/A</v>
      </c>
      <c r="GL22" s="1164">
        <f t="array" ref="GL22">IFERROR(INDEX('Margin Guidence Table'!$A$1:$AD$30000,MATCH(1,('Margin Guidence Table'!$A$1:$A$30000=GK22)*('Margin Guidence Table'!$H$1:$H$30000&lt;=ROUND($GC$3,0))*('Margin Guidence Table'!$G$1:$G$30000&gt;=ROUND($GC$3,0)),0),MATCH("DATA_POINTS",'Margin Guidence Table'!$A$1:$AC$1,0)),0)</f>
        <v>0</v>
      </c>
      <c r="GM22" s="1161" t="str">
        <f t="shared" si="30"/>
        <v>DEFAULT</v>
      </c>
      <c r="GN22" s="1161">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1">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5">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5">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5">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5">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5">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5">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1">
        <f>IFERROR(IF(AND($GY$2&lt;&gt;"Enter Spend&gt;&gt;&gt;",'Customer Inputs'!$U$13="EXISTING"),SUMIFS('Existing Customers'!$S:$S,'Existing Customers'!$H:$H,$GX22,'Existing Customers'!$A:$A,$GY$1),HO22*GY22),0)</f>
        <v>0</v>
      </c>
      <c r="HF22" s="1161">
        <f>IFERROR(IF(AND($GY$2&lt;&gt;"Enter Spend&gt;&gt;&gt;",'Customer Inputs'!$U$13="EXISTING"),SUMIFS('Existing Customers'!$U:$U,'Existing Customers'!$H:$H,$GX22,'Existing Customers'!$A:$A,$GY$1),HP22*GY22),0)</f>
        <v>0</v>
      </c>
      <c r="HG22" s="1164" t="e">
        <f>_xlfn.CONCAT($AW$1,"_",IF(NOT(ISBLANK('Customer Inputs'!$H$13)),'Customer Inputs'!$H$13,""),"_",IF(AND(NOT(ISBLANK('Customer Inputs'!$G$13)),'Customer Inputs'!$G$13&lt;&gt;"New"),IF('Customer Inputs'!$M$13&lt;&gt;"Enter Menu Type&gt;&gt;",IF('Customer Inputs'!$R$13=0,'Customer Inputs'!$M$13,'Customer Inputs'!$R$13),'Customer Inputs'!$R$13),""),"_",GX22)</f>
        <v>#N/A</v>
      </c>
      <c r="HH22" s="1164">
        <f t="array" ref="HH22">IFERROR(INDEX('Margin Guidence Table'!$A$1:$AD$30000,MATCH(1,('Margin Guidence Table'!$A$1:$A$30000=HG22)*('Margin Guidence Table'!$H$1:$H$30000&lt;=ROUND($GY$3,0))*('Margin Guidence Table'!$G$1:$G$30000&gt;=ROUND($GY$3,0)),0),MATCH("DATA_POINTS",'Margin Guidence Table'!$A$1:$AC$1,0)),0)</f>
        <v>0</v>
      </c>
      <c r="HI22" s="1161" t="str">
        <f t="shared" si="31"/>
        <v>DEFAULT</v>
      </c>
      <c r="HJ22" s="1161">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1">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5">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5">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5">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5">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5">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5">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1">
        <f>IFERROR(IF(AND($HU$2&lt;&gt;"Enter Spend&gt;&gt;&gt;",'Customer Inputs'!$U$14="EXISTING"),SUMIFS('Existing Customers'!$S:$S,'Existing Customers'!$H:$H,$HT22,'Existing Customers'!$A:$A,$HU$1),IK22*HU22),0)</f>
        <v>0</v>
      </c>
      <c r="IB22" s="1161">
        <f>IFERROR(IF(AND($HU$2&lt;&gt;"Enter Spend&gt;&gt;&gt;",'Customer Inputs'!$U$14="EXISTING"),SUMIFS('Existing Customers'!$U:$U,'Existing Customers'!$H:$H,$HT22,'Existing Customers'!$A:$A,$HU$1),IL22*HU22),0)</f>
        <v>0</v>
      </c>
      <c r="IC22" s="1164" t="e">
        <f>_xlfn.CONCAT($AW$1,"_",IF(NOT(ISBLANK('Customer Inputs'!$H$14)),'Customer Inputs'!$H$14,""),"_",IF(AND(NOT(ISBLANK('Customer Inputs'!$G$14)),'Customer Inputs'!$G$14&lt;&gt;"New"),IF('Customer Inputs'!$M$14&lt;&gt;"Enter Menu Type&gt;&gt;",IF('Customer Inputs'!$R$14=0,'Customer Inputs'!$M$14,'Customer Inputs'!$R$14),'Customer Inputs'!$R$14),""),"_",HT22)</f>
        <v>#N/A</v>
      </c>
      <c r="ID22" s="1164">
        <f t="array" ref="ID22">IFERROR(INDEX('Margin Guidence Table'!$A$1:$AD$30000,MATCH(1,('Margin Guidence Table'!$A$1:$A$30000=IC22)*('Margin Guidence Table'!$H$1:$H$30000&lt;=ROUND($HU$3,0))*('Margin Guidence Table'!$G$1:$G$30000&gt;=ROUND($HU$3,0)),0),MATCH("DATA_POINTS",'Margin Guidence Table'!$A$1:$AC$1,0)),0)</f>
        <v>0</v>
      </c>
      <c r="IE22" s="1161" t="str">
        <f t="shared" si="32"/>
        <v>DEFAULT</v>
      </c>
      <c r="IF22" s="1161">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1">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5">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5">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5">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5">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5">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5">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1">
        <f>IFERROR(IF(AND($IQ$2&lt;&gt;"Enter Spend&gt;&gt;&gt;",'Customer Inputs'!$U$15="EXISTING"),SUMIFS('Existing Customers'!$S:$S,'Existing Customers'!$H:$H,$IP22,'Existing Customers'!$A:$A,$IQ$1),JG22*IQ22),0)</f>
        <v>0</v>
      </c>
      <c r="IX22" s="1161">
        <f>IFERROR(IF(AND($IQ$2&lt;&gt;"Enter Spend&gt;&gt;&gt;",'Customer Inputs'!$U$15="EXISTING"),SUMIFS('Existing Customers'!$U:$U,'Existing Customers'!$H:$H,$IP22,'Existing Customers'!$A:$A,$IQ$1),JH22*IQ22),0)</f>
        <v>0</v>
      </c>
      <c r="IY22" s="1164" t="e">
        <f>_xlfn.CONCAT($AW$1,"_",IF(NOT(ISBLANK('Customer Inputs'!$H$15)),'Customer Inputs'!$H$15,""),"_",IF(AND(NOT(ISBLANK('Customer Inputs'!$G$15)),'Customer Inputs'!$G$15&lt;&gt;"New"),IF('Customer Inputs'!$M$15&lt;&gt;"Enter Menu Type&gt;&gt;",IF('Customer Inputs'!$R$15=0,'Customer Inputs'!$M$15,'Customer Inputs'!$R$15),'Customer Inputs'!$R$15),""),"_",IP22)</f>
        <v>#N/A</v>
      </c>
      <c r="IZ22" s="1164">
        <f t="array" ref="IZ22">IFERROR(INDEX('Margin Guidence Table'!$A$1:$AD$30000,MATCH(1,('Margin Guidence Table'!$A$1:$A$30000=IY22)*('Margin Guidence Table'!$H$1:$H$30000&lt;=ROUND($IQ$3,0))*('Margin Guidence Table'!$G$1:$G$30000&gt;=ROUND($IQ$3,0)),0),MATCH("DATA_POINTS",'Margin Guidence Table'!$A$1:$AC$1,0)),0)</f>
        <v>0</v>
      </c>
      <c r="JA22" s="1161" t="str">
        <f t="shared" si="33"/>
        <v>DEFAULT</v>
      </c>
      <c r="JB22" s="1161">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1">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5">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5">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5">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5">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5">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5">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7" t="e">
        <f t="shared" si="0"/>
        <v>#DIV/0!</v>
      </c>
      <c r="J23" s="1157" t="e">
        <f t="shared" si="0"/>
        <v>#DIV/0!</v>
      </c>
      <c r="K23" s="1157" t="e">
        <f t="shared" si="0"/>
        <v>#DIV/0!</v>
      </c>
      <c r="L23" s="496" t="e">
        <f t="shared" si="1"/>
        <v>#DIV/0!</v>
      </c>
      <c r="M23" s="496" t="e">
        <f t="shared" si="15"/>
        <v>#DIV/0!</v>
      </c>
      <c r="N23" s="1158"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3" t="e">
        <f>_xlfn.CONCAT($AW$1,"_",IF(NOT(ISBLANK('Customer Inputs'!$H$6)),'Customer Inputs'!$H$6,""),"_",IF(AND(NOT(ISBLANK('Customer Inputs'!$G$6)),'Customer Inputs'!$G$6&lt;&gt;"New"),IF('Customer Inputs'!$M$6&lt;&gt;"Enter Menu Type&gt;&gt;",IF('Customer Inputs'!$R$6=0,'Customer Inputs'!$M$6,'Customer Inputs'!$R$6),'Customer Inputs'!$R$6),""),"_",AZ23)</f>
        <v>#N/A</v>
      </c>
      <c r="BJ23" s="1164">
        <f t="array" ref="BJ23">IFERROR(INDEX('Margin Guidence Table'!$A$1:$AD$30000,MATCH(1,('Margin Guidence Table'!$A$1:$A$30000=$BI23)*('Margin Guidence Table'!$H$1:$H$30000&lt;=ROUND($BA$3,0))*('Margin Guidence Table'!$G$1:$G$30000&gt;=ROUND($BA$3,0)),0),MATCH("DATA_POINTS",'Margin Guidence Table'!$A$1:$AC$1,0)),0)</f>
        <v>0</v>
      </c>
      <c r="BK23" s="1161" t="str">
        <f t="shared" si="24"/>
        <v>DEFAULT</v>
      </c>
      <c r="BL23" s="1161">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1">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5">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5">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5">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5">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5">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5">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1">
        <f>IFERROR(IF(AND($BW$2&lt;&gt;"Enter Spend&gt;&gt;&gt;",'Customer Inputs'!$U$7="EXISTING"),SUMIFS('Existing Customers'!$S:$S,'Existing Customers'!$H:$H,$BV23,'Existing Customers'!$A:$A,$BW$1),CM23*BW23),0)</f>
        <v>0</v>
      </c>
      <c r="CD23" s="1161">
        <f>IFERROR(IF(AND($BW$2&lt;&gt;"Enter Spend&gt;&gt;&gt;",'Customer Inputs'!$U$7="EXISTING"),SUMIFS('Existing Customers'!$U:$U,'Existing Customers'!$H:$H,$BV23,'Existing Customers'!$A:$A,$BW$1),CN23*BW23),0)</f>
        <v>0</v>
      </c>
      <c r="CE23" s="1164" t="e">
        <f>_xlfn.CONCAT($AW$1,"_",IF(NOT(ISBLANK('Customer Inputs'!$H$7)),'Customer Inputs'!$H$7,""),"_",IF(AND(NOT(ISBLANK('Customer Inputs'!$G$7)),'Customer Inputs'!$G$7&lt;&gt;"New"),IF('Customer Inputs'!$M$7&lt;&gt;"Enter Menu Type&gt;&gt;",IF('Customer Inputs'!$R$7=0,'Customer Inputs'!$M$7,'Customer Inputs'!$R$7),'Customer Inputs'!$R$7),""),"_",BV23)</f>
        <v>#N/A</v>
      </c>
      <c r="CF23" s="1164">
        <f t="array" ref="CF23">IFERROR(INDEX('Margin Guidence Table'!$A$1:$AD$30000,MATCH(1,('Margin Guidence Table'!$A$1:$A$30000=$CE23)*('Margin Guidence Table'!$H$1:$H$30000&lt;=ROUND($BW$3,0))*('Margin Guidence Table'!$G$1:$G$30000&gt;=ROUND($BW$3,0)),0),MATCH("DATA_POINTS",'Margin Guidence Table'!$A$1:$AC$1,0)),0)</f>
        <v>0</v>
      </c>
      <c r="CG23" s="1161" t="str">
        <f t="shared" si="25"/>
        <v>DEFAULT</v>
      </c>
      <c r="CH23" s="1161">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1">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5">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5">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5">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5">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5">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5">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1">
        <f>IFERROR(IF(AND($CS$2&lt;&gt;"Enter Spend&gt;&gt;&gt;",'Customer Inputs'!$U$8="EXISTING"),SUMIFS('Existing Customers'!$S:$S,'Existing Customers'!$H:$H,$CR23,'Existing Customers'!$A:$A,$CS$1),DI23*CS23),0)</f>
        <v>0</v>
      </c>
      <c r="CZ23" s="1161">
        <f>IFERROR(IF(AND($CS$2&lt;&gt;"Enter Spend&gt;&gt;&gt;",'Customer Inputs'!$U$8="EXISTING"),SUMIFS('Existing Customers'!$U:$U,'Existing Customers'!$H:$H,$CR23,'Existing Customers'!$A:$A,$CS$1),DJ23*CS23),0)</f>
        <v>0</v>
      </c>
      <c r="DA23" s="1164" t="e">
        <f>_xlfn.CONCAT($AW$1,"_",IF(NOT(ISBLANK('Customer Inputs'!$H$8)),'Customer Inputs'!$H$8,""),"_",IF(AND(NOT(ISBLANK('Customer Inputs'!$G$8)),'Customer Inputs'!$G$8&lt;&gt;"New"),IF('Customer Inputs'!$M$8&lt;&gt;"Enter Menu Type&gt;&gt;",IF('Customer Inputs'!$R$8=0,'Customer Inputs'!$M$8,'Customer Inputs'!$R$8),'Customer Inputs'!$R$8),""),"_",CR23)</f>
        <v>#N/A</v>
      </c>
      <c r="DB23" s="1164">
        <f t="array" ref="DB23">IFERROR(INDEX('Margin Guidence Table'!$A$1:$AD$30000,MATCH(1,('Margin Guidence Table'!$A$1:$A$30000=DA23)*('Margin Guidence Table'!$H$1:$H$30000&lt;=ROUND($CS$3,0))*('Margin Guidence Table'!$G$1:$G$30000&gt;=ROUND($CS$3,0)),0),MATCH("DATA_POINTS",'Margin Guidence Table'!$A$1:$AC$1,0)),0)</f>
        <v>0</v>
      </c>
      <c r="DC23" s="1161" t="str">
        <f t="shared" si="26"/>
        <v>DEFAULT</v>
      </c>
      <c r="DD23" s="1161">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1">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5">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5">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5">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5">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5">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5">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1">
        <f>IFERROR(IF(AND($DO$2&lt;&gt;"Enter Spend&gt;&gt;&gt;",'Customer Inputs'!$U$9="EXISTING"),SUMIFS('Existing Customers'!$S:$S,'Existing Customers'!$H:$H,$DP23,'Existing Customers'!$A:$A,$DO$1),EE23*DO23),0)</f>
        <v>0</v>
      </c>
      <c r="DV23" s="1161">
        <f>IFERROR(IF(AND($DO$2&lt;&gt;"Enter Spend&gt;&gt;&gt;",'Customer Inputs'!$U$9="EXISTING"),SUMIFS('Existing Customers'!$U:$U,'Existing Customers'!$H:$H,$DN23,'Existing Customers'!$A:$A,$DO$1),EF23*DO23),0)</f>
        <v>0</v>
      </c>
      <c r="DW23" s="1164" t="e">
        <f>_xlfn.CONCAT($AW$1,"_",IF(NOT(ISBLANK('Customer Inputs'!$H$9)),'Customer Inputs'!$H$9,""),"_",IF(AND(NOT(ISBLANK('Customer Inputs'!$G$9)),'Customer Inputs'!$G$9&lt;&gt;"New"),IF('Customer Inputs'!$M$9&lt;&gt;"Enter Menu Type&gt;&gt;",IF('Customer Inputs'!$R$9=0,'Customer Inputs'!$M$9,'Customer Inputs'!$R$9),'Customer Inputs'!$R$9),""),"_",DN23)</f>
        <v>#N/A</v>
      </c>
      <c r="DX23" s="1164">
        <f t="array" ref="DX23">IFERROR(INDEX('Margin Guidence Table'!$A$1:$AD$30000,MATCH(1,('Margin Guidence Table'!$A$1:$A$30000=DW23)*('Margin Guidence Table'!$H$1:$H$30000&lt;=ROUND($DO$3,0))*('Margin Guidence Table'!$G$1:$G$30000&gt;=ROUND($DO$3,0)),0),MATCH("DATA_POINTS",'Margin Guidence Table'!$A$1:$AC$1,0)),0)</f>
        <v>0</v>
      </c>
      <c r="DY23" s="1161" t="str">
        <f t="shared" si="27"/>
        <v>DEFAULT</v>
      </c>
      <c r="DZ23" s="1161">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1">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5">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5">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5">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5">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5">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5">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1">
        <f>IFERROR(IF(AND($EK$2&lt;&gt;"Enter Spend&gt;&gt;&gt;",'Customer Inputs'!$U$10="EXISTING"),SUMIFS('Existing Customers'!$S:$S,'Existing Customers'!$H:$H,$EJ23,'Existing Customers'!$A:$A,$EK$1),FA23*EK23),0)</f>
        <v>0</v>
      </c>
      <c r="ER23" s="1161">
        <f>IFERROR(IF(AND($EK$2&lt;&gt;"Enter Spend&gt;&gt;&gt;",'Customer Inputs'!$U$10="EXISTING"),SUMIFS('Existing Customers'!$U:$U,'Existing Customers'!$H:$H,$EJ23,'Existing Customers'!$A:$A,$EK$1),FB23*EK23),0)</f>
        <v>0</v>
      </c>
      <c r="ES23" s="1164" t="e">
        <f>_xlfn.CONCAT($AW$1,"_",IF(NOT(ISBLANK('Customer Inputs'!$H$10)),'Customer Inputs'!$H$10,""),"_",IF(AND(NOT(ISBLANK('Customer Inputs'!$G$10)),'Customer Inputs'!$G$10&lt;&gt;"New"),IF('Customer Inputs'!$M$10&lt;&gt;"Enter Menu Type&gt;&gt;",IF('Customer Inputs'!$R$10=0,'Customer Inputs'!$M$10,'Customer Inputs'!$R$10),'Customer Inputs'!$R$10),""),"_",EJ23)</f>
        <v>#N/A</v>
      </c>
      <c r="ET23" s="1164">
        <f t="array" ref="ET23">IFERROR(INDEX('Margin Guidence Table'!$A$1:$AD$30000,MATCH(1,('Margin Guidence Table'!$A$1:$A$30000=ES23)*('Margin Guidence Table'!$H$1:$H$30000&lt;=ROUND($EK$3,0))*('Margin Guidence Table'!$G$1:$G$30000&gt;=ROUND($EK$3,0)),0),MATCH("DATA_POINTS",'Margin Guidence Table'!$A$1:$AC$1,0)),0)</f>
        <v>0</v>
      </c>
      <c r="EU23" s="1161" t="str">
        <f t="shared" si="28"/>
        <v>DEFAULT</v>
      </c>
      <c r="EV23" s="1161">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1"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5">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5">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5">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5">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5">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5">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1">
        <f>IFERROR(IF(AND($FG$2&lt;&gt;"Enter Spend&gt;&gt;&gt;",'Customer Inputs'!$U$11="EXISTING"),SUMIFS('Existing Customers'!$S:$S,'Existing Customers'!$H:$H,$FF23,'Existing Customers'!$A:$A,$FG$1),FW23*FG23),0)</f>
        <v>0</v>
      </c>
      <c r="FN23" s="1161">
        <f>IFERROR(IF(AND($FG$2&lt;&gt;"Enter Spend&gt;&gt;&gt;",'Customer Inputs'!$U$11="EXISTING"),SUMIFS('Existing Customers'!$U:$U,'Existing Customers'!$H:$H,$FF23,'Existing Customers'!$A:$A,$FG$1),FX23*FG23),0)</f>
        <v>0</v>
      </c>
      <c r="FO23" s="1164" t="e">
        <f>_xlfn.CONCAT($AW$1,"_",IF(NOT(ISBLANK('Customer Inputs'!$H$11)),'Customer Inputs'!$H$11,""),"_",IF(AND(NOT(ISBLANK('Customer Inputs'!$G$11)),'Customer Inputs'!$G$11&lt;&gt;"New"),IF('Customer Inputs'!$M$11&lt;&gt;"Enter Menu Type&gt;&gt;",IF('Customer Inputs'!$R$11=0,'Customer Inputs'!$M$11,'Customer Inputs'!$R$11),'Customer Inputs'!$R$11),""),"_",FF23)</f>
        <v>#N/A</v>
      </c>
      <c r="FP23" s="1164">
        <f t="array" ref="FP23">IFERROR(INDEX('Margin Guidence Table'!$A$1:$AD$30000,MATCH(1,('Margin Guidence Table'!$A$1:$A$30000=FO23)*('Margin Guidence Table'!$H$1:$H$30000&lt;=ROUND($FG$3,0))*('Margin Guidence Table'!$G$1:$G$30000&gt;=ROUND($FG$3,0)),0),MATCH("DATA_POINTS",'Margin Guidence Table'!$A$1:$AC$1,0)),0)</f>
        <v>0</v>
      </c>
      <c r="FQ23" s="1161" t="str">
        <f t="shared" si="29"/>
        <v>DEFAULT</v>
      </c>
      <c r="FR23" s="1161">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1">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5">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5">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5">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5">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5">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5">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1">
        <f>IFERROR(IF(AND($GC$2&lt;&gt;"Enter Spend&gt;&gt;&gt;",'Customer Inputs'!$U$12="EXISTING"),SUMIFS('Existing Customers'!$S:$S,'Existing Customers'!$H:$H,$GB23,'Existing Customers'!$A:$A,$GC$1),GS23*GC23),0)</f>
        <v>0</v>
      </c>
      <c r="GJ23" s="1161">
        <f>IFERROR(IF(AND($GC$2&lt;&gt;"Enter Spend&gt;&gt;&gt;",'Customer Inputs'!$U$12="EXISTING"),SUMIFS('Existing Customers'!$U:$U,'Existing Customers'!$H:$H,$GB23,'Existing Customers'!$A:$A,$GC$1),GT23*GC23),0)</f>
        <v>0</v>
      </c>
      <c r="GK23" s="1164" t="e">
        <f>_xlfn.CONCAT($AW$1,"_",IF(NOT(ISBLANK('Customer Inputs'!$H$12)),'Customer Inputs'!$H$12,""),"_",IF(AND(NOT(ISBLANK('Customer Inputs'!$G$12)),'Customer Inputs'!$G$12&lt;&gt;"New"),IF('Customer Inputs'!$M$12&lt;&gt;"Enter Menu Type&gt;&gt;",IF('Customer Inputs'!$R$12=0,'Customer Inputs'!$M$12,'Customer Inputs'!$R$12),'Customer Inputs'!$R$12),""),"_",GB23)</f>
        <v>#N/A</v>
      </c>
      <c r="GL23" s="1164">
        <f t="array" ref="GL23">IFERROR(INDEX('Margin Guidence Table'!$A$1:$AD$30000,MATCH(1,('Margin Guidence Table'!$A$1:$A$30000=GK23)*('Margin Guidence Table'!$H$1:$H$30000&lt;=ROUND($GC$3,0))*('Margin Guidence Table'!$G$1:$G$30000&gt;=ROUND($GC$3,0)),0),MATCH("DATA_POINTS",'Margin Guidence Table'!$A$1:$AC$1,0)),0)</f>
        <v>0</v>
      </c>
      <c r="GM23" s="1161" t="str">
        <f t="shared" si="30"/>
        <v>DEFAULT</v>
      </c>
      <c r="GN23" s="1161">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1">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5">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5">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5">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5">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5">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5">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1">
        <f>IFERROR(IF(AND($GY$2&lt;&gt;"Enter Spend&gt;&gt;&gt;",'Customer Inputs'!$U$13="EXISTING"),SUMIFS('Existing Customers'!$S:$S,'Existing Customers'!$H:$H,$GX23,'Existing Customers'!$A:$A,$GY$1),HO23*GY23),0)</f>
        <v>0</v>
      </c>
      <c r="HF23" s="1161">
        <f>IFERROR(IF(AND($GY$2&lt;&gt;"Enter Spend&gt;&gt;&gt;",'Customer Inputs'!$U$13="EXISTING"),SUMIFS('Existing Customers'!$U:$U,'Existing Customers'!$H:$H,$GX23,'Existing Customers'!$A:$A,$GY$1),HP23*GY23),0)</f>
        <v>0</v>
      </c>
      <c r="HG23" s="1164" t="e">
        <f>_xlfn.CONCAT($AW$1,"_",IF(NOT(ISBLANK('Customer Inputs'!$H$13)),'Customer Inputs'!$H$13,""),"_",IF(AND(NOT(ISBLANK('Customer Inputs'!$G$13)),'Customer Inputs'!$G$13&lt;&gt;"New"),IF('Customer Inputs'!$M$13&lt;&gt;"Enter Menu Type&gt;&gt;",IF('Customer Inputs'!$R$13=0,'Customer Inputs'!$M$13,'Customer Inputs'!$R$13),'Customer Inputs'!$R$13),""),"_",GX23)</f>
        <v>#N/A</v>
      </c>
      <c r="HH23" s="1164">
        <f t="array" ref="HH23">IFERROR(INDEX('Margin Guidence Table'!$A$1:$AD$30000,MATCH(1,('Margin Guidence Table'!$A$1:$A$30000=HG23)*('Margin Guidence Table'!$H$1:$H$30000&lt;=ROUND($GY$3,0))*('Margin Guidence Table'!$G$1:$G$30000&gt;=ROUND($GY$3,0)),0),MATCH("DATA_POINTS",'Margin Guidence Table'!$A$1:$AC$1,0)),0)</f>
        <v>0</v>
      </c>
      <c r="HI23" s="1161" t="str">
        <f t="shared" si="31"/>
        <v>DEFAULT</v>
      </c>
      <c r="HJ23" s="1161">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1">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5">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5">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5">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5">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5">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5">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1">
        <f>IFERROR(IF(AND($HU$2&lt;&gt;"Enter Spend&gt;&gt;&gt;",'Customer Inputs'!$U$14="EXISTING"),SUMIFS('Existing Customers'!$S:$S,'Existing Customers'!$H:$H,$HT23,'Existing Customers'!$A:$A,$HU$1),IK23*HU23),0)</f>
        <v>0</v>
      </c>
      <c r="IB23" s="1161">
        <f>IFERROR(IF(AND($HU$2&lt;&gt;"Enter Spend&gt;&gt;&gt;",'Customer Inputs'!$U$14="EXISTING"),SUMIFS('Existing Customers'!$U:$U,'Existing Customers'!$H:$H,$HT23,'Existing Customers'!$A:$A,$HU$1),IL23*HU23),0)</f>
        <v>0</v>
      </c>
      <c r="IC23" s="1164" t="e">
        <f>_xlfn.CONCAT($AW$1,"_",IF(NOT(ISBLANK('Customer Inputs'!$H$14)),'Customer Inputs'!$H$14,""),"_",IF(AND(NOT(ISBLANK('Customer Inputs'!$G$14)),'Customer Inputs'!$G$14&lt;&gt;"New"),IF('Customer Inputs'!$M$14&lt;&gt;"Enter Menu Type&gt;&gt;",IF('Customer Inputs'!$R$14=0,'Customer Inputs'!$M$14,'Customer Inputs'!$R$14),'Customer Inputs'!$R$14),""),"_",HT23)</f>
        <v>#N/A</v>
      </c>
      <c r="ID23" s="1164">
        <f t="array" ref="ID23">IFERROR(INDEX('Margin Guidence Table'!$A$1:$AD$30000,MATCH(1,('Margin Guidence Table'!$A$1:$A$30000=IC23)*('Margin Guidence Table'!$H$1:$H$30000&lt;=ROUND($HU$3,0))*('Margin Guidence Table'!$G$1:$G$30000&gt;=ROUND($HU$3,0)),0),MATCH("DATA_POINTS",'Margin Guidence Table'!$A$1:$AC$1,0)),0)</f>
        <v>0</v>
      </c>
      <c r="IE23" s="1161" t="str">
        <f t="shared" si="32"/>
        <v>DEFAULT</v>
      </c>
      <c r="IF23" s="1161">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1">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5">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5">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5">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5">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5">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5">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1">
        <f>IFERROR(IF(AND($IQ$2&lt;&gt;"Enter Spend&gt;&gt;&gt;",'Customer Inputs'!$U$15="EXISTING"),SUMIFS('Existing Customers'!$S:$S,'Existing Customers'!$H:$H,$IP23,'Existing Customers'!$A:$A,$IQ$1),JG23*IQ23),0)</f>
        <v>0</v>
      </c>
      <c r="IX23" s="1161">
        <f>IFERROR(IF(AND($IQ$2&lt;&gt;"Enter Spend&gt;&gt;&gt;",'Customer Inputs'!$U$15="EXISTING"),SUMIFS('Existing Customers'!$U:$U,'Existing Customers'!$H:$H,$IP23,'Existing Customers'!$A:$A,$IQ$1),JH23*IQ23),0)</f>
        <v>0</v>
      </c>
      <c r="IY23" s="1164" t="e">
        <f>_xlfn.CONCAT($AW$1,"_",IF(NOT(ISBLANK('Customer Inputs'!$H$15)),'Customer Inputs'!$H$15,""),"_",IF(AND(NOT(ISBLANK('Customer Inputs'!$G$15)),'Customer Inputs'!$G$15&lt;&gt;"New"),IF('Customer Inputs'!$M$15&lt;&gt;"Enter Menu Type&gt;&gt;",IF('Customer Inputs'!$R$15=0,'Customer Inputs'!$M$15,'Customer Inputs'!$R$15),'Customer Inputs'!$R$15),""),"_",IP23)</f>
        <v>#N/A</v>
      </c>
      <c r="IZ23" s="1164">
        <f t="array" ref="IZ23">IFERROR(INDEX('Margin Guidence Table'!$A$1:$AD$30000,MATCH(1,('Margin Guidence Table'!$A$1:$A$30000=IY23)*('Margin Guidence Table'!$H$1:$H$30000&lt;=ROUND($IQ$3,0))*('Margin Guidence Table'!$G$1:$G$30000&gt;=ROUND($IQ$3,0)),0),MATCH("DATA_POINTS",'Margin Guidence Table'!$A$1:$AC$1,0)),0)</f>
        <v>0</v>
      </c>
      <c r="JA23" s="1161" t="str">
        <f t="shared" si="33"/>
        <v>DEFAULT</v>
      </c>
      <c r="JB23" s="1161">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1">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5">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5">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5">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5">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5">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5">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7" t="e">
        <f t="shared" si="0"/>
        <v>#DIV/0!</v>
      </c>
      <c r="J24" s="1157" t="e">
        <f t="shared" si="0"/>
        <v>#DIV/0!</v>
      </c>
      <c r="K24" s="1157" t="e">
        <f t="shared" si="0"/>
        <v>#DIV/0!</v>
      </c>
      <c r="L24" s="496" t="e">
        <f t="shared" si="1"/>
        <v>#DIV/0!</v>
      </c>
      <c r="M24" s="496" t="e">
        <f t="shared" si="15"/>
        <v>#DIV/0!</v>
      </c>
      <c r="N24" s="1158"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3" t="e">
        <f>_xlfn.CONCAT($AW$1,"_",IF(NOT(ISBLANK('Customer Inputs'!$H$6)),'Customer Inputs'!$H$6,""),"_",IF(AND(NOT(ISBLANK('Customer Inputs'!$G$6)),'Customer Inputs'!$G$6&lt;&gt;"New"),IF('Customer Inputs'!$M$6&lt;&gt;"Enter Menu Type&gt;&gt;",IF('Customer Inputs'!$R$6=0,'Customer Inputs'!$M$6,'Customer Inputs'!$R$6),'Customer Inputs'!$R$6),""),"_",AZ24)</f>
        <v>#N/A</v>
      </c>
      <c r="BJ24" s="1164">
        <f t="array" ref="BJ24">IFERROR(INDEX('Margin Guidence Table'!$A$1:$AD$30000,MATCH(1,('Margin Guidence Table'!$A$1:$A$30000=$BI24)*('Margin Guidence Table'!$H$1:$H$30000&lt;=ROUND($BA$3,0))*('Margin Guidence Table'!$G$1:$G$30000&gt;=ROUND($BA$3,0)),0),MATCH("DATA_POINTS",'Margin Guidence Table'!$A$1:$AC$1,0)),0)</f>
        <v>0</v>
      </c>
      <c r="BK24" s="1161" t="str">
        <f t="shared" si="24"/>
        <v>DEFAULT</v>
      </c>
      <c r="BL24" s="1161">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1">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5">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5">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5">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5">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5">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5">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1">
        <f>IFERROR(IF(AND($BW$2&lt;&gt;"Enter Spend&gt;&gt;&gt;",'Customer Inputs'!$U$7="EXISTING"),SUMIFS('Existing Customers'!$S:$S,'Existing Customers'!$H:$H,$BV24,'Existing Customers'!$A:$A,$BW$1),CM24*BW24),0)</f>
        <v>0</v>
      </c>
      <c r="CD24" s="1161">
        <f>IFERROR(IF(AND($BW$2&lt;&gt;"Enter Spend&gt;&gt;&gt;",'Customer Inputs'!$U$7="EXISTING"),SUMIFS('Existing Customers'!$U:$U,'Existing Customers'!$H:$H,$BV24,'Existing Customers'!$A:$A,$BW$1),CN24*BW24),0)</f>
        <v>0</v>
      </c>
      <c r="CE24" s="1164" t="e">
        <f>_xlfn.CONCAT($AW$1,"_",IF(NOT(ISBLANK('Customer Inputs'!$H$7)),'Customer Inputs'!$H$7,""),"_",IF(AND(NOT(ISBLANK('Customer Inputs'!$G$7)),'Customer Inputs'!$G$7&lt;&gt;"New"),IF('Customer Inputs'!$M$7&lt;&gt;"Enter Menu Type&gt;&gt;",IF('Customer Inputs'!$R$7=0,'Customer Inputs'!$M$7,'Customer Inputs'!$R$7),'Customer Inputs'!$R$7),""),"_",BV24)</f>
        <v>#N/A</v>
      </c>
      <c r="CF24" s="1164">
        <f t="array" ref="CF24">IFERROR(INDEX('Margin Guidence Table'!$A$1:$AD$30000,MATCH(1,('Margin Guidence Table'!$A$1:$A$30000=$CE24)*('Margin Guidence Table'!$H$1:$H$30000&lt;=ROUND($BW$3,0))*('Margin Guidence Table'!$G$1:$G$30000&gt;=ROUND($BW$3,0)),0),MATCH("DATA_POINTS",'Margin Guidence Table'!$A$1:$AC$1,0)),0)</f>
        <v>0</v>
      </c>
      <c r="CG24" s="1161" t="str">
        <f t="shared" si="25"/>
        <v>DEFAULT</v>
      </c>
      <c r="CH24" s="1161">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1">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5">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5">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5">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5">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5">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5">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1">
        <f>IFERROR(IF(AND($CS$2&lt;&gt;"Enter Spend&gt;&gt;&gt;",'Customer Inputs'!$U$8="EXISTING"),SUMIFS('Existing Customers'!$S:$S,'Existing Customers'!$H:$H,$CR24,'Existing Customers'!$A:$A,$CS$1),DI24*CS24),0)</f>
        <v>0</v>
      </c>
      <c r="CZ24" s="1161">
        <f>IFERROR(IF(AND($CS$2&lt;&gt;"Enter Spend&gt;&gt;&gt;",'Customer Inputs'!$U$8="EXISTING"),SUMIFS('Existing Customers'!$U:$U,'Existing Customers'!$H:$H,$CR24,'Existing Customers'!$A:$A,$CS$1),DJ24*CS24),0)</f>
        <v>0</v>
      </c>
      <c r="DA24" s="1164" t="e">
        <f>_xlfn.CONCAT($AW$1,"_",IF(NOT(ISBLANK('Customer Inputs'!$H$8)),'Customer Inputs'!$H$8,""),"_",IF(AND(NOT(ISBLANK('Customer Inputs'!$G$8)),'Customer Inputs'!$G$8&lt;&gt;"New"),IF('Customer Inputs'!$M$8&lt;&gt;"Enter Menu Type&gt;&gt;",IF('Customer Inputs'!$R$8=0,'Customer Inputs'!$M$8,'Customer Inputs'!$R$8),'Customer Inputs'!$R$8),""),"_",CR24)</f>
        <v>#N/A</v>
      </c>
      <c r="DB24" s="1164">
        <f t="array" ref="DB24">IFERROR(INDEX('Margin Guidence Table'!$A$1:$AD$30000,MATCH(1,('Margin Guidence Table'!$A$1:$A$30000=DA24)*('Margin Guidence Table'!$H$1:$H$30000&lt;=ROUND($CS$3,0))*('Margin Guidence Table'!$G$1:$G$30000&gt;=ROUND($CS$3,0)),0),MATCH("DATA_POINTS",'Margin Guidence Table'!$A$1:$AC$1,0)),0)</f>
        <v>0</v>
      </c>
      <c r="DC24" s="1161" t="str">
        <f t="shared" si="26"/>
        <v>DEFAULT</v>
      </c>
      <c r="DD24" s="1161">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1">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5">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5">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5">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5">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5">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5">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1">
        <f>IFERROR(IF(AND($DO$2&lt;&gt;"Enter Spend&gt;&gt;&gt;",'Customer Inputs'!$U$9="EXISTING"),SUMIFS('Existing Customers'!$S:$S,'Existing Customers'!$H:$H,$DP24,'Existing Customers'!$A:$A,$DO$1),EE24*DO24),0)</f>
        <v>0</v>
      </c>
      <c r="DV24" s="1161">
        <f>IFERROR(IF(AND($DO$2&lt;&gt;"Enter Spend&gt;&gt;&gt;",'Customer Inputs'!$U$9="EXISTING"),SUMIFS('Existing Customers'!$U:$U,'Existing Customers'!$H:$H,$DN24,'Existing Customers'!$A:$A,$DO$1),EF24*DO24),0)</f>
        <v>0</v>
      </c>
      <c r="DW24" s="1164" t="e">
        <f>_xlfn.CONCAT($AW$1,"_",IF(NOT(ISBLANK('Customer Inputs'!$H$9)),'Customer Inputs'!$H$9,""),"_",IF(AND(NOT(ISBLANK('Customer Inputs'!$G$9)),'Customer Inputs'!$G$9&lt;&gt;"New"),IF('Customer Inputs'!$M$9&lt;&gt;"Enter Menu Type&gt;&gt;",IF('Customer Inputs'!$R$9=0,'Customer Inputs'!$M$9,'Customer Inputs'!$R$9),'Customer Inputs'!$R$9),""),"_",DN24)</f>
        <v>#N/A</v>
      </c>
      <c r="DX24" s="1164">
        <f t="array" ref="DX24">IFERROR(INDEX('Margin Guidence Table'!$A$1:$AD$30000,MATCH(1,('Margin Guidence Table'!$A$1:$A$30000=DW24)*('Margin Guidence Table'!$H$1:$H$30000&lt;=ROUND($DO$3,0))*('Margin Guidence Table'!$G$1:$G$30000&gt;=ROUND($DO$3,0)),0),MATCH("DATA_POINTS",'Margin Guidence Table'!$A$1:$AC$1,0)),0)</f>
        <v>0</v>
      </c>
      <c r="DY24" s="1161" t="str">
        <f t="shared" si="27"/>
        <v>DEFAULT</v>
      </c>
      <c r="DZ24" s="1161">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1">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5">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5">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5">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5">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5">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5">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1">
        <f>IFERROR(IF(AND($EK$2&lt;&gt;"Enter Spend&gt;&gt;&gt;",'Customer Inputs'!$U$10="EXISTING"),SUMIFS('Existing Customers'!$S:$S,'Existing Customers'!$H:$H,$EJ24,'Existing Customers'!$A:$A,$EK$1),FA24*EK24),0)</f>
        <v>0</v>
      </c>
      <c r="ER24" s="1161">
        <f>IFERROR(IF(AND($EK$2&lt;&gt;"Enter Spend&gt;&gt;&gt;",'Customer Inputs'!$U$10="EXISTING"),SUMIFS('Existing Customers'!$U:$U,'Existing Customers'!$H:$H,$EJ24,'Existing Customers'!$A:$A,$EK$1),FB24*EK24),0)</f>
        <v>0</v>
      </c>
      <c r="ES24" s="1164" t="e">
        <f>_xlfn.CONCAT($AW$1,"_",IF(NOT(ISBLANK('Customer Inputs'!$H$10)),'Customer Inputs'!$H$10,""),"_",IF(AND(NOT(ISBLANK('Customer Inputs'!$G$10)),'Customer Inputs'!$G$10&lt;&gt;"New"),IF('Customer Inputs'!$M$10&lt;&gt;"Enter Menu Type&gt;&gt;",IF('Customer Inputs'!$R$10=0,'Customer Inputs'!$M$10,'Customer Inputs'!$R$10),'Customer Inputs'!$R$10),""),"_",EJ24)</f>
        <v>#N/A</v>
      </c>
      <c r="ET24" s="1164">
        <f t="array" ref="ET24">IFERROR(INDEX('Margin Guidence Table'!$A$1:$AD$30000,MATCH(1,('Margin Guidence Table'!$A$1:$A$30000=ES24)*('Margin Guidence Table'!$H$1:$H$30000&lt;=ROUND($EK$3,0))*('Margin Guidence Table'!$G$1:$G$30000&gt;=ROUND($EK$3,0)),0),MATCH("DATA_POINTS",'Margin Guidence Table'!$A$1:$AC$1,0)),0)</f>
        <v>0</v>
      </c>
      <c r="EU24" s="1161" t="str">
        <f t="shared" si="28"/>
        <v>DEFAULT</v>
      </c>
      <c r="EV24" s="1161">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1"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5">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5">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5">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5">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5">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5">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1">
        <f>IFERROR(IF(AND($FG$2&lt;&gt;"Enter Spend&gt;&gt;&gt;",'Customer Inputs'!$U$11="EXISTING"),SUMIFS('Existing Customers'!$S:$S,'Existing Customers'!$H:$H,$FF24,'Existing Customers'!$A:$A,$FG$1),FW24*FG24),0)</f>
        <v>0</v>
      </c>
      <c r="FN24" s="1161">
        <f>IFERROR(IF(AND($FG$2&lt;&gt;"Enter Spend&gt;&gt;&gt;",'Customer Inputs'!$U$11="EXISTING"),SUMIFS('Existing Customers'!$U:$U,'Existing Customers'!$H:$H,$FF24,'Existing Customers'!$A:$A,$FG$1),FX24*FG24),0)</f>
        <v>0</v>
      </c>
      <c r="FO24" s="1164" t="e">
        <f>_xlfn.CONCAT($AW$1,"_",IF(NOT(ISBLANK('Customer Inputs'!$H$11)),'Customer Inputs'!$H$11,""),"_",IF(AND(NOT(ISBLANK('Customer Inputs'!$G$11)),'Customer Inputs'!$G$11&lt;&gt;"New"),IF('Customer Inputs'!$M$11&lt;&gt;"Enter Menu Type&gt;&gt;",IF('Customer Inputs'!$R$11=0,'Customer Inputs'!$M$11,'Customer Inputs'!$R$11),'Customer Inputs'!$R$11),""),"_",FF24)</f>
        <v>#N/A</v>
      </c>
      <c r="FP24" s="1164">
        <f t="array" ref="FP24">IFERROR(INDEX('Margin Guidence Table'!$A$1:$AD$30000,MATCH(1,('Margin Guidence Table'!$A$1:$A$30000=FO24)*('Margin Guidence Table'!$H$1:$H$30000&lt;=ROUND($FG$3,0))*('Margin Guidence Table'!$G$1:$G$30000&gt;=ROUND($FG$3,0)),0),MATCH("DATA_POINTS",'Margin Guidence Table'!$A$1:$AC$1,0)),0)</f>
        <v>0</v>
      </c>
      <c r="FQ24" s="1161" t="str">
        <f t="shared" si="29"/>
        <v>DEFAULT</v>
      </c>
      <c r="FR24" s="1161">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1">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5">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5">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5">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5">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5">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5">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1">
        <f>IFERROR(IF(AND($GC$2&lt;&gt;"Enter Spend&gt;&gt;&gt;",'Customer Inputs'!$U$12="EXISTING"),SUMIFS('Existing Customers'!$S:$S,'Existing Customers'!$H:$H,$GB24,'Existing Customers'!$A:$A,$GC$1),GS24*GC24),0)</f>
        <v>0</v>
      </c>
      <c r="GJ24" s="1161">
        <f>IFERROR(IF(AND($GC$2&lt;&gt;"Enter Spend&gt;&gt;&gt;",'Customer Inputs'!$U$12="EXISTING"),SUMIFS('Existing Customers'!$U:$U,'Existing Customers'!$H:$H,$GB24,'Existing Customers'!$A:$A,$GC$1),GT24*GC24),0)</f>
        <v>0</v>
      </c>
      <c r="GK24" s="1164" t="e">
        <f>_xlfn.CONCAT($AW$1,"_",IF(NOT(ISBLANK('Customer Inputs'!$H$12)),'Customer Inputs'!$H$12,""),"_",IF(AND(NOT(ISBLANK('Customer Inputs'!$G$12)),'Customer Inputs'!$G$12&lt;&gt;"New"),IF('Customer Inputs'!$M$12&lt;&gt;"Enter Menu Type&gt;&gt;",IF('Customer Inputs'!$R$12=0,'Customer Inputs'!$M$12,'Customer Inputs'!$R$12),'Customer Inputs'!$R$12),""),"_",GB24)</f>
        <v>#N/A</v>
      </c>
      <c r="GL24" s="1164">
        <f t="array" ref="GL24">IFERROR(INDEX('Margin Guidence Table'!$A$1:$AD$30000,MATCH(1,('Margin Guidence Table'!$A$1:$A$30000=GK24)*('Margin Guidence Table'!$H$1:$H$30000&lt;=ROUND($GC$3,0))*('Margin Guidence Table'!$G$1:$G$30000&gt;=ROUND($GC$3,0)),0),MATCH("DATA_POINTS",'Margin Guidence Table'!$A$1:$AC$1,0)),0)</f>
        <v>0</v>
      </c>
      <c r="GM24" s="1161" t="str">
        <f t="shared" si="30"/>
        <v>DEFAULT</v>
      </c>
      <c r="GN24" s="1161">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1">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5">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5">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5">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5">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5">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5">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1">
        <f>IFERROR(IF(AND($GY$2&lt;&gt;"Enter Spend&gt;&gt;&gt;",'Customer Inputs'!$U$13="EXISTING"),SUMIFS('Existing Customers'!$S:$S,'Existing Customers'!$H:$H,$GX24,'Existing Customers'!$A:$A,$GY$1),HO24*GY24),0)</f>
        <v>0</v>
      </c>
      <c r="HF24" s="1161">
        <f>IFERROR(IF(AND($GY$2&lt;&gt;"Enter Spend&gt;&gt;&gt;",'Customer Inputs'!$U$13="EXISTING"),SUMIFS('Existing Customers'!$U:$U,'Existing Customers'!$H:$H,$GX24,'Existing Customers'!$A:$A,$GY$1),HP24*GY24),0)</f>
        <v>0</v>
      </c>
      <c r="HG24" s="1164" t="e">
        <f>_xlfn.CONCAT($AW$1,"_",IF(NOT(ISBLANK('Customer Inputs'!$H$13)),'Customer Inputs'!$H$13,""),"_",IF(AND(NOT(ISBLANK('Customer Inputs'!$G$13)),'Customer Inputs'!$G$13&lt;&gt;"New"),IF('Customer Inputs'!$M$13&lt;&gt;"Enter Menu Type&gt;&gt;",IF('Customer Inputs'!$R$13=0,'Customer Inputs'!$M$13,'Customer Inputs'!$R$13),'Customer Inputs'!$R$13),""),"_",GX24)</f>
        <v>#N/A</v>
      </c>
      <c r="HH24" s="1164">
        <f t="array" ref="HH24">IFERROR(INDEX('Margin Guidence Table'!$A$1:$AD$30000,MATCH(1,('Margin Guidence Table'!$A$1:$A$30000=HG24)*('Margin Guidence Table'!$H$1:$H$30000&lt;=ROUND($GY$3,0))*('Margin Guidence Table'!$G$1:$G$30000&gt;=ROUND($GY$3,0)),0),MATCH("DATA_POINTS",'Margin Guidence Table'!$A$1:$AC$1,0)),0)</f>
        <v>0</v>
      </c>
      <c r="HI24" s="1161" t="str">
        <f t="shared" si="31"/>
        <v>DEFAULT</v>
      </c>
      <c r="HJ24" s="1161">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1">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5">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5">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5">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5">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5">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5">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1">
        <f>IFERROR(IF(AND($HU$2&lt;&gt;"Enter Spend&gt;&gt;&gt;",'Customer Inputs'!$U$14="EXISTING"),SUMIFS('Existing Customers'!$S:$S,'Existing Customers'!$H:$H,$HT24,'Existing Customers'!$A:$A,$HU$1),IK24*HU24),0)</f>
        <v>0</v>
      </c>
      <c r="IB24" s="1161">
        <f>IFERROR(IF(AND($HU$2&lt;&gt;"Enter Spend&gt;&gt;&gt;",'Customer Inputs'!$U$14="EXISTING"),SUMIFS('Existing Customers'!$U:$U,'Existing Customers'!$H:$H,$HT24,'Existing Customers'!$A:$A,$HU$1),IL24*HU24),0)</f>
        <v>0</v>
      </c>
      <c r="IC24" s="1164" t="e">
        <f>_xlfn.CONCAT($AW$1,"_",IF(NOT(ISBLANK('Customer Inputs'!$H$14)),'Customer Inputs'!$H$14,""),"_",IF(AND(NOT(ISBLANK('Customer Inputs'!$G$14)),'Customer Inputs'!$G$14&lt;&gt;"New"),IF('Customer Inputs'!$M$14&lt;&gt;"Enter Menu Type&gt;&gt;",IF('Customer Inputs'!$R$14=0,'Customer Inputs'!$M$14,'Customer Inputs'!$R$14),'Customer Inputs'!$R$14),""),"_",HT24)</f>
        <v>#N/A</v>
      </c>
      <c r="ID24" s="1164">
        <f t="array" ref="ID24">IFERROR(INDEX('Margin Guidence Table'!$A$1:$AD$30000,MATCH(1,('Margin Guidence Table'!$A$1:$A$30000=IC24)*('Margin Guidence Table'!$H$1:$H$30000&lt;=ROUND($HU$3,0))*('Margin Guidence Table'!$G$1:$G$30000&gt;=ROUND($HU$3,0)),0),MATCH("DATA_POINTS",'Margin Guidence Table'!$A$1:$AC$1,0)),0)</f>
        <v>0</v>
      </c>
      <c r="IE24" s="1161" t="str">
        <f t="shared" si="32"/>
        <v>DEFAULT</v>
      </c>
      <c r="IF24" s="1161">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1">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5">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5">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5">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5">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5">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5">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1">
        <f>IFERROR(IF(AND($IQ$2&lt;&gt;"Enter Spend&gt;&gt;&gt;",'Customer Inputs'!$U$15="EXISTING"),SUMIFS('Existing Customers'!$S:$S,'Existing Customers'!$H:$H,$IP24,'Existing Customers'!$A:$A,$IQ$1),JG24*IQ24),0)</f>
        <v>0</v>
      </c>
      <c r="IX24" s="1161">
        <f>IFERROR(IF(AND($IQ$2&lt;&gt;"Enter Spend&gt;&gt;&gt;",'Customer Inputs'!$U$15="EXISTING"),SUMIFS('Existing Customers'!$U:$U,'Existing Customers'!$H:$H,$IP24,'Existing Customers'!$A:$A,$IQ$1),JH24*IQ24),0)</f>
        <v>0</v>
      </c>
      <c r="IY24" s="1164" t="e">
        <f>_xlfn.CONCAT($AW$1,"_",IF(NOT(ISBLANK('Customer Inputs'!$H$15)),'Customer Inputs'!$H$15,""),"_",IF(AND(NOT(ISBLANK('Customer Inputs'!$G$15)),'Customer Inputs'!$G$15&lt;&gt;"New"),IF('Customer Inputs'!$M$15&lt;&gt;"Enter Menu Type&gt;&gt;",IF('Customer Inputs'!$R$15=0,'Customer Inputs'!$M$15,'Customer Inputs'!$R$15),'Customer Inputs'!$R$15),""),"_",IP24)</f>
        <v>#N/A</v>
      </c>
      <c r="IZ24" s="1164">
        <f t="array" ref="IZ24">IFERROR(INDEX('Margin Guidence Table'!$A$1:$AD$30000,MATCH(1,('Margin Guidence Table'!$A$1:$A$30000=IY24)*('Margin Guidence Table'!$H$1:$H$30000&lt;=ROUND($IQ$3,0))*('Margin Guidence Table'!$G$1:$G$30000&gt;=ROUND($IQ$3,0)),0),MATCH("DATA_POINTS",'Margin Guidence Table'!$A$1:$AC$1,0)),0)</f>
        <v>0</v>
      </c>
      <c r="JA24" s="1161" t="str">
        <f t="shared" si="33"/>
        <v>DEFAULT</v>
      </c>
      <c r="JB24" s="1161">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1">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5">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5">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5">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5">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5">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5">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7" t="e">
        <f t="shared" si="0"/>
        <v>#DIV/0!</v>
      </c>
      <c r="J25" s="1157" t="e">
        <f t="shared" si="0"/>
        <v>#DIV/0!</v>
      </c>
      <c r="K25" s="1157" t="e">
        <f t="shared" si="0"/>
        <v>#DIV/0!</v>
      </c>
      <c r="L25" s="496" t="e">
        <f t="shared" si="1"/>
        <v>#DIV/0!</v>
      </c>
      <c r="M25" s="496" t="e">
        <f t="shared" si="15"/>
        <v>#DIV/0!</v>
      </c>
      <c r="N25" s="1158"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3" t="e">
        <f>_xlfn.CONCAT($AW$1,"_",IF(NOT(ISBLANK('Customer Inputs'!$H$6)),'Customer Inputs'!$H$6,""),"_",IF(AND(NOT(ISBLANK('Customer Inputs'!$G$6)),'Customer Inputs'!$G$6&lt;&gt;"New"),IF('Customer Inputs'!$M$6&lt;&gt;"Enter Menu Type&gt;&gt;",IF('Customer Inputs'!$R$6=0,'Customer Inputs'!$M$6,'Customer Inputs'!$R$6),'Customer Inputs'!$R$6),""),"_",AZ25)</f>
        <v>#N/A</v>
      </c>
      <c r="BJ25" s="1164">
        <f t="array" ref="BJ25">IFERROR(INDEX('Margin Guidence Table'!$A$1:$AD$30000,MATCH(1,('Margin Guidence Table'!$A$1:$A$30000=$BI25)*('Margin Guidence Table'!$H$1:$H$30000&lt;=ROUND($BA$3,0))*('Margin Guidence Table'!$G$1:$G$30000&gt;=ROUND($BA$3,0)),0),MATCH("DATA_POINTS",'Margin Guidence Table'!$A$1:$AC$1,0)),0)</f>
        <v>0</v>
      </c>
      <c r="BK25" s="1161" t="str">
        <f t="shared" si="24"/>
        <v>DEFAULT</v>
      </c>
      <c r="BL25" s="1161">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1">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5">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5">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5">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5">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5">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5">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1">
        <f>IFERROR(IF(AND($BW$2&lt;&gt;"Enter Spend&gt;&gt;&gt;",'Customer Inputs'!$U$7="EXISTING"),SUMIFS('Existing Customers'!$S:$S,'Existing Customers'!$H:$H,$BV25,'Existing Customers'!$A:$A,$BW$1),CM25*BW25),0)</f>
        <v>0</v>
      </c>
      <c r="CD25" s="1161">
        <f>IFERROR(IF(AND($BW$2&lt;&gt;"Enter Spend&gt;&gt;&gt;",'Customer Inputs'!$U$7="EXISTING"),SUMIFS('Existing Customers'!$U:$U,'Existing Customers'!$H:$H,$BV25,'Existing Customers'!$A:$A,$BW$1),CN25*BW25),0)</f>
        <v>0</v>
      </c>
      <c r="CE25" s="1164" t="e">
        <f>_xlfn.CONCAT($AW$1,"_",IF(NOT(ISBLANK('Customer Inputs'!$H$7)),'Customer Inputs'!$H$7,""),"_",IF(AND(NOT(ISBLANK('Customer Inputs'!$G$7)),'Customer Inputs'!$G$7&lt;&gt;"New"),IF('Customer Inputs'!$M$7&lt;&gt;"Enter Menu Type&gt;&gt;",IF('Customer Inputs'!$R$7=0,'Customer Inputs'!$M$7,'Customer Inputs'!$R$7),'Customer Inputs'!$R$7),""),"_",BV25)</f>
        <v>#N/A</v>
      </c>
      <c r="CF25" s="1164">
        <f t="array" ref="CF25">IFERROR(INDEX('Margin Guidence Table'!$A$1:$AD$30000,MATCH(1,('Margin Guidence Table'!$A$1:$A$30000=$CE25)*('Margin Guidence Table'!$H$1:$H$30000&lt;=ROUND($BW$3,0))*('Margin Guidence Table'!$G$1:$G$30000&gt;=ROUND($BW$3,0)),0),MATCH("DATA_POINTS",'Margin Guidence Table'!$A$1:$AC$1,0)),0)</f>
        <v>0</v>
      </c>
      <c r="CG25" s="1161" t="str">
        <f t="shared" si="25"/>
        <v>DEFAULT</v>
      </c>
      <c r="CH25" s="1161">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1">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5">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5">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5">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5">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5">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5">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1">
        <f>IFERROR(IF(AND($CS$2&lt;&gt;"Enter Spend&gt;&gt;&gt;",'Customer Inputs'!$U$8="EXISTING"),SUMIFS('Existing Customers'!$S:$S,'Existing Customers'!$H:$H,$CR25,'Existing Customers'!$A:$A,$CS$1),DI25*CS25),0)</f>
        <v>0</v>
      </c>
      <c r="CZ25" s="1161">
        <f>IFERROR(IF(AND($CS$2&lt;&gt;"Enter Spend&gt;&gt;&gt;",'Customer Inputs'!$U$8="EXISTING"),SUMIFS('Existing Customers'!$U:$U,'Existing Customers'!$H:$H,$CR25,'Existing Customers'!$A:$A,$CS$1),DJ25*CS25),0)</f>
        <v>0</v>
      </c>
      <c r="DA25" s="1164" t="e">
        <f>_xlfn.CONCAT($AW$1,"_",IF(NOT(ISBLANK('Customer Inputs'!$H$8)),'Customer Inputs'!$H$8,""),"_",IF(AND(NOT(ISBLANK('Customer Inputs'!$G$8)),'Customer Inputs'!$G$8&lt;&gt;"New"),IF('Customer Inputs'!$M$8&lt;&gt;"Enter Menu Type&gt;&gt;",IF('Customer Inputs'!$R$8=0,'Customer Inputs'!$M$8,'Customer Inputs'!$R$8),'Customer Inputs'!$R$8),""),"_",CR25)</f>
        <v>#N/A</v>
      </c>
      <c r="DB25" s="1164">
        <f t="array" ref="DB25">IFERROR(INDEX('Margin Guidence Table'!$A$1:$AD$30000,MATCH(1,('Margin Guidence Table'!$A$1:$A$30000=DA25)*('Margin Guidence Table'!$H$1:$H$30000&lt;=ROUND($CS$3,0))*('Margin Guidence Table'!$G$1:$G$30000&gt;=ROUND($CS$3,0)),0),MATCH("DATA_POINTS",'Margin Guidence Table'!$A$1:$AC$1,0)),0)</f>
        <v>0</v>
      </c>
      <c r="DC25" s="1161" t="str">
        <f t="shared" si="26"/>
        <v>DEFAULT</v>
      </c>
      <c r="DD25" s="1161">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1">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5">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5">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5">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5">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5">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5">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1">
        <f>IFERROR(IF(AND($DO$2&lt;&gt;"Enter Spend&gt;&gt;&gt;",'Customer Inputs'!$U$9="EXISTING"),SUMIFS('Existing Customers'!$S:$S,'Existing Customers'!$H:$H,$DP25,'Existing Customers'!$A:$A,$DO$1),EE25*DO25),0)</f>
        <v>0</v>
      </c>
      <c r="DV25" s="1161">
        <f>IFERROR(IF(AND($DO$2&lt;&gt;"Enter Spend&gt;&gt;&gt;",'Customer Inputs'!$U$9="EXISTING"),SUMIFS('Existing Customers'!$U:$U,'Existing Customers'!$H:$H,$DN25,'Existing Customers'!$A:$A,$DO$1),EF25*DO25),0)</f>
        <v>0</v>
      </c>
      <c r="DW25" s="1164" t="e">
        <f>_xlfn.CONCAT($AW$1,"_",IF(NOT(ISBLANK('Customer Inputs'!$H$9)),'Customer Inputs'!$H$9,""),"_",IF(AND(NOT(ISBLANK('Customer Inputs'!$G$9)),'Customer Inputs'!$G$9&lt;&gt;"New"),IF('Customer Inputs'!$M$9&lt;&gt;"Enter Menu Type&gt;&gt;",IF('Customer Inputs'!$R$9=0,'Customer Inputs'!$M$9,'Customer Inputs'!$R$9),'Customer Inputs'!$R$9),""),"_",DN25)</f>
        <v>#N/A</v>
      </c>
      <c r="DX25" s="1164">
        <f t="array" ref="DX25">IFERROR(INDEX('Margin Guidence Table'!$A$1:$AD$30000,MATCH(1,('Margin Guidence Table'!$A$1:$A$30000=DW25)*('Margin Guidence Table'!$H$1:$H$30000&lt;=ROUND($DO$3,0))*('Margin Guidence Table'!$G$1:$G$30000&gt;=ROUND($DO$3,0)),0),MATCH("DATA_POINTS",'Margin Guidence Table'!$A$1:$AC$1,0)),0)</f>
        <v>0</v>
      </c>
      <c r="DY25" s="1161" t="str">
        <f t="shared" si="27"/>
        <v>DEFAULT</v>
      </c>
      <c r="DZ25" s="1161">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1">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5">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5">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5">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5">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5">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5">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1">
        <f>IFERROR(IF(AND($EK$2&lt;&gt;"Enter Spend&gt;&gt;&gt;",'Customer Inputs'!$U$10="EXISTING"),SUMIFS('Existing Customers'!$S:$S,'Existing Customers'!$H:$H,$EJ25,'Existing Customers'!$A:$A,$EK$1),FA25*EK25),0)</f>
        <v>0</v>
      </c>
      <c r="ER25" s="1161">
        <f>IFERROR(IF(AND($EK$2&lt;&gt;"Enter Spend&gt;&gt;&gt;",'Customer Inputs'!$U$10="EXISTING"),SUMIFS('Existing Customers'!$U:$U,'Existing Customers'!$H:$H,$EJ25,'Existing Customers'!$A:$A,$EK$1),FB25*EK25),0)</f>
        <v>0</v>
      </c>
      <c r="ES25" s="1164" t="e">
        <f>_xlfn.CONCAT($AW$1,"_",IF(NOT(ISBLANK('Customer Inputs'!$H$10)),'Customer Inputs'!$H$10,""),"_",IF(AND(NOT(ISBLANK('Customer Inputs'!$G$10)),'Customer Inputs'!$G$10&lt;&gt;"New"),IF('Customer Inputs'!$M$10&lt;&gt;"Enter Menu Type&gt;&gt;",IF('Customer Inputs'!$R$10=0,'Customer Inputs'!$M$10,'Customer Inputs'!$R$10),'Customer Inputs'!$R$10),""),"_",EJ25)</f>
        <v>#N/A</v>
      </c>
      <c r="ET25" s="1164">
        <f t="array" ref="ET25">IFERROR(INDEX('Margin Guidence Table'!$A$1:$AD$30000,MATCH(1,('Margin Guidence Table'!$A$1:$A$30000=ES25)*('Margin Guidence Table'!$H$1:$H$30000&lt;=ROUND($EK$3,0))*('Margin Guidence Table'!$G$1:$G$30000&gt;=ROUND($EK$3,0)),0),MATCH("DATA_POINTS",'Margin Guidence Table'!$A$1:$AC$1,0)),0)</f>
        <v>0</v>
      </c>
      <c r="EU25" s="1161" t="str">
        <f t="shared" si="28"/>
        <v>DEFAULT</v>
      </c>
      <c r="EV25" s="1161">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1"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5">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5">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5">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5">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5">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5">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1">
        <f>IFERROR(IF(AND($FG$2&lt;&gt;"Enter Spend&gt;&gt;&gt;",'Customer Inputs'!$U$11="EXISTING"),SUMIFS('Existing Customers'!$S:$S,'Existing Customers'!$H:$H,$FF25,'Existing Customers'!$A:$A,$FG$1),FW25*FG25),0)</f>
        <v>0</v>
      </c>
      <c r="FN25" s="1161">
        <f>IFERROR(IF(AND($FG$2&lt;&gt;"Enter Spend&gt;&gt;&gt;",'Customer Inputs'!$U$11="EXISTING"),SUMIFS('Existing Customers'!$U:$U,'Existing Customers'!$H:$H,$FF25,'Existing Customers'!$A:$A,$FG$1),FX25*FG25),0)</f>
        <v>0</v>
      </c>
      <c r="FO25" s="1164" t="e">
        <f>_xlfn.CONCAT($AW$1,"_",IF(NOT(ISBLANK('Customer Inputs'!$H$11)),'Customer Inputs'!$H$11,""),"_",IF(AND(NOT(ISBLANK('Customer Inputs'!$G$11)),'Customer Inputs'!$G$11&lt;&gt;"New"),IF('Customer Inputs'!$M$11&lt;&gt;"Enter Menu Type&gt;&gt;",IF('Customer Inputs'!$R$11=0,'Customer Inputs'!$M$11,'Customer Inputs'!$R$11),'Customer Inputs'!$R$11),""),"_",FF25)</f>
        <v>#N/A</v>
      </c>
      <c r="FP25" s="1164">
        <f t="array" ref="FP25">IFERROR(INDEX('Margin Guidence Table'!$A$1:$AD$30000,MATCH(1,('Margin Guidence Table'!$A$1:$A$30000=FO25)*('Margin Guidence Table'!$H$1:$H$30000&lt;=ROUND($FG$3,0))*('Margin Guidence Table'!$G$1:$G$30000&gt;=ROUND($FG$3,0)),0),MATCH("DATA_POINTS",'Margin Guidence Table'!$A$1:$AC$1,0)),0)</f>
        <v>0</v>
      </c>
      <c r="FQ25" s="1161" t="str">
        <f t="shared" si="29"/>
        <v>DEFAULT</v>
      </c>
      <c r="FR25" s="1161">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1">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5">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5">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5">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5">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5">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5">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1">
        <f>IFERROR(IF(AND($GC$2&lt;&gt;"Enter Spend&gt;&gt;&gt;",'Customer Inputs'!$U$12="EXISTING"),SUMIFS('Existing Customers'!$S:$S,'Existing Customers'!$H:$H,$GB25,'Existing Customers'!$A:$A,$GC$1),GS25*GC25),0)</f>
        <v>0</v>
      </c>
      <c r="GJ25" s="1161">
        <f>IFERROR(IF(AND($GC$2&lt;&gt;"Enter Spend&gt;&gt;&gt;",'Customer Inputs'!$U$12="EXISTING"),SUMIFS('Existing Customers'!$U:$U,'Existing Customers'!$H:$H,$GB25,'Existing Customers'!$A:$A,$GC$1),GT25*GC25),0)</f>
        <v>0</v>
      </c>
      <c r="GK25" s="1164" t="e">
        <f>_xlfn.CONCAT($AW$1,"_",IF(NOT(ISBLANK('Customer Inputs'!$H$12)),'Customer Inputs'!$H$12,""),"_",IF(AND(NOT(ISBLANK('Customer Inputs'!$G$12)),'Customer Inputs'!$G$12&lt;&gt;"New"),IF('Customer Inputs'!$M$12&lt;&gt;"Enter Menu Type&gt;&gt;",IF('Customer Inputs'!$R$12=0,'Customer Inputs'!$M$12,'Customer Inputs'!$R$12),'Customer Inputs'!$R$12),""),"_",GB25)</f>
        <v>#N/A</v>
      </c>
      <c r="GL25" s="1164">
        <f t="array" ref="GL25">IFERROR(INDEX('Margin Guidence Table'!$A$1:$AD$30000,MATCH(1,('Margin Guidence Table'!$A$1:$A$30000=GK25)*('Margin Guidence Table'!$H$1:$H$30000&lt;=ROUND($GC$3,0))*('Margin Guidence Table'!$G$1:$G$30000&gt;=ROUND($GC$3,0)),0),MATCH("DATA_POINTS",'Margin Guidence Table'!$A$1:$AC$1,0)),0)</f>
        <v>0</v>
      </c>
      <c r="GM25" s="1161" t="str">
        <f t="shared" si="30"/>
        <v>DEFAULT</v>
      </c>
      <c r="GN25" s="1161">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1">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5">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5">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5">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5">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5">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5">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1">
        <f>IFERROR(IF(AND($GY$2&lt;&gt;"Enter Spend&gt;&gt;&gt;",'Customer Inputs'!$U$13="EXISTING"),SUMIFS('Existing Customers'!$S:$S,'Existing Customers'!$H:$H,$GX25,'Existing Customers'!$A:$A,$GY$1),HO25*GY25),0)</f>
        <v>0</v>
      </c>
      <c r="HF25" s="1161">
        <f>IFERROR(IF(AND($GY$2&lt;&gt;"Enter Spend&gt;&gt;&gt;",'Customer Inputs'!$U$13="EXISTING"),SUMIFS('Existing Customers'!$U:$U,'Existing Customers'!$H:$H,$GX25,'Existing Customers'!$A:$A,$GY$1),HP25*GY25),0)</f>
        <v>0</v>
      </c>
      <c r="HG25" s="1164" t="e">
        <f>_xlfn.CONCAT($AW$1,"_",IF(NOT(ISBLANK('Customer Inputs'!$H$13)),'Customer Inputs'!$H$13,""),"_",IF(AND(NOT(ISBLANK('Customer Inputs'!$G$13)),'Customer Inputs'!$G$13&lt;&gt;"New"),IF('Customer Inputs'!$M$13&lt;&gt;"Enter Menu Type&gt;&gt;",IF('Customer Inputs'!$R$13=0,'Customer Inputs'!$M$13,'Customer Inputs'!$R$13),'Customer Inputs'!$R$13),""),"_",GX25)</f>
        <v>#N/A</v>
      </c>
      <c r="HH25" s="1164">
        <f t="array" ref="HH25">IFERROR(INDEX('Margin Guidence Table'!$A$1:$AD$30000,MATCH(1,('Margin Guidence Table'!$A$1:$A$30000=HG25)*('Margin Guidence Table'!$H$1:$H$30000&lt;=ROUND($GY$3,0))*('Margin Guidence Table'!$G$1:$G$30000&gt;=ROUND($GY$3,0)),0),MATCH("DATA_POINTS",'Margin Guidence Table'!$A$1:$AC$1,0)),0)</f>
        <v>0</v>
      </c>
      <c r="HI25" s="1161" t="str">
        <f t="shared" si="31"/>
        <v>DEFAULT</v>
      </c>
      <c r="HJ25" s="1161">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1">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5">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5">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5">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5">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5">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5">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1">
        <f>IFERROR(IF(AND($HU$2&lt;&gt;"Enter Spend&gt;&gt;&gt;",'Customer Inputs'!$U$14="EXISTING"),SUMIFS('Existing Customers'!$S:$S,'Existing Customers'!$H:$H,$HT25,'Existing Customers'!$A:$A,$HU$1),IK25*HU25),0)</f>
        <v>0</v>
      </c>
      <c r="IB25" s="1161">
        <f>IFERROR(IF(AND($HU$2&lt;&gt;"Enter Spend&gt;&gt;&gt;",'Customer Inputs'!$U$14="EXISTING"),SUMIFS('Existing Customers'!$U:$U,'Existing Customers'!$H:$H,$HT25,'Existing Customers'!$A:$A,$HU$1),IL25*HU25),0)</f>
        <v>0</v>
      </c>
      <c r="IC25" s="1164" t="e">
        <f>_xlfn.CONCAT($AW$1,"_",IF(NOT(ISBLANK('Customer Inputs'!$H$14)),'Customer Inputs'!$H$14,""),"_",IF(AND(NOT(ISBLANK('Customer Inputs'!$G$14)),'Customer Inputs'!$G$14&lt;&gt;"New"),IF('Customer Inputs'!$M$14&lt;&gt;"Enter Menu Type&gt;&gt;",IF('Customer Inputs'!$R$14=0,'Customer Inputs'!$M$14,'Customer Inputs'!$R$14),'Customer Inputs'!$R$14),""),"_",HT25)</f>
        <v>#N/A</v>
      </c>
      <c r="ID25" s="1164">
        <f t="array" ref="ID25">IFERROR(INDEX('Margin Guidence Table'!$A$1:$AD$30000,MATCH(1,('Margin Guidence Table'!$A$1:$A$30000=IC25)*('Margin Guidence Table'!$H$1:$H$30000&lt;=ROUND($HU$3,0))*('Margin Guidence Table'!$G$1:$G$30000&gt;=ROUND($HU$3,0)),0),MATCH("DATA_POINTS",'Margin Guidence Table'!$A$1:$AC$1,0)),0)</f>
        <v>0</v>
      </c>
      <c r="IE25" s="1161" t="str">
        <f t="shared" si="32"/>
        <v>DEFAULT</v>
      </c>
      <c r="IF25" s="1161">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1">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5">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5">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5">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5">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5">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5">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1">
        <f>IFERROR(IF(AND($IQ$2&lt;&gt;"Enter Spend&gt;&gt;&gt;",'Customer Inputs'!$U$15="EXISTING"),SUMIFS('Existing Customers'!$S:$S,'Existing Customers'!$H:$H,$IP25,'Existing Customers'!$A:$A,$IQ$1),JG25*IQ25),0)</f>
        <v>0</v>
      </c>
      <c r="IX25" s="1161">
        <f>IFERROR(IF(AND($IQ$2&lt;&gt;"Enter Spend&gt;&gt;&gt;",'Customer Inputs'!$U$15="EXISTING"),SUMIFS('Existing Customers'!$U:$U,'Existing Customers'!$H:$H,$IP25,'Existing Customers'!$A:$A,$IQ$1),JH25*IQ25),0)</f>
        <v>0</v>
      </c>
      <c r="IY25" s="1164" t="e">
        <f>_xlfn.CONCAT($AW$1,"_",IF(NOT(ISBLANK('Customer Inputs'!$H$15)),'Customer Inputs'!$H$15,""),"_",IF(AND(NOT(ISBLANK('Customer Inputs'!$G$15)),'Customer Inputs'!$G$15&lt;&gt;"New"),IF('Customer Inputs'!$M$15&lt;&gt;"Enter Menu Type&gt;&gt;",IF('Customer Inputs'!$R$15=0,'Customer Inputs'!$M$15,'Customer Inputs'!$R$15),'Customer Inputs'!$R$15),""),"_",IP25)</f>
        <v>#N/A</v>
      </c>
      <c r="IZ25" s="1164">
        <f t="array" ref="IZ25">IFERROR(INDEX('Margin Guidence Table'!$A$1:$AD$30000,MATCH(1,('Margin Guidence Table'!$A$1:$A$30000=IY25)*('Margin Guidence Table'!$H$1:$H$30000&lt;=ROUND($IQ$3,0))*('Margin Guidence Table'!$G$1:$G$30000&gt;=ROUND($IQ$3,0)),0),MATCH("DATA_POINTS",'Margin Guidence Table'!$A$1:$AC$1,0)),0)</f>
        <v>0</v>
      </c>
      <c r="JA25" s="1161" t="str">
        <f t="shared" si="33"/>
        <v>DEFAULT</v>
      </c>
      <c r="JB25" s="1161">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1">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5">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5">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5">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5">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5">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5">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7" t="e">
        <f t="shared" si="0"/>
        <v>#DIV/0!</v>
      </c>
      <c r="J26" s="1157" t="e">
        <f t="shared" si="0"/>
        <v>#DIV/0!</v>
      </c>
      <c r="K26" s="1157" t="e">
        <f t="shared" si="0"/>
        <v>#DIV/0!</v>
      </c>
      <c r="L26" s="496" t="e">
        <f t="shared" si="1"/>
        <v>#DIV/0!</v>
      </c>
      <c r="M26" s="496" t="e">
        <f t="shared" si="15"/>
        <v>#DIV/0!</v>
      </c>
      <c r="N26" s="1158"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3" t="e">
        <f>_xlfn.CONCAT($AW$1,"_",IF(NOT(ISBLANK('Customer Inputs'!$H$6)),'Customer Inputs'!$H$6,""),"_",IF(AND(NOT(ISBLANK('Customer Inputs'!$G$6)),'Customer Inputs'!$G$6&lt;&gt;"New"),IF('Customer Inputs'!$M$6&lt;&gt;"Enter Menu Type&gt;&gt;",IF('Customer Inputs'!$R$6=0,'Customer Inputs'!$M$6,'Customer Inputs'!$R$6),'Customer Inputs'!$R$6),""),"_",AZ26)</f>
        <v>#N/A</v>
      </c>
      <c r="BJ26" s="1164">
        <f t="array" ref="BJ26">IFERROR(INDEX('Margin Guidence Table'!$A$1:$AD$30000,MATCH(1,('Margin Guidence Table'!$A$1:$A$30000=$BI26)*('Margin Guidence Table'!$H$1:$H$30000&lt;=ROUND($BA$3,0))*('Margin Guidence Table'!$G$1:$G$30000&gt;=ROUND($BA$3,0)),0),MATCH("DATA_POINTS",'Margin Guidence Table'!$A$1:$AC$1,0)),0)</f>
        <v>0</v>
      </c>
      <c r="BK26" s="1161" t="str">
        <f t="shared" si="24"/>
        <v>DEFAULT</v>
      </c>
      <c r="BL26" s="1161">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1">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5">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5">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5">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5">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5">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5">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1">
        <f>IFERROR(IF(AND($BW$2&lt;&gt;"Enter Spend&gt;&gt;&gt;",'Customer Inputs'!$U$7="EXISTING"),SUMIFS('Existing Customers'!$S:$S,'Existing Customers'!$H:$H,$BV26,'Existing Customers'!$A:$A,$BW$1),CM26*BW26),0)</f>
        <v>0</v>
      </c>
      <c r="CD26" s="1161">
        <f>IFERROR(IF(AND($BW$2&lt;&gt;"Enter Spend&gt;&gt;&gt;",'Customer Inputs'!$U$7="EXISTING"),SUMIFS('Existing Customers'!$U:$U,'Existing Customers'!$H:$H,$BV26,'Existing Customers'!$A:$A,$BW$1),CN26*BW26),0)</f>
        <v>0</v>
      </c>
      <c r="CE26" s="1164" t="e">
        <f>_xlfn.CONCAT($AW$1,"_",IF(NOT(ISBLANK('Customer Inputs'!$H$7)),'Customer Inputs'!$H$7,""),"_",IF(AND(NOT(ISBLANK('Customer Inputs'!$G$7)),'Customer Inputs'!$G$7&lt;&gt;"New"),IF('Customer Inputs'!$M$7&lt;&gt;"Enter Menu Type&gt;&gt;",IF('Customer Inputs'!$R$7=0,'Customer Inputs'!$M$7,'Customer Inputs'!$R$7),'Customer Inputs'!$R$7),""),"_",BV26)</f>
        <v>#N/A</v>
      </c>
      <c r="CF26" s="1164">
        <f t="array" ref="CF26">IFERROR(INDEX('Margin Guidence Table'!$A$1:$AD$30000,MATCH(1,('Margin Guidence Table'!$A$1:$A$30000=$CE26)*('Margin Guidence Table'!$H$1:$H$30000&lt;=ROUND($BW$3,0))*('Margin Guidence Table'!$G$1:$G$30000&gt;=ROUND($BW$3,0)),0),MATCH("DATA_POINTS",'Margin Guidence Table'!$A$1:$AC$1,0)),0)</f>
        <v>0</v>
      </c>
      <c r="CG26" s="1161" t="str">
        <f t="shared" si="25"/>
        <v>DEFAULT</v>
      </c>
      <c r="CH26" s="1161">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1">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5">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5">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5">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5">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5">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5">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1">
        <f>IFERROR(IF(AND($CS$2&lt;&gt;"Enter Spend&gt;&gt;&gt;",'Customer Inputs'!$U$8="EXISTING"),SUMIFS('Existing Customers'!$S:$S,'Existing Customers'!$H:$H,$CR26,'Existing Customers'!$A:$A,$CS$1),DI26*CS26),0)</f>
        <v>0</v>
      </c>
      <c r="CZ26" s="1161">
        <f>IFERROR(IF(AND($CS$2&lt;&gt;"Enter Spend&gt;&gt;&gt;",'Customer Inputs'!$U$8="EXISTING"),SUMIFS('Existing Customers'!$U:$U,'Existing Customers'!$H:$H,$CR26,'Existing Customers'!$A:$A,$CS$1),DJ26*CS26),0)</f>
        <v>0</v>
      </c>
      <c r="DA26" s="1164" t="e">
        <f>_xlfn.CONCAT($AW$1,"_",IF(NOT(ISBLANK('Customer Inputs'!$H$8)),'Customer Inputs'!$H$8,""),"_",IF(AND(NOT(ISBLANK('Customer Inputs'!$G$8)),'Customer Inputs'!$G$8&lt;&gt;"New"),IF('Customer Inputs'!$M$8&lt;&gt;"Enter Menu Type&gt;&gt;",IF('Customer Inputs'!$R$8=0,'Customer Inputs'!$M$8,'Customer Inputs'!$R$8),'Customer Inputs'!$R$8),""),"_",CR26)</f>
        <v>#N/A</v>
      </c>
      <c r="DB26" s="1164">
        <f t="array" ref="DB26">IFERROR(INDEX('Margin Guidence Table'!$A$1:$AD$30000,MATCH(1,('Margin Guidence Table'!$A$1:$A$30000=DA26)*('Margin Guidence Table'!$H$1:$H$30000&lt;=ROUND($CS$3,0))*('Margin Guidence Table'!$G$1:$G$30000&gt;=ROUND($CS$3,0)),0),MATCH("DATA_POINTS",'Margin Guidence Table'!$A$1:$AC$1,0)),0)</f>
        <v>0</v>
      </c>
      <c r="DC26" s="1161" t="str">
        <f t="shared" si="26"/>
        <v>DEFAULT</v>
      </c>
      <c r="DD26" s="1161">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1">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5">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5">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5">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5">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5">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5">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1">
        <f>IFERROR(IF(AND($DO$2&lt;&gt;"Enter Spend&gt;&gt;&gt;",'Customer Inputs'!$U$9="EXISTING"),SUMIFS('Existing Customers'!$S:$S,'Existing Customers'!$H:$H,$DP26,'Existing Customers'!$A:$A,$DO$1),EE26*DO26),0)</f>
        <v>0</v>
      </c>
      <c r="DV26" s="1161">
        <f>IFERROR(IF(AND($DO$2&lt;&gt;"Enter Spend&gt;&gt;&gt;",'Customer Inputs'!$U$9="EXISTING"),SUMIFS('Existing Customers'!$U:$U,'Existing Customers'!$H:$H,$DN26,'Existing Customers'!$A:$A,$DO$1),EF26*DO26),0)</f>
        <v>0</v>
      </c>
      <c r="DW26" s="1164" t="e">
        <f>_xlfn.CONCAT($AW$1,"_",IF(NOT(ISBLANK('Customer Inputs'!$H$9)),'Customer Inputs'!$H$9,""),"_",IF(AND(NOT(ISBLANK('Customer Inputs'!$G$9)),'Customer Inputs'!$G$9&lt;&gt;"New"),IF('Customer Inputs'!$M$9&lt;&gt;"Enter Menu Type&gt;&gt;",IF('Customer Inputs'!$R$9=0,'Customer Inputs'!$M$9,'Customer Inputs'!$R$9),'Customer Inputs'!$R$9),""),"_",DN26)</f>
        <v>#N/A</v>
      </c>
      <c r="DX26" s="1164">
        <f t="array" ref="DX26">IFERROR(INDEX('Margin Guidence Table'!$A$1:$AD$30000,MATCH(1,('Margin Guidence Table'!$A$1:$A$30000=DW26)*('Margin Guidence Table'!$H$1:$H$30000&lt;=ROUND($DO$3,0))*('Margin Guidence Table'!$G$1:$G$30000&gt;=ROUND($DO$3,0)),0),MATCH("DATA_POINTS",'Margin Guidence Table'!$A$1:$AC$1,0)),0)</f>
        <v>0</v>
      </c>
      <c r="DY26" s="1161" t="str">
        <f t="shared" si="27"/>
        <v>DEFAULT</v>
      </c>
      <c r="DZ26" s="1161">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1">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5">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5">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5">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5">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5">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5">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1">
        <f>IFERROR(IF(AND($EK$2&lt;&gt;"Enter Spend&gt;&gt;&gt;",'Customer Inputs'!$U$10="EXISTING"),SUMIFS('Existing Customers'!$S:$S,'Existing Customers'!$H:$H,$EJ26,'Existing Customers'!$A:$A,$EK$1),FA26*EK26),0)</f>
        <v>0</v>
      </c>
      <c r="ER26" s="1161">
        <f>IFERROR(IF(AND($EK$2&lt;&gt;"Enter Spend&gt;&gt;&gt;",'Customer Inputs'!$U$10="EXISTING"),SUMIFS('Existing Customers'!$U:$U,'Existing Customers'!$H:$H,$EJ26,'Existing Customers'!$A:$A,$EK$1),FB26*EK26),0)</f>
        <v>0</v>
      </c>
      <c r="ES26" s="1164" t="e">
        <f>_xlfn.CONCAT($AW$1,"_",IF(NOT(ISBLANK('Customer Inputs'!$H$10)),'Customer Inputs'!$H$10,""),"_",IF(AND(NOT(ISBLANK('Customer Inputs'!$G$10)),'Customer Inputs'!$G$10&lt;&gt;"New"),IF('Customer Inputs'!$M$10&lt;&gt;"Enter Menu Type&gt;&gt;",IF('Customer Inputs'!$R$10=0,'Customer Inputs'!$M$10,'Customer Inputs'!$R$10),'Customer Inputs'!$R$10),""),"_",EJ26)</f>
        <v>#N/A</v>
      </c>
      <c r="ET26" s="1164">
        <f t="array" ref="ET26">IFERROR(INDEX('Margin Guidence Table'!$A$1:$AD$30000,MATCH(1,('Margin Guidence Table'!$A$1:$A$30000=ES26)*('Margin Guidence Table'!$H$1:$H$30000&lt;=ROUND($EK$3,0))*('Margin Guidence Table'!$G$1:$G$30000&gt;=ROUND($EK$3,0)),0),MATCH("DATA_POINTS",'Margin Guidence Table'!$A$1:$AC$1,0)),0)</f>
        <v>0</v>
      </c>
      <c r="EU26" s="1161" t="str">
        <f t="shared" si="28"/>
        <v>DEFAULT</v>
      </c>
      <c r="EV26" s="1161">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1"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5">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5">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5">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5">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5">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5">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1">
        <f>IFERROR(IF(AND($FG$2&lt;&gt;"Enter Spend&gt;&gt;&gt;",'Customer Inputs'!$U$11="EXISTING"),SUMIFS('Existing Customers'!$S:$S,'Existing Customers'!$H:$H,$FF26,'Existing Customers'!$A:$A,$FG$1),FW26*FG26),0)</f>
        <v>0</v>
      </c>
      <c r="FN26" s="1161">
        <f>IFERROR(IF(AND($FG$2&lt;&gt;"Enter Spend&gt;&gt;&gt;",'Customer Inputs'!$U$11="EXISTING"),SUMIFS('Existing Customers'!$U:$U,'Existing Customers'!$H:$H,$FF26,'Existing Customers'!$A:$A,$FG$1),FX26*FG26),0)</f>
        <v>0</v>
      </c>
      <c r="FO26" s="1164" t="e">
        <f>_xlfn.CONCAT($AW$1,"_",IF(NOT(ISBLANK('Customer Inputs'!$H$11)),'Customer Inputs'!$H$11,""),"_",IF(AND(NOT(ISBLANK('Customer Inputs'!$G$11)),'Customer Inputs'!$G$11&lt;&gt;"New"),IF('Customer Inputs'!$M$11&lt;&gt;"Enter Menu Type&gt;&gt;",IF('Customer Inputs'!$R$11=0,'Customer Inputs'!$M$11,'Customer Inputs'!$R$11),'Customer Inputs'!$R$11),""),"_",FF26)</f>
        <v>#N/A</v>
      </c>
      <c r="FP26" s="1164">
        <f t="array" ref="FP26">IFERROR(INDEX('Margin Guidence Table'!$A$1:$AD$30000,MATCH(1,('Margin Guidence Table'!$A$1:$A$30000=FO26)*('Margin Guidence Table'!$H$1:$H$30000&lt;=ROUND($FG$3,0))*('Margin Guidence Table'!$G$1:$G$30000&gt;=ROUND($FG$3,0)),0),MATCH("DATA_POINTS",'Margin Guidence Table'!$A$1:$AC$1,0)),0)</f>
        <v>0</v>
      </c>
      <c r="FQ26" s="1161" t="str">
        <f t="shared" si="29"/>
        <v>DEFAULT</v>
      </c>
      <c r="FR26" s="1161">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1">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5">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5">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5">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5">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5">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5">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1">
        <f>IFERROR(IF(AND($GC$2&lt;&gt;"Enter Spend&gt;&gt;&gt;",'Customer Inputs'!$U$12="EXISTING"),SUMIFS('Existing Customers'!$S:$S,'Existing Customers'!$H:$H,$GB26,'Existing Customers'!$A:$A,$GC$1),GS26*GC26),0)</f>
        <v>0</v>
      </c>
      <c r="GJ26" s="1161">
        <f>IFERROR(IF(AND($GC$2&lt;&gt;"Enter Spend&gt;&gt;&gt;",'Customer Inputs'!$U$12="EXISTING"),SUMIFS('Existing Customers'!$U:$U,'Existing Customers'!$H:$H,$GB26,'Existing Customers'!$A:$A,$GC$1),GT26*GC26),0)</f>
        <v>0</v>
      </c>
      <c r="GK26" s="1164" t="e">
        <f>_xlfn.CONCAT($AW$1,"_",IF(NOT(ISBLANK('Customer Inputs'!$H$12)),'Customer Inputs'!$H$12,""),"_",IF(AND(NOT(ISBLANK('Customer Inputs'!$G$12)),'Customer Inputs'!$G$12&lt;&gt;"New"),IF('Customer Inputs'!$M$12&lt;&gt;"Enter Menu Type&gt;&gt;",IF('Customer Inputs'!$R$12=0,'Customer Inputs'!$M$12,'Customer Inputs'!$R$12),'Customer Inputs'!$R$12),""),"_",GB26)</f>
        <v>#N/A</v>
      </c>
      <c r="GL26" s="1164">
        <f t="array" ref="GL26">IFERROR(INDEX('Margin Guidence Table'!$A$1:$AD$30000,MATCH(1,('Margin Guidence Table'!$A$1:$A$30000=GK26)*('Margin Guidence Table'!$H$1:$H$30000&lt;=ROUND($GC$3,0))*('Margin Guidence Table'!$G$1:$G$30000&gt;=ROUND($GC$3,0)),0),MATCH("DATA_POINTS",'Margin Guidence Table'!$A$1:$AC$1,0)),0)</f>
        <v>0</v>
      </c>
      <c r="GM26" s="1161" t="str">
        <f t="shared" si="30"/>
        <v>DEFAULT</v>
      </c>
      <c r="GN26" s="1161">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1">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5">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5">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5">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5">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5">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5">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1">
        <f>IFERROR(IF(AND($GY$2&lt;&gt;"Enter Spend&gt;&gt;&gt;",'Customer Inputs'!$U$13="EXISTING"),SUMIFS('Existing Customers'!$S:$S,'Existing Customers'!$H:$H,$GX26,'Existing Customers'!$A:$A,$GY$1),HO26*GY26),0)</f>
        <v>0</v>
      </c>
      <c r="HF26" s="1161">
        <f>IFERROR(IF(AND($GY$2&lt;&gt;"Enter Spend&gt;&gt;&gt;",'Customer Inputs'!$U$13="EXISTING"),SUMIFS('Existing Customers'!$U:$U,'Existing Customers'!$H:$H,$GX26,'Existing Customers'!$A:$A,$GY$1),HP26*GY26),0)</f>
        <v>0</v>
      </c>
      <c r="HG26" s="1164" t="e">
        <f>_xlfn.CONCAT($AW$1,"_",IF(NOT(ISBLANK('Customer Inputs'!$H$13)),'Customer Inputs'!$H$13,""),"_",IF(AND(NOT(ISBLANK('Customer Inputs'!$G$13)),'Customer Inputs'!$G$13&lt;&gt;"New"),IF('Customer Inputs'!$M$13&lt;&gt;"Enter Menu Type&gt;&gt;",IF('Customer Inputs'!$R$13=0,'Customer Inputs'!$M$13,'Customer Inputs'!$R$13),'Customer Inputs'!$R$13),""),"_",GX26)</f>
        <v>#N/A</v>
      </c>
      <c r="HH26" s="1164">
        <f t="array" ref="HH26">IFERROR(INDEX('Margin Guidence Table'!$A$1:$AD$30000,MATCH(1,('Margin Guidence Table'!$A$1:$A$30000=HG26)*('Margin Guidence Table'!$H$1:$H$30000&lt;=ROUND($GY$3,0))*('Margin Guidence Table'!$G$1:$G$30000&gt;=ROUND($GY$3,0)),0),MATCH("DATA_POINTS",'Margin Guidence Table'!$A$1:$AC$1,0)),0)</f>
        <v>0</v>
      </c>
      <c r="HI26" s="1161" t="str">
        <f t="shared" si="31"/>
        <v>DEFAULT</v>
      </c>
      <c r="HJ26" s="1161">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1">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5">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5">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5">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5">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5">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5">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1">
        <f>IFERROR(IF(AND($HU$2&lt;&gt;"Enter Spend&gt;&gt;&gt;",'Customer Inputs'!$U$14="EXISTING"),SUMIFS('Existing Customers'!$S:$S,'Existing Customers'!$H:$H,$HT26,'Existing Customers'!$A:$A,$HU$1),IK26*HU26),0)</f>
        <v>0</v>
      </c>
      <c r="IB26" s="1161">
        <f>IFERROR(IF(AND($HU$2&lt;&gt;"Enter Spend&gt;&gt;&gt;",'Customer Inputs'!$U$14="EXISTING"),SUMIFS('Existing Customers'!$U:$U,'Existing Customers'!$H:$H,$HT26,'Existing Customers'!$A:$A,$HU$1),IL26*HU26),0)</f>
        <v>0</v>
      </c>
      <c r="IC26" s="1164" t="e">
        <f>_xlfn.CONCAT($AW$1,"_",IF(NOT(ISBLANK('Customer Inputs'!$H$14)),'Customer Inputs'!$H$14,""),"_",IF(AND(NOT(ISBLANK('Customer Inputs'!$G$14)),'Customer Inputs'!$G$14&lt;&gt;"New"),IF('Customer Inputs'!$M$14&lt;&gt;"Enter Menu Type&gt;&gt;",IF('Customer Inputs'!$R$14=0,'Customer Inputs'!$M$14,'Customer Inputs'!$R$14),'Customer Inputs'!$R$14),""),"_",HT26)</f>
        <v>#N/A</v>
      </c>
      <c r="ID26" s="1164">
        <f t="array" ref="ID26">IFERROR(INDEX('Margin Guidence Table'!$A$1:$AD$30000,MATCH(1,('Margin Guidence Table'!$A$1:$A$30000=IC26)*('Margin Guidence Table'!$H$1:$H$30000&lt;=ROUND($HU$3,0))*('Margin Guidence Table'!$G$1:$G$30000&gt;=ROUND($HU$3,0)),0),MATCH("DATA_POINTS",'Margin Guidence Table'!$A$1:$AC$1,0)),0)</f>
        <v>0</v>
      </c>
      <c r="IE26" s="1161" t="str">
        <f t="shared" si="32"/>
        <v>DEFAULT</v>
      </c>
      <c r="IF26" s="1161">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1">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5">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5">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5">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5">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5">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5">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1">
        <f>IFERROR(IF(AND($IQ$2&lt;&gt;"Enter Spend&gt;&gt;&gt;",'Customer Inputs'!$U$15="EXISTING"),SUMIFS('Existing Customers'!$S:$S,'Existing Customers'!$H:$H,$IP26,'Existing Customers'!$A:$A,$IQ$1),JG26*IQ26),0)</f>
        <v>0</v>
      </c>
      <c r="IX26" s="1161">
        <f>IFERROR(IF(AND($IQ$2&lt;&gt;"Enter Spend&gt;&gt;&gt;",'Customer Inputs'!$U$15="EXISTING"),SUMIFS('Existing Customers'!$U:$U,'Existing Customers'!$H:$H,$IP26,'Existing Customers'!$A:$A,$IQ$1),JH26*IQ26),0)</f>
        <v>0</v>
      </c>
      <c r="IY26" s="1164" t="e">
        <f>_xlfn.CONCAT($AW$1,"_",IF(NOT(ISBLANK('Customer Inputs'!$H$15)),'Customer Inputs'!$H$15,""),"_",IF(AND(NOT(ISBLANK('Customer Inputs'!$G$15)),'Customer Inputs'!$G$15&lt;&gt;"New"),IF('Customer Inputs'!$M$15&lt;&gt;"Enter Menu Type&gt;&gt;",IF('Customer Inputs'!$R$15=0,'Customer Inputs'!$M$15,'Customer Inputs'!$R$15),'Customer Inputs'!$R$15),""),"_",IP26)</f>
        <v>#N/A</v>
      </c>
      <c r="IZ26" s="1164">
        <f t="array" ref="IZ26">IFERROR(INDEX('Margin Guidence Table'!$A$1:$AD$30000,MATCH(1,('Margin Guidence Table'!$A$1:$A$30000=IY26)*('Margin Guidence Table'!$H$1:$H$30000&lt;=ROUND($IQ$3,0))*('Margin Guidence Table'!$G$1:$G$30000&gt;=ROUND($IQ$3,0)),0),MATCH("DATA_POINTS",'Margin Guidence Table'!$A$1:$AC$1,0)),0)</f>
        <v>0</v>
      </c>
      <c r="JA26" s="1161" t="str">
        <f t="shared" si="33"/>
        <v>DEFAULT</v>
      </c>
      <c r="JB26" s="1161">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1">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5">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5">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5">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5">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5">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5">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7" t="e">
        <f t="shared" si="0"/>
        <v>#DIV/0!</v>
      </c>
      <c r="J27" s="1157" t="e">
        <f t="shared" si="0"/>
        <v>#DIV/0!</v>
      </c>
      <c r="K27" s="1157" t="e">
        <f t="shared" si="0"/>
        <v>#DIV/0!</v>
      </c>
      <c r="L27" s="496" t="e">
        <f t="shared" si="1"/>
        <v>#DIV/0!</v>
      </c>
      <c r="M27" s="496" t="e">
        <f t="shared" si="15"/>
        <v>#DIV/0!</v>
      </c>
      <c r="N27" s="1158"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3" t="e">
        <f>_xlfn.CONCAT($AW$1,"_",IF(NOT(ISBLANK('Customer Inputs'!$H$6)),'Customer Inputs'!$H$6,""),"_",IF(AND(NOT(ISBLANK('Customer Inputs'!$G$6)),'Customer Inputs'!$G$6&lt;&gt;"New"),IF('Customer Inputs'!$M$6&lt;&gt;"Enter Menu Type&gt;&gt;",IF('Customer Inputs'!$R$6=0,'Customer Inputs'!$M$6,'Customer Inputs'!$R$6),'Customer Inputs'!$R$6),""),"_",AZ27)</f>
        <v>#N/A</v>
      </c>
      <c r="BJ27" s="1164">
        <f t="array" ref="BJ27">IFERROR(INDEX('Margin Guidence Table'!$A$1:$AD$30000,MATCH(1,('Margin Guidence Table'!$A$1:$A$30000=$BI27)*('Margin Guidence Table'!$H$1:$H$30000&lt;=ROUND($BA$3,0))*('Margin Guidence Table'!$G$1:$G$30000&gt;=ROUND($BA$3,0)),0),MATCH("DATA_POINTS",'Margin Guidence Table'!$A$1:$AC$1,0)),0)</f>
        <v>0</v>
      </c>
      <c r="BK27" s="1161" t="str">
        <f t="shared" si="24"/>
        <v>DEFAULT</v>
      </c>
      <c r="BL27" s="1161">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1">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5">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5">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5">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5">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5">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5">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1">
        <f>IFERROR(IF(AND($BW$2&lt;&gt;"Enter Spend&gt;&gt;&gt;",'Customer Inputs'!$U$7="EXISTING"),SUMIFS('Existing Customers'!$S:$S,'Existing Customers'!$H:$H,$BV27,'Existing Customers'!$A:$A,$BW$1),CM27*BW27),0)</f>
        <v>0</v>
      </c>
      <c r="CD27" s="1161">
        <f>IFERROR(IF(AND($BW$2&lt;&gt;"Enter Spend&gt;&gt;&gt;",'Customer Inputs'!$U$7="EXISTING"),SUMIFS('Existing Customers'!$U:$U,'Existing Customers'!$H:$H,$BV27,'Existing Customers'!$A:$A,$BW$1),CN27*BW27),0)</f>
        <v>0</v>
      </c>
      <c r="CE27" s="1164" t="e">
        <f>_xlfn.CONCAT($AW$1,"_",IF(NOT(ISBLANK('Customer Inputs'!$H$7)),'Customer Inputs'!$H$7,""),"_",IF(AND(NOT(ISBLANK('Customer Inputs'!$G$7)),'Customer Inputs'!$G$7&lt;&gt;"New"),IF('Customer Inputs'!$M$7&lt;&gt;"Enter Menu Type&gt;&gt;",IF('Customer Inputs'!$R$7=0,'Customer Inputs'!$M$7,'Customer Inputs'!$R$7),'Customer Inputs'!$R$7),""),"_",BV27)</f>
        <v>#N/A</v>
      </c>
      <c r="CF27" s="1164">
        <f t="array" ref="CF27">IFERROR(INDEX('Margin Guidence Table'!$A$1:$AD$30000,MATCH(1,('Margin Guidence Table'!$A$1:$A$30000=$CE27)*('Margin Guidence Table'!$H$1:$H$30000&lt;=ROUND($BW$3,0))*('Margin Guidence Table'!$G$1:$G$30000&gt;=ROUND($BW$3,0)),0),MATCH("DATA_POINTS",'Margin Guidence Table'!$A$1:$AC$1,0)),0)</f>
        <v>0</v>
      </c>
      <c r="CG27" s="1161" t="str">
        <f t="shared" si="25"/>
        <v>DEFAULT</v>
      </c>
      <c r="CH27" s="1161">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1">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5">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5">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5">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5">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5">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5">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1">
        <f>IFERROR(IF(AND($CS$2&lt;&gt;"Enter Spend&gt;&gt;&gt;",'Customer Inputs'!$U$8="EXISTING"),SUMIFS('Existing Customers'!$S:$S,'Existing Customers'!$H:$H,$CR27,'Existing Customers'!$A:$A,$CS$1),DI27*CS27),0)</f>
        <v>0</v>
      </c>
      <c r="CZ27" s="1161">
        <f>IFERROR(IF(AND($CS$2&lt;&gt;"Enter Spend&gt;&gt;&gt;",'Customer Inputs'!$U$8="EXISTING"),SUMIFS('Existing Customers'!$U:$U,'Existing Customers'!$H:$H,$CR27,'Existing Customers'!$A:$A,$CS$1),DJ27*CS27),0)</f>
        <v>0</v>
      </c>
      <c r="DA27" s="1164" t="e">
        <f>_xlfn.CONCAT($AW$1,"_",IF(NOT(ISBLANK('Customer Inputs'!$H$8)),'Customer Inputs'!$H$8,""),"_",IF(AND(NOT(ISBLANK('Customer Inputs'!$G$8)),'Customer Inputs'!$G$8&lt;&gt;"New"),IF('Customer Inputs'!$M$8&lt;&gt;"Enter Menu Type&gt;&gt;",IF('Customer Inputs'!$R$8=0,'Customer Inputs'!$M$8,'Customer Inputs'!$R$8),'Customer Inputs'!$R$8),""),"_",CR27)</f>
        <v>#N/A</v>
      </c>
      <c r="DB27" s="1164">
        <f t="array" ref="DB27">IFERROR(INDEX('Margin Guidence Table'!$A$1:$AD$30000,MATCH(1,('Margin Guidence Table'!$A$1:$A$30000=DA27)*('Margin Guidence Table'!$H$1:$H$30000&lt;=ROUND($CS$3,0))*('Margin Guidence Table'!$G$1:$G$30000&gt;=ROUND($CS$3,0)),0),MATCH("DATA_POINTS",'Margin Guidence Table'!$A$1:$AC$1,0)),0)</f>
        <v>0</v>
      </c>
      <c r="DC27" s="1161" t="str">
        <f t="shared" si="26"/>
        <v>DEFAULT</v>
      </c>
      <c r="DD27" s="1161">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1">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5">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5">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5">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5">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5">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5">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1">
        <f>IFERROR(IF(AND($DO$2&lt;&gt;"Enter Spend&gt;&gt;&gt;",'Customer Inputs'!$U$9="EXISTING"),SUMIFS('Existing Customers'!$S:$S,'Existing Customers'!$H:$H,$DP27,'Existing Customers'!$A:$A,$DO$1),EE27*DO27),0)</f>
        <v>0</v>
      </c>
      <c r="DV27" s="1161">
        <f>IFERROR(IF(AND($DO$2&lt;&gt;"Enter Spend&gt;&gt;&gt;",'Customer Inputs'!$U$9="EXISTING"),SUMIFS('Existing Customers'!$U:$U,'Existing Customers'!$H:$H,$DN27,'Existing Customers'!$A:$A,$DO$1),EF27*DO27),0)</f>
        <v>0</v>
      </c>
      <c r="DW27" s="1164" t="e">
        <f>_xlfn.CONCAT($AW$1,"_",IF(NOT(ISBLANK('Customer Inputs'!$H$9)),'Customer Inputs'!$H$9,""),"_",IF(AND(NOT(ISBLANK('Customer Inputs'!$G$9)),'Customer Inputs'!$G$9&lt;&gt;"New"),IF('Customer Inputs'!$M$9&lt;&gt;"Enter Menu Type&gt;&gt;",IF('Customer Inputs'!$R$9=0,'Customer Inputs'!$M$9,'Customer Inputs'!$R$9),'Customer Inputs'!$R$9),""),"_",DN27)</f>
        <v>#N/A</v>
      </c>
      <c r="DX27" s="1164">
        <f t="array" ref="DX27">IFERROR(INDEX('Margin Guidence Table'!$A$1:$AD$30000,MATCH(1,('Margin Guidence Table'!$A$1:$A$30000=DW27)*('Margin Guidence Table'!$H$1:$H$30000&lt;=ROUND($DO$3,0))*('Margin Guidence Table'!$G$1:$G$30000&gt;=ROUND($DO$3,0)),0),MATCH("DATA_POINTS",'Margin Guidence Table'!$A$1:$AC$1,0)),0)</f>
        <v>0</v>
      </c>
      <c r="DY27" s="1161" t="str">
        <f t="shared" si="27"/>
        <v>DEFAULT</v>
      </c>
      <c r="DZ27" s="1161">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1">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5">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5">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5">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5">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5">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5">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1">
        <f>IFERROR(IF(AND($EK$2&lt;&gt;"Enter Spend&gt;&gt;&gt;",'Customer Inputs'!$U$10="EXISTING"),SUMIFS('Existing Customers'!$S:$S,'Existing Customers'!$H:$H,$EJ27,'Existing Customers'!$A:$A,$EK$1),FA27*EK27),0)</f>
        <v>0</v>
      </c>
      <c r="ER27" s="1161">
        <f>IFERROR(IF(AND($EK$2&lt;&gt;"Enter Spend&gt;&gt;&gt;",'Customer Inputs'!$U$10="EXISTING"),SUMIFS('Existing Customers'!$U:$U,'Existing Customers'!$H:$H,$EJ27,'Existing Customers'!$A:$A,$EK$1),FB27*EK27),0)</f>
        <v>0</v>
      </c>
      <c r="ES27" s="1164" t="e">
        <f>_xlfn.CONCAT($AW$1,"_",IF(NOT(ISBLANK('Customer Inputs'!$H$10)),'Customer Inputs'!$H$10,""),"_",IF(AND(NOT(ISBLANK('Customer Inputs'!$G$10)),'Customer Inputs'!$G$10&lt;&gt;"New"),IF('Customer Inputs'!$M$10&lt;&gt;"Enter Menu Type&gt;&gt;",IF('Customer Inputs'!$R$10=0,'Customer Inputs'!$M$10,'Customer Inputs'!$R$10),'Customer Inputs'!$R$10),""),"_",EJ27)</f>
        <v>#N/A</v>
      </c>
      <c r="ET27" s="1164">
        <f t="array" ref="ET27">IFERROR(INDEX('Margin Guidence Table'!$A$1:$AD$30000,MATCH(1,('Margin Guidence Table'!$A$1:$A$30000=ES27)*('Margin Guidence Table'!$H$1:$H$30000&lt;=ROUND($EK$3,0))*('Margin Guidence Table'!$G$1:$G$30000&gt;=ROUND($EK$3,0)),0),MATCH("DATA_POINTS",'Margin Guidence Table'!$A$1:$AC$1,0)),0)</f>
        <v>0</v>
      </c>
      <c r="EU27" s="1161" t="str">
        <f t="shared" si="28"/>
        <v>DEFAULT</v>
      </c>
      <c r="EV27" s="1161">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1"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5">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5">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5">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5">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5">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5">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1">
        <f>IFERROR(IF(AND($FG$2&lt;&gt;"Enter Spend&gt;&gt;&gt;",'Customer Inputs'!$U$11="EXISTING"),SUMIFS('Existing Customers'!$S:$S,'Existing Customers'!$H:$H,$FF27,'Existing Customers'!$A:$A,$FG$1),FW27*FG27),0)</f>
        <v>0</v>
      </c>
      <c r="FN27" s="1161">
        <f>IFERROR(IF(AND($FG$2&lt;&gt;"Enter Spend&gt;&gt;&gt;",'Customer Inputs'!$U$11="EXISTING"),SUMIFS('Existing Customers'!$U:$U,'Existing Customers'!$H:$H,$FF27,'Existing Customers'!$A:$A,$FG$1),FX27*FG27),0)</f>
        <v>0</v>
      </c>
      <c r="FO27" s="1164" t="e">
        <f>_xlfn.CONCAT($AW$1,"_",IF(NOT(ISBLANK('Customer Inputs'!$H$11)),'Customer Inputs'!$H$11,""),"_",IF(AND(NOT(ISBLANK('Customer Inputs'!$G$11)),'Customer Inputs'!$G$11&lt;&gt;"New"),IF('Customer Inputs'!$M$11&lt;&gt;"Enter Menu Type&gt;&gt;",IF('Customer Inputs'!$R$11=0,'Customer Inputs'!$M$11,'Customer Inputs'!$R$11),'Customer Inputs'!$R$11),""),"_",FF27)</f>
        <v>#N/A</v>
      </c>
      <c r="FP27" s="1164">
        <f t="array" ref="FP27">IFERROR(INDEX('Margin Guidence Table'!$A$1:$AD$30000,MATCH(1,('Margin Guidence Table'!$A$1:$A$30000=FO27)*('Margin Guidence Table'!$H$1:$H$30000&lt;=ROUND($FG$3,0))*('Margin Guidence Table'!$G$1:$G$30000&gt;=ROUND($FG$3,0)),0),MATCH("DATA_POINTS",'Margin Guidence Table'!$A$1:$AC$1,0)),0)</f>
        <v>0</v>
      </c>
      <c r="FQ27" s="1161" t="str">
        <f t="shared" si="29"/>
        <v>DEFAULT</v>
      </c>
      <c r="FR27" s="1161">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1">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5">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5">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5">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5">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5">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5">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1">
        <f>IFERROR(IF(AND($GC$2&lt;&gt;"Enter Spend&gt;&gt;&gt;",'Customer Inputs'!$U$12="EXISTING"),SUMIFS('Existing Customers'!$S:$S,'Existing Customers'!$H:$H,$GB27,'Existing Customers'!$A:$A,$GC$1),GS27*GC27),0)</f>
        <v>0</v>
      </c>
      <c r="GJ27" s="1161">
        <f>IFERROR(IF(AND($GC$2&lt;&gt;"Enter Spend&gt;&gt;&gt;",'Customer Inputs'!$U$12="EXISTING"),SUMIFS('Existing Customers'!$U:$U,'Existing Customers'!$H:$H,$GB27,'Existing Customers'!$A:$A,$GC$1),GT27*GC27),0)</f>
        <v>0</v>
      </c>
      <c r="GK27" s="1164" t="e">
        <f>_xlfn.CONCAT($AW$1,"_",IF(NOT(ISBLANK('Customer Inputs'!$H$12)),'Customer Inputs'!$H$12,""),"_",IF(AND(NOT(ISBLANK('Customer Inputs'!$G$12)),'Customer Inputs'!$G$12&lt;&gt;"New"),IF('Customer Inputs'!$M$12&lt;&gt;"Enter Menu Type&gt;&gt;",IF('Customer Inputs'!$R$12=0,'Customer Inputs'!$M$12,'Customer Inputs'!$R$12),'Customer Inputs'!$R$12),""),"_",GB27)</f>
        <v>#N/A</v>
      </c>
      <c r="GL27" s="1164">
        <f t="array" ref="GL27">IFERROR(INDEX('Margin Guidence Table'!$A$1:$AD$30000,MATCH(1,('Margin Guidence Table'!$A$1:$A$30000=GK27)*('Margin Guidence Table'!$H$1:$H$30000&lt;=ROUND($GC$3,0))*('Margin Guidence Table'!$G$1:$G$30000&gt;=ROUND($GC$3,0)),0),MATCH("DATA_POINTS",'Margin Guidence Table'!$A$1:$AC$1,0)),0)</f>
        <v>0</v>
      </c>
      <c r="GM27" s="1161" t="str">
        <f t="shared" si="30"/>
        <v>DEFAULT</v>
      </c>
      <c r="GN27" s="1161">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1">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5">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5">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5">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5">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5">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5">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1">
        <f>IFERROR(IF(AND($GY$2&lt;&gt;"Enter Spend&gt;&gt;&gt;",'Customer Inputs'!$U$13="EXISTING"),SUMIFS('Existing Customers'!$S:$S,'Existing Customers'!$H:$H,$GX27,'Existing Customers'!$A:$A,$GY$1),HO27*GY27),0)</f>
        <v>0</v>
      </c>
      <c r="HF27" s="1161">
        <f>IFERROR(IF(AND($GY$2&lt;&gt;"Enter Spend&gt;&gt;&gt;",'Customer Inputs'!$U$13="EXISTING"),SUMIFS('Existing Customers'!$U:$U,'Existing Customers'!$H:$H,$GX27,'Existing Customers'!$A:$A,$GY$1),HP27*GY27),0)</f>
        <v>0</v>
      </c>
      <c r="HG27" s="1164" t="e">
        <f>_xlfn.CONCAT($AW$1,"_",IF(NOT(ISBLANK('Customer Inputs'!$H$13)),'Customer Inputs'!$H$13,""),"_",IF(AND(NOT(ISBLANK('Customer Inputs'!$G$13)),'Customer Inputs'!$G$13&lt;&gt;"New"),IF('Customer Inputs'!$M$13&lt;&gt;"Enter Menu Type&gt;&gt;",IF('Customer Inputs'!$R$13=0,'Customer Inputs'!$M$13,'Customer Inputs'!$R$13),'Customer Inputs'!$R$13),""),"_",GX27)</f>
        <v>#N/A</v>
      </c>
      <c r="HH27" s="1164">
        <f t="array" ref="HH27">IFERROR(INDEX('Margin Guidence Table'!$A$1:$AD$30000,MATCH(1,('Margin Guidence Table'!$A$1:$A$30000=HG27)*('Margin Guidence Table'!$H$1:$H$30000&lt;=ROUND($GY$3,0))*('Margin Guidence Table'!$G$1:$G$30000&gt;=ROUND($GY$3,0)),0),MATCH("DATA_POINTS",'Margin Guidence Table'!$A$1:$AC$1,0)),0)</f>
        <v>0</v>
      </c>
      <c r="HI27" s="1161" t="str">
        <f t="shared" si="31"/>
        <v>DEFAULT</v>
      </c>
      <c r="HJ27" s="1161">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1">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5">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5">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5">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5">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5">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5">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1">
        <f>IFERROR(IF(AND($HU$2&lt;&gt;"Enter Spend&gt;&gt;&gt;",'Customer Inputs'!$U$14="EXISTING"),SUMIFS('Existing Customers'!$S:$S,'Existing Customers'!$H:$H,$HT27,'Existing Customers'!$A:$A,$HU$1),IK27*HU27),0)</f>
        <v>0</v>
      </c>
      <c r="IB27" s="1161">
        <f>IFERROR(IF(AND($HU$2&lt;&gt;"Enter Spend&gt;&gt;&gt;",'Customer Inputs'!$U$14="EXISTING"),SUMIFS('Existing Customers'!$U:$U,'Existing Customers'!$H:$H,$HT27,'Existing Customers'!$A:$A,$HU$1),IL27*HU27),0)</f>
        <v>0</v>
      </c>
      <c r="IC27" s="1164" t="e">
        <f>_xlfn.CONCAT($AW$1,"_",IF(NOT(ISBLANK('Customer Inputs'!$H$14)),'Customer Inputs'!$H$14,""),"_",IF(AND(NOT(ISBLANK('Customer Inputs'!$G$14)),'Customer Inputs'!$G$14&lt;&gt;"New"),IF('Customer Inputs'!$M$14&lt;&gt;"Enter Menu Type&gt;&gt;",IF('Customer Inputs'!$R$14=0,'Customer Inputs'!$M$14,'Customer Inputs'!$R$14),'Customer Inputs'!$R$14),""),"_",HT27)</f>
        <v>#N/A</v>
      </c>
      <c r="ID27" s="1164">
        <f t="array" ref="ID27">IFERROR(INDEX('Margin Guidence Table'!$A$1:$AD$30000,MATCH(1,('Margin Guidence Table'!$A$1:$A$30000=IC27)*('Margin Guidence Table'!$H$1:$H$30000&lt;=ROUND($HU$3,0))*('Margin Guidence Table'!$G$1:$G$30000&gt;=ROUND($HU$3,0)),0),MATCH("DATA_POINTS",'Margin Guidence Table'!$A$1:$AC$1,0)),0)</f>
        <v>0</v>
      </c>
      <c r="IE27" s="1161" t="str">
        <f t="shared" si="32"/>
        <v>DEFAULT</v>
      </c>
      <c r="IF27" s="1161">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1">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5">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5">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5">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5">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5">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5">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1">
        <f>IFERROR(IF(AND($IQ$2&lt;&gt;"Enter Spend&gt;&gt;&gt;",'Customer Inputs'!$U$15="EXISTING"),SUMIFS('Existing Customers'!$S:$S,'Existing Customers'!$H:$H,$IP27,'Existing Customers'!$A:$A,$IQ$1),JG27*IQ27),0)</f>
        <v>0</v>
      </c>
      <c r="IX27" s="1161">
        <f>IFERROR(IF(AND($IQ$2&lt;&gt;"Enter Spend&gt;&gt;&gt;",'Customer Inputs'!$U$15="EXISTING"),SUMIFS('Existing Customers'!$U:$U,'Existing Customers'!$H:$H,$IP27,'Existing Customers'!$A:$A,$IQ$1),JH27*IQ27),0)</f>
        <v>0</v>
      </c>
      <c r="IY27" s="1164" t="e">
        <f>_xlfn.CONCAT($AW$1,"_",IF(NOT(ISBLANK('Customer Inputs'!$H$15)),'Customer Inputs'!$H$15,""),"_",IF(AND(NOT(ISBLANK('Customer Inputs'!$G$15)),'Customer Inputs'!$G$15&lt;&gt;"New"),IF('Customer Inputs'!$M$15&lt;&gt;"Enter Menu Type&gt;&gt;",IF('Customer Inputs'!$R$15=0,'Customer Inputs'!$M$15,'Customer Inputs'!$R$15),'Customer Inputs'!$R$15),""),"_",IP27)</f>
        <v>#N/A</v>
      </c>
      <c r="IZ27" s="1164">
        <f t="array" ref="IZ27">IFERROR(INDEX('Margin Guidence Table'!$A$1:$AD$30000,MATCH(1,('Margin Guidence Table'!$A$1:$A$30000=IY27)*('Margin Guidence Table'!$H$1:$H$30000&lt;=ROUND($IQ$3,0))*('Margin Guidence Table'!$G$1:$G$30000&gt;=ROUND($IQ$3,0)),0),MATCH("DATA_POINTS",'Margin Guidence Table'!$A$1:$AC$1,0)),0)</f>
        <v>0</v>
      </c>
      <c r="JA27" s="1161" t="str">
        <f t="shared" si="33"/>
        <v>DEFAULT</v>
      </c>
      <c r="JB27" s="1161">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1">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5">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5">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5">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5">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5">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5">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7" t="e">
        <f t="shared" si="0"/>
        <v>#DIV/0!</v>
      </c>
      <c r="J28" s="1157" t="e">
        <f t="shared" si="0"/>
        <v>#DIV/0!</v>
      </c>
      <c r="K28" s="1157" t="e">
        <f t="shared" si="0"/>
        <v>#DIV/0!</v>
      </c>
      <c r="L28" s="496" t="e">
        <f t="shared" si="1"/>
        <v>#DIV/0!</v>
      </c>
      <c r="M28" s="496" t="e">
        <f t="shared" si="15"/>
        <v>#DIV/0!</v>
      </c>
      <c r="N28" s="1158"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3" t="e">
        <f>_xlfn.CONCAT($AW$1,"_",IF(NOT(ISBLANK('Customer Inputs'!$H$6)),'Customer Inputs'!$H$6,""),"_",IF(AND(NOT(ISBLANK('Customer Inputs'!$G$6)),'Customer Inputs'!$G$6&lt;&gt;"New"),IF('Customer Inputs'!$M$6&lt;&gt;"Enter Menu Type&gt;&gt;",IF('Customer Inputs'!$R$6=0,'Customer Inputs'!$M$6,'Customer Inputs'!$R$6),'Customer Inputs'!$R$6),""),"_",AZ28)</f>
        <v>#N/A</v>
      </c>
      <c r="BJ28" s="1164">
        <f t="array" ref="BJ28">IFERROR(INDEX('Margin Guidence Table'!$A$1:$AD$30000,MATCH(1,('Margin Guidence Table'!$A$1:$A$30000=$BI28)*('Margin Guidence Table'!$H$1:$H$30000&lt;=ROUND($BA$3,0))*('Margin Guidence Table'!$G$1:$G$30000&gt;=ROUND($BA$3,0)),0),MATCH("DATA_POINTS",'Margin Guidence Table'!$A$1:$AC$1,0)),0)</f>
        <v>0</v>
      </c>
      <c r="BK28" s="1161" t="str">
        <f t="shared" si="24"/>
        <v>DEFAULT</v>
      </c>
      <c r="BL28" s="1161">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1">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5">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5">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5">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5">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5">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5">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1">
        <f>IFERROR(IF(AND($BW$2&lt;&gt;"Enter Spend&gt;&gt;&gt;",'Customer Inputs'!$U$7="EXISTING"),SUMIFS('Existing Customers'!$S:$S,'Existing Customers'!$H:$H,$BV28,'Existing Customers'!$A:$A,$BW$1),CM28*BW28),0)</f>
        <v>0</v>
      </c>
      <c r="CD28" s="1161">
        <f>IFERROR(IF(AND($BW$2&lt;&gt;"Enter Spend&gt;&gt;&gt;",'Customer Inputs'!$U$7="EXISTING"),SUMIFS('Existing Customers'!$U:$U,'Existing Customers'!$H:$H,$BV28,'Existing Customers'!$A:$A,$BW$1),CN28*BW28),0)</f>
        <v>0</v>
      </c>
      <c r="CE28" s="1164" t="e">
        <f>_xlfn.CONCAT($AW$1,"_",IF(NOT(ISBLANK('Customer Inputs'!$H$7)),'Customer Inputs'!$H$7,""),"_",IF(AND(NOT(ISBLANK('Customer Inputs'!$G$7)),'Customer Inputs'!$G$7&lt;&gt;"New"),IF('Customer Inputs'!$M$7&lt;&gt;"Enter Menu Type&gt;&gt;",IF('Customer Inputs'!$R$7=0,'Customer Inputs'!$M$7,'Customer Inputs'!$R$7),'Customer Inputs'!$R$7),""),"_",BV28)</f>
        <v>#N/A</v>
      </c>
      <c r="CF28" s="1164">
        <f t="array" ref="CF28">IFERROR(INDEX('Margin Guidence Table'!$A$1:$AD$30000,MATCH(1,('Margin Guidence Table'!$A$1:$A$30000=$CE28)*('Margin Guidence Table'!$H$1:$H$30000&lt;=ROUND($BW$3,0))*('Margin Guidence Table'!$G$1:$G$30000&gt;=ROUND($BW$3,0)),0),MATCH("DATA_POINTS",'Margin Guidence Table'!$A$1:$AC$1,0)),0)</f>
        <v>0</v>
      </c>
      <c r="CG28" s="1161" t="str">
        <f t="shared" si="25"/>
        <v>DEFAULT</v>
      </c>
      <c r="CH28" s="1161">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1">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5">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5">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5">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5">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5">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5">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1">
        <f>IFERROR(IF(AND($CS$2&lt;&gt;"Enter Spend&gt;&gt;&gt;",'Customer Inputs'!$U$8="EXISTING"),SUMIFS('Existing Customers'!$S:$S,'Existing Customers'!$H:$H,$CR28,'Existing Customers'!$A:$A,$CS$1),DI28*CS28),0)</f>
        <v>0</v>
      </c>
      <c r="CZ28" s="1161">
        <f>IFERROR(IF(AND($CS$2&lt;&gt;"Enter Spend&gt;&gt;&gt;",'Customer Inputs'!$U$8="EXISTING"),SUMIFS('Existing Customers'!$U:$U,'Existing Customers'!$H:$H,$CR28,'Existing Customers'!$A:$A,$CS$1),DJ28*CS28),0)</f>
        <v>0</v>
      </c>
      <c r="DA28" s="1164" t="e">
        <f>_xlfn.CONCAT($AW$1,"_",IF(NOT(ISBLANK('Customer Inputs'!$H$8)),'Customer Inputs'!$H$8,""),"_",IF(AND(NOT(ISBLANK('Customer Inputs'!$G$8)),'Customer Inputs'!$G$8&lt;&gt;"New"),IF('Customer Inputs'!$M$8&lt;&gt;"Enter Menu Type&gt;&gt;",IF('Customer Inputs'!$R$8=0,'Customer Inputs'!$M$8,'Customer Inputs'!$R$8),'Customer Inputs'!$R$8),""),"_",CR28)</f>
        <v>#N/A</v>
      </c>
      <c r="DB28" s="1164">
        <f t="array" ref="DB28">IFERROR(INDEX('Margin Guidence Table'!$A$1:$AD$30000,MATCH(1,('Margin Guidence Table'!$A$1:$A$30000=DA28)*('Margin Guidence Table'!$H$1:$H$30000&lt;=ROUND($CS$3,0))*('Margin Guidence Table'!$G$1:$G$30000&gt;=ROUND($CS$3,0)),0),MATCH("DATA_POINTS",'Margin Guidence Table'!$A$1:$AC$1,0)),0)</f>
        <v>0</v>
      </c>
      <c r="DC28" s="1161" t="str">
        <f t="shared" si="26"/>
        <v>DEFAULT</v>
      </c>
      <c r="DD28" s="1161">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1">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5">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5">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5">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5">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5">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5">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1">
        <f>IFERROR(IF(AND($DO$2&lt;&gt;"Enter Spend&gt;&gt;&gt;",'Customer Inputs'!$U$9="EXISTING"),SUMIFS('Existing Customers'!$S:$S,'Existing Customers'!$H:$H,$DP28,'Existing Customers'!$A:$A,$DO$1),EE28*DO28),0)</f>
        <v>0</v>
      </c>
      <c r="DV28" s="1161">
        <f>IFERROR(IF(AND($DO$2&lt;&gt;"Enter Spend&gt;&gt;&gt;",'Customer Inputs'!$U$9="EXISTING"),SUMIFS('Existing Customers'!$U:$U,'Existing Customers'!$H:$H,$DN28,'Existing Customers'!$A:$A,$DO$1),EF28*DO28),0)</f>
        <v>0</v>
      </c>
      <c r="DW28" s="1164" t="e">
        <f>_xlfn.CONCAT($AW$1,"_",IF(NOT(ISBLANK('Customer Inputs'!$H$9)),'Customer Inputs'!$H$9,""),"_",IF(AND(NOT(ISBLANK('Customer Inputs'!$G$9)),'Customer Inputs'!$G$9&lt;&gt;"New"),IF('Customer Inputs'!$M$9&lt;&gt;"Enter Menu Type&gt;&gt;",IF('Customer Inputs'!$R$9=0,'Customer Inputs'!$M$9,'Customer Inputs'!$R$9),'Customer Inputs'!$R$9),""),"_",DN28)</f>
        <v>#N/A</v>
      </c>
      <c r="DX28" s="1164">
        <f t="array" ref="DX28">IFERROR(INDEX('Margin Guidence Table'!$A$1:$AD$30000,MATCH(1,('Margin Guidence Table'!$A$1:$A$30000=DW28)*('Margin Guidence Table'!$H$1:$H$30000&lt;=ROUND($DO$3,0))*('Margin Guidence Table'!$G$1:$G$30000&gt;=ROUND($DO$3,0)),0),MATCH("DATA_POINTS",'Margin Guidence Table'!$A$1:$AC$1,0)),0)</f>
        <v>0</v>
      </c>
      <c r="DY28" s="1161" t="str">
        <f t="shared" si="27"/>
        <v>DEFAULT</v>
      </c>
      <c r="DZ28" s="1161">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1">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5">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5">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5">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5">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5">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5">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1">
        <f>IFERROR(IF(AND($EK$2&lt;&gt;"Enter Spend&gt;&gt;&gt;",'Customer Inputs'!$U$10="EXISTING"),SUMIFS('Existing Customers'!$S:$S,'Existing Customers'!$H:$H,$EJ28,'Existing Customers'!$A:$A,$EK$1),FA28*EK28),0)</f>
        <v>0</v>
      </c>
      <c r="ER28" s="1161">
        <f>IFERROR(IF(AND($EK$2&lt;&gt;"Enter Spend&gt;&gt;&gt;",'Customer Inputs'!$U$10="EXISTING"),SUMIFS('Existing Customers'!$U:$U,'Existing Customers'!$H:$H,$EJ28,'Existing Customers'!$A:$A,$EK$1),FB28*EK28),0)</f>
        <v>0</v>
      </c>
      <c r="ES28" s="1164" t="e">
        <f>_xlfn.CONCAT($AW$1,"_",IF(NOT(ISBLANK('Customer Inputs'!$H$10)),'Customer Inputs'!$H$10,""),"_",IF(AND(NOT(ISBLANK('Customer Inputs'!$G$10)),'Customer Inputs'!$G$10&lt;&gt;"New"),IF('Customer Inputs'!$M$10&lt;&gt;"Enter Menu Type&gt;&gt;",IF('Customer Inputs'!$R$10=0,'Customer Inputs'!$M$10,'Customer Inputs'!$R$10),'Customer Inputs'!$R$10),""),"_",EJ28)</f>
        <v>#N/A</v>
      </c>
      <c r="ET28" s="1164">
        <f t="array" ref="ET28">IFERROR(INDEX('Margin Guidence Table'!$A$1:$AD$30000,MATCH(1,('Margin Guidence Table'!$A$1:$A$30000=ES28)*('Margin Guidence Table'!$H$1:$H$30000&lt;=ROUND($EK$3,0))*('Margin Guidence Table'!$G$1:$G$30000&gt;=ROUND($EK$3,0)),0),MATCH("DATA_POINTS",'Margin Guidence Table'!$A$1:$AC$1,0)),0)</f>
        <v>0</v>
      </c>
      <c r="EU28" s="1161" t="str">
        <f t="shared" si="28"/>
        <v>DEFAULT</v>
      </c>
      <c r="EV28" s="1161">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1"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5">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5">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5">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5">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5">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5">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1">
        <f>IFERROR(IF(AND($FG$2&lt;&gt;"Enter Spend&gt;&gt;&gt;",'Customer Inputs'!$U$11="EXISTING"),SUMIFS('Existing Customers'!$S:$S,'Existing Customers'!$H:$H,$FF28,'Existing Customers'!$A:$A,$FG$1),FW28*FG28),0)</f>
        <v>0</v>
      </c>
      <c r="FN28" s="1161">
        <f>IFERROR(IF(AND($FG$2&lt;&gt;"Enter Spend&gt;&gt;&gt;",'Customer Inputs'!$U$11="EXISTING"),SUMIFS('Existing Customers'!$U:$U,'Existing Customers'!$H:$H,$FF28,'Existing Customers'!$A:$A,$FG$1),FX28*FG28),0)</f>
        <v>0</v>
      </c>
      <c r="FO28" s="1164" t="e">
        <f>_xlfn.CONCAT($AW$1,"_",IF(NOT(ISBLANK('Customer Inputs'!$H$11)),'Customer Inputs'!$H$11,""),"_",IF(AND(NOT(ISBLANK('Customer Inputs'!$G$11)),'Customer Inputs'!$G$11&lt;&gt;"New"),IF('Customer Inputs'!$M$11&lt;&gt;"Enter Menu Type&gt;&gt;",IF('Customer Inputs'!$R$11=0,'Customer Inputs'!$M$11,'Customer Inputs'!$R$11),'Customer Inputs'!$R$11),""),"_",FF28)</f>
        <v>#N/A</v>
      </c>
      <c r="FP28" s="1164">
        <f t="array" ref="FP28">IFERROR(INDEX('Margin Guidence Table'!$A$1:$AD$30000,MATCH(1,('Margin Guidence Table'!$A$1:$A$30000=FO28)*('Margin Guidence Table'!$H$1:$H$30000&lt;=ROUND($FG$3,0))*('Margin Guidence Table'!$G$1:$G$30000&gt;=ROUND($FG$3,0)),0),MATCH("DATA_POINTS",'Margin Guidence Table'!$A$1:$AC$1,0)),0)</f>
        <v>0</v>
      </c>
      <c r="FQ28" s="1161" t="str">
        <f t="shared" si="29"/>
        <v>DEFAULT</v>
      </c>
      <c r="FR28" s="1161">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1">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5">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5">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5">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5">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5">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5">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1">
        <f>IFERROR(IF(AND($GC$2&lt;&gt;"Enter Spend&gt;&gt;&gt;",'Customer Inputs'!$U$12="EXISTING"),SUMIFS('Existing Customers'!$S:$S,'Existing Customers'!$H:$H,$GB28,'Existing Customers'!$A:$A,$GC$1),GS28*GC28),0)</f>
        <v>0</v>
      </c>
      <c r="GJ28" s="1161">
        <f>IFERROR(IF(AND($GC$2&lt;&gt;"Enter Spend&gt;&gt;&gt;",'Customer Inputs'!$U$12="EXISTING"),SUMIFS('Existing Customers'!$U:$U,'Existing Customers'!$H:$H,$GB28,'Existing Customers'!$A:$A,$GC$1),GT28*GC28),0)</f>
        <v>0</v>
      </c>
      <c r="GK28" s="1164" t="e">
        <f>_xlfn.CONCAT($AW$1,"_",IF(NOT(ISBLANK('Customer Inputs'!$H$12)),'Customer Inputs'!$H$12,""),"_",IF(AND(NOT(ISBLANK('Customer Inputs'!$G$12)),'Customer Inputs'!$G$12&lt;&gt;"New"),IF('Customer Inputs'!$M$12&lt;&gt;"Enter Menu Type&gt;&gt;",IF('Customer Inputs'!$R$12=0,'Customer Inputs'!$M$12,'Customer Inputs'!$R$12),'Customer Inputs'!$R$12),""),"_",GB28)</f>
        <v>#N/A</v>
      </c>
      <c r="GL28" s="1164">
        <f t="array" ref="GL28">IFERROR(INDEX('Margin Guidence Table'!$A$1:$AD$30000,MATCH(1,('Margin Guidence Table'!$A$1:$A$30000=GK28)*('Margin Guidence Table'!$H$1:$H$30000&lt;=ROUND($GC$3,0))*('Margin Guidence Table'!$G$1:$G$30000&gt;=ROUND($GC$3,0)),0),MATCH("DATA_POINTS",'Margin Guidence Table'!$A$1:$AC$1,0)),0)</f>
        <v>0</v>
      </c>
      <c r="GM28" s="1161" t="str">
        <f t="shared" si="30"/>
        <v>DEFAULT</v>
      </c>
      <c r="GN28" s="1161">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1">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5">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5">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5">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5">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5">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5">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1">
        <f>IFERROR(IF(AND($GY$2&lt;&gt;"Enter Spend&gt;&gt;&gt;",'Customer Inputs'!$U$13="EXISTING"),SUMIFS('Existing Customers'!$S:$S,'Existing Customers'!$H:$H,$GX28,'Existing Customers'!$A:$A,$GY$1),HO28*GY28),0)</f>
        <v>0</v>
      </c>
      <c r="HF28" s="1161">
        <f>IFERROR(IF(AND($GY$2&lt;&gt;"Enter Spend&gt;&gt;&gt;",'Customer Inputs'!$U$13="EXISTING"),SUMIFS('Existing Customers'!$U:$U,'Existing Customers'!$H:$H,$GX28,'Existing Customers'!$A:$A,$GY$1),HP28*GY28),0)</f>
        <v>0</v>
      </c>
      <c r="HG28" s="1164" t="e">
        <f>_xlfn.CONCAT($AW$1,"_",IF(NOT(ISBLANK('Customer Inputs'!$H$13)),'Customer Inputs'!$H$13,""),"_",IF(AND(NOT(ISBLANK('Customer Inputs'!$G$13)),'Customer Inputs'!$G$13&lt;&gt;"New"),IF('Customer Inputs'!$M$13&lt;&gt;"Enter Menu Type&gt;&gt;",IF('Customer Inputs'!$R$13=0,'Customer Inputs'!$M$13,'Customer Inputs'!$R$13),'Customer Inputs'!$R$13),""),"_",GX28)</f>
        <v>#N/A</v>
      </c>
      <c r="HH28" s="1164">
        <f t="array" ref="HH28">IFERROR(INDEX('Margin Guidence Table'!$A$1:$AD$30000,MATCH(1,('Margin Guidence Table'!$A$1:$A$30000=HG28)*('Margin Guidence Table'!$H$1:$H$30000&lt;=ROUND($GY$3,0))*('Margin Guidence Table'!$G$1:$G$30000&gt;=ROUND($GY$3,0)),0),MATCH("DATA_POINTS",'Margin Guidence Table'!$A$1:$AC$1,0)),0)</f>
        <v>0</v>
      </c>
      <c r="HI28" s="1161" t="str">
        <f t="shared" si="31"/>
        <v>DEFAULT</v>
      </c>
      <c r="HJ28" s="1161">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1">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5">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5">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5">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5">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5">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5">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1">
        <f>IFERROR(IF(AND($HU$2&lt;&gt;"Enter Spend&gt;&gt;&gt;",'Customer Inputs'!$U$14="EXISTING"),SUMIFS('Existing Customers'!$S:$S,'Existing Customers'!$H:$H,$HT28,'Existing Customers'!$A:$A,$HU$1),IK28*HU28),0)</f>
        <v>0</v>
      </c>
      <c r="IB28" s="1161">
        <f>IFERROR(IF(AND($HU$2&lt;&gt;"Enter Spend&gt;&gt;&gt;",'Customer Inputs'!$U$14="EXISTING"),SUMIFS('Existing Customers'!$U:$U,'Existing Customers'!$H:$H,$HT28,'Existing Customers'!$A:$A,$HU$1),IL28*HU28),0)</f>
        <v>0</v>
      </c>
      <c r="IC28" s="1164" t="e">
        <f>_xlfn.CONCAT($AW$1,"_",IF(NOT(ISBLANK('Customer Inputs'!$H$14)),'Customer Inputs'!$H$14,""),"_",IF(AND(NOT(ISBLANK('Customer Inputs'!$G$14)),'Customer Inputs'!$G$14&lt;&gt;"New"),IF('Customer Inputs'!$M$14&lt;&gt;"Enter Menu Type&gt;&gt;",IF('Customer Inputs'!$R$14=0,'Customer Inputs'!$M$14,'Customer Inputs'!$R$14),'Customer Inputs'!$R$14),""),"_",HT28)</f>
        <v>#N/A</v>
      </c>
      <c r="ID28" s="1164">
        <f t="array" ref="ID28">IFERROR(INDEX('Margin Guidence Table'!$A$1:$AD$30000,MATCH(1,('Margin Guidence Table'!$A$1:$A$30000=IC28)*('Margin Guidence Table'!$H$1:$H$30000&lt;=ROUND($HU$3,0))*('Margin Guidence Table'!$G$1:$G$30000&gt;=ROUND($HU$3,0)),0),MATCH("DATA_POINTS",'Margin Guidence Table'!$A$1:$AC$1,0)),0)</f>
        <v>0</v>
      </c>
      <c r="IE28" s="1161" t="str">
        <f t="shared" si="32"/>
        <v>DEFAULT</v>
      </c>
      <c r="IF28" s="1161">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1">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5">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5">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5">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5">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5">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5">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1">
        <f>IFERROR(IF(AND($IQ$2&lt;&gt;"Enter Spend&gt;&gt;&gt;",'Customer Inputs'!$U$15="EXISTING"),SUMIFS('Existing Customers'!$S:$S,'Existing Customers'!$H:$H,$IP28,'Existing Customers'!$A:$A,$IQ$1),JG28*IQ28),0)</f>
        <v>0</v>
      </c>
      <c r="IX28" s="1161">
        <f>IFERROR(IF(AND($IQ$2&lt;&gt;"Enter Spend&gt;&gt;&gt;",'Customer Inputs'!$U$15="EXISTING"),SUMIFS('Existing Customers'!$U:$U,'Existing Customers'!$H:$H,$IP28,'Existing Customers'!$A:$A,$IQ$1),JH28*IQ28),0)</f>
        <v>0</v>
      </c>
      <c r="IY28" s="1164" t="e">
        <f>_xlfn.CONCAT($AW$1,"_",IF(NOT(ISBLANK('Customer Inputs'!$H$15)),'Customer Inputs'!$H$15,""),"_",IF(AND(NOT(ISBLANK('Customer Inputs'!$G$15)),'Customer Inputs'!$G$15&lt;&gt;"New"),IF('Customer Inputs'!$M$15&lt;&gt;"Enter Menu Type&gt;&gt;",IF('Customer Inputs'!$R$15=0,'Customer Inputs'!$M$15,'Customer Inputs'!$R$15),'Customer Inputs'!$R$15),""),"_",IP28)</f>
        <v>#N/A</v>
      </c>
      <c r="IZ28" s="1164">
        <f t="array" ref="IZ28">IFERROR(INDEX('Margin Guidence Table'!$A$1:$AD$30000,MATCH(1,('Margin Guidence Table'!$A$1:$A$30000=IY28)*('Margin Guidence Table'!$H$1:$H$30000&lt;=ROUND($IQ$3,0))*('Margin Guidence Table'!$G$1:$G$30000&gt;=ROUND($IQ$3,0)),0),MATCH("DATA_POINTS",'Margin Guidence Table'!$A$1:$AC$1,0)),0)</f>
        <v>0</v>
      </c>
      <c r="JA28" s="1161" t="str">
        <f t="shared" si="33"/>
        <v>DEFAULT</v>
      </c>
      <c r="JB28" s="1161">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1">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5">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5">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5">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5">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5">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5">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7" t="e">
        <f t="shared" si="0"/>
        <v>#DIV/0!</v>
      </c>
      <c r="J29" s="1157" t="e">
        <f t="shared" si="0"/>
        <v>#DIV/0!</v>
      </c>
      <c r="K29" s="1157" t="e">
        <f t="shared" si="0"/>
        <v>#DIV/0!</v>
      </c>
      <c r="L29" s="496" t="e">
        <f t="shared" si="1"/>
        <v>#DIV/0!</v>
      </c>
      <c r="M29" s="496" t="e">
        <f t="shared" si="15"/>
        <v>#DIV/0!</v>
      </c>
      <c r="N29" s="1158"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3" t="e">
        <f>_xlfn.CONCAT($AW$1,"_",IF(NOT(ISBLANK('Customer Inputs'!$H$6)),'Customer Inputs'!$H$6,""),"_",IF(AND(NOT(ISBLANK('Customer Inputs'!$G$6)),'Customer Inputs'!$G$6&lt;&gt;"New"),IF('Customer Inputs'!$M$6&lt;&gt;"Enter Menu Type&gt;&gt;",IF('Customer Inputs'!$R$6=0,'Customer Inputs'!$M$6,'Customer Inputs'!$R$6),'Customer Inputs'!$R$6),""),"_",AZ29)</f>
        <v>#N/A</v>
      </c>
      <c r="BJ29" s="1164">
        <f t="array" ref="BJ29">IFERROR(INDEX('Margin Guidence Table'!$A$1:$AD$30000,MATCH(1,('Margin Guidence Table'!$A$1:$A$30000=$BI29)*('Margin Guidence Table'!$H$1:$H$30000&lt;=ROUND($BA$3,0))*('Margin Guidence Table'!$G$1:$G$30000&gt;=ROUND($BA$3,0)),0),MATCH("DATA_POINTS",'Margin Guidence Table'!$A$1:$AC$1,0)),0)</f>
        <v>0</v>
      </c>
      <c r="BK29" s="1161" t="str">
        <f t="shared" si="24"/>
        <v>DEFAULT</v>
      </c>
      <c r="BL29" s="1161">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1">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5">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5">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5">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5">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5">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5">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1">
        <f>IFERROR(IF(AND($BW$2&lt;&gt;"Enter Spend&gt;&gt;&gt;",'Customer Inputs'!$U$7="EXISTING"),SUMIFS('Existing Customers'!$S:$S,'Existing Customers'!$H:$H,$BV29,'Existing Customers'!$A:$A,$BW$1),CM29*BW29),0)</f>
        <v>0</v>
      </c>
      <c r="CD29" s="1161">
        <f>IFERROR(IF(AND($BW$2&lt;&gt;"Enter Spend&gt;&gt;&gt;",'Customer Inputs'!$U$7="EXISTING"),SUMIFS('Existing Customers'!$U:$U,'Existing Customers'!$H:$H,$BV29,'Existing Customers'!$A:$A,$BW$1),CN29*BW29),0)</f>
        <v>0</v>
      </c>
      <c r="CE29" s="1164" t="e">
        <f>_xlfn.CONCAT($AW$1,"_",IF(NOT(ISBLANK('Customer Inputs'!$H$7)),'Customer Inputs'!$H$7,""),"_",IF(AND(NOT(ISBLANK('Customer Inputs'!$G$7)),'Customer Inputs'!$G$7&lt;&gt;"New"),IF('Customer Inputs'!$M$7&lt;&gt;"Enter Menu Type&gt;&gt;",IF('Customer Inputs'!$R$7=0,'Customer Inputs'!$M$7,'Customer Inputs'!$R$7),'Customer Inputs'!$R$7),""),"_",BV29)</f>
        <v>#N/A</v>
      </c>
      <c r="CF29" s="1164">
        <f t="array" ref="CF29">IFERROR(INDEX('Margin Guidence Table'!$A$1:$AD$30000,MATCH(1,('Margin Guidence Table'!$A$1:$A$30000=$CE29)*('Margin Guidence Table'!$H$1:$H$30000&lt;=ROUND($BW$3,0))*('Margin Guidence Table'!$G$1:$G$30000&gt;=ROUND($BW$3,0)),0),MATCH("DATA_POINTS",'Margin Guidence Table'!$A$1:$AC$1,0)),0)</f>
        <v>0</v>
      </c>
      <c r="CG29" s="1161" t="str">
        <f t="shared" si="25"/>
        <v>DEFAULT</v>
      </c>
      <c r="CH29" s="1161">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1">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5">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5">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5">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5">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5">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5">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1">
        <f>IFERROR(IF(AND($CS$2&lt;&gt;"Enter Spend&gt;&gt;&gt;",'Customer Inputs'!$U$8="EXISTING"),SUMIFS('Existing Customers'!$S:$S,'Existing Customers'!$H:$H,$CR29,'Existing Customers'!$A:$A,$CS$1),DI29*CS29),0)</f>
        <v>0</v>
      </c>
      <c r="CZ29" s="1161">
        <f>IFERROR(IF(AND($CS$2&lt;&gt;"Enter Spend&gt;&gt;&gt;",'Customer Inputs'!$U$8="EXISTING"),SUMIFS('Existing Customers'!$U:$U,'Existing Customers'!$H:$H,$CR29,'Existing Customers'!$A:$A,$CS$1),DJ29*CS29),0)</f>
        <v>0</v>
      </c>
      <c r="DA29" s="1164" t="e">
        <f>_xlfn.CONCAT($AW$1,"_",IF(NOT(ISBLANK('Customer Inputs'!$H$8)),'Customer Inputs'!$H$8,""),"_",IF(AND(NOT(ISBLANK('Customer Inputs'!$G$8)),'Customer Inputs'!$G$8&lt;&gt;"New"),IF('Customer Inputs'!$M$8&lt;&gt;"Enter Menu Type&gt;&gt;",IF('Customer Inputs'!$R$8=0,'Customer Inputs'!$M$8,'Customer Inputs'!$R$8),'Customer Inputs'!$R$8),""),"_",CR29)</f>
        <v>#N/A</v>
      </c>
      <c r="DB29" s="1164">
        <f t="array" ref="DB29">IFERROR(INDEX('Margin Guidence Table'!$A$1:$AD$30000,MATCH(1,('Margin Guidence Table'!$A$1:$A$30000=DA29)*('Margin Guidence Table'!$H$1:$H$30000&lt;=ROUND($CS$3,0))*('Margin Guidence Table'!$G$1:$G$30000&gt;=ROUND($CS$3,0)),0),MATCH("DATA_POINTS",'Margin Guidence Table'!$A$1:$AC$1,0)),0)</f>
        <v>0</v>
      </c>
      <c r="DC29" s="1161" t="str">
        <f t="shared" si="26"/>
        <v>DEFAULT</v>
      </c>
      <c r="DD29" s="1161">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1">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5">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5">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5">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5">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5">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5">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1">
        <f>IFERROR(IF(AND($DO$2&lt;&gt;"Enter Spend&gt;&gt;&gt;",'Customer Inputs'!$U$9="EXISTING"),SUMIFS('Existing Customers'!$S:$S,'Existing Customers'!$H:$H,$DP29,'Existing Customers'!$A:$A,$DO$1),EE29*DO29),0)</f>
        <v>0</v>
      </c>
      <c r="DV29" s="1161">
        <f>IFERROR(IF(AND($DO$2&lt;&gt;"Enter Spend&gt;&gt;&gt;",'Customer Inputs'!$U$9="EXISTING"),SUMIFS('Existing Customers'!$U:$U,'Existing Customers'!$H:$H,$DN29,'Existing Customers'!$A:$A,$DO$1),EF29*DO29),0)</f>
        <v>0</v>
      </c>
      <c r="DW29" s="1164" t="e">
        <f>_xlfn.CONCAT($AW$1,"_",IF(NOT(ISBLANK('Customer Inputs'!$H$9)),'Customer Inputs'!$H$9,""),"_",IF(AND(NOT(ISBLANK('Customer Inputs'!$G$9)),'Customer Inputs'!$G$9&lt;&gt;"New"),IF('Customer Inputs'!$M$9&lt;&gt;"Enter Menu Type&gt;&gt;",IF('Customer Inputs'!$R$9=0,'Customer Inputs'!$M$9,'Customer Inputs'!$R$9),'Customer Inputs'!$R$9),""),"_",DN29)</f>
        <v>#N/A</v>
      </c>
      <c r="DX29" s="1164">
        <f t="array" ref="DX29">IFERROR(INDEX('Margin Guidence Table'!$A$1:$AD$30000,MATCH(1,('Margin Guidence Table'!$A$1:$A$30000=DW29)*('Margin Guidence Table'!$H$1:$H$30000&lt;=ROUND($DO$3,0))*('Margin Guidence Table'!$G$1:$G$30000&gt;=ROUND($DO$3,0)),0),MATCH("DATA_POINTS",'Margin Guidence Table'!$A$1:$AC$1,0)),0)</f>
        <v>0</v>
      </c>
      <c r="DY29" s="1161" t="str">
        <f t="shared" si="27"/>
        <v>DEFAULT</v>
      </c>
      <c r="DZ29" s="1161">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1">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5">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5">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5">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5">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5">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5">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1">
        <f>IFERROR(IF(AND($EK$2&lt;&gt;"Enter Spend&gt;&gt;&gt;",'Customer Inputs'!$U$10="EXISTING"),SUMIFS('Existing Customers'!$S:$S,'Existing Customers'!$H:$H,$EJ29,'Existing Customers'!$A:$A,$EK$1),FA29*EK29),0)</f>
        <v>0</v>
      </c>
      <c r="ER29" s="1161">
        <f>IFERROR(IF(AND($EK$2&lt;&gt;"Enter Spend&gt;&gt;&gt;",'Customer Inputs'!$U$10="EXISTING"),SUMIFS('Existing Customers'!$U:$U,'Existing Customers'!$H:$H,$EJ29,'Existing Customers'!$A:$A,$EK$1),FB29*EK29),0)</f>
        <v>0</v>
      </c>
      <c r="ES29" s="1164" t="e">
        <f>_xlfn.CONCAT($AW$1,"_",IF(NOT(ISBLANK('Customer Inputs'!$H$10)),'Customer Inputs'!$H$10,""),"_",IF(AND(NOT(ISBLANK('Customer Inputs'!$G$10)),'Customer Inputs'!$G$10&lt;&gt;"New"),IF('Customer Inputs'!$M$10&lt;&gt;"Enter Menu Type&gt;&gt;",IF('Customer Inputs'!$R$10=0,'Customer Inputs'!$M$10,'Customer Inputs'!$R$10),'Customer Inputs'!$R$10),""),"_",EJ29)</f>
        <v>#N/A</v>
      </c>
      <c r="ET29" s="1164">
        <f t="array" ref="ET29">IFERROR(INDEX('Margin Guidence Table'!$A$1:$AD$30000,MATCH(1,('Margin Guidence Table'!$A$1:$A$30000=ES29)*('Margin Guidence Table'!$H$1:$H$30000&lt;=ROUND($EK$3,0))*('Margin Guidence Table'!$G$1:$G$30000&gt;=ROUND($EK$3,0)),0),MATCH("DATA_POINTS",'Margin Guidence Table'!$A$1:$AC$1,0)),0)</f>
        <v>0</v>
      </c>
      <c r="EU29" s="1161" t="str">
        <f t="shared" si="28"/>
        <v>DEFAULT</v>
      </c>
      <c r="EV29" s="1161">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1"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5">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5">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5">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5">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5">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5">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1">
        <f>IFERROR(IF(AND($FG$2&lt;&gt;"Enter Spend&gt;&gt;&gt;",'Customer Inputs'!$U$11="EXISTING"),SUMIFS('Existing Customers'!$S:$S,'Existing Customers'!$H:$H,$FF29,'Existing Customers'!$A:$A,$FG$1),FW29*FG29),0)</f>
        <v>0</v>
      </c>
      <c r="FN29" s="1161">
        <f>IFERROR(IF(AND($FG$2&lt;&gt;"Enter Spend&gt;&gt;&gt;",'Customer Inputs'!$U$11="EXISTING"),SUMIFS('Existing Customers'!$U:$U,'Existing Customers'!$H:$H,$FF29,'Existing Customers'!$A:$A,$FG$1),FX29*FG29),0)</f>
        <v>0</v>
      </c>
      <c r="FO29" s="1164" t="e">
        <f>_xlfn.CONCAT($AW$1,"_",IF(NOT(ISBLANK('Customer Inputs'!$H$11)),'Customer Inputs'!$H$11,""),"_",IF(AND(NOT(ISBLANK('Customer Inputs'!$G$11)),'Customer Inputs'!$G$11&lt;&gt;"New"),IF('Customer Inputs'!$M$11&lt;&gt;"Enter Menu Type&gt;&gt;",IF('Customer Inputs'!$R$11=0,'Customer Inputs'!$M$11,'Customer Inputs'!$R$11),'Customer Inputs'!$R$11),""),"_",FF29)</f>
        <v>#N/A</v>
      </c>
      <c r="FP29" s="1164">
        <f t="array" ref="FP29">IFERROR(INDEX('Margin Guidence Table'!$A$1:$AD$30000,MATCH(1,('Margin Guidence Table'!$A$1:$A$30000=FO29)*('Margin Guidence Table'!$H$1:$H$30000&lt;=ROUND($FG$3,0))*('Margin Guidence Table'!$G$1:$G$30000&gt;=ROUND($FG$3,0)),0),MATCH("DATA_POINTS",'Margin Guidence Table'!$A$1:$AC$1,0)),0)</f>
        <v>0</v>
      </c>
      <c r="FQ29" s="1161" t="str">
        <f t="shared" si="29"/>
        <v>DEFAULT</v>
      </c>
      <c r="FR29" s="1161">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1">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5">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5">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5">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5">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5">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5">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1">
        <f>IFERROR(IF(AND($GC$2&lt;&gt;"Enter Spend&gt;&gt;&gt;",'Customer Inputs'!$U$12="EXISTING"),SUMIFS('Existing Customers'!$S:$S,'Existing Customers'!$H:$H,$GB29,'Existing Customers'!$A:$A,$GC$1),GS29*GC29),0)</f>
        <v>0</v>
      </c>
      <c r="GJ29" s="1161">
        <f>IFERROR(IF(AND($GC$2&lt;&gt;"Enter Spend&gt;&gt;&gt;",'Customer Inputs'!$U$12="EXISTING"),SUMIFS('Existing Customers'!$U:$U,'Existing Customers'!$H:$H,$GB29,'Existing Customers'!$A:$A,$GC$1),GT29*GC29),0)</f>
        <v>0</v>
      </c>
      <c r="GK29" s="1164" t="e">
        <f>_xlfn.CONCAT($AW$1,"_",IF(NOT(ISBLANK('Customer Inputs'!$H$12)),'Customer Inputs'!$H$12,""),"_",IF(AND(NOT(ISBLANK('Customer Inputs'!$G$12)),'Customer Inputs'!$G$12&lt;&gt;"New"),IF('Customer Inputs'!$M$12&lt;&gt;"Enter Menu Type&gt;&gt;",IF('Customer Inputs'!$R$12=0,'Customer Inputs'!$M$12,'Customer Inputs'!$R$12),'Customer Inputs'!$R$12),""),"_",GB29)</f>
        <v>#N/A</v>
      </c>
      <c r="GL29" s="1164">
        <f t="array" ref="GL29">IFERROR(INDEX('Margin Guidence Table'!$A$1:$AD$30000,MATCH(1,('Margin Guidence Table'!$A$1:$A$30000=GK29)*('Margin Guidence Table'!$H$1:$H$30000&lt;=ROUND($GC$3,0))*('Margin Guidence Table'!$G$1:$G$30000&gt;=ROUND($GC$3,0)),0),MATCH("DATA_POINTS",'Margin Guidence Table'!$A$1:$AC$1,0)),0)</f>
        <v>0</v>
      </c>
      <c r="GM29" s="1161" t="str">
        <f t="shared" si="30"/>
        <v>DEFAULT</v>
      </c>
      <c r="GN29" s="1161">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1">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5">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5">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5">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5">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5">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5">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1">
        <f>IFERROR(IF(AND($GY$2&lt;&gt;"Enter Spend&gt;&gt;&gt;",'Customer Inputs'!$U$13="EXISTING"),SUMIFS('Existing Customers'!$S:$S,'Existing Customers'!$H:$H,$GX29,'Existing Customers'!$A:$A,$GY$1),HO29*GY29),0)</f>
        <v>0</v>
      </c>
      <c r="HF29" s="1161">
        <f>IFERROR(IF(AND($GY$2&lt;&gt;"Enter Spend&gt;&gt;&gt;",'Customer Inputs'!$U$13="EXISTING"),SUMIFS('Existing Customers'!$U:$U,'Existing Customers'!$H:$H,$GX29,'Existing Customers'!$A:$A,$GY$1),HP29*GY29),0)</f>
        <v>0</v>
      </c>
      <c r="HG29" s="1164" t="e">
        <f>_xlfn.CONCAT($AW$1,"_",IF(NOT(ISBLANK('Customer Inputs'!$H$13)),'Customer Inputs'!$H$13,""),"_",IF(AND(NOT(ISBLANK('Customer Inputs'!$G$13)),'Customer Inputs'!$G$13&lt;&gt;"New"),IF('Customer Inputs'!$M$13&lt;&gt;"Enter Menu Type&gt;&gt;",IF('Customer Inputs'!$R$13=0,'Customer Inputs'!$M$13,'Customer Inputs'!$R$13),'Customer Inputs'!$R$13),""),"_",GX29)</f>
        <v>#N/A</v>
      </c>
      <c r="HH29" s="1164">
        <f t="array" ref="HH29">IFERROR(INDEX('Margin Guidence Table'!$A$1:$AD$30000,MATCH(1,('Margin Guidence Table'!$A$1:$A$30000=HG29)*('Margin Guidence Table'!$H$1:$H$30000&lt;=ROUND($GY$3,0))*('Margin Guidence Table'!$G$1:$G$30000&gt;=ROUND($GY$3,0)),0),MATCH("DATA_POINTS",'Margin Guidence Table'!$A$1:$AC$1,0)),0)</f>
        <v>0</v>
      </c>
      <c r="HI29" s="1161" t="str">
        <f t="shared" si="31"/>
        <v>DEFAULT</v>
      </c>
      <c r="HJ29" s="1161">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1">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5">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5">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5">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5">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5">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5">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1">
        <f>IFERROR(IF(AND($HU$2&lt;&gt;"Enter Spend&gt;&gt;&gt;",'Customer Inputs'!$U$14="EXISTING"),SUMIFS('Existing Customers'!$S:$S,'Existing Customers'!$H:$H,$HT29,'Existing Customers'!$A:$A,$HU$1),IK29*HU29),0)</f>
        <v>0</v>
      </c>
      <c r="IB29" s="1161">
        <f>IFERROR(IF(AND($HU$2&lt;&gt;"Enter Spend&gt;&gt;&gt;",'Customer Inputs'!$U$14="EXISTING"),SUMIFS('Existing Customers'!$U:$U,'Existing Customers'!$H:$H,$HT29,'Existing Customers'!$A:$A,$HU$1),IL29*HU29),0)</f>
        <v>0</v>
      </c>
      <c r="IC29" s="1164" t="e">
        <f>_xlfn.CONCAT($AW$1,"_",IF(NOT(ISBLANK('Customer Inputs'!$H$14)),'Customer Inputs'!$H$14,""),"_",IF(AND(NOT(ISBLANK('Customer Inputs'!$G$14)),'Customer Inputs'!$G$14&lt;&gt;"New"),IF('Customer Inputs'!$M$14&lt;&gt;"Enter Menu Type&gt;&gt;",IF('Customer Inputs'!$R$14=0,'Customer Inputs'!$M$14,'Customer Inputs'!$R$14),'Customer Inputs'!$R$14),""),"_",HT29)</f>
        <v>#N/A</v>
      </c>
      <c r="ID29" s="1164">
        <f t="array" ref="ID29">IFERROR(INDEX('Margin Guidence Table'!$A$1:$AD$30000,MATCH(1,('Margin Guidence Table'!$A$1:$A$30000=IC29)*('Margin Guidence Table'!$H$1:$H$30000&lt;=ROUND($HU$3,0))*('Margin Guidence Table'!$G$1:$G$30000&gt;=ROUND($HU$3,0)),0),MATCH("DATA_POINTS",'Margin Guidence Table'!$A$1:$AC$1,0)),0)</f>
        <v>0</v>
      </c>
      <c r="IE29" s="1161" t="str">
        <f t="shared" si="32"/>
        <v>DEFAULT</v>
      </c>
      <c r="IF29" s="1161">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1">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5">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5">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5">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5">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5">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5">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1">
        <f>IFERROR(IF(AND($IQ$2&lt;&gt;"Enter Spend&gt;&gt;&gt;",'Customer Inputs'!$U$15="EXISTING"),SUMIFS('Existing Customers'!$S:$S,'Existing Customers'!$H:$H,$IP29,'Existing Customers'!$A:$A,$IQ$1),JG29*IQ29),0)</f>
        <v>0</v>
      </c>
      <c r="IX29" s="1161">
        <f>IFERROR(IF(AND($IQ$2&lt;&gt;"Enter Spend&gt;&gt;&gt;",'Customer Inputs'!$U$15="EXISTING"),SUMIFS('Existing Customers'!$U:$U,'Existing Customers'!$H:$H,$IP29,'Existing Customers'!$A:$A,$IQ$1),JH29*IQ29),0)</f>
        <v>0</v>
      </c>
      <c r="IY29" s="1164" t="e">
        <f>_xlfn.CONCAT($AW$1,"_",IF(NOT(ISBLANK('Customer Inputs'!$H$15)),'Customer Inputs'!$H$15,""),"_",IF(AND(NOT(ISBLANK('Customer Inputs'!$G$15)),'Customer Inputs'!$G$15&lt;&gt;"New"),IF('Customer Inputs'!$M$15&lt;&gt;"Enter Menu Type&gt;&gt;",IF('Customer Inputs'!$R$15=0,'Customer Inputs'!$M$15,'Customer Inputs'!$R$15),'Customer Inputs'!$R$15),""),"_",IP29)</f>
        <v>#N/A</v>
      </c>
      <c r="IZ29" s="1164">
        <f t="array" ref="IZ29">IFERROR(INDEX('Margin Guidence Table'!$A$1:$AD$30000,MATCH(1,('Margin Guidence Table'!$A$1:$A$30000=IY29)*('Margin Guidence Table'!$H$1:$H$30000&lt;=ROUND($IQ$3,0))*('Margin Guidence Table'!$G$1:$G$30000&gt;=ROUND($IQ$3,0)),0),MATCH("DATA_POINTS",'Margin Guidence Table'!$A$1:$AC$1,0)),0)</f>
        <v>0</v>
      </c>
      <c r="JA29" s="1161" t="str">
        <f t="shared" si="33"/>
        <v>DEFAULT</v>
      </c>
      <c r="JB29" s="1161">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1">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5">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5">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5">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5">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5">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5">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7" t="e">
        <f t="shared" si="0"/>
        <v>#DIV/0!</v>
      </c>
      <c r="J30" s="1157" t="e">
        <f t="shared" si="0"/>
        <v>#DIV/0!</v>
      </c>
      <c r="K30" s="1157" t="e">
        <f t="shared" si="0"/>
        <v>#DIV/0!</v>
      </c>
      <c r="L30" s="496" t="e">
        <f t="shared" si="1"/>
        <v>#DIV/0!</v>
      </c>
      <c r="M30" s="496" t="e">
        <f t="shared" si="15"/>
        <v>#DIV/0!</v>
      </c>
      <c r="N30" s="1158"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3" t="e">
        <f>_xlfn.CONCAT($AW$1,"_",IF(NOT(ISBLANK('Customer Inputs'!$H$6)),'Customer Inputs'!$H$6,""),"_",IF(AND(NOT(ISBLANK('Customer Inputs'!$G$6)),'Customer Inputs'!$G$6&lt;&gt;"New"),IF('Customer Inputs'!$M$6&lt;&gt;"Enter Menu Type&gt;&gt;",IF('Customer Inputs'!$R$6=0,'Customer Inputs'!$M$6,'Customer Inputs'!$R$6),'Customer Inputs'!$R$6),""),"_",AZ30)</f>
        <v>#N/A</v>
      </c>
      <c r="BJ30" s="1164">
        <f t="array" ref="BJ30">IFERROR(INDEX('Margin Guidence Table'!$A$1:$AD$30000,MATCH(1,('Margin Guidence Table'!$A$1:$A$30000=$BI30)*('Margin Guidence Table'!$H$1:$H$30000&lt;=ROUND($BA$3,0))*('Margin Guidence Table'!$G$1:$G$30000&gt;=ROUND($BA$3,0)),0),MATCH("DATA_POINTS",'Margin Guidence Table'!$A$1:$AC$1,0)),0)</f>
        <v>0</v>
      </c>
      <c r="BK30" s="1161" t="str">
        <f t="shared" si="24"/>
        <v>DEFAULT</v>
      </c>
      <c r="BL30" s="1161">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1">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5">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5">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5">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5">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5">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5">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1">
        <f>IFERROR(IF(AND($BW$2&lt;&gt;"Enter Spend&gt;&gt;&gt;",'Customer Inputs'!$U$7="EXISTING"),SUMIFS('Existing Customers'!$S:$S,'Existing Customers'!$H:$H,$BV30,'Existing Customers'!$A:$A,$BW$1),CM30*BW30),0)</f>
        <v>0</v>
      </c>
      <c r="CD30" s="1161">
        <f>IFERROR(IF(AND($BW$2&lt;&gt;"Enter Spend&gt;&gt;&gt;",'Customer Inputs'!$U$7="EXISTING"),SUMIFS('Existing Customers'!$U:$U,'Existing Customers'!$H:$H,$BV30,'Existing Customers'!$A:$A,$BW$1),CN30*BW30),0)</f>
        <v>0</v>
      </c>
      <c r="CE30" s="1164" t="e">
        <f>_xlfn.CONCAT($AW$1,"_",IF(NOT(ISBLANK('Customer Inputs'!$H$7)),'Customer Inputs'!$H$7,""),"_",IF(AND(NOT(ISBLANK('Customer Inputs'!$G$7)),'Customer Inputs'!$G$7&lt;&gt;"New"),IF('Customer Inputs'!$M$7&lt;&gt;"Enter Menu Type&gt;&gt;",IF('Customer Inputs'!$R$7=0,'Customer Inputs'!$M$7,'Customer Inputs'!$R$7),'Customer Inputs'!$R$7),""),"_",BV30)</f>
        <v>#N/A</v>
      </c>
      <c r="CF30" s="1164">
        <f t="array" ref="CF30">IFERROR(INDEX('Margin Guidence Table'!$A$1:$AD$30000,MATCH(1,('Margin Guidence Table'!$A$1:$A$30000=$CE30)*('Margin Guidence Table'!$H$1:$H$30000&lt;=ROUND($BW$3,0))*('Margin Guidence Table'!$G$1:$G$30000&gt;=ROUND($BW$3,0)),0),MATCH("DATA_POINTS",'Margin Guidence Table'!$A$1:$AC$1,0)),0)</f>
        <v>0</v>
      </c>
      <c r="CG30" s="1161" t="str">
        <f t="shared" si="25"/>
        <v>DEFAULT</v>
      </c>
      <c r="CH30" s="1161">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1">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5">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5">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5">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5">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5">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5">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1">
        <f>IFERROR(IF(AND($CS$2&lt;&gt;"Enter Spend&gt;&gt;&gt;",'Customer Inputs'!$U$8="EXISTING"),SUMIFS('Existing Customers'!$S:$S,'Existing Customers'!$H:$H,$CR30,'Existing Customers'!$A:$A,$CS$1),DI30*CS30),0)</f>
        <v>0</v>
      </c>
      <c r="CZ30" s="1161">
        <f>IFERROR(IF(AND($CS$2&lt;&gt;"Enter Spend&gt;&gt;&gt;",'Customer Inputs'!$U$8="EXISTING"),SUMIFS('Existing Customers'!$U:$U,'Existing Customers'!$H:$H,$CR30,'Existing Customers'!$A:$A,$CS$1),DJ30*CS30),0)</f>
        <v>0</v>
      </c>
      <c r="DA30" s="1164" t="e">
        <f>_xlfn.CONCAT($AW$1,"_",IF(NOT(ISBLANK('Customer Inputs'!$H$8)),'Customer Inputs'!$H$8,""),"_",IF(AND(NOT(ISBLANK('Customer Inputs'!$G$8)),'Customer Inputs'!$G$8&lt;&gt;"New"),IF('Customer Inputs'!$M$8&lt;&gt;"Enter Menu Type&gt;&gt;",IF('Customer Inputs'!$R$8=0,'Customer Inputs'!$M$8,'Customer Inputs'!$R$8),'Customer Inputs'!$R$8),""),"_",CR30)</f>
        <v>#N/A</v>
      </c>
      <c r="DB30" s="1164">
        <f t="array" ref="DB30">IFERROR(INDEX('Margin Guidence Table'!$A$1:$AD$30000,MATCH(1,('Margin Guidence Table'!$A$1:$A$30000=DA30)*('Margin Guidence Table'!$H$1:$H$30000&lt;=ROUND($CS$3,0))*('Margin Guidence Table'!$G$1:$G$30000&gt;=ROUND($CS$3,0)),0),MATCH("DATA_POINTS",'Margin Guidence Table'!$A$1:$AC$1,0)),0)</f>
        <v>0</v>
      </c>
      <c r="DC30" s="1161" t="str">
        <f t="shared" si="26"/>
        <v>DEFAULT</v>
      </c>
      <c r="DD30" s="1161">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1">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5">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5">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5">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5">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5">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5">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1">
        <f>IFERROR(IF(AND($DO$2&lt;&gt;"Enter Spend&gt;&gt;&gt;",'Customer Inputs'!$U$9="EXISTING"),SUMIFS('Existing Customers'!$S:$S,'Existing Customers'!$H:$H,$DP30,'Existing Customers'!$A:$A,$DO$1),EE30*DO30),0)</f>
        <v>0</v>
      </c>
      <c r="DV30" s="1161">
        <f>IFERROR(IF(AND($DO$2&lt;&gt;"Enter Spend&gt;&gt;&gt;",'Customer Inputs'!$U$9="EXISTING"),SUMIFS('Existing Customers'!$U:$U,'Existing Customers'!$H:$H,$DN30,'Existing Customers'!$A:$A,$DO$1),EF30*DO30),0)</f>
        <v>0</v>
      </c>
      <c r="DW30" s="1164" t="e">
        <f>_xlfn.CONCAT($AW$1,"_",IF(NOT(ISBLANK('Customer Inputs'!$H$9)),'Customer Inputs'!$H$9,""),"_",IF(AND(NOT(ISBLANK('Customer Inputs'!$G$9)),'Customer Inputs'!$G$9&lt;&gt;"New"),IF('Customer Inputs'!$M$9&lt;&gt;"Enter Menu Type&gt;&gt;",IF('Customer Inputs'!$R$9=0,'Customer Inputs'!$M$9,'Customer Inputs'!$R$9),'Customer Inputs'!$R$9),""),"_",DN30)</f>
        <v>#N/A</v>
      </c>
      <c r="DX30" s="1164">
        <f t="array" ref="DX30">IFERROR(INDEX('Margin Guidence Table'!$A$1:$AD$30000,MATCH(1,('Margin Guidence Table'!$A$1:$A$30000=DW30)*('Margin Guidence Table'!$H$1:$H$30000&lt;=ROUND($DO$3,0))*('Margin Guidence Table'!$G$1:$G$30000&gt;=ROUND($DO$3,0)),0),MATCH("DATA_POINTS",'Margin Guidence Table'!$A$1:$AC$1,0)),0)</f>
        <v>0</v>
      </c>
      <c r="DY30" s="1161" t="str">
        <f t="shared" si="27"/>
        <v>DEFAULT</v>
      </c>
      <c r="DZ30" s="1161">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1">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5">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5">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5">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5">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5">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5">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1">
        <f>IFERROR(IF(AND($EK$2&lt;&gt;"Enter Spend&gt;&gt;&gt;",'Customer Inputs'!$U$10="EXISTING"),SUMIFS('Existing Customers'!$S:$S,'Existing Customers'!$H:$H,$EJ30,'Existing Customers'!$A:$A,$EK$1),FA30*EK30),0)</f>
        <v>0</v>
      </c>
      <c r="ER30" s="1161">
        <f>IFERROR(IF(AND($EK$2&lt;&gt;"Enter Spend&gt;&gt;&gt;",'Customer Inputs'!$U$10="EXISTING"),SUMIFS('Existing Customers'!$U:$U,'Existing Customers'!$H:$H,$EJ30,'Existing Customers'!$A:$A,$EK$1),FB30*EK30),0)</f>
        <v>0</v>
      </c>
      <c r="ES30" s="1164" t="e">
        <f>_xlfn.CONCAT($AW$1,"_",IF(NOT(ISBLANK('Customer Inputs'!$H$10)),'Customer Inputs'!$H$10,""),"_",IF(AND(NOT(ISBLANK('Customer Inputs'!$G$10)),'Customer Inputs'!$G$10&lt;&gt;"New"),IF('Customer Inputs'!$M$10&lt;&gt;"Enter Menu Type&gt;&gt;",IF('Customer Inputs'!$R$10=0,'Customer Inputs'!$M$10,'Customer Inputs'!$R$10),'Customer Inputs'!$R$10),""),"_",EJ30)</f>
        <v>#N/A</v>
      </c>
      <c r="ET30" s="1164">
        <f t="array" ref="ET30">IFERROR(INDEX('Margin Guidence Table'!$A$1:$AD$30000,MATCH(1,('Margin Guidence Table'!$A$1:$A$30000=ES30)*('Margin Guidence Table'!$H$1:$H$30000&lt;=ROUND($EK$3,0))*('Margin Guidence Table'!$G$1:$G$30000&gt;=ROUND($EK$3,0)),0),MATCH("DATA_POINTS",'Margin Guidence Table'!$A$1:$AC$1,0)),0)</f>
        <v>0</v>
      </c>
      <c r="EU30" s="1161" t="str">
        <f t="shared" si="28"/>
        <v>DEFAULT</v>
      </c>
      <c r="EV30" s="1161">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1"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5">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5">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5">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5">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5">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5">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1">
        <f>IFERROR(IF(AND($FG$2&lt;&gt;"Enter Spend&gt;&gt;&gt;",'Customer Inputs'!$U$11="EXISTING"),SUMIFS('Existing Customers'!$S:$S,'Existing Customers'!$H:$H,$FF30,'Existing Customers'!$A:$A,$FG$1),FW30*FG30),0)</f>
        <v>0</v>
      </c>
      <c r="FN30" s="1161">
        <f>IFERROR(IF(AND($FG$2&lt;&gt;"Enter Spend&gt;&gt;&gt;",'Customer Inputs'!$U$11="EXISTING"),SUMIFS('Existing Customers'!$U:$U,'Existing Customers'!$H:$H,$FF30,'Existing Customers'!$A:$A,$FG$1),FX30*FG30),0)</f>
        <v>0</v>
      </c>
      <c r="FO30" s="1164" t="e">
        <f>_xlfn.CONCAT($AW$1,"_",IF(NOT(ISBLANK('Customer Inputs'!$H$11)),'Customer Inputs'!$H$11,""),"_",IF(AND(NOT(ISBLANK('Customer Inputs'!$G$11)),'Customer Inputs'!$G$11&lt;&gt;"New"),IF('Customer Inputs'!$M$11&lt;&gt;"Enter Menu Type&gt;&gt;",IF('Customer Inputs'!$R$11=0,'Customer Inputs'!$M$11,'Customer Inputs'!$R$11),'Customer Inputs'!$R$11),""),"_",FF30)</f>
        <v>#N/A</v>
      </c>
      <c r="FP30" s="1164">
        <f t="array" ref="FP30">IFERROR(INDEX('Margin Guidence Table'!$A$1:$AD$30000,MATCH(1,('Margin Guidence Table'!$A$1:$A$30000=FO30)*('Margin Guidence Table'!$H$1:$H$30000&lt;=ROUND($FG$3,0))*('Margin Guidence Table'!$G$1:$G$30000&gt;=ROUND($FG$3,0)),0),MATCH("DATA_POINTS",'Margin Guidence Table'!$A$1:$AC$1,0)),0)</f>
        <v>0</v>
      </c>
      <c r="FQ30" s="1161" t="str">
        <f t="shared" si="29"/>
        <v>DEFAULT</v>
      </c>
      <c r="FR30" s="1161">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1">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5">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5">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5">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5">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5">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5">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1">
        <f>IFERROR(IF(AND($GC$2&lt;&gt;"Enter Spend&gt;&gt;&gt;",'Customer Inputs'!$U$12="EXISTING"),SUMIFS('Existing Customers'!$S:$S,'Existing Customers'!$H:$H,$GB30,'Existing Customers'!$A:$A,$GC$1),GS30*GC30),0)</f>
        <v>0</v>
      </c>
      <c r="GJ30" s="1161">
        <f>IFERROR(IF(AND($GC$2&lt;&gt;"Enter Spend&gt;&gt;&gt;",'Customer Inputs'!$U$12="EXISTING"),SUMIFS('Existing Customers'!$U:$U,'Existing Customers'!$H:$H,$GB30,'Existing Customers'!$A:$A,$GC$1),GT30*GC30),0)</f>
        <v>0</v>
      </c>
      <c r="GK30" s="1164" t="e">
        <f>_xlfn.CONCAT($AW$1,"_",IF(NOT(ISBLANK('Customer Inputs'!$H$12)),'Customer Inputs'!$H$12,""),"_",IF(AND(NOT(ISBLANK('Customer Inputs'!$G$12)),'Customer Inputs'!$G$12&lt;&gt;"New"),IF('Customer Inputs'!$M$12&lt;&gt;"Enter Menu Type&gt;&gt;",IF('Customer Inputs'!$R$12=0,'Customer Inputs'!$M$12,'Customer Inputs'!$R$12),'Customer Inputs'!$R$12),""),"_",GB30)</f>
        <v>#N/A</v>
      </c>
      <c r="GL30" s="1164">
        <f t="array" ref="GL30">IFERROR(INDEX('Margin Guidence Table'!$A$1:$AD$30000,MATCH(1,('Margin Guidence Table'!$A$1:$A$30000=GK30)*('Margin Guidence Table'!$H$1:$H$30000&lt;=ROUND($GC$3,0))*('Margin Guidence Table'!$G$1:$G$30000&gt;=ROUND($GC$3,0)),0),MATCH("DATA_POINTS",'Margin Guidence Table'!$A$1:$AC$1,0)),0)</f>
        <v>0</v>
      </c>
      <c r="GM30" s="1161" t="str">
        <f t="shared" si="30"/>
        <v>DEFAULT</v>
      </c>
      <c r="GN30" s="1161">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1">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5">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5">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5">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5">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5">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5">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1">
        <f>IFERROR(IF(AND($GY$2&lt;&gt;"Enter Spend&gt;&gt;&gt;",'Customer Inputs'!$U$13="EXISTING"),SUMIFS('Existing Customers'!$S:$S,'Existing Customers'!$H:$H,$GX30,'Existing Customers'!$A:$A,$GY$1),HO30*GY30),0)</f>
        <v>0</v>
      </c>
      <c r="HF30" s="1161">
        <f>IFERROR(IF(AND($GY$2&lt;&gt;"Enter Spend&gt;&gt;&gt;",'Customer Inputs'!$U$13="EXISTING"),SUMIFS('Existing Customers'!$U:$U,'Existing Customers'!$H:$H,$GX30,'Existing Customers'!$A:$A,$GY$1),HP30*GY30),0)</f>
        <v>0</v>
      </c>
      <c r="HG30" s="1164" t="e">
        <f>_xlfn.CONCAT($AW$1,"_",IF(NOT(ISBLANK('Customer Inputs'!$H$13)),'Customer Inputs'!$H$13,""),"_",IF(AND(NOT(ISBLANK('Customer Inputs'!$G$13)),'Customer Inputs'!$G$13&lt;&gt;"New"),IF('Customer Inputs'!$M$13&lt;&gt;"Enter Menu Type&gt;&gt;",IF('Customer Inputs'!$R$13=0,'Customer Inputs'!$M$13,'Customer Inputs'!$R$13),'Customer Inputs'!$R$13),""),"_",GX30)</f>
        <v>#N/A</v>
      </c>
      <c r="HH30" s="1164">
        <f t="array" ref="HH30">IFERROR(INDEX('Margin Guidence Table'!$A$1:$AD$30000,MATCH(1,('Margin Guidence Table'!$A$1:$A$30000=HG30)*('Margin Guidence Table'!$H$1:$H$30000&lt;=ROUND($GY$3,0))*('Margin Guidence Table'!$G$1:$G$30000&gt;=ROUND($GY$3,0)),0),MATCH("DATA_POINTS",'Margin Guidence Table'!$A$1:$AC$1,0)),0)</f>
        <v>0</v>
      </c>
      <c r="HI30" s="1161" t="str">
        <f t="shared" si="31"/>
        <v>DEFAULT</v>
      </c>
      <c r="HJ30" s="1161">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1">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5">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5">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5">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5">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5">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5">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1">
        <f>IFERROR(IF(AND($HU$2&lt;&gt;"Enter Spend&gt;&gt;&gt;",'Customer Inputs'!$U$14="EXISTING"),SUMIFS('Existing Customers'!$S:$S,'Existing Customers'!$H:$H,$HT30,'Existing Customers'!$A:$A,$HU$1),IK30*HU30),0)</f>
        <v>0</v>
      </c>
      <c r="IB30" s="1161">
        <f>IFERROR(IF(AND($HU$2&lt;&gt;"Enter Spend&gt;&gt;&gt;",'Customer Inputs'!$U$14="EXISTING"),SUMIFS('Existing Customers'!$U:$U,'Existing Customers'!$H:$H,$HT30,'Existing Customers'!$A:$A,$HU$1),IL30*HU30),0)</f>
        <v>0</v>
      </c>
      <c r="IC30" s="1164" t="e">
        <f>_xlfn.CONCAT($AW$1,"_",IF(NOT(ISBLANK('Customer Inputs'!$H$14)),'Customer Inputs'!$H$14,""),"_",IF(AND(NOT(ISBLANK('Customer Inputs'!$G$14)),'Customer Inputs'!$G$14&lt;&gt;"New"),IF('Customer Inputs'!$M$14&lt;&gt;"Enter Menu Type&gt;&gt;",IF('Customer Inputs'!$R$14=0,'Customer Inputs'!$M$14,'Customer Inputs'!$R$14),'Customer Inputs'!$R$14),""),"_",HT30)</f>
        <v>#N/A</v>
      </c>
      <c r="ID30" s="1164">
        <f t="array" ref="ID30">IFERROR(INDEX('Margin Guidence Table'!$A$1:$AD$30000,MATCH(1,('Margin Guidence Table'!$A$1:$A$30000=IC30)*('Margin Guidence Table'!$H$1:$H$30000&lt;=ROUND($HU$3,0))*('Margin Guidence Table'!$G$1:$G$30000&gt;=ROUND($HU$3,0)),0),MATCH("DATA_POINTS",'Margin Guidence Table'!$A$1:$AC$1,0)),0)</f>
        <v>0</v>
      </c>
      <c r="IE30" s="1161" t="str">
        <f t="shared" si="32"/>
        <v>DEFAULT</v>
      </c>
      <c r="IF30" s="1161">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1">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5">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5">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5">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5">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5">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5">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1">
        <f>IFERROR(IF(AND($IQ$2&lt;&gt;"Enter Spend&gt;&gt;&gt;",'Customer Inputs'!$U$15="EXISTING"),SUMIFS('Existing Customers'!$S:$S,'Existing Customers'!$H:$H,$IP30,'Existing Customers'!$A:$A,$IQ$1),JG30*IQ30),0)</f>
        <v>0</v>
      </c>
      <c r="IX30" s="1161">
        <f>IFERROR(IF(AND($IQ$2&lt;&gt;"Enter Spend&gt;&gt;&gt;",'Customer Inputs'!$U$15="EXISTING"),SUMIFS('Existing Customers'!$U:$U,'Existing Customers'!$H:$H,$IP30,'Existing Customers'!$A:$A,$IQ$1),JH30*IQ30),0)</f>
        <v>0</v>
      </c>
      <c r="IY30" s="1164" t="e">
        <f>_xlfn.CONCAT($AW$1,"_",IF(NOT(ISBLANK('Customer Inputs'!$H$15)),'Customer Inputs'!$H$15,""),"_",IF(AND(NOT(ISBLANK('Customer Inputs'!$G$15)),'Customer Inputs'!$G$15&lt;&gt;"New"),IF('Customer Inputs'!$M$15&lt;&gt;"Enter Menu Type&gt;&gt;",IF('Customer Inputs'!$R$15=0,'Customer Inputs'!$M$15,'Customer Inputs'!$R$15),'Customer Inputs'!$R$15),""),"_",IP30)</f>
        <v>#N/A</v>
      </c>
      <c r="IZ30" s="1164">
        <f t="array" ref="IZ30">IFERROR(INDEX('Margin Guidence Table'!$A$1:$AD$30000,MATCH(1,('Margin Guidence Table'!$A$1:$A$30000=IY30)*('Margin Guidence Table'!$H$1:$H$30000&lt;=ROUND($IQ$3,0))*('Margin Guidence Table'!$G$1:$G$30000&gt;=ROUND($IQ$3,0)),0),MATCH("DATA_POINTS",'Margin Guidence Table'!$A$1:$AC$1,0)),0)</f>
        <v>0</v>
      </c>
      <c r="JA30" s="1161" t="str">
        <f t="shared" si="33"/>
        <v>DEFAULT</v>
      </c>
      <c r="JB30" s="1161">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1">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5">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5">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5">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5">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5">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5">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7" t="e">
        <f t="shared" si="0"/>
        <v>#DIV/0!</v>
      </c>
      <c r="J31" s="1157" t="e">
        <f t="shared" si="0"/>
        <v>#DIV/0!</v>
      </c>
      <c r="K31" s="1157" t="e">
        <f t="shared" si="0"/>
        <v>#DIV/0!</v>
      </c>
      <c r="L31" s="496" t="e">
        <f t="shared" si="1"/>
        <v>#DIV/0!</v>
      </c>
      <c r="M31" s="496" t="e">
        <f t="shared" si="15"/>
        <v>#DIV/0!</v>
      </c>
      <c r="N31" s="1158"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3" t="e">
        <f>_xlfn.CONCAT($AW$1,"_",IF(NOT(ISBLANK('Customer Inputs'!$H$6)),'Customer Inputs'!$H$6,""),"_",IF(AND(NOT(ISBLANK('Customer Inputs'!$G$6)),'Customer Inputs'!$G$6&lt;&gt;"New"),IF('Customer Inputs'!$M$6&lt;&gt;"Enter Menu Type&gt;&gt;",IF('Customer Inputs'!$R$6=0,'Customer Inputs'!$M$6,'Customer Inputs'!$R$6),'Customer Inputs'!$R$6),""),"_",AZ31)</f>
        <v>#N/A</v>
      </c>
      <c r="BJ31" s="1164">
        <f t="array" ref="BJ31">IFERROR(INDEX('Margin Guidence Table'!$A$1:$AD$30000,MATCH(1,('Margin Guidence Table'!$A$1:$A$30000=$BI31)*('Margin Guidence Table'!$H$1:$H$30000&lt;=ROUND($BA$3,0))*('Margin Guidence Table'!$G$1:$G$30000&gt;=ROUND($BA$3,0)),0),MATCH("DATA_POINTS",'Margin Guidence Table'!$A$1:$AC$1,0)),0)</f>
        <v>0</v>
      </c>
      <c r="BK31" s="1161" t="str">
        <f t="shared" si="24"/>
        <v>DEFAULT</v>
      </c>
      <c r="BL31" s="1161">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1">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5">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5">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5">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5">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5">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5">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1">
        <f>IFERROR(IF(AND($BW$2&lt;&gt;"Enter Spend&gt;&gt;&gt;",'Customer Inputs'!$U$7="EXISTING"),SUMIFS('Existing Customers'!$S:$S,'Existing Customers'!$H:$H,$BV31,'Existing Customers'!$A:$A,$BW$1),CM31*BW31),0)</f>
        <v>0</v>
      </c>
      <c r="CD31" s="1161">
        <f>IFERROR(IF(AND($BW$2&lt;&gt;"Enter Spend&gt;&gt;&gt;",'Customer Inputs'!$U$7="EXISTING"),SUMIFS('Existing Customers'!$U:$U,'Existing Customers'!$H:$H,$BV31,'Existing Customers'!$A:$A,$BW$1),CN31*BW31),0)</f>
        <v>0</v>
      </c>
      <c r="CE31" s="1164" t="e">
        <f>_xlfn.CONCAT($AW$1,"_",IF(NOT(ISBLANK('Customer Inputs'!$H$7)),'Customer Inputs'!$H$7,""),"_",IF(AND(NOT(ISBLANK('Customer Inputs'!$G$7)),'Customer Inputs'!$G$7&lt;&gt;"New"),IF('Customer Inputs'!$M$7&lt;&gt;"Enter Menu Type&gt;&gt;",IF('Customer Inputs'!$R$7=0,'Customer Inputs'!$M$7,'Customer Inputs'!$R$7),'Customer Inputs'!$R$7),""),"_",BV31)</f>
        <v>#N/A</v>
      </c>
      <c r="CF31" s="1164">
        <f t="array" ref="CF31">IFERROR(INDEX('Margin Guidence Table'!$A$1:$AD$30000,MATCH(1,('Margin Guidence Table'!$A$1:$A$30000=$CE31)*('Margin Guidence Table'!$H$1:$H$30000&lt;=ROUND($BW$3,0))*('Margin Guidence Table'!$G$1:$G$30000&gt;=ROUND($BW$3,0)),0),MATCH("DATA_POINTS",'Margin Guidence Table'!$A$1:$AC$1,0)),0)</f>
        <v>0</v>
      </c>
      <c r="CG31" s="1161" t="str">
        <f t="shared" si="25"/>
        <v>DEFAULT</v>
      </c>
      <c r="CH31" s="1161">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1">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5">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5">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5">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5">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5">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5">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1">
        <f>IFERROR(IF(AND($CS$2&lt;&gt;"Enter Spend&gt;&gt;&gt;",'Customer Inputs'!$U$8="EXISTING"),SUMIFS('Existing Customers'!$S:$S,'Existing Customers'!$H:$H,$CR31,'Existing Customers'!$A:$A,$CS$1),DI31*CS31),0)</f>
        <v>0</v>
      </c>
      <c r="CZ31" s="1161">
        <f>IFERROR(IF(AND($CS$2&lt;&gt;"Enter Spend&gt;&gt;&gt;",'Customer Inputs'!$U$8="EXISTING"),SUMIFS('Existing Customers'!$U:$U,'Existing Customers'!$H:$H,$CR31,'Existing Customers'!$A:$A,$CS$1),DJ31*CS31),0)</f>
        <v>0</v>
      </c>
      <c r="DA31" s="1164" t="e">
        <f>_xlfn.CONCAT($AW$1,"_",IF(NOT(ISBLANK('Customer Inputs'!$H$8)),'Customer Inputs'!$H$8,""),"_",IF(AND(NOT(ISBLANK('Customer Inputs'!$G$8)),'Customer Inputs'!$G$8&lt;&gt;"New"),IF('Customer Inputs'!$M$8&lt;&gt;"Enter Menu Type&gt;&gt;",IF('Customer Inputs'!$R$8=0,'Customer Inputs'!$M$8,'Customer Inputs'!$R$8),'Customer Inputs'!$R$8),""),"_",CR31)</f>
        <v>#N/A</v>
      </c>
      <c r="DB31" s="1164">
        <f t="array" ref="DB31">IFERROR(INDEX('Margin Guidence Table'!$A$1:$AD$30000,MATCH(1,('Margin Guidence Table'!$A$1:$A$30000=DA31)*('Margin Guidence Table'!$H$1:$H$30000&lt;=ROUND($CS$3,0))*('Margin Guidence Table'!$G$1:$G$30000&gt;=ROUND($CS$3,0)),0),MATCH("DATA_POINTS",'Margin Guidence Table'!$A$1:$AC$1,0)),0)</f>
        <v>0</v>
      </c>
      <c r="DC31" s="1161" t="str">
        <f t="shared" si="26"/>
        <v>DEFAULT</v>
      </c>
      <c r="DD31" s="1161">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1">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5">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5">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5">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5">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5">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5">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1">
        <f>IFERROR(IF(AND($DO$2&lt;&gt;"Enter Spend&gt;&gt;&gt;",'Customer Inputs'!$U$9="EXISTING"),SUMIFS('Existing Customers'!$S:$S,'Existing Customers'!$H:$H,$DP31,'Existing Customers'!$A:$A,$DO$1),EE31*DO31),0)</f>
        <v>0</v>
      </c>
      <c r="DV31" s="1161">
        <f>IFERROR(IF(AND($DO$2&lt;&gt;"Enter Spend&gt;&gt;&gt;",'Customer Inputs'!$U$9="EXISTING"),SUMIFS('Existing Customers'!$U:$U,'Existing Customers'!$H:$H,$DN31,'Existing Customers'!$A:$A,$DO$1),EF31*DO31),0)</f>
        <v>0</v>
      </c>
      <c r="DW31" s="1164" t="e">
        <f>_xlfn.CONCAT($AW$1,"_",IF(NOT(ISBLANK('Customer Inputs'!$H$9)),'Customer Inputs'!$H$9,""),"_",IF(AND(NOT(ISBLANK('Customer Inputs'!$G$9)),'Customer Inputs'!$G$9&lt;&gt;"New"),IF('Customer Inputs'!$M$9&lt;&gt;"Enter Menu Type&gt;&gt;",IF('Customer Inputs'!$R$9=0,'Customer Inputs'!$M$9,'Customer Inputs'!$R$9),'Customer Inputs'!$R$9),""),"_",DN31)</f>
        <v>#N/A</v>
      </c>
      <c r="DX31" s="1164">
        <f t="array" ref="DX31">IFERROR(INDEX('Margin Guidence Table'!$A$1:$AD$30000,MATCH(1,('Margin Guidence Table'!$A$1:$A$30000=DW31)*('Margin Guidence Table'!$H$1:$H$30000&lt;=ROUND($DO$3,0))*('Margin Guidence Table'!$G$1:$G$30000&gt;=ROUND($DO$3,0)),0),MATCH("DATA_POINTS",'Margin Guidence Table'!$A$1:$AC$1,0)),0)</f>
        <v>0</v>
      </c>
      <c r="DY31" s="1161" t="str">
        <f t="shared" si="27"/>
        <v>DEFAULT</v>
      </c>
      <c r="DZ31" s="1161">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1">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5">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5">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5">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5">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5">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5">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1">
        <f>IFERROR(IF(AND($EK$2&lt;&gt;"Enter Spend&gt;&gt;&gt;",'Customer Inputs'!$U$10="EXISTING"),SUMIFS('Existing Customers'!$S:$S,'Existing Customers'!$H:$H,$EJ31,'Existing Customers'!$A:$A,$EK$1),FA31*EK31),0)</f>
        <v>0</v>
      </c>
      <c r="ER31" s="1161">
        <f>IFERROR(IF(AND($EK$2&lt;&gt;"Enter Spend&gt;&gt;&gt;",'Customer Inputs'!$U$10="EXISTING"),SUMIFS('Existing Customers'!$U:$U,'Existing Customers'!$H:$H,$EJ31,'Existing Customers'!$A:$A,$EK$1),FB31*EK31),0)</f>
        <v>0</v>
      </c>
      <c r="ES31" s="1164" t="e">
        <f>_xlfn.CONCAT($AW$1,"_",IF(NOT(ISBLANK('Customer Inputs'!$H$10)),'Customer Inputs'!$H$10,""),"_",IF(AND(NOT(ISBLANK('Customer Inputs'!$G$10)),'Customer Inputs'!$G$10&lt;&gt;"New"),IF('Customer Inputs'!$M$10&lt;&gt;"Enter Menu Type&gt;&gt;",IF('Customer Inputs'!$R$10=0,'Customer Inputs'!$M$10,'Customer Inputs'!$R$10),'Customer Inputs'!$R$10),""),"_",EJ31)</f>
        <v>#N/A</v>
      </c>
      <c r="ET31" s="1164">
        <f t="array" ref="ET31">IFERROR(INDEX('Margin Guidence Table'!$A$1:$AD$30000,MATCH(1,('Margin Guidence Table'!$A$1:$A$30000=ES31)*('Margin Guidence Table'!$H$1:$H$30000&lt;=ROUND($EK$3,0))*('Margin Guidence Table'!$G$1:$G$30000&gt;=ROUND($EK$3,0)),0),MATCH("DATA_POINTS",'Margin Guidence Table'!$A$1:$AC$1,0)),0)</f>
        <v>0</v>
      </c>
      <c r="EU31" s="1161" t="str">
        <f t="shared" si="28"/>
        <v>DEFAULT</v>
      </c>
      <c r="EV31" s="1161">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1"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5">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5">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5">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5">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5">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5">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1">
        <f>IFERROR(IF(AND($FG$2&lt;&gt;"Enter Spend&gt;&gt;&gt;",'Customer Inputs'!$U$11="EXISTING"),SUMIFS('Existing Customers'!$S:$S,'Existing Customers'!$H:$H,$FF31,'Existing Customers'!$A:$A,$FG$1),FW31*FG31),0)</f>
        <v>0</v>
      </c>
      <c r="FN31" s="1161">
        <f>IFERROR(IF(AND($FG$2&lt;&gt;"Enter Spend&gt;&gt;&gt;",'Customer Inputs'!$U$11="EXISTING"),SUMIFS('Existing Customers'!$U:$U,'Existing Customers'!$H:$H,$FF31,'Existing Customers'!$A:$A,$FG$1),FX31*FG31),0)</f>
        <v>0</v>
      </c>
      <c r="FO31" s="1164" t="e">
        <f>_xlfn.CONCAT($AW$1,"_",IF(NOT(ISBLANK('Customer Inputs'!$H$11)),'Customer Inputs'!$H$11,""),"_",IF(AND(NOT(ISBLANK('Customer Inputs'!$G$11)),'Customer Inputs'!$G$11&lt;&gt;"New"),IF('Customer Inputs'!$M$11&lt;&gt;"Enter Menu Type&gt;&gt;",IF('Customer Inputs'!$R$11=0,'Customer Inputs'!$M$11,'Customer Inputs'!$R$11),'Customer Inputs'!$R$11),""),"_",FF31)</f>
        <v>#N/A</v>
      </c>
      <c r="FP31" s="1164">
        <f t="array" ref="FP31">IFERROR(INDEX('Margin Guidence Table'!$A$1:$AD$30000,MATCH(1,('Margin Guidence Table'!$A$1:$A$30000=FO31)*('Margin Guidence Table'!$H$1:$H$30000&lt;=ROUND($FG$3,0))*('Margin Guidence Table'!$G$1:$G$30000&gt;=ROUND($FG$3,0)),0),MATCH("DATA_POINTS",'Margin Guidence Table'!$A$1:$AC$1,0)),0)</f>
        <v>0</v>
      </c>
      <c r="FQ31" s="1161" t="str">
        <f t="shared" si="29"/>
        <v>DEFAULT</v>
      </c>
      <c r="FR31" s="1161">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1">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5">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5">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5">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5">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5">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5">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1">
        <f>IFERROR(IF(AND($GC$2&lt;&gt;"Enter Spend&gt;&gt;&gt;",'Customer Inputs'!$U$12="EXISTING"),SUMIFS('Existing Customers'!$S:$S,'Existing Customers'!$H:$H,$GB31,'Existing Customers'!$A:$A,$GC$1),GS31*GC31),0)</f>
        <v>0</v>
      </c>
      <c r="GJ31" s="1161">
        <f>IFERROR(IF(AND($GC$2&lt;&gt;"Enter Spend&gt;&gt;&gt;",'Customer Inputs'!$U$12="EXISTING"),SUMIFS('Existing Customers'!$U:$U,'Existing Customers'!$H:$H,$GB31,'Existing Customers'!$A:$A,$GC$1),GT31*GC31),0)</f>
        <v>0</v>
      </c>
      <c r="GK31" s="1164" t="e">
        <f>_xlfn.CONCAT($AW$1,"_",IF(NOT(ISBLANK('Customer Inputs'!$H$12)),'Customer Inputs'!$H$12,""),"_",IF(AND(NOT(ISBLANK('Customer Inputs'!$G$12)),'Customer Inputs'!$G$12&lt;&gt;"New"),IF('Customer Inputs'!$M$12&lt;&gt;"Enter Menu Type&gt;&gt;",IF('Customer Inputs'!$R$12=0,'Customer Inputs'!$M$12,'Customer Inputs'!$R$12),'Customer Inputs'!$R$12),""),"_",GB31)</f>
        <v>#N/A</v>
      </c>
      <c r="GL31" s="1164">
        <f t="array" ref="GL31">IFERROR(INDEX('Margin Guidence Table'!$A$1:$AD$30000,MATCH(1,('Margin Guidence Table'!$A$1:$A$30000=GK31)*('Margin Guidence Table'!$H$1:$H$30000&lt;=ROUND($GC$3,0))*('Margin Guidence Table'!$G$1:$G$30000&gt;=ROUND($GC$3,0)),0),MATCH("DATA_POINTS",'Margin Guidence Table'!$A$1:$AC$1,0)),0)</f>
        <v>0</v>
      </c>
      <c r="GM31" s="1161" t="str">
        <f t="shared" si="30"/>
        <v>DEFAULT</v>
      </c>
      <c r="GN31" s="1161">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1">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5">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5">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5">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5">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5">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5">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1">
        <f>IFERROR(IF(AND($GY$2&lt;&gt;"Enter Spend&gt;&gt;&gt;",'Customer Inputs'!$U$13="EXISTING"),SUMIFS('Existing Customers'!$S:$S,'Existing Customers'!$H:$H,$GX31,'Existing Customers'!$A:$A,$GY$1),HO31*GY31),0)</f>
        <v>0</v>
      </c>
      <c r="HF31" s="1161">
        <f>IFERROR(IF(AND($GY$2&lt;&gt;"Enter Spend&gt;&gt;&gt;",'Customer Inputs'!$U$13="EXISTING"),SUMIFS('Existing Customers'!$U:$U,'Existing Customers'!$H:$H,$GX31,'Existing Customers'!$A:$A,$GY$1),HP31*GY31),0)</f>
        <v>0</v>
      </c>
      <c r="HG31" s="1164" t="e">
        <f>_xlfn.CONCAT($AW$1,"_",IF(NOT(ISBLANK('Customer Inputs'!$H$13)),'Customer Inputs'!$H$13,""),"_",IF(AND(NOT(ISBLANK('Customer Inputs'!$G$13)),'Customer Inputs'!$G$13&lt;&gt;"New"),IF('Customer Inputs'!$M$13&lt;&gt;"Enter Menu Type&gt;&gt;",IF('Customer Inputs'!$R$13=0,'Customer Inputs'!$M$13,'Customer Inputs'!$R$13),'Customer Inputs'!$R$13),""),"_",GX31)</f>
        <v>#N/A</v>
      </c>
      <c r="HH31" s="1164">
        <f t="array" ref="HH31">IFERROR(INDEX('Margin Guidence Table'!$A$1:$AD$30000,MATCH(1,('Margin Guidence Table'!$A$1:$A$30000=HG31)*('Margin Guidence Table'!$H$1:$H$30000&lt;=ROUND($GY$3,0))*('Margin Guidence Table'!$G$1:$G$30000&gt;=ROUND($GY$3,0)),0),MATCH("DATA_POINTS",'Margin Guidence Table'!$A$1:$AC$1,0)),0)</f>
        <v>0</v>
      </c>
      <c r="HI31" s="1161" t="str">
        <f t="shared" si="31"/>
        <v>DEFAULT</v>
      </c>
      <c r="HJ31" s="1161">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1">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5">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5">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5">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5">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5">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5">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1">
        <f>IFERROR(IF(AND($HU$2&lt;&gt;"Enter Spend&gt;&gt;&gt;",'Customer Inputs'!$U$14="EXISTING"),SUMIFS('Existing Customers'!$S:$S,'Existing Customers'!$H:$H,$HT31,'Existing Customers'!$A:$A,$HU$1),IK31*HU31),0)</f>
        <v>0</v>
      </c>
      <c r="IB31" s="1161">
        <f>IFERROR(IF(AND($HU$2&lt;&gt;"Enter Spend&gt;&gt;&gt;",'Customer Inputs'!$U$14="EXISTING"),SUMIFS('Existing Customers'!$U:$U,'Existing Customers'!$H:$H,$HT31,'Existing Customers'!$A:$A,$HU$1),IL31*HU31),0)</f>
        <v>0</v>
      </c>
      <c r="IC31" s="1164" t="e">
        <f>_xlfn.CONCAT($AW$1,"_",IF(NOT(ISBLANK('Customer Inputs'!$H$14)),'Customer Inputs'!$H$14,""),"_",IF(AND(NOT(ISBLANK('Customer Inputs'!$G$14)),'Customer Inputs'!$G$14&lt;&gt;"New"),IF('Customer Inputs'!$M$14&lt;&gt;"Enter Menu Type&gt;&gt;",IF('Customer Inputs'!$R$14=0,'Customer Inputs'!$M$14,'Customer Inputs'!$R$14),'Customer Inputs'!$R$14),""),"_",HT31)</f>
        <v>#N/A</v>
      </c>
      <c r="ID31" s="1164">
        <f t="array" ref="ID31">IFERROR(INDEX('Margin Guidence Table'!$A$1:$AD$30000,MATCH(1,('Margin Guidence Table'!$A$1:$A$30000=IC31)*('Margin Guidence Table'!$H$1:$H$30000&lt;=ROUND($HU$3,0))*('Margin Guidence Table'!$G$1:$G$30000&gt;=ROUND($HU$3,0)),0),MATCH("DATA_POINTS",'Margin Guidence Table'!$A$1:$AC$1,0)),0)</f>
        <v>0</v>
      </c>
      <c r="IE31" s="1161" t="str">
        <f t="shared" si="32"/>
        <v>DEFAULT</v>
      </c>
      <c r="IF31" s="1161">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1">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5">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5">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5">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5">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5">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5">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1">
        <f>IFERROR(IF(AND($IQ$2&lt;&gt;"Enter Spend&gt;&gt;&gt;",'Customer Inputs'!$U$15="EXISTING"),SUMIFS('Existing Customers'!$S:$S,'Existing Customers'!$H:$H,$IP31,'Existing Customers'!$A:$A,$IQ$1),JG31*IQ31),0)</f>
        <v>0</v>
      </c>
      <c r="IX31" s="1161">
        <f>IFERROR(IF(AND($IQ$2&lt;&gt;"Enter Spend&gt;&gt;&gt;",'Customer Inputs'!$U$15="EXISTING"),SUMIFS('Existing Customers'!$U:$U,'Existing Customers'!$H:$H,$IP31,'Existing Customers'!$A:$A,$IQ$1),JH31*IQ31),0)</f>
        <v>0</v>
      </c>
      <c r="IY31" s="1164" t="e">
        <f>_xlfn.CONCAT($AW$1,"_",IF(NOT(ISBLANK('Customer Inputs'!$H$15)),'Customer Inputs'!$H$15,""),"_",IF(AND(NOT(ISBLANK('Customer Inputs'!$G$15)),'Customer Inputs'!$G$15&lt;&gt;"New"),IF('Customer Inputs'!$M$15&lt;&gt;"Enter Menu Type&gt;&gt;",IF('Customer Inputs'!$R$15=0,'Customer Inputs'!$M$15,'Customer Inputs'!$R$15),'Customer Inputs'!$R$15),""),"_",IP31)</f>
        <v>#N/A</v>
      </c>
      <c r="IZ31" s="1164">
        <f t="array" ref="IZ31">IFERROR(INDEX('Margin Guidence Table'!$A$1:$AD$30000,MATCH(1,('Margin Guidence Table'!$A$1:$A$30000=IY31)*('Margin Guidence Table'!$H$1:$H$30000&lt;=ROUND($IQ$3,0))*('Margin Guidence Table'!$G$1:$G$30000&gt;=ROUND($IQ$3,0)),0),MATCH("DATA_POINTS",'Margin Guidence Table'!$A$1:$AC$1,0)),0)</f>
        <v>0</v>
      </c>
      <c r="JA31" s="1161" t="str">
        <f t="shared" si="33"/>
        <v>DEFAULT</v>
      </c>
      <c r="JB31" s="1161">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1">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5">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5">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5">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5">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5">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5">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7" t="e">
        <f t="shared" si="0"/>
        <v>#DIV/0!</v>
      </c>
      <c r="J32" s="1157" t="e">
        <f t="shared" si="0"/>
        <v>#DIV/0!</v>
      </c>
      <c r="K32" s="1157" t="e">
        <f t="shared" si="0"/>
        <v>#DIV/0!</v>
      </c>
      <c r="L32" s="496" t="e">
        <f t="shared" si="1"/>
        <v>#DIV/0!</v>
      </c>
      <c r="M32" s="496" t="e">
        <f t="shared" si="15"/>
        <v>#DIV/0!</v>
      </c>
      <c r="N32" s="1158"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3" t="e">
        <f>_xlfn.CONCAT($AW$1,"_",IF(NOT(ISBLANK('Customer Inputs'!$H$6)),'Customer Inputs'!$H$6,""),"_",IF(AND(NOT(ISBLANK('Customer Inputs'!$G$6)),'Customer Inputs'!$G$6&lt;&gt;"New"),IF('Customer Inputs'!$M$6&lt;&gt;"Enter Menu Type&gt;&gt;",IF('Customer Inputs'!$R$6=0,'Customer Inputs'!$M$6,'Customer Inputs'!$R$6),'Customer Inputs'!$R$6),""),"_",AZ32)</f>
        <v>#N/A</v>
      </c>
      <c r="BJ32" s="1164">
        <f t="array" ref="BJ32">IFERROR(INDEX('Margin Guidence Table'!$A$1:$AD$30000,MATCH(1,('Margin Guidence Table'!$A$1:$A$30000=$BI32)*('Margin Guidence Table'!$H$1:$H$30000&lt;=ROUND($BA$3,0))*('Margin Guidence Table'!$G$1:$G$30000&gt;=ROUND($BA$3,0)),0),MATCH("DATA_POINTS",'Margin Guidence Table'!$A$1:$AC$1,0)),0)</f>
        <v>0</v>
      </c>
      <c r="BK32" s="1161" t="str">
        <f t="shared" si="24"/>
        <v>DEFAULT</v>
      </c>
      <c r="BL32" s="1161">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1">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5">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5">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5">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5">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5">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5">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1">
        <f>IFERROR(IF(AND($BW$2&lt;&gt;"Enter Spend&gt;&gt;&gt;",'Customer Inputs'!$U$7="EXISTING"),SUMIFS('Existing Customers'!$S:$S,'Existing Customers'!$H:$H,$BV32,'Existing Customers'!$A:$A,$BW$1),CM32*BW32),0)</f>
        <v>0</v>
      </c>
      <c r="CD32" s="1161">
        <f>IFERROR(IF(AND($BW$2&lt;&gt;"Enter Spend&gt;&gt;&gt;",'Customer Inputs'!$U$7="EXISTING"),SUMIFS('Existing Customers'!$U:$U,'Existing Customers'!$H:$H,$BV32,'Existing Customers'!$A:$A,$BW$1),CN32*BW32),0)</f>
        <v>0</v>
      </c>
      <c r="CE32" s="1164" t="e">
        <f>_xlfn.CONCAT($AW$1,"_",IF(NOT(ISBLANK('Customer Inputs'!$H$7)),'Customer Inputs'!$H$7,""),"_",IF(AND(NOT(ISBLANK('Customer Inputs'!$G$7)),'Customer Inputs'!$G$7&lt;&gt;"New"),IF('Customer Inputs'!$M$7&lt;&gt;"Enter Menu Type&gt;&gt;",IF('Customer Inputs'!$R$7=0,'Customer Inputs'!$M$7,'Customer Inputs'!$R$7),'Customer Inputs'!$R$7),""),"_",BV32)</f>
        <v>#N/A</v>
      </c>
      <c r="CF32" s="1164">
        <f t="array" ref="CF32">IFERROR(INDEX('Margin Guidence Table'!$A$1:$AD$30000,MATCH(1,('Margin Guidence Table'!$A$1:$A$30000=$CE32)*('Margin Guidence Table'!$H$1:$H$30000&lt;=ROUND($BW$3,0))*('Margin Guidence Table'!$G$1:$G$30000&gt;=ROUND($BW$3,0)),0),MATCH("DATA_POINTS",'Margin Guidence Table'!$A$1:$AC$1,0)),0)</f>
        <v>0</v>
      </c>
      <c r="CG32" s="1161" t="str">
        <f t="shared" si="25"/>
        <v>DEFAULT</v>
      </c>
      <c r="CH32" s="1161">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1">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5">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5">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5">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5">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5">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5">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1">
        <f>IFERROR(IF(AND($CS$2&lt;&gt;"Enter Spend&gt;&gt;&gt;",'Customer Inputs'!$U$8="EXISTING"),SUMIFS('Existing Customers'!$S:$S,'Existing Customers'!$H:$H,$CR32,'Existing Customers'!$A:$A,$CS$1),DI32*CS32),0)</f>
        <v>0</v>
      </c>
      <c r="CZ32" s="1161">
        <f>IFERROR(IF(AND($CS$2&lt;&gt;"Enter Spend&gt;&gt;&gt;",'Customer Inputs'!$U$8="EXISTING"),SUMIFS('Existing Customers'!$U:$U,'Existing Customers'!$H:$H,$CR32,'Existing Customers'!$A:$A,$CS$1),DJ32*CS32),0)</f>
        <v>0</v>
      </c>
      <c r="DA32" s="1164" t="e">
        <f>_xlfn.CONCAT($AW$1,"_",IF(NOT(ISBLANK('Customer Inputs'!$H$8)),'Customer Inputs'!$H$8,""),"_",IF(AND(NOT(ISBLANK('Customer Inputs'!$G$8)),'Customer Inputs'!$G$8&lt;&gt;"New"),IF('Customer Inputs'!$M$8&lt;&gt;"Enter Menu Type&gt;&gt;",IF('Customer Inputs'!$R$8=0,'Customer Inputs'!$M$8,'Customer Inputs'!$R$8),'Customer Inputs'!$R$8),""),"_",CR32)</f>
        <v>#N/A</v>
      </c>
      <c r="DB32" s="1164">
        <f t="array" ref="DB32">IFERROR(INDEX('Margin Guidence Table'!$A$1:$AD$30000,MATCH(1,('Margin Guidence Table'!$A$1:$A$30000=DA32)*('Margin Guidence Table'!$H$1:$H$30000&lt;=ROUND($CS$3,0))*('Margin Guidence Table'!$G$1:$G$30000&gt;=ROUND($CS$3,0)),0),MATCH("DATA_POINTS",'Margin Guidence Table'!$A$1:$AC$1,0)),0)</f>
        <v>0</v>
      </c>
      <c r="DC32" s="1161" t="str">
        <f t="shared" si="26"/>
        <v>DEFAULT</v>
      </c>
      <c r="DD32" s="1161">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1">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5">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5">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5">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5">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5">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5">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1">
        <f>IFERROR(IF(AND($DO$2&lt;&gt;"Enter Spend&gt;&gt;&gt;",'Customer Inputs'!$U$9="EXISTING"),SUMIFS('Existing Customers'!$S:$S,'Existing Customers'!$H:$H,$DP32,'Existing Customers'!$A:$A,$DO$1),EE32*DO32),0)</f>
        <v>0</v>
      </c>
      <c r="DV32" s="1161">
        <f>IFERROR(IF(AND($DO$2&lt;&gt;"Enter Spend&gt;&gt;&gt;",'Customer Inputs'!$U$9="EXISTING"),SUMIFS('Existing Customers'!$U:$U,'Existing Customers'!$H:$H,$DN32,'Existing Customers'!$A:$A,$DO$1),EF32*DO32),0)</f>
        <v>0</v>
      </c>
      <c r="DW32" s="1164" t="e">
        <f>_xlfn.CONCAT($AW$1,"_",IF(NOT(ISBLANK('Customer Inputs'!$H$9)),'Customer Inputs'!$H$9,""),"_",IF(AND(NOT(ISBLANK('Customer Inputs'!$G$9)),'Customer Inputs'!$G$9&lt;&gt;"New"),IF('Customer Inputs'!$M$9&lt;&gt;"Enter Menu Type&gt;&gt;",IF('Customer Inputs'!$R$9=0,'Customer Inputs'!$M$9,'Customer Inputs'!$R$9),'Customer Inputs'!$R$9),""),"_",DN32)</f>
        <v>#N/A</v>
      </c>
      <c r="DX32" s="1164">
        <f t="array" ref="DX32">IFERROR(INDEX('Margin Guidence Table'!$A$1:$AD$30000,MATCH(1,('Margin Guidence Table'!$A$1:$A$30000=DW32)*('Margin Guidence Table'!$H$1:$H$30000&lt;=ROUND($DO$3,0))*('Margin Guidence Table'!$G$1:$G$30000&gt;=ROUND($DO$3,0)),0),MATCH("DATA_POINTS",'Margin Guidence Table'!$A$1:$AC$1,0)),0)</f>
        <v>0</v>
      </c>
      <c r="DY32" s="1161" t="str">
        <f t="shared" si="27"/>
        <v>DEFAULT</v>
      </c>
      <c r="DZ32" s="1161">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1">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5">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5">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5">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5">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5">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5">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1">
        <f>IFERROR(IF(AND($EK$2&lt;&gt;"Enter Spend&gt;&gt;&gt;",'Customer Inputs'!$U$10="EXISTING"),SUMIFS('Existing Customers'!$S:$S,'Existing Customers'!$H:$H,$EJ32,'Existing Customers'!$A:$A,$EK$1),FA32*EK32),0)</f>
        <v>0</v>
      </c>
      <c r="ER32" s="1161">
        <f>IFERROR(IF(AND($EK$2&lt;&gt;"Enter Spend&gt;&gt;&gt;",'Customer Inputs'!$U$10="EXISTING"),SUMIFS('Existing Customers'!$U:$U,'Existing Customers'!$H:$H,$EJ32,'Existing Customers'!$A:$A,$EK$1),FB32*EK32),0)</f>
        <v>0</v>
      </c>
      <c r="ES32" s="1164" t="e">
        <f>_xlfn.CONCAT($AW$1,"_",IF(NOT(ISBLANK('Customer Inputs'!$H$10)),'Customer Inputs'!$H$10,""),"_",IF(AND(NOT(ISBLANK('Customer Inputs'!$G$10)),'Customer Inputs'!$G$10&lt;&gt;"New"),IF('Customer Inputs'!$M$10&lt;&gt;"Enter Menu Type&gt;&gt;",IF('Customer Inputs'!$R$10=0,'Customer Inputs'!$M$10,'Customer Inputs'!$R$10),'Customer Inputs'!$R$10),""),"_",EJ32)</f>
        <v>#N/A</v>
      </c>
      <c r="ET32" s="1164">
        <f t="array" ref="ET32">IFERROR(INDEX('Margin Guidence Table'!$A$1:$AD$30000,MATCH(1,('Margin Guidence Table'!$A$1:$A$30000=ES32)*('Margin Guidence Table'!$H$1:$H$30000&lt;=ROUND($EK$3,0))*('Margin Guidence Table'!$G$1:$G$30000&gt;=ROUND($EK$3,0)),0),MATCH("DATA_POINTS",'Margin Guidence Table'!$A$1:$AC$1,0)),0)</f>
        <v>0</v>
      </c>
      <c r="EU32" s="1161" t="str">
        <f t="shared" si="28"/>
        <v>DEFAULT</v>
      </c>
      <c r="EV32" s="1161">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1"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5">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5">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5">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5">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5">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5">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1">
        <f>IFERROR(IF(AND($FG$2&lt;&gt;"Enter Spend&gt;&gt;&gt;",'Customer Inputs'!$U$11="EXISTING"),SUMIFS('Existing Customers'!$S:$S,'Existing Customers'!$H:$H,$FF32,'Existing Customers'!$A:$A,$FG$1),FW32*FG32),0)</f>
        <v>0</v>
      </c>
      <c r="FN32" s="1161">
        <f>IFERROR(IF(AND($FG$2&lt;&gt;"Enter Spend&gt;&gt;&gt;",'Customer Inputs'!$U$11="EXISTING"),SUMIFS('Existing Customers'!$U:$U,'Existing Customers'!$H:$H,$FF32,'Existing Customers'!$A:$A,$FG$1),FX32*FG32),0)</f>
        <v>0</v>
      </c>
      <c r="FO32" s="1164" t="e">
        <f>_xlfn.CONCAT($AW$1,"_",IF(NOT(ISBLANK('Customer Inputs'!$H$11)),'Customer Inputs'!$H$11,""),"_",IF(AND(NOT(ISBLANK('Customer Inputs'!$G$11)),'Customer Inputs'!$G$11&lt;&gt;"New"),IF('Customer Inputs'!$M$11&lt;&gt;"Enter Menu Type&gt;&gt;",IF('Customer Inputs'!$R$11=0,'Customer Inputs'!$M$11,'Customer Inputs'!$R$11),'Customer Inputs'!$R$11),""),"_",FF32)</f>
        <v>#N/A</v>
      </c>
      <c r="FP32" s="1164">
        <f t="array" ref="FP32">IFERROR(INDEX('Margin Guidence Table'!$A$1:$AD$30000,MATCH(1,('Margin Guidence Table'!$A$1:$A$30000=FO32)*('Margin Guidence Table'!$H$1:$H$30000&lt;=ROUND($FG$3,0))*('Margin Guidence Table'!$G$1:$G$30000&gt;=ROUND($FG$3,0)),0),MATCH("DATA_POINTS",'Margin Guidence Table'!$A$1:$AC$1,0)),0)</f>
        <v>0</v>
      </c>
      <c r="FQ32" s="1161" t="str">
        <f t="shared" si="29"/>
        <v>DEFAULT</v>
      </c>
      <c r="FR32" s="1161">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1">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5">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5">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5">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5">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5">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5">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1">
        <f>IFERROR(IF(AND($GC$2&lt;&gt;"Enter Spend&gt;&gt;&gt;",'Customer Inputs'!$U$12="EXISTING"),SUMIFS('Existing Customers'!$S:$S,'Existing Customers'!$H:$H,$GB32,'Existing Customers'!$A:$A,$GC$1),GS32*GC32),0)</f>
        <v>0</v>
      </c>
      <c r="GJ32" s="1161">
        <f>IFERROR(IF(AND($GC$2&lt;&gt;"Enter Spend&gt;&gt;&gt;",'Customer Inputs'!$U$12="EXISTING"),SUMIFS('Existing Customers'!$U:$U,'Existing Customers'!$H:$H,$GB32,'Existing Customers'!$A:$A,$GC$1),GT32*GC32),0)</f>
        <v>0</v>
      </c>
      <c r="GK32" s="1164" t="e">
        <f>_xlfn.CONCAT($AW$1,"_",IF(NOT(ISBLANK('Customer Inputs'!$H$12)),'Customer Inputs'!$H$12,""),"_",IF(AND(NOT(ISBLANK('Customer Inputs'!$G$12)),'Customer Inputs'!$G$12&lt;&gt;"New"),IF('Customer Inputs'!$M$12&lt;&gt;"Enter Menu Type&gt;&gt;",IF('Customer Inputs'!$R$12=0,'Customer Inputs'!$M$12,'Customer Inputs'!$R$12),'Customer Inputs'!$R$12),""),"_",GB32)</f>
        <v>#N/A</v>
      </c>
      <c r="GL32" s="1164">
        <f t="array" ref="GL32">IFERROR(INDEX('Margin Guidence Table'!$A$1:$AD$30000,MATCH(1,('Margin Guidence Table'!$A$1:$A$30000=GK32)*('Margin Guidence Table'!$H$1:$H$30000&lt;=ROUND($GC$3,0))*('Margin Guidence Table'!$G$1:$G$30000&gt;=ROUND($GC$3,0)),0),MATCH("DATA_POINTS",'Margin Guidence Table'!$A$1:$AC$1,0)),0)</f>
        <v>0</v>
      </c>
      <c r="GM32" s="1161" t="str">
        <f t="shared" si="30"/>
        <v>DEFAULT</v>
      </c>
      <c r="GN32" s="1161">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1">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5">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5">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5">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5">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5">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5">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1">
        <f>IFERROR(IF(AND($GY$2&lt;&gt;"Enter Spend&gt;&gt;&gt;",'Customer Inputs'!$U$13="EXISTING"),SUMIFS('Existing Customers'!$S:$S,'Existing Customers'!$H:$H,$GX32,'Existing Customers'!$A:$A,$GY$1),HO32*GY32),0)</f>
        <v>0</v>
      </c>
      <c r="HF32" s="1161">
        <f>IFERROR(IF(AND($GY$2&lt;&gt;"Enter Spend&gt;&gt;&gt;",'Customer Inputs'!$U$13="EXISTING"),SUMIFS('Existing Customers'!$U:$U,'Existing Customers'!$H:$H,$GX32,'Existing Customers'!$A:$A,$GY$1),HP32*GY32),0)</f>
        <v>0</v>
      </c>
      <c r="HG32" s="1164" t="e">
        <f>_xlfn.CONCAT($AW$1,"_",IF(NOT(ISBLANK('Customer Inputs'!$H$13)),'Customer Inputs'!$H$13,""),"_",IF(AND(NOT(ISBLANK('Customer Inputs'!$G$13)),'Customer Inputs'!$G$13&lt;&gt;"New"),IF('Customer Inputs'!$M$13&lt;&gt;"Enter Menu Type&gt;&gt;",IF('Customer Inputs'!$R$13=0,'Customer Inputs'!$M$13,'Customer Inputs'!$R$13),'Customer Inputs'!$R$13),""),"_",GX32)</f>
        <v>#N/A</v>
      </c>
      <c r="HH32" s="1164">
        <f t="array" ref="HH32">IFERROR(INDEX('Margin Guidence Table'!$A$1:$AD$30000,MATCH(1,('Margin Guidence Table'!$A$1:$A$30000=HG32)*('Margin Guidence Table'!$H$1:$H$30000&lt;=ROUND($GY$3,0))*('Margin Guidence Table'!$G$1:$G$30000&gt;=ROUND($GY$3,0)),0),MATCH("DATA_POINTS",'Margin Guidence Table'!$A$1:$AC$1,0)),0)</f>
        <v>0</v>
      </c>
      <c r="HI32" s="1161" t="str">
        <f t="shared" si="31"/>
        <v>DEFAULT</v>
      </c>
      <c r="HJ32" s="1161">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1">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5">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5">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5">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5">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5">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5">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1">
        <f>IFERROR(IF(AND($HU$2&lt;&gt;"Enter Spend&gt;&gt;&gt;",'Customer Inputs'!$U$14="EXISTING"),SUMIFS('Existing Customers'!$S:$S,'Existing Customers'!$H:$H,$HT32,'Existing Customers'!$A:$A,$HU$1),IK32*HU32),0)</f>
        <v>0</v>
      </c>
      <c r="IB32" s="1161">
        <f>IFERROR(IF(AND($HU$2&lt;&gt;"Enter Spend&gt;&gt;&gt;",'Customer Inputs'!$U$14="EXISTING"),SUMIFS('Existing Customers'!$U:$U,'Existing Customers'!$H:$H,$HT32,'Existing Customers'!$A:$A,$HU$1),IL32*HU32),0)</f>
        <v>0</v>
      </c>
      <c r="IC32" s="1164" t="e">
        <f>_xlfn.CONCAT($AW$1,"_",IF(NOT(ISBLANK('Customer Inputs'!$H$14)),'Customer Inputs'!$H$14,""),"_",IF(AND(NOT(ISBLANK('Customer Inputs'!$G$14)),'Customer Inputs'!$G$14&lt;&gt;"New"),IF('Customer Inputs'!$M$14&lt;&gt;"Enter Menu Type&gt;&gt;",IF('Customer Inputs'!$R$14=0,'Customer Inputs'!$M$14,'Customer Inputs'!$R$14),'Customer Inputs'!$R$14),""),"_",HT32)</f>
        <v>#N/A</v>
      </c>
      <c r="ID32" s="1164">
        <f t="array" ref="ID32">IFERROR(INDEX('Margin Guidence Table'!$A$1:$AD$30000,MATCH(1,('Margin Guidence Table'!$A$1:$A$30000=IC32)*('Margin Guidence Table'!$H$1:$H$30000&lt;=ROUND($HU$3,0))*('Margin Guidence Table'!$G$1:$G$30000&gt;=ROUND($HU$3,0)),0),MATCH("DATA_POINTS",'Margin Guidence Table'!$A$1:$AC$1,0)),0)</f>
        <v>0</v>
      </c>
      <c r="IE32" s="1161" t="str">
        <f t="shared" si="32"/>
        <v>DEFAULT</v>
      </c>
      <c r="IF32" s="1161">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1">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5">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5">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5">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5">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5">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5">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1">
        <f>IFERROR(IF(AND($IQ$2&lt;&gt;"Enter Spend&gt;&gt;&gt;",'Customer Inputs'!$U$15="EXISTING"),SUMIFS('Existing Customers'!$S:$S,'Existing Customers'!$H:$H,$IP32,'Existing Customers'!$A:$A,$IQ$1),JG32*IQ32),0)</f>
        <v>0</v>
      </c>
      <c r="IX32" s="1161">
        <f>IFERROR(IF(AND($IQ$2&lt;&gt;"Enter Spend&gt;&gt;&gt;",'Customer Inputs'!$U$15="EXISTING"),SUMIFS('Existing Customers'!$U:$U,'Existing Customers'!$H:$H,$IP32,'Existing Customers'!$A:$A,$IQ$1),JH32*IQ32),0)</f>
        <v>0</v>
      </c>
      <c r="IY32" s="1164" t="e">
        <f>_xlfn.CONCAT($AW$1,"_",IF(NOT(ISBLANK('Customer Inputs'!$H$15)),'Customer Inputs'!$H$15,""),"_",IF(AND(NOT(ISBLANK('Customer Inputs'!$G$15)),'Customer Inputs'!$G$15&lt;&gt;"New"),IF('Customer Inputs'!$M$15&lt;&gt;"Enter Menu Type&gt;&gt;",IF('Customer Inputs'!$R$15=0,'Customer Inputs'!$M$15,'Customer Inputs'!$R$15),'Customer Inputs'!$R$15),""),"_",IP32)</f>
        <v>#N/A</v>
      </c>
      <c r="IZ32" s="1164">
        <f t="array" ref="IZ32">IFERROR(INDEX('Margin Guidence Table'!$A$1:$AD$30000,MATCH(1,('Margin Guidence Table'!$A$1:$A$30000=IY32)*('Margin Guidence Table'!$H$1:$H$30000&lt;=ROUND($IQ$3,0))*('Margin Guidence Table'!$G$1:$G$30000&gt;=ROUND($IQ$3,0)),0),MATCH("DATA_POINTS",'Margin Guidence Table'!$A$1:$AC$1,0)),0)</f>
        <v>0</v>
      </c>
      <c r="JA32" s="1161" t="str">
        <f t="shared" si="33"/>
        <v>DEFAULT</v>
      </c>
      <c r="JB32" s="1161">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1">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5">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5">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5">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5">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5">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5">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7" t="e">
        <f t="shared" si="0"/>
        <v>#DIV/0!</v>
      </c>
      <c r="J33" s="1157" t="e">
        <f t="shared" si="0"/>
        <v>#DIV/0!</v>
      </c>
      <c r="K33" s="1157" t="e">
        <f t="shared" si="0"/>
        <v>#DIV/0!</v>
      </c>
      <c r="L33" s="496" t="e">
        <f t="shared" si="1"/>
        <v>#DIV/0!</v>
      </c>
      <c r="M33" s="496" t="e">
        <f t="shared" si="15"/>
        <v>#DIV/0!</v>
      </c>
      <c r="N33" s="1158"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3" t="e">
        <f>_xlfn.CONCAT($AW$1,"_",IF(NOT(ISBLANK('Customer Inputs'!$H$6)),'Customer Inputs'!$H$6,""),"_",IF(AND(NOT(ISBLANK('Customer Inputs'!$G$6)),'Customer Inputs'!$G$6&lt;&gt;"New"),IF('Customer Inputs'!$M$6&lt;&gt;"Enter Menu Type&gt;&gt;",IF('Customer Inputs'!$R$6=0,'Customer Inputs'!$M$6,'Customer Inputs'!$R$6),'Customer Inputs'!$R$6),""),"_",AZ33)</f>
        <v>#N/A</v>
      </c>
      <c r="BJ33" s="1164">
        <f t="array" ref="BJ33">IFERROR(INDEX('Margin Guidence Table'!$A$1:$AD$30000,MATCH(1,('Margin Guidence Table'!$A$1:$A$30000=$BI33)*('Margin Guidence Table'!$H$1:$H$30000&lt;=ROUND($BA$3,0))*('Margin Guidence Table'!$G$1:$G$30000&gt;=ROUND($BA$3,0)),0),MATCH("DATA_POINTS",'Margin Guidence Table'!$A$1:$AC$1,0)),0)</f>
        <v>0</v>
      </c>
      <c r="BK33" s="1161" t="str">
        <f t="shared" si="24"/>
        <v>DEFAULT</v>
      </c>
      <c r="BL33" s="1161">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1">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5">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5">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5">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5">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5">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5">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1">
        <f>IFERROR(IF(AND($BW$2&lt;&gt;"Enter Spend&gt;&gt;&gt;",'Customer Inputs'!$U$7="EXISTING"),SUMIFS('Existing Customers'!$S:$S,'Existing Customers'!$H:$H,$BV33,'Existing Customers'!$A:$A,$BW$1),CM33*BW33),0)</f>
        <v>0</v>
      </c>
      <c r="CD33" s="1161">
        <f>IFERROR(IF(AND($BW$2&lt;&gt;"Enter Spend&gt;&gt;&gt;",'Customer Inputs'!$U$7="EXISTING"),SUMIFS('Existing Customers'!$U:$U,'Existing Customers'!$H:$H,$BV33,'Existing Customers'!$A:$A,$BW$1),CN33*BW33),0)</f>
        <v>0</v>
      </c>
      <c r="CE33" s="1164" t="e">
        <f>_xlfn.CONCAT($AW$1,"_",IF(NOT(ISBLANK('Customer Inputs'!$H$7)),'Customer Inputs'!$H$7,""),"_",IF(AND(NOT(ISBLANK('Customer Inputs'!$G$7)),'Customer Inputs'!$G$7&lt;&gt;"New"),IF('Customer Inputs'!$M$7&lt;&gt;"Enter Menu Type&gt;&gt;",IF('Customer Inputs'!$R$7=0,'Customer Inputs'!$M$7,'Customer Inputs'!$R$7),'Customer Inputs'!$R$7),""),"_",BV33)</f>
        <v>#N/A</v>
      </c>
      <c r="CF33" s="1164">
        <f t="array" ref="CF33">IFERROR(INDEX('Margin Guidence Table'!$A$1:$AD$30000,MATCH(1,('Margin Guidence Table'!$A$1:$A$30000=$CE33)*('Margin Guidence Table'!$H$1:$H$30000&lt;=ROUND($BW$3,0))*('Margin Guidence Table'!$G$1:$G$30000&gt;=ROUND($BW$3,0)),0),MATCH("DATA_POINTS",'Margin Guidence Table'!$A$1:$AC$1,0)),0)</f>
        <v>0</v>
      </c>
      <c r="CG33" s="1161" t="str">
        <f t="shared" si="25"/>
        <v>DEFAULT</v>
      </c>
      <c r="CH33" s="1161">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1">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5">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5">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5">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5">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5">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5">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1">
        <f>IFERROR(IF(AND($CS$2&lt;&gt;"Enter Spend&gt;&gt;&gt;",'Customer Inputs'!$U$8="EXISTING"),SUMIFS('Existing Customers'!$S:$S,'Existing Customers'!$H:$H,$CR33,'Existing Customers'!$A:$A,$CS$1),DI33*CS33),0)</f>
        <v>0</v>
      </c>
      <c r="CZ33" s="1161">
        <f>IFERROR(IF(AND($CS$2&lt;&gt;"Enter Spend&gt;&gt;&gt;",'Customer Inputs'!$U$8="EXISTING"),SUMIFS('Existing Customers'!$U:$U,'Existing Customers'!$H:$H,$CR33,'Existing Customers'!$A:$A,$CS$1),DJ33*CS33),0)</f>
        <v>0</v>
      </c>
      <c r="DA33" s="1164" t="e">
        <f>_xlfn.CONCAT($AW$1,"_",IF(NOT(ISBLANK('Customer Inputs'!$H$8)),'Customer Inputs'!$H$8,""),"_",IF(AND(NOT(ISBLANK('Customer Inputs'!$G$8)),'Customer Inputs'!$G$8&lt;&gt;"New"),IF('Customer Inputs'!$M$8&lt;&gt;"Enter Menu Type&gt;&gt;",IF('Customer Inputs'!$R$8=0,'Customer Inputs'!$M$8,'Customer Inputs'!$R$8),'Customer Inputs'!$R$8),""),"_",CR33)</f>
        <v>#N/A</v>
      </c>
      <c r="DB33" s="1164">
        <f t="array" ref="DB33">IFERROR(INDEX('Margin Guidence Table'!$A$1:$AD$30000,MATCH(1,('Margin Guidence Table'!$A$1:$A$30000=DA33)*('Margin Guidence Table'!$H$1:$H$30000&lt;=ROUND($CS$3,0))*('Margin Guidence Table'!$G$1:$G$30000&gt;=ROUND($CS$3,0)),0),MATCH("DATA_POINTS",'Margin Guidence Table'!$A$1:$AC$1,0)),0)</f>
        <v>0</v>
      </c>
      <c r="DC33" s="1161" t="str">
        <f t="shared" si="26"/>
        <v>DEFAULT</v>
      </c>
      <c r="DD33" s="1161">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1">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5">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5">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5">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5">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5">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5">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1">
        <f>IFERROR(IF(AND($DO$2&lt;&gt;"Enter Spend&gt;&gt;&gt;",'Customer Inputs'!$U$9="EXISTING"),SUMIFS('Existing Customers'!$S:$S,'Existing Customers'!$H:$H,$DP33,'Existing Customers'!$A:$A,$DO$1),EE33*DO33),0)</f>
        <v>0</v>
      </c>
      <c r="DV33" s="1161">
        <f>IFERROR(IF(AND($DO$2&lt;&gt;"Enter Spend&gt;&gt;&gt;",'Customer Inputs'!$U$9="EXISTING"),SUMIFS('Existing Customers'!$U:$U,'Existing Customers'!$H:$H,$DN33,'Existing Customers'!$A:$A,$DO$1),EF33*DO33),0)</f>
        <v>0</v>
      </c>
      <c r="DW33" s="1164" t="e">
        <f>_xlfn.CONCAT($AW$1,"_",IF(NOT(ISBLANK('Customer Inputs'!$H$9)),'Customer Inputs'!$H$9,""),"_",IF(AND(NOT(ISBLANK('Customer Inputs'!$G$9)),'Customer Inputs'!$G$9&lt;&gt;"New"),IF('Customer Inputs'!$M$9&lt;&gt;"Enter Menu Type&gt;&gt;",IF('Customer Inputs'!$R$9=0,'Customer Inputs'!$M$9,'Customer Inputs'!$R$9),'Customer Inputs'!$R$9),""),"_",DN33)</f>
        <v>#N/A</v>
      </c>
      <c r="DX33" s="1164">
        <f t="array" ref="DX33">IFERROR(INDEX('Margin Guidence Table'!$A$1:$AD$30000,MATCH(1,('Margin Guidence Table'!$A$1:$A$30000=DW33)*('Margin Guidence Table'!$H$1:$H$30000&lt;=ROUND($DO$3,0))*('Margin Guidence Table'!$G$1:$G$30000&gt;=ROUND($DO$3,0)),0),MATCH("DATA_POINTS",'Margin Guidence Table'!$A$1:$AC$1,0)),0)</f>
        <v>0</v>
      </c>
      <c r="DY33" s="1161" t="str">
        <f t="shared" si="27"/>
        <v>DEFAULT</v>
      </c>
      <c r="DZ33" s="1161">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1">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5">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5">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5">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5">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5">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5">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1">
        <f>IFERROR(IF(AND($EK$2&lt;&gt;"Enter Spend&gt;&gt;&gt;",'Customer Inputs'!$U$10="EXISTING"),SUMIFS('Existing Customers'!$S:$S,'Existing Customers'!$H:$H,$EJ33,'Existing Customers'!$A:$A,$EK$1),FA33*EK33),0)</f>
        <v>0</v>
      </c>
      <c r="ER33" s="1161">
        <f>IFERROR(IF(AND($EK$2&lt;&gt;"Enter Spend&gt;&gt;&gt;",'Customer Inputs'!$U$10="EXISTING"),SUMIFS('Existing Customers'!$U:$U,'Existing Customers'!$H:$H,$EJ33,'Existing Customers'!$A:$A,$EK$1),FB33*EK33),0)</f>
        <v>0</v>
      </c>
      <c r="ES33" s="1164" t="e">
        <f>_xlfn.CONCAT($AW$1,"_",IF(NOT(ISBLANK('Customer Inputs'!$H$10)),'Customer Inputs'!$H$10,""),"_",IF(AND(NOT(ISBLANK('Customer Inputs'!$G$10)),'Customer Inputs'!$G$10&lt;&gt;"New"),IF('Customer Inputs'!$M$10&lt;&gt;"Enter Menu Type&gt;&gt;",IF('Customer Inputs'!$R$10=0,'Customer Inputs'!$M$10,'Customer Inputs'!$R$10),'Customer Inputs'!$R$10),""),"_",EJ33)</f>
        <v>#N/A</v>
      </c>
      <c r="ET33" s="1164">
        <f t="array" ref="ET33">IFERROR(INDEX('Margin Guidence Table'!$A$1:$AD$30000,MATCH(1,('Margin Guidence Table'!$A$1:$A$30000=ES33)*('Margin Guidence Table'!$H$1:$H$30000&lt;=ROUND($EK$3,0))*('Margin Guidence Table'!$G$1:$G$30000&gt;=ROUND($EK$3,0)),0),MATCH("DATA_POINTS",'Margin Guidence Table'!$A$1:$AC$1,0)),0)</f>
        <v>0</v>
      </c>
      <c r="EU33" s="1161" t="str">
        <f t="shared" si="28"/>
        <v>DEFAULT</v>
      </c>
      <c r="EV33" s="1161">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1"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5">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5">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5">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5">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5">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5">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1">
        <f>IFERROR(IF(AND($FG$2&lt;&gt;"Enter Spend&gt;&gt;&gt;",'Customer Inputs'!$U$11="EXISTING"),SUMIFS('Existing Customers'!$S:$S,'Existing Customers'!$H:$H,$FF33,'Existing Customers'!$A:$A,$FG$1),FW33*FG33),0)</f>
        <v>0</v>
      </c>
      <c r="FN33" s="1161">
        <f>IFERROR(IF(AND($FG$2&lt;&gt;"Enter Spend&gt;&gt;&gt;",'Customer Inputs'!$U$11="EXISTING"),SUMIFS('Existing Customers'!$U:$U,'Existing Customers'!$H:$H,$FF33,'Existing Customers'!$A:$A,$FG$1),FX33*FG33),0)</f>
        <v>0</v>
      </c>
      <c r="FO33" s="1164" t="e">
        <f>_xlfn.CONCAT($AW$1,"_",IF(NOT(ISBLANK('Customer Inputs'!$H$11)),'Customer Inputs'!$H$11,""),"_",IF(AND(NOT(ISBLANK('Customer Inputs'!$G$11)),'Customer Inputs'!$G$11&lt;&gt;"New"),IF('Customer Inputs'!$M$11&lt;&gt;"Enter Menu Type&gt;&gt;",IF('Customer Inputs'!$R$11=0,'Customer Inputs'!$M$11,'Customer Inputs'!$R$11),'Customer Inputs'!$R$11),""),"_",FF33)</f>
        <v>#N/A</v>
      </c>
      <c r="FP33" s="1164">
        <f t="array" ref="FP33">IFERROR(INDEX('Margin Guidence Table'!$A$1:$AD$30000,MATCH(1,('Margin Guidence Table'!$A$1:$A$30000=FO33)*('Margin Guidence Table'!$H$1:$H$30000&lt;=ROUND($FG$3,0))*('Margin Guidence Table'!$G$1:$G$30000&gt;=ROUND($FG$3,0)),0),MATCH("DATA_POINTS",'Margin Guidence Table'!$A$1:$AC$1,0)),0)</f>
        <v>0</v>
      </c>
      <c r="FQ33" s="1161" t="str">
        <f t="shared" si="29"/>
        <v>DEFAULT</v>
      </c>
      <c r="FR33" s="1161">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1">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5">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5">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5">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5">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5">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5">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1">
        <f>IFERROR(IF(AND($GC$2&lt;&gt;"Enter Spend&gt;&gt;&gt;",'Customer Inputs'!$U$12="EXISTING"),SUMIFS('Existing Customers'!$S:$S,'Existing Customers'!$H:$H,$GB33,'Existing Customers'!$A:$A,$GC$1),GS33*GC33),0)</f>
        <v>0</v>
      </c>
      <c r="GJ33" s="1161">
        <f>IFERROR(IF(AND($GC$2&lt;&gt;"Enter Spend&gt;&gt;&gt;",'Customer Inputs'!$U$12="EXISTING"),SUMIFS('Existing Customers'!$U:$U,'Existing Customers'!$H:$H,$GB33,'Existing Customers'!$A:$A,$GC$1),GT33*GC33),0)</f>
        <v>0</v>
      </c>
      <c r="GK33" s="1164" t="e">
        <f>_xlfn.CONCAT($AW$1,"_",IF(NOT(ISBLANK('Customer Inputs'!$H$12)),'Customer Inputs'!$H$12,""),"_",IF(AND(NOT(ISBLANK('Customer Inputs'!$G$12)),'Customer Inputs'!$G$12&lt;&gt;"New"),IF('Customer Inputs'!$M$12&lt;&gt;"Enter Menu Type&gt;&gt;",IF('Customer Inputs'!$R$12=0,'Customer Inputs'!$M$12,'Customer Inputs'!$R$12),'Customer Inputs'!$R$12),""),"_",GB33)</f>
        <v>#N/A</v>
      </c>
      <c r="GL33" s="1164">
        <f t="array" ref="GL33">IFERROR(INDEX('Margin Guidence Table'!$A$1:$AD$30000,MATCH(1,('Margin Guidence Table'!$A$1:$A$30000=GK33)*('Margin Guidence Table'!$H$1:$H$30000&lt;=ROUND($GC$3,0))*('Margin Guidence Table'!$G$1:$G$30000&gt;=ROUND($GC$3,0)),0),MATCH("DATA_POINTS",'Margin Guidence Table'!$A$1:$AC$1,0)),0)</f>
        <v>0</v>
      </c>
      <c r="GM33" s="1161" t="str">
        <f t="shared" si="30"/>
        <v>DEFAULT</v>
      </c>
      <c r="GN33" s="1161">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1">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5">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5">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5">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5">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5">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5">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1">
        <f>IFERROR(IF(AND($GY$2&lt;&gt;"Enter Spend&gt;&gt;&gt;",'Customer Inputs'!$U$13="EXISTING"),SUMIFS('Existing Customers'!$S:$S,'Existing Customers'!$H:$H,$GX33,'Existing Customers'!$A:$A,$GY$1),HO33*GY33),0)</f>
        <v>0</v>
      </c>
      <c r="HF33" s="1161">
        <f>IFERROR(IF(AND($GY$2&lt;&gt;"Enter Spend&gt;&gt;&gt;",'Customer Inputs'!$U$13="EXISTING"),SUMIFS('Existing Customers'!$U:$U,'Existing Customers'!$H:$H,$GX33,'Existing Customers'!$A:$A,$GY$1),HP33*GY33),0)</f>
        <v>0</v>
      </c>
      <c r="HG33" s="1164" t="e">
        <f>_xlfn.CONCAT($AW$1,"_",IF(NOT(ISBLANK('Customer Inputs'!$H$13)),'Customer Inputs'!$H$13,""),"_",IF(AND(NOT(ISBLANK('Customer Inputs'!$G$13)),'Customer Inputs'!$G$13&lt;&gt;"New"),IF('Customer Inputs'!$M$13&lt;&gt;"Enter Menu Type&gt;&gt;",IF('Customer Inputs'!$R$13=0,'Customer Inputs'!$M$13,'Customer Inputs'!$R$13),'Customer Inputs'!$R$13),""),"_",GX33)</f>
        <v>#N/A</v>
      </c>
      <c r="HH33" s="1164">
        <f t="array" ref="HH33">IFERROR(INDEX('Margin Guidence Table'!$A$1:$AD$30000,MATCH(1,('Margin Guidence Table'!$A$1:$A$30000=HG33)*('Margin Guidence Table'!$H$1:$H$30000&lt;=ROUND($GY$3,0))*('Margin Guidence Table'!$G$1:$G$30000&gt;=ROUND($GY$3,0)),0),MATCH("DATA_POINTS",'Margin Guidence Table'!$A$1:$AC$1,0)),0)</f>
        <v>0</v>
      </c>
      <c r="HI33" s="1161" t="str">
        <f t="shared" si="31"/>
        <v>DEFAULT</v>
      </c>
      <c r="HJ33" s="1161">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1">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5">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5">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5">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5">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5">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5">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1">
        <f>IFERROR(IF(AND($HU$2&lt;&gt;"Enter Spend&gt;&gt;&gt;",'Customer Inputs'!$U$14="EXISTING"),SUMIFS('Existing Customers'!$S:$S,'Existing Customers'!$H:$H,$HT33,'Existing Customers'!$A:$A,$HU$1),IK33*HU33),0)</f>
        <v>0</v>
      </c>
      <c r="IB33" s="1161">
        <f>IFERROR(IF(AND($HU$2&lt;&gt;"Enter Spend&gt;&gt;&gt;",'Customer Inputs'!$U$14="EXISTING"),SUMIFS('Existing Customers'!$U:$U,'Existing Customers'!$H:$H,$HT33,'Existing Customers'!$A:$A,$HU$1),IL33*HU33),0)</f>
        <v>0</v>
      </c>
      <c r="IC33" s="1164" t="e">
        <f>_xlfn.CONCAT($AW$1,"_",IF(NOT(ISBLANK('Customer Inputs'!$H$14)),'Customer Inputs'!$H$14,""),"_",IF(AND(NOT(ISBLANK('Customer Inputs'!$G$14)),'Customer Inputs'!$G$14&lt;&gt;"New"),IF('Customer Inputs'!$M$14&lt;&gt;"Enter Menu Type&gt;&gt;",IF('Customer Inputs'!$R$14=0,'Customer Inputs'!$M$14,'Customer Inputs'!$R$14),'Customer Inputs'!$R$14),""),"_",HT33)</f>
        <v>#N/A</v>
      </c>
      <c r="ID33" s="1164">
        <f t="array" ref="ID33">IFERROR(INDEX('Margin Guidence Table'!$A$1:$AD$30000,MATCH(1,('Margin Guidence Table'!$A$1:$A$30000=IC33)*('Margin Guidence Table'!$H$1:$H$30000&lt;=ROUND($HU$3,0))*('Margin Guidence Table'!$G$1:$G$30000&gt;=ROUND($HU$3,0)),0),MATCH("DATA_POINTS",'Margin Guidence Table'!$A$1:$AC$1,0)),0)</f>
        <v>0</v>
      </c>
      <c r="IE33" s="1161" t="str">
        <f t="shared" si="32"/>
        <v>DEFAULT</v>
      </c>
      <c r="IF33" s="1161">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1">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5">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5">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5">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5">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5">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5">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1">
        <f>IFERROR(IF(AND($IQ$2&lt;&gt;"Enter Spend&gt;&gt;&gt;",'Customer Inputs'!$U$15="EXISTING"),SUMIFS('Existing Customers'!$S:$S,'Existing Customers'!$H:$H,$IP33,'Existing Customers'!$A:$A,$IQ$1),JG33*IQ33),0)</f>
        <v>0</v>
      </c>
      <c r="IX33" s="1161">
        <f>IFERROR(IF(AND($IQ$2&lt;&gt;"Enter Spend&gt;&gt;&gt;",'Customer Inputs'!$U$15="EXISTING"),SUMIFS('Existing Customers'!$U:$U,'Existing Customers'!$H:$H,$IP33,'Existing Customers'!$A:$A,$IQ$1),JH33*IQ33),0)</f>
        <v>0</v>
      </c>
      <c r="IY33" s="1164" t="e">
        <f>_xlfn.CONCAT($AW$1,"_",IF(NOT(ISBLANK('Customer Inputs'!$H$15)),'Customer Inputs'!$H$15,""),"_",IF(AND(NOT(ISBLANK('Customer Inputs'!$G$15)),'Customer Inputs'!$G$15&lt;&gt;"New"),IF('Customer Inputs'!$M$15&lt;&gt;"Enter Menu Type&gt;&gt;",IF('Customer Inputs'!$R$15=0,'Customer Inputs'!$M$15,'Customer Inputs'!$R$15),'Customer Inputs'!$R$15),""),"_",IP33)</f>
        <v>#N/A</v>
      </c>
      <c r="IZ33" s="1164">
        <f t="array" ref="IZ33">IFERROR(INDEX('Margin Guidence Table'!$A$1:$AD$30000,MATCH(1,('Margin Guidence Table'!$A$1:$A$30000=IY33)*('Margin Guidence Table'!$H$1:$H$30000&lt;=ROUND($IQ$3,0))*('Margin Guidence Table'!$G$1:$G$30000&gt;=ROUND($IQ$3,0)),0),MATCH("DATA_POINTS",'Margin Guidence Table'!$A$1:$AC$1,0)),0)</f>
        <v>0</v>
      </c>
      <c r="JA33" s="1161" t="str">
        <f t="shared" si="33"/>
        <v>DEFAULT</v>
      </c>
      <c r="JB33" s="1161">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1">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5">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5">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5">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5">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5">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5">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7" t="e">
        <f t="shared" si="0"/>
        <v>#DIV/0!</v>
      </c>
      <c r="J34" s="1157" t="e">
        <f t="shared" si="0"/>
        <v>#DIV/0!</v>
      </c>
      <c r="K34" s="1157" t="e">
        <f t="shared" si="0"/>
        <v>#DIV/0!</v>
      </c>
      <c r="L34" s="496" t="e">
        <f t="shared" si="1"/>
        <v>#DIV/0!</v>
      </c>
      <c r="M34" s="496" t="e">
        <f t="shared" si="15"/>
        <v>#DIV/0!</v>
      </c>
      <c r="N34" s="1158"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3" t="e">
        <f>_xlfn.CONCAT($AW$1,"_",IF(NOT(ISBLANK('Customer Inputs'!$H$6)),'Customer Inputs'!$H$6,""),"_",IF(AND(NOT(ISBLANK('Customer Inputs'!$G$6)),'Customer Inputs'!$G$6&lt;&gt;"New"),IF('Customer Inputs'!$M$6&lt;&gt;"Enter Menu Type&gt;&gt;",IF('Customer Inputs'!$R$6=0,'Customer Inputs'!$M$6,'Customer Inputs'!$R$6),'Customer Inputs'!$R$6),""),"_",AZ34)</f>
        <v>#N/A</v>
      </c>
      <c r="BJ34" s="1164">
        <f t="array" ref="BJ34">IFERROR(INDEX('Margin Guidence Table'!$A$1:$AD$30000,MATCH(1,('Margin Guidence Table'!$A$1:$A$30000=$BI34)*('Margin Guidence Table'!$H$1:$H$30000&lt;=ROUND($BA$3,0))*('Margin Guidence Table'!$G$1:$G$30000&gt;=ROUND($BA$3,0)),0),MATCH("DATA_POINTS",'Margin Guidence Table'!$A$1:$AC$1,0)),0)</f>
        <v>0</v>
      </c>
      <c r="BK34" s="1161" t="str">
        <f t="shared" si="24"/>
        <v>DEFAULT</v>
      </c>
      <c r="BL34" s="1161">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1">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5">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5">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5">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5">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5">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5">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1">
        <f>IFERROR(IF(AND($BW$2&lt;&gt;"Enter Spend&gt;&gt;&gt;",'Customer Inputs'!$U$7="EXISTING"),SUMIFS('Existing Customers'!$S:$S,'Existing Customers'!$H:$H,$BV34,'Existing Customers'!$A:$A,$BW$1),CM34*BW34),0)</f>
        <v>0</v>
      </c>
      <c r="CD34" s="1161">
        <f>IFERROR(IF(AND($BW$2&lt;&gt;"Enter Spend&gt;&gt;&gt;",'Customer Inputs'!$U$7="EXISTING"),SUMIFS('Existing Customers'!$U:$U,'Existing Customers'!$H:$H,$BV34,'Existing Customers'!$A:$A,$BW$1),CN34*BW34),0)</f>
        <v>0</v>
      </c>
      <c r="CE34" s="1164" t="e">
        <f>_xlfn.CONCAT($AW$1,"_",IF(NOT(ISBLANK('Customer Inputs'!$H$7)),'Customer Inputs'!$H$7,""),"_",IF(AND(NOT(ISBLANK('Customer Inputs'!$G$7)),'Customer Inputs'!$G$7&lt;&gt;"New"),IF('Customer Inputs'!$M$7&lt;&gt;"Enter Menu Type&gt;&gt;",IF('Customer Inputs'!$R$7=0,'Customer Inputs'!$M$7,'Customer Inputs'!$R$7),'Customer Inputs'!$R$7),""),"_",BV34)</f>
        <v>#N/A</v>
      </c>
      <c r="CF34" s="1164">
        <f t="array" ref="CF34">IFERROR(INDEX('Margin Guidence Table'!$A$1:$AD$30000,MATCH(1,('Margin Guidence Table'!$A$1:$A$30000=$CE34)*('Margin Guidence Table'!$H$1:$H$30000&lt;=ROUND($BW$3,0))*('Margin Guidence Table'!$G$1:$G$30000&gt;=ROUND($BW$3,0)),0),MATCH("DATA_POINTS",'Margin Guidence Table'!$A$1:$AC$1,0)),0)</f>
        <v>0</v>
      </c>
      <c r="CG34" s="1161" t="str">
        <f t="shared" si="25"/>
        <v>DEFAULT</v>
      </c>
      <c r="CH34" s="1161">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1">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5">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5">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5">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5">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5">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5">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1">
        <f>IFERROR(IF(AND($CS$2&lt;&gt;"Enter Spend&gt;&gt;&gt;",'Customer Inputs'!$U$8="EXISTING"),SUMIFS('Existing Customers'!$S:$S,'Existing Customers'!$H:$H,$CR34,'Existing Customers'!$A:$A,$CS$1),DI34*CS34),0)</f>
        <v>0</v>
      </c>
      <c r="CZ34" s="1161">
        <f>IFERROR(IF(AND($CS$2&lt;&gt;"Enter Spend&gt;&gt;&gt;",'Customer Inputs'!$U$8="EXISTING"),SUMIFS('Existing Customers'!$U:$U,'Existing Customers'!$H:$H,$CR34,'Existing Customers'!$A:$A,$CS$1),DJ34*CS34),0)</f>
        <v>0</v>
      </c>
      <c r="DA34" s="1164" t="e">
        <f>_xlfn.CONCAT($AW$1,"_",IF(NOT(ISBLANK('Customer Inputs'!$H$8)),'Customer Inputs'!$H$8,""),"_",IF(AND(NOT(ISBLANK('Customer Inputs'!$G$8)),'Customer Inputs'!$G$8&lt;&gt;"New"),IF('Customer Inputs'!$M$8&lt;&gt;"Enter Menu Type&gt;&gt;",IF('Customer Inputs'!$R$8=0,'Customer Inputs'!$M$8,'Customer Inputs'!$R$8),'Customer Inputs'!$R$8),""),"_",CR34)</f>
        <v>#N/A</v>
      </c>
      <c r="DB34" s="1164">
        <f t="array" ref="DB34">IFERROR(INDEX('Margin Guidence Table'!$A$1:$AD$30000,MATCH(1,('Margin Guidence Table'!$A$1:$A$30000=DA34)*('Margin Guidence Table'!$H$1:$H$30000&lt;=ROUND($CS$3,0))*('Margin Guidence Table'!$G$1:$G$30000&gt;=ROUND($CS$3,0)),0),MATCH("DATA_POINTS",'Margin Guidence Table'!$A$1:$AC$1,0)),0)</f>
        <v>0</v>
      </c>
      <c r="DC34" s="1161" t="str">
        <f t="shared" si="26"/>
        <v>DEFAULT</v>
      </c>
      <c r="DD34" s="1161">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1">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5">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5">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5">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5">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5">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5">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1">
        <f>IFERROR(IF(AND($DO$2&lt;&gt;"Enter Spend&gt;&gt;&gt;",'Customer Inputs'!$U$9="EXISTING"),SUMIFS('Existing Customers'!$S:$S,'Existing Customers'!$H:$H,$DP34,'Existing Customers'!$A:$A,$DO$1),EE34*DO34),0)</f>
        <v>0</v>
      </c>
      <c r="DV34" s="1161">
        <f>IFERROR(IF(AND($DO$2&lt;&gt;"Enter Spend&gt;&gt;&gt;",'Customer Inputs'!$U$9="EXISTING"),SUMIFS('Existing Customers'!$U:$U,'Existing Customers'!$H:$H,$DN34,'Existing Customers'!$A:$A,$DO$1),EF34*DO34),0)</f>
        <v>0</v>
      </c>
      <c r="DW34" s="1164" t="e">
        <f>_xlfn.CONCAT($AW$1,"_",IF(NOT(ISBLANK('Customer Inputs'!$H$9)),'Customer Inputs'!$H$9,""),"_",IF(AND(NOT(ISBLANK('Customer Inputs'!$G$9)),'Customer Inputs'!$G$9&lt;&gt;"New"),IF('Customer Inputs'!$M$9&lt;&gt;"Enter Menu Type&gt;&gt;",IF('Customer Inputs'!$R$9=0,'Customer Inputs'!$M$9,'Customer Inputs'!$R$9),'Customer Inputs'!$R$9),""),"_",DN34)</f>
        <v>#N/A</v>
      </c>
      <c r="DX34" s="1164">
        <f t="array" ref="DX34">IFERROR(INDEX('Margin Guidence Table'!$A$1:$AD$30000,MATCH(1,('Margin Guidence Table'!$A$1:$A$30000=DW34)*('Margin Guidence Table'!$H$1:$H$30000&lt;=ROUND($DO$3,0))*('Margin Guidence Table'!$G$1:$G$30000&gt;=ROUND($DO$3,0)),0),MATCH("DATA_POINTS",'Margin Guidence Table'!$A$1:$AC$1,0)),0)</f>
        <v>0</v>
      </c>
      <c r="DY34" s="1161" t="str">
        <f t="shared" si="27"/>
        <v>DEFAULT</v>
      </c>
      <c r="DZ34" s="1161">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1">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5">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5">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5">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5">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5">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5">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1">
        <f>IFERROR(IF(AND($EK$2&lt;&gt;"Enter Spend&gt;&gt;&gt;",'Customer Inputs'!$U$10="EXISTING"),SUMIFS('Existing Customers'!$S:$S,'Existing Customers'!$H:$H,$EJ34,'Existing Customers'!$A:$A,$EK$1),FA34*EK34),0)</f>
        <v>0</v>
      </c>
      <c r="ER34" s="1161">
        <f>IFERROR(IF(AND($EK$2&lt;&gt;"Enter Spend&gt;&gt;&gt;",'Customer Inputs'!$U$10="EXISTING"),SUMIFS('Existing Customers'!$U:$U,'Existing Customers'!$H:$H,$EJ34,'Existing Customers'!$A:$A,$EK$1),FB34*EK34),0)</f>
        <v>0</v>
      </c>
      <c r="ES34" s="1164" t="e">
        <f>_xlfn.CONCAT($AW$1,"_",IF(NOT(ISBLANK('Customer Inputs'!$H$10)),'Customer Inputs'!$H$10,""),"_",IF(AND(NOT(ISBLANK('Customer Inputs'!$G$10)),'Customer Inputs'!$G$10&lt;&gt;"New"),IF('Customer Inputs'!$M$10&lt;&gt;"Enter Menu Type&gt;&gt;",IF('Customer Inputs'!$R$10=0,'Customer Inputs'!$M$10,'Customer Inputs'!$R$10),'Customer Inputs'!$R$10),""),"_",EJ34)</f>
        <v>#N/A</v>
      </c>
      <c r="ET34" s="1164">
        <f t="array" ref="ET34">IFERROR(INDEX('Margin Guidence Table'!$A$1:$AD$30000,MATCH(1,('Margin Guidence Table'!$A$1:$A$30000=ES34)*('Margin Guidence Table'!$H$1:$H$30000&lt;=ROUND($EK$3,0))*('Margin Guidence Table'!$G$1:$G$30000&gt;=ROUND($EK$3,0)),0),MATCH("DATA_POINTS",'Margin Guidence Table'!$A$1:$AC$1,0)),0)</f>
        <v>0</v>
      </c>
      <c r="EU34" s="1161" t="str">
        <f t="shared" si="28"/>
        <v>DEFAULT</v>
      </c>
      <c r="EV34" s="1161">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1"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5">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5">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5">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5">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5">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5">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1">
        <f>IFERROR(IF(AND($FG$2&lt;&gt;"Enter Spend&gt;&gt;&gt;",'Customer Inputs'!$U$11="EXISTING"),SUMIFS('Existing Customers'!$S:$S,'Existing Customers'!$H:$H,$FF34,'Existing Customers'!$A:$A,$FG$1),FW34*FG34),0)</f>
        <v>0</v>
      </c>
      <c r="FN34" s="1161">
        <f>IFERROR(IF(AND($FG$2&lt;&gt;"Enter Spend&gt;&gt;&gt;",'Customer Inputs'!$U$11="EXISTING"),SUMIFS('Existing Customers'!$U:$U,'Existing Customers'!$H:$H,$FF34,'Existing Customers'!$A:$A,$FG$1),FX34*FG34),0)</f>
        <v>0</v>
      </c>
      <c r="FO34" s="1164" t="e">
        <f>_xlfn.CONCAT($AW$1,"_",IF(NOT(ISBLANK('Customer Inputs'!$H$11)),'Customer Inputs'!$H$11,""),"_",IF(AND(NOT(ISBLANK('Customer Inputs'!$G$11)),'Customer Inputs'!$G$11&lt;&gt;"New"),IF('Customer Inputs'!$M$11&lt;&gt;"Enter Menu Type&gt;&gt;",IF('Customer Inputs'!$R$11=0,'Customer Inputs'!$M$11,'Customer Inputs'!$R$11),'Customer Inputs'!$R$11),""),"_",FF34)</f>
        <v>#N/A</v>
      </c>
      <c r="FP34" s="1164">
        <f t="array" ref="FP34">IFERROR(INDEX('Margin Guidence Table'!$A$1:$AD$30000,MATCH(1,('Margin Guidence Table'!$A$1:$A$30000=FO34)*('Margin Guidence Table'!$H$1:$H$30000&lt;=ROUND($FG$3,0))*('Margin Guidence Table'!$G$1:$G$30000&gt;=ROUND($FG$3,0)),0),MATCH("DATA_POINTS",'Margin Guidence Table'!$A$1:$AC$1,0)),0)</f>
        <v>0</v>
      </c>
      <c r="FQ34" s="1161" t="str">
        <f t="shared" si="29"/>
        <v>DEFAULT</v>
      </c>
      <c r="FR34" s="1161">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1">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5">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5">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5">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5">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5">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5">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1">
        <f>IFERROR(IF(AND($GC$2&lt;&gt;"Enter Spend&gt;&gt;&gt;",'Customer Inputs'!$U$12="EXISTING"),SUMIFS('Existing Customers'!$S:$S,'Existing Customers'!$H:$H,$GB34,'Existing Customers'!$A:$A,$GC$1),GS34*GC34),0)</f>
        <v>0</v>
      </c>
      <c r="GJ34" s="1161">
        <f>IFERROR(IF(AND($GC$2&lt;&gt;"Enter Spend&gt;&gt;&gt;",'Customer Inputs'!$U$12="EXISTING"),SUMIFS('Existing Customers'!$U:$U,'Existing Customers'!$H:$H,$GB34,'Existing Customers'!$A:$A,$GC$1),GT34*GC34),0)</f>
        <v>0</v>
      </c>
      <c r="GK34" s="1164" t="e">
        <f>_xlfn.CONCAT($AW$1,"_",IF(NOT(ISBLANK('Customer Inputs'!$H$12)),'Customer Inputs'!$H$12,""),"_",IF(AND(NOT(ISBLANK('Customer Inputs'!$G$12)),'Customer Inputs'!$G$12&lt;&gt;"New"),IF('Customer Inputs'!$M$12&lt;&gt;"Enter Menu Type&gt;&gt;",IF('Customer Inputs'!$R$12=0,'Customer Inputs'!$M$12,'Customer Inputs'!$R$12),'Customer Inputs'!$R$12),""),"_",GB34)</f>
        <v>#N/A</v>
      </c>
      <c r="GL34" s="1164">
        <f t="array" ref="GL34">IFERROR(INDEX('Margin Guidence Table'!$A$1:$AD$30000,MATCH(1,('Margin Guidence Table'!$A$1:$A$30000=GK34)*('Margin Guidence Table'!$H$1:$H$30000&lt;=ROUND($GC$3,0))*('Margin Guidence Table'!$G$1:$G$30000&gt;=ROUND($GC$3,0)),0),MATCH("DATA_POINTS",'Margin Guidence Table'!$A$1:$AC$1,0)),0)</f>
        <v>0</v>
      </c>
      <c r="GM34" s="1161" t="str">
        <f t="shared" si="30"/>
        <v>DEFAULT</v>
      </c>
      <c r="GN34" s="1161">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1">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5">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5">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5">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5">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5">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5">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1">
        <f>IFERROR(IF(AND($GY$2&lt;&gt;"Enter Spend&gt;&gt;&gt;",'Customer Inputs'!$U$13="EXISTING"),SUMIFS('Existing Customers'!$S:$S,'Existing Customers'!$H:$H,$GX34,'Existing Customers'!$A:$A,$GY$1),HO34*GY34),0)</f>
        <v>0</v>
      </c>
      <c r="HF34" s="1161">
        <f>IFERROR(IF(AND($GY$2&lt;&gt;"Enter Spend&gt;&gt;&gt;",'Customer Inputs'!$U$13="EXISTING"),SUMIFS('Existing Customers'!$U:$U,'Existing Customers'!$H:$H,$GX34,'Existing Customers'!$A:$A,$GY$1),HP34*GY34),0)</f>
        <v>0</v>
      </c>
      <c r="HG34" s="1164" t="e">
        <f>_xlfn.CONCAT($AW$1,"_",IF(NOT(ISBLANK('Customer Inputs'!$H$13)),'Customer Inputs'!$H$13,""),"_",IF(AND(NOT(ISBLANK('Customer Inputs'!$G$13)),'Customer Inputs'!$G$13&lt;&gt;"New"),IF('Customer Inputs'!$M$13&lt;&gt;"Enter Menu Type&gt;&gt;",IF('Customer Inputs'!$R$13=0,'Customer Inputs'!$M$13,'Customer Inputs'!$R$13),'Customer Inputs'!$R$13),""),"_",GX34)</f>
        <v>#N/A</v>
      </c>
      <c r="HH34" s="1164">
        <f t="array" ref="HH34">IFERROR(INDEX('Margin Guidence Table'!$A$1:$AD$30000,MATCH(1,('Margin Guidence Table'!$A$1:$A$30000=HG34)*('Margin Guidence Table'!$H$1:$H$30000&lt;=ROUND($GY$3,0))*('Margin Guidence Table'!$G$1:$G$30000&gt;=ROUND($GY$3,0)),0),MATCH("DATA_POINTS",'Margin Guidence Table'!$A$1:$AC$1,0)),0)</f>
        <v>0</v>
      </c>
      <c r="HI34" s="1161" t="str">
        <f t="shared" si="31"/>
        <v>DEFAULT</v>
      </c>
      <c r="HJ34" s="1161">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1">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5">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5">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5">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5">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5">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5">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1">
        <f>IFERROR(IF(AND($HU$2&lt;&gt;"Enter Spend&gt;&gt;&gt;",'Customer Inputs'!$U$14="EXISTING"),SUMIFS('Existing Customers'!$S:$S,'Existing Customers'!$H:$H,$HT34,'Existing Customers'!$A:$A,$HU$1),IK34*HU34),0)</f>
        <v>0</v>
      </c>
      <c r="IB34" s="1161">
        <f>IFERROR(IF(AND($HU$2&lt;&gt;"Enter Spend&gt;&gt;&gt;",'Customer Inputs'!$U$14="EXISTING"),SUMIFS('Existing Customers'!$U:$U,'Existing Customers'!$H:$H,$HT34,'Existing Customers'!$A:$A,$HU$1),IL34*HU34),0)</f>
        <v>0</v>
      </c>
      <c r="IC34" s="1164" t="e">
        <f>_xlfn.CONCAT($AW$1,"_",IF(NOT(ISBLANK('Customer Inputs'!$H$14)),'Customer Inputs'!$H$14,""),"_",IF(AND(NOT(ISBLANK('Customer Inputs'!$G$14)),'Customer Inputs'!$G$14&lt;&gt;"New"),IF('Customer Inputs'!$M$14&lt;&gt;"Enter Menu Type&gt;&gt;",IF('Customer Inputs'!$R$14=0,'Customer Inputs'!$M$14,'Customer Inputs'!$R$14),'Customer Inputs'!$R$14),""),"_",HT34)</f>
        <v>#N/A</v>
      </c>
      <c r="ID34" s="1164">
        <f t="array" ref="ID34">IFERROR(INDEX('Margin Guidence Table'!$A$1:$AD$30000,MATCH(1,('Margin Guidence Table'!$A$1:$A$30000=IC34)*('Margin Guidence Table'!$H$1:$H$30000&lt;=ROUND($HU$3,0))*('Margin Guidence Table'!$G$1:$G$30000&gt;=ROUND($HU$3,0)),0),MATCH("DATA_POINTS",'Margin Guidence Table'!$A$1:$AC$1,0)),0)</f>
        <v>0</v>
      </c>
      <c r="IE34" s="1161" t="str">
        <f t="shared" si="32"/>
        <v>DEFAULT</v>
      </c>
      <c r="IF34" s="1161">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1">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5">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5">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5">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5">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5">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5">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1">
        <f>IFERROR(IF(AND($IQ$2&lt;&gt;"Enter Spend&gt;&gt;&gt;",'Customer Inputs'!$U$15="EXISTING"),SUMIFS('Existing Customers'!$S:$S,'Existing Customers'!$H:$H,$IP34,'Existing Customers'!$A:$A,$IQ$1),JG34*IQ34),0)</f>
        <v>0</v>
      </c>
      <c r="IX34" s="1161">
        <f>IFERROR(IF(AND($IQ$2&lt;&gt;"Enter Spend&gt;&gt;&gt;",'Customer Inputs'!$U$15="EXISTING"),SUMIFS('Existing Customers'!$U:$U,'Existing Customers'!$H:$H,$IP34,'Existing Customers'!$A:$A,$IQ$1),JH34*IQ34),0)</f>
        <v>0</v>
      </c>
      <c r="IY34" s="1164" t="e">
        <f>_xlfn.CONCAT($AW$1,"_",IF(NOT(ISBLANK('Customer Inputs'!$H$15)),'Customer Inputs'!$H$15,""),"_",IF(AND(NOT(ISBLANK('Customer Inputs'!$G$15)),'Customer Inputs'!$G$15&lt;&gt;"New"),IF('Customer Inputs'!$M$15&lt;&gt;"Enter Menu Type&gt;&gt;",IF('Customer Inputs'!$R$15=0,'Customer Inputs'!$M$15,'Customer Inputs'!$R$15),'Customer Inputs'!$R$15),""),"_",IP34)</f>
        <v>#N/A</v>
      </c>
      <c r="IZ34" s="1164">
        <f t="array" ref="IZ34">IFERROR(INDEX('Margin Guidence Table'!$A$1:$AD$30000,MATCH(1,('Margin Guidence Table'!$A$1:$A$30000=IY34)*('Margin Guidence Table'!$H$1:$H$30000&lt;=ROUND($IQ$3,0))*('Margin Guidence Table'!$G$1:$G$30000&gt;=ROUND($IQ$3,0)),0),MATCH("DATA_POINTS",'Margin Guidence Table'!$A$1:$AC$1,0)),0)</f>
        <v>0</v>
      </c>
      <c r="JA34" s="1161" t="str">
        <f t="shared" si="33"/>
        <v>DEFAULT</v>
      </c>
      <c r="JB34" s="1161">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1">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5">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5">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5">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5">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5">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5">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59" t="e">
        <f t="shared" si="0"/>
        <v>#DIV/0!</v>
      </c>
      <c r="J35" s="1159" t="e">
        <f t="shared" si="0"/>
        <v>#DIV/0!</v>
      </c>
      <c r="K35" s="1159" t="e">
        <f t="shared" si="0"/>
        <v>#DIV/0!</v>
      </c>
      <c r="L35" s="1160" t="e">
        <f>SUM(L14:L34)</f>
        <v>#DIV/0!</v>
      </c>
      <c r="M35" s="1159"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5"/>
      <c r="BJ35" s="1155"/>
      <c r="BK35" s="1155"/>
      <c r="BL35" s="1155"/>
      <c r="BM35" s="1155"/>
      <c r="BN35" s="1155"/>
      <c r="BO35" s="1155"/>
      <c r="BP35" s="1155"/>
      <c r="BQ35" s="1155"/>
      <c r="BR35" s="1155"/>
      <c r="BS35" s="1155"/>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5"/>
      <c r="CF35" s="1155"/>
      <c r="CG35" s="1155"/>
      <c r="CH35" s="1155"/>
      <c r="CI35" s="1155"/>
      <c r="CJ35" s="1155"/>
      <c r="CK35" s="1155"/>
      <c r="CL35" s="1155"/>
      <c r="CM35" s="1155"/>
      <c r="CN35" s="1155"/>
      <c r="CO35" s="1155"/>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5"/>
      <c r="DB35" s="1155"/>
      <c r="DC35" s="1155"/>
      <c r="DD35" s="1155"/>
      <c r="DE35" s="1155"/>
      <c r="DF35" s="1155"/>
      <c r="DG35" s="1155"/>
      <c r="DH35" s="1155"/>
      <c r="DI35" s="1155"/>
      <c r="DJ35" s="1155"/>
      <c r="DK35" s="1155"/>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5"/>
      <c r="DX35" s="1155"/>
      <c r="DY35" s="1155"/>
      <c r="DZ35" s="1155"/>
      <c r="EA35" s="1155"/>
      <c r="EB35" s="1155"/>
      <c r="EC35" s="1155"/>
      <c r="ED35" s="1155"/>
      <c r="EE35" s="1155"/>
      <c r="EF35" s="1155"/>
      <c r="EG35" s="1155"/>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5"/>
      <c r="ET35" s="1155"/>
      <c r="EU35" s="1155"/>
      <c r="EV35" s="1155"/>
      <c r="EW35" s="1155"/>
      <c r="EX35" s="1155"/>
      <c r="EY35" s="1155"/>
      <c r="EZ35" s="1155"/>
      <c r="FA35" s="1155"/>
      <c r="FB35" s="1155"/>
      <c r="FC35" s="1155"/>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5"/>
      <c r="FP35" s="1155"/>
      <c r="FQ35" s="1155"/>
      <c r="FR35" s="1155"/>
      <c r="FS35" s="1155"/>
      <c r="FT35" s="1155"/>
      <c r="FU35" s="1155"/>
      <c r="FV35" s="1155"/>
      <c r="FW35" s="1155"/>
      <c r="FX35" s="1155"/>
      <c r="FY35" s="1155"/>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5"/>
      <c r="GL35" s="1155"/>
      <c r="GM35" s="1155"/>
      <c r="GN35" s="1155"/>
      <c r="GO35" s="1155"/>
      <c r="GP35" s="1155"/>
      <c r="GQ35" s="1155"/>
      <c r="GR35" s="1155"/>
      <c r="GS35" s="1155"/>
      <c r="GT35" s="1155"/>
      <c r="GU35" s="1155"/>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5"/>
      <c r="HH35" s="1155"/>
      <c r="HI35" s="1155"/>
      <c r="HJ35" s="1155"/>
      <c r="HK35" s="1155"/>
      <c r="HL35" s="1155"/>
      <c r="HM35" s="1155"/>
      <c r="HN35" s="1155"/>
      <c r="HO35" s="1155"/>
      <c r="HP35" s="1155"/>
      <c r="HQ35" s="1155"/>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5"/>
      <c r="ID35" s="1155"/>
      <c r="IE35" s="1155"/>
      <c r="IF35" s="1155"/>
      <c r="IG35" s="1155"/>
      <c r="IH35" s="1155"/>
      <c r="II35" s="1155"/>
      <c r="IJ35" s="1155"/>
      <c r="IK35" s="1155"/>
      <c r="IL35" s="1155"/>
      <c r="IM35" s="1155"/>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5"/>
      <c r="IZ35" s="1155"/>
      <c r="JA35" s="1155"/>
      <c r="JB35" s="1155"/>
      <c r="JC35" s="1155"/>
      <c r="JD35" s="1155"/>
      <c r="JE35" s="1155"/>
      <c r="JF35" s="1155"/>
      <c r="JG35" s="1155"/>
      <c r="JH35" s="1155"/>
      <c r="JI35" s="1155"/>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f>RANK(AB37,$AB$36:$AB$38)</f>
        <v>1</v>
      </c>
      <c r="AA37" s="461" t="s">
        <v>1470</v>
      </c>
      <c r="AB37" s="468">
        <f>COUNTIF($AZ$51:$IP$51,AA37)</f>
        <v>0</v>
      </c>
      <c r="AG37" s="358">
        <v>1</v>
      </c>
      <c r="AH37" s="1147" t="str">
        <f>IF($AH$38&gt;1,"MULTIPLE TYPES",VLOOKUP(AG37,$Z$38:$AA$65,2,FALSE))</f>
        <v>Enter Customer(s)</v>
      </c>
      <c r="AI37" s="361"/>
    </row>
    <row r="38" spans="2:286" x14ac:dyDescent="0.25">
      <c r="R38" s="462">
        <f>RANK(T38,$T$39:$T$43)</f>
        <v>1</v>
      </c>
      <c r="S38" s="460" t="s">
        <v>951</v>
      </c>
      <c r="T38" s="463">
        <f t="shared" ref="T38" si="56">COUNTIF($BA$47:$IQ$47,S38)</f>
        <v>0</v>
      </c>
      <c r="Z38" s="462">
        <f>RANK(AB38,$AB$36:$AB$38)</f>
        <v>1</v>
      </c>
      <c r="AA38" s="460" t="s">
        <v>951</v>
      </c>
      <c r="AB38" s="463">
        <f>COUNTIF($AZ$51:$IP$51,AA38)</f>
        <v>0</v>
      </c>
      <c r="AG38" s="469" t="s">
        <v>861</v>
      </c>
      <c r="AH38" s="470">
        <f>COUNTIF($Z$38:$Z$65,1)</f>
        <v>1</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Table'!F2:F1000000)&lt;&gt;0,_xlfn._xlws.SORT(_xlfn.UNIQUE('Margin Guidence Table'!F2:F1000000)),"")</f>
        <v/>
      </c>
      <c r="AB39" s="463"/>
      <c r="AG39" s="469" t="s">
        <v>860</v>
      </c>
      <c r="AH39" s="470" t="str">
        <f>VLOOKUP(AG37,$Z$38:$AA$65,2,FALSE)</f>
        <v>Enter Customer(s)</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str">
        <f>IF(COUNTIF($AB$39:$AB$65,"&gt;0")&gt;1,"MULTIPLE TYPES",$AH$37)</f>
        <v>Enter Customer(s)</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2"/>
      <c r="AH41" s="1142"/>
      <c r="AI41" s="1142"/>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2"/>
      <c r="S51" s="1142"/>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2"/>
      <c r="S52" s="1142"/>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2"/>
      <c r="S53" s="1142"/>
      <c r="T53" s="1142"/>
      <c r="Z53" s="462"/>
      <c r="AA53" s="460"/>
      <c r="AB53" s="463"/>
      <c r="AZ53" s="104" t="s">
        <v>1469</v>
      </c>
      <c r="BA53" s="86">
        <f>IFERROR(VLOOKUP(BA$1,'Existing Customers'!$A:$AD,30,FALSE),BA6)</f>
        <v>0</v>
      </c>
      <c r="BB53" s="1142"/>
      <c r="BC53" s="1142"/>
      <c r="BD53" s="1142"/>
      <c r="BE53" s="1142"/>
      <c r="BF53" s="1142"/>
      <c r="BT53" s="1142"/>
      <c r="BU53" s="1142"/>
      <c r="BV53" s="104" t="s">
        <v>1469</v>
      </c>
      <c r="BW53" s="86">
        <f>IFERROR(VLOOKUP(BW$1,'Existing Customers'!$A:$AD,30,FALSE),BW6)</f>
        <v>0</v>
      </c>
      <c r="BX53" s="1142"/>
      <c r="BY53" s="1142"/>
      <c r="BZ53" s="1142"/>
      <c r="CA53" s="1142"/>
      <c r="CB53" s="1142"/>
      <c r="CP53" s="1142"/>
      <c r="CQ53" s="1142"/>
      <c r="CR53" s="104" t="s">
        <v>1469</v>
      </c>
      <c r="CS53" s="86">
        <f>IFERROR(VLOOKUP(CS$1,'Existing Customers'!$A:$AD,30,FALSE),CS6)</f>
        <v>0</v>
      </c>
      <c r="CT53" s="1142"/>
      <c r="CU53" s="1142"/>
      <c r="CV53" s="1142"/>
      <c r="CW53" s="1142"/>
      <c r="CX53" s="1142"/>
      <c r="DL53" s="1142"/>
      <c r="DM53" s="1142"/>
      <c r="DN53" s="104" t="s">
        <v>1469</v>
      </c>
      <c r="DO53" s="86">
        <f>IFERROR(VLOOKUP(DO$1,'Existing Customers'!$A:$AD,30,FALSE),DO6)</f>
        <v>0</v>
      </c>
      <c r="DP53" s="1142"/>
      <c r="DQ53" s="1142"/>
      <c r="DR53" s="1142"/>
      <c r="DS53" s="1142"/>
      <c r="DT53" s="1142"/>
      <c r="EH53" s="1142"/>
      <c r="EI53" s="1142"/>
      <c r="EJ53" s="104" t="s">
        <v>1469</v>
      </c>
      <c r="EK53" s="86">
        <f>IFERROR(VLOOKUP(EK$1,'Existing Customers'!$A:$AD,30,FALSE),EK6)</f>
        <v>0</v>
      </c>
      <c r="EL53" s="1142"/>
      <c r="EM53" s="1142"/>
      <c r="EN53" s="1142"/>
      <c r="EO53" s="1142"/>
      <c r="EP53" s="1142"/>
      <c r="FD53" s="1142"/>
      <c r="FE53" s="1142"/>
      <c r="FF53" s="104" t="s">
        <v>1469</v>
      </c>
      <c r="FG53" s="86">
        <f>IFERROR(VLOOKUP(FG$1,'Existing Customers'!$A:$AD,30,FALSE),FG6)</f>
        <v>0</v>
      </c>
      <c r="FH53" s="1142"/>
      <c r="FI53" s="1142"/>
      <c r="FJ53" s="1142"/>
      <c r="FK53" s="1142"/>
      <c r="FL53" s="1142"/>
      <c r="FZ53" s="1142"/>
      <c r="GA53" s="1142"/>
      <c r="GB53" s="104" t="s">
        <v>1469</v>
      </c>
      <c r="GC53" s="86">
        <f>IFERROR(VLOOKUP(GC$1,'Existing Customers'!$A:$AD,30,FALSE),GC6)</f>
        <v>0</v>
      </c>
      <c r="GD53" s="1142"/>
      <c r="GE53" s="1142"/>
      <c r="GF53" s="1142"/>
      <c r="GG53" s="1142"/>
      <c r="GH53" s="1142"/>
      <c r="GV53" s="1142"/>
      <c r="GW53" s="1142"/>
      <c r="GX53" s="104" t="s">
        <v>1469</v>
      </c>
      <c r="GY53" s="86">
        <f>IFERROR(VLOOKUP(GY$1,'Existing Customers'!$A:$AD,30,FALSE),GY6)</f>
        <v>0</v>
      </c>
      <c r="GZ53" s="1142"/>
      <c r="HA53" s="1142"/>
      <c r="HB53" s="1142"/>
      <c r="HC53" s="1142"/>
      <c r="HD53" s="1142"/>
      <c r="HR53" s="1142"/>
      <c r="HS53" s="1142"/>
      <c r="HT53" s="104" t="s">
        <v>1469</v>
      </c>
      <c r="HU53" s="86">
        <f>IFERROR(VLOOKUP(HU$1,'Existing Customers'!$A:$AD,30,FALSE),HU6)</f>
        <v>0</v>
      </c>
      <c r="HV53" s="1142"/>
      <c r="HW53" s="1142"/>
      <c r="HX53" s="1142"/>
      <c r="HY53" s="1142"/>
      <c r="HZ53" s="1142"/>
      <c r="IN53" s="1142"/>
      <c r="IO53" s="1142"/>
      <c r="IP53" s="104" t="s">
        <v>1469</v>
      </c>
      <c r="IQ53" s="86">
        <f>IFERROR(VLOOKUP(IQ$1,'Existing Customers'!$A:$AD,30,FALSE),IQ6)</f>
        <v>0</v>
      </c>
    </row>
    <row r="54" spans="18:251" x14ac:dyDescent="0.25">
      <c r="R54" s="1142"/>
      <c r="S54" s="1142"/>
      <c r="T54" s="1142"/>
      <c r="Z54" s="462"/>
      <c r="AA54" s="460"/>
      <c r="AB54" s="463"/>
    </row>
    <row r="55" spans="18:251" x14ac:dyDescent="0.25">
      <c r="R55" s="1142"/>
      <c r="S55" s="1142"/>
      <c r="T55" s="1142"/>
      <c r="Z55" s="462"/>
      <c r="AA55" s="460"/>
      <c r="AB55" s="463"/>
    </row>
    <row r="56" spans="18:251" x14ac:dyDescent="0.25">
      <c r="R56" s="1142"/>
      <c r="S56" s="1142"/>
      <c r="T56" s="1142"/>
      <c r="Z56" s="462"/>
      <c r="AA56" s="460"/>
      <c r="AB56" s="463"/>
    </row>
    <row r="57" spans="18:251" x14ac:dyDescent="0.25">
      <c r="R57" s="1142"/>
      <c r="S57" s="1142"/>
      <c r="T57" s="1142"/>
      <c r="Z57" s="462"/>
      <c r="AA57" s="460"/>
      <c r="AB57" s="463"/>
    </row>
    <row r="58" spans="18:251" x14ac:dyDescent="0.25">
      <c r="R58" s="1142"/>
      <c r="S58" s="1142"/>
      <c r="T58" s="1142"/>
      <c r="Z58" s="462"/>
      <c r="AA58" s="460"/>
      <c r="AB58" s="463"/>
    </row>
    <row r="59" spans="18:251" x14ac:dyDescent="0.25">
      <c r="R59" s="1142"/>
      <c r="S59" s="1142"/>
      <c r="T59" s="1142"/>
      <c r="Z59" s="462"/>
      <c r="AA59" s="460"/>
      <c r="AB59" s="463"/>
    </row>
    <row r="60" spans="18:251" x14ac:dyDescent="0.25">
      <c r="R60" s="1142"/>
      <c r="S60" s="1142"/>
      <c r="T60" s="1142"/>
      <c r="Z60" s="462"/>
      <c r="AA60" s="460"/>
      <c r="AB60" s="463"/>
    </row>
    <row r="61" spans="18:251" x14ac:dyDescent="0.25">
      <c r="R61" s="1142"/>
      <c r="S61" s="1142"/>
      <c r="T61" s="1142"/>
      <c r="Z61" s="462"/>
      <c r="AA61" s="460"/>
      <c r="AB61" s="463"/>
    </row>
    <row r="62" spans="18:251" x14ac:dyDescent="0.25">
      <c r="R62" s="1142"/>
      <c r="S62" s="1142"/>
      <c r="T62" s="1142"/>
      <c r="Z62" s="462"/>
      <c r="AA62" s="460"/>
      <c r="AB62" s="463"/>
    </row>
    <row r="63" spans="18:251" x14ac:dyDescent="0.25">
      <c r="R63" s="1142"/>
      <c r="S63" s="1142"/>
      <c r="T63" s="1142"/>
      <c r="Z63" s="462"/>
      <c r="AA63" s="460"/>
      <c r="AB63" s="463"/>
    </row>
    <row r="64" spans="18:251" x14ac:dyDescent="0.25">
      <c r="R64" s="1142"/>
      <c r="S64" s="1142"/>
      <c r="T64" s="1142"/>
      <c r="Z64" s="462"/>
      <c r="AA64" s="460"/>
      <c r="AB64" s="463"/>
    </row>
    <row r="65" spans="18:28" x14ac:dyDescent="0.25">
      <c r="R65" s="1142"/>
      <c r="S65" s="1142"/>
      <c r="T65" s="1142"/>
      <c r="Z65" s="462"/>
      <c r="AA65" s="460"/>
      <c r="AB65" s="463"/>
    </row>
    <row r="66" spans="18:28" x14ac:dyDescent="0.25">
      <c r="R66" s="1142"/>
      <c r="S66" s="1142"/>
      <c r="T66" s="1142"/>
      <c r="Z66" s="462"/>
      <c r="AA66" s="460"/>
      <c r="AB66" s="463"/>
    </row>
    <row r="67" spans="18:28" x14ac:dyDescent="0.25">
      <c r="R67" s="1142"/>
      <c r="S67" s="1142"/>
      <c r="T67" s="1142"/>
      <c r="Z67" s="1143"/>
      <c r="AA67" s="1144"/>
      <c r="AB67" s="1145"/>
    </row>
    <row r="68" spans="18:28" x14ac:dyDescent="0.25">
      <c r="R68" s="1142"/>
      <c r="S68" s="1142"/>
      <c r="T68" s="1142"/>
      <c r="Z68" s="1143"/>
      <c r="AA68" s="1144"/>
      <c r="AB68" s="1145"/>
    </row>
    <row r="69" spans="18:28" x14ac:dyDescent="0.25">
      <c r="R69" s="1142"/>
      <c r="S69" s="1142"/>
      <c r="T69" s="1142"/>
      <c r="Z69" s="1143"/>
      <c r="AA69" s="1144"/>
      <c r="AB69" s="1145"/>
    </row>
    <row r="70" spans="18:28" x14ac:dyDescent="0.25">
      <c r="R70" s="1142"/>
      <c r="S70" s="1142"/>
      <c r="T70" s="1142"/>
      <c r="Z70" s="1143"/>
      <c r="AA70" s="1144"/>
      <c r="AB70" s="1145"/>
    </row>
    <row r="71" spans="18:28" x14ac:dyDescent="0.25">
      <c r="R71" s="1142"/>
      <c r="S71" s="1142"/>
      <c r="T71" s="1142"/>
      <c r="Z71" s="1143"/>
      <c r="AA71" s="1144"/>
      <c r="AB71" s="1145"/>
    </row>
    <row r="72" spans="18:28" x14ac:dyDescent="0.25">
      <c r="R72" s="1142"/>
      <c r="S72" s="1142"/>
      <c r="T72" s="1142"/>
      <c r="Z72" s="1143"/>
      <c r="AA72" s="1144"/>
      <c r="AB72" s="1145"/>
    </row>
    <row r="73" spans="18:28" x14ac:dyDescent="0.25">
      <c r="R73" s="1142"/>
      <c r="S73" s="1142"/>
      <c r="T73" s="1142"/>
      <c r="Z73" s="1143"/>
      <c r="AA73" s="1144"/>
      <c r="AB73" s="1145"/>
    </row>
    <row r="74" spans="18:28" x14ac:dyDescent="0.25">
      <c r="R74" s="1142"/>
      <c r="S74" s="1142"/>
      <c r="T74" s="1142"/>
      <c r="Z74" s="1143"/>
      <c r="AA74" s="1144"/>
      <c r="AB74" s="1145"/>
    </row>
    <row r="75" spans="18:28" x14ac:dyDescent="0.25">
      <c r="R75" s="1142"/>
      <c r="S75" s="1142"/>
      <c r="T75" s="1142"/>
      <c r="Z75" s="1143"/>
      <c r="AA75" s="1144"/>
      <c r="AB75" s="1145"/>
    </row>
    <row r="76" spans="18:28" ht="15.75" thickBot="1" x14ac:dyDescent="0.3">
      <c r="R76" s="1142"/>
      <c r="S76" s="1142"/>
      <c r="T76" s="1142"/>
      <c r="Z76" s="32"/>
      <c r="AA76" s="1146"/>
      <c r="AB76" s="1148"/>
    </row>
    <row r="77" spans="18:28" x14ac:dyDescent="0.25">
      <c r="R77" s="1142"/>
      <c r="S77" s="1142"/>
      <c r="T77" s="1142"/>
    </row>
    <row r="78" spans="18:28" x14ac:dyDescent="0.25">
      <c r="R78" s="1142"/>
      <c r="S78" s="1142"/>
      <c r="T78" s="1142"/>
    </row>
    <row r="79" spans="18:28" x14ac:dyDescent="0.25">
      <c r="R79" s="1142"/>
      <c r="S79" s="1142"/>
      <c r="T79" s="1142"/>
    </row>
    <row r="80" spans="18:28" x14ac:dyDescent="0.25">
      <c r="R80" s="1142"/>
      <c r="S80" s="1142"/>
      <c r="T80" s="1142"/>
    </row>
    <row r="81" spans="18:20" x14ac:dyDescent="0.25">
      <c r="R81" s="1142"/>
      <c r="S81" s="1142"/>
      <c r="T81" s="1142"/>
    </row>
    <row r="82" spans="18:20" x14ac:dyDescent="0.25">
      <c r="R82" s="1142"/>
      <c r="S82" s="1142"/>
      <c r="T82" s="1142"/>
    </row>
    <row r="83" spans="18:20" x14ac:dyDescent="0.25">
      <c r="R83" s="1142"/>
      <c r="S83" s="1142"/>
      <c r="T83" s="1142"/>
    </row>
    <row r="84" spans="18:20" x14ac:dyDescent="0.25">
      <c r="R84" s="1142"/>
      <c r="S84" s="1142"/>
      <c r="T84" s="1142"/>
    </row>
    <row r="85" spans="18:20" x14ac:dyDescent="0.25">
      <c r="R85" s="1142"/>
      <c r="S85" s="1142"/>
      <c r="T85" s="1142"/>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H12" sqref="AH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4" t="s">
        <v>988</v>
      </c>
      <c r="AX5" s="1345"/>
      <c r="AY5" s="528">
        <v>1757315</v>
      </c>
      <c r="AZ5" s="314" t="s">
        <v>216</v>
      </c>
      <c r="BA5" s="1" t="s">
        <v>216</v>
      </c>
      <c r="BB5" s="521">
        <v>3.2000000000000001E-2</v>
      </c>
      <c r="BC5" s="521">
        <v>6.9000000000000006E-2</v>
      </c>
      <c r="BD5" s="521">
        <v>8.2000000000000003E-2</v>
      </c>
      <c r="BE5" s="521">
        <v>9.6000000000000002E-2</v>
      </c>
      <c r="BF5" s="522">
        <v>0.13300000000000001</v>
      </c>
      <c r="BI5" s="1344" t="s">
        <v>989</v>
      </c>
      <c r="BJ5" s="1345"/>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str">
        <f>IF('Multi-Customer'!$AH$37="MULTIPLE MENU TYPES","INDEPENDENT RESTAURATEURS (PYR)",'Multi-Customer'!$AH$37)</f>
        <v>Enter Customer(s)</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7" t="s">
        <v>987</v>
      </c>
      <c r="AR10" s="1347"/>
      <c r="AW10" s="1346" t="s">
        <v>985</v>
      </c>
      <c r="AX10" s="1346"/>
      <c r="AY10" s="1346"/>
      <c r="AZ10" s="1346"/>
      <c r="BA10" s="1346"/>
      <c r="BD10" s="1346" t="s">
        <v>986</v>
      </c>
      <c r="BE10" s="1346"/>
      <c r="BF10" s="1346"/>
      <c r="BG10" s="1346"/>
      <c r="BH10" s="1346"/>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f>IFERROR(O12/P12,0)</f>
        <v>0</v>
      </c>
      <c r="T12" s="19">
        <f>IFERROR(O12/R12,0)</f>
        <v>0</v>
      </c>
      <c r="U12" s="19"/>
      <c r="V12" s="2">
        <f>'PIM Model'!$C$10</f>
        <v>0</v>
      </c>
      <c r="W12" s="645" t="e">
        <f>'Multi-Customer'!M14</f>
        <v>#DIV/0!</v>
      </c>
      <c r="X12" s="19" t="e">
        <f>$W12*$Z$33</f>
        <v>#DIV/0!</v>
      </c>
      <c r="Y12" s="351" t="e">
        <f>IF(V12="AVG",X12,O12)</f>
        <v>#DIV/0!</v>
      </c>
      <c r="Z12" s="351" t="e">
        <f>IF($V12="AVG",0,$Y12)</f>
        <v>#DIV/0!</v>
      </c>
      <c r="AA12" s="351" t="e">
        <f>IF($V12="AVG",IF($O12=0,$X12,$X12-$O12),Y12)</f>
        <v>#DIV/0!</v>
      </c>
      <c r="AB12" s="646" t="e">
        <f>$X12/$X$33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f t="shared" ref="AO12:AO32" si="10">S12</f>
        <v>0</v>
      </c>
      <c r="AP12" s="501">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f t="shared" ref="S13:S32" si="16">IFERROR(O13/P13,0)</f>
        <v>0</v>
      </c>
      <c r="T13" s="19">
        <f t="shared" ref="T13:T32" si="17">IFERROR(O13/R13,0)</f>
        <v>0</v>
      </c>
      <c r="U13" s="19"/>
      <c r="V13" s="2">
        <f>'PIM Model'!$C$11</f>
        <v>0</v>
      </c>
      <c r="W13" s="645" t="e">
        <f>'Multi-Customer'!M15</f>
        <v>#DIV/0!</v>
      </c>
      <c r="X13" s="19" t="e">
        <f t="shared" ref="X13:X32" si="18">$W13*$Z$33</f>
        <v>#DIV/0!</v>
      </c>
      <c r="Y13" s="351" t="e">
        <f t="shared" ref="Y13:Y32" si="19">IF(V13="AVG",X13,O13)</f>
        <v>#DIV/0!</v>
      </c>
      <c r="Z13" s="351" t="e">
        <f t="shared" ref="Z13:Z32" si="20">IF($V13="AVG",0,$Y13)</f>
        <v>#DIV/0!</v>
      </c>
      <c r="AA13" s="351" t="e">
        <f t="shared" ref="AA13:AA32" si="21">IF($V13="AVG",IF($O13=0,$X13,$X13-$O13),Y13)</f>
        <v>#DIV/0!</v>
      </c>
      <c r="AB13" s="646" t="e">
        <f t="shared" ref="AB13:AB32" si="22">$X13/$X$33</f>
        <v>#DIV/0!</v>
      </c>
      <c r="AC13" s="646" t="e">
        <f t="shared" ref="AC13:AC32" si="23">IF($AA13=0,AB13,0)</f>
        <v>#DIV/0!</v>
      </c>
      <c r="AD13" s="351" t="e">
        <f t="shared" si="5"/>
        <v>#DIV/0!</v>
      </c>
      <c r="AE13" s="351"/>
      <c r="AF13" s="351" t="e">
        <f t="shared" ref="AF13:AF32" si="24">AD13*(1+$AG13)-AD13</f>
        <v>#DIV/0!</v>
      </c>
      <c r="AG13" s="39">
        <f>'PIM Model'!B11</f>
        <v>0</v>
      </c>
      <c r="AH13" s="499" t="e">
        <f t="shared" si="6"/>
        <v>#DIV/0!</v>
      </c>
      <c r="AI13" s="499" t="e">
        <f t="shared" ref="AI13:AI32" si="25">IF(AF13=0,AH13,0)</f>
        <v>#DIV/0!</v>
      </c>
      <c r="AJ13">
        <v>4</v>
      </c>
      <c r="AK13" s="500" t="s">
        <v>103</v>
      </c>
      <c r="AL13" s="500" t="e">
        <f t="shared" si="7"/>
        <v>#DIV/0!</v>
      </c>
      <c r="AM13" s="500">
        <f t="shared" si="8"/>
        <v>0</v>
      </c>
      <c r="AN13" s="500">
        <f t="shared" si="9"/>
        <v>0</v>
      </c>
      <c r="AO13" s="501">
        <f>S13</f>
        <v>0</v>
      </c>
      <c r="AP13" s="501">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f t="shared" si="16"/>
        <v>0</v>
      </c>
      <c r="T14" s="19">
        <f t="shared" si="17"/>
        <v>0</v>
      </c>
      <c r="U14" s="19"/>
      <c r="V14" s="2">
        <f>'PIM Model'!$C$12</f>
        <v>0</v>
      </c>
      <c r="W14" s="645" t="e">
        <f>'Multi-Customer'!M16</f>
        <v>#DIV/0!</v>
      </c>
      <c r="X14" s="19" t="e">
        <f t="shared" si="18"/>
        <v>#DIV/0!</v>
      </c>
      <c r="Y14" s="351" t="e">
        <f t="shared" si="19"/>
        <v>#DIV/0!</v>
      </c>
      <c r="Z14" s="351" t="e">
        <f t="shared" si="20"/>
        <v>#DIV/0!</v>
      </c>
      <c r="AA14" s="351" t="e">
        <f t="shared" si="21"/>
        <v>#DIV/0!</v>
      </c>
      <c r="AB14" s="646" t="e">
        <f t="shared" si="22"/>
        <v>#DIV/0!</v>
      </c>
      <c r="AC14" s="646" t="e">
        <f t="shared" si="23"/>
        <v>#DIV/0!</v>
      </c>
      <c r="AD14" s="351" t="e">
        <f t="shared" si="5"/>
        <v>#DIV/0!</v>
      </c>
      <c r="AE14" s="351"/>
      <c r="AF14" s="351" t="e">
        <f t="shared" si="24"/>
        <v>#DIV/0!</v>
      </c>
      <c r="AG14" s="39">
        <f>'PIM Model'!B12</f>
        <v>0</v>
      </c>
      <c r="AH14" s="499" t="e">
        <f t="shared" si="6"/>
        <v>#DIV/0!</v>
      </c>
      <c r="AI14" s="499" t="e">
        <f t="shared" si="25"/>
        <v>#DIV/0!</v>
      </c>
      <c r="AJ14">
        <v>5</v>
      </c>
      <c r="AK14" s="500" t="s">
        <v>1447</v>
      </c>
      <c r="AL14" s="500" t="e">
        <f t="shared" si="7"/>
        <v>#DIV/0!</v>
      </c>
      <c r="AM14" s="500">
        <f t="shared" si="8"/>
        <v>0</v>
      </c>
      <c r="AN14" s="500">
        <f t="shared" si="9"/>
        <v>0</v>
      </c>
      <c r="AO14" s="501">
        <f t="shared" si="10"/>
        <v>0</v>
      </c>
      <c r="AP14" s="501">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f t="shared" si="16"/>
        <v>0</v>
      </c>
      <c r="T15" s="19">
        <f t="shared" si="17"/>
        <v>0</v>
      </c>
      <c r="U15" s="19"/>
      <c r="V15" s="2">
        <f>'PIM Model'!$C$13</f>
        <v>0</v>
      </c>
      <c r="W15" s="645" t="e">
        <f>'Multi-Customer'!M17</f>
        <v>#DIV/0!</v>
      </c>
      <c r="X15" s="19" t="e">
        <f t="shared" si="18"/>
        <v>#DIV/0!</v>
      </c>
      <c r="Y15" s="351" t="e">
        <f t="shared" si="19"/>
        <v>#DIV/0!</v>
      </c>
      <c r="Z15" s="351" t="e">
        <f t="shared" si="20"/>
        <v>#DIV/0!</v>
      </c>
      <c r="AA15" s="351" t="e">
        <f t="shared" si="21"/>
        <v>#DIV/0!</v>
      </c>
      <c r="AB15" s="646" t="e">
        <f t="shared" si="22"/>
        <v>#DIV/0!</v>
      </c>
      <c r="AC15" s="646" t="e">
        <f t="shared" si="23"/>
        <v>#DIV/0!</v>
      </c>
      <c r="AD15" s="351" t="e">
        <f t="shared" si="5"/>
        <v>#DIV/0!</v>
      </c>
      <c r="AE15" s="351"/>
      <c r="AF15" s="351" t="e">
        <f t="shared" si="24"/>
        <v>#DIV/0!</v>
      </c>
      <c r="AG15" s="39">
        <f>'PIM Model'!B13</f>
        <v>0</v>
      </c>
      <c r="AH15" s="499" t="e">
        <f t="shared" si="6"/>
        <v>#DIV/0!</v>
      </c>
      <c r="AI15" s="499" t="e">
        <f t="shared" si="25"/>
        <v>#DIV/0!</v>
      </c>
      <c r="AJ15">
        <v>6</v>
      </c>
      <c r="AK15" s="500" t="s">
        <v>102</v>
      </c>
      <c r="AL15" s="500" t="e">
        <f t="shared" si="7"/>
        <v>#DIV/0!</v>
      </c>
      <c r="AM15" s="500">
        <f t="shared" si="8"/>
        <v>0</v>
      </c>
      <c r="AN15" s="500">
        <f t="shared" si="9"/>
        <v>0</v>
      </c>
      <c r="AO15" s="501">
        <f t="shared" si="10"/>
        <v>0</v>
      </c>
      <c r="AP15" s="501">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f t="shared" si="16"/>
        <v>0</v>
      </c>
      <c r="T16" s="19">
        <f t="shared" si="17"/>
        <v>0</v>
      </c>
      <c r="U16" s="19"/>
      <c r="V16" s="2">
        <f>'PIM Model'!$C$14</f>
        <v>0</v>
      </c>
      <c r="W16" s="645" t="e">
        <f>'Multi-Customer'!M18</f>
        <v>#DIV/0!</v>
      </c>
      <c r="X16" s="19" t="e">
        <f t="shared" si="18"/>
        <v>#DIV/0!</v>
      </c>
      <c r="Y16" s="351" t="e">
        <f t="shared" si="19"/>
        <v>#DIV/0!</v>
      </c>
      <c r="Z16" s="351" t="e">
        <f t="shared" si="20"/>
        <v>#DIV/0!</v>
      </c>
      <c r="AA16" s="351" t="e">
        <f t="shared" si="21"/>
        <v>#DIV/0!</v>
      </c>
      <c r="AB16" s="646" t="e">
        <f t="shared" si="22"/>
        <v>#DIV/0!</v>
      </c>
      <c r="AC16" s="646" t="e">
        <f t="shared" si="23"/>
        <v>#DIV/0!</v>
      </c>
      <c r="AD16" s="351" t="e">
        <f t="shared" si="5"/>
        <v>#DIV/0!</v>
      </c>
      <c r="AE16" s="351"/>
      <c r="AF16" s="351" t="e">
        <f t="shared" si="24"/>
        <v>#DIV/0!</v>
      </c>
      <c r="AG16" s="39">
        <f>'PIM Model'!B14</f>
        <v>0</v>
      </c>
      <c r="AH16" s="499" t="e">
        <f t="shared" si="6"/>
        <v>#DIV/0!</v>
      </c>
      <c r="AI16" s="499" t="e">
        <f t="shared" si="25"/>
        <v>#DIV/0!</v>
      </c>
      <c r="AJ16">
        <v>7</v>
      </c>
      <c r="AK16" s="500" t="s">
        <v>100</v>
      </c>
      <c r="AL16" s="500" t="e">
        <f t="shared" si="7"/>
        <v>#DIV/0!</v>
      </c>
      <c r="AM16" s="500">
        <f t="shared" si="8"/>
        <v>0</v>
      </c>
      <c r="AN16" s="500">
        <f t="shared" si="9"/>
        <v>0</v>
      </c>
      <c r="AO16" s="501">
        <f t="shared" si="10"/>
        <v>0</v>
      </c>
      <c r="AP16" s="501">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f t="shared" si="16"/>
        <v>0</v>
      </c>
      <c r="T17" s="19">
        <f t="shared" si="17"/>
        <v>0</v>
      </c>
      <c r="U17" s="19"/>
      <c r="V17" s="2">
        <f>'PIM Model'!$C$15</f>
        <v>0</v>
      </c>
      <c r="W17" s="645" t="e">
        <f>'Multi-Customer'!M19</f>
        <v>#DIV/0!</v>
      </c>
      <c r="X17" s="19" t="e">
        <f t="shared" si="18"/>
        <v>#DIV/0!</v>
      </c>
      <c r="Y17" s="351" t="e">
        <f t="shared" si="19"/>
        <v>#DIV/0!</v>
      </c>
      <c r="Z17" s="351" t="e">
        <f t="shared" si="20"/>
        <v>#DIV/0!</v>
      </c>
      <c r="AA17" s="351" t="e">
        <f t="shared" si="21"/>
        <v>#DIV/0!</v>
      </c>
      <c r="AB17" s="646" t="e">
        <f t="shared" si="22"/>
        <v>#DIV/0!</v>
      </c>
      <c r="AC17" s="646" t="e">
        <f t="shared" si="23"/>
        <v>#DIV/0!</v>
      </c>
      <c r="AD17" s="351" t="e">
        <f t="shared" si="5"/>
        <v>#DIV/0!</v>
      </c>
      <c r="AE17" s="351"/>
      <c r="AF17" s="351" t="e">
        <f t="shared" si="24"/>
        <v>#DIV/0!</v>
      </c>
      <c r="AG17" s="39">
        <f>'PIM Model'!B15</f>
        <v>0</v>
      </c>
      <c r="AH17" s="499" t="e">
        <f t="shared" si="6"/>
        <v>#DIV/0!</v>
      </c>
      <c r="AI17" s="499" t="e">
        <f t="shared" si="25"/>
        <v>#DIV/0!</v>
      </c>
      <c r="AJ17">
        <v>8</v>
      </c>
      <c r="AK17" s="500" t="s">
        <v>104</v>
      </c>
      <c r="AL17" s="500" t="e">
        <f t="shared" si="7"/>
        <v>#DIV/0!</v>
      </c>
      <c r="AM17" s="500">
        <f t="shared" si="8"/>
        <v>0</v>
      </c>
      <c r="AN17" s="500">
        <f t="shared" si="9"/>
        <v>0</v>
      </c>
      <c r="AO17" s="501">
        <f t="shared" si="10"/>
        <v>0</v>
      </c>
      <c r="AP17" s="501">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f t="shared" si="16"/>
        <v>0</v>
      </c>
      <c r="T18" s="19">
        <f t="shared" si="17"/>
        <v>0</v>
      </c>
      <c r="U18" s="19"/>
      <c r="V18" s="2">
        <f>'PIM Model'!$C$16</f>
        <v>0</v>
      </c>
      <c r="W18" s="645" t="e">
        <f>'Multi-Customer'!M20</f>
        <v>#DIV/0!</v>
      </c>
      <c r="X18" s="19" t="e">
        <f t="shared" si="18"/>
        <v>#DIV/0!</v>
      </c>
      <c r="Y18" s="351" t="e">
        <f t="shared" si="19"/>
        <v>#DIV/0!</v>
      </c>
      <c r="Z18" s="351" t="e">
        <f t="shared" si="20"/>
        <v>#DIV/0!</v>
      </c>
      <c r="AA18" s="351" t="e">
        <f t="shared" si="21"/>
        <v>#DIV/0!</v>
      </c>
      <c r="AB18" s="646" t="e">
        <f t="shared" si="22"/>
        <v>#DIV/0!</v>
      </c>
      <c r="AC18" s="646" t="e">
        <f t="shared" si="23"/>
        <v>#DIV/0!</v>
      </c>
      <c r="AD18" s="351" t="e">
        <f t="shared" si="5"/>
        <v>#DIV/0!</v>
      </c>
      <c r="AE18" s="351"/>
      <c r="AF18" s="351" t="e">
        <f t="shared" si="24"/>
        <v>#DIV/0!</v>
      </c>
      <c r="AG18" s="39">
        <f>'PIM Model'!B16</f>
        <v>0</v>
      </c>
      <c r="AH18" s="499" t="e">
        <f t="shared" si="6"/>
        <v>#DIV/0!</v>
      </c>
      <c r="AI18" s="499" t="e">
        <f t="shared" si="25"/>
        <v>#DIV/0!</v>
      </c>
      <c r="AJ18">
        <v>9</v>
      </c>
      <c r="AK18" s="500" t="s">
        <v>98</v>
      </c>
      <c r="AL18" s="500" t="e">
        <f t="shared" si="7"/>
        <v>#DIV/0!</v>
      </c>
      <c r="AM18" s="500">
        <f t="shared" si="8"/>
        <v>0</v>
      </c>
      <c r="AN18" s="500">
        <f t="shared" si="9"/>
        <v>0</v>
      </c>
      <c r="AO18" s="501">
        <f t="shared" si="10"/>
        <v>0</v>
      </c>
      <c r="AP18" s="501">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f t="shared" si="16"/>
        <v>0</v>
      </c>
      <c r="T19" s="19">
        <f t="shared" si="17"/>
        <v>0</v>
      </c>
      <c r="U19" s="19"/>
      <c r="V19" s="2">
        <f>'PIM Model'!$C$17</f>
        <v>0</v>
      </c>
      <c r="W19" s="645" t="e">
        <f>'Multi-Customer'!M21</f>
        <v>#DIV/0!</v>
      </c>
      <c r="X19" s="19" t="e">
        <f t="shared" si="18"/>
        <v>#DIV/0!</v>
      </c>
      <c r="Y19" s="351" t="e">
        <f t="shared" si="19"/>
        <v>#DIV/0!</v>
      </c>
      <c r="Z19" s="351" t="e">
        <f t="shared" si="20"/>
        <v>#DIV/0!</v>
      </c>
      <c r="AA19" s="351" t="e">
        <f t="shared" si="21"/>
        <v>#DIV/0!</v>
      </c>
      <c r="AB19" s="646" t="e">
        <f t="shared" si="22"/>
        <v>#DIV/0!</v>
      </c>
      <c r="AC19" s="646" t="e">
        <f t="shared" si="23"/>
        <v>#DIV/0!</v>
      </c>
      <c r="AD19" s="351" t="e">
        <f t="shared" si="5"/>
        <v>#DIV/0!</v>
      </c>
      <c r="AE19" s="351"/>
      <c r="AF19" s="351" t="e">
        <f t="shared" si="24"/>
        <v>#DIV/0!</v>
      </c>
      <c r="AG19" s="39">
        <f>'PIM Model'!B17</f>
        <v>0</v>
      </c>
      <c r="AH19" s="499" t="e">
        <f t="shared" si="6"/>
        <v>#DIV/0!</v>
      </c>
      <c r="AI19" s="499" t="e">
        <f t="shared" si="25"/>
        <v>#DIV/0!</v>
      </c>
      <c r="AJ19">
        <v>10</v>
      </c>
      <c r="AK19" s="500" t="s">
        <v>95</v>
      </c>
      <c r="AL19" s="500" t="e">
        <f t="shared" si="7"/>
        <v>#DIV/0!</v>
      </c>
      <c r="AM19" s="500">
        <f t="shared" si="8"/>
        <v>0</v>
      </c>
      <c r="AN19" s="500">
        <f t="shared" si="9"/>
        <v>0</v>
      </c>
      <c r="AO19" s="501">
        <f t="shared" si="10"/>
        <v>0</v>
      </c>
      <c r="AP19" s="501">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f t="shared" si="16"/>
        <v>0</v>
      </c>
      <c r="T20" s="19">
        <f t="shared" si="17"/>
        <v>0</v>
      </c>
      <c r="U20" s="19"/>
      <c r="V20" s="2">
        <f>'PIM Model'!$C$18</f>
        <v>0</v>
      </c>
      <c r="W20" s="645" t="e">
        <f>'Multi-Customer'!M22</f>
        <v>#DIV/0!</v>
      </c>
      <c r="X20" s="19" t="e">
        <f t="shared" si="18"/>
        <v>#DIV/0!</v>
      </c>
      <c r="Y20" s="351" t="e">
        <f t="shared" si="19"/>
        <v>#DIV/0!</v>
      </c>
      <c r="Z20" s="351" t="e">
        <f t="shared" si="20"/>
        <v>#DIV/0!</v>
      </c>
      <c r="AA20" s="351" t="e">
        <f t="shared" si="21"/>
        <v>#DIV/0!</v>
      </c>
      <c r="AB20" s="646" t="e">
        <f t="shared" si="22"/>
        <v>#DIV/0!</v>
      </c>
      <c r="AC20" s="646" t="e">
        <f t="shared" si="23"/>
        <v>#DIV/0!</v>
      </c>
      <c r="AD20" s="351" t="e">
        <f t="shared" si="5"/>
        <v>#DIV/0!</v>
      </c>
      <c r="AE20" s="351"/>
      <c r="AF20" s="351" t="e">
        <f t="shared" si="24"/>
        <v>#DIV/0!</v>
      </c>
      <c r="AG20" s="39">
        <f>'PIM Model'!B18</f>
        <v>0</v>
      </c>
      <c r="AH20" s="499" t="e">
        <f t="shared" si="6"/>
        <v>#DIV/0!</v>
      </c>
      <c r="AI20" s="499" t="e">
        <f t="shared" si="25"/>
        <v>#DIV/0!</v>
      </c>
      <c r="AJ20">
        <v>11</v>
      </c>
      <c r="AK20" s="500" t="s">
        <v>96</v>
      </c>
      <c r="AL20" s="500" t="e">
        <f t="shared" si="7"/>
        <v>#DIV/0!</v>
      </c>
      <c r="AM20" s="500">
        <f t="shared" si="8"/>
        <v>0</v>
      </c>
      <c r="AN20" s="500">
        <f t="shared" si="9"/>
        <v>0</v>
      </c>
      <c r="AO20" s="501">
        <f t="shared" si="10"/>
        <v>0</v>
      </c>
      <c r="AP20" s="501">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f t="shared" si="16"/>
        <v>0</v>
      </c>
      <c r="T21" s="19">
        <f t="shared" si="17"/>
        <v>0</v>
      </c>
      <c r="U21" s="19"/>
      <c r="V21" s="2">
        <f>'PIM Model'!$C$19</f>
        <v>0</v>
      </c>
      <c r="W21" s="645" t="e">
        <f>'Multi-Customer'!M23</f>
        <v>#DIV/0!</v>
      </c>
      <c r="X21" s="19" t="e">
        <f t="shared" si="18"/>
        <v>#DIV/0!</v>
      </c>
      <c r="Y21" s="351" t="e">
        <f t="shared" si="19"/>
        <v>#DIV/0!</v>
      </c>
      <c r="Z21" s="351" t="e">
        <f t="shared" si="20"/>
        <v>#DIV/0!</v>
      </c>
      <c r="AA21" s="351" t="e">
        <f t="shared" si="21"/>
        <v>#DIV/0!</v>
      </c>
      <c r="AB21" s="646" t="e">
        <f t="shared" si="22"/>
        <v>#DIV/0!</v>
      </c>
      <c r="AC21" s="646" t="e">
        <f t="shared" si="23"/>
        <v>#DIV/0!</v>
      </c>
      <c r="AD21" s="351" t="e">
        <f t="shared" si="5"/>
        <v>#DIV/0!</v>
      </c>
      <c r="AE21" s="351"/>
      <c r="AF21" s="351" t="e">
        <f t="shared" si="24"/>
        <v>#DIV/0!</v>
      </c>
      <c r="AG21" s="39">
        <f>'PIM Model'!B19</f>
        <v>0</v>
      </c>
      <c r="AH21" s="499" t="e">
        <f t="shared" si="6"/>
        <v>#DIV/0!</v>
      </c>
      <c r="AI21" s="499" t="e">
        <f t="shared" si="25"/>
        <v>#DIV/0!</v>
      </c>
      <c r="AJ21">
        <v>12</v>
      </c>
      <c r="AK21" s="500" t="s">
        <v>101</v>
      </c>
      <c r="AL21" s="500" t="e">
        <f t="shared" si="7"/>
        <v>#DIV/0!</v>
      </c>
      <c r="AM21" s="500">
        <f t="shared" si="8"/>
        <v>0</v>
      </c>
      <c r="AN21" s="500">
        <f t="shared" si="9"/>
        <v>0</v>
      </c>
      <c r="AO21" s="501">
        <f t="shared" si="10"/>
        <v>0</v>
      </c>
      <c r="AP21" s="501">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f t="shared" si="16"/>
        <v>0</v>
      </c>
      <c r="T22" s="19">
        <f t="shared" si="17"/>
        <v>0</v>
      </c>
      <c r="U22" s="19"/>
      <c r="V22" s="2">
        <f>'PIM Model'!$C$20</f>
        <v>0</v>
      </c>
      <c r="W22" s="645" t="e">
        <f>'Multi-Customer'!M24</f>
        <v>#DIV/0!</v>
      </c>
      <c r="X22" s="19" t="e">
        <f t="shared" si="18"/>
        <v>#DIV/0!</v>
      </c>
      <c r="Y22" s="351" t="e">
        <f t="shared" si="19"/>
        <v>#DIV/0!</v>
      </c>
      <c r="Z22" s="351" t="e">
        <f t="shared" si="20"/>
        <v>#DIV/0!</v>
      </c>
      <c r="AA22" s="351" t="e">
        <f t="shared" si="21"/>
        <v>#DIV/0!</v>
      </c>
      <c r="AB22" s="646" t="e">
        <f t="shared" si="22"/>
        <v>#DIV/0!</v>
      </c>
      <c r="AC22" s="646" t="e">
        <f t="shared" si="23"/>
        <v>#DIV/0!</v>
      </c>
      <c r="AD22" s="351" t="e">
        <f t="shared" si="5"/>
        <v>#DIV/0!</v>
      </c>
      <c r="AE22" s="351"/>
      <c r="AF22" s="351" t="e">
        <f t="shared" si="24"/>
        <v>#DIV/0!</v>
      </c>
      <c r="AG22" s="39">
        <f>'PIM Model'!B20</f>
        <v>0</v>
      </c>
      <c r="AH22" s="499" t="e">
        <f t="shared" si="6"/>
        <v>#DIV/0!</v>
      </c>
      <c r="AI22" s="499" t="e">
        <f t="shared" si="25"/>
        <v>#DIV/0!</v>
      </c>
      <c r="AJ22">
        <v>13</v>
      </c>
      <c r="AK22" s="500" t="s">
        <v>97</v>
      </c>
      <c r="AL22" s="500" t="e">
        <f t="shared" si="7"/>
        <v>#DIV/0!</v>
      </c>
      <c r="AM22" s="500">
        <f t="shared" si="8"/>
        <v>0</v>
      </c>
      <c r="AN22" s="500">
        <f t="shared" si="9"/>
        <v>0</v>
      </c>
      <c r="AO22" s="501">
        <f t="shared" si="10"/>
        <v>0</v>
      </c>
      <c r="AP22" s="501">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f t="shared" si="16"/>
        <v>0</v>
      </c>
      <c r="T23" s="19">
        <f t="shared" si="17"/>
        <v>0</v>
      </c>
      <c r="U23" s="19"/>
      <c r="V23" s="2">
        <f>'PIM Model'!$C$21</f>
        <v>0</v>
      </c>
      <c r="W23" s="645" t="e">
        <f>'Multi-Customer'!M25</f>
        <v>#DIV/0!</v>
      </c>
      <c r="X23" s="19" t="e">
        <f t="shared" si="18"/>
        <v>#DIV/0!</v>
      </c>
      <c r="Y23" s="351" t="e">
        <f t="shared" si="19"/>
        <v>#DIV/0!</v>
      </c>
      <c r="Z23" s="351" t="e">
        <f t="shared" si="20"/>
        <v>#DIV/0!</v>
      </c>
      <c r="AA23" s="351" t="e">
        <f t="shared" si="21"/>
        <v>#DIV/0!</v>
      </c>
      <c r="AB23" s="646" t="e">
        <f t="shared" si="22"/>
        <v>#DIV/0!</v>
      </c>
      <c r="AC23" s="646" t="e">
        <f t="shared" si="23"/>
        <v>#DIV/0!</v>
      </c>
      <c r="AD23" s="351" t="e">
        <f t="shared" si="5"/>
        <v>#DIV/0!</v>
      </c>
      <c r="AE23" s="351"/>
      <c r="AF23" s="351" t="e">
        <f t="shared" si="24"/>
        <v>#DIV/0!</v>
      </c>
      <c r="AG23" s="39">
        <f>'PIM Model'!B21</f>
        <v>0</v>
      </c>
      <c r="AH23" s="499" t="e">
        <f t="shared" si="6"/>
        <v>#DIV/0!</v>
      </c>
      <c r="AI23" s="499" t="e">
        <f t="shared" si="25"/>
        <v>#DIV/0!</v>
      </c>
      <c r="AJ23">
        <v>14</v>
      </c>
      <c r="AK23" s="500" t="s">
        <v>93</v>
      </c>
      <c r="AL23" s="500" t="e">
        <f t="shared" si="7"/>
        <v>#DIV/0!</v>
      </c>
      <c r="AM23" s="500">
        <f t="shared" si="8"/>
        <v>0</v>
      </c>
      <c r="AN23" s="500">
        <f t="shared" si="9"/>
        <v>0</v>
      </c>
      <c r="AO23" s="501">
        <f t="shared" si="10"/>
        <v>0</v>
      </c>
      <c r="AP23" s="501">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f t="shared" si="16"/>
        <v>0</v>
      </c>
      <c r="T24" s="19">
        <f t="shared" si="17"/>
        <v>0</v>
      </c>
      <c r="U24" s="19"/>
      <c r="V24" s="2">
        <f>'PIM Model'!$C$22</f>
        <v>0</v>
      </c>
      <c r="W24" s="645" t="e">
        <f>'Multi-Customer'!M26</f>
        <v>#DIV/0!</v>
      </c>
      <c r="X24" s="19" t="e">
        <f t="shared" si="18"/>
        <v>#DIV/0!</v>
      </c>
      <c r="Y24" s="351" t="e">
        <f t="shared" si="19"/>
        <v>#DIV/0!</v>
      </c>
      <c r="Z24" s="351" t="e">
        <f t="shared" si="20"/>
        <v>#DIV/0!</v>
      </c>
      <c r="AA24" s="351" t="e">
        <f t="shared" si="21"/>
        <v>#DIV/0!</v>
      </c>
      <c r="AB24" s="646" t="e">
        <f t="shared" si="22"/>
        <v>#DIV/0!</v>
      </c>
      <c r="AC24" s="646" t="e">
        <f t="shared" si="23"/>
        <v>#DIV/0!</v>
      </c>
      <c r="AD24" s="351" t="e">
        <f t="shared" si="5"/>
        <v>#DIV/0!</v>
      </c>
      <c r="AE24" s="351"/>
      <c r="AF24" s="351" t="e">
        <f t="shared" si="24"/>
        <v>#DIV/0!</v>
      </c>
      <c r="AG24" s="39">
        <f>'PIM Model'!B22</f>
        <v>0</v>
      </c>
      <c r="AH24" s="499" t="e">
        <f t="shared" si="6"/>
        <v>#DIV/0!</v>
      </c>
      <c r="AI24" s="499" t="e">
        <f t="shared" si="25"/>
        <v>#DIV/0!</v>
      </c>
      <c r="AJ24">
        <v>15</v>
      </c>
      <c r="AK24" s="500" t="s">
        <v>105</v>
      </c>
      <c r="AL24" s="500" t="e">
        <f t="shared" si="7"/>
        <v>#DIV/0!</v>
      </c>
      <c r="AM24" s="500">
        <f t="shared" si="8"/>
        <v>0</v>
      </c>
      <c r="AN24" s="500">
        <f t="shared" si="9"/>
        <v>0</v>
      </c>
      <c r="AO24" s="501">
        <f t="shared" si="10"/>
        <v>0</v>
      </c>
      <c r="AP24" s="501">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f t="shared" si="16"/>
        <v>0</v>
      </c>
      <c r="T25" s="19">
        <f t="shared" si="17"/>
        <v>0</v>
      </c>
      <c r="U25" s="19"/>
      <c r="V25" s="2">
        <f>'PIM Model'!$C$23</f>
        <v>0</v>
      </c>
      <c r="W25" s="645" t="e">
        <f>'Multi-Customer'!M27</f>
        <v>#DIV/0!</v>
      </c>
      <c r="X25" s="19" t="e">
        <f t="shared" si="18"/>
        <v>#DIV/0!</v>
      </c>
      <c r="Y25" s="351" t="e">
        <f t="shared" si="19"/>
        <v>#DIV/0!</v>
      </c>
      <c r="Z25" s="351" t="e">
        <f t="shared" si="20"/>
        <v>#DIV/0!</v>
      </c>
      <c r="AA25" s="351" t="e">
        <f t="shared" si="21"/>
        <v>#DIV/0!</v>
      </c>
      <c r="AB25" s="646" t="e">
        <f t="shared" si="22"/>
        <v>#DIV/0!</v>
      </c>
      <c r="AC25" s="646" t="e">
        <f t="shared" si="23"/>
        <v>#DIV/0!</v>
      </c>
      <c r="AD25" s="351" t="e">
        <f t="shared" si="5"/>
        <v>#DIV/0!</v>
      </c>
      <c r="AE25" s="351"/>
      <c r="AF25" s="351" t="e">
        <f t="shared" si="24"/>
        <v>#DIV/0!</v>
      </c>
      <c r="AG25" s="39">
        <f>'PIM Model'!B23</f>
        <v>0</v>
      </c>
      <c r="AH25" s="499" t="e">
        <f t="shared" si="6"/>
        <v>#DIV/0!</v>
      </c>
      <c r="AI25" s="499" t="e">
        <f t="shared" si="25"/>
        <v>#DIV/0!</v>
      </c>
      <c r="AJ25">
        <v>16</v>
      </c>
      <c r="AK25" s="500" t="s">
        <v>92</v>
      </c>
      <c r="AL25" s="500" t="e">
        <f t="shared" si="7"/>
        <v>#DIV/0!</v>
      </c>
      <c r="AM25" s="500">
        <f t="shared" si="8"/>
        <v>0</v>
      </c>
      <c r="AN25" s="500">
        <f t="shared" si="9"/>
        <v>0</v>
      </c>
      <c r="AO25" s="501">
        <f t="shared" si="10"/>
        <v>0</v>
      </c>
      <c r="AP25" s="501">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f t="shared" si="16"/>
        <v>0</v>
      </c>
      <c r="T26" s="19">
        <f t="shared" si="17"/>
        <v>0</v>
      </c>
      <c r="U26" s="19"/>
      <c r="V26" s="2">
        <f>'PIM Model'!$C$24</f>
        <v>0</v>
      </c>
      <c r="W26" s="645" t="e">
        <f>'Multi-Customer'!M28</f>
        <v>#DIV/0!</v>
      </c>
      <c r="X26" s="19" t="e">
        <f t="shared" si="18"/>
        <v>#DIV/0!</v>
      </c>
      <c r="Y26" s="351" t="e">
        <f t="shared" si="19"/>
        <v>#DIV/0!</v>
      </c>
      <c r="Z26" s="351" t="e">
        <f t="shared" si="20"/>
        <v>#DIV/0!</v>
      </c>
      <c r="AA26" s="351" t="e">
        <f t="shared" si="21"/>
        <v>#DIV/0!</v>
      </c>
      <c r="AB26" s="646" t="e">
        <f t="shared" si="22"/>
        <v>#DIV/0!</v>
      </c>
      <c r="AC26" s="646" t="e">
        <f t="shared" si="23"/>
        <v>#DIV/0!</v>
      </c>
      <c r="AD26" s="351" t="e">
        <f t="shared" si="5"/>
        <v>#DIV/0!</v>
      </c>
      <c r="AE26" s="351"/>
      <c r="AF26" s="351" t="e">
        <f t="shared" si="24"/>
        <v>#DIV/0!</v>
      </c>
      <c r="AG26" s="39">
        <f>'PIM Model'!B24</f>
        <v>0</v>
      </c>
      <c r="AH26" s="499" t="e">
        <f t="shared" si="6"/>
        <v>#DIV/0!</v>
      </c>
      <c r="AI26" s="499" t="e">
        <f t="shared" si="25"/>
        <v>#DIV/0!</v>
      </c>
      <c r="AJ26">
        <v>17</v>
      </c>
      <c r="AK26" s="500" t="s">
        <v>91</v>
      </c>
      <c r="AL26" s="500" t="e">
        <f t="shared" si="7"/>
        <v>#DIV/0!</v>
      </c>
      <c r="AM26" s="500">
        <f t="shared" si="8"/>
        <v>0</v>
      </c>
      <c r="AN26" s="500">
        <f t="shared" si="9"/>
        <v>0</v>
      </c>
      <c r="AO26" s="501">
        <f t="shared" si="10"/>
        <v>0</v>
      </c>
      <c r="AP26" s="501">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f t="shared" si="16"/>
        <v>0</v>
      </c>
      <c r="T27" s="19">
        <f t="shared" si="17"/>
        <v>0</v>
      </c>
      <c r="U27" s="19"/>
      <c r="V27" s="2">
        <f>'PIM Model'!$C$25</f>
        <v>0</v>
      </c>
      <c r="W27" s="645" t="e">
        <f>'Multi-Customer'!M29</f>
        <v>#DIV/0!</v>
      </c>
      <c r="X27" s="19" t="e">
        <f t="shared" si="18"/>
        <v>#DIV/0!</v>
      </c>
      <c r="Y27" s="351" t="e">
        <f t="shared" si="19"/>
        <v>#DIV/0!</v>
      </c>
      <c r="Z27" s="351" t="e">
        <f t="shared" si="20"/>
        <v>#DIV/0!</v>
      </c>
      <c r="AA27" s="351" t="e">
        <f t="shared" si="21"/>
        <v>#DIV/0!</v>
      </c>
      <c r="AB27" s="646" t="e">
        <f t="shared" si="22"/>
        <v>#DIV/0!</v>
      </c>
      <c r="AC27" s="646" t="e">
        <f t="shared" si="23"/>
        <v>#DIV/0!</v>
      </c>
      <c r="AD27" s="351" t="e">
        <f t="shared" si="5"/>
        <v>#DIV/0!</v>
      </c>
      <c r="AE27" s="351"/>
      <c r="AF27" s="351" t="e">
        <f t="shared" si="24"/>
        <v>#DIV/0!</v>
      </c>
      <c r="AG27" s="39">
        <f>'PIM Model'!B25</f>
        <v>0</v>
      </c>
      <c r="AH27" s="499" t="e">
        <f t="shared" si="6"/>
        <v>#DIV/0!</v>
      </c>
      <c r="AI27" s="499" t="e">
        <f t="shared" si="25"/>
        <v>#DIV/0!</v>
      </c>
      <c r="AJ27">
        <v>18</v>
      </c>
      <c r="AK27" s="500" t="s">
        <v>90</v>
      </c>
      <c r="AL27" s="500" t="e">
        <f t="shared" si="7"/>
        <v>#DIV/0!</v>
      </c>
      <c r="AM27" s="500">
        <f t="shared" si="8"/>
        <v>0</v>
      </c>
      <c r="AN27" s="500">
        <f t="shared" si="9"/>
        <v>0</v>
      </c>
      <c r="AO27" s="501">
        <f t="shared" si="10"/>
        <v>0</v>
      </c>
      <c r="AP27" s="501">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f t="shared" si="16"/>
        <v>0</v>
      </c>
      <c r="T28" s="19">
        <f t="shared" si="17"/>
        <v>0</v>
      </c>
      <c r="U28" s="19"/>
      <c r="V28" s="2">
        <f>'PIM Model'!$C$26</f>
        <v>0</v>
      </c>
      <c r="W28" s="645" t="e">
        <f>'Multi-Customer'!M30</f>
        <v>#DIV/0!</v>
      </c>
      <c r="X28" s="19" t="e">
        <f t="shared" si="18"/>
        <v>#DIV/0!</v>
      </c>
      <c r="Y28" s="351" t="e">
        <f t="shared" si="19"/>
        <v>#DIV/0!</v>
      </c>
      <c r="Z28" s="351" t="e">
        <f t="shared" si="20"/>
        <v>#DIV/0!</v>
      </c>
      <c r="AA28" s="351" t="e">
        <f t="shared" si="21"/>
        <v>#DIV/0!</v>
      </c>
      <c r="AB28" s="646" t="e">
        <f t="shared" si="22"/>
        <v>#DIV/0!</v>
      </c>
      <c r="AC28" s="646" t="e">
        <f t="shared" si="23"/>
        <v>#DIV/0!</v>
      </c>
      <c r="AD28" s="351" t="e">
        <f t="shared" si="5"/>
        <v>#DIV/0!</v>
      </c>
      <c r="AE28" s="351"/>
      <c r="AF28" s="351" t="e">
        <f t="shared" si="24"/>
        <v>#DIV/0!</v>
      </c>
      <c r="AG28" s="39">
        <f>'PIM Model'!B26</f>
        <v>0</v>
      </c>
      <c r="AH28" s="499" t="e">
        <f t="shared" si="6"/>
        <v>#DIV/0!</v>
      </c>
      <c r="AI28" s="499" t="e">
        <f t="shared" si="25"/>
        <v>#DIV/0!</v>
      </c>
      <c r="AJ28">
        <v>19</v>
      </c>
      <c r="AK28" s="500" t="s">
        <v>89</v>
      </c>
      <c r="AL28" s="500" t="e">
        <f t="shared" si="7"/>
        <v>#DIV/0!</v>
      </c>
      <c r="AM28" s="500">
        <f t="shared" si="8"/>
        <v>0</v>
      </c>
      <c r="AN28" s="500">
        <f t="shared" si="9"/>
        <v>0</v>
      </c>
      <c r="AO28" s="501">
        <f t="shared" si="10"/>
        <v>0</v>
      </c>
      <c r="AP28" s="501">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f t="shared" si="16"/>
        <v>0</v>
      </c>
      <c r="T29" s="19">
        <f t="shared" si="17"/>
        <v>0</v>
      </c>
      <c r="U29" s="19"/>
      <c r="V29" s="2">
        <f>'PIM Model'!$C$27</f>
        <v>0</v>
      </c>
      <c r="W29" s="645" t="e">
        <f>'Multi-Customer'!M31</f>
        <v>#DIV/0!</v>
      </c>
      <c r="X29" s="19" t="e">
        <f t="shared" si="18"/>
        <v>#DIV/0!</v>
      </c>
      <c r="Y29" s="351" t="e">
        <f t="shared" si="19"/>
        <v>#DIV/0!</v>
      </c>
      <c r="Z29" s="351" t="e">
        <f t="shared" si="20"/>
        <v>#DIV/0!</v>
      </c>
      <c r="AA29" s="351" t="e">
        <f t="shared" si="21"/>
        <v>#DIV/0!</v>
      </c>
      <c r="AB29" s="646" t="e">
        <f t="shared" si="22"/>
        <v>#DIV/0!</v>
      </c>
      <c r="AC29" s="646" t="e">
        <f t="shared" si="23"/>
        <v>#DIV/0!</v>
      </c>
      <c r="AD29" s="351" t="e">
        <f t="shared" si="5"/>
        <v>#DIV/0!</v>
      </c>
      <c r="AE29" s="351"/>
      <c r="AF29" s="351" t="e">
        <f t="shared" si="24"/>
        <v>#DIV/0!</v>
      </c>
      <c r="AG29" s="39">
        <f>'PIM Model'!B27</f>
        <v>0</v>
      </c>
      <c r="AH29" s="499" t="e">
        <f t="shared" si="6"/>
        <v>#DIV/0!</v>
      </c>
      <c r="AI29" s="499" t="e">
        <f t="shared" si="25"/>
        <v>#DIV/0!</v>
      </c>
      <c r="AJ29">
        <v>20</v>
      </c>
      <c r="AK29" s="500" t="s">
        <v>94</v>
      </c>
      <c r="AL29" s="500" t="e">
        <f t="shared" si="7"/>
        <v>#DIV/0!</v>
      </c>
      <c r="AM29" s="500">
        <f t="shared" si="8"/>
        <v>0</v>
      </c>
      <c r="AN29" s="500">
        <f t="shared" si="9"/>
        <v>0</v>
      </c>
      <c r="AO29" s="501">
        <f t="shared" si="10"/>
        <v>0</v>
      </c>
      <c r="AP29" s="501">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f t="shared" si="16"/>
        <v>0</v>
      </c>
      <c r="T30" s="19">
        <f t="shared" si="17"/>
        <v>0</v>
      </c>
      <c r="U30" s="19"/>
      <c r="V30" s="2">
        <f>'PIM Model'!$C$28</f>
        <v>0</v>
      </c>
      <c r="W30" s="645" t="e">
        <f>'Multi-Customer'!M32</f>
        <v>#DIV/0!</v>
      </c>
      <c r="X30" s="19" t="e">
        <f t="shared" si="18"/>
        <v>#DIV/0!</v>
      </c>
      <c r="Y30" s="351" t="e">
        <f t="shared" si="19"/>
        <v>#DIV/0!</v>
      </c>
      <c r="Z30" s="351" t="e">
        <f t="shared" si="20"/>
        <v>#DIV/0!</v>
      </c>
      <c r="AA30" s="351" t="e">
        <f t="shared" si="21"/>
        <v>#DIV/0!</v>
      </c>
      <c r="AB30" s="646" t="e">
        <f t="shared" si="22"/>
        <v>#DIV/0!</v>
      </c>
      <c r="AC30" s="646" t="e">
        <f t="shared" si="23"/>
        <v>#DIV/0!</v>
      </c>
      <c r="AD30" s="351" t="e">
        <f t="shared" si="5"/>
        <v>#DIV/0!</v>
      </c>
      <c r="AE30" s="351"/>
      <c r="AF30" s="351" t="e">
        <f t="shared" si="24"/>
        <v>#DIV/0!</v>
      </c>
      <c r="AG30" s="39">
        <f>'PIM Model'!B28</f>
        <v>0</v>
      </c>
      <c r="AH30" s="499" t="e">
        <f t="shared" si="6"/>
        <v>#DIV/0!</v>
      </c>
      <c r="AI30" s="499" t="e">
        <f t="shared" si="25"/>
        <v>#DIV/0!</v>
      </c>
      <c r="AJ30">
        <v>21</v>
      </c>
      <c r="AK30" s="500" t="s">
        <v>86</v>
      </c>
      <c r="AL30" s="500" t="e">
        <f t="shared" si="7"/>
        <v>#DIV/0!</v>
      </c>
      <c r="AM30" s="500">
        <f t="shared" si="8"/>
        <v>0</v>
      </c>
      <c r="AN30" s="500">
        <f t="shared" si="9"/>
        <v>0</v>
      </c>
      <c r="AO30" s="501">
        <f t="shared" si="10"/>
        <v>0</v>
      </c>
      <c r="AP30" s="501">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f t="shared" si="16"/>
        <v>0</v>
      </c>
      <c r="T31" s="19">
        <f t="shared" si="17"/>
        <v>0</v>
      </c>
      <c r="U31" s="19"/>
      <c r="V31" s="2">
        <f>'PIM Model'!$C$29</f>
        <v>0</v>
      </c>
      <c r="W31" s="645" t="e">
        <f>'Multi-Customer'!M33</f>
        <v>#DIV/0!</v>
      </c>
      <c r="X31" s="19" t="e">
        <f t="shared" si="18"/>
        <v>#DIV/0!</v>
      </c>
      <c r="Y31" s="351" t="e">
        <f t="shared" si="19"/>
        <v>#DIV/0!</v>
      </c>
      <c r="Z31" s="351" t="e">
        <f t="shared" si="20"/>
        <v>#DIV/0!</v>
      </c>
      <c r="AA31" s="351" t="e">
        <f t="shared" si="21"/>
        <v>#DIV/0!</v>
      </c>
      <c r="AB31" s="646" t="e">
        <f t="shared" si="22"/>
        <v>#DIV/0!</v>
      </c>
      <c r="AC31" s="646" t="e">
        <f t="shared" si="23"/>
        <v>#DIV/0!</v>
      </c>
      <c r="AD31" s="351" t="e">
        <f t="shared" si="5"/>
        <v>#DIV/0!</v>
      </c>
      <c r="AE31" s="351"/>
      <c r="AF31" s="351" t="e">
        <f t="shared" si="24"/>
        <v>#DIV/0!</v>
      </c>
      <c r="AG31" s="39">
        <f>'PIM Model'!B29</f>
        <v>0</v>
      </c>
      <c r="AH31" s="499" t="e">
        <f t="shared" si="6"/>
        <v>#DIV/0!</v>
      </c>
      <c r="AI31" s="499" t="e">
        <f t="shared" si="25"/>
        <v>#DIV/0!</v>
      </c>
      <c r="AJ31">
        <v>22</v>
      </c>
      <c r="AK31" s="500" t="s">
        <v>88</v>
      </c>
      <c r="AL31" s="500" t="e">
        <f t="shared" si="7"/>
        <v>#DIV/0!</v>
      </c>
      <c r="AM31" s="500">
        <f t="shared" si="8"/>
        <v>0</v>
      </c>
      <c r="AN31" s="500">
        <f t="shared" si="9"/>
        <v>0</v>
      </c>
      <c r="AO31" s="501">
        <f t="shared" si="10"/>
        <v>0</v>
      </c>
      <c r="AP31" s="501">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f t="shared" si="16"/>
        <v>0</v>
      </c>
      <c r="T32" s="19">
        <f t="shared" si="17"/>
        <v>0</v>
      </c>
      <c r="U32" s="19"/>
      <c r="V32" s="2">
        <f>'PIM Model'!$C$30</f>
        <v>0</v>
      </c>
      <c r="W32" s="645" t="e">
        <f>'Multi-Customer'!M34</f>
        <v>#DIV/0!</v>
      </c>
      <c r="X32" s="19" t="e">
        <f t="shared" si="18"/>
        <v>#DIV/0!</v>
      </c>
      <c r="Y32" s="351" t="e">
        <f t="shared" si="19"/>
        <v>#DIV/0!</v>
      </c>
      <c r="Z32" s="351" t="e">
        <f t="shared" si="20"/>
        <v>#DIV/0!</v>
      </c>
      <c r="AA32" s="351" t="e">
        <f t="shared" si="21"/>
        <v>#DIV/0!</v>
      </c>
      <c r="AB32" s="646" t="e">
        <f t="shared" si="22"/>
        <v>#DIV/0!</v>
      </c>
      <c r="AC32" s="646" t="e">
        <f t="shared" si="23"/>
        <v>#DIV/0!</v>
      </c>
      <c r="AD32" s="351" t="e">
        <f t="shared" si="5"/>
        <v>#DIV/0!</v>
      </c>
      <c r="AE32" s="351"/>
      <c r="AF32" s="351" t="e">
        <f t="shared" si="24"/>
        <v>#DIV/0!</v>
      </c>
      <c r="AG32" s="39">
        <f>'PIM Model'!B30</f>
        <v>0</v>
      </c>
      <c r="AH32" s="499" t="e">
        <f t="shared" si="6"/>
        <v>#DIV/0!</v>
      </c>
      <c r="AI32" s="499" t="e">
        <f t="shared" si="25"/>
        <v>#DIV/0!</v>
      </c>
      <c r="AJ32">
        <v>23</v>
      </c>
      <c r="AK32" s="500" t="s">
        <v>87</v>
      </c>
      <c r="AL32" s="500" t="e">
        <f t="shared" si="7"/>
        <v>#DIV/0!</v>
      </c>
      <c r="AM32" s="500">
        <f t="shared" si="8"/>
        <v>0</v>
      </c>
      <c r="AN32" s="500">
        <f t="shared" si="9"/>
        <v>0</v>
      </c>
      <c r="AO32" s="501">
        <f t="shared" si="10"/>
        <v>0</v>
      </c>
      <c r="AP32" s="501">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#DIV/0!</v>
      </c>
      <c r="X33" s="351" t="e">
        <f>SUM(X12:X32)</f>
        <v>#DIV/0!</v>
      </c>
      <c r="Y33" s="351" t="e">
        <f>SUM(Y12:Y32)</f>
        <v>#DIV/0!</v>
      </c>
      <c r="Z33" s="351" t="e">
        <f>SUM($Z$12:$Z$32)</f>
        <v>#DIV/0!</v>
      </c>
      <c r="AA33" s="351" t="e">
        <f>SUM(AA12:AA32)</f>
        <v>#DIV/0!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6">SUM(AM12:AM32)</f>
        <v>0</v>
      </c>
      <c r="AN33" s="351">
        <f t="shared" si="26"/>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52" t="s">
        <v>819</v>
      </c>
      <c r="B1" s="1352"/>
      <c r="C1" s="1352"/>
      <c r="D1" s="1352"/>
      <c r="F1" s="1353" t="s">
        <v>748</v>
      </c>
      <c r="G1" s="1353"/>
      <c r="I1" s="1354" t="s">
        <v>818</v>
      </c>
      <c r="J1" s="1355"/>
      <c r="K1" s="1355"/>
      <c r="L1" s="1355"/>
      <c r="M1" s="1355"/>
      <c r="N1" s="1355"/>
      <c r="O1" s="1355"/>
      <c r="P1" s="1355"/>
      <c r="Q1" s="1355"/>
      <c r="R1" s="1355"/>
      <c r="S1" s="1355"/>
      <c r="T1" s="1355"/>
      <c r="U1" s="1355"/>
      <c r="V1" s="1356"/>
    </row>
    <row r="2" spans="1:23" x14ac:dyDescent="0.25">
      <c r="I2" s="358"/>
      <c r="J2" s="138"/>
      <c r="K2" s="138"/>
      <c r="L2" s="138"/>
      <c r="M2" s="138"/>
      <c r="N2" s="138"/>
      <c r="O2" s="138"/>
      <c r="P2" s="138"/>
      <c r="Q2" s="138"/>
      <c r="R2" s="138"/>
      <c r="S2" s="138"/>
      <c r="T2" s="138"/>
      <c r="U2" s="138"/>
      <c r="V2" s="361"/>
    </row>
    <row r="3" spans="1:23" x14ac:dyDescent="0.25">
      <c r="A3" t="s">
        <v>248</v>
      </c>
      <c r="B3" s="1357">
        <f>Welcome!$D$4</f>
        <v>0</v>
      </c>
      <c r="C3" s="1357"/>
      <c r="I3" s="353">
        <v>1</v>
      </c>
      <c r="J3" t="s">
        <v>774</v>
      </c>
      <c r="L3" s="1357" t="str">
        <f>"ALC "&amp;'Required Info to Submit'!$F$6</f>
        <v xml:space="preserve">ALC </v>
      </c>
      <c r="M3" s="1357"/>
      <c r="N3" s="1357"/>
      <c r="O3" s="1357"/>
      <c r="P3" s="1357"/>
      <c r="R3"/>
      <c r="V3" s="141"/>
    </row>
    <row r="4" spans="1:23" ht="45" x14ac:dyDescent="0.25">
      <c r="A4" t="s">
        <v>755</v>
      </c>
      <c r="B4" s="1358">
        <f>'Required Info to Submit'!$F$6</f>
        <v>0</v>
      </c>
      <c r="C4" s="1358"/>
      <c r="D4" s="2" t="s">
        <v>909</v>
      </c>
      <c r="F4" s="268" t="s">
        <v>749</v>
      </c>
      <c r="G4" s="677">
        <f>Incentives!$H$9</f>
        <v>0</v>
      </c>
      <c r="H4" s="310"/>
      <c r="I4" s="353">
        <v>2</v>
      </c>
      <c r="J4" t="s">
        <v>750</v>
      </c>
      <c r="L4" s="362">
        <f>'Required Info to Submit'!$F$14</f>
        <v>0</v>
      </c>
      <c r="M4" s="362"/>
      <c r="N4" s="362"/>
      <c r="O4" s="363">
        <v>3</v>
      </c>
      <c r="P4" s="1357" t="s">
        <v>752</v>
      </c>
      <c r="Q4" s="1357"/>
      <c r="R4" s="1357"/>
      <c r="S4" s="1360" t="e">
        <f>$L$4+(364*$G$5)+6</f>
        <v>#VALUE!</v>
      </c>
      <c r="T4" s="1360"/>
      <c r="U4" s="362"/>
      <c r="V4" s="141"/>
    </row>
    <row r="5" spans="1:23" x14ac:dyDescent="0.25">
      <c r="A5" t="s">
        <v>1045</v>
      </c>
      <c r="B5" s="1362">
        <f>'Required Info to Submit'!$F$8</f>
        <v>0</v>
      </c>
      <c r="C5" s="1362"/>
      <c r="D5" t="e">
        <f>G5*12</f>
        <v>#VALUE!</v>
      </c>
      <c r="F5" s="268" t="s">
        <v>751</v>
      </c>
      <c r="G5" s="309" t="str">
        <f>Welcome!$D$12</f>
        <v>Select Term</v>
      </c>
      <c r="H5" s="310"/>
      <c r="I5" s="354"/>
      <c r="M5"/>
      <c r="O5" s="2"/>
      <c r="P5" s="300"/>
      <c r="Q5" s="300"/>
      <c r="R5" s="300"/>
      <c r="S5" s="300"/>
      <c r="T5" s="300"/>
      <c r="V5" s="141"/>
    </row>
    <row r="6" spans="1:23" x14ac:dyDescent="0.25">
      <c r="A6" t="s">
        <v>813</v>
      </c>
      <c r="B6" s="1359">
        <f>'Required Info to Submit'!$F$14</f>
        <v>0</v>
      </c>
      <c r="C6" s="1359"/>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7" t="s">
        <v>775</v>
      </c>
      <c r="Q6" s="1357"/>
      <c r="R6" s="1357"/>
      <c r="S6" s="1361">
        <f>-('Tracking &amp; Profitability'!$E$22)</f>
        <v>0</v>
      </c>
      <c r="T6" s="1361"/>
      <c r="U6" s="20"/>
      <c r="V6" s="141"/>
    </row>
    <row r="7" spans="1:23" x14ac:dyDescent="0.25">
      <c r="A7" t="s">
        <v>814</v>
      </c>
      <c r="B7" s="1357">
        <f>'Required Info to Submit'!$F$10</f>
        <v>0</v>
      </c>
      <c r="C7" s="1357"/>
      <c r="F7" s="871" t="str">
        <f>IF(Incentives!E15="Yes","VB","")</f>
        <v/>
      </c>
      <c r="G7" s="871" t="str">
        <f>IF(Incentives!E26="YES","DS","")</f>
        <v/>
      </c>
      <c r="I7" s="353">
        <v>6</v>
      </c>
      <c r="J7" t="s">
        <v>776</v>
      </c>
      <c r="L7" s="1357" t="str">
        <f>'MDA Worksheet'!$K$95</f>
        <v/>
      </c>
      <c r="M7" s="1357"/>
      <c r="N7" s="1357"/>
      <c r="O7" s="363">
        <v>8</v>
      </c>
      <c r="P7" s="1357" t="s">
        <v>889</v>
      </c>
      <c r="Q7" s="1357"/>
      <c r="R7" s="1357"/>
      <c r="S7" s="1357">
        <f>'Required Info to Submit'!$F$10</f>
        <v>0</v>
      </c>
      <c r="T7" s="1357"/>
      <c r="V7" s="141"/>
    </row>
    <row r="8" spans="1:23" x14ac:dyDescent="0.25">
      <c r="A8" t="s">
        <v>815</v>
      </c>
      <c r="B8" s="1357">
        <f>'Required Info to Submit'!$F$9</f>
        <v>0</v>
      </c>
      <c r="C8" s="1357"/>
      <c r="F8" s="871" t="str">
        <f>IF(Incentives!E37="Yes","EB","")</f>
        <v/>
      </c>
      <c r="G8" s="871" t="str">
        <f>IF(Incentives!E48="Yes","SG","")</f>
        <v/>
      </c>
      <c r="I8" s="140"/>
      <c r="M8"/>
      <c r="R8"/>
      <c r="V8" s="141"/>
    </row>
    <row r="9" spans="1:23" x14ac:dyDescent="0.25">
      <c r="A9" t="s">
        <v>672</v>
      </c>
      <c r="B9" s="1357">
        <f>'Required Info to Submit'!$F$12</f>
        <v>0</v>
      </c>
      <c r="C9" s="1357"/>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7">
        <f>'Required Info to Submit'!$F$11</f>
        <v>0</v>
      </c>
      <c r="C10" s="1357"/>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48"/>
      <c r="C11" s="1348"/>
      <c r="F11" s="943" t="str">
        <f>IF(Incentives!E72="Yes","Roll","")</f>
        <v/>
      </c>
      <c r="I11" s="1349" t="s">
        <v>756</v>
      </c>
      <c r="J11" s="1350"/>
      <c r="K11" s="1350"/>
      <c r="L11" s="1351"/>
      <c r="M11" s="316"/>
      <c r="N11" s="1349" t="s">
        <v>484</v>
      </c>
      <c r="O11" s="1350"/>
      <c r="P11" s="1350"/>
      <c r="Q11" s="1351"/>
      <c r="R11" s="316"/>
      <c r="S11" s="1349" t="s">
        <v>545</v>
      </c>
      <c r="T11" s="1350"/>
      <c r="U11" s="1350"/>
      <c r="V11" s="1351"/>
    </row>
    <row r="12" spans="1:23" ht="15.75" thickBot="1" x14ac:dyDescent="0.3">
      <c r="A12" s="1384" t="s">
        <v>756</v>
      </c>
      <c r="B12" s="1385"/>
      <c r="C12" s="1385"/>
      <c r="D12" s="1386"/>
      <c r="E12" s="910"/>
      <c r="F12" s="138"/>
      <c r="G12" s="138"/>
      <c r="H12" s="834"/>
      <c r="I12" s="1375" t="s">
        <v>757</v>
      </c>
      <c r="J12" s="1376"/>
      <c r="K12" s="1376"/>
      <c r="L12" s="1377"/>
      <c r="M12" s="316"/>
      <c r="N12" s="1375" t="s">
        <v>758</v>
      </c>
      <c r="O12" s="1376"/>
      <c r="P12" s="1376"/>
      <c r="Q12" s="1377"/>
      <c r="R12" s="316"/>
      <c r="S12" s="1375" t="s">
        <v>759</v>
      </c>
      <c r="T12" s="1376"/>
      <c r="U12" s="1376"/>
      <c r="V12" s="1377"/>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49" t="s">
        <v>1207</v>
      </c>
      <c r="J23" s="1350"/>
      <c r="K23" s="1350"/>
      <c r="L23" s="1351"/>
      <c r="M23" s="833"/>
      <c r="N23" s="1372" t="s">
        <v>1208</v>
      </c>
      <c r="O23" s="1373"/>
      <c r="P23" s="1373"/>
      <c r="Q23" s="1374"/>
      <c r="R23" s="833"/>
      <c r="S23" s="1349" t="s">
        <v>1196</v>
      </c>
      <c r="T23" s="1350"/>
      <c r="U23" s="1350"/>
      <c r="V23" s="1351"/>
    </row>
    <row r="24" spans="1:23" ht="15.75" thickBot="1" x14ac:dyDescent="0.3">
      <c r="A24" s="1384" t="s">
        <v>484</v>
      </c>
      <c r="B24" s="1385"/>
      <c r="C24" s="1385"/>
      <c r="D24" s="1386"/>
      <c r="E24" s="315"/>
      <c r="F24" s="138"/>
      <c r="G24" s="138"/>
      <c r="H24" s="316"/>
      <c r="I24" s="1375" t="s">
        <v>768</v>
      </c>
      <c r="J24" s="1376"/>
      <c r="K24" s="1376"/>
      <c r="L24" s="1377"/>
      <c r="M24" s="833"/>
      <c r="N24" s="1381" t="s">
        <v>768</v>
      </c>
      <c r="O24" s="1382"/>
      <c r="P24" s="1382"/>
      <c r="Q24" s="1383"/>
      <c r="R24" s="833"/>
      <c r="S24" s="1375" t="s">
        <v>769</v>
      </c>
      <c r="T24" s="1376"/>
      <c r="U24" s="1376"/>
      <c r="V24" s="1377"/>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8" t="s">
        <v>770</v>
      </c>
      <c r="J33" s="1379"/>
      <c r="K33" s="1379"/>
      <c r="L33" s="1380"/>
      <c r="M33" s="834"/>
      <c r="N33" s="1366" t="s">
        <v>1088</v>
      </c>
      <c r="O33" s="1367"/>
      <c r="P33" s="1367"/>
      <c r="Q33" s="1368"/>
      <c r="R33" s="834"/>
      <c r="S33" s="1366" t="s">
        <v>1219</v>
      </c>
      <c r="T33" s="1367"/>
      <c r="U33" s="1367"/>
      <c r="V33" s="1368"/>
    </row>
    <row r="34" spans="1:22" ht="15.75" thickBot="1" x14ac:dyDescent="0.3">
      <c r="A34" s="1384" t="s">
        <v>545</v>
      </c>
      <c r="B34" s="1385"/>
      <c r="C34" s="1385"/>
      <c r="D34" s="1386"/>
      <c r="E34" s="315"/>
      <c r="F34" s="138"/>
      <c r="G34" s="138"/>
      <c r="H34" s="316"/>
      <c r="I34" s="1363" t="s">
        <v>773</v>
      </c>
      <c r="J34" s="1364"/>
      <c r="K34" s="1364"/>
      <c r="L34" s="1365"/>
      <c r="M34" s="834"/>
      <c r="N34" s="1369" t="s">
        <v>772</v>
      </c>
      <c r="O34" s="1370"/>
      <c r="P34" s="1370"/>
      <c r="Q34" s="1371"/>
      <c r="R34" s="834"/>
      <c r="S34" s="1375" t="s">
        <v>1227</v>
      </c>
      <c r="T34" s="1376"/>
      <c r="U34" s="1376"/>
      <c r="V34" s="1377"/>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49" t="s">
        <v>1269</v>
      </c>
      <c r="O41" s="1350"/>
      <c r="P41" s="1350"/>
      <c r="Q41" s="1351"/>
      <c r="S41" s="1349"/>
      <c r="T41" s="1350"/>
      <c r="U41" s="1350"/>
      <c r="V41" s="1351"/>
    </row>
    <row r="42" spans="1:22" ht="15.75" thickBot="1" x14ac:dyDescent="0.3">
      <c r="A42" s="287"/>
      <c r="B42" s="342">
        <f>Incentives!$G$42</f>
        <v>0</v>
      </c>
      <c r="C42" s="352">
        <v>1</v>
      </c>
      <c r="D42" s="750">
        <f>Incentives!$I$42</f>
        <v>0.02</v>
      </c>
      <c r="E42" s="350"/>
      <c r="F42" s="791"/>
      <c r="G42" s="791"/>
      <c r="H42" s="902"/>
      <c r="I42" s="791"/>
      <c r="N42" s="1375" t="s">
        <v>1270</v>
      </c>
      <c r="O42" s="1376"/>
      <c r="P42" s="1376"/>
      <c r="Q42" s="1377"/>
      <c r="R42" s="952"/>
      <c r="S42" s="1375"/>
      <c r="T42" s="1376"/>
      <c r="U42" s="1376"/>
      <c r="V42" s="1377"/>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84" t="s">
        <v>1219</v>
      </c>
      <c r="B44" s="1385"/>
      <c r="C44" s="1385"/>
      <c r="D44" s="1386"/>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84" t="s">
        <v>770</v>
      </c>
      <c r="B51" s="1385"/>
      <c r="C51" s="1385"/>
      <c r="D51" s="1386"/>
      <c r="E51" s="315"/>
      <c r="F51" s="791"/>
      <c r="G51" s="791"/>
      <c r="I51" s="904">
        <v>8</v>
      </c>
      <c r="J51" s="294">
        <f>IFERROR('MDA Worksheet'!D102,"")</f>
        <v>0</v>
      </c>
      <c r="K51" s="1" t="str">
        <f>IFERROR('MDA Worksheet'!K102,"")</f>
        <v/>
      </c>
      <c r="N51" s="140" t="s">
        <v>1272</v>
      </c>
      <c r="O51" s="1387" t="str">
        <f>"Amount to be paid to the customer $ "&amp;TEXT(D69,"#,###,###.00")</f>
        <v>Amount to be paid to the customer $ .00</v>
      </c>
      <c r="P51" s="1387"/>
      <c r="Q51" s="1388"/>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87" t="str">
        <f>"Claw Back Amount $ "&amp;TEXT(D71,"#,###,###.00")</f>
        <v>Claw Back Amount $ .00</v>
      </c>
      <c r="P52" s="1387"/>
      <c r="Q52" s="1388"/>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84" t="s">
        <v>1207</v>
      </c>
      <c r="B57" s="1385"/>
      <c r="C57" s="1385"/>
      <c r="D57" s="1386"/>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84" t="s">
        <v>1254</v>
      </c>
      <c r="B66" s="1385"/>
      <c r="C66" s="1385"/>
      <c r="D66" s="1386"/>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84" t="str">
        <f>Incentives!G80</f>
        <v>CHECK Business Tools (General)</v>
      </c>
      <c r="B74" s="1385"/>
      <c r="C74" s="1385"/>
      <c r="D74" s="1385"/>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84" t="s">
        <v>1085</v>
      </c>
      <c r="B80" s="1385"/>
      <c r="C80" s="1385"/>
      <c r="D80" s="1386"/>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75" t="s">
        <v>740</v>
      </c>
      <c r="C2" s="1476"/>
      <c r="D2" s="1476"/>
      <c r="E2" s="1476"/>
      <c r="F2" s="1476"/>
      <c r="G2" s="1476"/>
      <c r="H2" s="1476"/>
      <c r="I2" s="1476"/>
      <c r="J2" s="1476"/>
      <c r="K2" s="1476"/>
      <c r="L2" s="1476"/>
      <c r="M2" s="1476"/>
      <c r="N2" s="1476"/>
      <c r="O2" s="1476"/>
      <c r="P2" s="1476"/>
      <c r="Q2" s="1476"/>
      <c r="R2" s="1476"/>
      <c r="S2" s="1476"/>
      <c r="T2" s="1476"/>
      <c r="U2" s="1476"/>
      <c r="V2" s="1476"/>
      <c r="W2" s="1476"/>
      <c r="X2" s="1476"/>
      <c r="Y2" s="1476"/>
      <c r="Z2" s="1476"/>
      <c r="AA2" s="1476"/>
      <c r="AB2" s="1476"/>
      <c r="AC2" s="1476"/>
      <c r="AD2" s="1476"/>
      <c r="AE2" s="1476"/>
      <c r="AF2" s="1476"/>
      <c r="AG2" s="1476"/>
      <c r="AH2" s="1476"/>
      <c r="AI2" s="1476"/>
      <c r="AJ2" s="1476"/>
      <c r="AK2" s="1476"/>
      <c r="AL2" s="1476"/>
      <c r="AM2" s="1476"/>
      <c r="AN2" s="1476"/>
      <c r="AO2" s="1476"/>
      <c r="AP2" s="1476"/>
      <c r="AQ2" s="1476"/>
      <c r="AR2" s="1476"/>
      <c r="AS2" s="1476"/>
      <c r="AT2" s="1476"/>
      <c r="AU2" s="1476"/>
      <c r="AV2" s="1476"/>
      <c r="AW2" s="1476"/>
      <c r="AX2" s="1476"/>
      <c r="AY2" s="1476"/>
      <c r="AZ2" s="1476"/>
      <c r="BA2" s="1476"/>
      <c r="BB2" s="1476"/>
      <c r="BC2" s="1476"/>
      <c r="BD2" s="1476"/>
      <c r="BE2" s="1476"/>
      <c r="BF2" s="1477"/>
    </row>
    <row r="3" spans="2:68" x14ac:dyDescent="0.25">
      <c r="B3" s="1478"/>
      <c r="C3" s="1443"/>
      <c r="D3" s="1443"/>
      <c r="E3" s="1443"/>
      <c r="F3" s="1443"/>
      <c r="G3" s="1443"/>
      <c r="H3" s="1443"/>
      <c r="I3" s="1443"/>
      <c r="J3" s="1443"/>
      <c r="K3" s="1443"/>
      <c r="L3" s="1443"/>
      <c r="M3" s="1443"/>
      <c r="N3" s="1443"/>
      <c r="O3" s="1443"/>
      <c r="P3" s="1443"/>
      <c r="Q3" s="1443"/>
      <c r="R3" s="1443"/>
      <c r="S3" s="1443"/>
      <c r="T3" s="1443"/>
      <c r="U3" s="1443"/>
      <c r="V3" s="1443"/>
      <c r="W3" s="1443"/>
      <c r="X3" s="1443"/>
      <c r="Y3" s="1443"/>
      <c r="Z3" s="1443"/>
      <c r="AA3" s="1443"/>
      <c r="AB3" s="1443"/>
      <c r="AC3" s="1443"/>
      <c r="AD3" s="1443"/>
      <c r="AE3" s="1443"/>
      <c r="AF3" s="1443"/>
      <c r="AG3" s="1443"/>
      <c r="AH3" s="1443"/>
      <c r="AI3" s="1443"/>
      <c r="AJ3" s="1443"/>
      <c r="AK3" s="1443"/>
      <c r="AL3" s="1443"/>
      <c r="AM3" s="1443"/>
      <c r="AN3" s="1443"/>
      <c r="AO3" s="1443"/>
      <c r="AP3" s="1443"/>
      <c r="AQ3" s="1443"/>
      <c r="AR3" s="1443"/>
      <c r="AS3" s="1443"/>
      <c r="AT3" s="1443"/>
      <c r="AU3" s="1443"/>
      <c r="AV3" s="1443"/>
      <c r="AW3" s="1443"/>
      <c r="AX3" s="1443"/>
      <c r="AY3" s="1443"/>
      <c r="AZ3" s="1443"/>
      <c r="BA3" s="1443"/>
      <c r="BB3" s="1443"/>
      <c r="BC3" s="1443"/>
      <c r="BD3" s="1443"/>
      <c r="BE3" s="1443"/>
      <c r="BF3" s="1479"/>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459" t="s">
        <v>667</v>
      </c>
      <c r="C8" s="1460"/>
      <c r="D8" s="1460"/>
      <c r="E8" s="1460"/>
      <c r="F8" s="1460"/>
      <c r="G8" s="1460"/>
      <c r="H8" s="1460"/>
      <c r="I8" s="1460"/>
      <c r="J8" s="1460"/>
      <c r="K8" s="1460"/>
      <c r="L8" s="1460"/>
      <c r="M8" s="1460"/>
      <c r="N8" s="1460"/>
      <c r="O8" s="1460"/>
      <c r="P8" s="1460"/>
      <c r="Q8" s="1460"/>
      <c r="R8" s="1460"/>
      <c r="S8" s="1460"/>
      <c r="T8" s="1460"/>
      <c r="U8" s="1460"/>
      <c r="V8" s="1460"/>
      <c r="W8" s="1460"/>
      <c r="X8" s="1460"/>
      <c r="Y8" s="1460"/>
      <c r="Z8" s="1460"/>
      <c r="AA8" s="1460"/>
      <c r="AB8" s="1460"/>
      <c r="AC8" s="1460"/>
      <c r="AD8" s="1460"/>
      <c r="AE8" s="1460"/>
      <c r="AF8" s="1460"/>
      <c r="AG8" s="1460"/>
      <c r="AH8" s="1460"/>
      <c r="AI8" s="1460"/>
      <c r="AJ8" s="1460"/>
      <c r="AK8" s="1460"/>
      <c r="AL8" s="1460"/>
      <c r="AM8" s="1460"/>
      <c r="AN8" s="1460"/>
      <c r="AO8" s="1460"/>
      <c r="AP8" s="1460"/>
      <c r="AQ8" s="1460"/>
      <c r="AR8" s="1460"/>
      <c r="AS8" s="1460"/>
      <c r="AT8" s="1460"/>
      <c r="AU8" s="1460"/>
      <c r="AV8" s="1460"/>
      <c r="AW8" s="1460"/>
      <c r="AX8" s="1460"/>
      <c r="AY8" s="1460"/>
      <c r="AZ8" s="1460"/>
      <c r="BA8" s="1460"/>
      <c r="BB8" s="1460"/>
      <c r="BC8" s="1460"/>
      <c r="BD8" s="1460"/>
      <c r="BE8" s="1460"/>
      <c r="BF8" s="1461"/>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55" t="s">
        <v>901</v>
      </c>
      <c r="C10" s="1342"/>
      <c r="D10" s="1342"/>
      <c r="E10" s="1342"/>
      <c r="F10" s="1342"/>
      <c r="G10" s="1342"/>
      <c r="H10" s="1342"/>
      <c r="I10" s="1342"/>
      <c r="J10" s="1342"/>
      <c r="K10" s="1451">
        <f>'Tracking &amp; Profitability'!$H$5</f>
        <v>0</v>
      </c>
      <c r="L10" s="1451"/>
      <c r="M10" s="1451"/>
      <c r="N10" s="1451"/>
      <c r="O10" s="1451"/>
      <c r="P10" s="1451"/>
      <c r="Q10" s="1451"/>
      <c r="R10" s="1451"/>
      <c r="S10" s="1451"/>
      <c r="T10" s="1451"/>
      <c r="U10" s="1451"/>
      <c r="V10" s="1451"/>
      <c r="W10" s="1451"/>
      <c r="X10" s="1451"/>
      <c r="Y10" s="1451"/>
      <c r="Z10" s="1451"/>
      <c r="AA10" s="1451"/>
      <c r="AB10" s="1451"/>
      <c r="AC10" s="1451"/>
      <c r="AD10" s="1451"/>
      <c r="AE10" s="1451"/>
      <c r="AI10" s="1342" t="s">
        <v>739</v>
      </c>
      <c r="AJ10" s="1342"/>
      <c r="AK10" s="1342"/>
      <c r="AL10" s="1342"/>
      <c r="AM10" s="1342"/>
      <c r="AN10" s="1342"/>
      <c r="AO10" s="1342"/>
      <c r="AP10" s="1342"/>
      <c r="AQ10" s="1342"/>
      <c r="AR10" s="1342"/>
      <c r="AT10" s="1470"/>
      <c r="AU10" s="1470"/>
      <c r="AV10" s="1470"/>
      <c r="AW10" s="1470"/>
      <c r="AX10" s="1470"/>
      <c r="AY10" s="1470"/>
      <c r="AZ10" s="1470"/>
      <c r="BA10" s="1470"/>
      <c r="BB10" s="1470"/>
      <c r="BC10" s="1470"/>
      <c r="BD10" s="1470"/>
      <c r="BF10" s="141"/>
    </row>
    <row r="11" spans="2:68" x14ac:dyDescent="0.25">
      <c r="B11" s="140"/>
      <c r="AL11" s="2"/>
      <c r="AM11" s="2"/>
      <c r="AN11" s="2"/>
      <c r="AO11" s="2"/>
      <c r="AP11" s="2"/>
      <c r="AQ11" s="2"/>
      <c r="AR11" s="2"/>
      <c r="AS11" s="2"/>
      <c r="AT11" s="2"/>
      <c r="AU11" s="2"/>
      <c r="AV11" s="2"/>
      <c r="BF11" s="141"/>
    </row>
    <row r="12" spans="2:68" x14ac:dyDescent="0.25">
      <c r="B12" s="1454" t="s">
        <v>902</v>
      </c>
      <c r="C12" s="1447"/>
      <c r="D12" s="1447"/>
      <c r="E12" s="1447"/>
      <c r="F12" s="1447"/>
      <c r="G12" s="1447"/>
      <c r="H12" s="1447"/>
      <c r="I12" s="1447"/>
      <c r="J12" s="1447"/>
      <c r="K12" s="1426">
        <f>'Required Info to Submit'!$F$4</f>
        <v>0</v>
      </c>
      <c r="L12" s="1426"/>
      <c r="M12" s="1426"/>
      <c r="N12" s="1426"/>
      <c r="O12" s="1426"/>
      <c r="P12" s="1426"/>
      <c r="Q12" s="1426"/>
      <c r="R12" s="1426"/>
      <c r="S12" s="1426"/>
      <c r="T12" s="1426"/>
      <c r="U12" s="1426"/>
      <c r="V12" s="1426"/>
      <c r="W12" s="1426"/>
      <c r="X12" s="1426"/>
      <c r="Y12" s="1426"/>
      <c r="Z12" s="1426"/>
      <c r="AA12" s="1426"/>
      <c r="AB12" s="1426"/>
      <c r="AC12" s="1426"/>
      <c r="AD12" s="1426"/>
      <c r="AE12" s="1426"/>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54" t="s">
        <v>924</v>
      </c>
      <c r="C14" s="1447"/>
      <c r="D14" s="1447"/>
      <c r="E14" s="1447"/>
      <c r="F14" s="1447"/>
      <c r="G14" s="1447"/>
      <c r="H14" s="1447"/>
      <c r="I14" s="1447"/>
      <c r="J14" s="1447"/>
      <c r="K14" s="1447"/>
      <c r="L14" s="1447"/>
      <c r="M14" s="1447"/>
      <c r="N14" s="1447"/>
      <c r="O14" s="1447"/>
      <c r="P14" s="1447"/>
      <c r="Q14" s="1447"/>
      <c r="R14" s="1465">
        <f>'Required Info to Submit'!$F$6</f>
        <v>0</v>
      </c>
      <c r="S14" s="1465"/>
      <c r="T14" s="1465"/>
      <c r="U14" s="1465"/>
      <c r="V14" s="1465"/>
      <c r="W14" s="1465"/>
      <c r="X14" s="1465"/>
      <c r="Y14" s="1465"/>
      <c r="Z14" s="1465"/>
      <c r="AA14" s="1465"/>
      <c r="AB14" s="1465"/>
      <c r="AC14" s="1465"/>
      <c r="AD14" s="1465"/>
      <c r="AE14" s="1465"/>
      <c r="AF14" s="1465"/>
      <c r="AG14" s="1465"/>
      <c r="AH14" s="1465"/>
      <c r="AI14" s="1465"/>
      <c r="AJ14" s="1465"/>
      <c r="AK14" s="1465"/>
      <c r="AL14" s="1465"/>
      <c r="AM14" s="1465"/>
      <c r="AN14" s="1465"/>
      <c r="AO14" s="1465"/>
      <c r="AP14" s="1465"/>
      <c r="AQ14" s="1465"/>
      <c r="AR14" s="1465"/>
      <c r="AS14" s="1465"/>
      <c r="AT14" s="1465"/>
      <c r="AU14" s="1465"/>
      <c r="AV14" s="1465"/>
      <c r="AW14" s="1465"/>
      <c r="AX14" s="1465"/>
      <c r="AY14" s="1465"/>
      <c r="AZ14" s="1465"/>
      <c r="BA14" s="1465"/>
      <c r="BB14" s="1465"/>
      <c r="BC14" s="1465"/>
      <c r="BD14" s="1465"/>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54" t="s">
        <v>738</v>
      </c>
      <c r="C16" s="1447"/>
      <c r="D16" s="1447"/>
      <c r="E16" s="1447"/>
      <c r="F16" s="1447"/>
      <c r="G16" s="1447"/>
      <c r="H16" s="1447"/>
      <c r="I16" s="1447"/>
      <c r="J16" s="1447"/>
      <c r="K16" s="1447"/>
      <c r="L16" s="1447"/>
      <c r="M16" s="1447"/>
      <c r="N16" s="1447"/>
      <c r="O16" s="1447"/>
      <c r="P16" s="1447"/>
      <c r="Q16" s="1447"/>
      <c r="R16" s="1426" t="s">
        <v>244</v>
      </c>
      <c r="S16" s="1426"/>
      <c r="T16" s="1443" t="s">
        <v>668</v>
      </c>
      <c r="U16" s="1443"/>
      <c r="V16" s="1443"/>
      <c r="W16" s="1443"/>
      <c r="X16" s="1443"/>
      <c r="Y16" s="1443"/>
      <c r="Z16" s="1443"/>
      <c r="AA16" s="1443"/>
      <c r="AB16" s="1443"/>
      <c r="AC16" s="1443"/>
      <c r="AD16" s="1443"/>
      <c r="AE16" s="1443"/>
      <c r="AF16" s="1443"/>
      <c r="AG16" s="1443"/>
      <c r="AH16" s="1443"/>
      <c r="AI16" s="1443"/>
      <c r="AJ16" s="1443"/>
      <c r="AK16" s="1443"/>
      <c r="AL16" s="1443"/>
      <c r="AO16" s="1443"/>
      <c r="AP16" s="1443"/>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66" t="s">
        <v>895</v>
      </c>
      <c r="C18" s="1467"/>
      <c r="D18" s="1467"/>
      <c r="E18" s="1467"/>
      <c r="F18" s="1467"/>
      <c r="G18" s="1467"/>
      <c r="H18" s="1467"/>
      <c r="I18" s="1467"/>
      <c r="J18" s="1467"/>
      <c r="K18" s="1467"/>
      <c r="L18" s="1467"/>
      <c r="M18" s="1467"/>
      <c r="N18" s="1467"/>
      <c r="O18" s="1467"/>
      <c r="P18" s="1467"/>
      <c r="Q18" s="1467"/>
      <c r="R18" s="1451">
        <f>'Required Info to Submit'!$F$8</f>
        <v>0</v>
      </c>
      <c r="S18" s="1451"/>
      <c r="T18" s="1451"/>
      <c r="U18" s="1451"/>
      <c r="V18" s="1451"/>
      <c r="W18" s="1451"/>
      <c r="X18" s="1451"/>
      <c r="Y18" s="1451"/>
      <c r="Z18" s="1451"/>
      <c r="AA18" s="1451"/>
      <c r="AB18" s="1451"/>
      <c r="AC18" s="1451"/>
      <c r="AD18" s="1451"/>
      <c r="AE18" s="1451"/>
      <c r="AF18" s="1451"/>
      <c r="AG18" s="1451"/>
      <c r="AH18" s="1451"/>
      <c r="AI18" s="1451"/>
      <c r="AJ18" s="1451"/>
      <c r="AK18" s="1451"/>
      <c r="AL18" s="1451"/>
      <c r="AN18" s="1447" t="s">
        <v>897</v>
      </c>
      <c r="AO18" s="1447"/>
      <c r="AP18" s="1447"/>
      <c r="AQ18" s="1447"/>
      <c r="AR18" s="1447"/>
      <c r="AS18" s="1447"/>
      <c r="AT18" s="1447"/>
      <c r="AU18" s="1447"/>
      <c r="AV18" s="1451">
        <f>'Required Info to Submit'!F10</f>
        <v>0</v>
      </c>
      <c r="AW18" s="1451"/>
      <c r="AX18" s="1451"/>
      <c r="AY18" s="1451"/>
      <c r="AZ18" s="1451"/>
      <c r="BA18" s="1451"/>
      <c r="BB18" s="1451"/>
      <c r="BC18" s="1451"/>
      <c r="BD18" s="1451"/>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54" t="s">
        <v>896</v>
      </c>
      <c r="C20" s="1447"/>
      <c r="D20" s="1447"/>
      <c r="E20" s="1447"/>
      <c r="F20" s="1447"/>
      <c r="G20" s="1447"/>
      <c r="H20" s="1447"/>
      <c r="I20" s="1447"/>
      <c r="J20" s="1447"/>
      <c r="K20" s="1447"/>
      <c r="L20" s="1447"/>
      <c r="M20" s="1447"/>
      <c r="N20" s="1447"/>
      <c r="O20" s="1447"/>
      <c r="P20" s="1447"/>
      <c r="Q20" s="1447"/>
      <c r="R20" s="1451">
        <f>'Required Info to Submit'!F9</f>
        <v>0</v>
      </c>
      <c r="S20" s="1451"/>
      <c r="T20" s="1451"/>
      <c r="U20" s="1451"/>
      <c r="V20" s="1451"/>
      <c r="W20" s="1451"/>
      <c r="X20" s="1451"/>
      <c r="Y20" s="1451"/>
      <c r="Z20" s="1451"/>
      <c r="AA20" s="1451"/>
      <c r="AB20" s="1451"/>
      <c r="AC20" s="1451"/>
      <c r="AD20" s="1451"/>
      <c r="AE20" s="1451"/>
      <c r="AF20" s="1451"/>
      <c r="AG20" s="1451"/>
      <c r="AH20" s="1451"/>
      <c r="AI20" s="1451"/>
      <c r="AJ20" s="1451"/>
      <c r="AK20" s="1451"/>
      <c r="AL20" s="1451"/>
      <c r="AN20" s="1447" t="s">
        <v>850</v>
      </c>
      <c r="AO20" s="1447"/>
      <c r="AP20" s="1447"/>
      <c r="AQ20" s="1447"/>
      <c r="AR20" s="1447"/>
      <c r="AS20" s="1447"/>
      <c r="AT20" s="1447"/>
      <c r="AU20" s="1447"/>
      <c r="AV20" s="1451">
        <f>'Required Info to Submit'!F11</f>
        <v>0</v>
      </c>
      <c r="AW20" s="1451"/>
      <c r="AX20" s="1451"/>
      <c r="AY20" s="1451"/>
      <c r="AZ20" s="1451"/>
      <c r="BA20" s="1451"/>
      <c r="BB20" s="1451"/>
      <c r="BC20" s="1451"/>
      <c r="BD20" s="1451"/>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54" t="s">
        <v>898</v>
      </c>
      <c r="C22" s="1447"/>
      <c r="D22" s="1447"/>
      <c r="E22" s="1447"/>
      <c r="F22" s="1447"/>
      <c r="G22" s="1447"/>
      <c r="H22" s="1447"/>
      <c r="I22" s="1447"/>
      <c r="J22" s="1447"/>
      <c r="K22" s="1447"/>
      <c r="L22" s="1447"/>
      <c r="M22" s="1447"/>
      <c r="N22" s="1447"/>
      <c r="O22" s="1447"/>
      <c r="P22" s="1447"/>
      <c r="Q22" s="1447"/>
      <c r="R22" s="1451">
        <f>'Required Info to Submit'!F12</f>
        <v>0</v>
      </c>
      <c r="S22" s="1451"/>
      <c r="T22" s="1451"/>
      <c r="U22" s="1451"/>
      <c r="V22" s="1451"/>
      <c r="W22" s="1451"/>
      <c r="X22" s="1451"/>
      <c r="Y22" s="1451"/>
      <c r="Z22" s="1451"/>
      <c r="AA22" s="1451"/>
      <c r="AB22" s="1451"/>
      <c r="AC22" s="1451"/>
      <c r="AD22" s="1451"/>
      <c r="AE22" s="1451"/>
      <c r="AF22" s="1451"/>
      <c r="AG22" s="1451"/>
      <c r="AH22" s="1451"/>
      <c r="AI22" s="1451"/>
      <c r="AJ22" s="1451"/>
      <c r="AK22" s="1451"/>
      <c r="AL22" s="1451"/>
      <c r="AN22" s="1447"/>
      <c r="AO22" s="1447"/>
      <c r="AP22" s="1447"/>
      <c r="AQ22" s="1447"/>
      <c r="AR22" s="1447"/>
      <c r="AS22" s="1447"/>
      <c r="AT22" s="1447"/>
      <c r="AU22" s="1447"/>
      <c r="AV22" s="1468"/>
      <c r="AW22" s="1468"/>
      <c r="AX22" s="1468"/>
      <c r="AY22" s="1468"/>
      <c r="AZ22" s="1468"/>
      <c r="BA22" s="1468"/>
      <c r="BB22" s="1468"/>
      <c r="BC22" s="1468"/>
      <c r="BD22" s="1468"/>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54" t="s">
        <v>899</v>
      </c>
      <c r="C24" s="1447"/>
      <c r="D24" s="1447"/>
      <c r="E24" s="1447"/>
      <c r="F24" s="1447"/>
      <c r="G24" s="1447"/>
      <c r="H24" s="1447"/>
      <c r="I24" s="1447"/>
      <c r="J24" s="1447"/>
      <c r="K24" s="1447"/>
      <c r="L24" s="1447"/>
      <c r="M24" s="1447"/>
      <c r="N24" s="1447"/>
      <c r="O24" s="1447"/>
      <c r="P24" s="1447"/>
      <c r="Q24" s="1447"/>
      <c r="R24" s="1463">
        <f>'Required Info to Submit'!$F$14</f>
        <v>0</v>
      </c>
      <c r="S24" s="1463"/>
      <c r="T24" s="1463"/>
      <c r="U24" s="1463"/>
      <c r="V24" s="1463"/>
      <c r="W24" s="1463"/>
      <c r="X24" s="1463"/>
      <c r="Y24" s="1463"/>
      <c r="Z24" s="1463"/>
      <c r="AA24" s="1463"/>
      <c r="AB24" s="1463"/>
      <c r="AC24" s="1463"/>
      <c r="AN24" s="1342" t="s">
        <v>903</v>
      </c>
      <c r="AO24" s="1342"/>
      <c r="AP24" s="1342"/>
      <c r="AQ24" s="1342"/>
      <c r="AR24" s="1342"/>
      <c r="AS24" s="1342"/>
      <c r="AT24" s="1342"/>
      <c r="AU24" s="1342"/>
      <c r="AV24" s="1469" t="e">
        <f>'Incentive Setup'!$S$4</f>
        <v>#VALUE!</v>
      </c>
      <c r="AW24" s="1469"/>
      <c r="AX24" s="1469"/>
      <c r="AY24" s="1469"/>
      <c r="AZ24" s="1469"/>
      <c r="BA24" s="1469"/>
      <c r="BB24" s="1469"/>
      <c r="BC24" s="1469"/>
      <c r="BD24" s="1469"/>
      <c r="BF24" s="141"/>
    </row>
    <row r="25" spans="2:68" ht="17.25" x14ac:dyDescent="0.25">
      <c r="B25" s="140"/>
      <c r="C25" s="298"/>
      <c r="D25" s="298"/>
      <c r="E25" s="298"/>
      <c r="F25" s="298"/>
      <c r="G25" s="298"/>
      <c r="H25" s="1462" t="s">
        <v>737</v>
      </c>
      <c r="I25" s="1462"/>
      <c r="J25" s="1462"/>
      <c r="K25" s="1462"/>
      <c r="L25" s="1462"/>
      <c r="M25" s="1462"/>
      <c r="N25" s="1462"/>
      <c r="O25" s="1462"/>
      <c r="P25" s="1462"/>
      <c r="Q25" s="298"/>
      <c r="AN25" s="1462" t="s">
        <v>736</v>
      </c>
      <c r="AO25" s="1462"/>
      <c r="AP25" s="1462"/>
      <c r="AQ25" s="1462"/>
      <c r="AR25" s="1462"/>
      <c r="AS25" s="1462"/>
      <c r="AT25" s="1462"/>
      <c r="BF25" s="141"/>
    </row>
    <row r="26" spans="2:68" ht="18.75" x14ac:dyDescent="0.3">
      <c r="B26" s="1459" t="s">
        <v>673</v>
      </c>
      <c r="C26" s="1460"/>
      <c r="D26" s="1460"/>
      <c r="E26" s="1460"/>
      <c r="F26" s="1460"/>
      <c r="G26" s="1460"/>
      <c r="H26" s="1460"/>
      <c r="I26" s="1460"/>
      <c r="J26" s="1460"/>
      <c r="K26" s="1460"/>
      <c r="L26" s="1460"/>
      <c r="M26" s="1460"/>
      <c r="N26" s="1460"/>
      <c r="O26" s="1460"/>
      <c r="P26" s="1460"/>
      <c r="Q26" s="1460"/>
      <c r="R26" s="1460"/>
      <c r="S26" s="1460"/>
      <c r="T26" s="1460"/>
      <c r="U26" s="1460"/>
      <c r="V26" s="1460"/>
      <c r="W26" s="1460"/>
      <c r="X26" s="1460"/>
      <c r="Y26" s="1460"/>
      <c r="Z26" s="1460"/>
      <c r="AA26" s="1460"/>
      <c r="AB26" s="1460"/>
      <c r="AC26" s="1460"/>
      <c r="AD26" s="1460"/>
      <c r="AE26" s="1460"/>
      <c r="AF26" s="1460"/>
      <c r="AG26" s="1460"/>
      <c r="AH26" s="1460"/>
      <c r="AI26" s="1460"/>
      <c r="AJ26" s="1460"/>
      <c r="AK26" s="1460"/>
      <c r="AL26" s="1460"/>
      <c r="AM26" s="1460"/>
      <c r="AN26" s="1460"/>
      <c r="AO26" s="1460"/>
      <c r="AP26" s="1460"/>
      <c r="AQ26" s="1460"/>
      <c r="AR26" s="1460"/>
      <c r="AS26" s="1460"/>
      <c r="AT26" s="1460"/>
      <c r="AU26" s="1460"/>
      <c r="AV26" s="1460"/>
      <c r="AW26" s="1460"/>
      <c r="AX26" s="1460"/>
      <c r="AY26" s="1460"/>
      <c r="AZ26" s="1460"/>
      <c r="BA26" s="1460"/>
      <c r="BB26" s="1460"/>
      <c r="BC26" s="1460"/>
      <c r="BD26" s="1460"/>
      <c r="BE26" s="1460"/>
      <c r="BF26" s="1461"/>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2" t="s">
        <v>674</v>
      </c>
      <c r="C28" s="1453"/>
      <c r="D28" s="1453"/>
      <c r="E28" s="1453"/>
      <c r="F28" s="1453"/>
      <c r="G28" s="1453"/>
      <c r="H28" s="1453"/>
      <c r="I28" s="1453"/>
      <c r="J28" s="1453"/>
      <c r="K28" s="1453"/>
      <c r="L28" s="1453"/>
      <c r="M28" s="1453"/>
      <c r="N28" s="1453"/>
      <c r="O28" s="1453"/>
      <c r="P28" s="1453"/>
      <c r="Q28" s="1453"/>
      <c r="T28" s="1456">
        <f>'Tracking &amp; Profitability'!$E$6</f>
        <v>0</v>
      </c>
      <c r="U28" s="1456"/>
      <c r="V28" s="1456"/>
      <c r="W28" s="1456"/>
      <c r="X28" s="1456"/>
      <c r="Y28" s="1456"/>
      <c r="Z28" s="1456"/>
      <c r="AA28" s="1456"/>
      <c r="AB28" s="1456"/>
      <c r="AF28" t="s">
        <v>735</v>
      </c>
      <c r="AO28" s="1426">
        <v>5</v>
      </c>
      <c r="AP28" s="1426"/>
      <c r="AQ28" s="1426"/>
      <c r="AR28" s="1443" t="s">
        <v>675</v>
      </c>
      <c r="AS28" s="1443"/>
      <c r="AU28" s="1426">
        <v>5</v>
      </c>
      <c r="AV28" s="1426"/>
      <c r="AW28" s="1426"/>
      <c r="AX28" s="1443" t="s">
        <v>734</v>
      </c>
      <c r="AY28" s="1443"/>
      <c r="BA28" s="1426">
        <v>5</v>
      </c>
      <c r="BB28" s="1426"/>
      <c r="BC28" s="1426"/>
      <c r="BD28" s="1443" t="s">
        <v>676</v>
      </c>
      <c r="BE28" s="1443"/>
      <c r="BF28" s="141"/>
    </row>
    <row r="29" spans="2:68" ht="17.25" x14ac:dyDescent="0.25">
      <c r="B29" s="140"/>
      <c r="T29" s="137"/>
      <c r="U29" s="137"/>
      <c r="V29" s="137"/>
      <c r="W29" s="137"/>
      <c r="X29" s="137"/>
      <c r="Y29" s="137"/>
      <c r="Z29" s="137"/>
      <c r="AA29" s="137"/>
      <c r="AB29" s="137"/>
      <c r="AF29" s="1462" t="s">
        <v>733</v>
      </c>
      <c r="AG29" s="1462"/>
      <c r="AH29" s="1462"/>
      <c r="AI29" s="1462"/>
      <c r="AJ29" s="1462"/>
      <c r="AK29" s="1462"/>
      <c r="AL29" s="1462"/>
      <c r="AM29" s="1462"/>
      <c r="AN29" s="1462"/>
      <c r="AO29" s="1462"/>
      <c r="AP29" s="1462"/>
      <c r="AQ29" s="1462"/>
      <c r="AR29" s="1462"/>
      <c r="AS29" s="1462"/>
      <c r="AT29" s="1462"/>
      <c r="AU29" s="1462"/>
      <c r="AV29" s="1462"/>
      <c r="AW29" s="1462"/>
      <c r="AX29" s="1462"/>
      <c r="AY29" s="1462"/>
      <c r="AZ29" s="1462"/>
      <c r="BA29" s="1462"/>
      <c r="BB29" s="1462"/>
      <c r="BC29" s="1462"/>
      <c r="BD29" s="1462"/>
      <c r="BE29" s="1462"/>
      <c r="BF29" s="141"/>
    </row>
    <row r="30" spans="2:68" x14ac:dyDescent="0.25">
      <c r="B30" s="1455" t="s">
        <v>730</v>
      </c>
      <c r="C30" s="1342"/>
      <c r="D30" s="1342"/>
      <c r="E30" s="1342"/>
      <c r="F30" s="1342"/>
      <c r="G30" s="1342"/>
      <c r="H30" s="1342"/>
      <c r="I30" s="1342"/>
      <c r="J30" s="1342"/>
      <c r="K30" s="1342"/>
      <c r="L30" s="1342"/>
      <c r="M30" s="1342"/>
      <c r="N30" s="1342"/>
      <c r="O30" s="1342"/>
      <c r="P30" s="1342"/>
      <c r="Q30" s="1342"/>
      <c r="T30" s="1458">
        <v>1</v>
      </c>
      <c r="U30" s="1458"/>
      <c r="V30" s="1458"/>
      <c r="W30" s="1458"/>
      <c r="AF30" s="1357" t="s">
        <v>732</v>
      </c>
      <c r="AG30" s="1357"/>
      <c r="AH30" s="1357"/>
      <c r="AI30" s="1357"/>
      <c r="AJ30" s="1357"/>
      <c r="AK30" s="1357"/>
      <c r="AL30" s="1357"/>
      <c r="AM30" s="1357"/>
      <c r="AN30" s="1357"/>
      <c r="AO30" s="1357"/>
      <c r="AP30" s="1426" t="s">
        <v>1072</v>
      </c>
      <c r="AQ30" s="1426"/>
      <c r="AR30" s="1426"/>
      <c r="AT30" s="1357" t="s">
        <v>731</v>
      </c>
      <c r="AU30" s="1357"/>
      <c r="AV30" s="1357"/>
      <c r="AW30" s="1357"/>
      <c r="AX30" s="1357"/>
      <c r="AY30" s="1357"/>
      <c r="AZ30" s="1357"/>
      <c r="BA30" s="1357"/>
      <c r="BB30" s="1357"/>
      <c r="BC30" s="1357"/>
      <c r="BF30" s="141"/>
    </row>
    <row r="31" spans="2:68" x14ac:dyDescent="0.25">
      <c r="B31" s="140"/>
      <c r="BF31" s="141"/>
      <c r="BP31" s="297"/>
    </row>
    <row r="32" spans="2:68" x14ac:dyDescent="0.25">
      <c r="B32" s="1455" t="s">
        <v>727</v>
      </c>
      <c r="C32" s="1342"/>
      <c r="D32" s="1342"/>
      <c r="E32" s="1342"/>
      <c r="F32" s="1342"/>
      <c r="G32" s="1342"/>
      <c r="H32" s="1342"/>
      <c r="I32" s="1342"/>
      <c r="J32" s="1342"/>
      <c r="K32" s="1342"/>
      <c r="L32" s="1342"/>
      <c r="M32" s="1342"/>
      <c r="N32" s="1342"/>
      <c r="O32" s="1342"/>
      <c r="P32" s="1342"/>
      <c r="Q32" s="1342"/>
      <c r="T32" s="1464" t="s">
        <v>1046</v>
      </c>
      <c r="U32" s="1464"/>
      <c r="V32" s="1464"/>
      <c r="W32" s="1464"/>
      <c r="X32" s="1464"/>
      <c r="Y32" s="1464"/>
      <c r="Z32" s="1464"/>
      <c r="AA32" s="1464"/>
      <c r="AB32" s="1464"/>
      <c r="AC32" s="1464"/>
      <c r="AD32" s="1464"/>
      <c r="AE32" s="1464"/>
      <c r="AF32" s="1464"/>
      <c r="AG32" s="1464"/>
      <c r="AH32" s="1464"/>
      <c r="AI32" s="1464"/>
      <c r="AJ32" s="1464"/>
      <c r="AK32" s="1464"/>
      <c r="AL32" s="1464"/>
      <c r="AM32" s="1464"/>
      <c r="AN32" s="1464"/>
      <c r="AO32" s="1464"/>
      <c r="BF32" s="141"/>
    </row>
    <row r="33" spans="2:92" x14ac:dyDescent="0.25">
      <c r="B33" s="140"/>
      <c r="BF33" s="141"/>
    </row>
    <row r="34" spans="2:92" x14ac:dyDescent="0.25">
      <c r="B34" s="140"/>
      <c r="C34" s="85"/>
      <c r="D34" s="85"/>
      <c r="E34" s="85"/>
      <c r="F34" s="85"/>
      <c r="G34" s="85"/>
      <c r="H34" s="85"/>
      <c r="I34" s="1426"/>
      <c r="J34" s="1426"/>
      <c r="K34" s="1443" t="s">
        <v>492</v>
      </c>
      <c r="L34" s="1443"/>
      <c r="M34" s="1443"/>
      <c r="N34" s="1443"/>
      <c r="O34" s="1443"/>
      <c r="P34" s="1443"/>
      <c r="Q34" s="1443"/>
      <c r="R34" s="1426" t="s">
        <v>244</v>
      </c>
      <c r="S34" s="1426"/>
      <c r="T34" s="1443" t="s">
        <v>491</v>
      </c>
      <c r="U34" s="1443"/>
      <c r="V34" s="1443"/>
      <c r="W34" s="1443"/>
      <c r="X34" s="1426"/>
      <c r="Y34" s="1426"/>
      <c r="Z34" s="1443" t="s">
        <v>490</v>
      </c>
      <c r="AA34" s="1443"/>
      <c r="AB34" s="1443"/>
      <c r="AF34" t="s">
        <v>729</v>
      </c>
      <c r="AL34" s="1426">
        <v>5</v>
      </c>
      <c r="AM34" s="1426"/>
      <c r="AN34" s="1426"/>
      <c r="AO34" t="s">
        <v>728</v>
      </c>
      <c r="BF34" s="141"/>
    </row>
    <row r="35" spans="2:92" x14ac:dyDescent="0.25">
      <c r="B35" s="140"/>
      <c r="BF35" s="141"/>
      <c r="BP35" s="299"/>
      <c r="CN35" s="297"/>
    </row>
    <row r="36" spans="2:92" x14ac:dyDescent="0.25">
      <c r="B36" s="1452" t="s">
        <v>726</v>
      </c>
      <c r="C36" s="1453"/>
      <c r="D36" s="1453"/>
      <c r="E36" s="1453"/>
      <c r="F36" s="1453"/>
      <c r="G36" s="1453"/>
      <c r="H36" s="1453"/>
      <c r="I36" s="1453"/>
      <c r="J36" s="1453"/>
      <c r="K36" s="1453"/>
      <c r="L36" s="1453"/>
      <c r="M36" s="1453"/>
      <c r="N36" s="1453"/>
      <c r="O36" s="1453"/>
      <c r="P36" s="1453"/>
      <c r="Q36" s="1453"/>
      <c r="R36" s="1453"/>
      <c r="T36" s="1434" t="str">
        <f>IFERROR($T$28/('Tracking &amp; Profitability'!$E$7*52*Welcome!$D$14),"Error on A La Carte")</f>
        <v>Error on A La Carte</v>
      </c>
      <c r="U36" s="1434"/>
      <c r="V36" s="1434"/>
      <c r="W36" s="1434"/>
      <c r="X36" s="1434"/>
      <c r="Y36" s="1434"/>
      <c r="Z36" s="1434"/>
      <c r="AA36" s="1434"/>
      <c r="AB36" s="1434"/>
      <c r="AF36" s="1453" t="s">
        <v>487</v>
      </c>
      <c r="AG36" s="1453"/>
      <c r="AH36" s="1453"/>
      <c r="AI36" s="1453"/>
      <c r="AJ36" s="1453"/>
      <c r="AK36" s="1453"/>
      <c r="AL36" s="1453"/>
      <c r="AM36" s="1453"/>
      <c r="AN36" s="1453"/>
      <c r="AO36" s="1453"/>
      <c r="AP36" s="1453"/>
      <c r="AQ36" s="1453"/>
      <c r="AR36" s="1453"/>
      <c r="AS36" s="1453"/>
      <c r="AU36" s="1426" t="e">
        <f>ROUND(((1-(('PIM Model'!$G$15+'PIM Model'!$G$17+'PIM Model'!$G$18)/'PIM Model'!$G$31))*100),0)&amp;"%/"&amp;ROUND((('PIM Model'!$G$15+'PIM Model'!$G$17+'PIM Model'!$G$18)/'PIM Model'!$G$31*100),0)&amp;"%"</f>
        <v>#DIV/0!</v>
      </c>
      <c r="AV36" s="1426"/>
      <c r="AW36" s="1426"/>
      <c r="AX36" s="1426"/>
      <c r="AY36" s="1426"/>
      <c r="AZ36" s="1426"/>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2" t="s">
        <v>724</v>
      </c>
      <c r="C38" s="1453"/>
      <c r="D38" s="1453"/>
      <c r="E38" s="1453"/>
      <c r="F38" s="1453"/>
      <c r="G38" s="1453"/>
      <c r="H38" s="1453"/>
      <c r="I38" s="1453"/>
      <c r="J38" s="1453"/>
      <c r="K38" s="1453"/>
      <c r="L38" s="1453"/>
      <c r="M38" s="1453"/>
      <c r="N38" s="1453"/>
      <c r="O38" s="1453"/>
      <c r="P38" s="1453"/>
      <c r="Q38" s="1453"/>
      <c r="R38" s="1453"/>
      <c r="T38" s="1435" t="str">
        <f>IFERROR('PIM Model'!$H$31/('PIM Model'!$E$6*52*Welcome!$D$14),"Error on A La Carte")</f>
        <v>Error on A La Carte</v>
      </c>
      <c r="U38" s="1435"/>
      <c r="V38" s="1435"/>
      <c r="W38" s="1435"/>
      <c r="X38" s="1435"/>
      <c r="Y38" s="1435"/>
      <c r="Z38" s="1435"/>
      <c r="AA38" s="1435"/>
      <c r="AB38" s="1435"/>
      <c r="AC38" s="300"/>
      <c r="AD38" s="300"/>
      <c r="AF38" s="1342" t="s">
        <v>677</v>
      </c>
      <c r="AG38" s="1342"/>
      <c r="AH38" s="1342"/>
      <c r="AI38" s="1342"/>
      <c r="AJ38" s="1342"/>
      <c r="AK38" s="1342"/>
      <c r="AL38" s="1342"/>
      <c r="AM38" s="1342"/>
      <c r="AN38" s="1342"/>
      <c r="AO38" s="1342"/>
      <c r="AP38" s="1342"/>
      <c r="AQ38" s="1342"/>
      <c r="AR38" s="1342"/>
      <c r="AS38" s="1342"/>
      <c r="AU38" s="1426">
        <f>COUNTIF('PIM Model'!$E$10:$E$30,"Include")</f>
        <v>21</v>
      </c>
      <c r="AV38" s="1426"/>
      <c r="AW38" s="1426"/>
      <c r="AX38" s="1426"/>
      <c r="AY38" s="1426"/>
      <c r="AZ38" s="1426"/>
      <c r="BF38" s="141"/>
    </row>
    <row r="39" spans="2:92" x14ac:dyDescent="0.25">
      <c r="B39" s="140"/>
      <c r="BF39" s="141"/>
    </row>
    <row r="40" spans="2:92" x14ac:dyDescent="0.25">
      <c r="B40" s="1452" t="s">
        <v>722</v>
      </c>
      <c r="C40" s="1453"/>
      <c r="D40" s="1453"/>
      <c r="E40" s="1453"/>
      <c r="F40" s="1453"/>
      <c r="G40" s="1453"/>
      <c r="H40" s="1453"/>
      <c r="I40" s="1453"/>
      <c r="J40" s="1453"/>
      <c r="K40" s="1453"/>
      <c r="L40" s="1453"/>
      <c r="M40" s="1453"/>
      <c r="N40" s="1453"/>
      <c r="O40" s="1453"/>
      <c r="P40" s="1453"/>
      <c r="Q40" s="1453"/>
      <c r="R40" s="1453"/>
      <c r="T40" s="1456">
        <f>IFERROR('PIM Model'!$G$31/'PIM Model'!$H$31,0)</f>
        <v>0</v>
      </c>
      <c r="U40" s="1456"/>
      <c r="V40" s="1456"/>
      <c r="W40" s="1456"/>
      <c r="X40" s="1456"/>
      <c r="Y40" s="1456"/>
      <c r="Z40" s="1456"/>
      <c r="AA40" s="1456"/>
      <c r="AB40" s="1456"/>
      <c r="AF40" s="1342" t="s">
        <v>725</v>
      </c>
      <c r="AG40" s="1342"/>
      <c r="AH40" s="1342"/>
      <c r="AI40" s="1342"/>
      <c r="AJ40" s="1342"/>
      <c r="AK40" s="1342"/>
      <c r="AL40" s="1342"/>
      <c r="AM40" s="1342"/>
      <c r="AN40" s="1342"/>
      <c r="AO40" s="1342"/>
      <c r="AP40" s="1342"/>
      <c r="AQ40" s="1342"/>
      <c r="AR40" s="1342"/>
      <c r="AS40" s="1342"/>
      <c r="AU40" s="1426">
        <f>$AO$28+$AU$28+$BA$28</f>
        <v>15</v>
      </c>
      <c r="AV40" s="1426"/>
      <c r="AW40" s="1426"/>
      <c r="BC40" s="1443"/>
      <c r="BD40" s="1443"/>
      <c r="BE40" s="1443"/>
      <c r="BF40" s="141"/>
    </row>
    <row r="41" spans="2:92" x14ac:dyDescent="0.25">
      <c r="B41" s="140"/>
      <c r="BF41" s="141"/>
      <c r="BP41" s="297"/>
      <c r="CN41" s="299"/>
    </row>
    <row r="42" spans="2:92" x14ac:dyDescent="0.25">
      <c r="B42" s="1455" t="s">
        <v>720</v>
      </c>
      <c r="C42" s="1342"/>
      <c r="D42" s="1342"/>
      <c r="E42" s="1342"/>
      <c r="F42" s="1342"/>
      <c r="G42" s="1342"/>
      <c r="H42" s="1342"/>
      <c r="I42" s="1342"/>
      <c r="J42" s="1342"/>
      <c r="K42" s="1342"/>
      <c r="L42" s="1342"/>
      <c r="M42" s="1342"/>
      <c r="N42" s="1342"/>
      <c r="O42" s="1342"/>
      <c r="P42" s="1342"/>
      <c r="Q42" s="1342"/>
      <c r="R42" s="1342"/>
      <c r="T42" s="1456" t="s">
        <v>778</v>
      </c>
      <c r="U42" s="1456"/>
      <c r="V42" s="1456"/>
      <c r="W42" s="1456"/>
      <c r="X42" s="1456"/>
      <c r="Y42" s="1456"/>
      <c r="Z42" s="1456"/>
      <c r="AA42" s="1456"/>
      <c r="AB42" s="1456"/>
      <c r="AF42" s="1342" t="s">
        <v>723</v>
      </c>
      <c r="AG42" s="1342"/>
      <c r="AH42" s="1342"/>
      <c r="AI42" s="1342"/>
      <c r="AJ42" s="1342"/>
      <c r="AK42" s="1342"/>
      <c r="AL42" s="1342"/>
      <c r="AM42" s="1342"/>
      <c r="AN42" s="1342"/>
      <c r="AO42" s="1342"/>
      <c r="AP42" s="1342"/>
      <c r="AQ42" s="1342"/>
      <c r="AR42" s="1342"/>
      <c r="AS42" s="1342"/>
      <c r="AU42" s="1426" t="s">
        <v>669</v>
      </c>
      <c r="AV42" s="1426"/>
      <c r="AW42" s="1426"/>
      <c r="BC42" s="1443"/>
      <c r="BD42" s="1443"/>
      <c r="BE42" s="1443"/>
      <c r="BF42" s="141"/>
    </row>
    <row r="43" spans="2:92" x14ac:dyDescent="0.25">
      <c r="B43" s="140"/>
      <c r="BF43" s="141"/>
      <c r="BP43" s="297"/>
      <c r="CN43" s="299"/>
    </row>
    <row r="44" spans="2:92" x14ac:dyDescent="0.25">
      <c r="B44" s="1452" t="s">
        <v>718</v>
      </c>
      <c r="C44" s="1453"/>
      <c r="D44" s="1453"/>
      <c r="E44" s="1453"/>
      <c r="F44" s="1453"/>
      <c r="G44" s="1453"/>
      <c r="H44" s="1453"/>
      <c r="I44" s="1453"/>
      <c r="J44" s="1453"/>
      <c r="K44" s="1453"/>
      <c r="L44" s="1453"/>
      <c r="M44" s="1453"/>
      <c r="N44" s="1453"/>
      <c r="O44" s="1453"/>
      <c r="P44" s="1453"/>
      <c r="Q44" s="1453"/>
      <c r="R44" s="1453"/>
      <c r="T44" s="1457">
        <f>'Tracking &amp; Profitability'!$E$7</f>
        <v>0</v>
      </c>
      <c r="U44" s="1457"/>
      <c r="V44" s="1457"/>
      <c r="W44" s="1457"/>
      <c r="X44" s="1457"/>
      <c r="Y44" s="1457"/>
      <c r="Z44" s="1457"/>
      <c r="AA44" s="1457"/>
      <c r="AB44" s="1457"/>
      <c r="AF44" s="1342" t="s">
        <v>721</v>
      </c>
      <c r="AG44" s="1342"/>
      <c r="AH44" s="1342"/>
      <c r="AI44" s="1342"/>
      <c r="AJ44" s="1342"/>
      <c r="AK44" s="1342"/>
      <c r="AL44" s="1342"/>
      <c r="AM44" s="1342"/>
      <c r="AN44" s="1342"/>
      <c r="AO44" s="1342"/>
      <c r="AP44" s="1342"/>
      <c r="AQ44" s="1342"/>
      <c r="AR44" s="1342"/>
      <c r="AS44" s="1342"/>
      <c r="AU44" s="1426" t="s">
        <v>669</v>
      </c>
      <c r="AV44" s="1426"/>
      <c r="AW44" s="1426"/>
      <c r="BC44" s="1443"/>
      <c r="BD44" s="1443"/>
      <c r="BE44" s="1443"/>
      <c r="BF44" s="141"/>
    </row>
    <row r="45" spans="2:92" x14ac:dyDescent="0.25">
      <c r="B45" s="140"/>
      <c r="BF45" s="141"/>
      <c r="CN45" s="299"/>
    </row>
    <row r="46" spans="2:92" x14ac:dyDescent="0.25">
      <c r="B46" s="1449" t="s">
        <v>678</v>
      </c>
      <c r="C46" s="1450"/>
      <c r="D46" s="1450"/>
      <c r="E46" s="1450"/>
      <c r="F46" s="1450"/>
      <c r="G46" s="1450"/>
      <c r="H46" s="1450"/>
      <c r="I46" s="1450"/>
      <c r="J46" s="1450"/>
      <c r="K46" s="1450"/>
      <c r="L46" s="1450"/>
      <c r="M46" s="1450"/>
      <c r="N46" s="1450"/>
      <c r="O46" s="1450"/>
      <c r="P46" s="1450"/>
      <c r="Q46" s="1450"/>
      <c r="R46" s="1450"/>
      <c r="T46" s="1451">
        <v>150</v>
      </c>
      <c r="U46" s="1451"/>
      <c r="V46" s="1451"/>
      <c r="W46" s="1451"/>
      <c r="X46" s="1451"/>
      <c r="Y46" s="1451"/>
      <c r="Z46" s="1451"/>
      <c r="AA46" s="1451"/>
      <c r="AB46" s="1451"/>
      <c r="AF46" s="1432" t="s">
        <v>719</v>
      </c>
      <c r="AG46" s="1432"/>
      <c r="AH46" s="1432"/>
      <c r="AI46" s="1432"/>
      <c r="AJ46" s="1432"/>
      <c r="AK46" s="1432"/>
      <c r="AL46" s="1432"/>
      <c r="AM46" s="1432"/>
      <c r="AN46" s="1432"/>
      <c r="AO46" s="1432"/>
      <c r="AP46" s="1432"/>
      <c r="AQ46" s="1432"/>
      <c r="AR46" s="1432"/>
      <c r="AS46" s="1432"/>
      <c r="AU46" s="1439">
        <v>0.3</v>
      </c>
      <c r="AV46" s="1439"/>
      <c r="AW46" s="1439"/>
      <c r="AX46" s="1439"/>
      <c r="AY46" s="1439"/>
      <c r="AZ46" s="1439"/>
      <c r="BF46" s="141"/>
    </row>
    <row r="47" spans="2:92" x14ac:dyDescent="0.25">
      <c r="B47" s="140"/>
      <c r="BF47" s="141"/>
      <c r="CN47" s="299"/>
    </row>
    <row r="48" spans="2:92" x14ac:dyDescent="0.25">
      <c r="B48" s="1452" t="s">
        <v>488</v>
      </c>
      <c r="C48" s="1453"/>
      <c r="D48" s="1453"/>
      <c r="E48" s="1453"/>
      <c r="F48" s="1453"/>
      <c r="G48" s="1453"/>
      <c r="H48" s="1453"/>
      <c r="I48" s="1453"/>
      <c r="J48" s="1453"/>
      <c r="K48" s="1453"/>
      <c r="L48" s="1453"/>
      <c r="M48" s="1453"/>
      <c r="N48" s="1453"/>
      <c r="O48" s="1453"/>
      <c r="P48" s="1453"/>
      <c r="Q48" s="1453"/>
      <c r="R48" s="1453"/>
      <c r="T48" s="1451">
        <f>$K$10</f>
        <v>0</v>
      </c>
      <c r="U48" s="1451"/>
      <c r="V48" s="1451"/>
      <c r="W48" s="1451"/>
      <c r="X48" s="1451"/>
      <c r="Y48" s="1451"/>
      <c r="Z48" s="1451"/>
      <c r="AA48" s="1451"/>
      <c r="AB48" s="1451"/>
      <c r="AF48" s="1432" t="s">
        <v>717</v>
      </c>
      <c r="AG48" s="1432"/>
      <c r="AH48" s="1432"/>
      <c r="AI48" s="1432"/>
      <c r="AJ48" s="1432"/>
      <c r="AK48" s="1432"/>
      <c r="AL48" s="1432"/>
      <c r="AM48" s="1432"/>
      <c r="AN48" s="1432"/>
      <c r="AO48" s="1432"/>
      <c r="AP48" s="1432"/>
      <c r="AQ48" s="1432"/>
      <c r="AR48" s="1432"/>
      <c r="AS48" s="1432"/>
      <c r="AU48" s="1424">
        <v>2.25</v>
      </c>
      <c r="AV48" s="1425"/>
      <c r="AW48" s="1425"/>
      <c r="AX48" s="1425"/>
      <c r="AY48" s="1425"/>
      <c r="AZ48" s="1425"/>
      <c r="BF48" s="141"/>
    </row>
    <row r="49" spans="2:92" x14ac:dyDescent="0.25">
      <c r="B49" s="140"/>
      <c r="BF49" s="141"/>
      <c r="CN49" s="299"/>
    </row>
    <row r="50" spans="2:92" x14ac:dyDescent="0.25">
      <c r="B50" s="1431" t="s">
        <v>716</v>
      </c>
      <c r="C50" s="1432"/>
      <c r="D50" s="1432"/>
      <c r="E50" s="1432"/>
      <c r="F50" s="1432"/>
      <c r="G50" s="1432"/>
      <c r="H50" s="1432"/>
      <c r="I50" s="1432"/>
      <c r="J50" s="1432"/>
      <c r="K50" s="1432"/>
      <c r="L50" s="1432"/>
      <c r="M50" s="1432"/>
      <c r="N50" s="1432"/>
      <c r="O50" s="1432"/>
      <c r="P50" s="1432"/>
      <c r="Q50" s="1432"/>
      <c r="R50" s="1432"/>
      <c r="T50" s="1433">
        <v>500</v>
      </c>
      <c r="U50" s="1433"/>
      <c r="V50" s="1433"/>
      <c r="W50" s="1433"/>
      <c r="X50" s="1433"/>
      <c r="Y50" s="1433"/>
      <c r="Z50" s="1342" t="s">
        <v>715</v>
      </c>
      <c r="AA50" s="1342"/>
      <c r="AB50" s="1342"/>
      <c r="AC50" s="1433">
        <v>35</v>
      </c>
      <c r="AD50" s="1433"/>
      <c r="AE50" s="1433"/>
      <c r="AF50" s="1433"/>
      <c r="AG50" s="1433"/>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36" t="s">
        <v>699</v>
      </c>
      <c r="C53" s="1437"/>
      <c r="D53" s="1437"/>
      <c r="E53" s="1437"/>
      <c r="F53" s="1437"/>
      <c r="G53" s="1437"/>
      <c r="H53" s="1437"/>
      <c r="I53" s="1437"/>
      <c r="J53" s="1437"/>
      <c r="K53" s="1437"/>
      <c r="L53" s="1437"/>
      <c r="M53" s="1437"/>
      <c r="N53" s="1437"/>
      <c r="O53" s="1437"/>
      <c r="P53" s="1437"/>
      <c r="Q53" s="1437"/>
      <c r="R53" s="1437"/>
      <c r="S53" s="1437"/>
      <c r="T53" s="1437"/>
      <c r="U53" s="1437"/>
      <c r="V53" s="1437"/>
      <c r="W53" s="1437"/>
      <c r="X53" s="1437"/>
      <c r="Y53" s="1437"/>
      <c r="Z53" s="1437"/>
      <c r="AA53" s="1437"/>
      <c r="AB53" s="1437"/>
      <c r="AC53" s="1437"/>
      <c r="AD53" s="1437"/>
      <c r="AE53" s="1437"/>
      <c r="AF53" s="1437"/>
      <c r="AG53" s="1437"/>
      <c r="AH53" s="1437"/>
      <c r="AI53" s="1437"/>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8"/>
    </row>
    <row r="54" spans="2:92" x14ac:dyDescent="0.25">
      <c r="B54" s="1440" t="s">
        <v>714</v>
      </c>
      <c r="C54" s="1441"/>
      <c r="D54" s="1441"/>
      <c r="E54" s="1441"/>
      <c r="F54" s="1441"/>
      <c r="G54" s="1441"/>
      <c r="H54" s="1441"/>
      <c r="I54" s="1441"/>
      <c r="J54" s="1441"/>
      <c r="K54" s="1441"/>
      <c r="L54" s="1441"/>
      <c r="M54" s="1441"/>
      <c r="N54" s="1441"/>
      <c r="O54" s="1441"/>
      <c r="P54" s="1441"/>
      <c r="Q54" s="1441"/>
      <c r="R54" s="1441"/>
      <c r="S54" s="1441"/>
      <c r="T54" s="1441"/>
      <c r="U54" s="1441"/>
      <c r="V54" s="1441"/>
      <c r="W54" s="1441"/>
      <c r="X54" s="1441"/>
      <c r="Y54" s="1441"/>
      <c r="Z54" s="1441"/>
      <c r="AA54" s="1441"/>
      <c r="AB54" s="1441"/>
      <c r="AC54" s="1441"/>
      <c r="AD54" s="1441"/>
      <c r="AE54" s="1441"/>
      <c r="AF54" s="1441"/>
      <c r="AG54" s="1441"/>
      <c r="AH54" s="1441"/>
      <c r="AI54" s="1441"/>
      <c r="AJ54" s="1441"/>
      <c r="AK54" s="1441"/>
      <c r="AL54" s="1441"/>
      <c r="AM54" s="1441"/>
      <c r="AN54" s="1441"/>
      <c r="AO54" s="1441"/>
      <c r="AP54" s="1441"/>
      <c r="AQ54" s="1441"/>
      <c r="AR54" s="1441"/>
      <c r="AS54" s="1441"/>
      <c r="AT54" s="1441"/>
      <c r="AU54" s="1441"/>
      <c r="AV54" s="1441"/>
      <c r="AW54" s="1441"/>
      <c r="AX54" s="1441"/>
      <c r="AY54" s="1441"/>
      <c r="AZ54" s="1441"/>
      <c r="BA54" s="1441"/>
      <c r="BB54" s="1441"/>
      <c r="BC54" s="1441"/>
      <c r="BD54" s="1441"/>
      <c r="BE54" s="1441"/>
      <c r="BF54" s="1442"/>
      <c r="BP54" s="297"/>
    </row>
    <row r="55" spans="2:92" x14ac:dyDescent="0.25">
      <c r="B55" s="140"/>
      <c r="AC55" s="302"/>
      <c r="AD55" s="302"/>
      <c r="AE55" s="302"/>
      <c r="AF55" s="302"/>
      <c r="AG55" s="302"/>
      <c r="AH55" s="302"/>
      <c r="AK55" s="1447"/>
      <c r="AL55" s="1447"/>
      <c r="AM55" s="1447"/>
      <c r="AN55" s="1447"/>
      <c r="AO55" s="1320"/>
      <c r="AP55" s="1320"/>
      <c r="AQ55" s="1320"/>
      <c r="AR55" s="137"/>
      <c r="AS55" s="137"/>
      <c r="AT55" s="1320"/>
      <c r="AU55" s="1320"/>
      <c r="AV55" s="1320"/>
      <c r="AW55" s="137"/>
      <c r="AX55" s="137"/>
      <c r="AY55" s="1320"/>
      <c r="AZ55" s="1320"/>
      <c r="BA55" s="1320"/>
      <c r="BB55" s="137"/>
      <c r="BC55" s="137"/>
      <c r="BD55" s="1320"/>
      <c r="BE55" s="1320"/>
      <c r="BF55" s="1423"/>
      <c r="BP55" s="303"/>
    </row>
    <row r="56" spans="2:92" x14ac:dyDescent="0.25">
      <c r="B56" s="140"/>
      <c r="C56" s="1357" t="s">
        <v>103</v>
      </c>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C56" s="1426" t="str">
        <f>'PIM Model'!$AD$11</f>
        <v/>
      </c>
      <c r="AD56" s="1426"/>
      <c r="AE56" s="1426" t="str">
        <f>'PIM Model'!$D$11</f>
        <v>%</v>
      </c>
      <c r="AF56" s="1426"/>
      <c r="AG56" s="1426" t="str">
        <f>'PIM Model'!$D$11</f>
        <v>%</v>
      </c>
      <c r="AH56" s="1426"/>
      <c r="AI56" s="1443" t="str">
        <f>'PIM Model'!$D$11</f>
        <v>%</v>
      </c>
      <c r="AJ56" s="1443"/>
      <c r="AK56" s="137"/>
      <c r="AL56" s="137"/>
      <c r="AM56" s="137"/>
      <c r="AN56" s="137"/>
      <c r="AO56" s="1320"/>
      <c r="AP56" s="1320"/>
      <c r="AQ56" s="1320"/>
      <c r="AR56" s="137"/>
      <c r="AS56" s="137"/>
      <c r="AT56" s="1320"/>
      <c r="AU56" s="1320"/>
      <c r="AV56" s="1320"/>
      <c r="AW56" s="137"/>
      <c r="AX56" s="137"/>
      <c r="AY56" s="1320"/>
      <c r="AZ56" s="1320"/>
      <c r="BA56" s="1320"/>
      <c r="BB56" s="137"/>
      <c r="BC56" s="137"/>
      <c r="BD56" s="1320"/>
      <c r="BE56" s="1320"/>
      <c r="BF56" s="1423"/>
      <c r="BP56" s="297"/>
    </row>
    <row r="57" spans="2:92" x14ac:dyDescent="0.25">
      <c r="B57" s="140"/>
      <c r="C57" s="1357" t="s">
        <v>102</v>
      </c>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C57" s="1446" t="str">
        <f>'PIM Model'!$AD$13</f>
        <v/>
      </c>
      <c r="AD57" s="1446"/>
      <c r="AE57" s="1446" t="str">
        <f>'PIM Model'!$D$13</f>
        <v>%</v>
      </c>
      <c r="AF57" s="1446"/>
      <c r="AG57" s="1446" t="str">
        <f>'PIM Model'!$D$13</f>
        <v>%</v>
      </c>
      <c r="AH57" s="1446"/>
      <c r="AI57" s="1443" t="str">
        <f>'PIM Model'!$D$13</f>
        <v>%</v>
      </c>
      <c r="AJ57" s="1443"/>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7" t="s">
        <v>101</v>
      </c>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C58" s="1446" t="str">
        <f>'PIM Model'!$AD$19</f>
        <v/>
      </c>
      <c r="AD58" s="1446"/>
      <c r="AE58" s="1446" t="str">
        <f>'PIM Model'!$D$19</f>
        <v>%</v>
      </c>
      <c r="AF58" s="1446"/>
      <c r="AG58" s="1446" t="str">
        <f>'PIM Model'!$D$19</f>
        <v>%</v>
      </c>
      <c r="AH58" s="1446"/>
      <c r="AI58" s="1443" t="str">
        <f>'PIM Model'!$D$19</f>
        <v>%</v>
      </c>
      <c r="AJ58" s="1443"/>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7" t="s">
        <v>100</v>
      </c>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C59" s="1446" t="str">
        <f>'PIM Model'!$AD$14</f>
        <v/>
      </c>
      <c r="AD59" s="1446"/>
      <c r="AE59" s="1446" t="str">
        <f>'PIM Model'!$D$14</f>
        <v>%</v>
      </c>
      <c r="AF59" s="1446"/>
      <c r="AG59" s="1446" t="str">
        <f>'PIM Model'!$D$14</f>
        <v>%</v>
      </c>
      <c r="AH59" s="1446"/>
      <c r="AI59" s="1443" t="str">
        <f>'PIM Model'!$D$14</f>
        <v>%</v>
      </c>
      <c r="AJ59" s="1443"/>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7" t="s">
        <v>104</v>
      </c>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C60" s="1446" t="str">
        <f>'PIM Model'!$AD$15</f>
        <v/>
      </c>
      <c r="AD60" s="1446"/>
      <c r="AE60" s="1446" t="str">
        <f>'PIM Model'!$D$15</f>
        <v>%</v>
      </c>
      <c r="AF60" s="1446"/>
      <c r="AG60" s="1446" t="str">
        <f>'PIM Model'!$D$15</f>
        <v>%</v>
      </c>
      <c r="AH60" s="1446"/>
      <c r="AI60" s="1443" t="str">
        <f>'PIM Model'!$D$15</f>
        <v>%</v>
      </c>
      <c r="AJ60" s="1443"/>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7" t="s">
        <v>99</v>
      </c>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C61" s="1446" t="str">
        <f>'PIM Model'!$AD$10</f>
        <v/>
      </c>
      <c r="AD61" s="1446"/>
      <c r="AE61" s="1446" t="str">
        <f>'PIM Model'!$D$10</f>
        <v>%</v>
      </c>
      <c r="AF61" s="1446"/>
      <c r="AG61" s="1446" t="str">
        <f>'PIM Model'!$D$10</f>
        <v>%</v>
      </c>
      <c r="AH61" s="1446"/>
      <c r="AI61" s="1443" t="str">
        <f>'PIM Model'!$D$10</f>
        <v>%</v>
      </c>
      <c r="AJ61" s="1443"/>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63" t="s">
        <v>98</v>
      </c>
      <c r="D62" s="1263"/>
      <c r="E62" s="1263"/>
      <c r="F62" s="1263"/>
      <c r="G62" s="1263"/>
      <c r="H62" s="1263"/>
      <c r="I62" s="1263"/>
      <c r="J62" s="1263"/>
      <c r="K62" s="1263"/>
      <c r="L62" s="1263"/>
      <c r="M62" s="1263"/>
      <c r="N62" s="1263"/>
      <c r="O62" s="1263"/>
      <c r="P62" s="1263"/>
      <c r="Q62" s="1263"/>
      <c r="R62" s="1263"/>
      <c r="S62" s="1263"/>
      <c r="T62" s="1263"/>
      <c r="U62" s="1263"/>
      <c r="V62" s="1263"/>
      <c r="W62" s="1263"/>
      <c r="X62" s="1263"/>
      <c r="Y62" s="1263"/>
      <c r="Z62" s="1263"/>
      <c r="AC62" s="1446" t="str">
        <f>'PIM Model'!$AD$16</f>
        <v/>
      </c>
      <c r="AD62" s="1446"/>
      <c r="AE62" s="1446" t="str">
        <f>'PIM Model'!$D$16</f>
        <v>%</v>
      </c>
      <c r="AF62" s="1446"/>
      <c r="AG62" s="1446" t="str">
        <f>'PIM Model'!$D$16</f>
        <v>%</v>
      </c>
      <c r="AH62" s="1446"/>
      <c r="AI62" s="1443" t="str">
        <f>'PIM Model'!$D$16</f>
        <v>%</v>
      </c>
      <c r="AJ62" s="1443"/>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63" t="s">
        <v>97</v>
      </c>
      <c r="D63" s="1263"/>
      <c r="E63" s="1263"/>
      <c r="F63" s="1263"/>
      <c r="G63" s="1263"/>
      <c r="H63" s="1263"/>
      <c r="I63" s="1263"/>
      <c r="J63" s="1263"/>
      <c r="K63" s="1263"/>
      <c r="L63" s="1263"/>
      <c r="M63" s="1263"/>
      <c r="N63" s="1263"/>
      <c r="O63" s="1263"/>
      <c r="P63" s="1263"/>
      <c r="Q63" s="1263"/>
      <c r="R63" s="1263"/>
      <c r="S63" s="1263"/>
      <c r="T63" s="1263"/>
      <c r="U63" s="1263"/>
      <c r="V63" s="1263"/>
      <c r="W63" s="1263"/>
      <c r="X63" s="1263"/>
      <c r="Y63" s="1263"/>
      <c r="Z63" s="1263"/>
      <c r="AC63" s="1446" t="str">
        <f>'PIM Model'!$AD$20</f>
        <v/>
      </c>
      <c r="AD63" s="1446"/>
      <c r="AE63" s="1446" t="str">
        <f>'PIM Model'!$D$20</f>
        <v>%</v>
      </c>
      <c r="AF63" s="1446"/>
      <c r="AG63" s="1446" t="str">
        <f>'PIM Model'!$D$20</f>
        <v>%</v>
      </c>
      <c r="AH63" s="1446"/>
      <c r="AI63" s="1443" t="str">
        <f>'PIM Model'!$D$20</f>
        <v>%</v>
      </c>
      <c r="AJ63" s="1443"/>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63" t="s">
        <v>96</v>
      </c>
      <c r="D64" s="1263"/>
      <c r="E64" s="1263"/>
      <c r="F64" s="1263"/>
      <c r="G64" s="1263"/>
      <c r="H64" s="1263"/>
      <c r="I64" s="1263"/>
      <c r="J64" s="1263"/>
      <c r="K64" s="1263"/>
      <c r="L64" s="1263"/>
      <c r="M64" s="1263"/>
      <c r="N64" s="1263"/>
      <c r="O64" s="1263"/>
      <c r="P64" s="1263"/>
      <c r="Q64" s="1263"/>
      <c r="R64" s="1263"/>
      <c r="S64" s="1263"/>
      <c r="T64" s="1263"/>
      <c r="U64" s="1263"/>
      <c r="V64" s="1263"/>
      <c r="W64" s="1263"/>
      <c r="X64" s="1263"/>
      <c r="Y64" s="1263"/>
      <c r="Z64" s="1263"/>
      <c r="AC64" s="1446" t="str">
        <f>'PIM Model'!$AD$18</f>
        <v/>
      </c>
      <c r="AD64" s="1446"/>
      <c r="AE64" s="1446" t="str">
        <f>'PIM Model'!$D$18</f>
        <v>%</v>
      </c>
      <c r="AF64" s="1446"/>
      <c r="AG64" s="1446" t="str">
        <f>'PIM Model'!$D$18</f>
        <v>%</v>
      </c>
      <c r="AH64" s="1446"/>
      <c r="AI64" s="1443" t="str">
        <f>'PIM Model'!$D$18</f>
        <v>%</v>
      </c>
      <c r="AJ64" s="1443"/>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63" t="s">
        <v>95</v>
      </c>
      <c r="D65" s="1263"/>
      <c r="E65" s="1263"/>
      <c r="F65" s="1263"/>
      <c r="G65" s="1263"/>
      <c r="H65" s="1263"/>
      <c r="I65" s="1263"/>
      <c r="J65" s="1263"/>
      <c r="K65" s="1263"/>
      <c r="L65" s="1263"/>
      <c r="M65" s="1263"/>
      <c r="N65" s="1263"/>
      <c r="O65" s="1263"/>
      <c r="P65" s="1263"/>
      <c r="Q65" s="1263"/>
      <c r="R65" s="1263"/>
      <c r="S65" s="1263"/>
      <c r="T65" s="1263"/>
      <c r="U65" s="1263"/>
      <c r="V65" s="1263"/>
      <c r="W65" s="1263"/>
      <c r="X65" s="1263"/>
      <c r="Y65" s="1263"/>
      <c r="Z65" s="1263"/>
      <c r="AC65" s="1446" t="str">
        <f>'PIM Model'!$AD$17</f>
        <v/>
      </c>
      <c r="AD65" s="1446"/>
      <c r="AE65" s="1446" t="str">
        <f>'PIM Model'!$D$17</f>
        <v>%</v>
      </c>
      <c r="AF65" s="1446"/>
      <c r="AG65" s="1446" t="str">
        <f>'PIM Model'!$D$17</f>
        <v>%</v>
      </c>
      <c r="AH65" s="1446"/>
      <c r="AI65" s="1443" t="str">
        <f>'PIM Model'!$D$17</f>
        <v>%</v>
      </c>
      <c r="AJ65" s="1443"/>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63" t="s">
        <v>94</v>
      </c>
      <c r="D66" s="1263"/>
      <c r="E66" s="1263"/>
      <c r="F66" s="1263"/>
      <c r="G66" s="1263"/>
      <c r="H66" s="1263"/>
      <c r="I66" s="1263"/>
      <c r="J66" s="1263"/>
      <c r="K66" s="1263"/>
      <c r="L66" s="1263"/>
      <c r="M66" s="1263"/>
      <c r="N66" s="1263"/>
      <c r="O66" s="1263"/>
      <c r="P66" s="1263"/>
      <c r="Q66" s="1263"/>
      <c r="R66" s="1263"/>
      <c r="S66" s="1263"/>
      <c r="T66" s="1263"/>
      <c r="U66" s="1263"/>
      <c r="V66" s="1263"/>
      <c r="W66" s="1263"/>
      <c r="X66" s="1263"/>
      <c r="Y66" s="1263"/>
      <c r="Z66" s="1263"/>
      <c r="AC66" s="1446" t="str">
        <f>'PIM Model'!$AD$27</f>
        <v/>
      </c>
      <c r="AD66" s="1446"/>
      <c r="AE66" s="1446" t="str">
        <f>'PIM Model'!$D$27</f>
        <v>%</v>
      </c>
      <c r="AF66" s="1446"/>
      <c r="AG66" s="1446" t="str">
        <f>'PIM Model'!$D$27</f>
        <v>%</v>
      </c>
      <c r="AH66" s="1446"/>
      <c r="AI66" s="1443" t="str">
        <f>'PIM Model'!$D$27</f>
        <v>%</v>
      </c>
      <c r="AJ66" s="1443"/>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43" t="s">
        <v>713</v>
      </c>
      <c r="F67" s="1443"/>
      <c r="G67" s="1443"/>
      <c r="H67" s="1443"/>
      <c r="I67" s="1443"/>
      <c r="J67" s="1443"/>
      <c r="K67" s="1443"/>
      <c r="M67" s="1444" t="s">
        <v>244</v>
      </c>
      <c r="N67" s="1444"/>
      <c r="O67" s="1444"/>
      <c r="P67" t="s">
        <v>669</v>
      </c>
      <c r="S67" s="1445"/>
      <c r="T67" s="1445"/>
      <c r="U67" s="1445"/>
      <c r="V67" s="1443" t="s">
        <v>671</v>
      </c>
      <c r="W67" s="1443"/>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63" t="s">
        <v>93</v>
      </c>
      <c r="D68" s="1263"/>
      <c r="E68" s="1263"/>
      <c r="F68" s="1263"/>
      <c r="G68" s="1263"/>
      <c r="H68" s="1263"/>
      <c r="I68" s="1263"/>
      <c r="J68" s="1263"/>
      <c r="K68" s="1263"/>
      <c r="L68" s="1263"/>
      <c r="M68" s="1263"/>
      <c r="N68" s="1263"/>
      <c r="O68" s="1263"/>
      <c r="P68" s="1263"/>
      <c r="Q68" s="1263"/>
      <c r="R68" s="1263"/>
      <c r="S68" s="1263"/>
      <c r="T68" s="1263"/>
      <c r="U68" s="1263"/>
      <c r="V68" s="1263"/>
      <c r="W68" s="1263"/>
      <c r="X68" s="1263"/>
      <c r="Y68" s="1263"/>
      <c r="Z68" s="1263"/>
      <c r="AC68" s="1446" t="str">
        <f>'PIM Model'!$AD$21</f>
        <v/>
      </c>
      <c r="AD68" s="1446"/>
      <c r="AE68" s="1446" t="str">
        <f>'PIM Model'!$D$21</f>
        <v>%</v>
      </c>
      <c r="AF68" s="1446"/>
      <c r="AG68" s="1446" t="str">
        <f>'PIM Model'!$D$21</f>
        <v>%</v>
      </c>
      <c r="AH68" s="1446"/>
      <c r="AI68" s="1443" t="str">
        <f>'PIM Model'!$D$21</f>
        <v>%</v>
      </c>
      <c r="AJ68" s="1443"/>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63" t="s">
        <v>92</v>
      </c>
      <c r="D69" s="1263"/>
      <c r="E69" s="1263"/>
      <c r="F69" s="1263"/>
      <c r="G69" s="1263"/>
      <c r="H69" s="1263"/>
      <c r="I69" s="1263"/>
      <c r="J69" s="1263"/>
      <c r="K69" s="1263"/>
      <c r="L69" s="1263"/>
      <c r="M69" s="1263"/>
      <c r="N69" s="1263"/>
      <c r="O69" s="1263"/>
      <c r="P69" s="1263"/>
      <c r="Q69" s="1263"/>
      <c r="R69" s="1263"/>
      <c r="S69" s="1263"/>
      <c r="T69" s="1263"/>
      <c r="U69" s="1263"/>
      <c r="V69" s="1263"/>
      <c r="W69" s="1263"/>
      <c r="X69" s="1263"/>
      <c r="Y69" s="1263"/>
      <c r="Z69" s="1263"/>
      <c r="AC69" s="1446" t="str">
        <f>'PIM Model'!$AD$23</f>
        <v/>
      </c>
      <c r="AD69" s="1446"/>
      <c r="AE69" s="1446" t="str">
        <f>'PIM Model'!$D$23</f>
        <v>%</v>
      </c>
      <c r="AF69" s="1446"/>
      <c r="AG69" s="1446" t="str">
        <f>'PIM Model'!$D$23</f>
        <v>%</v>
      </c>
      <c r="AH69" s="1446"/>
      <c r="AI69" s="1443" t="str">
        <f>'PIM Model'!$D$23</f>
        <v>%</v>
      </c>
      <c r="AJ69" s="1443"/>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63" t="s">
        <v>91</v>
      </c>
      <c r="D70" s="1263"/>
      <c r="E70" s="1263"/>
      <c r="F70" s="1263"/>
      <c r="G70" s="1263"/>
      <c r="H70" s="1263"/>
      <c r="I70" s="1263"/>
      <c r="J70" s="1263"/>
      <c r="K70" s="1263"/>
      <c r="L70" s="1263"/>
      <c r="M70" s="1263"/>
      <c r="N70" s="1263"/>
      <c r="O70" s="1263"/>
      <c r="P70" s="1263"/>
      <c r="Q70" s="1263"/>
      <c r="R70" s="1263"/>
      <c r="S70" s="1263"/>
      <c r="T70" s="1263"/>
      <c r="U70" s="1263"/>
      <c r="V70" s="1263"/>
      <c r="W70" s="1263"/>
      <c r="X70" s="1263"/>
      <c r="Y70" s="1263"/>
      <c r="Z70" s="1263"/>
      <c r="AC70" s="1446" t="str">
        <f>'PIM Model'!$AD$24</f>
        <v/>
      </c>
      <c r="AD70" s="1446"/>
      <c r="AE70" s="1446" t="str">
        <f>'PIM Model'!$D$24</f>
        <v>%</v>
      </c>
      <c r="AF70" s="1446"/>
      <c r="AG70" s="1446" t="str">
        <f>'PIM Model'!$D$24</f>
        <v>%</v>
      </c>
      <c r="AH70" s="1446"/>
      <c r="AI70" s="1443" t="str">
        <f>'PIM Model'!$D$24</f>
        <v>%</v>
      </c>
      <c r="AJ70" s="1443"/>
      <c r="AK70" s="137"/>
      <c r="AL70" s="137"/>
      <c r="AM70" s="137"/>
      <c r="AN70" s="137"/>
      <c r="AO70" s="1320"/>
      <c r="AP70" s="1320"/>
      <c r="AQ70" s="1320"/>
      <c r="AR70" s="137"/>
      <c r="AS70" s="137"/>
      <c r="AT70" s="1320"/>
      <c r="AU70" s="1320"/>
      <c r="AV70" s="1320"/>
      <c r="AW70" s="137"/>
      <c r="AX70" s="137"/>
      <c r="AY70" s="1320"/>
      <c r="AZ70" s="1320"/>
      <c r="BA70" s="1320"/>
      <c r="BB70" s="137"/>
      <c r="BC70" s="137"/>
      <c r="BD70" s="1320"/>
      <c r="BE70" s="1320"/>
      <c r="BF70" s="1423"/>
    </row>
    <row r="71" spans="2:70" x14ac:dyDescent="0.25">
      <c r="B71" s="140"/>
      <c r="C71" s="1263" t="s">
        <v>90</v>
      </c>
      <c r="D71" s="1263"/>
      <c r="E71" s="1263"/>
      <c r="F71" s="1263"/>
      <c r="G71" s="1263"/>
      <c r="H71" s="1263"/>
      <c r="I71" s="1263"/>
      <c r="J71" s="1263"/>
      <c r="K71" s="1263"/>
      <c r="L71" s="1263"/>
      <c r="M71" s="1263"/>
      <c r="N71" s="1263"/>
      <c r="O71" s="1263"/>
      <c r="P71" s="1263"/>
      <c r="Q71" s="1263"/>
      <c r="R71" s="1263"/>
      <c r="S71" s="1263"/>
      <c r="T71" s="1263"/>
      <c r="U71" s="1263"/>
      <c r="V71" s="1263"/>
      <c r="W71" s="1263"/>
      <c r="X71" s="1263"/>
      <c r="Y71" s="1263"/>
      <c r="Z71" s="1263"/>
      <c r="AC71" s="1446" t="str">
        <f>'PIM Model'!$AD$25</f>
        <v/>
      </c>
      <c r="AD71" s="1446"/>
      <c r="AE71" s="1446" t="str">
        <f>'PIM Model'!$D$25</f>
        <v>%</v>
      </c>
      <c r="AF71" s="1446"/>
      <c r="AG71" s="1446" t="str">
        <f>'PIM Model'!$D$25</f>
        <v>%</v>
      </c>
      <c r="AH71" s="1446"/>
      <c r="AI71" s="1443" t="str">
        <f>'PIM Model'!$D$25</f>
        <v>%</v>
      </c>
      <c r="AJ71" s="1443"/>
      <c r="AK71" s="137"/>
      <c r="AL71" s="137"/>
      <c r="AM71" s="137"/>
      <c r="AN71" s="137"/>
      <c r="AO71" s="1320"/>
      <c r="AP71" s="1320"/>
      <c r="AQ71" s="1320"/>
      <c r="AR71" s="137"/>
      <c r="AS71" s="137"/>
      <c r="AT71" s="1320"/>
      <c r="AU71" s="1320"/>
      <c r="AV71" s="1320"/>
      <c r="AW71" s="137"/>
      <c r="AX71" s="137"/>
      <c r="AY71" s="1320"/>
      <c r="AZ71" s="1320"/>
      <c r="BA71" s="1320"/>
      <c r="BB71" s="137"/>
      <c r="BC71" s="137"/>
      <c r="BD71" s="1320"/>
      <c r="BE71" s="1320"/>
      <c r="BF71" s="1423"/>
    </row>
    <row r="72" spans="2:70" x14ac:dyDescent="0.25">
      <c r="B72" s="140"/>
      <c r="C72" s="1263" t="s">
        <v>89</v>
      </c>
      <c r="D72" s="1263"/>
      <c r="E72" s="1263"/>
      <c r="F72" s="1263"/>
      <c r="G72" s="1263"/>
      <c r="H72" s="1263"/>
      <c r="I72" s="1263"/>
      <c r="J72" s="1263"/>
      <c r="K72" s="1263"/>
      <c r="L72" s="1263"/>
      <c r="M72" s="1263"/>
      <c r="N72" s="1263"/>
      <c r="O72" s="1263"/>
      <c r="P72" s="1263"/>
      <c r="Q72" s="1263"/>
      <c r="R72" s="1263"/>
      <c r="S72" s="1263"/>
      <c r="T72" s="1263"/>
      <c r="U72" s="1263"/>
      <c r="V72" s="1263"/>
      <c r="W72" s="1263"/>
      <c r="X72" s="1263"/>
      <c r="Y72" s="1263"/>
      <c r="Z72" s="1263"/>
      <c r="AC72" s="1446" t="str">
        <f>'PIM Model'!$AD$26</f>
        <v/>
      </c>
      <c r="AD72" s="1446"/>
      <c r="AE72" s="1446" t="str">
        <f>'PIM Model'!$D$26</f>
        <v>%</v>
      </c>
      <c r="AF72" s="1446"/>
      <c r="AG72" s="1446" t="str">
        <f>'PIM Model'!$D$26</f>
        <v>%</v>
      </c>
      <c r="AH72" s="1446"/>
      <c r="AI72" s="1443" t="str">
        <f>'PIM Model'!$D$26</f>
        <v>%</v>
      </c>
      <c r="AJ72" s="1443"/>
      <c r="AK72" s="137"/>
      <c r="AL72" s="137"/>
      <c r="AM72" s="137"/>
      <c r="AN72" s="137"/>
      <c r="AO72" s="1320"/>
      <c r="AP72" s="1320"/>
      <c r="AQ72" s="1320"/>
      <c r="AR72" s="137"/>
      <c r="AS72" s="137"/>
      <c r="AT72" s="1320"/>
      <c r="AU72" s="1320"/>
      <c r="AV72" s="1320"/>
      <c r="AW72" s="137"/>
      <c r="AX72" s="137"/>
      <c r="AY72" s="1320"/>
      <c r="AZ72" s="1320"/>
      <c r="BA72" s="1320"/>
      <c r="BB72" s="137"/>
      <c r="BC72" s="137"/>
      <c r="BD72" s="1320"/>
      <c r="BE72" s="1320"/>
      <c r="BF72" s="1423"/>
    </row>
    <row r="73" spans="2:70" x14ac:dyDescent="0.25">
      <c r="B73" s="140"/>
      <c r="C73" s="1263" t="s">
        <v>88</v>
      </c>
      <c r="D73" s="1263"/>
      <c r="E73" s="1263"/>
      <c r="F73" s="1263"/>
      <c r="G73" s="1263"/>
      <c r="H73" s="1263"/>
      <c r="I73" s="1263"/>
      <c r="J73" s="1263"/>
      <c r="K73" s="1263"/>
      <c r="L73" s="1263"/>
      <c r="M73" s="1263"/>
      <c r="N73" s="1263"/>
      <c r="O73" s="1263"/>
      <c r="P73" s="1263"/>
      <c r="Q73" s="1263"/>
      <c r="R73" s="1263"/>
      <c r="S73" s="1263"/>
      <c r="T73" s="1263"/>
      <c r="U73" s="1263"/>
      <c r="V73" s="1263"/>
      <c r="W73" s="1263"/>
      <c r="X73" s="1263"/>
      <c r="Y73" s="1263"/>
      <c r="Z73" s="1263"/>
      <c r="AC73" s="1446" t="str">
        <f>'PIM Model'!$AD$29</f>
        <v/>
      </c>
      <c r="AD73" s="1446"/>
      <c r="AE73" s="1446" t="str">
        <f>'PIM Model'!$D$29</f>
        <v>%</v>
      </c>
      <c r="AF73" s="1446"/>
      <c r="AG73" s="1446" t="str">
        <f>'PIM Model'!$D$29</f>
        <v>%</v>
      </c>
      <c r="AH73" s="1446"/>
      <c r="AI73" s="1443" t="str">
        <f>'PIM Model'!$D$29</f>
        <v>%</v>
      </c>
      <c r="AJ73" s="1443"/>
      <c r="AK73" s="137"/>
      <c r="AL73" s="137"/>
      <c r="AM73" s="137"/>
      <c r="AN73" s="137"/>
      <c r="AO73" s="1320"/>
      <c r="AP73" s="1320"/>
      <c r="AQ73" s="1320"/>
      <c r="AR73" s="137"/>
      <c r="AS73" s="137"/>
      <c r="AT73" s="1320"/>
      <c r="AU73" s="1320"/>
      <c r="AV73" s="1320"/>
      <c r="AW73" s="137"/>
      <c r="AX73" s="137"/>
      <c r="AY73" s="1320"/>
      <c r="AZ73" s="1320"/>
      <c r="BA73" s="1320"/>
      <c r="BB73" s="137"/>
      <c r="BC73" s="137"/>
      <c r="BD73" s="1320"/>
      <c r="BE73" s="1320"/>
      <c r="BF73" s="1423"/>
    </row>
    <row r="74" spans="2:70" x14ac:dyDescent="0.25">
      <c r="B74" s="140"/>
      <c r="C74" s="1263" t="s">
        <v>87</v>
      </c>
      <c r="D74" s="1263"/>
      <c r="E74" s="1263"/>
      <c r="F74" s="1263"/>
      <c r="G74" s="1263"/>
      <c r="H74" s="1263"/>
      <c r="I74" s="1263"/>
      <c r="J74" s="1263"/>
      <c r="K74" s="1263"/>
      <c r="L74" s="1263"/>
      <c r="M74" s="1263"/>
      <c r="N74" s="1263"/>
      <c r="O74" s="1263"/>
      <c r="P74" s="1263"/>
      <c r="Q74" s="1263"/>
      <c r="R74" s="1263"/>
      <c r="S74" s="1263"/>
      <c r="T74" s="1263"/>
      <c r="U74" s="1263"/>
      <c r="V74" s="1263"/>
      <c r="W74" s="1263"/>
      <c r="X74" s="1263"/>
      <c r="Y74" s="1263"/>
      <c r="Z74" s="1263"/>
      <c r="AC74" s="1446" t="str">
        <f>'PIM Model'!$AD$30</f>
        <v/>
      </c>
      <c r="AD74" s="1446"/>
      <c r="AE74" s="1446" t="str">
        <f>'PIM Model'!$D$30</f>
        <v>%</v>
      </c>
      <c r="AF74" s="1446"/>
      <c r="AG74" s="1446" t="str">
        <f>'PIM Model'!$D$30</f>
        <v>%</v>
      </c>
      <c r="AH74" s="1446"/>
      <c r="AI74" s="1443" t="str">
        <f>'PIM Model'!$D$30</f>
        <v>%</v>
      </c>
      <c r="AJ74" s="1443"/>
      <c r="AK74" s="137"/>
      <c r="AL74" s="137"/>
      <c r="AM74" s="137"/>
      <c r="AN74" s="137"/>
      <c r="AO74" s="1320"/>
      <c r="AP74" s="1320"/>
      <c r="AQ74" s="1320"/>
      <c r="AR74" s="137"/>
      <c r="AS74" s="137"/>
      <c r="AT74" s="1320"/>
      <c r="AU74" s="1320"/>
      <c r="AV74" s="1320"/>
      <c r="AW74" s="137"/>
      <c r="AX74" s="137"/>
      <c r="AY74" s="1320"/>
      <c r="AZ74" s="1320"/>
      <c r="BA74" s="1320"/>
      <c r="BB74" s="137"/>
      <c r="BC74" s="137"/>
      <c r="BD74" s="1320"/>
      <c r="BE74" s="1320"/>
      <c r="BF74" s="1423"/>
    </row>
    <row r="75" spans="2:70" x14ac:dyDescent="0.25">
      <c r="B75" s="140"/>
      <c r="C75" s="1263" t="s">
        <v>86</v>
      </c>
      <c r="D75" s="1263"/>
      <c r="E75" s="1263"/>
      <c r="F75" s="1263"/>
      <c r="G75" s="1263"/>
      <c r="H75" s="1263"/>
      <c r="I75" s="1263"/>
      <c r="J75" s="1263"/>
      <c r="K75" s="1263"/>
      <c r="L75" s="1263"/>
      <c r="M75" s="1263"/>
      <c r="N75" s="1263"/>
      <c r="O75" s="1263"/>
      <c r="P75" s="1263"/>
      <c r="Q75" s="1263"/>
      <c r="R75" s="1263"/>
      <c r="S75" s="1263"/>
      <c r="T75" s="1263"/>
      <c r="U75" s="1263"/>
      <c r="V75" s="1263"/>
      <c r="W75" s="1263"/>
      <c r="X75" s="1263"/>
      <c r="Y75" s="1263"/>
      <c r="Z75" s="1263"/>
      <c r="AC75" s="1446" t="str">
        <f>'PIM Model'!$AD$28</f>
        <v/>
      </c>
      <c r="AD75" s="1446"/>
      <c r="AE75" s="1446" t="str">
        <f>'PIM Model'!$D$28</f>
        <v>%</v>
      </c>
      <c r="AF75" s="1446"/>
      <c r="AG75" s="1446" t="str">
        <f>'PIM Model'!$D$28</f>
        <v>%</v>
      </c>
      <c r="AH75" s="1446"/>
      <c r="AI75" s="1443" t="str">
        <f>'PIM Model'!$D$28</f>
        <v>%</v>
      </c>
      <c r="AJ75" s="1443"/>
      <c r="BF75" s="141"/>
    </row>
    <row r="76" spans="2:70" x14ac:dyDescent="0.25">
      <c r="B76" s="140"/>
      <c r="C76" s="1263" t="s">
        <v>105</v>
      </c>
      <c r="D76" s="1263"/>
      <c r="E76" s="1263"/>
      <c r="F76" s="1263"/>
      <c r="G76" s="1263"/>
      <c r="H76" s="1263"/>
      <c r="I76" s="1263"/>
      <c r="J76" s="1263"/>
      <c r="K76" s="1263"/>
      <c r="L76" s="1263"/>
      <c r="M76" s="1263"/>
      <c r="N76" s="1263"/>
      <c r="O76" s="1263"/>
      <c r="P76" s="1263"/>
      <c r="Q76" s="1263"/>
      <c r="R76" s="1263"/>
      <c r="S76" s="1263"/>
      <c r="T76" s="1263"/>
      <c r="U76" s="1263"/>
      <c r="V76" s="1263"/>
      <c r="W76" s="1263"/>
      <c r="X76" s="1263"/>
      <c r="Y76" s="1263"/>
      <c r="Z76" s="1263"/>
      <c r="AC76" s="1446" t="str">
        <f>'PIM Model'!$AD$22</f>
        <v/>
      </c>
      <c r="AD76" s="1446"/>
      <c r="AE76" s="1446" t="str">
        <f>'PIM Model'!$D$22</f>
        <v>%</v>
      </c>
      <c r="AF76" s="1446"/>
      <c r="AG76" s="1446" t="str">
        <f>'PIM Model'!$D$22</f>
        <v>%</v>
      </c>
      <c r="AH76" s="1446"/>
      <c r="AI76" s="1443" t="str">
        <f>'PIM Model'!$D$22</f>
        <v>%</v>
      </c>
      <c r="AJ76" s="1443"/>
      <c r="BF76" s="141"/>
    </row>
    <row r="77" spans="2:70" x14ac:dyDescent="0.25">
      <c r="B77" s="718"/>
      <c r="C77" s="1448" t="s">
        <v>746</v>
      </c>
      <c r="D77" s="1448"/>
      <c r="E77" s="1448"/>
      <c r="F77" s="1448"/>
      <c r="G77" s="1448"/>
      <c r="H77" s="1448"/>
      <c r="I77" s="1448"/>
      <c r="J77" s="1448"/>
      <c r="K77" s="1448"/>
      <c r="L77" s="1448"/>
      <c r="M77" s="1448"/>
      <c r="N77" s="1448"/>
      <c r="O77" s="1448"/>
      <c r="P77" s="1448"/>
      <c r="Q77" s="1448"/>
      <c r="R77" s="1448"/>
      <c r="S77" s="1448"/>
      <c r="T77" s="1448"/>
      <c r="U77" s="1448"/>
      <c r="V77" s="1448"/>
      <c r="W77" s="1448"/>
      <c r="X77" s="1448"/>
      <c r="Y77" s="1448"/>
      <c r="Z77" s="1448"/>
      <c r="AC77" s="1446" t="str">
        <f>'PIM Model'!$AD$12</f>
        <v/>
      </c>
      <c r="AD77" s="1446"/>
      <c r="AE77" s="1446" t="str">
        <f>'PIM Model'!$D$12</f>
        <v>%</v>
      </c>
      <c r="AF77" s="1446"/>
      <c r="AG77" s="1446" t="str">
        <f>'PIM Model'!$D$12</f>
        <v>%</v>
      </c>
      <c r="AH77" s="1446"/>
      <c r="AI77" s="1443" t="str">
        <f>'PIM Model'!$D$12</f>
        <v>%</v>
      </c>
      <c r="AJ77" s="1443"/>
      <c r="BF77" s="141"/>
    </row>
    <row r="78" spans="2:70" x14ac:dyDescent="0.25">
      <c r="B78" s="140"/>
      <c r="C78" s="1448" t="s">
        <v>747</v>
      </c>
      <c r="D78" s="1448"/>
      <c r="E78" s="1448"/>
      <c r="F78" s="1448"/>
      <c r="G78" s="1448"/>
      <c r="H78" s="1448"/>
      <c r="I78" s="1448"/>
      <c r="J78" s="1448"/>
      <c r="K78" s="1448"/>
      <c r="L78" s="1448"/>
      <c r="M78" s="1448"/>
      <c r="N78" s="1448"/>
      <c r="O78" s="1448"/>
      <c r="P78" s="1448"/>
      <c r="Q78" s="1448"/>
      <c r="R78" s="1448"/>
      <c r="S78" s="1448"/>
      <c r="T78" s="1448"/>
      <c r="U78" s="1448"/>
      <c r="V78" s="1448"/>
      <c r="W78" s="1448"/>
      <c r="X78" s="1448"/>
      <c r="Y78" s="1448"/>
      <c r="Z78" s="1448"/>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43" t="s">
        <v>712</v>
      </c>
      <c r="E81" s="1443"/>
      <c r="F81" s="1443"/>
      <c r="G81" s="1443"/>
      <c r="H81" s="1443"/>
      <c r="I81" s="1443"/>
      <c r="J81" s="1443"/>
      <c r="K81" s="1443"/>
      <c r="L81" s="1443"/>
      <c r="M81" s="1443"/>
      <c r="N81" s="1443"/>
      <c r="O81" s="1443"/>
      <c r="P81" s="1443"/>
      <c r="Q81" s="1443"/>
      <c r="R81" s="1443"/>
      <c r="S81" s="1443"/>
      <c r="T81" s="1443"/>
      <c r="U81" s="1443"/>
      <c r="V81" s="1443"/>
      <c r="W81" s="1443"/>
      <c r="X81" s="1443"/>
      <c r="Y81" s="1443"/>
      <c r="Z81" s="1443"/>
      <c r="AA81" s="1443"/>
      <c r="AB81" s="1443"/>
      <c r="AC81" s="1443"/>
      <c r="AD81" s="1443"/>
      <c r="AE81" s="1443"/>
      <c r="AF81" s="1443"/>
      <c r="AG81" s="1443"/>
      <c r="AH81" s="1443"/>
      <c r="AI81" s="1443"/>
      <c r="AJ81" s="1443"/>
      <c r="AK81" s="1443"/>
      <c r="AL81" s="1443"/>
      <c r="AM81" s="1443"/>
      <c r="AN81" s="1443"/>
      <c r="AO81" s="1443"/>
      <c r="AP81" s="1443"/>
      <c r="AQ81" s="1443"/>
      <c r="AR81" s="1443"/>
      <c r="AS81" s="1443"/>
      <c r="AT81" s="1443"/>
      <c r="AU81" s="1443"/>
      <c r="AV81" s="1443"/>
      <c r="AW81" s="1443"/>
      <c r="AX81" s="1443"/>
      <c r="AY81" s="1443"/>
      <c r="AZ81" s="1443"/>
      <c r="BA81" s="1443"/>
      <c r="BB81" s="1443"/>
      <c r="BC81" s="1443"/>
      <c r="BD81" s="1443"/>
      <c r="BF81" s="141"/>
    </row>
    <row r="82" spans="1:70" x14ac:dyDescent="0.25">
      <c r="B82" s="140"/>
      <c r="D82" s="1444" t="s">
        <v>244</v>
      </c>
      <c r="E82" s="1444"/>
      <c r="F82" s="1443" t="s">
        <v>711</v>
      </c>
      <c r="G82" s="1443"/>
      <c r="H82" s="1443"/>
      <c r="I82" s="1443"/>
      <c r="J82" s="1443"/>
      <c r="K82" s="1443"/>
      <c r="L82" s="1443"/>
      <c r="M82" s="1443"/>
      <c r="N82" s="1443"/>
      <c r="O82" s="1443"/>
      <c r="P82" s="1443"/>
      <c r="Q82" s="1443"/>
      <c r="R82" s="1443"/>
      <c r="S82" s="1443"/>
      <c r="T82" s="1443"/>
      <c r="U82" s="1443"/>
      <c r="V82" s="1443"/>
      <c r="W82" s="1443"/>
      <c r="X82" s="1443"/>
      <c r="Y82" s="1443"/>
      <c r="Z82" s="1443"/>
      <c r="AA82" s="1443"/>
      <c r="AB82" s="1443"/>
      <c r="AC82" s="1443"/>
      <c r="AD82" s="1443"/>
      <c r="AE82" s="1443"/>
      <c r="AF82" s="1443"/>
      <c r="AG82" s="1443"/>
      <c r="AH82" s="1443"/>
      <c r="AI82" s="1443"/>
      <c r="AJ82" s="1443"/>
      <c r="AK82" s="1443"/>
      <c r="AL82" s="1443"/>
      <c r="AM82" s="1443"/>
      <c r="AN82" s="1443"/>
      <c r="AO82" s="1443"/>
      <c r="AP82" s="1443"/>
      <c r="AQ82" s="1443"/>
      <c r="AR82" s="1443"/>
      <c r="AS82" s="1443"/>
      <c r="AT82" s="1443"/>
      <c r="AU82" s="1443"/>
      <c r="AV82" s="1443"/>
      <c r="AW82" s="1443"/>
      <c r="AX82" s="1443"/>
      <c r="AY82" s="1443"/>
      <c r="AZ82" s="1443"/>
      <c r="BA82" s="1443"/>
      <c r="BB82" s="1443"/>
      <c r="BC82" s="1443"/>
      <c r="BD82" s="1443"/>
      <c r="BF82" s="141"/>
    </row>
    <row r="83" spans="1:70" x14ac:dyDescent="0.25">
      <c r="B83" s="140"/>
      <c r="D83" s="1445"/>
      <c r="E83" s="1445"/>
      <c r="F83" s="1443" t="s">
        <v>710</v>
      </c>
      <c r="G83" s="1443"/>
      <c r="H83" s="1443"/>
      <c r="I83" s="1443"/>
      <c r="J83" s="1443"/>
      <c r="K83" s="1443"/>
      <c r="L83" s="1443"/>
      <c r="M83" s="1443"/>
      <c r="N83" s="1443"/>
      <c r="O83" s="1443"/>
      <c r="P83" s="1443"/>
      <c r="Q83" s="1443"/>
      <c r="R83" s="1443"/>
      <c r="S83" s="1443"/>
      <c r="T83" s="1443"/>
      <c r="U83" s="1443"/>
      <c r="V83" s="1443"/>
      <c r="W83" s="1443"/>
      <c r="X83" s="1443"/>
      <c r="Y83" s="1443"/>
      <c r="Z83" s="1443"/>
      <c r="AA83" s="1443"/>
      <c r="AB83" s="1443"/>
      <c r="AC83" s="1443"/>
      <c r="AD83" s="1443"/>
      <c r="AE83" s="1443"/>
      <c r="AF83" s="1443"/>
      <c r="AG83" s="1443"/>
      <c r="AH83" s="1443"/>
      <c r="AI83" s="1443"/>
      <c r="AJ83" s="1443"/>
      <c r="AK83" s="1443"/>
      <c r="AL83" s="1443"/>
      <c r="AM83" s="1443"/>
      <c r="AN83" s="1443"/>
      <c r="AO83" s="1443"/>
      <c r="AP83" s="1443"/>
      <c r="AQ83" s="1443"/>
      <c r="AR83" s="1443"/>
      <c r="AS83" s="1443"/>
      <c r="AT83" s="1443"/>
      <c r="AU83" s="1443"/>
      <c r="AV83" s="1443"/>
      <c r="AW83" s="1443"/>
      <c r="AX83" s="1443"/>
      <c r="AY83" s="1443"/>
      <c r="AZ83" s="1443"/>
      <c r="BA83" s="1443"/>
      <c r="BB83" s="1443"/>
      <c r="BC83" s="1443"/>
      <c r="BD83" s="1443"/>
      <c r="BF83" s="141"/>
    </row>
    <row r="84" spans="1:70" x14ac:dyDescent="0.25">
      <c r="A84" s="304"/>
      <c r="B84" s="140"/>
      <c r="D84" s="1445"/>
      <c r="E84" s="1445"/>
      <c r="F84" s="1443" t="s">
        <v>709</v>
      </c>
      <c r="G84" s="1443"/>
      <c r="H84" s="1443"/>
      <c r="I84" s="1443"/>
      <c r="J84" s="1443"/>
      <c r="K84" s="1443"/>
      <c r="L84" s="1443"/>
      <c r="M84" s="1443"/>
      <c r="N84" s="1443"/>
      <c r="O84" s="1443"/>
      <c r="P84" s="1443"/>
      <c r="Q84" s="1443"/>
      <c r="R84" s="1443"/>
      <c r="S84" s="1443"/>
      <c r="T84" s="1443"/>
      <c r="U84" s="1443"/>
      <c r="V84" s="1443"/>
      <c r="W84" s="1443"/>
      <c r="X84" s="1443"/>
      <c r="Y84" s="1443"/>
      <c r="Z84" s="1443"/>
      <c r="AA84" s="1443"/>
      <c r="AB84" s="1443"/>
      <c r="AC84" s="1443"/>
      <c r="AD84" s="1443"/>
      <c r="AE84" s="1443"/>
      <c r="AF84" s="1443"/>
      <c r="AG84" s="1443"/>
      <c r="AH84" s="1443"/>
      <c r="AI84" s="1443"/>
      <c r="AJ84" s="1443"/>
      <c r="AK84" s="1443"/>
      <c r="AL84" s="1443"/>
      <c r="AM84" s="1443"/>
      <c r="AN84" s="1443"/>
      <c r="AO84" s="1443"/>
      <c r="AP84" s="1443"/>
      <c r="AQ84" s="1443"/>
      <c r="AR84" s="1443"/>
      <c r="AS84" s="1443"/>
      <c r="AT84" s="1443"/>
      <c r="AU84" s="1443"/>
      <c r="AV84" s="1443"/>
      <c r="AW84" s="1443"/>
      <c r="AX84" s="1443"/>
      <c r="AY84" s="1443"/>
      <c r="AZ84" s="1443"/>
      <c r="BA84" s="1443"/>
      <c r="BB84" s="1443"/>
      <c r="BC84" s="1443"/>
      <c r="BD84" s="1443"/>
      <c r="BF84" s="141"/>
    </row>
    <row r="85" spans="1:70" x14ac:dyDescent="0.25">
      <c r="B85" s="140"/>
      <c r="BF85" s="141"/>
    </row>
    <row r="86" spans="1:70" x14ac:dyDescent="0.25">
      <c r="B86" s="140"/>
      <c r="D86" s="1443" t="s">
        <v>708</v>
      </c>
      <c r="E86" s="1443"/>
      <c r="F86" s="1443"/>
      <c r="G86" s="1443"/>
      <c r="H86" s="1443"/>
      <c r="I86" s="1443"/>
      <c r="J86" s="1443"/>
      <c r="K86" s="1443"/>
      <c r="L86" s="1443"/>
      <c r="M86" s="1443"/>
      <c r="N86" s="1443"/>
      <c r="O86" s="1443"/>
      <c r="P86" s="1443"/>
      <c r="Q86" s="1443"/>
      <c r="R86" s="1443"/>
      <c r="S86" s="1443"/>
      <c r="T86" s="1443"/>
      <c r="U86" s="1443"/>
      <c r="V86" s="1443"/>
      <c r="W86" s="1443"/>
      <c r="X86" s="1443"/>
      <c r="Y86" s="1443"/>
      <c r="Z86" s="1443"/>
      <c r="AA86" s="1443"/>
      <c r="AB86" s="1443"/>
      <c r="AC86" s="1443"/>
      <c r="AD86" s="1443"/>
      <c r="AE86" s="1443"/>
      <c r="AF86" s="1443"/>
      <c r="AG86" s="1443"/>
      <c r="AH86" s="1443"/>
      <c r="AI86" s="1443"/>
      <c r="AJ86" s="1443"/>
      <c r="AK86" s="1443"/>
      <c r="AL86" s="1443"/>
      <c r="AM86" s="1443"/>
      <c r="AN86" s="1443"/>
      <c r="AO86" s="1443"/>
      <c r="AP86" s="1443"/>
      <c r="AQ86" s="1443"/>
      <c r="AR86" s="1443"/>
      <c r="AS86" s="1443"/>
      <c r="AT86" s="1443"/>
      <c r="AU86" s="1443"/>
      <c r="AV86" s="1443"/>
      <c r="AW86" s="1443"/>
      <c r="AX86" s="1443"/>
      <c r="AY86" s="1443"/>
      <c r="AZ86" s="1443"/>
      <c r="BA86" s="1443"/>
      <c r="BB86" s="1443"/>
      <c r="BC86" s="1443"/>
      <c r="BD86" s="1443"/>
      <c r="BF86" s="141"/>
    </row>
    <row r="87" spans="1:70" x14ac:dyDescent="0.25">
      <c r="B87" s="140"/>
      <c r="D87" s="1444" t="s">
        <v>244</v>
      </c>
      <c r="E87" s="1444"/>
      <c r="F87" s="1443" t="s">
        <v>707</v>
      </c>
      <c r="G87" s="1443"/>
      <c r="H87" s="1443"/>
      <c r="I87" s="1443"/>
      <c r="J87" s="1443"/>
      <c r="K87" s="1443"/>
      <c r="L87" s="1443"/>
      <c r="M87" s="1443"/>
      <c r="N87" s="1443"/>
      <c r="O87" s="1443"/>
      <c r="P87" s="1443"/>
      <c r="Q87" s="1443"/>
      <c r="R87" s="1443"/>
      <c r="S87" s="1443"/>
      <c r="T87" s="1443"/>
      <c r="U87" s="1443"/>
      <c r="V87" s="1443"/>
      <c r="W87" s="1443"/>
      <c r="X87" s="1443"/>
      <c r="Y87" s="1443"/>
      <c r="Z87" s="1443"/>
      <c r="AA87" s="1443"/>
      <c r="AB87" s="1443"/>
      <c r="AC87" s="1443"/>
      <c r="AD87" s="1443"/>
      <c r="AE87" s="1443"/>
      <c r="AF87" s="1443"/>
      <c r="AG87" s="1443"/>
      <c r="AH87" s="1443"/>
      <c r="AI87" s="1443"/>
      <c r="AJ87" s="1443"/>
      <c r="AK87" s="1443"/>
      <c r="AL87" s="1443"/>
      <c r="AM87" s="1443"/>
      <c r="AN87" s="1443"/>
      <c r="AO87" s="1443"/>
      <c r="AP87" s="1443"/>
      <c r="AQ87" s="1443"/>
      <c r="AR87" s="1443"/>
      <c r="AS87" s="1443"/>
      <c r="AT87" s="1443"/>
      <c r="AU87" s="1443"/>
      <c r="AV87" s="1443"/>
      <c r="AW87" s="1443"/>
      <c r="AX87" s="1443"/>
      <c r="AY87" s="1443"/>
      <c r="AZ87" s="1443"/>
      <c r="BA87" s="1443"/>
      <c r="BB87" s="1443"/>
      <c r="BC87" s="1443"/>
      <c r="BD87" s="1443"/>
      <c r="BF87" s="141"/>
    </row>
    <row r="88" spans="1:70" x14ac:dyDescent="0.25">
      <c r="B88" s="140"/>
      <c r="D88" s="1445"/>
      <c r="E88" s="1445"/>
      <c r="F88" s="1443" t="s">
        <v>706</v>
      </c>
      <c r="G88" s="1443"/>
      <c r="H88" s="1443"/>
      <c r="I88" s="1443"/>
      <c r="J88" s="1443"/>
      <c r="K88" s="1443"/>
      <c r="L88" s="1443"/>
      <c r="M88" s="1443"/>
      <c r="N88" s="1443"/>
      <c r="O88" s="1443"/>
      <c r="P88" s="1443"/>
      <c r="Q88" s="1443"/>
      <c r="R88" s="1443"/>
      <c r="S88" s="1443"/>
      <c r="T88" s="1443"/>
      <c r="U88" s="1443"/>
      <c r="V88" s="1443"/>
      <c r="W88" s="1443"/>
      <c r="X88" s="1443"/>
      <c r="Y88" s="1443"/>
      <c r="Z88" s="1443"/>
      <c r="AA88" s="1443"/>
      <c r="AB88" s="1443"/>
      <c r="AC88" s="1443"/>
      <c r="AD88" s="1443"/>
      <c r="AE88" s="1443"/>
      <c r="AF88" s="1443"/>
      <c r="AG88" s="1443"/>
      <c r="AH88" s="1443"/>
      <c r="AI88" s="1443"/>
      <c r="AJ88" s="1443"/>
      <c r="AK88" s="1443"/>
      <c r="AL88" s="1443"/>
      <c r="AM88" s="1443"/>
      <c r="AN88" s="1443"/>
      <c r="AO88" s="1443"/>
      <c r="AP88" s="1443"/>
      <c r="AQ88" s="1443"/>
      <c r="AR88" s="1443"/>
      <c r="AS88" s="1443"/>
      <c r="AT88" s="1443"/>
      <c r="AU88" s="1443"/>
      <c r="AV88" s="1443"/>
      <c r="AW88" s="1443"/>
      <c r="AX88" s="1443"/>
      <c r="AY88" s="1443"/>
      <c r="AZ88" s="1443"/>
      <c r="BA88" s="1443"/>
      <c r="BB88" s="1443"/>
      <c r="BC88" s="1443"/>
      <c r="BD88" s="1443"/>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459" t="s">
        <v>1035</v>
      </c>
      <c r="C92" s="1460"/>
      <c r="D92" s="1460"/>
      <c r="E92" s="1460"/>
      <c r="F92" s="1460"/>
      <c r="G92" s="1460"/>
      <c r="H92" s="1460"/>
      <c r="I92" s="1460"/>
      <c r="J92" s="1460"/>
      <c r="K92" s="1460"/>
      <c r="L92" s="1460"/>
      <c r="M92" s="1460"/>
      <c r="N92" s="1460"/>
      <c r="O92" s="1460"/>
      <c r="P92" s="1460"/>
      <c r="Q92" s="1460"/>
      <c r="R92" s="1460"/>
      <c r="S92" s="1460"/>
      <c r="T92" s="1460"/>
      <c r="U92" s="1460"/>
      <c r="V92" s="1460"/>
      <c r="W92" s="1460"/>
      <c r="X92" s="1460"/>
      <c r="Y92" s="1460"/>
      <c r="Z92" s="1460"/>
      <c r="AA92" s="1460"/>
      <c r="AB92" s="1460"/>
      <c r="AC92" s="1460"/>
      <c r="AD92" s="1460"/>
      <c r="AE92" s="1460"/>
      <c r="AF92" s="1460"/>
      <c r="AG92" s="1460"/>
      <c r="AH92" s="1460"/>
      <c r="AI92" s="1460"/>
      <c r="AJ92" s="1460"/>
      <c r="AK92" s="1460"/>
      <c r="AL92" s="1460"/>
      <c r="AM92" s="1460"/>
      <c r="AN92" s="1460"/>
      <c r="AO92" s="1460"/>
      <c r="AP92" s="1460"/>
      <c r="AQ92" s="1460"/>
      <c r="AR92" s="1460"/>
      <c r="AS92" s="1460"/>
      <c r="AT92" s="1460"/>
      <c r="AU92" s="1460"/>
      <c r="AV92" s="1460"/>
      <c r="AW92" s="1460"/>
      <c r="AX92" s="1460"/>
      <c r="AY92" s="1460"/>
      <c r="AZ92" s="1460"/>
      <c r="BA92" s="1460"/>
      <c r="BB92" s="1460"/>
      <c r="BC92" s="1460"/>
      <c r="BD92" s="1460"/>
      <c r="BE92" s="1460"/>
      <c r="BF92" s="1461"/>
    </row>
    <row r="93" spans="1:70" ht="15.75" thickBot="1" x14ac:dyDescent="0.3">
      <c r="B93" s="140"/>
      <c r="BF93" s="141"/>
      <c r="BR93" s="297"/>
    </row>
    <row r="94" spans="1:70" ht="15.75" thickBot="1" x14ac:dyDescent="0.3">
      <c r="B94" s="140"/>
      <c r="D94" s="1473" t="s">
        <v>754</v>
      </c>
      <c r="E94" s="1474"/>
      <c r="F94" s="1474"/>
      <c r="G94" s="1474"/>
      <c r="H94" s="1474"/>
      <c r="I94" s="1474"/>
      <c r="J94" s="1474"/>
      <c r="K94" s="1480" t="s">
        <v>755</v>
      </c>
      <c r="L94" s="1474"/>
      <c r="M94" s="1474"/>
      <c r="N94" s="1474"/>
      <c r="O94" s="1474"/>
      <c r="P94" s="1474"/>
      <c r="Q94" s="1474"/>
      <c r="R94" s="1474"/>
      <c r="S94" s="1474"/>
      <c r="T94" s="1474"/>
      <c r="U94" s="1480" t="s">
        <v>815</v>
      </c>
      <c r="V94" s="1474"/>
      <c r="W94" s="1474"/>
      <c r="X94" s="1474"/>
      <c r="Y94" s="1474"/>
      <c r="Z94" s="1474"/>
      <c r="AA94" s="1474"/>
      <c r="AB94" s="1474"/>
      <c r="AC94" s="1474"/>
      <c r="AD94" s="1474"/>
      <c r="AE94" s="1474"/>
      <c r="AF94" s="1474"/>
      <c r="AG94" s="1474"/>
      <c r="AH94" s="1474"/>
      <c r="AI94" s="1474"/>
      <c r="AJ94" s="1480" t="s">
        <v>820</v>
      </c>
      <c r="AK94" s="1474"/>
      <c r="AL94" s="1474"/>
      <c r="AM94" s="1474"/>
      <c r="AN94" s="1474"/>
      <c r="AO94" s="1474"/>
      <c r="AP94" s="1474"/>
      <c r="AQ94" s="1474"/>
      <c r="AR94" s="1474"/>
      <c r="AS94" s="1474"/>
      <c r="AT94" s="1492"/>
      <c r="AU94" s="1480" t="s">
        <v>821</v>
      </c>
      <c r="AV94" s="1474"/>
      <c r="AW94" s="1474"/>
      <c r="AX94" s="1492"/>
      <c r="AY94" s="1480" t="s">
        <v>865</v>
      </c>
      <c r="AZ94" s="1474"/>
      <c r="BA94" s="1474"/>
      <c r="BB94" s="1474"/>
      <c r="BC94" s="1502"/>
      <c r="BF94" s="141"/>
    </row>
    <row r="95" spans="1:70" x14ac:dyDescent="0.25">
      <c r="B95" s="140"/>
      <c r="C95" s="672">
        <v>1</v>
      </c>
      <c r="D95" s="1472">
        <f>'Customer Inputs'!$B$6</f>
        <v>0</v>
      </c>
      <c r="E95" s="1472"/>
      <c r="F95" s="1472"/>
      <c r="G95" s="1472"/>
      <c r="H95" s="1472"/>
      <c r="I95" s="1472"/>
      <c r="J95" s="1472"/>
      <c r="K95" s="1428" t="str">
        <f>IFERROR(IFERROR('Multi-Customer'!$BA$39,VLOOKUP($D95,'Required Info to Submit'!$E$23:$J$32,2,FALSE)),"")</f>
        <v/>
      </c>
      <c r="L95" s="1428"/>
      <c r="M95" s="1428"/>
      <c r="N95" s="1428"/>
      <c r="O95" s="1428"/>
      <c r="P95" s="1428"/>
      <c r="Q95" s="1428"/>
      <c r="R95" s="1428"/>
      <c r="S95" s="1428"/>
      <c r="T95" s="1428"/>
      <c r="U95" s="1428" t="str">
        <f>IFERROR(IFERROR('Multi-Customer'!$BA$41&amp;" "&amp;'Multi-Customer'!$BA$42,VLOOKUP($D95,'Required Info to Submit'!$E$23:$J$32,3,FALSE)),"")</f>
        <v/>
      </c>
      <c r="V95" s="1428"/>
      <c r="W95" s="1428"/>
      <c r="X95" s="1428"/>
      <c r="Y95" s="1428"/>
      <c r="Z95" s="1428"/>
      <c r="AA95" s="1428"/>
      <c r="AB95" s="1428"/>
      <c r="AC95" s="1428"/>
      <c r="AD95" s="1428"/>
      <c r="AE95" s="1428"/>
      <c r="AF95" s="1428"/>
      <c r="AG95" s="1428"/>
      <c r="AH95" s="1428"/>
      <c r="AI95" s="1428"/>
      <c r="AJ95" s="1489" t="str">
        <f>IFERROR(IFERROR('Multi-Customer'!$BA$43,VLOOKUP($D95,'Required Info to Submit'!$E$23:$J$32,4,FALSE)),"")</f>
        <v/>
      </c>
      <c r="AK95" s="1490"/>
      <c r="AL95" s="1490"/>
      <c r="AM95" s="1490"/>
      <c r="AN95" s="1490"/>
      <c r="AO95" s="1490"/>
      <c r="AP95" s="1490"/>
      <c r="AQ95" s="1490"/>
      <c r="AR95" s="1490"/>
      <c r="AS95" s="1490"/>
      <c r="AT95" s="1491"/>
      <c r="AU95" s="1493" t="str">
        <f>IFERROR(IFERROR('Multi-Customer'!$BA$44,VLOOKUP($D95,'Required Info to Submit'!$E$23:$J$32,5,FALSE)),"")</f>
        <v/>
      </c>
      <c r="AV95" s="1494"/>
      <c r="AW95" s="1494"/>
      <c r="AX95" s="1495"/>
      <c r="AY95" s="1499" t="str">
        <f>IFERROR(IFERROR('Multi-Customer'!$BA$45,VLOOKUP($D95,'Required Info to Submit'!$E$23:$J$32,6,FALSE)),"")</f>
        <v/>
      </c>
      <c r="AZ95" s="1500"/>
      <c r="BA95" s="1500"/>
      <c r="BB95" s="1500"/>
      <c r="BC95" s="1501"/>
      <c r="BF95" s="141"/>
    </row>
    <row r="96" spans="1:70" x14ac:dyDescent="0.25">
      <c r="B96" s="140"/>
      <c r="C96" s="673">
        <v>2</v>
      </c>
      <c r="D96" s="1471">
        <f>'Customer Inputs'!$B$7</f>
        <v>0</v>
      </c>
      <c r="E96" s="1471"/>
      <c r="F96" s="1471"/>
      <c r="G96" s="1471"/>
      <c r="H96" s="1471"/>
      <c r="I96" s="1471"/>
      <c r="J96" s="1471"/>
      <c r="K96" s="1415" t="str">
        <f>IFERROR(IFERROR('Multi-Customer'!$BW$39,VLOOKUP($D96,'Required Info to Submit'!$E$23:$J$32,2,FALSE)),"")</f>
        <v/>
      </c>
      <c r="L96" s="1415"/>
      <c r="M96" s="1415"/>
      <c r="N96" s="1415"/>
      <c r="O96" s="1415"/>
      <c r="P96" s="1415"/>
      <c r="Q96" s="1415"/>
      <c r="R96" s="1415"/>
      <c r="S96" s="1415"/>
      <c r="T96" s="1415"/>
      <c r="U96" s="1415" t="str">
        <f>IFERROR(IFERROR('Multi-Customer'!$BW$41&amp;" "&amp;'Multi-Customer'!$BW$42,VLOOKUP($D96,'Required Info to Submit'!$E$23:$J$32,3,FALSE)),"")</f>
        <v/>
      </c>
      <c r="V96" s="1415"/>
      <c r="W96" s="1415"/>
      <c r="X96" s="1415"/>
      <c r="Y96" s="1415"/>
      <c r="Z96" s="1415"/>
      <c r="AA96" s="1415"/>
      <c r="AB96" s="1415"/>
      <c r="AC96" s="1415"/>
      <c r="AD96" s="1415"/>
      <c r="AE96" s="1415"/>
      <c r="AF96" s="1415"/>
      <c r="AG96" s="1415"/>
      <c r="AH96" s="1415"/>
      <c r="AI96" s="1415"/>
      <c r="AJ96" s="1486" t="str">
        <f>IFERROR(IFERROR('Multi-Customer'!$BW$43,VLOOKUP($D96,'Required Info to Submit'!$E$23:$J$32,4,FALSE)),"")</f>
        <v/>
      </c>
      <c r="AK96" s="1487"/>
      <c r="AL96" s="1487"/>
      <c r="AM96" s="1487"/>
      <c r="AN96" s="1487"/>
      <c r="AO96" s="1487"/>
      <c r="AP96" s="1487"/>
      <c r="AQ96" s="1487"/>
      <c r="AR96" s="1487"/>
      <c r="AS96" s="1487"/>
      <c r="AT96" s="1488"/>
      <c r="AU96" s="1339" t="str">
        <f>IFERROR(IFERROR('Multi-Customer'!$BW$44,VLOOKUP($D96,'Required Info to Submit'!$E$23:$J$32,5,FALSE)),"")</f>
        <v/>
      </c>
      <c r="AV96" s="1340"/>
      <c r="AW96" s="1340"/>
      <c r="AX96" s="1341"/>
      <c r="AY96" s="1406" t="str">
        <f>IFERROR(IFERROR('Multi-Customer'!$BW$45,VLOOKUP($D96,'Required Info to Submit'!$E$23:$J$32,6,FALSE)),"")</f>
        <v/>
      </c>
      <c r="AZ96" s="1407"/>
      <c r="BA96" s="1407"/>
      <c r="BB96" s="1407"/>
      <c r="BC96" s="1408"/>
      <c r="BF96" s="141"/>
    </row>
    <row r="97" spans="2:58" x14ac:dyDescent="0.25">
      <c r="B97" s="140"/>
      <c r="C97" s="673">
        <v>3</v>
      </c>
      <c r="D97" s="1471">
        <f>'Customer Inputs'!$B$8</f>
        <v>0</v>
      </c>
      <c r="E97" s="1471"/>
      <c r="F97" s="1471"/>
      <c r="G97" s="1471"/>
      <c r="H97" s="1471"/>
      <c r="I97" s="1471"/>
      <c r="J97" s="1471"/>
      <c r="K97" s="1415" t="str">
        <f>IFERROR(IFERROR('Multi-Customer'!$CS$39,VLOOKUP($D97,'Required Info to Submit'!$E$23:$J$32,2,FALSE)),"")</f>
        <v/>
      </c>
      <c r="L97" s="1415"/>
      <c r="M97" s="1415"/>
      <c r="N97" s="1415"/>
      <c r="O97" s="1415"/>
      <c r="P97" s="1415"/>
      <c r="Q97" s="1415"/>
      <c r="R97" s="1415"/>
      <c r="S97" s="1415"/>
      <c r="T97" s="1415"/>
      <c r="U97" s="1415" t="str">
        <f>IFERROR(IFERROR('Multi-Customer'!$CS$41&amp;" "&amp;'Multi-Customer'!$CS$42,VLOOKUP($D97,'Required Info to Submit'!$E$23:$J$32,3,FALSE)),"")</f>
        <v/>
      </c>
      <c r="V97" s="1415"/>
      <c r="W97" s="1415"/>
      <c r="X97" s="1415"/>
      <c r="Y97" s="1415"/>
      <c r="Z97" s="1415"/>
      <c r="AA97" s="1415"/>
      <c r="AB97" s="1415"/>
      <c r="AC97" s="1415"/>
      <c r="AD97" s="1415"/>
      <c r="AE97" s="1415"/>
      <c r="AF97" s="1415"/>
      <c r="AG97" s="1415"/>
      <c r="AH97" s="1415"/>
      <c r="AI97" s="1415"/>
      <c r="AJ97" s="1486" t="str">
        <f>IFERROR(IFERROR('Multi-Customer'!$CS$43,VLOOKUP($D97,'Required Info to Submit'!$E$23:$J$32,4,FALSE)),"")</f>
        <v/>
      </c>
      <c r="AK97" s="1487"/>
      <c r="AL97" s="1487"/>
      <c r="AM97" s="1487"/>
      <c r="AN97" s="1487"/>
      <c r="AO97" s="1487"/>
      <c r="AP97" s="1487"/>
      <c r="AQ97" s="1487"/>
      <c r="AR97" s="1487"/>
      <c r="AS97" s="1487"/>
      <c r="AT97" s="1488"/>
      <c r="AU97" s="1339" t="str">
        <f>IFERROR(IFERROR('Multi-Customer'!$CS$44,VLOOKUP($D97,'Required Info to Submit'!$E$23:$J$32,5,FALSE)),"")</f>
        <v/>
      </c>
      <c r="AV97" s="1340"/>
      <c r="AW97" s="1340"/>
      <c r="AX97" s="1341"/>
      <c r="AY97" s="1406" t="str">
        <f>IFERROR(IFERROR('Multi-Customer'!$CS$45,VLOOKUP($D97,'Required Info to Submit'!$E$23:$J$32,6,FALSE)),"")</f>
        <v/>
      </c>
      <c r="AZ97" s="1407"/>
      <c r="BA97" s="1407"/>
      <c r="BB97" s="1407"/>
      <c r="BC97" s="1408"/>
      <c r="BF97" s="141"/>
    </row>
    <row r="98" spans="2:58" x14ac:dyDescent="0.25">
      <c r="B98" s="140"/>
      <c r="C98" s="673">
        <v>4</v>
      </c>
      <c r="D98" s="1471">
        <f>'Customer Inputs'!$B$9</f>
        <v>0</v>
      </c>
      <c r="E98" s="1471"/>
      <c r="F98" s="1471"/>
      <c r="G98" s="1471"/>
      <c r="H98" s="1471"/>
      <c r="I98" s="1471"/>
      <c r="J98" s="1471"/>
      <c r="K98" s="1415" t="str">
        <f>IFERROR(IFERROR('Multi-Customer'!$DO$39,VLOOKUP($D98,'Required Info to Submit'!$E$23:$J$32,2,FALSE)),"")</f>
        <v/>
      </c>
      <c r="L98" s="1415"/>
      <c r="M98" s="1415"/>
      <c r="N98" s="1415"/>
      <c r="O98" s="1415"/>
      <c r="P98" s="1415"/>
      <c r="Q98" s="1415"/>
      <c r="R98" s="1415"/>
      <c r="S98" s="1415"/>
      <c r="T98" s="1415"/>
      <c r="U98" s="1415" t="str">
        <f>IFERROR(IFERROR('Multi-Customer'!$DO$41&amp;" "&amp;'Multi-Customer'!$DO$42,VLOOKUP($D98,'Required Info to Submit'!$E$23:$J$32,3,FALSE)),"")</f>
        <v/>
      </c>
      <c r="V98" s="1415"/>
      <c r="W98" s="1415"/>
      <c r="X98" s="1415"/>
      <c r="Y98" s="1415"/>
      <c r="Z98" s="1415"/>
      <c r="AA98" s="1415"/>
      <c r="AB98" s="1415"/>
      <c r="AC98" s="1415"/>
      <c r="AD98" s="1415"/>
      <c r="AE98" s="1415"/>
      <c r="AF98" s="1415"/>
      <c r="AG98" s="1415"/>
      <c r="AH98" s="1415"/>
      <c r="AI98" s="1415"/>
      <c r="AJ98" s="1486" t="str">
        <f>IFERROR(IFERROR('Multi-Customer'!$DO$43,VLOOKUP($D98,'Required Info to Submit'!$E$23:$J$32,4,FALSE)),"")</f>
        <v/>
      </c>
      <c r="AK98" s="1487"/>
      <c r="AL98" s="1487"/>
      <c r="AM98" s="1487"/>
      <c r="AN98" s="1487"/>
      <c r="AO98" s="1487"/>
      <c r="AP98" s="1487"/>
      <c r="AQ98" s="1487"/>
      <c r="AR98" s="1487"/>
      <c r="AS98" s="1487"/>
      <c r="AT98" s="1488"/>
      <c r="AU98" s="1339" t="str">
        <f>IFERROR(IFERROR('Multi-Customer'!$DO$44,VLOOKUP($D98,'Required Info to Submit'!$E$23:$J$32,5,FALSE)),"")</f>
        <v/>
      </c>
      <c r="AV98" s="1340"/>
      <c r="AW98" s="1340"/>
      <c r="AX98" s="1341"/>
      <c r="AY98" s="1406" t="str">
        <f>IFERROR(IFERROR('Multi-Customer'!$DO$45,VLOOKUP($D98,'Required Info to Submit'!$E$23:$J$32,6,FALSE)),"")</f>
        <v/>
      </c>
      <c r="AZ98" s="1407"/>
      <c r="BA98" s="1407"/>
      <c r="BB98" s="1407"/>
      <c r="BC98" s="1408"/>
      <c r="BF98" s="141"/>
    </row>
    <row r="99" spans="2:58" x14ac:dyDescent="0.25">
      <c r="B99" s="140"/>
      <c r="C99" s="673">
        <v>5</v>
      </c>
      <c r="D99" s="1471">
        <f>'Customer Inputs'!$B$10</f>
        <v>0</v>
      </c>
      <c r="E99" s="1471"/>
      <c r="F99" s="1471"/>
      <c r="G99" s="1471"/>
      <c r="H99" s="1471"/>
      <c r="I99" s="1471"/>
      <c r="J99" s="1471"/>
      <c r="K99" s="1415" t="str">
        <f>IFERROR(IFERROR('Multi-Customer'!$EK$39,VLOOKUP($D99,'Required Info to Submit'!$E$23:$J$32,2,FALSE)),"")</f>
        <v/>
      </c>
      <c r="L99" s="1415"/>
      <c r="M99" s="1415"/>
      <c r="N99" s="1415"/>
      <c r="O99" s="1415"/>
      <c r="P99" s="1415"/>
      <c r="Q99" s="1415"/>
      <c r="R99" s="1415"/>
      <c r="S99" s="1415"/>
      <c r="T99" s="1415"/>
      <c r="U99" s="1415" t="str">
        <f>IFERROR(IFERROR('Multi-Customer'!$EK$41&amp;" "&amp;'Multi-Customer'!$EK$42,VLOOKUP($D99,'Required Info to Submit'!$E$23:$J$32,3,FALSE)),"")</f>
        <v/>
      </c>
      <c r="V99" s="1415"/>
      <c r="W99" s="1415"/>
      <c r="X99" s="1415"/>
      <c r="Y99" s="1415"/>
      <c r="Z99" s="1415"/>
      <c r="AA99" s="1415"/>
      <c r="AB99" s="1415"/>
      <c r="AC99" s="1415"/>
      <c r="AD99" s="1415"/>
      <c r="AE99" s="1415"/>
      <c r="AF99" s="1415"/>
      <c r="AG99" s="1415"/>
      <c r="AH99" s="1415"/>
      <c r="AI99" s="1415"/>
      <c r="AJ99" s="1486" t="str">
        <f>IFERROR(IFERROR('Multi-Customer'!$EK$43,VLOOKUP($D99,'Required Info to Submit'!$E$23:$J$32,4,FALSE)),"")</f>
        <v/>
      </c>
      <c r="AK99" s="1487"/>
      <c r="AL99" s="1487"/>
      <c r="AM99" s="1487"/>
      <c r="AN99" s="1487"/>
      <c r="AO99" s="1487"/>
      <c r="AP99" s="1487"/>
      <c r="AQ99" s="1487"/>
      <c r="AR99" s="1487"/>
      <c r="AS99" s="1487"/>
      <c r="AT99" s="1488"/>
      <c r="AU99" s="1339" t="str">
        <f>IFERROR(IFERROR('Multi-Customer'!$EK$44,VLOOKUP($D99,'Required Info to Submit'!$E$23:$J$32,5,FALSE)),"")</f>
        <v/>
      </c>
      <c r="AV99" s="1340"/>
      <c r="AW99" s="1340"/>
      <c r="AX99" s="1341"/>
      <c r="AY99" s="1406" t="str">
        <f>IFERROR(IFERROR('Multi-Customer'!$EK$45,VLOOKUP($D99,'Required Info to Submit'!$E$23:$J$32,6,FALSE)),"")</f>
        <v/>
      </c>
      <c r="AZ99" s="1407"/>
      <c r="BA99" s="1407"/>
      <c r="BB99" s="1407"/>
      <c r="BC99" s="1408"/>
      <c r="BF99" s="141"/>
    </row>
    <row r="100" spans="2:58" x14ac:dyDescent="0.25">
      <c r="B100" s="140"/>
      <c r="C100" s="673">
        <v>6</v>
      </c>
      <c r="D100" s="1471">
        <f>'Customer Inputs'!$B$11</f>
        <v>0</v>
      </c>
      <c r="E100" s="1471"/>
      <c r="F100" s="1471"/>
      <c r="G100" s="1471"/>
      <c r="H100" s="1471"/>
      <c r="I100" s="1471"/>
      <c r="J100" s="1471"/>
      <c r="K100" s="1415" t="str">
        <f>IFERROR(IFERROR('Multi-Customer'!$FG$39,VLOOKUP($D100,'Required Info to Submit'!$E$23:$J$32,2,FALSE)),"")</f>
        <v/>
      </c>
      <c r="L100" s="1415"/>
      <c r="M100" s="1415"/>
      <c r="N100" s="1415"/>
      <c r="O100" s="1415"/>
      <c r="P100" s="1415"/>
      <c r="Q100" s="1415"/>
      <c r="R100" s="1415"/>
      <c r="S100" s="1415"/>
      <c r="T100" s="1415"/>
      <c r="U100" s="1415" t="str">
        <f>IFERROR(IFERROR('Multi-Customer'!$FG$41&amp;" "&amp;'Multi-Customer'!$FG$42,VLOOKUP($D100,'Required Info to Submit'!$E$23:$J$32,3,FALSE)),"")</f>
        <v/>
      </c>
      <c r="V100" s="1415"/>
      <c r="W100" s="1415"/>
      <c r="X100" s="1415"/>
      <c r="Y100" s="1415"/>
      <c r="Z100" s="1415"/>
      <c r="AA100" s="1415"/>
      <c r="AB100" s="1415"/>
      <c r="AC100" s="1415"/>
      <c r="AD100" s="1415"/>
      <c r="AE100" s="1415"/>
      <c r="AF100" s="1415"/>
      <c r="AG100" s="1415"/>
      <c r="AH100" s="1415"/>
      <c r="AI100" s="1415"/>
      <c r="AJ100" s="1486" t="str">
        <f>IFERROR(IFERROR('Multi-Customer'!$FG$43,VLOOKUP($D100,'Required Info to Submit'!$E$23:$J$32,4,FALSE)),"")</f>
        <v/>
      </c>
      <c r="AK100" s="1487"/>
      <c r="AL100" s="1487"/>
      <c r="AM100" s="1487"/>
      <c r="AN100" s="1487"/>
      <c r="AO100" s="1487"/>
      <c r="AP100" s="1487"/>
      <c r="AQ100" s="1487"/>
      <c r="AR100" s="1487"/>
      <c r="AS100" s="1487"/>
      <c r="AT100" s="1488"/>
      <c r="AU100" s="1339" t="str">
        <f>IFERROR(IFERROR('Multi-Customer'!$FG$44,VLOOKUP($D100,'Required Info to Submit'!$E$23:$J$32,5,FALSE)),"")</f>
        <v/>
      </c>
      <c r="AV100" s="1340"/>
      <c r="AW100" s="1340"/>
      <c r="AX100" s="1341"/>
      <c r="AY100" s="1406" t="str">
        <f>IFERROR(IFERROR('Multi-Customer'!$FG$45,VLOOKUP($D100,'Required Info to Submit'!$E$23:$J$32,6,FALSE)),"")</f>
        <v/>
      </c>
      <c r="AZ100" s="1407"/>
      <c r="BA100" s="1407"/>
      <c r="BB100" s="1407"/>
      <c r="BC100" s="1408"/>
      <c r="BF100" s="141"/>
    </row>
    <row r="101" spans="2:58" x14ac:dyDescent="0.25">
      <c r="B101" s="140"/>
      <c r="C101" s="673">
        <v>7</v>
      </c>
      <c r="D101" s="1471">
        <f>'Customer Inputs'!$B$12</f>
        <v>0</v>
      </c>
      <c r="E101" s="1471"/>
      <c r="F101" s="1471"/>
      <c r="G101" s="1471"/>
      <c r="H101" s="1471"/>
      <c r="I101" s="1471"/>
      <c r="J101" s="1471"/>
      <c r="K101" s="1415" t="str">
        <f>IFERROR(IFERROR('Multi-Customer'!$GC$39,VLOOKUP($D101,'Required Info to Submit'!$E$23:$J$32,2,FALSE)),"")</f>
        <v/>
      </c>
      <c r="L101" s="1415"/>
      <c r="M101" s="1415"/>
      <c r="N101" s="1415"/>
      <c r="O101" s="1415"/>
      <c r="P101" s="1415"/>
      <c r="Q101" s="1415"/>
      <c r="R101" s="1415"/>
      <c r="S101" s="1415"/>
      <c r="T101" s="1415"/>
      <c r="U101" s="1415" t="str">
        <f>IFERROR(IFERROR('Multi-Customer'!$GC$41&amp;" "&amp;'Multi-Customer'!$GC$42,VLOOKUP($D101,'Required Info to Submit'!$E$23:$J$32,3,FALSE)),"")</f>
        <v/>
      </c>
      <c r="V101" s="1415"/>
      <c r="W101" s="1415"/>
      <c r="X101" s="1415"/>
      <c r="Y101" s="1415"/>
      <c r="Z101" s="1415"/>
      <c r="AA101" s="1415"/>
      <c r="AB101" s="1415"/>
      <c r="AC101" s="1415"/>
      <c r="AD101" s="1415"/>
      <c r="AE101" s="1415"/>
      <c r="AF101" s="1415"/>
      <c r="AG101" s="1415"/>
      <c r="AH101" s="1415"/>
      <c r="AI101" s="1415"/>
      <c r="AJ101" s="1486" t="str">
        <f>IFERROR(IFERROR('Multi-Customer'!$GC$43,VLOOKUP($D101,'Required Info to Submit'!$E$23:$J$32,4,FALSE)),"")</f>
        <v/>
      </c>
      <c r="AK101" s="1487"/>
      <c r="AL101" s="1487"/>
      <c r="AM101" s="1487"/>
      <c r="AN101" s="1487"/>
      <c r="AO101" s="1487"/>
      <c r="AP101" s="1487"/>
      <c r="AQ101" s="1487"/>
      <c r="AR101" s="1487"/>
      <c r="AS101" s="1487"/>
      <c r="AT101" s="1488"/>
      <c r="AU101" s="1339" t="str">
        <f>IFERROR(IFERROR('Multi-Customer'!$GC$44,VLOOKUP($D101,'Required Info to Submit'!$E$23:$J$32,5,FALSE)),"")</f>
        <v/>
      </c>
      <c r="AV101" s="1340"/>
      <c r="AW101" s="1340"/>
      <c r="AX101" s="1341"/>
      <c r="AY101" s="1406" t="str">
        <f>IFERROR(IFERROR('Multi-Customer'!$GC$45,VLOOKUP($D101,'Required Info to Submit'!$E$23:$J$32,6,FALSE)),"")</f>
        <v/>
      </c>
      <c r="AZ101" s="1407"/>
      <c r="BA101" s="1407"/>
      <c r="BB101" s="1407"/>
      <c r="BC101" s="1408"/>
      <c r="BF101" s="141"/>
    </row>
    <row r="102" spans="2:58" x14ac:dyDescent="0.25">
      <c r="B102" s="140"/>
      <c r="C102" s="673">
        <v>8</v>
      </c>
      <c r="D102" s="1471">
        <f>'Customer Inputs'!$B$13</f>
        <v>0</v>
      </c>
      <c r="E102" s="1471"/>
      <c r="F102" s="1471"/>
      <c r="G102" s="1471"/>
      <c r="H102" s="1471"/>
      <c r="I102" s="1471"/>
      <c r="J102" s="1471"/>
      <c r="K102" s="1415" t="str">
        <f>IFERROR(IFERROR('Multi-Customer'!$GY$39,VLOOKUP($D102,'Required Info to Submit'!$E$23:$J$32,2,FALSE)),"")</f>
        <v/>
      </c>
      <c r="L102" s="1415"/>
      <c r="M102" s="1415"/>
      <c r="N102" s="1415"/>
      <c r="O102" s="1415"/>
      <c r="P102" s="1415"/>
      <c r="Q102" s="1415"/>
      <c r="R102" s="1415"/>
      <c r="S102" s="1415"/>
      <c r="T102" s="1415"/>
      <c r="U102" s="1415" t="str">
        <f>IFERROR(IFERROR('Multi-Customer'!$GY$41&amp;" "&amp;'Multi-Customer'!$GY$42,VLOOKUP($D102,'Required Info to Submit'!$E$23:$J$32,3,FALSE)),"")</f>
        <v/>
      </c>
      <c r="V102" s="1415"/>
      <c r="W102" s="1415"/>
      <c r="X102" s="1415"/>
      <c r="Y102" s="1415"/>
      <c r="Z102" s="1415"/>
      <c r="AA102" s="1415"/>
      <c r="AB102" s="1415"/>
      <c r="AC102" s="1415"/>
      <c r="AD102" s="1415"/>
      <c r="AE102" s="1415"/>
      <c r="AF102" s="1415"/>
      <c r="AG102" s="1415"/>
      <c r="AH102" s="1415"/>
      <c r="AI102" s="1415"/>
      <c r="AJ102" s="1486" t="str">
        <f>IFERROR(IFERROR('Multi-Customer'!$GY$43,VLOOKUP($D102,'Required Info to Submit'!$E$23:$J$32,4,FALSE)),"")</f>
        <v/>
      </c>
      <c r="AK102" s="1487"/>
      <c r="AL102" s="1487"/>
      <c r="AM102" s="1487"/>
      <c r="AN102" s="1487"/>
      <c r="AO102" s="1487"/>
      <c r="AP102" s="1487"/>
      <c r="AQ102" s="1487"/>
      <c r="AR102" s="1487"/>
      <c r="AS102" s="1487"/>
      <c r="AT102" s="1488"/>
      <c r="AU102" s="1339" t="str">
        <f>IFERROR(IFERROR('Multi-Customer'!$GY$44,VLOOKUP($D102,'Required Info to Submit'!$E$23:$J$32,5,FALSE)),"")</f>
        <v/>
      </c>
      <c r="AV102" s="1340"/>
      <c r="AW102" s="1340"/>
      <c r="AX102" s="1341"/>
      <c r="AY102" s="1406" t="str">
        <f>IFERROR(IFERROR('Multi-Customer'!$GY$45,VLOOKUP($D102,'Required Info to Submit'!$E$23:$J$32,6,FALSE)),"")</f>
        <v/>
      </c>
      <c r="AZ102" s="1407"/>
      <c r="BA102" s="1407"/>
      <c r="BB102" s="1407"/>
      <c r="BC102" s="1408"/>
      <c r="BF102" s="141"/>
    </row>
    <row r="103" spans="2:58" x14ac:dyDescent="0.25">
      <c r="B103" s="140"/>
      <c r="C103" s="673">
        <v>9</v>
      </c>
      <c r="D103" s="1471">
        <f>'Customer Inputs'!$B$14</f>
        <v>0</v>
      </c>
      <c r="E103" s="1471"/>
      <c r="F103" s="1471"/>
      <c r="G103" s="1471"/>
      <c r="H103" s="1471"/>
      <c r="I103" s="1471"/>
      <c r="J103" s="1471"/>
      <c r="K103" s="1415" t="str">
        <f>IFERROR(IFERROR('Multi-Customer'!$HU$39,VLOOKUP($D103,'Required Info to Submit'!$E$23:$J$32,2,FALSE)),"")</f>
        <v/>
      </c>
      <c r="L103" s="1415"/>
      <c r="M103" s="1415"/>
      <c r="N103" s="1415"/>
      <c r="O103" s="1415"/>
      <c r="P103" s="1415"/>
      <c r="Q103" s="1415"/>
      <c r="R103" s="1415"/>
      <c r="S103" s="1415"/>
      <c r="T103" s="1415"/>
      <c r="U103" s="1415" t="str">
        <f>IFERROR(IFERROR('Multi-Customer'!$HU$41&amp;" "&amp;'Multi-Customer'!$HU$42,VLOOKUP($D103,'Required Info to Submit'!$E$23:$J$32,3,FALSE)),"")</f>
        <v/>
      </c>
      <c r="V103" s="1415"/>
      <c r="W103" s="1415"/>
      <c r="X103" s="1415"/>
      <c r="Y103" s="1415"/>
      <c r="Z103" s="1415"/>
      <c r="AA103" s="1415"/>
      <c r="AB103" s="1415"/>
      <c r="AC103" s="1415"/>
      <c r="AD103" s="1415"/>
      <c r="AE103" s="1415"/>
      <c r="AF103" s="1415"/>
      <c r="AG103" s="1415"/>
      <c r="AH103" s="1415"/>
      <c r="AI103" s="1415"/>
      <c r="AJ103" s="1486" t="str">
        <f>IFERROR(IFERROR('Multi-Customer'!$HU$43,VLOOKUP($D103,'Required Info to Submit'!$E$23:$J$32,4,FALSE)),"")</f>
        <v/>
      </c>
      <c r="AK103" s="1487"/>
      <c r="AL103" s="1487"/>
      <c r="AM103" s="1487"/>
      <c r="AN103" s="1487"/>
      <c r="AO103" s="1487"/>
      <c r="AP103" s="1487"/>
      <c r="AQ103" s="1487"/>
      <c r="AR103" s="1487"/>
      <c r="AS103" s="1487"/>
      <c r="AT103" s="1488"/>
      <c r="AU103" s="1339" t="str">
        <f>IFERROR(IFERROR('Multi-Customer'!$HU$44,VLOOKUP($D103,'Required Info to Submit'!$E$23:$J$32,5,FALSE)),"")</f>
        <v/>
      </c>
      <c r="AV103" s="1340"/>
      <c r="AW103" s="1340"/>
      <c r="AX103" s="1341"/>
      <c r="AY103" s="1406" t="str">
        <f>IFERROR(IFERROR('Multi-Customer'!$HU$45,VLOOKUP($D103,'Required Info to Submit'!$E$23:$J$32,6,FALSE)),"")</f>
        <v/>
      </c>
      <c r="AZ103" s="1407"/>
      <c r="BA103" s="1407"/>
      <c r="BB103" s="1407"/>
      <c r="BC103" s="1408"/>
      <c r="BF103" s="141"/>
    </row>
    <row r="104" spans="2:58" ht="15.75" thickBot="1" x14ac:dyDescent="0.3">
      <c r="B104" s="140"/>
      <c r="C104" s="674">
        <v>10</v>
      </c>
      <c r="D104" s="1482">
        <f>'Customer Inputs'!$B$15</f>
        <v>0</v>
      </c>
      <c r="E104" s="1482"/>
      <c r="F104" s="1482"/>
      <c r="G104" s="1482"/>
      <c r="H104" s="1482"/>
      <c r="I104" s="1482"/>
      <c r="J104" s="1482"/>
      <c r="K104" s="1481" t="str">
        <f>IFERROR(IFERROR('Multi-Customer'!$IQ$39,VLOOKUP($D104,'Required Info to Submit'!$E$23:$J$32,2,FALSE)),"")</f>
        <v/>
      </c>
      <c r="L104" s="1481"/>
      <c r="M104" s="1481"/>
      <c r="N104" s="1481"/>
      <c r="O104" s="1481"/>
      <c r="P104" s="1481"/>
      <c r="Q104" s="1481"/>
      <c r="R104" s="1481"/>
      <c r="S104" s="1481"/>
      <c r="T104" s="1481"/>
      <c r="U104" s="1481" t="str">
        <f>IFERROR(IFERROR('Multi-Customer'!$IQ$41&amp;" "&amp;'Multi-Customer'!$IQ$42,VLOOKUP($D104,'Required Info to Submit'!$E$23:$J$32,3,FALSE)),"")</f>
        <v/>
      </c>
      <c r="V104" s="1481"/>
      <c r="W104" s="1481"/>
      <c r="X104" s="1481"/>
      <c r="Y104" s="1481"/>
      <c r="Z104" s="1481"/>
      <c r="AA104" s="1481"/>
      <c r="AB104" s="1481"/>
      <c r="AC104" s="1481"/>
      <c r="AD104" s="1481"/>
      <c r="AE104" s="1481"/>
      <c r="AF104" s="1481"/>
      <c r="AG104" s="1481"/>
      <c r="AH104" s="1481"/>
      <c r="AI104" s="1481"/>
      <c r="AJ104" s="1483" t="str">
        <f>IFERROR(IFERROR('Multi-Customer'!$IQ$43,VLOOKUP($D104,'Required Info to Submit'!$E$23:$J$32,4,FALSE)),"")</f>
        <v/>
      </c>
      <c r="AK104" s="1484"/>
      <c r="AL104" s="1484"/>
      <c r="AM104" s="1484"/>
      <c r="AN104" s="1484"/>
      <c r="AO104" s="1484"/>
      <c r="AP104" s="1484"/>
      <c r="AQ104" s="1484"/>
      <c r="AR104" s="1484"/>
      <c r="AS104" s="1484"/>
      <c r="AT104" s="1485"/>
      <c r="AU104" s="1503" t="str">
        <f>IFERROR(IFERROR('Multi-Customer'!$IQ$44,VLOOKUP($D104,'Required Info to Submit'!$E$23:$J$32,5,FALSE)),"")</f>
        <v/>
      </c>
      <c r="AV104" s="1504"/>
      <c r="AW104" s="1504"/>
      <c r="AX104" s="1505"/>
      <c r="AY104" s="1496" t="str">
        <f>IFERROR(IFERROR('Multi-Customer'!$IQ$45,VLOOKUP($D104,'Required Info to Submit'!$E$23:$J$32,6,FALSE)),"")</f>
        <v/>
      </c>
      <c r="AZ104" s="1497"/>
      <c r="BA104" s="1497"/>
      <c r="BB104" s="1497"/>
      <c r="BC104" s="1498"/>
      <c r="BF104" s="141"/>
    </row>
    <row r="105" spans="2:58" x14ac:dyDescent="0.25">
      <c r="B105" s="140"/>
      <c r="BF105" s="141"/>
    </row>
    <row r="106" spans="2:58" x14ac:dyDescent="0.25">
      <c r="B106" s="140"/>
      <c r="BF106" s="141"/>
    </row>
    <row r="107" spans="2:58" ht="18.75" x14ac:dyDescent="0.3">
      <c r="B107" s="1459" t="s">
        <v>1043</v>
      </c>
      <c r="C107" s="1460"/>
      <c r="D107" s="1460"/>
      <c r="E107" s="1460"/>
      <c r="F107" s="1460"/>
      <c r="G107" s="1460"/>
      <c r="H107" s="1460"/>
      <c r="I107" s="1460"/>
      <c r="J107" s="1460"/>
      <c r="K107" s="1460"/>
      <c r="L107" s="1460"/>
      <c r="M107" s="1460"/>
      <c r="N107" s="1460"/>
      <c r="O107" s="1460"/>
      <c r="P107" s="1460"/>
      <c r="Q107" s="1460"/>
      <c r="R107" s="1460"/>
      <c r="S107" s="1460"/>
      <c r="T107" s="1460"/>
      <c r="U107" s="1460"/>
      <c r="V107" s="1460"/>
      <c r="W107" s="1460"/>
      <c r="X107" s="1460"/>
      <c r="Y107" s="1460"/>
      <c r="Z107" s="1460"/>
      <c r="AA107" s="1460"/>
      <c r="AB107" s="1460"/>
      <c r="AC107" s="1460"/>
      <c r="AD107" s="1460"/>
      <c r="AE107" s="1460"/>
      <c r="AF107" s="1460"/>
      <c r="AG107" s="1460"/>
      <c r="AH107" s="1460"/>
      <c r="AI107" s="1460"/>
      <c r="AJ107" s="1460"/>
      <c r="AK107" s="1460"/>
      <c r="AL107" s="1460"/>
      <c r="AM107" s="1460"/>
      <c r="AN107" s="1460"/>
      <c r="AO107" s="1460"/>
      <c r="AP107" s="1460"/>
      <c r="AQ107" s="1460"/>
      <c r="AR107" s="1460"/>
      <c r="AS107" s="1460"/>
      <c r="AT107" s="1460"/>
      <c r="AU107" s="1460"/>
      <c r="AV107" s="1460"/>
      <c r="AW107" s="1460"/>
      <c r="AX107" s="1460"/>
      <c r="AY107" s="1460"/>
      <c r="AZ107" s="1460"/>
      <c r="BA107" s="1460"/>
      <c r="BB107" s="1460"/>
      <c r="BC107" s="1460"/>
      <c r="BD107" s="1460"/>
      <c r="BE107" s="1460"/>
      <c r="BF107" s="1461"/>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30" t="s">
        <v>1044</v>
      </c>
      <c r="V109" s="1401"/>
      <c r="W109" s="1401"/>
      <c r="X109" s="1401"/>
      <c r="Y109" s="1401"/>
      <c r="Z109" s="1401" t="s">
        <v>1037</v>
      </c>
      <c r="AA109" s="1401"/>
      <c r="AB109" s="1401"/>
      <c r="AC109" s="1401"/>
      <c r="AD109" s="1401"/>
      <c r="AE109" s="1401"/>
      <c r="AF109" s="1401" t="s">
        <v>1038</v>
      </c>
      <c r="AG109" s="1401"/>
      <c r="AH109" s="1401"/>
      <c r="AI109" s="1401"/>
      <c r="AJ109" s="1401"/>
      <c r="AK109" s="1401"/>
      <c r="AL109" s="1401"/>
      <c r="AM109" s="1401" t="s">
        <v>1041</v>
      </c>
      <c r="AN109" s="1401"/>
      <c r="AO109" s="1401"/>
      <c r="AP109" s="1401"/>
      <c r="AQ109" s="1401"/>
      <c r="AR109" s="1401"/>
      <c r="AS109" s="1402"/>
      <c r="AT109" s="268"/>
      <c r="AU109" s="268"/>
      <c r="AV109" s="268"/>
      <c r="AW109" s="268"/>
      <c r="AX109" s="268"/>
      <c r="AY109" s="268"/>
      <c r="AZ109" s="268"/>
      <c r="BA109" s="268"/>
      <c r="BB109" s="268"/>
      <c r="BC109" s="268"/>
      <c r="BD109" s="268"/>
      <c r="BE109" s="268"/>
      <c r="BF109" s="678"/>
    </row>
    <row r="110" spans="2:58" x14ac:dyDescent="0.25">
      <c r="B110" s="140"/>
      <c r="D110" s="1427" t="s">
        <v>99</v>
      </c>
      <c r="E110" s="1428"/>
      <c r="F110" s="1428"/>
      <c r="G110" s="1428"/>
      <c r="H110" s="1428"/>
      <c r="I110" s="1428"/>
      <c r="J110" s="1428"/>
      <c r="K110" s="1428"/>
      <c r="L110" s="1428"/>
      <c r="M110" s="1428"/>
      <c r="N110" s="1428"/>
      <c r="O110" s="1428"/>
      <c r="P110" s="1428"/>
      <c r="Q110" s="1428"/>
      <c r="R110" s="1428"/>
      <c r="S110" s="1428"/>
      <c r="T110" s="1429"/>
      <c r="U110" s="1418" t="str">
        <f>IF('PIM Model'!$B$10=0,"",'PIM Model'!$B$10)</f>
        <v/>
      </c>
      <c r="V110" s="1419"/>
      <c r="W110" s="1419"/>
      <c r="X110" s="1419"/>
      <c r="Y110" s="1419"/>
      <c r="Z110" s="1419" t="str">
        <f>'PIM Model'!$AF$10</f>
        <v/>
      </c>
      <c r="AA110" s="1419"/>
      <c r="AB110" s="1419"/>
      <c r="AC110" s="1419"/>
      <c r="AD110" s="1419"/>
      <c r="AE110" s="1419"/>
      <c r="AF110" s="1403" t="str">
        <f>'PIM Model'!$AG$10</f>
        <v/>
      </c>
      <c r="AG110" s="1404"/>
      <c r="AH110" s="1404"/>
      <c r="AI110" s="1404"/>
      <c r="AJ110" s="1404"/>
      <c r="AK110" s="1404"/>
      <c r="AL110" s="1411"/>
      <c r="AM110" s="1403" t="str">
        <f>'PIM Model'!$AH$10</f>
        <v/>
      </c>
      <c r="AN110" s="1404"/>
      <c r="AO110" s="1404"/>
      <c r="AP110" s="1404"/>
      <c r="AQ110" s="1404"/>
      <c r="AR110" s="1404"/>
      <c r="AS110" s="1405"/>
      <c r="BF110" s="141"/>
    </row>
    <row r="111" spans="2:58" x14ac:dyDescent="0.25">
      <c r="B111" s="140"/>
      <c r="D111" s="1414" t="s">
        <v>103</v>
      </c>
      <c r="E111" s="1415"/>
      <c r="F111" s="1415"/>
      <c r="G111" s="1415"/>
      <c r="H111" s="1415"/>
      <c r="I111" s="1415"/>
      <c r="J111" s="1415"/>
      <c r="K111" s="1415"/>
      <c r="L111" s="1415"/>
      <c r="M111" s="1415"/>
      <c r="N111" s="1415"/>
      <c r="O111" s="1415"/>
      <c r="P111" s="1415"/>
      <c r="Q111" s="1415"/>
      <c r="R111" s="1415"/>
      <c r="S111" s="1415"/>
      <c r="T111" s="1416"/>
      <c r="U111" s="1413" t="str">
        <f>IF('PIM Model'!$B$11=0,"",'PIM Model'!$B$11)</f>
        <v/>
      </c>
      <c r="V111" s="1338"/>
      <c r="W111" s="1338"/>
      <c r="X111" s="1338"/>
      <c r="Y111" s="1338"/>
      <c r="Z111" s="1338" t="str">
        <f>'PIM Model'!$AF$11</f>
        <v/>
      </c>
      <c r="AA111" s="1338"/>
      <c r="AB111" s="1338"/>
      <c r="AC111" s="1338"/>
      <c r="AD111" s="1338"/>
      <c r="AE111" s="1338"/>
      <c r="AF111" s="1406" t="str">
        <f>'PIM Model'!$AG$11</f>
        <v/>
      </c>
      <c r="AG111" s="1407"/>
      <c r="AH111" s="1407"/>
      <c r="AI111" s="1407"/>
      <c r="AJ111" s="1407"/>
      <c r="AK111" s="1407"/>
      <c r="AL111" s="1412"/>
      <c r="AM111" s="1406" t="str">
        <f>'PIM Model'!$AH$11</f>
        <v/>
      </c>
      <c r="AN111" s="1407"/>
      <c r="AO111" s="1407"/>
      <c r="AP111" s="1407"/>
      <c r="AQ111" s="1407"/>
      <c r="AR111" s="1407"/>
      <c r="AS111" s="1408"/>
      <c r="BF111" s="141"/>
    </row>
    <row r="112" spans="2:58" x14ac:dyDescent="0.25">
      <c r="B112" s="140"/>
      <c r="D112" s="1414" t="s">
        <v>1447</v>
      </c>
      <c r="E112" s="1415"/>
      <c r="F112" s="1415"/>
      <c r="G112" s="1415"/>
      <c r="H112" s="1415"/>
      <c r="I112" s="1415"/>
      <c r="J112" s="1415"/>
      <c r="K112" s="1415"/>
      <c r="L112" s="1415"/>
      <c r="M112" s="1415"/>
      <c r="N112" s="1415"/>
      <c r="O112" s="1415"/>
      <c r="P112" s="1415"/>
      <c r="Q112" s="1415"/>
      <c r="R112" s="1415"/>
      <c r="S112" s="1415"/>
      <c r="T112" s="1416"/>
      <c r="U112" s="1413" t="str">
        <f>IF('PIM Model'!$B$12=0,"",'PIM Model'!$B$12)</f>
        <v/>
      </c>
      <c r="V112" s="1338"/>
      <c r="W112" s="1338"/>
      <c r="X112" s="1338"/>
      <c r="Y112" s="1338"/>
      <c r="Z112" s="1338" t="str">
        <f>'PIM Model'!$AF$12</f>
        <v/>
      </c>
      <c r="AA112" s="1338"/>
      <c r="AB112" s="1338"/>
      <c r="AC112" s="1338"/>
      <c r="AD112" s="1338"/>
      <c r="AE112" s="1338"/>
      <c r="AF112" s="1406" t="str">
        <f>'PIM Model'!$AG$12</f>
        <v/>
      </c>
      <c r="AG112" s="1407"/>
      <c r="AH112" s="1407"/>
      <c r="AI112" s="1407"/>
      <c r="AJ112" s="1407"/>
      <c r="AK112" s="1407"/>
      <c r="AL112" s="1412"/>
      <c r="AM112" s="1406" t="str">
        <f>'PIM Model'!$AH$12</f>
        <v/>
      </c>
      <c r="AN112" s="1407"/>
      <c r="AO112" s="1407"/>
      <c r="AP112" s="1407"/>
      <c r="AQ112" s="1407"/>
      <c r="AR112" s="1407"/>
      <c r="AS112" s="1408"/>
      <c r="BF112" s="141"/>
    </row>
    <row r="113" spans="2:58" x14ac:dyDescent="0.25">
      <c r="B113" s="140"/>
      <c r="D113" s="1414" t="s">
        <v>102</v>
      </c>
      <c r="E113" s="1415"/>
      <c r="F113" s="1415"/>
      <c r="G113" s="1415"/>
      <c r="H113" s="1415"/>
      <c r="I113" s="1415"/>
      <c r="J113" s="1415"/>
      <c r="K113" s="1415"/>
      <c r="L113" s="1415"/>
      <c r="M113" s="1415"/>
      <c r="N113" s="1415"/>
      <c r="O113" s="1415"/>
      <c r="P113" s="1415"/>
      <c r="Q113" s="1415"/>
      <c r="R113" s="1415"/>
      <c r="S113" s="1415"/>
      <c r="T113" s="1416"/>
      <c r="U113" s="1413" t="str">
        <f>IF('PIM Model'!$B$13=0,"",'PIM Model'!$B$13)</f>
        <v/>
      </c>
      <c r="V113" s="1338"/>
      <c r="W113" s="1338"/>
      <c r="X113" s="1338"/>
      <c r="Y113" s="1338"/>
      <c r="Z113" s="1338" t="str">
        <f>'PIM Model'!$AF$13</f>
        <v/>
      </c>
      <c r="AA113" s="1338"/>
      <c r="AB113" s="1338"/>
      <c r="AC113" s="1338"/>
      <c r="AD113" s="1338"/>
      <c r="AE113" s="1338"/>
      <c r="AF113" s="1406" t="str">
        <f>'PIM Model'!$AG$13</f>
        <v/>
      </c>
      <c r="AG113" s="1407"/>
      <c r="AH113" s="1407"/>
      <c r="AI113" s="1407"/>
      <c r="AJ113" s="1407"/>
      <c r="AK113" s="1407"/>
      <c r="AL113" s="1412"/>
      <c r="AM113" s="1406" t="str">
        <f>'PIM Model'!$AH$13</f>
        <v/>
      </c>
      <c r="AN113" s="1407"/>
      <c r="AO113" s="1407"/>
      <c r="AP113" s="1407"/>
      <c r="AQ113" s="1407"/>
      <c r="AR113" s="1407"/>
      <c r="AS113" s="1408"/>
      <c r="BF113" s="141"/>
    </row>
    <row r="114" spans="2:58" x14ac:dyDescent="0.25">
      <c r="B114" s="140"/>
      <c r="D114" s="1414" t="s">
        <v>100</v>
      </c>
      <c r="E114" s="1415"/>
      <c r="F114" s="1415"/>
      <c r="G114" s="1415"/>
      <c r="H114" s="1415"/>
      <c r="I114" s="1415"/>
      <c r="J114" s="1415"/>
      <c r="K114" s="1415"/>
      <c r="L114" s="1415"/>
      <c r="M114" s="1415"/>
      <c r="N114" s="1415"/>
      <c r="O114" s="1415"/>
      <c r="P114" s="1415"/>
      <c r="Q114" s="1415"/>
      <c r="R114" s="1415"/>
      <c r="S114" s="1415"/>
      <c r="T114" s="1416"/>
      <c r="U114" s="1413" t="str">
        <f>IF('PIM Model'!$B$14=0,"",'PIM Model'!$B$14)</f>
        <v/>
      </c>
      <c r="V114" s="1338"/>
      <c r="W114" s="1338"/>
      <c r="X114" s="1338"/>
      <c r="Y114" s="1338"/>
      <c r="Z114" s="1338" t="str">
        <f>'PIM Model'!$AF$14</f>
        <v/>
      </c>
      <c r="AA114" s="1338"/>
      <c r="AB114" s="1338"/>
      <c r="AC114" s="1338"/>
      <c r="AD114" s="1338"/>
      <c r="AE114" s="1338"/>
      <c r="AF114" s="1406" t="str">
        <f>'PIM Model'!$AG$14</f>
        <v/>
      </c>
      <c r="AG114" s="1407"/>
      <c r="AH114" s="1407"/>
      <c r="AI114" s="1407"/>
      <c r="AJ114" s="1407"/>
      <c r="AK114" s="1407"/>
      <c r="AL114" s="1412"/>
      <c r="AM114" s="1406" t="str">
        <f>'PIM Model'!$AH$14</f>
        <v/>
      </c>
      <c r="AN114" s="1407"/>
      <c r="AO114" s="1407"/>
      <c r="AP114" s="1407"/>
      <c r="AQ114" s="1407"/>
      <c r="AR114" s="1407"/>
      <c r="AS114" s="1408"/>
      <c r="BF114" s="141"/>
    </row>
    <row r="115" spans="2:58" x14ac:dyDescent="0.25">
      <c r="B115" s="140"/>
      <c r="D115" s="1414" t="s">
        <v>104</v>
      </c>
      <c r="E115" s="1415"/>
      <c r="F115" s="1415"/>
      <c r="G115" s="1415"/>
      <c r="H115" s="1415"/>
      <c r="I115" s="1415"/>
      <c r="J115" s="1415"/>
      <c r="K115" s="1415"/>
      <c r="L115" s="1415"/>
      <c r="M115" s="1415"/>
      <c r="N115" s="1415"/>
      <c r="O115" s="1415"/>
      <c r="P115" s="1415"/>
      <c r="Q115" s="1415"/>
      <c r="R115" s="1415"/>
      <c r="S115" s="1415"/>
      <c r="T115" s="1416"/>
      <c r="U115" s="1413" t="str">
        <f>IF('PIM Model'!$B$15=0,"",'PIM Model'!$B$15)</f>
        <v/>
      </c>
      <c r="V115" s="1338"/>
      <c r="W115" s="1338"/>
      <c r="X115" s="1338"/>
      <c r="Y115" s="1338"/>
      <c r="Z115" s="1338" t="str">
        <f>'PIM Model'!$AF$15</f>
        <v/>
      </c>
      <c r="AA115" s="1338"/>
      <c r="AB115" s="1338"/>
      <c r="AC115" s="1338"/>
      <c r="AD115" s="1338"/>
      <c r="AE115" s="1338"/>
      <c r="AF115" s="1406" t="str">
        <f>'PIM Model'!$AG$15</f>
        <v/>
      </c>
      <c r="AG115" s="1407"/>
      <c r="AH115" s="1407"/>
      <c r="AI115" s="1407"/>
      <c r="AJ115" s="1407"/>
      <c r="AK115" s="1407"/>
      <c r="AL115" s="1412"/>
      <c r="AM115" s="1406" t="str">
        <f>'PIM Model'!$AH$15</f>
        <v/>
      </c>
      <c r="AN115" s="1407"/>
      <c r="AO115" s="1407"/>
      <c r="AP115" s="1407"/>
      <c r="AQ115" s="1407"/>
      <c r="AR115" s="1407"/>
      <c r="AS115" s="1408"/>
      <c r="BF115" s="141"/>
    </row>
    <row r="116" spans="2:58" x14ac:dyDescent="0.25">
      <c r="B116" s="140"/>
      <c r="D116" s="1414" t="s">
        <v>98</v>
      </c>
      <c r="E116" s="1415"/>
      <c r="F116" s="1415"/>
      <c r="G116" s="1415"/>
      <c r="H116" s="1415"/>
      <c r="I116" s="1415"/>
      <c r="J116" s="1415"/>
      <c r="K116" s="1415"/>
      <c r="L116" s="1415"/>
      <c r="M116" s="1415"/>
      <c r="N116" s="1415"/>
      <c r="O116" s="1415"/>
      <c r="P116" s="1415"/>
      <c r="Q116" s="1415"/>
      <c r="R116" s="1415"/>
      <c r="S116" s="1415"/>
      <c r="T116" s="1416"/>
      <c r="U116" s="1413" t="str">
        <f>IF('PIM Model'!$B$16=0,"",'PIM Model'!$B$16)</f>
        <v/>
      </c>
      <c r="V116" s="1338"/>
      <c r="W116" s="1338"/>
      <c r="X116" s="1338"/>
      <c r="Y116" s="1338"/>
      <c r="Z116" s="1338" t="str">
        <f>'PIM Model'!$AF$16</f>
        <v/>
      </c>
      <c r="AA116" s="1338"/>
      <c r="AB116" s="1338"/>
      <c r="AC116" s="1338"/>
      <c r="AD116" s="1338"/>
      <c r="AE116" s="1338"/>
      <c r="AF116" s="1406" t="str">
        <f>'PIM Model'!$AG$16</f>
        <v/>
      </c>
      <c r="AG116" s="1407"/>
      <c r="AH116" s="1407"/>
      <c r="AI116" s="1407"/>
      <c r="AJ116" s="1407"/>
      <c r="AK116" s="1407"/>
      <c r="AL116" s="1412"/>
      <c r="AM116" s="1406" t="str">
        <f>'PIM Model'!$AH$16</f>
        <v/>
      </c>
      <c r="AN116" s="1407"/>
      <c r="AO116" s="1407"/>
      <c r="AP116" s="1407"/>
      <c r="AQ116" s="1407"/>
      <c r="AR116" s="1407"/>
      <c r="AS116" s="1408"/>
      <c r="BF116" s="141"/>
    </row>
    <row r="117" spans="2:58" x14ac:dyDescent="0.25">
      <c r="B117" s="140"/>
      <c r="D117" s="1414" t="s">
        <v>95</v>
      </c>
      <c r="E117" s="1415"/>
      <c r="F117" s="1415"/>
      <c r="G117" s="1415"/>
      <c r="H117" s="1415"/>
      <c r="I117" s="1415"/>
      <c r="J117" s="1415"/>
      <c r="K117" s="1415"/>
      <c r="L117" s="1415"/>
      <c r="M117" s="1415"/>
      <c r="N117" s="1415"/>
      <c r="O117" s="1415"/>
      <c r="P117" s="1415"/>
      <c r="Q117" s="1415"/>
      <c r="R117" s="1415"/>
      <c r="S117" s="1415"/>
      <c r="T117" s="1416"/>
      <c r="U117" s="1413" t="str">
        <f>IF('PIM Model'!$B$17=0,"",'PIM Model'!$B$17)</f>
        <v/>
      </c>
      <c r="V117" s="1338"/>
      <c r="W117" s="1338"/>
      <c r="X117" s="1338"/>
      <c r="Y117" s="1338"/>
      <c r="Z117" s="1338" t="str">
        <f>'PIM Model'!$AF$17</f>
        <v/>
      </c>
      <c r="AA117" s="1338"/>
      <c r="AB117" s="1338"/>
      <c r="AC117" s="1338"/>
      <c r="AD117" s="1338"/>
      <c r="AE117" s="1338"/>
      <c r="AF117" s="1406" t="str">
        <f>'PIM Model'!$AG$17</f>
        <v/>
      </c>
      <c r="AG117" s="1407"/>
      <c r="AH117" s="1407"/>
      <c r="AI117" s="1407"/>
      <c r="AJ117" s="1407"/>
      <c r="AK117" s="1407"/>
      <c r="AL117" s="1412"/>
      <c r="AM117" s="1406" t="str">
        <f>'PIM Model'!$AH$17</f>
        <v/>
      </c>
      <c r="AN117" s="1407"/>
      <c r="AO117" s="1407"/>
      <c r="AP117" s="1407"/>
      <c r="AQ117" s="1407"/>
      <c r="AR117" s="1407"/>
      <c r="AS117" s="1408"/>
      <c r="BF117" s="141"/>
    </row>
    <row r="118" spans="2:58" x14ac:dyDescent="0.25">
      <c r="B118" s="140"/>
      <c r="D118" s="1414" t="s">
        <v>96</v>
      </c>
      <c r="E118" s="1415"/>
      <c r="F118" s="1415"/>
      <c r="G118" s="1415"/>
      <c r="H118" s="1415"/>
      <c r="I118" s="1415"/>
      <c r="J118" s="1415"/>
      <c r="K118" s="1415"/>
      <c r="L118" s="1415"/>
      <c r="M118" s="1415"/>
      <c r="N118" s="1415"/>
      <c r="O118" s="1415"/>
      <c r="P118" s="1415"/>
      <c r="Q118" s="1415"/>
      <c r="R118" s="1415"/>
      <c r="S118" s="1415"/>
      <c r="T118" s="1416"/>
      <c r="U118" s="1413" t="str">
        <f>IF('PIM Model'!$B$18=0,"",'PIM Model'!$B$18)</f>
        <v/>
      </c>
      <c r="V118" s="1338"/>
      <c r="W118" s="1338"/>
      <c r="X118" s="1338"/>
      <c r="Y118" s="1338"/>
      <c r="Z118" s="1338" t="str">
        <f>'PIM Model'!$AF$18</f>
        <v/>
      </c>
      <c r="AA118" s="1338"/>
      <c r="AB118" s="1338"/>
      <c r="AC118" s="1338"/>
      <c r="AD118" s="1338"/>
      <c r="AE118" s="1338"/>
      <c r="AF118" s="1406" t="str">
        <f>'PIM Model'!$AG$18</f>
        <v/>
      </c>
      <c r="AG118" s="1407"/>
      <c r="AH118" s="1407"/>
      <c r="AI118" s="1407"/>
      <c r="AJ118" s="1407"/>
      <c r="AK118" s="1407"/>
      <c r="AL118" s="1412"/>
      <c r="AM118" s="1406" t="str">
        <f>'PIM Model'!$AH$18</f>
        <v/>
      </c>
      <c r="AN118" s="1407"/>
      <c r="AO118" s="1407"/>
      <c r="AP118" s="1407"/>
      <c r="AQ118" s="1407"/>
      <c r="AR118" s="1407"/>
      <c r="AS118" s="1408"/>
      <c r="BF118" s="141"/>
    </row>
    <row r="119" spans="2:58" x14ac:dyDescent="0.25">
      <c r="B119" s="140"/>
      <c r="D119" s="1414" t="s">
        <v>101</v>
      </c>
      <c r="E119" s="1415"/>
      <c r="F119" s="1415"/>
      <c r="G119" s="1415"/>
      <c r="H119" s="1415"/>
      <c r="I119" s="1415"/>
      <c r="J119" s="1415"/>
      <c r="K119" s="1415"/>
      <c r="L119" s="1415"/>
      <c r="M119" s="1415"/>
      <c r="N119" s="1415"/>
      <c r="O119" s="1415"/>
      <c r="P119" s="1415"/>
      <c r="Q119" s="1415"/>
      <c r="R119" s="1415"/>
      <c r="S119" s="1415"/>
      <c r="T119" s="1416"/>
      <c r="U119" s="1413" t="str">
        <f>IF('PIM Model'!$B$19=0,"",'PIM Model'!$B$19)</f>
        <v/>
      </c>
      <c r="V119" s="1338"/>
      <c r="W119" s="1338"/>
      <c r="X119" s="1338"/>
      <c r="Y119" s="1338"/>
      <c r="Z119" s="1338" t="str">
        <f>'PIM Model'!$AF$19</f>
        <v/>
      </c>
      <c r="AA119" s="1338"/>
      <c r="AB119" s="1338"/>
      <c r="AC119" s="1338"/>
      <c r="AD119" s="1338"/>
      <c r="AE119" s="1338"/>
      <c r="AF119" s="1406" t="str">
        <f>'PIM Model'!$AG$19</f>
        <v/>
      </c>
      <c r="AG119" s="1407"/>
      <c r="AH119" s="1407"/>
      <c r="AI119" s="1407"/>
      <c r="AJ119" s="1407"/>
      <c r="AK119" s="1407"/>
      <c r="AL119" s="1412"/>
      <c r="AM119" s="1406" t="str">
        <f>'PIM Model'!$AH$19</f>
        <v/>
      </c>
      <c r="AN119" s="1407"/>
      <c r="AO119" s="1407"/>
      <c r="AP119" s="1407"/>
      <c r="AQ119" s="1407"/>
      <c r="AR119" s="1407"/>
      <c r="AS119" s="1408"/>
      <c r="BF119" s="141"/>
    </row>
    <row r="120" spans="2:58" x14ac:dyDescent="0.25">
      <c r="B120" s="140"/>
      <c r="D120" s="1414" t="s">
        <v>97</v>
      </c>
      <c r="E120" s="1415"/>
      <c r="F120" s="1415"/>
      <c r="G120" s="1415"/>
      <c r="H120" s="1415"/>
      <c r="I120" s="1415"/>
      <c r="J120" s="1415"/>
      <c r="K120" s="1415"/>
      <c r="L120" s="1415"/>
      <c r="M120" s="1415"/>
      <c r="N120" s="1415"/>
      <c r="O120" s="1415"/>
      <c r="P120" s="1415"/>
      <c r="Q120" s="1415"/>
      <c r="R120" s="1415"/>
      <c r="S120" s="1415"/>
      <c r="T120" s="1416"/>
      <c r="U120" s="1413" t="str">
        <f>IF('PIM Model'!$B$20=0,"",'PIM Model'!$B$20)</f>
        <v/>
      </c>
      <c r="V120" s="1338"/>
      <c r="W120" s="1338"/>
      <c r="X120" s="1338"/>
      <c r="Y120" s="1338"/>
      <c r="Z120" s="1338" t="str">
        <f>'PIM Model'!$AF$20</f>
        <v/>
      </c>
      <c r="AA120" s="1338"/>
      <c r="AB120" s="1338"/>
      <c r="AC120" s="1338"/>
      <c r="AD120" s="1338"/>
      <c r="AE120" s="1338"/>
      <c r="AF120" s="1406" t="str">
        <f>'PIM Model'!$AG$20</f>
        <v/>
      </c>
      <c r="AG120" s="1407"/>
      <c r="AH120" s="1407"/>
      <c r="AI120" s="1407"/>
      <c r="AJ120" s="1407"/>
      <c r="AK120" s="1407"/>
      <c r="AL120" s="1412"/>
      <c r="AM120" s="1406" t="str">
        <f>'PIM Model'!$AH$20</f>
        <v/>
      </c>
      <c r="AN120" s="1407"/>
      <c r="AO120" s="1407"/>
      <c r="AP120" s="1407"/>
      <c r="AQ120" s="1407"/>
      <c r="AR120" s="1407"/>
      <c r="AS120" s="1408"/>
      <c r="BF120" s="141"/>
    </row>
    <row r="121" spans="2:58" x14ac:dyDescent="0.25">
      <c r="B121" s="140"/>
      <c r="D121" s="1414" t="s">
        <v>93</v>
      </c>
      <c r="E121" s="1415"/>
      <c r="F121" s="1415"/>
      <c r="G121" s="1415"/>
      <c r="H121" s="1415"/>
      <c r="I121" s="1415"/>
      <c r="J121" s="1415"/>
      <c r="K121" s="1415"/>
      <c r="L121" s="1415"/>
      <c r="M121" s="1415"/>
      <c r="N121" s="1415"/>
      <c r="O121" s="1415"/>
      <c r="P121" s="1415"/>
      <c r="Q121" s="1415"/>
      <c r="R121" s="1415"/>
      <c r="S121" s="1415"/>
      <c r="T121" s="1416"/>
      <c r="U121" s="1413" t="str">
        <f>IF('PIM Model'!$B$21=0,"",'PIM Model'!$B$21)</f>
        <v/>
      </c>
      <c r="V121" s="1338"/>
      <c r="W121" s="1338"/>
      <c r="X121" s="1338"/>
      <c r="Y121" s="1338"/>
      <c r="Z121" s="1338" t="str">
        <f>'PIM Model'!$AF$21</f>
        <v/>
      </c>
      <c r="AA121" s="1338"/>
      <c r="AB121" s="1338"/>
      <c r="AC121" s="1338"/>
      <c r="AD121" s="1338"/>
      <c r="AE121" s="1338"/>
      <c r="AF121" s="1406" t="str">
        <f>'PIM Model'!$AG$21</f>
        <v/>
      </c>
      <c r="AG121" s="1407"/>
      <c r="AH121" s="1407"/>
      <c r="AI121" s="1407"/>
      <c r="AJ121" s="1407"/>
      <c r="AK121" s="1407"/>
      <c r="AL121" s="1412"/>
      <c r="AM121" s="1406" t="str">
        <f>'PIM Model'!$AH$21</f>
        <v/>
      </c>
      <c r="AN121" s="1407"/>
      <c r="AO121" s="1407"/>
      <c r="AP121" s="1407"/>
      <c r="AQ121" s="1407"/>
      <c r="AR121" s="1407"/>
      <c r="AS121" s="1408"/>
      <c r="BF121" s="141"/>
    </row>
    <row r="122" spans="2:58" x14ac:dyDescent="0.25">
      <c r="B122" s="140"/>
      <c r="D122" s="1414" t="s">
        <v>105</v>
      </c>
      <c r="E122" s="1415"/>
      <c r="F122" s="1415"/>
      <c r="G122" s="1415"/>
      <c r="H122" s="1415"/>
      <c r="I122" s="1415"/>
      <c r="J122" s="1415"/>
      <c r="K122" s="1415"/>
      <c r="L122" s="1415"/>
      <c r="M122" s="1415"/>
      <c r="N122" s="1415"/>
      <c r="O122" s="1415"/>
      <c r="P122" s="1415"/>
      <c r="Q122" s="1415"/>
      <c r="R122" s="1415"/>
      <c r="S122" s="1415"/>
      <c r="T122" s="1416"/>
      <c r="U122" s="1413" t="str">
        <f>IF('PIM Model'!$B$22=0,"",'PIM Model'!$B$22)</f>
        <v/>
      </c>
      <c r="V122" s="1338"/>
      <c r="W122" s="1338"/>
      <c r="X122" s="1338"/>
      <c r="Y122" s="1338"/>
      <c r="Z122" s="1338" t="str">
        <f>'PIM Model'!$AF$22</f>
        <v/>
      </c>
      <c r="AA122" s="1338"/>
      <c r="AB122" s="1338"/>
      <c r="AC122" s="1338"/>
      <c r="AD122" s="1338"/>
      <c r="AE122" s="1338"/>
      <c r="AF122" s="1406" t="str">
        <f>'PIM Model'!$AG$22</f>
        <v/>
      </c>
      <c r="AG122" s="1407"/>
      <c r="AH122" s="1407"/>
      <c r="AI122" s="1407"/>
      <c r="AJ122" s="1407"/>
      <c r="AK122" s="1407"/>
      <c r="AL122" s="1412"/>
      <c r="AM122" s="1406" t="str">
        <f>'PIM Model'!$AH$22</f>
        <v/>
      </c>
      <c r="AN122" s="1407"/>
      <c r="AO122" s="1407"/>
      <c r="AP122" s="1407"/>
      <c r="AQ122" s="1407"/>
      <c r="AR122" s="1407"/>
      <c r="AS122" s="1408"/>
      <c r="BF122" s="141"/>
    </row>
    <row r="123" spans="2:58" x14ac:dyDescent="0.25">
      <c r="B123" s="140"/>
      <c r="D123" s="1414" t="s">
        <v>92</v>
      </c>
      <c r="E123" s="1415"/>
      <c r="F123" s="1415"/>
      <c r="G123" s="1415"/>
      <c r="H123" s="1415"/>
      <c r="I123" s="1415"/>
      <c r="J123" s="1415"/>
      <c r="K123" s="1415"/>
      <c r="L123" s="1415"/>
      <c r="M123" s="1415"/>
      <c r="N123" s="1415"/>
      <c r="O123" s="1415"/>
      <c r="P123" s="1415"/>
      <c r="Q123" s="1415"/>
      <c r="R123" s="1415"/>
      <c r="S123" s="1415"/>
      <c r="T123" s="1416"/>
      <c r="U123" s="1413" t="str">
        <f>IF('PIM Model'!$B$23=0,"",'PIM Model'!$B$23)</f>
        <v/>
      </c>
      <c r="V123" s="1338"/>
      <c r="W123" s="1338"/>
      <c r="X123" s="1338"/>
      <c r="Y123" s="1338"/>
      <c r="Z123" s="1338" t="str">
        <f>'PIM Model'!$AF$23</f>
        <v/>
      </c>
      <c r="AA123" s="1338"/>
      <c r="AB123" s="1338"/>
      <c r="AC123" s="1338"/>
      <c r="AD123" s="1338"/>
      <c r="AE123" s="1338"/>
      <c r="AF123" s="1406" t="str">
        <f>'PIM Model'!$AG$23</f>
        <v/>
      </c>
      <c r="AG123" s="1407"/>
      <c r="AH123" s="1407"/>
      <c r="AI123" s="1407"/>
      <c r="AJ123" s="1407"/>
      <c r="AK123" s="1407"/>
      <c r="AL123" s="1412"/>
      <c r="AM123" s="1406" t="str">
        <f>'PIM Model'!$AH$23</f>
        <v/>
      </c>
      <c r="AN123" s="1407"/>
      <c r="AO123" s="1407"/>
      <c r="AP123" s="1407"/>
      <c r="AQ123" s="1407"/>
      <c r="AR123" s="1407"/>
      <c r="AS123" s="1408"/>
      <c r="BF123" s="141"/>
    </row>
    <row r="124" spans="2:58" x14ac:dyDescent="0.25">
      <c r="B124" s="140"/>
      <c r="D124" s="1414" t="s">
        <v>91</v>
      </c>
      <c r="E124" s="1415"/>
      <c r="F124" s="1415"/>
      <c r="G124" s="1415"/>
      <c r="H124" s="1415"/>
      <c r="I124" s="1415"/>
      <c r="J124" s="1415"/>
      <c r="K124" s="1415"/>
      <c r="L124" s="1415"/>
      <c r="M124" s="1415"/>
      <c r="N124" s="1415"/>
      <c r="O124" s="1415"/>
      <c r="P124" s="1415"/>
      <c r="Q124" s="1415"/>
      <c r="R124" s="1415"/>
      <c r="S124" s="1415"/>
      <c r="T124" s="1416"/>
      <c r="U124" s="1413" t="str">
        <f>IF('PIM Model'!$B$24=0,"",'PIM Model'!$B$24)</f>
        <v/>
      </c>
      <c r="V124" s="1338"/>
      <c r="W124" s="1338"/>
      <c r="X124" s="1338"/>
      <c r="Y124" s="1338"/>
      <c r="Z124" s="1338" t="str">
        <f>'PIM Model'!$AF$24</f>
        <v/>
      </c>
      <c r="AA124" s="1338"/>
      <c r="AB124" s="1338"/>
      <c r="AC124" s="1338"/>
      <c r="AD124" s="1338"/>
      <c r="AE124" s="1338"/>
      <c r="AF124" s="1406" t="str">
        <f>'PIM Model'!$AG$24</f>
        <v/>
      </c>
      <c r="AG124" s="1407"/>
      <c r="AH124" s="1407"/>
      <c r="AI124" s="1407"/>
      <c r="AJ124" s="1407"/>
      <c r="AK124" s="1407"/>
      <c r="AL124" s="1412"/>
      <c r="AM124" s="1406" t="str">
        <f>'PIM Model'!$AH$24</f>
        <v/>
      </c>
      <c r="AN124" s="1407"/>
      <c r="AO124" s="1407"/>
      <c r="AP124" s="1407"/>
      <c r="AQ124" s="1407"/>
      <c r="AR124" s="1407"/>
      <c r="AS124" s="1408"/>
      <c r="BF124" s="141"/>
    </row>
    <row r="125" spans="2:58" x14ac:dyDescent="0.25">
      <c r="B125" s="140"/>
      <c r="D125" s="1414" t="s">
        <v>90</v>
      </c>
      <c r="E125" s="1415"/>
      <c r="F125" s="1415"/>
      <c r="G125" s="1415"/>
      <c r="H125" s="1415"/>
      <c r="I125" s="1415"/>
      <c r="J125" s="1415"/>
      <c r="K125" s="1415"/>
      <c r="L125" s="1415"/>
      <c r="M125" s="1415"/>
      <c r="N125" s="1415"/>
      <c r="O125" s="1415"/>
      <c r="P125" s="1415"/>
      <c r="Q125" s="1415"/>
      <c r="R125" s="1415"/>
      <c r="S125" s="1415"/>
      <c r="T125" s="1416"/>
      <c r="U125" s="1413" t="str">
        <f>IF('PIM Model'!$B$25=0,"",'PIM Model'!$B$25)</f>
        <v/>
      </c>
      <c r="V125" s="1338"/>
      <c r="W125" s="1338"/>
      <c r="X125" s="1338"/>
      <c r="Y125" s="1338"/>
      <c r="Z125" s="1338" t="str">
        <f>'PIM Model'!$AF$25</f>
        <v/>
      </c>
      <c r="AA125" s="1338"/>
      <c r="AB125" s="1338"/>
      <c r="AC125" s="1338"/>
      <c r="AD125" s="1338"/>
      <c r="AE125" s="1338"/>
      <c r="AF125" s="1406" t="str">
        <f>'PIM Model'!$AG$25</f>
        <v/>
      </c>
      <c r="AG125" s="1407"/>
      <c r="AH125" s="1407"/>
      <c r="AI125" s="1407"/>
      <c r="AJ125" s="1407"/>
      <c r="AK125" s="1407"/>
      <c r="AL125" s="1412"/>
      <c r="AM125" s="1406" t="str">
        <f>'PIM Model'!$AH$25</f>
        <v/>
      </c>
      <c r="AN125" s="1407"/>
      <c r="AO125" s="1407"/>
      <c r="AP125" s="1407"/>
      <c r="AQ125" s="1407"/>
      <c r="AR125" s="1407"/>
      <c r="AS125" s="1408"/>
      <c r="BF125" s="141"/>
    </row>
    <row r="126" spans="2:58" x14ac:dyDescent="0.25">
      <c r="B126" s="140"/>
      <c r="D126" s="1414" t="s">
        <v>89</v>
      </c>
      <c r="E126" s="1415"/>
      <c r="F126" s="1415"/>
      <c r="G126" s="1415"/>
      <c r="H126" s="1415"/>
      <c r="I126" s="1415"/>
      <c r="J126" s="1415"/>
      <c r="K126" s="1415"/>
      <c r="L126" s="1415"/>
      <c r="M126" s="1415"/>
      <c r="N126" s="1415"/>
      <c r="O126" s="1415"/>
      <c r="P126" s="1415"/>
      <c r="Q126" s="1415"/>
      <c r="R126" s="1415"/>
      <c r="S126" s="1415"/>
      <c r="T126" s="1416"/>
      <c r="U126" s="1413" t="str">
        <f>IF('PIM Model'!$B$26=0,"",'PIM Model'!$B$26)</f>
        <v/>
      </c>
      <c r="V126" s="1338"/>
      <c r="W126" s="1338"/>
      <c r="X126" s="1338"/>
      <c r="Y126" s="1338"/>
      <c r="Z126" s="1338" t="str">
        <f>'PIM Model'!$AF$26</f>
        <v/>
      </c>
      <c r="AA126" s="1338"/>
      <c r="AB126" s="1338"/>
      <c r="AC126" s="1338"/>
      <c r="AD126" s="1338"/>
      <c r="AE126" s="1338"/>
      <c r="AF126" s="1406" t="str">
        <f>'PIM Model'!$AG$26</f>
        <v/>
      </c>
      <c r="AG126" s="1407"/>
      <c r="AH126" s="1407"/>
      <c r="AI126" s="1407"/>
      <c r="AJ126" s="1407"/>
      <c r="AK126" s="1407"/>
      <c r="AL126" s="1412"/>
      <c r="AM126" s="1406" t="str">
        <f>'PIM Model'!$AH$26</f>
        <v/>
      </c>
      <c r="AN126" s="1407"/>
      <c r="AO126" s="1407"/>
      <c r="AP126" s="1407"/>
      <c r="AQ126" s="1407"/>
      <c r="AR126" s="1407"/>
      <c r="AS126" s="1408"/>
      <c r="BF126" s="141"/>
    </row>
    <row r="127" spans="2:58" x14ac:dyDescent="0.25">
      <c r="B127" s="140"/>
      <c r="D127" s="1414" t="s">
        <v>94</v>
      </c>
      <c r="E127" s="1415"/>
      <c r="F127" s="1415"/>
      <c r="G127" s="1415"/>
      <c r="H127" s="1415"/>
      <c r="I127" s="1415"/>
      <c r="J127" s="1415"/>
      <c r="K127" s="1415"/>
      <c r="L127" s="1415"/>
      <c r="M127" s="1415"/>
      <c r="N127" s="1415"/>
      <c r="O127" s="1415"/>
      <c r="P127" s="1415"/>
      <c r="Q127" s="1415"/>
      <c r="R127" s="1415"/>
      <c r="S127" s="1415"/>
      <c r="T127" s="1416"/>
      <c r="U127" s="1413" t="str">
        <f>IF('PIM Model'!$B$27=0,"",'PIM Model'!$B$27)</f>
        <v/>
      </c>
      <c r="V127" s="1338"/>
      <c r="W127" s="1338"/>
      <c r="X127" s="1338"/>
      <c r="Y127" s="1338"/>
      <c r="Z127" s="1338" t="str">
        <f>'PIM Model'!$AF$27</f>
        <v/>
      </c>
      <c r="AA127" s="1338"/>
      <c r="AB127" s="1338"/>
      <c r="AC127" s="1338"/>
      <c r="AD127" s="1338"/>
      <c r="AE127" s="1338"/>
      <c r="AF127" s="1406" t="str">
        <f>'PIM Model'!$AG$27</f>
        <v/>
      </c>
      <c r="AG127" s="1407"/>
      <c r="AH127" s="1407"/>
      <c r="AI127" s="1407"/>
      <c r="AJ127" s="1407"/>
      <c r="AK127" s="1407"/>
      <c r="AL127" s="1412"/>
      <c r="AM127" s="1406" t="str">
        <f>'PIM Model'!$AH$27</f>
        <v/>
      </c>
      <c r="AN127" s="1407"/>
      <c r="AO127" s="1407"/>
      <c r="AP127" s="1407"/>
      <c r="AQ127" s="1407"/>
      <c r="AR127" s="1407"/>
      <c r="AS127" s="1408"/>
      <c r="BF127" s="141"/>
    </row>
    <row r="128" spans="2:58" x14ac:dyDescent="0.25">
      <c r="B128" s="140"/>
      <c r="D128" s="1414" t="s">
        <v>86</v>
      </c>
      <c r="E128" s="1415"/>
      <c r="F128" s="1415"/>
      <c r="G128" s="1415"/>
      <c r="H128" s="1415"/>
      <c r="I128" s="1415"/>
      <c r="J128" s="1415"/>
      <c r="K128" s="1415"/>
      <c r="L128" s="1415"/>
      <c r="M128" s="1415"/>
      <c r="N128" s="1415"/>
      <c r="O128" s="1415"/>
      <c r="P128" s="1415"/>
      <c r="Q128" s="1415"/>
      <c r="R128" s="1415"/>
      <c r="S128" s="1415"/>
      <c r="T128" s="1416"/>
      <c r="U128" s="1413" t="str">
        <f>IF('PIM Model'!$B$28=0,"",'PIM Model'!$B$28)</f>
        <v/>
      </c>
      <c r="V128" s="1338"/>
      <c r="W128" s="1338"/>
      <c r="X128" s="1338"/>
      <c r="Y128" s="1338"/>
      <c r="Z128" s="1338" t="str">
        <f>'PIM Model'!$AF$28</f>
        <v/>
      </c>
      <c r="AA128" s="1338"/>
      <c r="AB128" s="1338"/>
      <c r="AC128" s="1338"/>
      <c r="AD128" s="1338"/>
      <c r="AE128" s="1338"/>
      <c r="AF128" s="1406" t="str">
        <f>'PIM Model'!$AG$28</f>
        <v/>
      </c>
      <c r="AG128" s="1407"/>
      <c r="AH128" s="1407"/>
      <c r="AI128" s="1407"/>
      <c r="AJ128" s="1407"/>
      <c r="AK128" s="1407"/>
      <c r="AL128" s="1412"/>
      <c r="AM128" s="1406" t="str">
        <f>'PIM Model'!$AH$28</f>
        <v/>
      </c>
      <c r="AN128" s="1407"/>
      <c r="AO128" s="1407"/>
      <c r="AP128" s="1407"/>
      <c r="AQ128" s="1407"/>
      <c r="AR128" s="1407"/>
      <c r="AS128" s="1408"/>
      <c r="BF128" s="141"/>
    </row>
    <row r="129" spans="2:58" x14ac:dyDescent="0.25">
      <c r="B129" s="140"/>
      <c r="D129" s="1414" t="s">
        <v>88</v>
      </c>
      <c r="E129" s="1415"/>
      <c r="F129" s="1415"/>
      <c r="G129" s="1415"/>
      <c r="H129" s="1415"/>
      <c r="I129" s="1415"/>
      <c r="J129" s="1415"/>
      <c r="K129" s="1415"/>
      <c r="L129" s="1415"/>
      <c r="M129" s="1415"/>
      <c r="N129" s="1415"/>
      <c r="O129" s="1415"/>
      <c r="P129" s="1415"/>
      <c r="Q129" s="1415"/>
      <c r="R129" s="1415"/>
      <c r="S129" s="1415"/>
      <c r="T129" s="1416"/>
      <c r="U129" s="1413" t="str">
        <f>IF('PIM Model'!$B$29=0,"",'PIM Model'!$B$29)</f>
        <v/>
      </c>
      <c r="V129" s="1338"/>
      <c r="W129" s="1338"/>
      <c r="X129" s="1338"/>
      <c r="Y129" s="1338"/>
      <c r="Z129" s="1338" t="str">
        <f>'PIM Model'!$AF$29</f>
        <v/>
      </c>
      <c r="AA129" s="1338"/>
      <c r="AB129" s="1338"/>
      <c r="AC129" s="1338"/>
      <c r="AD129" s="1338"/>
      <c r="AE129" s="1338"/>
      <c r="AF129" s="1406" t="str">
        <f>'PIM Model'!$AG$29</f>
        <v/>
      </c>
      <c r="AG129" s="1407"/>
      <c r="AH129" s="1407"/>
      <c r="AI129" s="1407"/>
      <c r="AJ129" s="1407"/>
      <c r="AK129" s="1407"/>
      <c r="AL129" s="1412"/>
      <c r="AM129" s="1406" t="str">
        <f>'PIM Model'!$AH$29</f>
        <v/>
      </c>
      <c r="AN129" s="1407"/>
      <c r="AO129" s="1407"/>
      <c r="AP129" s="1407"/>
      <c r="AQ129" s="1407"/>
      <c r="AR129" s="1407"/>
      <c r="AS129" s="1408"/>
      <c r="BF129" s="141"/>
    </row>
    <row r="130" spans="2:58" ht="15.75" thickBot="1" x14ac:dyDescent="0.3">
      <c r="B130" s="140"/>
      <c r="D130" s="1420" t="s">
        <v>87</v>
      </c>
      <c r="E130" s="1421"/>
      <c r="F130" s="1421"/>
      <c r="G130" s="1421"/>
      <c r="H130" s="1421"/>
      <c r="I130" s="1421"/>
      <c r="J130" s="1421"/>
      <c r="K130" s="1421"/>
      <c r="L130" s="1421"/>
      <c r="M130" s="1421"/>
      <c r="N130" s="1421"/>
      <c r="O130" s="1421"/>
      <c r="P130" s="1421"/>
      <c r="Q130" s="1421"/>
      <c r="R130" s="1421"/>
      <c r="S130" s="1421"/>
      <c r="T130" s="1422"/>
      <c r="U130" s="1417" t="str">
        <f>IF('PIM Model'!$B$30=0,"",'PIM Model'!$B$30)</f>
        <v/>
      </c>
      <c r="V130" s="1410"/>
      <c r="W130" s="1410"/>
      <c r="X130" s="1410"/>
      <c r="Y130" s="1410"/>
      <c r="Z130" s="1410" t="str">
        <f>'PIM Model'!$AF$30</f>
        <v/>
      </c>
      <c r="AA130" s="1410"/>
      <c r="AB130" s="1410"/>
      <c r="AC130" s="1410"/>
      <c r="AD130" s="1410"/>
      <c r="AE130" s="1410"/>
      <c r="AF130" s="1398" t="str">
        <f>'PIM Model'!$AG$30</f>
        <v/>
      </c>
      <c r="AG130" s="1399"/>
      <c r="AH130" s="1399"/>
      <c r="AI130" s="1399"/>
      <c r="AJ130" s="1399"/>
      <c r="AK130" s="1399"/>
      <c r="AL130" s="1400"/>
      <c r="AM130" s="1398" t="str">
        <f>'PIM Model'!$AH$30</f>
        <v/>
      </c>
      <c r="AN130" s="1399"/>
      <c r="AO130" s="1399"/>
      <c r="AP130" s="1399"/>
      <c r="AQ130" s="1399"/>
      <c r="AR130" s="1399"/>
      <c r="AS130" s="1409"/>
      <c r="BF130" s="141"/>
    </row>
    <row r="131" spans="2:58" ht="16.5" thickTop="1" thickBot="1" x14ac:dyDescent="0.3">
      <c r="B131" s="140"/>
      <c r="D131" s="1389" t="s">
        <v>1042</v>
      </c>
      <c r="E131" s="1390"/>
      <c r="F131" s="1390"/>
      <c r="G131" s="1390"/>
      <c r="H131" s="1390"/>
      <c r="I131" s="1390"/>
      <c r="J131" s="1390"/>
      <c r="K131" s="1390"/>
      <c r="L131" s="1390"/>
      <c r="M131" s="1390"/>
      <c r="N131" s="1390"/>
      <c r="O131" s="1390"/>
      <c r="P131" s="1390"/>
      <c r="Q131" s="1390"/>
      <c r="R131" s="1390"/>
      <c r="S131" s="1390"/>
      <c r="T131" s="1391"/>
      <c r="U131" s="1392">
        <f>COUNT($U$110:$Y$130)</f>
        <v>0</v>
      </c>
      <c r="V131" s="1393"/>
      <c r="W131" s="1393"/>
      <c r="X131" s="1393"/>
      <c r="Y131" s="1393"/>
      <c r="Z131" s="1390">
        <f>COUNTIF($Z$110:$AE$130,"ABOVE")+COUNTIF($Z$110:$AE$130,"BELOW")</f>
        <v>0</v>
      </c>
      <c r="AA131" s="1390"/>
      <c r="AB131" s="1390"/>
      <c r="AC131" s="1390"/>
      <c r="AD131" s="1390"/>
      <c r="AE131" s="1390"/>
      <c r="AF131" s="1394"/>
      <c r="AG131" s="1395"/>
      <c r="AH131" s="1395"/>
      <c r="AI131" s="1395"/>
      <c r="AJ131" s="1395"/>
      <c r="AK131" s="1395"/>
      <c r="AL131" s="1396"/>
      <c r="AM131" s="1394"/>
      <c r="AN131" s="1395"/>
      <c r="AO131" s="1395"/>
      <c r="AP131" s="1395"/>
      <c r="AQ131" s="1395"/>
      <c r="AR131" s="1395"/>
      <c r="AS131" s="1397"/>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8">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29">
        <f>'MDA Worksheet'!$AU$48</f>
        <v>2.25</v>
      </c>
      <c r="K3" s="1048">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29">
        <f>'MDA Worksheet'!$AU$48</f>
        <v>2.25</v>
      </c>
      <c r="K4" s="1048">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29">
        <f>'MDA Worksheet'!$AU$48</f>
        <v>2.25</v>
      </c>
      <c r="K5" s="1048">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29">
        <f>'MDA Worksheet'!$AU$48</f>
        <v>2.25</v>
      </c>
      <c r="K6" s="1048">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29">
        <f>'MDA Worksheet'!$AU$48</f>
        <v>2.25</v>
      </c>
      <c r="K7" s="1048">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29">
        <f>'MDA Worksheet'!$AU$48</f>
        <v>2.25</v>
      </c>
      <c r="K8" s="1048">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29">
        <f>'MDA Worksheet'!$AU$48</f>
        <v>2.25</v>
      </c>
      <c r="K9" s="1048">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29">
        <f>'MDA Worksheet'!$AU$48</f>
        <v>2.25</v>
      </c>
      <c r="K10" s="1048">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29">
        <f>'MDA Worksheet'!$AU$48</f>
        <v>2.25</v>
      </c>
      <c r="K11" s="1048">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29">
        <f>'MDA Worksheet'!$AU$48</f>
        <v>2.25</v>
      </c>
      <c r="K12" s="1048">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29">
        <f>'MDA Worksheet'!$AU$48</f>
        <v>2.25</v>
      </c>
      <c r="K13" s="1048">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29">
        <f>'MDA Worksheet'!$AU$48</f>
        <v>2.25</v>
      </c>
      <c r="K14" s="1048">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29">
        <f>'MDA Worksheet'!$AU$48</f>
        <v>2.25</v>
      </c>
      <c r="K15" s="1048">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29">
        <f>'MDA Worksheet'!$AU$48</f>
        <v>2.25</v>
      </c>
      <c r="K16" s="1048">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29">
        <f>'MDA Worksheet'!$AU$48</f>
        <v>2.25</v>
      </c>
      <c r="K17" s="1048">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29">
        <f>'MDA Worksheet'!$AU$48</f>
        <v>2.25</v>
      </c>
      <c r="K18" s="1048">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29">
        <f>'MDA Worksheet'!$AU$48</f>
        <v>2.25</v>
      </c>
      <c r="K19" s="1048">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29">
        <f>'MDA Worksheet'!$AU$48</f>
        <v>2.25</v>
      </c>
      <c r="K20" s="1048">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29">
        <f>'MDA Worksheet'!$AU$48</f>
        <v>2.25</v>
      </c>
      <c r="K21" s="1048">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29">
        <f>'MDA Worksheet'!$AU$48</f>
        <v>2.25</v>
      </c>
      <c r="K22" s="1048">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29">
        <f>'MDA Worksheet'!$AU$48</f>
        <v>2.25</v>
      </c>
      <c r="K23" s="1048">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29">
        <f>'MDA Worksheet'!$AU$48</f>
        <v>2.25</v>
      </c>
      <c r="K24" s="1048">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29">
        <f>'MDA Worksheet'!$AU$48</f>
        <v>2.25</v>
      </c>
      <c r="K25" s="1048">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29">
        <f>'MDA Worksheet'!$AU$48</f>
        <v>2.25</v>
      </c>
      <c r="K26" s="1048">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29">
        <f>'MDA Worksheet'!$AU$48</f>
        <v>2.25</v>
      </c>
      <c r="K27" s="1048">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29">
        <f>'MDA Worksheet'!$AU$48</f>
        <v>2.25</v>
      </c>
      <c r="K28" s="1048">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29">
        <f>'MDA Worksheet'!$AU$48</f>
        <v>2.25</v>
      </c>
      <c r="K29" s="1048">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29">
        <f>'MDA Worksheet'!$AU$48</f>
        <v>2.25</v>
      </c>
      <c r="K30" s="1048">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29">
        <f>'MDA Worksheet'!$AU$48</f>
        <v>2.25</v>
      </c>
      <c r="K31" s="1048">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29">
        <f>'MDA Worksheet'!$AU$48</f>
        <v>2.25</v>
      </c>
      <c r="K32" s="1048">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29">
        <f>'MDA Worksheet'!$AU$48</f>
        <v>2.25</v>
      </c>
      <c r="K33" s="1048">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29">
        <f>'MDA Worksheet'!$AU$48</f>
        <v>2.25</v>
      </c>
      <c r="K34" s="1048">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29">
        <f>'MDA Worksheet'!$AU$48</f>
        <v>2.25</v>
      </c>
      <c r="K35" s="1048">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29">
        <f>'MDA Worksheet'!$AU$48</f>
        <v>2.25</v>
      </c>
      <c r="K36" s="1048">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29">
        <f>'MDA Worksheet'!$AU$48</f>
        <v>2.25</v>
      </c>
      <c r="K37" s="1048">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29">
        <f>'MDA Worksheet'!$AU$48</f>
        <v>2.25</v>
      </c>
      <c r="K38" s="1048">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29">
        <f>'MDA Worksheet'!$AU$48</f>
        <v>2.25</v>
      </c>
      <c r="K39" s="1048">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29">
        <f>'MDA Worksheet'!$AU$48</f>
        <v>2.25</v>
      </c>
      <c r="K40" s="1048">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29">
        <f>'MDA Worksheet'!$AU$48</f>
        <v>2.25</v>
      </c>
      <c r="K41" s="1048">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29">
        <f>'MDA Worksheet'!$AU$48</f>
        <v>2.25</v>
      </c>
      <c r="K42" s="1048">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29">
        <f>'MDA Worksheet'!$AU$48</f>
        <v>2.25</v>
      </c>
      <c r="K43" s="1048">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29">
        <f>'MDA Worksheet'!$AU$48</f>
        <v>2.25</v>
      </c>
      <c r="K44" s="1048">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29">
        <f>'MDA Worksheet'!$AU$48</f>
        <v>2.25</v>
      </c>
      <c r="K45" s="1048">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29">
        <f>'MDA Worksheet'!$AU$48</f>
        <v>2.25</v>
      </c>
      <c r="K46" s="1048">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29">
        <f>'MDA Worksheet'!$AU$48</f>
        <v>2.25</v>
      </c>
      <c r="K47" s="1048">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29">
        <f>'MDA Worksheet'!$AU$48</f>
        <v>2.25</v>
      </c>
      <c r="K48" s="1048">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29">
        <f>'MDA Worksheet'!$AU$48</f>
        <v>2.25</v>
      </c>
      <c r="K49" s="1048">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29">
        <f>'MDA Worksheet'!$AU$48</f>
        <v>2.25</v>
      </c>
      <c r="K50" s="1048">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29">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29">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29">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29">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29">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29">
        <f>'MDA Worksheet'!$AU$48</f>
        <v>2.25</v>
      </c>
      <c r="K56" s="1048">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29">
        <f>'MDA Worksheet'!$AU$48</f>
        <v>2.25</v>
      </c>
      <c r="K57" s="1048">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29">
        <f>'MDA Worksheet'!$AU$48</f>
        <v>2.25</v>
      </c>
      <c r="K58" s="1048">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29">
        <f>'MDA Worksheet'!$AU$48</f>
        <v>2.25</v>
      </c>
      <c r="K59" s="1048">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29">
        <f>'MDA Worksheet'!$AU$48</f>
        <v>2.25</v>
      </c>
      <c r="K60" s="1048">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29">
        <f>'MDA Worksheet'!$AU$48</f>
        <v>2.25</v>
      </c>
      <c r="K61" s="1048">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29">
        <f>'MDA Worksheet'!$AU$48</f>
        <v>2.25</v>
      </c>
      <c r="K62" s="1048">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29">
        <f>'MDA Worksheet'!$AU$48</f>
        <v>2.25</v>
      </c>
      <c r="K63" s="1048">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29">
        <f>'MDA Worksheet'!$AU$48</f>
        <v>2.25</v>
      </c>
      <c r="K64" s="1048">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29">
        <f>'MDA Worksheet'!$AU$48</f>
        <v>2.25</v>
      </c>
      <c r="K65" s="1048">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29">
        <f>'MDA Worksheet'!$AU$48</f>
        <v>2.25</v>
      </c>
      <c r="K66" s="1048">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29">
        <f>'MDA Worksheet'!$AU$48</f>
        <v>2.25</v>
      </c>
      <c r="K67" s="1048">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29">
        <f>'MDA Worksheet'!$AU$48</f>
        <v>2.25</v>
      </c>
      <c r="K68" s="1048">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29">
        <f>'MDA Worksheet'!$AU$48</f>
        <v>2.25</v>
      </c>
      <c r="K69" s="1048">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29">
        <f>'MDA Worksheet'!$AU$48</f>
        <v>2.25</v>
      </c>
      <c r="K70" s="1048">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29">
        <f>'MDA Worksheet'!$AU$48</f>
        <v>2.25</v>
      </c>
      <c r="K71" s="1048">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29">
        <f>'MDA Worksheet'!$AU$48</f>
        <v>2.25</v>
      </c>
      <c r="K72" s="1048">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29">
        <f>'MDA Worksheet'!$AU$48</f>
        <v>2.25</v>
      </c>
      <c r="K73" s="1048">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29">
        <f>'MDA Worksheet'!$AU$48</f>
        <v>2.25</v>
      </c>
      <c r="K74" s="1048">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29">
        <f>'MDA Worksheet'!$AU$48</f>
        <v>2.25</v>
      </c>
      <c r="K75" s="1048">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29">
        <f>'MDA Worksheet'!$AU$48</f>
        <v>2.25</v>
      </c>
      <c r="K76" s="1048">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8" t="s">
        <v>1066</v>
      </c>
      <c r="C2" s="1509"/>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6" t="s">
        <v>874</v>
      </c>
      <c r="C6" s="1507"/>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6" t="s">
        <v>875</v>
      </c>
      <c r="C13" s="1507"/>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49">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A23" sqref="A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30" width="36.7109375" style="994" customWidth="1"/>
    <col min="31" max="16384" width="9.140625" style="994"/>
  </cols>
  <sheetData>
    <row r="1" spans="1:30"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c r="AD1" s="781" t="s">
        <v>1504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8" t="s">
        <v>137</v>
      </c>
      <c r="B2" s="1152" t="s">
        <v>13</v>
      </c>
      <c r="C2" s="1152" t="s">
        <v>386</v>
      </c>
      <c r="D2" s="1152" t="s">
        <v>12</v>
      </c>
      <c r="E2" s="1150">
        <v>2140</v>
      </c>
      <c r="F2" s="1150" t="s">
        <v>137</v>
      </c>
      <c r="G2" s="1152" t="s">
        <v>13</v>
      </c>
    </row>
    <row r="3" spans="1:7" x14ac:dyDescent="0.25">
      <c r="A3" s="1168" t="s">
        <v>138</v>
      </c>
      <c r="B3" s="1152" t="s">
        <v>18</v>
      </c>
      <c r="C3" s="1152" t="s">
        <v>1243</v>
      </c>
      <c r="D3" s="1152" t="s">
        <v>56</v>
      </c>
      <c r="E3" s="1150">
        <v>1933</v>
      </c>
      <c r="F3" s="1150" t="s">
        <v>138</v>
      </c>
      <c r="G3" s="1152" t="s">
        <v>18</v>
      </c>
    </row>
    <row r="4" spans="1:7" x14ac:dyDescent="0.25">
      <c r="A4" s="1168" t="s">
        <v>189</v>
      </c>
      <c r="B4" s="1152" t="s">
        <v>13</v>
      </c>
      <c r="C4" s="1152" t="s">
        <v>383</v>
      </c>
      <c r="D4" s="1152" t="s">
        <v>33</v>
      </c>
      <c r="E4" s="1150">
        <v>2110</v>
      </c>
      <c r="F4" s="1150" t="s">
        <v>189</v>
      </c>
      <c r="G4" s="1152" t="s">
        <v>13</v>
      </c>
    </row>
    <row r="5" spans="1:7" x14ac:dyDescent="0.25">
      <c r="A5" s="1168" t="s">
        <v>1228</v>
      </c>
      <c r="B5" s="1152" t="s">
        <v>18</v>
      </c>
      <c r="C5" s="1152" t="s">
        <v>1229</v>
      </c>
      <c r="D5" s="1152" t="s">
        <v>1229</v>
      </c>
      <c r="E5" s="1150">
        <v>4190</v>
      </c>
      <c r="F5" s="1150" t="s">
        <v>1228</v>
      </c>
      <c r="G5" s="1152" t="s">
        <v>18</v>
      </c>
    </row>
    <row r="6" spans="1:7" x14ac:dyDescent="0.25">
      <c r="A6" s="1168" t="s">
        <v>160</v>
      </c>
      <c r="B6" s="1152" t="s">
        <v>8</v>
      </c>
      <c r="C6" s="1152" t="s">
        <v>388</v>
      </c>
      <c r="D6" s="1152" t="s">
        <v>5</v>
      </c>
      <c r="E6" s="1150">
        <v>2220</v>
      </c>
      <c r="F6" s="1150" t="s">
        <v>160</v>
      </c>
      <c r="G6" s="1152" t="s">
        <v>8</v>
      </c>
    </row>
    <row r="7" spans="1:7" x14ac:dyDescent="0.25">
      <c r="A7" s="1168" t="s">
        <v>144</v>
      </c>
      <c r="B7" s="1152" t="s">
        <v>1484</v>
      </c>
      <c r="C7" s="1152" t="s">
        <v>389</v>
      </c>
      <c r="D7" s="1152" t="s">
        <v>42</v>
      </c>
      <c r="E7" s="1150">
        <v>3023</v>
      </c>
      <c r="F7" s="1150" t="s">
        <v>144</v>
      </c>
      <c r="G7" s="1152" t="s">
        <v>1484</v>
      </c>
    </row>
    <row r="8" spans="1:7" x14ac:dyDescent="0.25">
      <c r="A8" s="1168" t="s">
        <v>1230</v>
      </c>
      <c r="B8" s="1152" t="s">
        <v>18</v>
      </c>
      <c r="C8" s="1152" t="s">
        <v>397</v>
      </c>
      <c r="D8" s="1152" t="s">
        <v>1231</v>
      </c>
      <c r="E8" s="1150">
        <v>3310</v>
      </c>
      <c r="F8" s="1150" t="s">
        <v>1230</v>
      </c>
      <c r="G8" s="1152" t="s">
        <v>18</v>
      </c>
    </row>
    <row r="9" spans="1:7" x14ac:dyDescent="0.25">
      <c r="A9" s="1168" t="s">
        <v>180</v>
      </c>
      <c r="B9" s="1152" t="s">
        <v>1484</v>
      </c>
      <c r="C9" s="1152" t="s">
        <v>1102</v>
      </c>
      <c r="D9" s="1152" t="s">
        <v>915</v>
      </c>
      <c r="E9" s="1150">
        <v>2345</v>
      </c>
      <c r="F9" s="1150" t="s">
        <v>180</v>
      </c>
      <c r="G9" s="1152" t="s">
        <v>1484</v>
      </c>
    </row>
    <row r="10" spans="1:7" x14ac:dyDescent="0.25">
      <c r="A10" s="1168" t="s">
        <v>141</v>
      </c>
      <c r="B10" s="1152" t="s">
        <v>8</v>
      </c>
      <c r="C10" s="1152" t="s">
        <v>395</v>
      </c>
      <c r="D10" s="1152" t="s">
        <v>29</v>
      </c>
      <c r="E10" s="1150">
        <v>3135</v>
      </c>
      <c r="F10" s="1150" t="s">
        <v>141</v>
      </c>
      <c r="G10" s="1152" t="s">
        <v>8</v>
      </c>
    </row>
    <row r="11" spans="1:7" x14ac:dyDescent="0.25">
      <c r="A11" s="1168" t="s">
        <v>186</v>
      </c>
      <c r="B11" s="1152" t="s">
        <v>13</v>
      </c>
      <c r="C11" s="1152" t="s">
        <v>1108</v>
      </c>
      <c r="D11" s="1152" t="s">
        <v>64</v>
      </c>
      <c r="E11" s="1150">
        <v>2148</v>
      </c>
      <c r="F11" s="1150" t="s">
        <v>186</v>
      </c>
      <c r="G11" s="1152" t="s">
        <v>13</v>
      </c>
    </row>
    <row r="12" spans="1:7" x14ac:dyDescent="0.25">
      <c r="A12" s="1168" t="s">
        <v>185</v>
      </c>
      <c r="B12" s="1152" t="s">
        <v>13</v>
      </c>
      <c r="C12" s="1152" t="s">
        <v>386</v>
      </c>
      <c r="D12" s="1152" t="s">
        <v>19</v>
      </c>
      <c r="E12" s="1150">
        <v>2190</v>
      </c>
      <c r="F12" s="1150" t="s">
        <v>185</v>
      </c>
      <c r="G12" s="1152" t="s">
        <v>13</v>
      </c>
    </row>
    <row r="13" spans="1:7" x14ac:dyDescent="0.25">
      <c r="A13" s="1168" t="s">
        <v>162</v>
      </c>
      <c r="B13" s="1152" t="s">
        <v>8</v>
      </c>
      <c r="C13" s="1152" t="s">
        <v>396</v>
      </c>
      <c r="D13" s="1152" t="s">
        <v>121</v>
      </c>
      <c r="E13" s="1150">
        <v>2210</v>
      </c>
      <c r="F13" s="1150" t="s">
        <v>162</v>
      </c>
      <c r="G13" s="1152" t="s">
        <v>8</v>
      </c>
    </row>
    <row r="14" spans="1:7" x14ac:dyDescent="0.25">
      <c r="A14" s="1168" t="s">
        <v>174</v>
      </c>
      <c r="B14" s="1152" t="s">
        <v>1484</v>
      </c>
      <c r="C14" s="1152" t="s">
        <v>194</v>
      </c>
      <c r="D14" s="1152" t="s">
        <v>58</v>
      </c>
      <c r="E14" s="1150">
        <v>2099</v>
      </c>
      <c r="F14" s="1150" t="s">
        <v>174</v>
      </c>
      <c r="G14" s="1152" t="s">
        <v>1484</v>
      </c>
    </row>
    <row r="15" spans="1:7" x14ac:dyDescent="0.25">
      <c r="A15" s="1168" t="s">
        <v>175</v>
      </c>
      <c r="B15" s="1152" t="s">
        <v>13</v>
      </c>
      <c r="C15" s="1152" t="s">
        <v>195</v>
      </c>
      <c r="D15" s="1152" t="s">
        <v>22</v>
      </c>
      <c r="E15" s="1150">
        <v>1103</v>
      </c>
      <c r="F15" s="1150" t="s">
        <v>175</v>
      </c>
      <c r="G15" s="1152" t="s">
        <v>13</v>
      </c>
    </row>
    <row r="16" spans="1:7" x14ac:dyDescent="0.25">
      <c r="A16" s="1168" t="s">
        <v>173</v>
      </c>
      <c r="B16" s="1152" t="s">
        <v>13</v>
      </c>
      <c r="C16" s="1152" t="s">
        <v>196</v>
      </c>
      <c r="D16" s="1152" t="s">
        <v>43</v>
      </c>
      <c r="E16" s="1150">
        <v>1104</v>
      </c>
      <c r="F16" s="1150" t="s">
        <v>173</v>
      </c>
      <c r="G16" s="1152" t="s">
        <v>13</v>
      </c>
    </row>
    <row r="17" spans="1:7" x14ac:dyDescent="0.25">
      <c r="A17" s="1168" t="s">
        <v>163</v>
      </c>
      <c r="B17" s="1152" t="s">
        <v>8</v>
      </c>
      <c r="C17" s="1152" t="s">
        <v>394</v>
      </c>
      <c r="D17" s="1152" t="s">
        <v>10</v>
      </c>
      <c r="E17" s="1150">
        <v>2260</v>
      </c>
      <c r="F17" s="1150" t="s">
        <v>163</v>
      </c>
      <c r="G17" s="1152" t="s">
        <v>8</v>
      </c>
    </row>
    <row r="18" spans="1:7" x14ac:dyDescent="0.25">
      <c r="A18" s="1168" t="s">
        <v>192</v>
      </c>
      <c r="B18" s="1152" t="s">
        <v>13</v>
      </c>
      <c r="C18" s="1152" t="s">
        <v>61</v>
      </c>
      <c r="D18" s="1152" t="s">
        <v>914</v>
      </c>
      <c r="E18" s="1150">
        <v>2020</v>
      </c>
      <c r="F18" s="1150" t="s">
        <v>192</v>
      </c>
      <c r="G18" s="1152" t="s">
        <v>13</v>
      </c>
    </row>
    <row r="19" spans="1:7" x14ac:dyDescent="0.25">
      <c r="A19" s="1168" t="s">
        <v>165</v>
      </c>
      <c r="B19" s="1152" t="s">
        <v>18</v>
      </c>
      <c r="C19" s="1152" t="s">
        <v>400</v>
      </c>
      <c r="D19" s="1152" t="s">
        <v>55</v>
      </c>
      <c r="E19" s="1150">
        <v>4150</v>
      </c>
      <c r="F19" s="1150" t="s">
        <v>165</v>
      </c>
      <c r="G19" s="1152" t="s">
        <v>18</v>
      </c>
    </row>
    <row r="20" spans="1:7" x14ac:dyDescent="0.25">
      <c r="A20" s="1168" t="s">
        <v>146</v>
      </c>
      <c r="B20" s="1152" t="s">
        <v>1484</v>
      </c>
      <c r="C20" s="1152" t="s">
        <v>390</v>
      </c>
      <c r="D20" s="1152" t="s">
        <v>26</v>
      </c>
      <c r="E20" s="1150">
        <v>3150</v>
      </c>
      <c r="F20" s="1150" t="s">
        <v>146</v>
      </c>
      <c r="G20" s="1152" t="s">
        <v>1484</v>
      </c>
    </row>
    <row r="21" spans="1:7" x14ac:dyDescent="0.25">
      <c r="A21" s="1168" t="s">
        <v>1232</v>
      </c>
      <c r="B21" s="1152" t="s">
        <v>1484</v>
      </c>
      <c r="C21" s="1152" t="s">
        <v>399</v>
      </c>
      <c r="D21" s="1152" t="s">
        <v>1233</v>
      </c>
      <c r="E21" s="1150">
        <v>3340</v>
      </c>
      <c r="F21" s="1150" t="s">
        <v>1232</v>
      </c>
      <c r="G21" s="1152" t="s">
        <v>1484</v>
      </c>
    </row>
    <row r="22" spans="1:7" x14ac:dyDescent="0.25">
      <c r="A22" s="1168" t="s">
        <v>147</v>
      </c>
      <c r="B22" s="1152" t="s">
        <v>1484</v>
      </c>
      <c r="C22" s="1152" t="s">
        <v>399</v>
      </c>
      <c r="D22" s="1152" t="s">
        <v>1234</v>
      </c>
      <c r="E22" s="1150">
        <v>3160</v>
      </c>
      <c r="F22" s="1150" t="s">
        <v>147</v>
      </c>
      <c r="G22" s="1152" t="s">
        <v>1484</v>
      </c>
    </row>
    <row r="23" spans="1:7" x14ac:dyDescent="0.25">
      <c r="A23" s="1168" t="s">
        <v>142</v>
      </c>
      <c r="B23" s="1152" t="s">
        <v>13</v>
      </c>
      <c r="C23" s="1152" t="s">
        <v>196</v>
      </c>
      <c r="D23" s="1152" t="s">
        <v>67</v>
      </c>
      <c r="E23" s="1150">
        <v>1106</v>
      </c>
      <c r="F23" s="1150" t="s">
        <v>142</v>
      </c>
      <c r="G23" s="1152" t="s">
        <v>13</v>
      </c>
    </row>
    <row r="24" spans="1:7" x14ac:dyDescent="0.25">
      <c r="A24" s="1168" t="s">
        <v>1244</v>
      </c>
      <c r="B24" s="1152" t="s">
        <v>18</v>
      </c>
      <c r="C24" s="1152" t="s">
        <v>1245</v>
      </c>
      <c r="D24" s="1152" t="s">
        <v>1246</v>
      </c>
      <c r="E24" s="1150">
        <v>4175</v>
      </c>
      <c r="F24" s="1150" t="s">
        <v>1244</v>
      </c>
      <c r="G24" s="1152" t="s">
        <v>18</v>
      </c>
    </row>
    <row r="25" spans="1:7" x14ac:dyDescent="0.25">
      <c r="A25" s="1168" t="s">
        <v>156</v>
      </c>
      <c r="B25" s="1152" t="s">
        <v>8</v>
      </c>
      <c r="C25" s="1152" t="s">
        <v>396</v>
      </c>
      <c r="D25" s="1152" t="s">
        <v>32</v>
      </c>
      <c r="E25" s="1150">
        <v>2250</v>
      </c>
      <c r="F25" s="1150" t="s">
        <v>156</v>
      </c>
      <c r="G25" s="1152" t="s">
        <v>8</v>
      </c>
    </row>
    <row r="26" spans="1:7" x14ac:dyDescent="0.25">
      <c r="A26" s="1168" t="s">
        <v>178</v>
      </c>
      <c r="B26" s="1152" t="s">
        <v>1484</v>
      </c>
      <c r="C26" s="1152" t="s">
        <v>1102</v>
      </c>
      <c r="D26" s="1152" t="s">
        <v>916</v>
      </c>
      <c r="E26" s="1150">
        <v>2340</v>
      </c>
      <c r="F26" s="1150" t="s">
        <v>178</v>
      </c>
      <c r="G26" s="1152" t="s">
        <v>1484</v>
      </c>
    </row>
    <row r="27" spans="1:7" x14ac:dyDescent="0.25">
      <c r="A27" s="1168" t="s">
        <v>1106</v>
      </c>
      <c r="B27" s="1152" t="s">
        <v>1484</v>
      </c>
      <c r="C27" s="1152" t="s">
        <v>198</v>
      </c>
      <c r="D27" s="1152" t="s">
        <v>1107</v>
      </c>
      <c r="E27" s="1150">
        <v>2365</v>
      </c>
      <c r="F27" s="1150" t="s">
        <v>1106</v>
      </c>
      <c r="G27" s="1152" t="s">
        <v>1484</v>
      </c>
    </row>
    <row r="28" spans="1:7" x14ac:dyDescent="0.25">
      <c r="A28" s="1168" t="s">
        <v>145</v>
      </c>
      <c r="B28" s="1152" t="s">
        <v>1484</v>
      </c>
      <c r="C28" s="1152" t="s">
        <v>389</v>
      </c>
      <c r="D28" s="1152" t="s">
        <v>80</v>
      </c>
      <c r="E28" s="1150">
        <v>3126</v>
      </c>
      <c r="F28" s="1150" t="s">
        <v>145</v>
      </c>
      <c r="G28" s="1152" t="s">
        <v>1484</v>
      </c>
    </row>
    <row r="29" spans="1:7" x14ac:dyDescent="0.25">
      <c r="A29" s="1168" t="s">
        <v>176</v>
      </c>
      <c r="B29" s="1152" t="s">
        <v>13</v>
      </c>
      <c r="C29" s="1152" t="s">
        <v>195</v>
      </c>
      <c r="D29" s="1152" t="s">
        <v>46</v>
      </c>
      <c r="E29" s="1150">
        <v>1054</v>
      </c>
      <c r="F29" s="1150" t="s">
        <v>176</v>
      </c>
      <c r="G29" s="1152" t="s">
        <v>13</v>
      </c>
    </row>
    <row r="30" spans="1:7" x14ac:dyDescent="0.25">
      <c r="A30" s="1168" t="s">
        <v>154</v>
      </c>
      <c r="B30" s="1152" t="s">
        <v>1484</v>
      </c>
      <c r="C30" s="1152" t="s">
        <v>199</v>
      </c>
      <c r="D30" s="1152" t="s">
        <v>77</v>
      </c>
      <c r="E30" s="1150">
        <v>2370</v>
      </c>
      <c r="F30" s="1150" t="s">
        <v>154</v>
      </c>
      <c r="G30" s="1152" t="s">
        <v>1484</v>
      </c>
    </row>
    <row r="31" spans="1:7" x14ac:dyDescent="0.25">
      <c r="A31" s="1168" t="s">
        <v>148</v>
      </c>
      <c r="B31" s="1152" t="s">
        <v>8</v>
      </c>
      <c r="C31" s="1152" t="s">
        <v>387</v>
      </c>
      <c r="D31" s="1152" t="s">
        <v>65</v>
      </c>
      <c r="E31" s="1150">
        <v>3186</v>
      </c>
      <c r="F31" s="1150" t="s">
        <v>148</v>
      </c>
      <c r="G31" s="1152" t="s">
        <v>8</v>
      </c>
    </row>
    <row r="32" spans="1:7" x14ac:dyDescent="0.25">
      <c r="A32" s="1168" t="s">
        <v>151</v>
      </c>
      <c r="B32" s="1152" t="s">
        <v>1484</v>
      </c>
      <c r="C32" s="1152" t="s">
        <v>198</v>
      </c>
      <c r="D32" s="1152" t="s">
        <v>37</v>
      </c>
      <c r="E32" s="1150">
        <v>3230</v>
      </c>
      <c r="F32" s="1150" t="s">
        <v>151</v>
      </c>
      <c r="G32" s="1152" t="s">
        <v>1484</v>
      </c>
    </row>
    <row r="33" spans="1:7" x14ac:dyDescent="0.25">
      <c r="A33" s="1168" t="s">
        <v>152</v>
      </c>
      <c r="B33" s="1152" t="s">
        <v>8</v>
      </c>
      <c r="C33" s="1152" t="s">
        <v>388</v>
      </c>
      <c r="D33" s="1152" t="s">
        <v>2</v>
      </c>
      <c r="E33" s="1150">
        <v>2270</v>
      </c>
      <c r="F33" s="1150" t="s">
        <v>152</v>
      </c>
      <c r="G33" s="1152" t="s">
        <v>8</v>
      </c>
    </row>
    <row r="34" spans="1:7" x14ac:dyDescent="0.25">
      <c r="A34" s="1168" t="s">
        <v>177</v>
      </c>
      <c r="B34" s="1152" t="s">
        <v>18</v>
      </c>
      <c r="C34" s="1152" t="s">
        <v>401</v>
      </c>
      <c r="D34" s="1152" t="s">
        <v>52</v>
      </c>
      <c r="E34" s="1150">
        <v>4100</v>
      </c>
      <c r="F34" s="1150" t="s">
        <v>177</v>
      </c>
      <c r="G34" s="1152" t="s">
        <v>18</v>
      </c>
    </row>
    <row r="35" spans="1:7" x14ac:dyDescent="0.25">
      <c r="A35" s="1168" t="s">
        <v>155</v>
      </c>
      <c r="B35" s="1152" t="s">
        <v>8</v>
      </c>
      <c r="C35" s="1152" t="s">
        <v>1110</v>
      </c>
      <c r="D35" s="1152" t="s">
        <v>76</v>
      </c>
      <c r="E35" s="1150">
        <v>3051</v>
      </c>
      <c r="F35" s="1150" t="s">
        <v>155</v>
      </c>
      <c r="G35" s="1152" t="s">
        <v>8</v>
      </c>
    </row>
    <row r="36" spans="1:7" x14ac:dyDescent="0.25">
      <c r="A36" s="1168" t="s">
        <v>172</v>
      </c>
      <c r="B36" s="1152" t="s">
        <v>18</v>
      </c>
      <c r="C36" s="1152" t="s">
        <v>400</v>
      </c>
      <c r="D36" s="1152" t="s">
        <v>63</v>
      </c>
      <c r="E36" s="1150">
        <v>4120</v>
      </c>
      <c r="F36" s="1150" t="s">
        <v>172</v>
      </c>
      <c r="G36" s="1152" t="s">
        <v>18</v>
      </c>
    </row>
    <row r="37" spans="1:7" x14ac:dyDescent="0.25">
      <c r="A37" s="1168" t="s">
        <v>149</v>
      </c>
      <c r="B37" s="1152" t="s">
        <v>18</v>
      </c>
      <c r="C37" s="1152" t="s">
        <v>1243</v>
      </c>
      <c r="D37" s="1152" t="s">
        <v>68</v>
      </c>
      <c r="E37" s="1150">
        <v>3120</v>
      </c>
      <c r="F37" s="1150" t="s">
        <v>149</v>
      </c>
      <c r="G37" s="1152" t="s">
        <v>18</v>
      </c>
    </row>
    <row r="38" spans="1:7" x14ac:dyDescent="0.25">
      <c r="A38" s="1168" t="s">
        <v>159</v>
      </c>
      <c r="B38" s="1152" t="s">
        <v>13</v>
      </c>
      <c r="C38" s="1152" t="s">
        <v>392</v>
      </c>
      <c r="D38" s="1152" t="s">
        <v>21</v>
      </c>
      <c r="E38" s="1150">
        <v>2125</v>
      </c>
      <c r="F38" s="1150" t="s">
        <v>159</v>
      </c>
      <c r="G38" s="1152" t="s">
        <v>13</v>
      </c>
    </row>
    <row r="39" spans="1:7" x14ac:dyDescent="0.25">
      <c r="A39" s="1168" t="s">
        <v>140</v>
      </c>
      <c r="B39" s="1152" t="s">
        <v>8</v>
      </c>
      <c r="C39" s="1152" t="s">
        <v>1110</v>
      </c>
      <c r="D39" s="1152" t="s">
        <v>51</v>
      </c>
      <c r="E39" s="1150">
        <v>3147</v>
      </c>
      <c r="F39" s="1150" t="s">
        <v>140</v>
      </c>
      <c r="G39" s="1152" t="s">
        <v>8</v>
      </c>
    </row>
    <row r="40" spans="1:7" x14ac:dyDescent="0.25">
      <c r="A40" s="1168" t="s">
        <v>190</v>
      </c>
      <c r="B40" s="1152" t="s">
        <v>13</v>
      </c>
      <c r="C40" s="1152" t="s">
        <v>384</v>
      </c>
      <c r="D40" s="1152" t="s">
        <v>28</v>
      </c>
      <c r="E40" s="1150">
        <v>2160</v>
      </c>
      <c r="F40" s="1150" t="s">
        <v>190</v>
      </c>
      <c r="G40" s="1152" t="s">
        <v>13</v>
      </c>
    </row>
    <row r="41" spans="1:7" x14ac:dyDescent="0.25">
      <c r="A41" s="1168" t="s">
        <v>181</v>
      </c>
      <c r="B41" s="1152" t="s">
        <v>1484</v>
      </c>
      <c r="C41" s="1152" t="s">
        <v>199</v>
      </c>
      <c r="D41" s="1152" t="s">
        <v>39</v>
      </c>
      <c r="E41" s="1150">
        <v>2350</v>
      </c>
      <c r="F41" s="1150" t="s">
        <v>181</v>
      </c>
      <c r="G41" s="1152" t="s">
        <v>1484</v>
      </c>
    </row>
    <row r="42" spans="1:7" x14ac:dyDescent="0.25">
      <c r="A42" s="1168" t="s">
        <v>158</v>
      </c>
      <c r="B42" s="1152" t="s">
        <v>8</v>
      </c>
      <c r="C42" s="1152" t="s">
        <v>387</v>
      </c>
      <c r="D42" s="1152" t="s">
        <v>49</v>
      </c>
      <c r="E42" s="1150">
        <v>2230</v>
      </c>
      <c r="F42" s="1150" t="s">
        <v>158</v>
      </c>
      <c r="G42" s="1152" t="s">
        <v>8</v>
      </c>
    </row>
    <row r="43" spans="1:7" x14ac:dyDescent="0.25">
      <c r="A43" s="1168" t="s">
        <v>1111</v>
      </c>
      <c r="B43" s="1152" t="s">
        <v>8</v>
      </c>
      <c r="C43" s="1152" t="s">
        <v>387</v>
      </c>
      <c r="D43" s="1152" t="s">
        <v>1449</v>
      </c>
      <c r="E43" s="1150">
        <v>3040</v>
      </c>
      <c r="F43" s="1150" t="s">
        <v>1111</v>
      </c>
      <c r="G43" s="1152" t="s">
        <v>8</v>
      </c>
    </row>
    <row r="44" spans="1:7" x14ac:dyDescent="0.25">
      <c r="A44" s="1168" t="s">
        <v>380</v>
      </c>
      <c r="B44" s="1152" t="s">
        <v>8</v>
      </c>
      <c r="C44" s="1152" t="s">
        <v>388</v>
      </c>
      <c r="D44" s="1152" t="s">
        <v>246</v>
      </c>
      <c r="E44" s="1150">
        <v>3139</v>
      </c>
      <c r="F44" s="1150" t="s">
        <v>380</v>
      </c>
      <c r="G44" s="1152" t="s">
        <v>8</v>
      </c>
    </row>
    <row r="45" spans="1:7" x14ac:dyDescent="0.25">
      <c r="A45" s="1168" t="s">
        <v>150</v>
      </c>
      <c r="B45" s="1152" t="s">
        <v>1484</v>
      </c>
      <c r="C45" s="1152" t="s">
        <v>390</v>
      </c>
      <c r="D45" s="1152" t="s">
        <v>24</v>
      </c>
      <c r="E45" s="1150">
        <v>3170</v>
      </c>
      <c r="F45" s="1150" t="s">
        <v>150</v>
      </c>
      <c r="G45" s="1152" t="s">
        <v>1484</v>
      </c>
    </row>
    <row r="46" spans="1:7" x14ac:dyDescent="0.25">
      <c r="A46" s="1168" t="s">
        <v>135</v>
      </c>
      <c r="B46" s="1152" t="s">
        <v>1484</v>
      </c>
      <c r="C46" s="1152" t="s">
        <v>198</v>
      </c>
      <c r="D46" s="1152" t="s">
        <v>72</v>
      </c>
      <c r="E46" s="1150">
        <v>2360</v>
      </c>
      <c r="F46" s="1150" t="s">
        <v>135</v>
      </c>
      <c r="G46" s="1152" t="s">
        <v>1484</v>
      </c>
    </row>
    <row r="47" spans="1:7" x14ac:dyDescent="0.25">
      <c r="A47" s="1168" t="s">
        <v>164</v>
      </c>
      <c r="B47" s="1152" t="s">
        <v>13</v>
      </c>
      <c r="C47" s="1152" t="s">
        <v>383</v>
      </c>
      <c r="D47" s="1152" t="s">
        <v>27</v>
      </c>
      <c r="E47" s="1150">
        <v>3190</v>
      </c>
      <c r="F47" s="1150" t="s">
        <v>164</v>
      </c>
      <c r="G47" s="1152" t="s">
        <v>13</v>
      </c>
    </row>
    <row r="48" spans="1:7" x14ac:dyDescent="0.25">
      <c r="A48" s="1168" t="s">
        <v>184</v>
      </c>
      <c r="B48" s="1152" t="s">
        <v>13</v>
      </c>
      <c r="C48" s="1152" t="s">
        <v>383</v>
      </c>
      <c r="D48" s="1152" t="s">
        <v>59</v>
      </c>
      <c r="E48" s="1150">
        <v>2116</v>
      </c>
      <c r="F48" s="1150" t="s">
        <v>184</v>
      </c>
      <c r="G48" s="1152" t="s">
        <v>13</v>
      </c>
    </row>
    <row r="49" spans="1:7" x14ac:dyDescent="0.25">
      <c r="A49" s="1168" t="s">
        <v>170</v>
      </c>
      <c r="B49" s="1152" t="s">
        <v>18</v>
      </c>
      <c r="C49" s="1152" t="s">
        <v>401</v>
      </c>
      <c r="D49" s="1152" t="s">
        <v>54</v>
      </c>
      <c r="E49" s="1150">
        <v>4146</v>
      </c>
      <c r="F49" s="1150" t="s">
        <v>170</v>
      </c>
      <c r="G49" s="1152" t="s">
        <v>18</v>
      </c>
    </row>
    <row r="50" spans="1:7" x14ac:dyDescent="0.25">
      <c r="A50" s="1168" t="s">
        <v>1247</v>
      </c>
      <c r="B50" s="1152" t="s">
        <v>18</v>
      </c>
      <c r="C50" s="1152" t="s">
        <v>1245</v>
      </c>
      <c r="D50" s="1152" t="s">
        <v>1248</v>
      </c>
      <c r="E50" s="1150">
        <v>4135</v>
      </c>
      <c r="F50" s="1150" t="s">
        <v>1247</v>
      </c>
      <c r="G50" s="1152" t="s">
        <v>18</v>
      </c>
    </row>
    <row r="51" spans="1:7" x14ac:dyDescent="0.25">
      <c r="A51" s="1168" t="s">
        <v>187</v>
      </c>
      <c r="B51" s="1152" t="s">
        <v>13</v>
      </c>
      <c r="C51" s="1152" t="s">
        <v>384</v>
      </c>
      <c r="D51" s="1152" t="s">
        <v>122</v>
      </c>
      <c r="E51" s="1150">
        <v>2170</v>
      </c>
      <c r="F51" s="1150" t="s">
        <v>187</v>
      </c>
      <c r="G51" s="1152" t="s">
        <v>13</v>
      </c>
    </row>
    <row r="52" spans="1:7" x14ac:dyDescent="0.25">
      <c r="A52" s="1168" t="s">
        <v>157</v>
      </c>
      <c r="B52" s="1152" t="s">
        <v>8</v>
      </c>
      <c r="C52" s="1152" t="s">
        <v>393</v>
      </c>
      <c r="D52" s="1152" t="s">
        <v>7</v>
      </c>
      <c r="E52" s="1150">
        <v>3055</v>
      </c>
      <c r="F52" s="1150" t="s">
        <v>157</v>
      </c>
      <c r="G52" s="1152" t="s">
        <v>8</v>
      </c>
    </row>
    <row r="53" spans="1:7" x14ac:dyDescent="0.25">
      <c r="A53" s="1168" t="s">
        <v>1235</v>
      </c>
      <c r="B53" s="1152" t="s">
        <v>18</v>
      </c>
      <c r="C53" s="1152" t="s">
        <v>1236</v>
      </c>
      <c r="D53" s="1152" t="s">
        <v>1237</v>
      </c>
      <c r="E53" s="1150">
        <v>4210</v>
      </c>
      <c r="F53" s="1150" t="s">
        <v>1235</v>
      </c>
      <c r="G53" s="1152" t="s">
        <v>18</v>
      </c>
    </row>
    <row r="54" spans="1:7" x14ac:dyDescent="0.25">
      <c r="A54" s="1168" t="s">
        <v>161</v>
      </c>
      <c r="B54" s="1152" t="s">
        <v>8</v>
      </c>
      <c r="C54" s="1152" t="s">
        <v>391</v>
      </c>
      <c r="D54" s="1152" t="s">
        <v>16</v>
      </c>
      <c r="E54" s="1150">
        <v>2240</v>
      </c>
      <c r="F54" s="1150" t="s">
        <v>161</v>
      </c>
      <c r="G54" s="1152" t="s">
        <v>8</v>
      </c>
    </row>
    <row r="55" spans="1:7" x14ac:dyDescent="0.25">
      <c r="A55" s="1168" t="s">
        <v>166</v>
      </c>
      <c r="B55" s="1152" t="s">
        <v>18</v>
      </c>
      <c r="C55" s="1152" t="s">
        <v>398</v>
      </c>
      <c r="D55" s="1152" t="s">
        <v>73</v>
      </c>
      <c r="E55" s="1150">
        <v>4110</v>
      </c>
      <c r="F55" s="1150" t="s">
        <v>166</v>
      </c>
      <c r="G55" s="1152" t="s">
        <v>18</v>
      </c>
    </row>
    <row r="56" spans="1:7" x14ac:dyDescent="0.25">
      <c r="A56" s="1168" t="s">
        <v>153</v>
      </c>
      <c r="B56" s="1152" t="s">
        <v>8</v>
      </c>
      <c r="C56" s="1152" t="s">
        <v>1485</v>
      </c>
      <c r="D56" s="1152" t="s">
        <v>25</v>
      </c>
      <c r="E56" s="1150">
        <v>2135</v>
      </c>
      <c r="F56" s="1150" t="s">
        <v>153</v>
      </c>
      <c r="G56" s="1152" t="s">
        <v>8</v>
      </c>
    </row>
    <row r="57" spans="1:7" x14ac:dyDescent="0.25">
      <c r="A57" s="1168" t="s">
        <v>139</v>
      </c>
      <c r="B57" s="1152" t="s">
        <v>1484</v>
      </c>
      <c r="C57" s="1152" t="s">
        <v>197</v>
      </c>
      <c r="D57" s="1152" t="s">
        <v>47</v>
      </c>
      <c r="E57" s="1150">
        <v>3210</v>
      </c>
      <c r="F57" s="1150" t="s">
        <v>139</v>
      </c>
      <c r="G57" s="1152" t="s">
        <v>1484</v>
      </c>
    </row>
    <row r="58" spans="1:7" x14ac:dyDescent="0.25">
      <c r="A58" s="1168" t="s">
        <v>171</v>
      </c>
      <c r="B58" s="1152" t="s">
        <v>18</v>
      </c>
      <c r="C58" s="1152" t="s">
        <v>397</v>
      </c>
      <c r="D58" s="1152" t="s">
        <v>30</v>
      </c>
      <c r="E58" s="1150">
        <v>4118</v>
      </c>
      <c r="F58" s="1150" t="s">
        <v>171</v>
      </c>
      <c r="G58" s="1152" t="s">
        <v>18</v>
      </c>
    </row>
    <row r="59" spans="1:7" x14ac:dyDescent="0.25">
      <c r="A59" s="1168" t="s">
        <v>169</v>
      </c>
      <c r="B59" s="1152" t="s">
        <v>18</v>
      </c>
      <c r="C59" s="1152" t="s">
        <v>400</v>
      </c>
      <c r="D59" s="1152" t="s">
        <v>40</v>
      </c>
      <c r="E59" s="1150">
        <v>4140</v>
      </c>
      <c r="F59" s="1150" t="s">
        <v>169</v>
      </c>
      <c r="G59" s="1152" t="s">
        <v>18</v>
      </c>
    </row>
    <row r="60" spans="1:7" x14ac:dyDescent="0.25">
      <c r="A60" s="1168" t="s">
        <v>168</v>
      </c>
      <c r="B60" s="1152" t="s">
        <v>18</v>
      </c>
      <c r="C60" s="1152" t="s">
        <v>398</v>
      </c>
      <c r="D60" s="1152" t="s">
        <v>17</v>
      </c>
      <c r="E60" s="1150">
        <v>4117</v>
      </c>
      <c r="F60" s="1150" t="s">
        <v>168</v>
      </c>
      <c r="G60" s="1152" t="s">
        <v>18</v>
      </c>
    </row>
    <row r="61" spans="1:7" x14ac:dyDescent="0.25">
      <c r="A61" s="1168" t="s">
        <v>1238</v>
      </c>
      <c r="B61" s="1152" t="s">
        <v>18</v>
      </c>
      <c r="C61" s="1152" t="s">
        <v>75</v>
      </c>
      <c r="D61" s="1152" t="s">
        <v>1239</v>
      </c>
      <c r="E61" s="1150">
        <v>4170</v>
      </c>
      <c r="F61" s="1150" t="s">
        <v>1238</v>
      </c>
      <c r="G61" s="1152" t="s">
        <v>18</v>
      </c>
    </row>
    <row r="62" spans="1:7" x14ac:dyDescent="0.25">
      <c r="A62" s="1168" t="s">
        <v>167</v>
      </c>
      <c r="B62" s="1152" t="s">
        <v>18</v>
      </c>
      <c r="C62" s="1152" t="s">
        <v>75</v>
      </c>
      <c r="D62" s="1152" t="s">
        <v>1240</v>
      </c>
      <c r="E62" s="1150">
        <v>4147</v>
      </c>
      <c r="F62" s="1150" t="s">
        <v>167</v>
      </c>
      <c r="G62" s="1152" t="s">
        <v>18</v>
      </c>
    </row>
    <row r="63" spans="1:7" x14ac:dyDescent="0.25">
      <c r="A63" s="1168" t="s">
        <v>1241</v>
      </c>
      <c r="B63" s="1152" t="s">
        <v>18</v>
      </c>
      <c r="C63" s="1152" t="s">
        <v>1236</v>
      </c>
      <c r="D63" s="1152" t="s">
        <v>1242</v>
      </c>
      <c r="E63" s="1150">
        <v>4220</v>
      </c>
      <c r="F63" s="1150" t="s">
        <v>1241</v>
      </c>
      <c r="G63" s="1152" t="s">
        <v>18</v>
      </c>
    </row>
    <row r="64" spans="1:7" x14ac:dyDescent="0.25">
      <c r="A64" s="1168" t="s">
        <v>133</v>
      </c>
      <c r="B64" s="1152" t="s">
        <v>1484</v>
      </c>
      <c r="C64" s="1152" t="s">
        <v>197</v>
      </c>
      <c r="D64" s="1152" t="s">
        <v>44</v>
      </c>
      <c r="E64" s="1150">
        <v>3220</v>
      </c>
      <c r="F64" s="1150" t="s">
        <v>133</v>
      </c>
      <c r="G64" s="1152" t="s">
        <v>1484</v>
      </c>
    </row>
    <row r="65" spans="1:7" x14ac:dyDescent="0.25">
      <c r="A65" s="1168" t="s">
        <v>179</v>
      </c>
      <c r="B65" s="1152" t="s">
        <v>1484</v>
      </c>
      <c r="C65" s="1152" t="s">
        <v>194</v>
      </c>
      <c r="D65" s="1152" t="s">
        <v>31</v>
      </c>
      <c r="E65" s="1150">
        <v>2330</v>
      </c>
      <c r="F65" s="1150" t="s">
        <v>179</v>
      </c>
      <c r="G65" s="1152" t="s">
        <v>1484</v>
      </c>
    </row>
    <row r="66" spans="1:7" x14ac:dyDescent="0.25">
      <c r="A66" s="1168" t="s">
        <v>136</v>
      </c>
      <c r="B66" s="1152" t="s">
        <v>8</v>
      </c>
      <c r="C66" s="1152" t="s">
        <v>395</v>
      </c>
      <c r="D66" s="1152" t="s">
        <v>57</v>
      </c>
      <c r="E66" s="1150">
        <v>3103</v>
      </c>
      <c r="F66" s="1150" t="s">
        <v>136</v>
      </c>
      <c r="G66" s="1152" t="s">
        <v>8</v>
      </c>
    </row>
    <row r="67" spans="1:7" x14ac:dyDescent="0.25">
      <c r="A67" s="1168" t="s">
        <v>1249</v>
      </c>
      <c r="B67" s="1152" t="s">
        <v>18</v>
      </c>
      <c r="C67" s="1152" t="s">
        <v>1245</v>
      </c>
      <c r="D67" s="1152" t="s">
        <v>1250</v>
      </c>
      <c r="E67" s="1150">
        <v>4125</v>
      </c>
      <c r="F67" s="1150" t="s">
        <v>1249</v>
      </c>
      <c r="G67" s="1152" t="s">
        <v>18</v>
      </c>
    </row>
    <row r="68" spans="1:7" x14ac:dyDescent="0.25">
      <c r="A68" s="1168" t="s">
        <v>188</v>
      </c>
      <c r="B68" s="1152" t="s">
        <v>13</v>
      </c>
      <c r="C68" s="1152" t="s">
        <v>1485</v>
      </c>
      <c r="D68" s="1152" t="s">
        <v>81</v>
      </c>
      <c r="E68" s="1150">
        <v>2165</v>
      </c>
      <c r="F68" s="1150" t="s">
        <v>188</v>
      </c>
      <c r="G68" s="1152" t="s">
        <v>13</v>
      </c>
    </row>
    <row r="69" spans="1:7" x14ac:dyDescent="0.25">
      <c r="A69" s="1168" t="s">
        <v>143</v>
      </c>
      <c r="B69" s="1152" t="s">
        <v>13</v>
      </c>
      <c r="C69" s="1152" t="s">
        <v>1109</v>
      </c>
      <c r="D69" s="1152" t="s">
        <v>53</v>
      </c>
      <c r="E69" s="1150">
        <v>2185</v>
      </c>
      <c r="F69" s="1150" t="s">
        <v>143</v>
      </c>
      <c r="G69" s="1152" t="s">
        <v>13</v>
      </c>
    </row>
    <row r="70" spans="1:7" x14ac:dyDescent="0.25">
      <c r="A70" s="1168" t="s">
        <v>183</v>
      </c>
      <c r="B70" s="1152" t="s">
        <v>1484</v>
      </c>
      <c r="C70" s="1152" t="s">
        <v>194</v>
      </c>
      <c r="D70" s="1152" t="s">
        <v>1090</v>
      </c>
      <c r="E70" s="1150">
        <v>248</v>
      </c>
      <c r="F70" s="1150" t="s">
        <v>183</v>
      </c>
      <c r="G70" s="1152" t="s">
        <v>1484</v>
      </c>
    </row>
    <row r="71" spans="1:7" x14ac:dyDescent="0.25">
      <c r="A71" s="1168" t="s">
        <v>1112</v>
      </c>
      <c r="B71" s="1152" t="s">
        <v>13</v>
      </c>
      <c r="C71" s="1152" t="s">
        <v>1486</v>
      </c>
      <c r="D71" s="1152" t="s">
        <v>1487</v>
      </c>
      <c r="E71" s="1150">
        <v>2010</v>
      </c>
      <c r="F71" s="1150" t="s">
        <v>1112</v>
      </c>
      <c r="G71" s="1152" t="s">
        <v>13</v>
      </c>
    </row>
    <row r="72" spans="1:7" x14ac:dyDescent="0.25">
      <c r="A72" s="1168" t="s">
        <v>385</v>
      </c>
      <c r="B72" s="1152" t="s">
        <v>13</v>
      </c>
      <c r="C72" s="1152" t="s">
        <v>1486</v>
      </c>
      <c r="D72" s="1152" t="s">
        <v>1488</v>
      </c>
      <c r="E72" s="1150">
        <v>2030</v>
      </c>
      <c r="F72" s="1150" t="s">
        <v>385</v>
      </c>
      <c r="G72" s="1152" t="s">
        <v>13</v>
      </c>
    </row>
    <row r="73" spans="1:7" x14ac:dyDescent="0.25">
      <c r="A73" s="1168" t="s">
        <v>1103</v>
      </c>
      <c r="B73" s="1152" t="s">
        <v>1484</v>
      </c>
      <c r="C73" s="1152" t="s">
        <v>1486</v>
      </c>
      <c r="D73" s="1152" t="s">
        <v>1489</v>
      </c>
      <c r="E73" s="1150">
        <v>2375</v>
      </c>
      <c r="F73" s="1150" t="s">
        <v>1103</v>
      </c>
      <c r="G73" s="1152" t="s">
        <v>1484</v>
      </c>
    </row>
    <row r="74" spans="1:7" x14ac:dyDescent="0.25">
      <c r="A74" s="1168" t="s">
        <v>1104</v>
      </c>
      <c r="B74" s="1152" t="s">
        <v>1484</v>
      </c>
      <c r="C74" s="1152" t="s">
        <v>1486</v>
      </c>
      <c r="D74" s="1152" t="s">
        <v>1490</v>
      </c>
      <c r="E74" s="1150">
        <v>2355</v>
      </c>
      <c r="F74" s="1150" t="s">
        <v>1104</v>
      </c>
      <c r="G74" s="1152" t="s">
        <v>1484</v>
      </c>
    </row>
    <row r="75" spans="1:7" x14ac:dyDescent="0.25">
      <c r="A75" s="1168" t="s">
        <v>182</v>
      </c>
      <c r="B75" s="1152" t="s">
        <v>1484</v>
      </c>
      <c r="C75" s="1152" t="s">
        <v>1486</v>
      </c>
      <c r="D75" s="1152" t="s">
        <v>1491</v>
      </c>
      <c r="E75" s="1150">
        <v>2310</v>
      </c>
      <c r="F75" s="1150" t="s">
        <v>182</v>
      </c>
      <c r="G75" s="1152" t="s">
        <v>1484</v>
      </c>
    </row>
    <row r="76" spans="1:7" ht="15.75" thickBot="1" x14ac:dyDescent="0.3">
      <c r="A76" s="1169" t="s">
        <v>191</v>
      </c>
      <c r="B76" s="1153" t="s">
        <v>13</v>
      </c>
      <c r="C76" s="1153" t="s">
        <v>1486</v>
      </c>
      <c r="D76" s="1153" t="s">
        <v>1492</v>
      </c>
      <c r="E76" s="31">
        <v>2180</v>
      </c>
      <c r="F76" s="31"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2021-12-16T13:51:37Z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6403506d-a94c-4d1e-86be-7a682c11d08f</vt:lpwstr>
  </property>
  <property fmtid="{D5CDD505-2E9C-101B-9397-08002B2CF9AE}" pid="4" name="Classification">
    <vt:lpwstr>LV_R3STR1CT3D</vt:lpwstr>
  </property>
  <property fmtid="{D5CDD505-2E9C-101B-9397-08002B2CF9AE}" pid="5" name="ContainsPII">
    <vt:lpwstr>No</vt:lpwstr>
  </property>
</Properties>
</file>