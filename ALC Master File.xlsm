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1C186CAD-D447-4BB3-BF57-4F331DD23915}" xr6:coauthVersionLast="46" xr6:coauthVersionMax="46" xr10:uidLastSave="{00000000-0000-0000-0000-000000000000}"/>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Mapping Sheet" sheetId="92" state="hidden" r:id="rId10"/>
    <sheet name="ALC Comparison" sheetId="93" state="hidden" r:id="rId11"/>
    <sheet name="Agreement Worksheet" sheetId="89" state="hidden" r:id="rId12"/>
    <sheet name="Pricing Schedule" sheetId="90" state="hidden" r:id="rId13"/>
    <sheet name="Variable Costs (Back)" sheetId="36" state="veryHidden" r:id="rId14"/>
    <sheet name="EB_CM (Back)" sheetId="43" state="veryHidden" r:id="rId15"/>
    <sheet name="Multi-Customer" sheetId="72" state="veryHidden" r:id="rId16"/>
    <sheet name="PIM Ranges" sheetId="76" state="veryHidden" r:id="rId17"/>
    <sheet name="Incentive Setup" sheetId="95" state="hidden" r:id="rId18"/>
    <sheet name="MDA Worksheet" sheetId="61" state="hidden" r:id="rId19"/>
    <sheet name="PRIME Upload" sheetId="59" state="hidden" r:id="rId20"/>
    <sheet name="Basket Composition" sheetId="33" state="veryHidden" r:id="rId21"/>
    <sheet name="PRIME Headers" sheetId="69" state="hidden" r:id="rId22"/>
    <sheet name="CC MARKET EXPENSE" sheetId="85" state="veryHidden" r:id="rId23"/>
    <sheet name="Margin Guidence Table" sheetId="88" state="veryHidden" r:id="rId24"/>
    <sheet name="Modellable Customers" sheetId="78" r:id="rId25"/>
    <sheet name="HOS_Modellable Customers" sheetId="84" r:id="rId26"/>
    <sheet name="Existing Customers" sheetId="40" r:id="rId27"/>
    <sheet name="Existing Customer Variable Exp" sheetId="42" r:id="rId28"/>
    <sheet name="Customer Info" sheetId="77" r:id="rId29"/>
    <sheet name="Variable Selling" sheetId="30" r:id="rId30"/>
    <sheet name="Variable Div Avgs" sheetId="14" r:id="rId31"/>
    <sheet name="3zip" sheetId="50" r:id="rId32"/>
    <sheet name="4zip" sheetId="47" r:id="rId33"/>
    <sheet name="5zip" sheetId="37" r:id="rId34"/>
    <sheet name="Prospect Slot Assumptions" sheetId="91" r:id="rId35"/>
    <sheet name="Margin Quartiles" sheetId="34" state="veryHidden" r:id="rId36"/>
    <sheet name="IMargin Quartiles" sheetId="48" state="veryHidden" r:id="rId37"/>
    <sheet name="Lookups" sheetId="6" state="veryHidden" r:id="rId38"/>
    <sheet name="Market Geography" sheetId="38" state="veryHidden" r:id="rId39"/>
  </sheets>
  <functionGroups builtInGroupCount="19"/>
  <externalReferences>
    <externalReference r:id="rId40"/>
    <externalReference r:id="rId41"/>
  </externalReferences>
  <definedNames>
    <definedName name="_xlnm._FilterDatabase" localSheetId="31" hidden="1">'3zip'!$A$1:$F$2754</definedName>
    <definedName name="_xlnm._FilterDatabase" localSheetId="32" hidden="1">'4zip'!$A$1:$F$95</definedName>
    <definedName name="_xlnm._FilterDatabase" localSheetId="33" hidden="1">'5zip'!$A$1:$F$1</definedName>
    <definedName name="_xlnm._FilterDatabase" localSheetId="20" hidden="1">'Basket Composition'!$A$2:$A$30</definedName>
    <definedName name="_xlnm._FilterDatabase" localSheetId="27" hidden="1">'Existing Customer Variable Exp'!$A$1:$F$1</definedName>
    <definedName name="_xlnm._FilterDatabase" localSheetId="26" hidden="1">'Existing Customers'!$A$1:$AA$1</definedName>
    <definedName name="_xlnm._FilterDatabase" localSheetId="25" hidden="1">'HOS_Modellable Customers'!$A$1:$B$1</definedName>
    <definedName name="_xlnm._FilterDatabase" localSheetId="36" hidden="1">'IMargin Quartiles'!$B$1:$C$106</definedName>
    <definedName name="_xlnm._FilterDatabase" localSheetId="37" hidden="1">Lookups!$E$1:$E$61</definedName>
    <definedName name="_xlnm._FilterDatabase" localSheetId="35" hidden="1">'Margin Quartiles'!$B$1:$C$111</definedName>
    <definedName name="_xlnm._FilterDatabase" localSheetId="24" hidden="1">'Modellable Customers'!$A$1:$B$916</definedName>
    <definedName name="_xlnm._FilterDatabase" localSheetId="19" hidden="1">'PRIME Upload'!$A$1:$A$82</definedName>
    <definedName name="_xlnm._FilterDatabase" localSheetId="30" hidden="1">'Variable Div Avgs'!$A$1:$M$60</definedName>
    <definedName name="_xlnm._FilterDatabase" localSheetId="29" hidden="1">'Variable Selling'!$B$1:$O$1758</definedName>
    <definedName name="actionrequested" localSheetId="2">#REF!</definedName>
    <definedName name="actionrequested" localSheetId="0">#REF!</definedName>
    <definedName name="actionrequested" localSheetId="25">#REF!</definedName>
    <definedName name="actionrequested" localSheetId="18">#REF!</definedName>
    <definedName name="actionrequested" localSheetId="15">#REF!</definedName>
    <definedName name="actionrequested" localSheetId="3">#REF!</definedName>
    <definedName name="actionrequested" localSheetId="16">#REF!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5">#REF!</definedName>
    <definedName name="divisionlisting" localSheetId="18">#REF!</definedName>
    <definedName name="divisionlisting" localSheetId="15">#REF!</definedName>
    <definedName name="divisionlisting" localSheetId="3">#REF!</definedName>
    <definedName name="divisionlisting" localSheetId="16">#REF!</definedName>
    <definedName name="divisionlisting" localSheetId="1">#REF!</definedName>
    <definedName name="divisionlisting">#REF!</definedName>
    <definedName name="DropCriteria">'[1]Drop Box'!$L$2:$L$8</definedName>
    <definedName name="droppgmparameters">'[1]Drop Box'!$M$2:$M$4</definedName>
    <definedName name="ExternalData_1" localSheetId="26">'Existing Customers'!$A$1:$AC$12740</definedName>
    <definedName name="ExternalData_1" localSheetId="25">'HOS_Modellable Customers'!$A$1:$B$1053</definedName>
    <definedName name="ExternalData_1" localSheetId="24">'Modellable Customers'!$A$1:$B$916</definedName>
    <definedName name="ExternalData_2" localSheetId="31">'3zip'!$A$1:$F$30</definedName>
    <definedName name="ExternalData_2" localSheetId="32">'4zip'!$A$1:$F$93</definedName>
    <definedName name="ExternalData_2" localSheetId="33">'5zip'!$A$1:$F$374</definedName>
    <definedName name="ExternalData_2" localSheetId="28">'Customer Info'!$A$1:$F$6606</definedName>
    <definedName name="ExternalData_2" localSheetId="27">'Existing Customer Variable Exp'!$A$1:$F$1053</definedName>
    <definedName name="ExternalData_2" localSheetId="30">'Variable Div Avgs'!$A$1:$M$2</definedName>
    <definedName name="ExternalData_2" localSheetId="29">'Variable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5">#REF!</definedName>
    <definedName name="payoutlocation" localSheetId="18">#REF!</definedName>
    <definedName name="payoutlocation" localSheetId="15">#REF!</definedName>
    <definedName name="payoutlocation" localSheetId="3">#REF!</definedName>
    <definedName name="payoutlocation" localSheetId="16">#REF!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5">#REF!</definedName>
    <definedName name="pgmparameters" localSheetId="18">#REF!</definedName>
    <definedName name="pgmparameters" localSheetId="15">#REF!</definedName>
    <definedName name="pgmparameters" localSheetId="3">#REF!</definedName>
    <definedName name="pgmparameters" localSheetId="16">#REF!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7">'Existing Customer Variable Exp'!$H$1</definedName>
    <definedName name="_xlnm.Print_Area" localSheetId="26">'Existing Customers'!$AD$1</definedName>
    <definedName name="_xlnm.Print_Area" localSheetId="25">'HOS_Modellable Customers'!$F$1</definedName>
    <definedName name="_xlnm.Print_Area" localSheetId="17">'Incentive Setup'!$I$1:$V$53</definedName>
    <definedName name="_xlnm.Print_Area" localSheetId="4">Incentives!$B$2:$Q$178</definedName>
    <definedName name="_xlnm.Print_Area" localSheetId="18">'MDA Worksheet'!$B$1:$BF$132</definedName>
    <definedName name="_xlnm.Print_Area" localSheetId="24">'Modellable Customers'!$L$1</definedName>
    <definedName name="_xlnm.Print_Area" localSheetId="3">'PIM Model'!$B$1:$Q$40</definedName>
    <definedName name="_xlnm.Print_Area" localSheetId="21">'PRIME Headers'!$B$2:$C$24</definedName>
    <definedName name="_xlnm.Print_Area" localSheetId="19">'PRIME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8">'MDA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5">#REF!</definedName>
    <definedName name="uompayout" localSheetId="18">#REF!</definedName>
    <definedName name="uompayout" localSheetId="15">#REF!</definedName>
    <definedName name="uompayout" localSheetId="3">#REF!</definedName>
    <definedName name="uompayout" localSheetId="16">#REF!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42" i="95" l="1"/>
  <c r="D41" i="95"/>
  <c r="D40" i="95"/>
  <c r="D32" i="95"/>
  <c r="D31" i="95"/>
  <c r="D30" i="95"/>
  <c r="D29" i="95"/>
  <c r="B42" i="95"/>
  <c r="D22" i="95"/>
  <c r="D21" i="95"/>
  <c r="B21" i="95" s="1"/>
  <c r="D20" i="95"/>
  <c r="D19" i="95"/>
  <c r="B22" i="95"/>
  <c r="B20" i="95"/>
  <c r="B32" i="95"/>
  <c r="Z38" i="72" l="1"/>
  <c r="AB38" i="72"/>
  <c r="M20" i="94"/>
  <c r="M90" i="94"/>
  <c r="M62" i="94"/>
  <c r="M91" i="94"/>
  <c r="K94" i="94"/>
  <c r="K66" i="94"/>
  <c r="M63" i="94" s="1"/>
  <c r="K24" i="94"/>
  <c r="M21" i="94" s="1"/>
  <c r="G148" i="94"/>
  <c r="O155" i="94"/>
  <c r="O164" i="94"/>
  <c r="O172" i="94"/>
  <c r="O175" i="94" l="1"/>
  <c r="O177" i="94" s="1"/>
  <c r="D175" i="94" l="1"/>
  <c r="G173" i="94"/>
  <c r="E155" i="94"/>
  <c r="E154" i="94"/>
  <c r="E147" i="94"/>
  <c r="E146" i="94"/>
  <c r="E139" i="94"/>
  <c r="E138" i="94"/>
  <c r="E131" i="94"/>
  <c r="E130" i="94"/>
  <c r="E123" i="94"/>
  <c r="E122" i="94"/>
  <c r="E115" i="94"/>
  <c r="E114" i="94"/>
  <c r="G101" i="94"/>
  <c r="E101" i="94"/>
  <c r="E100" i="94"/>
  <c r="G87" i="94"/>
  <c r="E87" i="94"/>
  <c r="E86" i="94"/>
  <c r="G73" i="94"/>
  <c r="E73" i="94"/>
  <c r="E72" i="94"/>
  <c r="G59" i="94"/>
  <c r="E59" i="94"/>
  <c r="E58" i="94"/>
  <c r="E45" i="94"/>
  <c r="E44" i="94"/>
  <c r="E31" i="94"/>
  <c r="E30" i="94"/>
  <c r="E17" i="94"/>
  <c r="E16" i="94"/>
  <c r="C20" i="95"/>
  <c r="L20" i="95"/>
  <c r="L19" i="95"/>
  <c r="D84" i="95"/>
  <c r="B82" i="95"/>
  <c r="D78" i="95"/>
  <c r="C78" i="95"/>
  <c r="B76" i="95"/>
  <c r="A74" i="95"/>
  <c r="D72" i="95"/>
  <c r="D71" i="95"/>
  <c r="O52" i="95" s="1"/>
  <c r="B71" i="95"/>
  <c r="D70" i="95"/>
  <c r="B70" i="95"/>
  <c r="D69" i="95"/>
  <c r="O51" i="95" s="1"/>
  <c r="B69" i="95"/>
  <c r="B68" i="95"/>
  <c r="D64" i="95"/>
  <c r="C62" i="95"/>
  <c r="B60" i="95"/>
  <c r="B62" i="95" s="1"/>
  <c r="B59" i="95"/>
  <c r="D55" i="95"/>
  <c r="K38" i="95" s="1"/>
  <c r="C55" i="95"/>
  <c r="B54" i="95"/>
  <c r="J37" i="95" s="1"/>
  <c r="K53" i="95"/>
  <c r="J53" i="95"/>
  <c r="B53" i="95"/>
  <c r="K52" i="95"/>
  <c r="J52" i="95"/>
  <c r="K51" i="95"/>
  <c r="J51" i="95"/>
  <c r="K50" i="95"/>
  <c r="J50" i="95"/>
  <c r="K49" i="95"/>
  <c r="J49" i="95"/>
  <c r="K48" i="95"/>
  <c r="J48" i="95"/>
  <c r="D48" i="95"/>
  <c r="C48" i="95"/>
  <c r="K47" i="95"/>
  <c r="J47" i="95"/>
  <c r="B47" i="95"/>
  <c r="T37" i="95" s="1"/>
  <c r="K46" i="95"/>
  <c r="J46" i="95"/>
  <c r="B46" i="95"/>
  <c r="T36" i="95" s="1"/>
  <c r="K45" i="95"/>
  <c r="J45" i="95"/>
  <c r="K44" i="95"/>
  <c r="J44" i="95"/>
  <c r="V22" i="95"/>
  <c r="B41" i="95"/>
  <c r="B40" i="95"/>
  <c r="B37" i="95"/>
  <c r="T16" i="95" s="1"/>
  <c r="L36" i="95"/>
  <c r="J36" i="95"/>
  <c r="K36" i="95" s="1"/>
  <c r="B36" i="95"/>
  <c r="Q21" i="95"/>
  <c r="B31" i="95"/>
  <c r="B30" i="95"/>
  <c r="U29" i="95"/>
  <c r="K29" i="95"/>
  <c r="B27" i="95"/>
  <c r="O16" i="95" s="1"/>
  <c r="V26" i="95"/>
  <c r="T26" i="95"/>
  <c r="K26" i="95"/>
  <c r="J26" i="95"/>
  <c r="B26" i="95"/>
  <c r="G22" i="95"/>
  <c r="G21" i="95"/>
  <c r="G20" i="95"/>
  <c r="K16" i="95"/>
  <c r="B15" i="95"/>
  <c r="J15" i="95" s="1"/>
  <c r="V14" i="95"/>
  <c r="T14" i="95"/>
  <c r="U14" i="95" s="1"/>
  <c r="Q14" i="95"/>
  <c r="O14" i="95"/>
  <c r="P14" i="95" s="1"/>
  <c r="L14" i="95"/>
  <c r="J14" i="95"/>
  <c r="K14" i="95" s="1"/>
  <c r="B14" i="95"/>
  <c r="F11" i="95"/>
  <c r="G10" i="95"/>
  <c r="F10" i="95"/>
  <c r="B10" i="95"/>
  <c r="G9" i="95"/>
  <c r="F9" i="95"/>
  <c r="B9" i="95"/>
  <c r="G8" i="95"/>
  <c r="F8" i="95"/>
  <c r="B8" i="95"/>
  <c r="S7" i="95"/>
  <c r="L7" i="95"/>
  <c r="G7" i="95"/>
  <c r="F7" i="95"/>
  <c r="B7" i="95"/>
  <c r="S6" i="95"/>
  <c r="L6" i="95"/>
  <c r="G5" i="95"/>
  <c r="L4" i="95"/>
  <c r="G4" i="95"/>
  <c r="B4" i="95"/>
  <c r="L3" i="95"/>
  <c r="B3" i="95"/>
  <c r="B6" i="95"/>
  <c r="B5" i="95"/>
  <c r="P49" i="95"/>
  <c r="O49" i="95"/>
  <c r="N49" i="95"/>
  <c r="O48" i="95"/>
  <c r="N48" i="95"/>
  <c r="V39" i="95"/>
  <c r="P47" i="95"/>
  <c r="O45" i="95"/>
  <c r="C41" i="95"/>
  <c r="C40" i="95"/>
  <c r="C39" i="95"/>
  <c r="K39" i="95"/>
  <c r="V38" i="95"/>
  <c r="P38" i="95"/>
  <c r="O36" i="95"/>
  <c r="C31" i="95"/>
  <c r="J31" i="95"/>
  <c r="I31" i="95"/>
  <c r="P21" i="95"/>
  <c r="K30" i="95"/>
  <c r="J30" i="95"/>
  <c r="I30" i="95"/>
  <c r="C30" i="95"/>
  <c r="Q19" i="95"/>
  <c r="C29" i="95"/>
  <c r="U26" i="95"/>
  <c r="U22" i="95"/>
  <c r="Q22" i="95"/>
  <c r="P22" i="95"/>
  <c r="L22" i="95"/>
  <c r="V21" i="95"/>
  <c r="U21" i="95"/>
  <c r="V20" i="95"/>
  <c r="U20" i="95"/>
  <c r="Q20" i="95"/>
  <c r="P20" i="95"/>
  <c r="K20" i="95"/>
  <c r="V19" i="95"/>
  <c r="U19" i="95"/>
  <c r="P19" i="95"/>
  <c r="D5" i="95"/>
  <c r="B52" i="95"/>
  <c r="D62" i="95"/>
  <c r="Q26" i="95" s="1"/>
  <c r="H10" i="94"/>
  <c r="H9" i="94"/>
  <c r="L5" i="94"/>
  <c r="L4" i="94"/>
  <c r="L3" i="94" s="1"/>
  <c r="H7" i="94"/>
  <c r="H6" i="94"/>
  <c r="H5" i="94"/>
  <c r="H4" i="94"/>
  <c r="H3" i="94"/>
  <c r="S145" i="94"/>
  <c r="K169" i="94"/>
  <c r="M160" i="94"/>
  <c r="M161" i="94" s="1"/>
  <c r="G155" i="94"/>
  <c r="S153" i="94"/>
  <c r="I153" i="94"/>
  <c r="O147" i="94"/>
  <c r="O139" i="94"/>
  <c r="S137" i="94"/>
  <c r="O131" i="94"/>
  <c r="S129" i="94"/>
  <c r="O123" i="94"/>
  <c r="S121" i="94"/>
  <c r="O115" i="94"/>
  <c r="S113" i="94"/>
  <c r="O103" i="94"/>
  <c r="J103" i="94"/>
  <c r="S99" i="94"/>
  <c r="O89" i="94"/>
  <c r="J89" i="94"/>
  <c r="S85" i="94"/>
  <c r="I80" i="94"/>
  <c r="E79" i="94"/>
  <c r="E78" i="94"/>
  <c r="E77" i="94"/>
  <c r="E76" i="94"/>
  <c r="O75" i="94"/>
  <c r="J75" i="94"/>
  <c r="E75" i="94"/>
  <c r="S71" i="94"/>
  <c r="I66" i="94"/>
  <c r="E65" i="94"/>
  <c r="E64" i="94"/>
  <c r="E63" i="94"/>
  <c r="E62" i="94"/>
  <c r="O61" i="94"/>
  <c r="J61" i="94"/>
  <c r="E61" i="94"/>
  <c r="S57" i="94"/>
  <c r="I52" i="94"/>
  <c r="E51" i="94"/>
  <c r="E50" i="94"/>
  <c r="E49" i="94"/>
  <c r="J48" i="94"/>
  <c r="E48" i="94"/>
  <c r="O47" i="94"/>
  <c r="E47" i="94"/>
  <c r="S43" i="94"/>
  <c r="I38" i="94"/>
  <c r="E37" i="94"/>
  <c r="E36" i="94"/>
  <c r="E35" i="94"/>
  <c r="J34" i="94"/>
  <c r="E34" i="94"/>
  <c r="O33" i="94"/>
  <c r="E33" i="94"/>
  <c r="S29" i="94"/>
  <c r="I24" i="94"/>
  <c r="E23" i="94"/>
  <c r="E22" i="94"/>
  <c r="E21" i="94"/>
  <c r="J20" i="94"/>
  <c r="E20" i="94"/>
  <c r="O19" i="94"/>
  <c r="E19" i="94"/>
  <c r="S15" i="94"/>
  <c r="G45" i="94"/>
  <c r="L21" i="95" l="1"/>
  <c r="B13" i="95"/>
  <c r="O13" i="95"/>
  <c r="B25" i="95"/>
  <c r="T25" i="95"/>
  <c r="P48" i="95"/>
  <c r="K21" i="95"/>
  <c r="J35" i="95"/>
  <c r="T35" i="95"/>
  <c r="B75" i="95"/>
  <c r="J13" i="95"/>
  <c r="T13" i="95"/>
  <c r="O43" i="95"/>
  <c r="B45" i="95"/>
  <c r="B58" i="95"/>
  <c r="Q29" i="95"/>
  <c r="B67" i="95"/>
  <c r="S4" i="95"/>
  <c r="G6" i="95"/>
  <c r="J20" i="95"/>
  <c r="J25" i="95"/>
  <c r="O28" i="95"/>
  <c r="P28" i="95" s="1"/>
  <c r="O29" i="95" s="1"/>
  <c r="P29" i="95" s="1"/>
  <c r="O30" i="95" s="1"/>
  <c r="P30" i="95" s="1"/>
  <c r="O31" i="95" s="1"/>
  <c r="P31" i="95" s="1"/>
  <c r="O32" i="95" s="1"/>
  <c r="P32" i="95" s="1"/>
  <c r="K31" i="95"/>
  <c r="C19" i="95"/>
  <c r="B35" i="95"/>
  <c r="O35" i="95"/>
  <c r="M178" i="94"/>
  <c r="M176" i="94" s="1"/>
  <c r="G17" i="94"/>
  <c r="G31" i="94"/>
  <c r="S170" i="94"/>
  <c r="Q30" i="95" l="1"/>
  <c r="Q31" i="95"/>
  <c r="Q32" i="95"/>
  <c r="D67" i="95"/>
  <c r="D58" i="95"/>
  <c r="D45" i="95"/>
  <c r="Q43" i="95"/>
  <c r="L25" i="95"/>
  <c r="V13" i="95"/>
  <c r="D13" i="95"/>
  <c r="L13" i="95" s="1"/>
  <c r="D75" i="95"/>
  <c r="V35" i="95"/>
  <c r="L35" i="95"/>
  <c r="Q13" i="95"/>
  <c r="V25" i="95"/>
  <c r="D25" i="95"/>
  <c r="D52" i="95"/>
  <c r="Q35" i="95"/>
  <c r="D35" i="95"/>
  <c r="K22" i="95"/>
  <c r="C21" i="95"/>
  <c r="Q28" i="95"/>
  <c r="JJ34" i="72" l="1" a="1"/>
  <c r="JJ34" i="72" s="1"/>
  <c r="IM34" i="72" a="1"/>
  <c r="IM34" i="72" s="1"/>
  <c r="HP34" i="72" a="1"/>
  <c r="HP34" i="72" s="1"/>
  <c r="GS34" i="72" a="1"/>
  <c r="GS34" i="72" s="1"/>
  <c r="FV34" i="72" a="1"/>
  <c r="FV34" i="72" s="1"/>
  <c r="EY34" i="72" a="1"/>
  <c r="EY34" i="72" s="1"/>
  <c r="EB34" i="72" a="1"/>
  <c r="EB34" i="72" s="1"/>
  <c r="DE34" i="72" a="1"/>
  <c r="DE34" i="72" s="1"/>
  <c r="CH34" i="72" a="1"/>
  <c r="CH34" i="72" s="1"/>
  <c r="BK34" i="72" a="1"/>
  <c r="BK34" i="72" s="1"/>
  <c r="JJ33" i="72" a="1"/>
  <c r="JJ33" i="72" s="1"/>
  <c r="IM33" i="72" a="1"/>
  <c r="IM33" i="72" s="1"/>
  <c r="HP33" i="72" a="1"/>
  <c r="HP33" i="72" s="1"/>
  <c r="GS33" i="72" a="1"/>
  <c r="GS33" i="72" s="1"/>
  <c r="FV33" i="72" a="1"/>
  <c r="FV33" i="72" s="1"/>
  <c r="EY33" i="72" a="1"/>
  <c r="EY33" i="72" s="1"/>
  <c r="EB33" i="72" a="1"/>
  <c r="EB33" i="72" s="1"/>
  <c r="DE33" i="72" a="1"/>
  <c r="DE33" i="72" s="1"/>
  <c r="CH33" i="72" a="1"/>
  <c r="CH33" i="72" s="1"/>
  <c r="BK33" i="72" a="1"/>
  <c r="BK33" i="72" s="1"/>
  <c r="JJ32" i="72" a="1"/>
  <c r="JJ32" i="72" s="1"/>
  <c r="IM32" i="72" a="1"/>
  <c r="IM32" i="72" s="1"/>
  <c r="HP32" i="72" a="1"/>
  <c r="HP32" i="72" s="1"/>
  <c r="GS32" i="72" a="1"/>
  <c r="GS32" i="72" s="1"/>
  <c r="FV32" i="72" a="1"/>
  <c r="FV32" i="72" s="1"/>
  <c r="EY32" i="72" a="1"/>
  <c r="EY32" i="72" s="1"/>
  <c r="EB32" i="72" a="1"/>
  <c r="EB32" i="72" s="1"/>
  <c r="DE32" i="72" a="1"/>
  <c r="DE32" i="72" s="1"/>
  <c r="CH32" i="72" a="1"/>
  <c r="CH32" i="72" s="1"/>
  <c r="BK32" i="72" a="1"/>
  <c r="BK32" i="72" s="1"/>
  <c r="JJ31" i="72"/>
  <c r="JJ31" i="72" a="1"/>
  <c r="IM31" i="72" a="1"/>
  <c r="IM31" i="72" s="1"/>
  <c r="HP31" i="72"/>
  <c r="HP31" i="72" a="1"/>
  <c r="GS31" i="72" a="1"/>
  <c r="GS31" i="72" s="1"/>
  <c r="FV31" i="72" a="1"/>
  <c r="FV31" i="72" s="1"/>
  <c r="EY31" i="72" a="1"/>
  <c r="EY31" i="72" s="1"/>
  <c r="EB31" i="72" a="1"/>
  <c r="EB31" i="72" s="1"/>
  <c r="DE31" i="72" a="1"/>
  <c r="DE31" i="72" s="1"/>
  <c r="CH31" i="72"/>
  <c r="CH31" i="72" a="1"/>
  <c r="BK31" i="72" a="1"/>
  <c r="BK31" i="72" s="1"/>
  <c r="JJ30" i="72"/>
  <c r="JJ30" i="72" a="1"/>
  <c r="IM30" i="72" a="1"/>
  <c r="IM30" i="72" s="1"/>
  <c r="HP30" i="72"/>
  <c r="HP30" i="72" a="1"/>
  <c r="GS30" i="72" a="1"/>
  <c r="GS30" i="72" s="1"/>
  <c r="FV30" i="72" a="1"/>
  <c r="FV30" i="72" s="1"/>
  <c r="EY30" i="72" a="1"/>
  <c r="EY30" i="72" s="1"/>
  <c r="EB30" i="72" a="1"/>
  <c r="EB30" i="72" s="1"/>
  <c r="DE30" i="72" a="1"/>
  <c r="DE30" i="72" s="1"/>
  <c r="CH30" i="72" a="1"/>
  <c r="CH30" i="72" s="1"/>
  <c r="BK30" i="72" a="1"/>
  <c r="BK30" i="72" s="1"/>
  <c r="JJ29" i="72" a="1"/>
  <c r="JJ29" i="72" s="1"/>
  <c r="IM29" i="72"/>
  <c r="IM29" i="72" a="1"/>
  <c r="HP29" i="72" a="1"/>
  <c r="HP29" i="72" s="1"/>
  <c r="GS29" i="72" a="1"/>
  <c r="GS29" i="72" s="1"/>
  <c r="FV29" i="72" a="1"/>
  <c r="FV29" i="72" s="1"/>
  <c r="EY29" i="72" a="1"/>
  <c r="EY29" i="72" s="1"/>
  <c r="EB29" i="72" a="1"/>
  <c r="EB29" i="72" s="1"/>
  <c r="DE29" i="72" a="1"/>
  <c r="DE29" i="72" s="1"/>
  <c r="CH29" i="72" a="1"/>
  <c r="CH29" i="72" s="1"/>
  <c r="BK29" i="72" a="1"/>
  <c r="BK29" i="72" s="1"/>
  <c r="JJ28" i="72" a="1"/>
  <c r="JJ28" i="72" s="1"/>
  <c r="IM28" i="72" a="1"/>
  <c r="IM28" i="72" s="1"/>
  <c r="HP28" i="72"/>
  <c r="HP28" i="72" a="1"/>
  <c r="GS28" i="72" a="1"/>
  <c r="GS28" i="72" s="1"/>
  <c r="FV28" i="72" a="1"/>
  <c r="FV28" i="72" s="1"/>
  <c r="EY28" i="72" a="1"/>
  <c r="EY28" i="72" s="1"/>
  <c r="EB28" i="72" a="1"/>
  <c r="EB28" i="72" s="1"/>
  <c r="DE28" i="72" a="1"/>
  <c r="DE28" i="72" s="1"/>
  <c r="CH28" i="72"/>
  <c r="CH28" i="72" a="1"/>
  <c r="BK28" i="72" a="1"/>
  <c r="BK28" i="72" s="1"/>
  <c r="JJ27" i="72" a="1"/>
  <c r="JJ27" i="72" s="1"/>
  <c r="IM27" i="72"/>
  <c r="IM27" i="72" a="1"/>
  <c r="HP27" i="72" a="1"/>
  <c r="HP27" i="72" s="1"/>
  <c r="GS27" i="72"/>
  <c r="GS27" i="72" a="1"/>
  <c r="FV27" i="72" a="1"/>
  <c r="FV27" i="72" s="1"/>
  <c r="EY27" i="72"/>
  <c r="EY27" i="72" a="1"/>
  <c r="EB27" i="72"/>
  <c r="EB27" i="72" a="1"/>
  <c r="DE27" i="72" a="1"/>
  <c r="DE27" i="72" s="1"/>
  <c r="CH27" i="72"/>
  <c r="CH27" i="72" a="1"/>
  <c r="BK27" i="72"/>
  <c r="BK27" i="72" a="1"/>
  <c r="JJ26" i="72"/>
  <c r="JJ26" i="72" a="1"/>
  <c r="IM26" i="72" a="1"/>
  <c r="IM26" i="72" s="1"/>
  <c r="HP26" i="72" a="1"/>
  <c r="HP26" i="72" s="1"/>
  <c r="GS26" i="72" a="1"/>
  <c r="GS26" i="72" s="1"/>
  <c r="FV26" i="72"/>
  <c r="FV26" i="72" a="1"/>
  <c r="EY26" i="72" a="1"/>
  <c r="EY26" i="72" s="1"/>
  <c r="EB26" i="72" a="1"/>
  <c r="EB26" i="72" s="1"/>
  <c r="DE26" i="72"/>
  <c r="DE26" i="72" a="1"/>
  <c r="CH26" i="72" a="1"/>
  <c r="CH26" i="72" s="1"/>
  <c r="BK26" i="72"/>
  <c r="BK26" i="72" a="1"/>
  <c r="JJ25" i="72" a="1"/>
  <c r="JJ25" i="72" s="1"/>
  <c r="IM25" i="72"/>
  <c r="IM25" i="72" a="1"/>
  <c r="HP25" i="72"/>
  <c r="HP25" i="72" a="1"/>
  <c r="GS25" i="72" a="1"/>
  <c r="GS25" i="72" s="1"/>
  <c r="FV25" i="72"/>
  <c r="FV25" i="72" a="1"/>
  <c r="EY25" i="72"/>
  <c r="EY25" i="72" a="1"/>
  <c r="EB25" i="72"/>
  <c r="EB25" i="72" a="1"/>
  <c r="DE25" i="72" a="1"/>
  <c r="DE25" i="72" s="1"/>
  <c r="CH25" i="72" a="1"/>
  <c r="CH25" i="72" s="1"/>
  <c r="BK25" i="72" a="1"/>
  <c r="BK25" i="72" s="1"/>
  <c r="JJ24" i="72"/>
  <c r="JJ24" i="72" a="1"/>
  <c r="IM24" i="72"/>
  <c r="IM24" i="72" a="1"/>
  <c r="HP24" i="72" a="1"/>
  <c r="HP24" i="72" s="1"/>
  <c r="GS24" i="72"/>
  <c r="GS24" i="72" a="1"/>
  <c r="FV24" i="72" a="1"/>
  <c r="FV24" i="72" s="1"/>
  <c r="EY24" i="72"/>
  <c r="EY24" i="72" a="1"/>
  <c r="EB24" i="72"/>
  <c r="EB24" i="72" a="1"/>
  <c r="DE24" i="72"/>
  <c r="DE24" i="72" a="1"/>
  <c r="CH24" i="72"/>
  <c r="CH24" i="72" a="1"/>
  <c r="BK24" i="72"/>
  <c r="BK24" i="72" a="1"/>
  <c r="JJ23" i="72"/>
  <c r="JJ23" i="72" a="1"/>
  <c r="IM23" i="72"/>
  <c r="IM23" i="72" a="1"/>
  <c r="HP23" i="72" a="1"/>
  <c r="HP23" i="72" s="1"/>
  <c r="GS23" i="72" a="1"/>
  <c r="GS23" i="72" s="1"/>
  <c r="FV23" i="72" a="1"/>
  <c r="FV23" i="72" s="1"/>
  <c r="EY23" i="72" a="1"/>
  <c r="EY23" i="72" s="1"/>
  <c r="EB23" i="72" a="1"/>
  <c r="EB23" i="72" s="1"/>
  <c r="DE23" i="72"/>
  <c r="DE23" i="72" a="1"/>
  <c r="CH23" i="72" a="1"/>
  <c r="CH23" i="72" s="1"/>
  <c r="BK23" i="72" a="1"/>
  <c r="BK23" i="72" s="1"/>
  <c r="JJ22" i="72" a="1"/>
  <c r="JJ22" i="72" s="1"/>
  <c r="IM22" i="72" a="1"/>
  <c r="IM22" i="72" s="1"/>
  <c r="HP22" i="72" a="1"/>
  <c r="HP22" i="72" s="1"/>
  <c r="GS22" i="72" a="1"/>
  <c r="GS22" i="72" s="1"/>
  <c r="FV22" i="72" a="1"/>
  <c r="FV22" i="72" s="1"/>
  <c r="EY22" i="72"/>
  <c r="EY22" i="72" a="1"/>
  <c r="EB22" i="72" a="1"/>
  <c r="EB22" i="72" s="1"/>
  <c r="DE22" i="72"/>
  <c r="DE22" i="72" a="1"/>
  <c r="CH22" i="72" a="1"/>
  <c r="CH22" i="72" s="1"/>
  <c r="BK22" i="72" a="1"/>
  <c r="BK22" i="72" s="1"/>
  <c r="JJ21" i="72"/>
  <c r="JJ21" i="72" a="1"/>
  <c r="IM21" i="72" a="1"/>
  <c r="IM21" i="72" s="1"/>
  <c r="HP21" i="72" a="1"/>
  <c r="HP21" i="72" s="1"/>
  <c r="GS21" i="72" a="1"/>
  <c r="GS21" i="72" s="1"/>
  <c r="FV21" i="72" a="1"/>
  <c r="FV21" i="72" s="1"/>
  <c r="EY21" i="72" a="1"/>
  <c r="EY21" i="72" s="1"/>
  <c r="EB21" i="72"/>
  <c r="EB21" i="72" a="1"/>
  <c r="DE21" i="72" a="1"/>
  <c r="DE21" i="72" s="1"/>
  <c r="CH21" i="72" a="1"/>
  <c r="CH21" i="72" s="1"/>
  <c r="BK21" i="72" a="1"/>
  <c r="BK21" i="72" s="1"/>
  <c r="JJ20" i="72" a="1"/>
  <c r="JJ20" i="72" s="1"/>
  <c r="IM20" i="72" a="1"/>
  <c r="IM20" i="72" s="1"/>
  <c r="HP20" i="72" a="1"/>
  <c r="HP20" i="72" s="1"/>
  <c r="GS20" i="72" a="1"/>
  <c r="GS20" i="72" s="1"/>
  <c r="FV20" i="72" a="1"/>
  <c r="FV20" i="72" s="1"/>
  <c r="EY20" i="72" a="1"/>
  <c r="EY20" i="72" s="1"/>
  <c r="EB20" i="72" a="1"/>
  <c r="EB20" i="72" s="1"/>
  <c r="DE20" i="72" a="1"/>
  <c r="DE20" i="72" s="1"/>
  <c r="CH20" i="72" a="1"/>
  <c r="CH20" i="72" s="1"/>
  <c r="BK20" i="72" a="1"/>
  <c r="BK20" i="72" s="1"/>
  <c r="JJ19" i="72" a="1"/>
  <c r="JJ19" i="72" s="1"/>
  <c r="IM19" i="72" a="1"/>
  <c r="IM19" i="72" s="1"/>
  <c r="HP19" i="72" a="1"/>
  <c r="HP19" i="72" s="1"/>
  <c r="GS19" i="72" a="1"/>
  <c r="GS19" i="72" s="1"/>
  <c r="FV19" i="72" a="1"/>
  <c r="FV19" i="72" s="1"/>
  <c r="EY19" i="72" a="1"/>
  <c r="EY19" i="72" s="1"/>
  <c r="EB19" i="72" a="1"/>
  <c r="EB19" i="72" s="1"/>
  <c r="DE19" i="72" a="1"/>
  <c r="DE19" i="72" s="1"/>
  <c r="CH19" i="72" a="1"/>
  <c r="CH19" i="72" s="1"/>
  <c r="BK19" i="72"/>
  <c r="BK19" i="72" a="1"/>
  <c r="JJ18" i="72" a="1"/>
  <c r="JJ18" i="72" s="1"/>
  <c r="IM18" i="72" a="1"/>
  <c r="IM18" i="72" s="1"/>
  <c r="HP18" i="72" a="1"/>
  <c r="HP18" i="72" s="1"/>
  <c r="GS18" i="72"/>
  <c r="GS18" i="72" a="1"/>
  <c r="FV18" i="72" a="1"/>
  <c r="FV18" i="72" s="1"/>
  <c r="EY18" i="72" a="1"/>
  <c r="EY18" i="72" s="1"/>
  <c r="EB18" i="72" a="1"/>
  <c r="EB18" i="72" s="1"/>
  <c r="DE18" i="72"/>
  <c r="DE18" i="72" a="1"/>
  <c r="CH18" i="72" a="1"/>
  <c r="CH18" i="72" s="1"/>
  <c r="BK18" i="72" a="1"/>
  <c r="BK18" i="72" s="1"/>
  <c r="JJ17" i="72" a="1"/>
  <c r="JJ17" i="72" s="1"/>
  <c r="IM17" i="72"/>
  <c r="IM17" i="72" a="1"/>
  <c r="HP17" i="72" a="1"/>
  <c r="HP17" i="72" s="1"/>
  <c r="GS17" i="72" a="1"/>
  <c r="GS17" i="72" s="1"/>
  <c r="FV17" i="72" a="1"/>
  <c r="FV17" i="72" s="1"/>
  <c r="EY17" i="72" a="1"/>
  <c r="EY17" i="72" s="1"/>
  <c r="EB17" i="72" a="1"/>
  <c r="EB17" i="72" s="1"/>
  <c r="DE17" i="72" a="1"/>
  <c r="DE17" i="72" s="1"/>
  <c r="CH17" i="72" a="1"/>
  <c r="CH17" i="72" s="1"/>
  <c r="BK17" i="72"/>
  <c r="BK17" i="72" a="1"/>
  <c r="JJ16" i="72" a="1"/>
  <c r="JJ16" i="72" s="1"/>
  <c r="IM16" i="72" a="1"/>
  <c r="IM16" i="72" s="1"/>
  <c r="HP16" i="72" a="1"/>
  <c r="HP16" i="72" s="1"/>
  <c r="GS16" i="72"/>
  <c r="GS16" i="72" a="1"/>
  <c r="FV16" i="72" a="1"/>
  <c r="FV16" i="72" s="1"/>
  <c r="EY16" i="72" a="1"/>
  <c r="EY16" i="72" s="1"/>
  <c r="EB16" i="72" a="1"/>
  <c r="EB16" i="72" s="1"/>
  <c r="DE16" i="72"/>
  <c r="DE16" i="72" a="1"/>
  <c r="CH16" i="72" a="1"/>
  <c r="CH16" i="72" s="1"/>
  <c r="BK16" i="72"/>
  <c r="BK16" i="72" a="1"/>
  <c r="JJ15" i="72" a="1"/>
  <c r="JJ15" i="72" s="1"/>
  <c r="IM15" i="72" a="1"/>
  <c r="IM15" i="72" s="1"/>
  <c r="HP15" i="72" a="1"/>
  <c r="HP15" i="72" s="1"/>
  <c r="GS15" i="72" a="1"/>
  <c r="GS15" i="72" s="1"/>
  <c r="FV15" i="72" a="1"/>
  <c r="FV15" i="72" s="1"/>
  <c r="EY15" i="72" a="1"/>
  <c r="EY15" i="72" s="1"/>
  <c r="EB15" i="72" a="1"/>
  <c r="EB15" i="72" s="1"/>
  <c r="DE15" i="72" a="1"/>
  <c r="DE15" i="72" s="1"/>
  <c r="CH15" i="72" a="1"/>
  <c r="CH15" i="72" s="1"/>
  <c r="BK15" i="72" a="1"/>
  <c r="BK15" i="72" s="1"/>
  <c r="JJ14" i="72" a="1"/>
  <c r="JJ14" i="72" s="1"/>
  <c r="IM14" i="72" a="1"/>
  <c r="IM14" i="72" s="1"/>
  <c r="HP14" i="72" a="1"/>
  <c r="HP14" i="72" s="1"/>
  <c r="GS14" i="72" a="1"/>
  <c r="GS14" i="72" s="1"/>
  <c r="FV14" i="72" a="1"/>
  <c r="FV14" i="72" s="1"/>
  <c r="EY14" i="72" a="1"/>
  <c r="EY14" i="72" s="1"/>
  <c r="EB14" i="72" a="1"/>
  <c r="EB14" i="72" s="1"/>
  <c r="DE14" i="72" a="1"/>
  <c r="DE14" i="72" s="1"/>
  <c r="CH14" i="72" a="1"/>
  <c r="CH14" i="72" s="1"/>
  <c r="BK14" i="72" a="1"/>
  <c r="BK14" i="72" s="1"/>
  <c r="AG15" i="75" l="1"/>
  <c r="JI15" i="72" s="1"/>
  <c r="AG14" i="75"/>
  <c r="IL18" i="72" s="1"/>
  <c r="AG13" i="75"/>
  <c r="HO21" i="72" s="1"/>
  <c r="AG12" i="75"/>
  <c r="GR16" i="72" s="1"/>
  <c r="AG11" i="75"/>
  <c r="FU19" i="72" s="1"/>
  <c r="AG10" i="75"/>
  <c r="EX22" i="72" s="1"/>
  <c r="AG9" i="75"/>
  <c r="EA17" i="72" s="1"/>
  <c r="AG8" i="75"/>
  <c r="DD20" i="72" s="1"/>
  <c r="AG7" i="75"/>
  <c r="CG15" i="72" s="1"/>
  <c r="AG6" i="75"/>
  <c r="BJ14" i="72" s="1"/>
  <c r="AG1" i="75"/>
  <c r="O15" i="75"/>
  <c r="O14" i="75"/>
  <c r="O13" i="75"/>
  <c r="O12" i="75"/>
  <c r="O11" i="75"/>
  <c r="O10" i="75"/>
  <c r="O9" i="75"/>
  <c r="O8" i="75"/>
  <c r="O7" i="75"/>
  <c r="O6" i="75"/>
  <c r="L15" i="75"/>
  <c r="L14" i="75"/>
  <c r="L13" i="75"/>
  <c r="L12" i="75"/>
  <c r="L11" i="75"/>
  <c r="L10" i="75"/>
  <c r="L9" i="75"/>
  <c r="L8" i="75"/>
  <c r="L7" i="75"/>
  <c r="L6" i="75"/>
  <c r="JI22" i="72" l="1"/>
  <c r="JI21" i="72"/>
  <c r="JI28" i="72"/>
  <c r="JI20" i="72"/>
  <c r="JI14" i="72"/>
  <c r="JI27" i="72"/>
  <c r="JI19" i="72"/>
  <c r="JI30" i="72"/>
  <c r="JI34" i="72"/>
  <c r="JI26" i="72"/>
  <c r="JI18" i="72"/>
  <c r="JI29" i="72"/>
  <c r="JI33" i="72"/>
  <c r="JI25" i="72"/>
  <c r="JI17" i="72"/>
  <c r="JI32" i="72"/>
  <c r="JI24" i="72"/>
  <c r="JI16" i="72"/>
  <c r="JI31" i="72"/>
  <c r="JI23" i="72"/>
  <c r="IL32" i="72"/>
  <c r="IL24" i="72"/>
  <c r="IL16" i="72"/>
  <c r="IL31" i="72"/>
  <c r="IL23" i="72"/>
  <c r="IL15" i="72"/>
  <c r="IL17" i="72"/>
  <c r="IL30" i="72"/>
  <c r="IL22" i="72"/>
  <c r="IL29" i="72"/>
  <c r="IL21" i="72"/>
  <c r="IL33" i="72"/>
  <c r="IL28" i="72"/>
  <c r="IL20" i="72"/>
  <c r="IL25" i="72"/>
  <c r="IL14" i="72"/>
  <c r="IL27" i="72"/>
  <c r="IL19" i="72"/>
  <c r="IL34" i="72"/>
  <c r="IL26" i="72"/>
  <c r="HO28" i="72"/>
  <c r="HO20" i="72"/>
  <c r="HO14" i="72"/>
  <c r="HO27" i="72"/>
  <c r="HO19" i="72"/>
  <c r="HO34" i="72"/>
  <c r="HO26" i="72"/>
  <c r="HO18" i="72"/>
  <c r="HO25" i="72"/>
  <c r="HO17" i="72"/>
  <c r="HO32" i="72"/>
  <c r="HO24" i="72"/>
  <c r="HO16" i="72"/>
  <c r="HO33" i="72"/>
  <c r="HO31" i="72"/>
  <c r="HO23" i="72"/>
  <c r="HO15" i="72"/>
  <c r="HO30" i="72"/>
  <c r="HO22" i="72"/>
  <c r="HO29" i="72"/>
  <c r="GR31" i="72"/>
  <c r="GR23" i="72"/>
  <c r="GR15" i="72"/>
  <c r="GR30" i="72"/>
  <c r="GR22" i="72"/>
  <c r="GR29" i="72"/>
  <c r="GR21" i="72"/>
  <c r="GR28" i="72"/>
  <c r="GR20" i="72"/>
  <c r="GR14" i="72"/>
  <c r="GR27" i="72"/>
  <c r="GR19" i="72"/>
  <c r="GR34" i="72"/>
  <c r="GR26" i="72"/>
  <c r="GR18" i="72"/>
  <c r="GR33" i="72"/>
  <c r="GR25" i="72"/>
  <c r="GR17" i="72"/>
  <c r="GR32" i="72"/>
  <c r="GR24"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AA39" i="72" l="1"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F17" i="57"/>
  <c r="L25" i="57" l="1"/>
  <c r="M5" i="90"/>
  <c r="L30" i="57"/>
  <c r="L24" i="57"/>
  <c r="L29" i="57"/>
  <c r="L32" i="57"/>
  <c r="L28" i="57"/>
  <c r="L31" i="57"/>
  <c r="L27" i="57"/>
  <c r="L23" i="57"/>
  <c r="L26" i="57"/>
  <c r="G26" i="74"/>
  <c r="Z9" i="74" l="1"/>
  <c r="C20" i="69" l="1"/>
  <c r="X1" i="12" l="1"/>
  <c r="AE15"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F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R10" i="75" l="1"/>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W12" i="75"/>
  <c r="W15" i="75"/>
  <c r="W11" i="75"/>
  <c r="W13" i="75"/>
  <c r="W9" i="75"/>
  <c r="W14" i="75"/>
  <c r="W10" i="75"/>
  <c r="H75" i="59"/>
  <c r="H74" i="59"/>
  <c r="H76" i="59"/>
  <c r="H73" i="59"/>
  <c r="D4" i="74"/>
  <c r="C19" i="43"/>
  <c r="AZ11" i="75" l="1"/>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E36" i="12" s="1"/>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D6" i="75" s="1"/>
  <c r="BB9" i="75"/>
  <c r="BD9" i="75" s="1"/>
  <c r="BA14" i="75"/>
  <c r="BB13" i="75"/>
  <c r="BD13" i="75" s="1"/>
  <c r="BA16" i="75" l="1"/>
  <c r="E35" i="11" s="1"/>
  <c r="BD16" i="75"/>
  <c r="E36" i="11" s="1"/>
  <c r="H32" i="70"/>
  <c r="U130" i="61" l="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O4" i="75"/>
  <c r="K13" i="75"/>
  <c r="AM13" i="75" s="1"/>
  <c r="K9" i="75"/>
  <c r="AM9" i="75" s="1"/>
  <c r="K12" i="75"/>
  <c r="AM12" i="75" s="1"/>
  <c r="K8" i="75"/>
  <c r="K15" i="75"/>
  <c r="AM15" i="75" s="1"/>
  <c r="K11" i="75"/>
  <c r="AM11" i="75" s="1"/>
  <c r="K7" i="75"/>
  <c r="K14" i="75"/>
  <c r="AM14" i="75" s="1"/>
  <c r="K10" i="75"/>
  <c r="AM10" i="75" s="1"/>
  <c r="K6" i="75"/>
  <c r="P3"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JA5" i="72" s="1"/>
  <c r="ID1" i="72"/>
  <c r="ID5" i="72" s="1"/>
  <c r="HG1" i="72"/>
  <c r="HG5" i="72" s="1"/>
  <c r="GJ1" i="72"/>
  <c r="GJ5" i="72" s="1"/>
  <c r="FM1" i="72"/>
  <c r="EP1" i="72"/>
  <c r="DS1" i="72"/>
  <c r="DS5" i="72" s="1"/>
  <c r="CV1" i="72"/>
  <c r="CV5" i="72" s="1"/>
  <c r="H3" i="70"/>
  <c r="EP5" i="72" l="1"/>
  <c r="FM5" i="72"/>
  <c r="JK15" i="72"/>
  <c r="JK26" i="72"/>
  <c r="JK32" i="72"/>
  <c r="JK20" i="72"/>
  <c r="JK29" i="72"/>
  <c r="JK27" i="72"/>
  <c r="JK33" i="72"/>
  <c r="JK16" i="72"/>
  <c r="JK18" i="72"/>
  <c r="JK28" i="72"/>
  <c r="JK34" i="72"/>
  <c r="JK24" i="72"/>
  <c r="JK23" i="72"/>
  <c r="JK14" i="72"/>
  <c r="JK22" i="72"/>
  <c r="IN23" i="72"/>
  <c r="IN14" i="72"/>
  <c r="IN31" i="72"/>
  <c r="IN33" i="72"/>
  <c r="IN27" i="72"/>
  <c r="IN18" i="72"/>
  <c r="IN32" i="72"/>
  <c r="IN29" i="72"/>
  <c r="IN19" i="72"/>
  <c r="IN17" i="72"/>
  <c r="IN22" i="72"/>
  <c r="IN25" i="72"/>
  <c r="IN15" i="72"/>
  <c r="IN28" i="72"/>
  <c r="IN24" i="72"/>
  <c r="HQ16" i="72"/>
  <c r="HQ29" i="72"/>
  <c r="HQ32" i="72"/>
  <c r="HQ28" i="72"/>
  <c r="HQ15" i="72"/>
  <c r="HQ34" i="72"/>
  <c r="HQ17" i="72"/>
  <c r="HQ24" i="72"/>
  <c r="HQ30" i="72"/>
  <c r="HQ25" i="72"/>
  <c r="HQ33" i="72"/>
  <c r="HQ14" i="72"/>
  <c r="HQ27" i="72"/>
  <c r="HQ21" i="72"/>
  <c r="HQ31" i="72"/>
  <c r="GT19" i="72"/>
  <c r="GT28" i="72"/>
  <c r="GT31" i="72"/>
  <c r="GT14" i="72"/>
  <c r="GT20" i="72"/>
  <c r="GT30" i="72"/>
  <c r="GT22" i="72"/>
  <c r="GT26" i="72"/>
  <c r="GT27" i="72"/>
  <c r="GT23" i="72"/>
  <c r="GT34" i="72"/>
  <c r="GT21" i="72"/>
  <c r="GT24" i="72"/>
  <c r="GT17" i="72"/>
  <c r="GT32" i="72"/>
  <c r="GT25" i="72"/>
  <c r="FW22" i="72"/>
  <c r="FW19" i="72"/>
  <c r="FW33" i="72"/>
  <c r="FW32" i="72"/>
  <c r="FW28" i="72"/>
  <c r="FW20" i="72"/>
  <c r="FW17" i="72"/>
  <c r="FW34" i="72"/>
  <c r="FW30" i="72"/>
  <c r="FW16" i="72"/>
  <c r="FW21" i="72"/>
  <c r="FW27" i="72"/>
  <c r="FW14" i="72"/>
  <c r="FW24" i="72"/>
  <c r="FW18" i="72"/>
  <c r="FW23" i="72"/>
  <c r="FW26" i="72"/>
  <c r="EZ18" i="72"/>
  <c r="EZ28" i="72"/>
  <c r="EZ24" i="72"/>
  <c r="EZ16" i="72"/>
  <c r="EZ25" i="72"/>
  <c r="EZ19" i="72"/>
  <c r="EZ29" i="72"/>
  <c r="EZ32" i="72"/>
  <c r="EZ23" i="72"/>
  <c r="EZ17" i="72"/>
  <c r="EZ22" i="72"/>
  <c r="EZ33" i="72"/>
  <c r="EZ27" i="72"/>
  <c r="EZ20" i="72"/>
  <c r="EZ15" i="72"/>
  <c r="EZ14" i="72"/>
  <c r="EC22" i="72"/>
  <c r="EC26" i="72"/>
  <c r="EC24" i="72"/>
  <c r="EC30" i="72"/>
  <c r="EC28" i="72"/>
  <c r="EC18" i="72"/>
  <c r="EC33" i="72"/>
  <c r="EC32" i="72"/>
  <c r="EC14" i="72"/>
  <c r="EC20" i="72"/>
  <c r="EC34" i="72"/>
  <c r="EC31" i="72"/>
  <c r="EC23" i="72"/>
  <c r="EC19" i="72"/>
  <c r="EC16" i="72"/>
  <c r="EC29" i="72"/>
  <c r="EC15" i="72"/>
  <c r="EC25" i="72"/>
  <c r="DF22" i="72"/>
  <c r="DF17" i="72"/>
  <c r="DF18" i="72"/>
  <c r="DF34" i="72"/>
  <c r="DF20" i="72"/>
  <c r="DF33" i="72"/>
  <c r="DF19" i="72"/>
  <c r="DF27" i="72"/>
  <c r="DF16" i="72"/>
  <c r="DF23" i="72"/>
  <c r="DF14" i="72"/>
  <c r="DF21" i="72"/>
  <c r="DF24" i="72"/>
  <c r="DF28" i="72"/>
  <c r="DF25" i="72"/>
  <c r="DF30" i="72"/>
  <c r="DF31" i="72"/>
  <c r="CI25" i="72"/>
  <c r="CI16" i="72"/>
  <c r="CI28" i="72"/>
  <c r="CI34" i="72"/>
  <c r="CI17" i="72"/>
  <c r="CI20" i="72"/>
  <c r="CI31" i="72"/>
  <c r="CI14" i="72"/>
  <c r="CI18" i="72"/>
  <c r="CI24" i="72"/>
  <c r="CI23" i="72"/>
  <c r="CI19" i="72"/>
  <c r="CI32" i="72"/>
  <c r="CI30" i="72"/>
  <c r="CI15" i="72"/>
  <c r="CI27" i="72"/>
  <c r="CI26" i="72"/>
  <c r="CI29" i="72"/>
  <c r="BL21" i="72"/>
  <c r="BL16" i="72"/>
  <c r="BL20" i="72"/>
  <c r="BL24" i="72"/>
  <c r="BL30" i="72"/>
  <c r="BL26" i="72"/>
  <c r="BL18" i="72"/>
  <c r="BL27" i="72"/>
  <c r="BL31" i="72"/>
  <c r="BL33" i="72"/>
  <c r="BL28" i="72"/>
  <c r="BL25" i="72"/>
  <c r="BL32" i="72"/>
  <c r="BL34" i="72"/>
  <c r="BL17" i="72"/>
  <c r="BL29" i="72"/>
  <c r="BL22" i="72"/>
  <c r="BL15" i="72"/>
  <c r="BL19" i="72"/>
  <c r="BL23" i="72"/>
  <c r="JK30" i="72"/>
  <c r="JK25" i="72"/>
  <c r="JK19" i="72"/>
  <c r="JK17" i="72"/>
  <c r="JK21" i="72"/>
  <c r="IN30" i="72"/>
  <c r="IN20" i="72"/>
  <c r="IN34" i="72"/>
  <c r="IN26" i="72"/>
  <c r="IN21" i="72"/>
  <c r="IN16" i="72"/>
  <c r="HQ22" i="72"/>
  <c r="HQ23" i="72"/>
  <c r="HQ19" i="72"/>
  <c r="HQ18" i="72"/>
  <c r="GT33" i="72"/>
  <c r="GT16" i="72"/>
  <c r="FW25" i="72"/>
  <c r="FW15" i="72"/>
  <c r="FW31" i="72"/>
  <c r="FW29" i="72"/>
  <c r="EZ26" i="72"/>
  <c r="EZ30" i="72"/>
  <c r="EZ34" i="72"/>
  <c r="EC27" i="72"/>
  <c r="EC17" i="72"/>
  <c r="DF32" i="72"/>
  <c r="DF26" i="72"/>
  <c r="DF29" i="72"/>
  <c r="CI33" i="72"/>
  <c r="CI22" i="72"/>
  <c r="DF15" i="72"/>
  <c r="EC21" i="72"/>
  <c r="EZ31" i="72"/>
  <c r="EZ21" i="72"/>
  <c r="HQ20" i="72"/>
  <c r="HQ26" i="72"/>
  <c r="GT18" i="72"/>
  <c r="GT29" i="72"/>
  <c r="GT15" i="72"/>
  <c r="CI21" i="72"/>
  <c r="JK31" i="72"/>
  <c r="JA7" i="72"/>
  <c r="JA53" i="72"/>
  <c r="ID7" i="72"/>
  <c r="ID53" i="72"/>
  <c r="HG7" i="72"/>
  <c r="HG53" i="72"/>
  <c r="GJ7" i="72"/>
  <c r="GJ53" i="72"/>
  <c r="FM7" i="72"/>
  <c r="FM53" i="72"/>
  <c r="EP7" i="72"/>
  <c r="EP53" i="72"/>
  <c r="DS7" i="72"/>
  <c r="DS53" i="72"/>
  <c r="CV7" i="72"/>
  <c r="CV53" i="72"/>
  <c r="BY7" i="72"/>
  <c r="BY53" i="72"/>
  <c r="BB48" i="72"/>
  <c r="BB53" i="72"/>
  <c r="K17" i="75"/>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GZ29" i="72" l="1" a="1"/>
  <c r="GZ29" i="72" s="1"/>
  <c r="GY29" i="72" a="1"/>
  <c r="GY29" i="72" s="1"/>
  <c r="HB29" i="72" a="1"/>
  <c r="HB29" i="72" s="1"/>
  <c r="GG29" i="72" a="1"/>
  <c r="GG29" i="72" s="1"/>
  <c r="GX29" i="72" a="1"/>
  <c r="GX29" i="72" s="1"/>
  <c r="GW29" i="72" a="1"/>
  <c r="GW29" i="72" s="1"/>
  <c r="GV29" i="72" a="1"/>
  <c r="GV29" i="72" s="1"/>
  <c r="GU29" i="72" a="1"/>
  <c r="GU29" i="72" s="1"/>
  <c r="HA29" i="72" a="1"/>
  <c r="HA29" i="72" s="1"/>
  <c r="CP22" i="72" a="1"/>
  <c r="CP22" i="72" s="1"/>
  <c r="CL22" i="72" a="1"/>
  <c r="CL22" i="72" s="1"/>
  <c r="CQ22" i="72" a="1"/>
  <c r="CQ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H30" i="72" a="1"/>
  <c r="FH30" i="72" s="1"/>
  <c r="FB30" i="72" a="1"/>
  <c r="FB30" i="72" s="1"/>
  <c r="FG30" i="72" a="1"/>
  <c r="FG30" i="72" s="1"/>
  <c r="FA30" i="72" a="1"/>
  <c r="FA30" i="72" s="1"/>
  <c r="EM30" i="72" a="1"/>
  <c r="EM30" i="72" s="1"/>
  <c r="FE30" i="72" a="1"/>
  <c r="FE30" i="72" s="1"/>
  <c r="HY18" i="72" a="1"/>
  <c r="HY18"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V20" i="72" a="1"/>
  <c r="IV20" i="72" s="1"/>
  <c r="IT20" i="72" a="1"/>
  <c r="IT20" i="72" s="1"/>
  <c r="IA20" i="72" a="1"/>
  <c r="IA20" i="72" s="1"/>
  <c r="IS20" i="72" a="1"/>
  <c r="IS20" i="72" s="1"/>
  <c r="IR20" i="72" a="1"/>
  <c r="IR20" i="72" s="1"/>
  <c r="IQ20" i="72" a="1"/>
  <c r="IQ20" i="72" s="1"/>
  <c r="BM19" i="72" a="1"/>
  <c r="BM19" i="72" s="1"/>
  <c r="BT19" i="72" a="1"/>
  <c r="BT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BT28" i="72" a="1"/>
  <c r="BT28" i="72" s="1"/>
  <c r="AY28" i="72" a="1"/>
  <c r="AY28" i="72" s="1"/>
  <c r="BO28" i="72" a="1"/>
  <c r="BO28" i="72" s="1"/>
  <c r="BS28" i="72" a="1"/>
  <c r="BS28" i="72" s="1"/>
  <c r="BN28" i="72" a="1"/>
  <c r="BN28" i="72" s="1"/>
  <c r="BS20" i="72" a="1"/>
  <c r="BS20" i="72" s="1"/>
  <c r="BO20" i="72" a="1"/>
  <c r="BO20" i="72" s="1"/>
  <c r="AY20" i="72" a="1"/>
  <c r="AY20" i="72" s="1"/>
  <c r="BP20" i="72" a="1"/>
  <c r="BP20" i="72" s="1"/>
  <c r="BT20" i="72" a="1"/>
  <c r="BT20" i="72" s="1"/>
  <c r="BN20" i="72" a="1"/>
  <c r="BN20" i="72" s="1"/>
  <c r="BR20" i="72" a="1"/>
  <c r="BR20" i="72" s="1"/>
  <c r="BM20" i="72" a="1"/>
  <c r="BM20" i="72" s="1"/>
  <c r="BQ20" i="72" a="1"/>
  <c r="BQ20" i="72" s="1"/>
  <c r="CP32" i="72" a="1"/>
  <c r="CP32" i="72" s="1"/>
  <c r="CL32" i="72" a="1"/>
  <c r="CL32" i="72" s="1"/>
  <c r="BV32" i="72" a="1"/>
  <c r="BV32" i="72" s="1"/>
  <c r="CJ32" i="72" a="1"/>
  <c r="CJ32" i="72" s="1"/>
  <c r="CQ32" i="72" a="1"/>
  <c r="CQ32" i="72" s="1"/>
  <c r="CO32" i="72" a="1"/>
  <c r="CO32" i="72" s="1"/>
  <c r="CN32" i="72" a="1"/>
  <c r="CN32" i="72" s="1"/>
  <c r="CM32" i="72" a="1"/>
  <c r="CM32" i="72" s="1"/>
  <c r="CK32" i="72" a="1"/>
  <c r="CK32" i="72" s="1"/>
  <c r="CQ17" i="72" a="1"/>
  <c r="CQ17"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DN28" i="72" a="1"/>
  <c r="DN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N33" i="72" a="1"/>
  <c r="DN33" i="72" s="1"/>
  <c r="DM33" i="72" a="1"/>
  <c r="DM33" i="72" s="1"/>
  <c r="EG29" i="72" a="1"/>
  <c r="EG29" i="72" s="1"/>
  <c r="EF29" i="72" a="1"/>
  <c r="EF29" i="72" s="1"/>
  <c r="EJ29" i="72" a="1"/>
  <c r="EJ29" i="72" s="1"/>
  <c r="EI29" i="72" a="1"/>
  <c r="EI29" i="72" s="1"/>
  <c r="EK29" i="72" a="1"/>
  <c r="EK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EK32" i="72" a="1"/>
  <c r="EK32" i="72" s="1"/>
  <c r="FE14" i="72" a="1"/>
  <c r="FE14" i="72" s="1"/>
  <c r="FA14" i="72" a="1"/>
  <c r="FA14" i="72" s="1"/>
  <c r="FC14" i="72" a="1"/>
  <c r="FC14" i="72" s="1"/>
  <c r="FF14" i="72" a="1"/>
  <c r="FF14" i="72" s="1"/>
  <c r="FH14" i="72" a="1"/>
  <c r="FH14" i="72" s="1"/>
  <c r="FD14" i="72" a="1"/>
  <c r="FD14" i="72" s="1"/>
  <c r="FG14" i="72" a="1"/>
  <c r="FG14" i="72" s="1"/>
  <c r="EM14" i="72" a="1"/>
  <c r="EM14" i="72" s="1"/>
  <c r="FB14" i="72" a="1"/>
  <c r="FB14" i="72" s="1"/>
  <c r="FE32" i="72" a="1"/>
  <c r="FE32" i="72" s="1"/>
  <c r="FA32" i="72" a="1"/>
  <c r="FA32" i="72" s="1"/>
  <c r="FC32" i="72" a="1"/>
  <c r="FC32" i="72" s="1"/>
  <c r="FH32" i="72" a="1"/>
  <c r="FH32" i="72" s="1"/>
  <c r="FG32" i="72" a="1"/>
  <c r="FG32" i="72" s="1"/>
  <c r="FF32" i="72" a="1"/>
  <c r="FF32" i="72" s="1"/>
  <c r="FD32" i="72" a="1"/>
  <c r="FD32" i="72" s="1"/>
  <c r="FB32" i="72" a="1"/>
  <c r="FB32" i="72" s="1"/>
  <c r="EM32" i="72" a="1"/>
  <c r="EM32" i="72" s="1"/>
  <c r="GB26" i="72" a="1"/>
  <c r="GB26" i="72" s="1"/>
  <c r="GA26" i="72" a="1"/>
  <c r="GA26" i="72" s="1"/>
  <c r="FJ26" i="72" a="1"/>
  <c r="FJ26" i="72" s="1"/>
  <c r="GE26" i="72" a="1"/>
  <c r="GE26" i="72" s="1"/>
  <c r="FZ26" i="72" a="1"/>
  <c r="FZ26" i="72" s="1"/>
  <c r="GD26" i="72" a="1"/>
  <c r="GD26" i="72" s="1"/>
  <c r="FY26" i="72" a="1"/>
  <c r="FY26" i="72" s="1"/>
  <c r="GC26" i="72" a="1"/>
  <c r="GC26" i="72" s="1"/>
  <c r="FX26" i="72" a="1"/>
  <c r="FX26" i="72" s="1"/>
  <c r="GE30" i="72" a="1"/>
  <c r="GE30"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E22" i="72" a="1"/>
  <c r="GE22" i="72" s="1"/>
  <c r="GX27" i="72" a="1"/>
  <c r="GX27" i="72" s="1"/>
  <c r="HB27" i="72" a="1"/>
  <c r="HB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HB19" i="72" a="1"/>
  <c r="HB19" i="72" s="1"/>
  <c r="GX19" i="72" a="1"/>
  <c r="GX19" i="72" s="1"/>
  <c r="GV19" i="72" a="1"/>
  <c r="GV19" i="72" s="1"/>
  <c r="HU24" i="72" a="1"/>
  <c r="HU24" i="72" s="1"/>
  <c r="HD24" i="72" a="1"/>
  <c r="HD24" i="72" s="1"/>
  <c r="HY24" i="72" a="1"/>
  <c r="HY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V24" i="72" a="1"/>
  <c r="IV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IV32" i="72" a="1"/>
  <c r="IV32" i="72" s="1"/>
  <c r="JS14" i="72" a="1"/>
  <c r="JS14"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S27" i="72" a="1"/>
  <c r="JS27" i="72" s="1"/>
  <c r="JN27" i="72" a="1"/>
  <c r="JN27" i="72" s="1"/>
  <c r="JR27" i="72" a="1"/>
  <c r="JR27" i="72" s="1"/>
  <c r="HB18" i="72" a="1"/>
  <c r="HB18"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Q33" i="72" a="1"/>
  <c r="CQ33" i="72" s="1"/>
  <c r="CO33" i="72" a="1"/>
  <c r="CO33" i="72" s="1"/>
  <c r="CM33" i="72" a="1"/>
  <c r="CM33" i="72" s="1"/>
  <c r="FF26" i="72" a="1"/>
  <c r="FF26" i="72" s="1"/>
  <c r="FA26" i="72" a="1"/>
  <c r="FA26" i="72" s="1"/>
  <c r="FE26" i="72" a="1"/>
  <c r="FE26" i="72" s="1"/>
  <c r="FD26" i="72" a="1"/>
  <c r="FD26" i="72" s="1"/>
  <c r="FH26" i="72" a="1"/>
  <c r="FH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Y19" i="72" a="1"/>
  <c r="HY19" i="72" s="1"/>
  <c r="HU19" i="72" a="1"/>
  <c r="HU19" i="72" s="1"/>
  <c r="HT19" i="72" a="1"/>
  <c r="HT19" i="72" s="1"/>
  <c r="HD19" i="72" a="1"/>
  <c r="HD19" i="72" s="1"/>
  <c r="IO30" i="72" a="1"/>
  <c r="IO30" i="72" s="1"/>
  <c r="IS30" i="72" a="1"/>
  <c r="IS30" i="72" s="1"/>
  <c r="IV30" i="72" a="1"/>
  <c r="IV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T15" i="72" a="1"/>
  <c r="BT15" i="72" s="1"/>
  <c r="BP15" i="72" a="1"/>
  <c r="BP15" i="72" s="1"/>
  <c r="AY15" i="72" a="1"/>
  <c r="AY15" i="72" s="1"/>
  <c r="BQ33" i="72" a="1"/>
  <c r="BQ33" i="72" s="1"/>
  <c r="BM33" i="72" a="1"/>
  <c r="BM33" i="72" s="1"/>
  <c r="BS33" i="72" a="1"/>
  <c r="BS33" i="72" s="1"/>
  <c r="AY33" i="72" a="1"/>
  <c r="AY33" i="72" s="1"/>
  <c r="BT33" i="72" a="1"/>
  <c r="BT33" i="72" s="1"/>
  <c r="BR33" i="72" a="1"/>
  <c r="BR33" i="72" s="1"/>
  <c r="BP33" i="72" a="1"/>
  <c r="BP33" i="72" s="1"/>
  <c r="BO33" i="72" a="1"/>
  <c r="BO33" i="72" s="1"/>
  <c r="BN33" i="72" a="1"/>
  <c r="BN33" i="72" s="1"/>
  <c r="BR16" i="72" a="1"/>
  <c r="BR16" i="72" s="1"/>
  <c r="BM16" i="72" a="1"/>
  <c r="BM16" i="72" s="1"/>
  <c r="BQ16" i="72" a="1"/>
  <c r="BQ16" i="72" s="1"/>
  <c r="BP16" i="72" a="1"/>
  <c r="BP16" i="72" s="1"/>
  <c r="BT16" i="72" a="1"/>
  <c r="BT16" i="72" s="1"/>
  <c r="AY16" i="72" a="1"/>
  <c r="AY16" i="72" s="1"/>
  <c r="BS16" i="72" a="1"/>
  <c r="BS16" i="72" s="1"/>
  <c r="BN16" i="72" a="1"/>
  <c r="BN16" i="72" s="1"/>
  <c r="BO16" i="72" a="1"/>
  <c r="BO16" i="72" s="1"/>
  <c r="CN19" i="72" a="1"/>
  <c r="CN19" i="72" s="1"/>
  <c r="CQ19" i="72" a="1"/>
  <c r="CQ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Q34" i="72" a="1"/>
  <c r="CQ34" i="72" s="1"/>
  <c r="CO34" i="72" a="1"/>
  <c r="CO34" i="72" s="1"/>
  <c r="DN24" i="72" a="1"/>
  <c r="DN2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N20" i="72" a="1"/>
  <c r="DN20" i="72" s="1"/>
  <c r="DH20" i="72" a="1"/>
  <c r="DH20" i="72" s="1"/>
  <c r="DL20" i="72" a="1"/>
  <c r="DL20" i="72" s="1"/>
  <c r="DG20" i="72" a="1"/>
  <c r="DG20" i="72" s="1"/>
  <c r="EK16" i="72" a="1"/>
  <c r="EK16"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K33" i="72" a="1"/>
  <c r="EK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H15" i="72" a="1"/>
  <c r="FH15" i="72" s="1"/>
  <c r="FD15" i="72" a="1"/>
  <c r="FD15" i="72" s="1"/>
  <c r="FH29" i="72" a="1"/>
  <c r="FH29"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GE23" i="72" a="1"/>
  <c r="GE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E34" i="72" a="1"/>
  <c r="GE34" i="72" s="1"/>
  <c r="GC34" i="72" a="1"/>
  <c r="GC34" i="72" s="1"/>
  <c r="GB34" i="72" a="1"/>
  <c r="GB34" i="72" s="1"/>
  <c r="GA34" i="72" a="1"/>
  <c r="GA34" i="72" s="1"/>
  <c r="FY34" i="72" a="1"/>
  <c r="FY34" i="72" s="1"/>
  <c r="HB25" i="72" a="1"/>
  <c r="HB25"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HB26" i="72" a="1"/>
  <c r="HB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Y31" i="72" a="1"/>
  <c r="HY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Y17" i="72" a="1"/>
  <c r="HY17" i="72" s="1"/>
  <c r="HS17" i="72" a="1"/>
  <c r="HS17" i="72" s="1"/>
  <c r="IR28" i="72" a="1"/>
  <c r="IR28" i="72" s="1"/>
  <c r="IQ28" i="72" a="1"/>
  <c r="IQ28" i="72" s="1"/>
  <c r="IU28" i="72" a="1"/>
  <c r="IU28" i="72" s="1"/>
  <c r="IP28" i="72" a="1"/>
  <c r="IP28" i="72" s="1"/>
  <c r="IA28" i="72" a="1"/>
  <c r="IA28" i="72" s="1"/>
  <c r="IS28" i="72" a="1"/>
  <c r="IS28" i="72" s="1"/>
  <c r="IO28" i="72" a="1"/>
  <c r="IO28" i="72" s="1"/>
  <c r="IV28" i="72" a="1"/>
  <c r="IV28" i="72" s="1"/>
  <c r="IT28" i="72" a="1"/>
  <c r="IT28" i="72" s="1"/>
  <c r="IQ18" i="72" a="1"/>
  <c r="IQ18" i="72" s="1"/>
  <c r="IT18" i="72" a="1"/>
  <c r="IT18" i="72" s="1"/>
  <c r="IS18" i="72" a="1"/>
  <c r="IS18" i="72" s="1"/>
  <c r="IR18" i="72" a="1"/>
  <c r="IR18" i="72" s="1"/>
  <c r="IP18" i="72" a="1"/>
  <c r="IP18" i="72" s="1"/>
  <c r="IO18" i="72" a="1"/>
  <c r="IO18" i="72" s="1"/>
  <c r="IV18" i="72" a="1"/>
  <c r="IV18" i="72" s="1"/>
  <c r="IA18" i="72" a="1"/>
  <c r="IA18" i="72" s="1"/>
  <c r="IU18" i="72" a="1"/>
  <c r="IU18" i="72" s="1"/>
  <c r="JQ23" i="72" a="1"/>
  <c r="JQ23" i="72" s="1"/>
  <c r="JL23" i="72" a="1"/>
  <c r="JL23" i="72" s="1"/>
  <c r="JO23" i="72" a="1"/>
  <c r="JO23" i="72" s="1"/>
  <c r="JN23" i="72" a="1"/>
  <c r="JN23" i="72" s="1"/>
  <c r="JM23" i="72" a="1"/>
  <c r="JM23" i="72" s="1"/>
  <c r="JS23" i="72" a="1"/>
  <c r="JS23" i="72" s="1"/>
  <c r="JR23" i="72" a="1"/>
  <c r="JR23" i="72" s="1"/>
  <c r="JP23" i="72" a="1"/>
  <c r="JP23" i="72" s="1"/>
  <c r="IX23" i="72" a="1"/>
  <c r="IX23" i="72" s="1"/>
  <c r="JQ29" i="72" a="1"/>
  <c r="JQ29" i="72" s="1"/>
  <c r="JM29" i="72" a="1"/>
  <c r="JM29" i="72" s="1"/>
  <c r="JO29" i="72" a="1"/>
  <c r="JO29" i="72" s="1"/>
  <c r="IX29" i="72" a="1"/>
  <c r="IX29" i="72" s="1"/>
  <c r="JL29" i="72" a="1"/>
  <c r="JL29" i="72" s="1"/>
  <c r="JS29" i="72" a="1"/>
  <c r="JS29" i="72" s="1"/>
  <c r="JR29" i="72" a="1"/>
  <c r="JR29" i="72" s="1"/>
  <c r="JP29" i="72" a="1"/>
  <c r="JP29" i="72" s="1"/>
  <c r="JN29" i="72" a="1"/>
  <c r="JN29" i="72" s="1"/>
  <c r="HY26" i="72" a="1"/>
  <c r="HY26"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DN29" i="72" a="1"/>
  <c r="DN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GE29" i="72" a="1"/>
  <c r="GE29" i="72" s="1"/>
  <c r="FJ29" i="72" a="1"/>
  <c r="FJ29" i="72" s="1"/>
  <c r="HY23" i="72" a="1"/>
  <c r="HY23"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S21" i="72" a="1"/>
  <c r="JS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T22" i="72" a="1"/>
  <c r="BT22" i="72" s="1"/>
  <c r="BM22" i="72" a="1"/>
  <c r="BM22" i="72" s="1"/>
  <c r="BR22" i="72" a="1"/>
  <c r="BR22" i="72" s="1"/>
  <c r="BT31" i="72" a="1"/>
  <c r="BT31"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T21" i="72" a="1"/>
  <c r="BT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Q23" i="72" a="1"/>
  <c r="CQ23" i="72" s="1"/>
  <c r="CK23" i="72" a="1"/>
  <c r="CK23" i="72" s="1"/>
  <c r="CO23" i="72" a="1"/>
  <c r="CO23" i="72" s="1"/>
  <c r="CJ23" i="72" a="1"/>
  <c r="CJ23" i="72" s="1"/>
  <c r="CN28" i="72" a="1"/>
  <c r="CN28" i="72" s="1"/>
  <c r="CM28" i="72" a="1"/>
  <c r="CM28" i="72" s="1"/>
  <c r="BV28" i="72" a="1"/>
  <c r="BV28" i="72" s="1"/>
  <c r="CQ28" i="72" a="1"/>
  <c r="CQ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N21" i="72" a="1"/>
  <c r="DN21" i="72" s="1"/>
  <c r="DM21" i="72" a="1"/>
  <c r="DM21" i="72" s="1"/>
  <c r="DI21" i="72" a="1"/>
  <c r="DI21" i="72" s="1"/>
  <c r="DK34" i="72" a="1"/>
  <c r="DK34" i="72" s="1"/>
  <c r="DG34" i="72" a="1"/>
  <c r="DG34" i="72" s="1"/>
  <c r="DM34" i="72" a="1"/>
  <c r="DM34" i="72" s="1"/>
  <c r="CS34" i="72" a="1"/>
  <c r="CS34" i="72" s="1"/>
  <c r="DN34" i="72" a="1"/>
  <c r="DN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K19" i="72" a="1"/>
  <c r="EK19" i="72" s="1"/>
  <c r="EJ18" i="72" a="1"/>
  <c r="EJ18" i="72" s="1"/>
  <c r="EI18" i="72" a="1"/>
  <c r="EI18" i="72" s="1"/>
  <c r="EH18" i="72" a="1"/>
  <c r="EH18" i="72" s="1"/>
  <c r="EK18" i="72" a="1"/>
  <c r="EK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H20" i="72" a="1"/>
  <c r="FH20" i="72" s="1"/>
  <c r="FB20" i="72" a="1"/>
  <c r="FB20" i="72" s="1"/>
  <c r="FG19" i="72" a="1"/>
  <c r="FG19" i="72" s="1"/>
  <c r="FC19" i="72" a="1"/>
  <c r="FC19" i="72" s="1"/>
  <c r="EM19" i="72" a="1"/>
  <c r="EM19" i="72" s="1"/>
  <c r="FH19" i="72" a="1"/>
  <c r="FH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GE18" i="72" a="1"/>
  <c r="GE18" i="72" s="1"/>
  <c r="FJ18" i="72" a="1"/>
  <c r="FJ18" i="72" s="1"/>
  <c r="GB17" i="72" a="1"/>
  <c r="GB17" i="72" s="1"/>
  <c r="GD17" i="72" a="1"/>
  <c r="GD17" i="72" s="1"/>
  <c r="FX17" i="72" a="1"/>
  <c r="FX17" i="72" s="1"/>
  <c r="GC17" i="72" a="1"/>
  <c r="GC17" i="72" s="1"/>
  <c r="GA17" i="72" a="1"/>
  <c r="GA17" i="72" s="1"/>
  <c r="FJ17" i="72" a="1"/>
  <c r="FJ17" i="72" s="1"/>
  <c r="FZ17" i="72" a="1"/>
  <c r="FZ17" i="72" s="1"/>
  <c r="GE17" i="72" a="1"/>
  <c r="GE17" i="72" s="1"/>
  <c r="FY17" i="72" a="1"/>
  <c r="FY17" i="72" s="1"/>
  <c r="GY32" i="72" a="1"/>
  <c r="GY32" i="72" s="1"/>
  <c r="GU32" i="72" a="1"/>
  <c r="GU32" i="72" s="1"/>
  <c r="HA32" i="72" a="1"/>
  <c r="HA32" i="72" s="1"/>
  <c r="GG32" i="72" a="1"/>
  <c r="GG32" i="72" s="1"/>
  <c r="GV32" i="72" a="1"/>
  <c r="GV32" i="72" s="1"/>
  <c r="HB32" i="72" a="1"/>
  <c r="HB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HB22" i="72" a="1"/>
  <c r="HB22" i="72" s="1"/>
  <c r="GW22" i="72" a="1"/>
  <c r="GW22" i="72" s="1"/>
  <c r="GV22" i="72" a="1"/>
  <c r="GV22" i="72" s="1"/>
  <c r="HV21" i="72" a="1"/>
  <c r="HV21" i="72" s="1"/>
  <c r="HR21" i="72" a="1"/>
  <c r="HR21" i="72" s="1"/>
  <c r="HT21" i="72" a="1"/>
  <c r="HT21" i="72" s="1"/>
  <c r="HY21" i="72" a="1"/>
  <c r="HY21" i="72" s="1"/>
  <c r="HS21" i="72" a="1"/>
  <c r="HS21" i="72" s="1"/>
  <c r="HX21" i="72" a="1"/>
  <c r="HX21" i="72" s="1"/>
  <c r="HW21" i="72" a="1"/>
  <c r="HW21" i="72" s="1"/>
  <c r="HD21" i="72" a="1"/>
  <c r="HD21" i="72" s="1"/>
  <c r="HU21" i="72" a="1"/>
  <c r="HU21" i="72" s="1"/>
  <c r="HX34" i="72" a="1"/>
  <c r="HX34" i="72" s="1"/>
  <c r="HT34" i="72" a="1"/>
  <c r="HT34" i="72" s="1"/>
  <c r="HD34" i="72" a="1"/>
  <c r="HD34" i="72" s="1"/>
  <c r="HY34" i="72" a="1"/>
  <c r="HY34" i="72" s="1"/>
  <c r="HW34" i="72" a="1"/>
  <c r="HW34" i="72" s="1"/>
  <c r="HV34" i="72" a="1"/>
  <c r="HV34" i="72" s="1"/>
  <c r="HU34" i="72" a="1"/>
  <c r="HU34" i="72" s="1"/>
  <c r="HS34" i="72" a="1"/>
  <c r="HS34" i="72" s="1"/>
  <c r="HR34" i="72" a="1"/>
  <c r="HR34" i="72" s="1"/>
  <c r="IV15" i="72" a="1"/>
  <c r="IV15"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V27" i="72" a="1"/>
  <c r="IV27" i="72" s="1"/>
  <c r="IA27" i="72" a="1"/>
  <c r="IA27" i="72" s="1"/>
  <c r="JR24" i="72" a="1"/>
  <c r="JR24" i="72" s="1"/>
  <c r="JM24" i="72" a="1"/>
  <c r="JM24" i="72" s="1"/>
  <c r="JQ24" i="72" a="1"/>
  <c r="JQ24" i="72" s="1"/>
  <c r="JL24" i="72" a="1"/>
  <c r="JL24" i="72" s="1"/>
  <c r="JN24" i="72" a="1"/>
  <c r="JN24" i="72" s="1"/>
  <c r="IX24" i="72" a="1"/>
  <c r="IX24" i="72" s="1"/>
  <c r="JS24" i="72" a="1"/>
  <c r="JS24" i="72" s="1"/>
  <c r="JP24" i="72" a="1"/>
  <c r="JP24" i="72" s="1"/>
  <c r="JO24" i="72" a="1"/>
  <c r="JO24" i="72" s="1"/>
  <c r="JS20" i="72" a="1"/>
  <c r="JS20"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Y20" i="72" a="1"/>
  <c r="HY20" i="72" s="1"/>
  <c r="HV20" i="72" a="1"/>
  <c r="HV20" i="72" s="1"/>
  <c r="HD20" i="72" a="1"/>
  <c r="HD20" i="72" s="1"/>
  <c r="DI26" i="72" a="1"/>
  <c r="DI26" i="72" s="1"/>
  <c r="DM26" i="72" a="1"/>
  <c r="DM26" i="72" s="1"/>
  <c r="DH26" i="72" a="1"/>
  <c r="DH26" i="72" s="1"/>
  <c r="DL26" i="72" a="1"/>
  <c r="DL26" i="72" s="1"/>
  <c r="DG26" i="72" a="1"/>
  <c r="DG26" i="72" s="1"/>
  <c r="DJ26" i="72" a="1"/>
  <c r="DJ26" i="72" s="1"/>
  <c r="DN26" i="72" a="1"/>
  <c r="DN26" i="72" s="1"/>
  <c r="DK26" i="72" a="1"/>
  <c r="DK26" i="72" s="1"/>
  <c r="CS26" i="72" a="1"/>
  <c r="CS26" i="72" s="1"/>
  <c r="GC31" i="72" a="1"/>
  <c r="GC31" i="72" s="1"/>
  <c r="FY31" i="72" a="1"/>
  <c r="FY31" i="72" s="1"/>
  <c r="GB31" i="72" a="1"/>
  <c r="GB31" i="72" s="1"/>
  <c r="GA31" i="72" a="1"/>
  <c r="GA31" i="72" s="1"/>
  <c r="FJ31" i="72" a="1"/>
  <c r="FJ31" i="72" s="1"/>
  <c r="GE31" i="72" a="1"/>
  <c r="GE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Y22" i="72" a="1"/>
  <c r="HY22" i="72" s="1"/>
  <c r="HU22" i="72" a="1"/>
  <c r="HU22" i="72" s="1"/>
  <c r="JQ17" i="72" a="1"/>
  <c r="JQ17" i="72" s="1"/>
  <c r="JP17" i="72" a="1"/>
  <c r="JP17" i="72" s="1"/>
  <c r="JS17" i="72" a="1"/>
  <c r="JS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BT29" i="72" a="1"/>
  <c r="BT29" i="72" s="1"/>
  <c r="AY29" i="72" a="1"/>
  <c r="AY29" i="72" s="1"/>
  <c r="BR29" i="72" a="1"/>
  <c r="BR29" i="72" s="1"/>
  <c r="BQ27" i="72" a="1"/>
  <c r="BQ27" i="72" s="1"/>
  <c r="BP27" i="72" a="1"/>
  <c r="BP27" i="72" s="1"/>
  <c r="BT27" i="72" a="1"/>
  <c r="BT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Q29" i="72" a="1"/>
  <c r="CQ29" i="72" s="1"/>
  <c r="CP29" i="72" a="1"/>
  <c r="CP29" i="72" s="1"/>
  <c r="BV29" i="72" a="1"/>
  <c r="BV29" i="72" s="1"/>
  <c r="CK29" i="72" a="1"/>
  <c r="CK29" i="72" s="1"/>
  <c r="CM24" i="72" a="1"/>
  <c r="CM24" i="72" s="1"/>
  <c r="BV24" i="72" a="1"/>
  <c r="BV24" i="72" s="1"/>
  <c r="CP24" i="72" a="1"/>
  <c r="CP24" i="72" s="1"/>
  <c r="CL24" i="72" a="1"/>
  <c r="CL24" i="72" s="1"/>
  <c r="CK24" i="72" a="1"/>
  <c r="CK24" i="72" s="1"/>
  <c r="CQ24" i="72" a="1"/>
  <c r="CQ24" i="72" s="1"/>
  <c r="CJ24" i="72" a="1"/>
  <c r="CJ24" i="72" s="1"/>
  <c r="CO24" i="72" a="1"/>
  <c r="CO24" i="72" s="1"/>
  <c r="CN24" i="72" a="1"/>
  <c r="CN24" i="72" s="1"/>
  <c r="CJ16" i="72" a="1"/>
  <c r="CJ16" i="72" s="1"/>
  <c r="CN16" i="72" a="1"/>
  <c r="CN16" i="72" s="1"/>
  <c r="CM16" i="72" a="1"/>
  <c r="CM16" i="72" s="1"/>
  <c r="CQ16" i="72" a="1"/>
  <c r="CQ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N14" i="72" a="1"/>
  <c r="DN14" i="72" s="1"/>
  <c r="DJ14" i="72" a="1"/>
  <c r="DJ14" i="72" s="1"/>
  <c r="CS14" i="72" a="1"/>
  <c r="CS14" i="72" s="1"/>
  <c r="DN18" i="72" a="1"/>
  <c r="DN18"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K23" i="72" a="1"/>
  <c r="EK23" i="72" s="1"/>
  <c r="EK28" i="72" a="1"/>
  <c r="EK28"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FH27" i="72" a="1"/>
  <c r="FH27" i="72" s="1"/>
  <c r="EM27" i="72" a="1"/>
  <c r="EM27" i="72" s="1"/>
  <c r="FC27" i="72" a="1"/>
  <c r="FC27" i="72" s="1"/>
  <c r="FG27" i="72" a="1"/>
  <c r="FG27" i="72" s="1"/>
  <c r="FH25" i="72" a="1"/>
  <c r="FH25"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E24" i="72" a="1"/>
  <c r="GE24" i="72" s="1"/>
  <c r="GB20" i="72" a="1"/>
  <c r="GB20" i="72" s="1"/>
  <c r="FX20" i="72" a="1"/>
  <c r="FX20" i="72" s="1"/>
  <c r="GD20" i="72" a="1"/>
  <c r="GD20" i="72" s="1"/>
  <c r="FY20" i="72" a="1"/>
  <c r="FY20" i="72" s="1"/>
  <c r="GC20" i="72" a="1"/>
  <c r="GC20" i="72" s="1"/>
  <c r="GA20" i="72" a="1"/>
  <c r="GA20" i="72" s="1"/>
  <c r="FJ20" i="72" a="1"/>
  <c r="FJ20" i="72" s="1"/>
  <c r="GE20" i="72" a="1"/>
  <c r="GE20" i="72" s="1"/>
  <c r="FZ20" i="72" a="1"/>
  <c r="FZ20" i="72" s="1"/>
  <c r="GX17" i="72" a="1"/>
  <c r="GX17" i="72" s="1"/>
  <c r="GZ17" i="72" a="1"/>
  <c r="GZ17" i="72" s="1"/>
  <c r="GW17" i="72" a="1"/>
  <c r="GW17" i="72" s="1"/>
  <c r="HB17" i="72" a="1"/>
  <c r="HB17" i="72" s="1"/>
  <c r="GV17" i="72" a="1"/>
  <c r="GV17" i="72" s="1"/>
  <c r="GU17" i="72" a="1"/>
  <c r="GU17" i="72" s="1"/>
  <c r="HA17" i="72" a="1"/>
  <c r="HA17" i="72" s="1"/>
  <c r="GY17" i="72" a="1"/>
  <c r="GY17" i="72" s="1"/>
  <c r="GG17" i="72" a="1"/>
  <c r="GG17" i="72" s="1"/>
  <c r="HA30" i="72" a="1"/>
  <c r="HA30" i="72" s="1"/>
  <c r="GY30" i="72" a="1"/>
  <c r="GY30" i="72" s="1"/>
  <c r="GX30" i="72" a="1"/>
  <c r="GX30" i="72" s="1"/>
  <c r="HB30" i="72" a="1"/>
  <c r="HB30" i="72" s="1"/>
  <c r="GU30" i="72" a="1"/>
  <c r="GU30" i="72" s="1"/>
  <c r="GZ30" i="72" a="1"/>
  <c r="GZ30" i="72" s="1"/>
  <c r="GG30" i="72" a="1"/>
  <c r="GG30" i="72" s="1"/>
  <c r="GW30" i="72" a="1"/>
  <c r="GW30" i="72" s="1"/>
  <c r="GV30" i="72" a="1"/>
  <c r="GV30" i="72" s="1"/>
  <c r="HU27" i="72" a="1"/>
  <c r="HU27" i="72" s="1"/>
  <c r="HD27" i="72" a="1"/>
  <c r="HD27" i="72" s="1"/>
  <c r="HY27" i="72" a="1"/>
  <c r="HY27" i="72" s="1"/>
  <c r="HT27" i="72" a="1"/>
  <c r="HT27" i="72" s="1"/>
  <c r="HX27" i="72" a="1"/>
  <c r="HX27" i="72" s="1"/>
  <c r="HS27" i="72" a="1"/>
  <c r="HS27" i="72" s="1"/>
  <c r="HW27" i="72" a="1"/>
  <c r="HW27" i="72" s="1"/>
  <c r="HR27" i="72" a="1"/>
  <c r="HR27" i="72" s="1"/>
  <c r="HV27" i="72" a="1"/>
  <c r="HV27" i="72" s="1"/>
  <c r="HU15" i="72" a="1"/>
  <c r="HU15" i="72" s="1"/>
  <c r="HY15" i="72" a="1"/>
  <c r="HY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V25" i="72" a="1"/>
  <c r="IV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V33" i="72" a="1"/>
  <c r="IV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S34" i="72" a="1"/>
  <c r="JS34" i="72" s="1"/>
  <c r="JP34" i="72" a="1"/>
  <c r="JP34" i="72" s="1"/>
  <c r="JO34" i="72" a="1"/>
  <c r="JO34" i="72" s="1"/>
  <c r="JL34" i="72" a="1"/>
  <c r="JL34" i="72" s="1"/>
  <c r="JR32" i="72" a="1"/>
  <c r="JR32" i="72" s="1"/>
  <c r="JN32" i="72" a="1"/>
  <c r="JN32" i="72" s="1"/>
  <c r="IX32" i="72" a="1"/>
  <c r="IX32" i="72" s="1"/>
  <c r="JL32" i="72" a="1"/>
  <c r="JL32" i="72" s="1"/>
  <c r="JS32" i="72" a="1"/>
  <c r="JS32" i="72" s="1"/>
  <c r="JQ32" i="72" a="1"/>
  <c r="JQ32" i="72" s="1"/>
  <c r="JP32" i="72" a="1"/>
  <c r="JP32" i="72" s="1"/>
  <c r="JO32" i="72" a="1"/>
  <c r="JO32" i="72" s="1"/>
  <c r="JM32" i="72" a="1"/>
  <c r="JM32" i="72" s="1"/>
  <c r="FH21" i="72" a="1"/>
  <c r="FH21"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N32" i="72" a="1"/>
  <c r="DN32" i="72" s="1"/>
  <c r="DL32" i="72" a="1"/>
  <c r="DL32" i="72" s="1"/>
  <c r="DJ32" i="72" a="1"/>
  <c r="DJ32" i="72" s="1"/>
  <c r="GC15" i="72" a="1"/>
  <c r="GC15" i="72" s="1"/>
  <c r="FX15" i="72" a="1"/>
  <c r="FX15" i="72" s="1"/>
  <c r="GB15" i="72" a="1"/>
  <c r="GB15" i="72" s="1"/>
  <c r="GD15" i="72" a="1"/>
  <c r="GD15" i="72" s="1"/>
  <c r="GA15" i="72" a="1"/>
  <c r="GA15" i="72" s="1"/>
  <c r="GE15" i="72" a="1"/>
  <c r="GE15" i="72" s="1"/>
  <c r="FJ15" i="72" a="1"/>
  <c r="FJ15" i="72" s="1"/>
  <c r="FY15" i="72" a="1"/>
  <c r="FY15" i="72" s="1"/>
  <c r="FZ15" i="72" a="1"/>
  <c r="FZ15" i="72" s="1"/>
  <c r="IR16" i="72" a="1"/>
  <c r="IR16" i="72" s="1"/>
  <c r="IV16" i="72" a="1"/>
  <c r="IV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S19" i="72" a="1"/>
  <c r="JS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T17" i="72" a="1"/>
  <c r="BT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T18" i="72" a="1"/>
  <c r="BT18" i="72" s="1"/>
  <c r="BN18" i="72" a="1"/>
  <c r="BN18" i="72" s="1"/>
  <c r="BM18" i="72" a="1"/>
  <c r="BM18" i="72" s="1"/>
  <c r="CM26" i="72" a="1"/>
  <c r="CM26" i="72" s="1"/>
  <c r="BV26" i="72" a="1"/>
  <c r="BV26" i="72" s="1"/>
  <c r="CQ26" i="72" a="1"/>
  <c r="CQ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Q18" i="72" a="1"/>
  <c r="CQ18" i="72" s="1"/>
  <c r="CJ18" i="72" a="1"/>
  <c r="CJ18" i="72" s="1"/>
  <c r="CP18" i="72" a="1"/>
  <c r="CP18" i="72" s="1"/>
  <c r="CO18" i="72" a="1"/>
  <c r="CO18" i="72" s="1"/>
  <c r="BV18" i="72" a="1"/>
  <c r="BV18" i="72" s="1"/>
  <c r="CP25" i="72" a="1"/>
  <c r="CP25" i="72" s="1"/>
  <c r="CL25" i="72" a="1"/>
  <c r="CL25" i="72" s="1"/>
  <c r="CQ25" i="72" a="1"/>
  <c r="CQ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N23" i="72" a="1"/>
  <c r="DN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N17" i="72" a="1"/>
  <c r="DN17" i="72" s="1"/>
  <c r="DH17" i="72" a="1"/>
  <c r="DH17" i="72" s="1"/>
  <c r="ED31" i="72" a="1"/>
  <c r="ED31" i="72" s="1"/>
  <c r="EH31" i="72" a="1"/>
  <c r="EH31" i="72" s="1"/>
  <c r="EG31" i="72" a="1"/>
  <c r="EG31" i="72" s="1"/>
  <c r="EK31" i="72" a="1"/>
  <c r="EK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K30" i="72" a="1"/>
  <c r="EK30" i="72" s="1"/>
  <c r="EF30" i="72" a="1"/>
  <c r="EF30" i="72" s="1"/>
  <c r="FE33" i="72" a="1"/>
  <c r="FE33" i="72" s="1"/>
  <c r="FA33" i="72" a="1"/>
  <c r="FA33" i="72" s="1"/>
  <c r="FG33" i="72" a="1"/>
  <c r="FG33" i="72" s="1"/>
  <c r="EM33" i="72" a="1"/>
  <c r="EM33" i="72" s="1"/>
  <c r="FH33" i="72" a="1"/>
  <c r="FH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FH16" i="72" a="1"/>
  <c r="FH16" i="72" s="1"/>
  <c r="EM16" i="72" a="1"/>
  <c r="EM16" i="72" s="1"/>
  <c r="FD16" i="72" a="1"/>
  <c r="FD16" i="72" s="1"/>
  <c r="GE14" i="72" a="1"/>
  <c r="GE14"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GE28" i="72" a="1"/>
  <c r="GE28" i="72" s="1"/>
  <c r="FZ28" i="72" a="1"/>
  <c r="FZ28" i="72" s="1"/>
  <c r="GD28" i="72" a="1"/>
  <c r="GD28" i="72" s="1"/>
  <c r="FY28" i="72" a="1"/>
  <c r="FY28" i="72" s="1"/>
  <c r="GX24" i="72" a="1"/>
  <c r="GX24" i="72" s="1"/>
  <c r="HB24" i="72" a="1"/>
  <c r="HB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HB20" i="72" a="1"/>
  <c r="HB20" i="72" s="1"/>
  <c r="GV20" i="72" a="1"/>
  <c r="GV20" i="72" s="1"/>
  <c r="GZ20" i="72" a="1"/>
  <c r="GZ20" i="72" s="1"/>
  <c r="GU20" i="72" a="1"/>
  <c r="GU20" i="72" s="1"/>
  <c r="GY20" i="72" a="1"/>
  <c r="GY20" i="72" s="1"/>
  <c r="GX20" i="72" a="1"/>
  <c r="GX20" i="72" s="1"/>
  <c r="HY14" i="72" a="1"/>
  <c r="HY14"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Y28" i="72" a="1"/>
  <c r="HY28" i="72" s="1"/>
  <c r="HU28" i="72" a="1"/>
  <c r="HU28" i="72" s="1"/>
  <c r="HS28" i="72" a="1"/>
  <c r="HS28" i="72" s="1"/>
  <c r="HX28" i="72" a="1"/>
  <c r="HX28" i="72" s="1"/>
  <c r="HW28" i="72" a="1"/>
  <c r="HW28" i="72" s="1"/>
  <c r="HD28" i="72" a="1"/>
  <c r="HD28" i="72" s="1"/>
  <c r="HT28" i="72" a="1"/>
  <c r="HT28" i="72" s="1"/>
  <c r="IS22" i="72" a="1"/>
  <c r="IS22" i="72" s="1"/>
  <c r="IO22" i="72" a="1"/>
  <c r="IO22" i="72" s="1"/>
  <c r="IV22" i="72" a="1"/>
  <c r="IV22" i="72" s="1"/>
  <c r="IQ22" i="72" a="1"/>
  <c r="IQ22" i="72" s="1"/>
  <c r="IP22" i="72" a="1"/>
  <c r="IP22" i="72" s="1"/>
  <c r="IU22" i="72" a="1"/>
  <c r="IU22" i="72" s="1"/>
  <c r="IT22" i="72" a="1"/>
  <c r="IT22" i="72" s="1"/>
  <c r="IA22" i="72" a="1"/>
  <c r="IA22" i="72" s="1"/>
  <c r="IR22" i="72" a="1"/>
  <c r="IR22" i="72" s="1"/>
  <c r="IV31" i="72" a="1"/>
  <c r="IV31"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S28" i="72" a="1"/>
  <c r="JS28" i="72" s="1"/>
  <c r="JR28" i="72" a="1"/>
  <c r="JR28" i="72" s="1"/>
  <c r="IX28" i="72" a="1"/>
  <c r="IX28" i="72" s="1"/>
  <c r="JO28" i="72" a="1"/>
  <c r="JO28" i="72" s="1"/>
  <c r="JQ26" i="72" a="1"/>
  <c r="JQ26" i="72" s="1"/>
  <c r="JL26" i="72" a="1"/>
  <c r="JL26" i="72" s="1"/>
  <c r="JP26" i="72" a="1"/>
  <c r="JP26" i="72" s="1"/>
  <c r="JO26" i="72" a="1"/>
  <c r="JO26" i="72" s="1"/>
  <c r="IX26" i="72" a="1"/>
  <c r="IX26" i="72" s="1"/>
  <c r="JS26" i="72" a="1"/>
  <c r="JS26" i="72" s="1"/>
  <c r="JN26" i="72" a="1"/>
  <c r="JN26" i="72" s="1"/>
  <c r="JR26" i="72" a="1"/>
  <c r="JR26" i="72" s="1"/>
  <c r="JM26" i="72" a="1"/>
  <c r="JM26" i="72" s="1"/>
  <c r="JP31" i="72" a="1"/>
  <c r="JP31" i="72" s="1"/>
  <c r="JS31" i="72" a="1"/>
  <c r="JS31" i="72" s="1"/>
  <c r="JN31" i="72" a="1"/>
  <c r="JN31" i="72" s="1"/>
  <c r="JL31" i="72" a="1"/>
  <c r="JL31" i="72" s="1"/>
  <c r="JR31" i="72" a="1"/>
  <c r="JR31" i="72" s="1"/>
  <c r="JQ31" i="72" a="1"/>
  <c r="JQ31" i="72" s="1"/>
  <c r="IX31" i="72" a="1"/>
  <c r="IX31" i="72" s="1"/>
  <c r="JO31" i="72" a="1"/>
  <c r="JO31" i="72" s="1"/>
  <c r="JM31" i="72" a="1"/>
  <c r="JM31" i="72" s="1"/>
  <c r="FH31" i="72" a="1"/>
  <c r="FH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K17" i="72" a="1"/>
  <c r="EK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E25" i="72" a="1"/>
  <c r="GE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V21" i="72" a="1"/>
  <c r="IV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JS25" i="72" a="1"/>
  <c r="JS25" i="72" s="1"/>
  <c r="BQ34" i="72" a="1"/>
  <c r="BQ34" i="72" s="1"/>
  <c r="BM34" i="72" a="1"/>
  <c r="BM34" i="72" s="1"/>
  <c r="BO34" i="72" a="1"/>
  <c r="BO34" i="72" s="1"/>
  <c r="BN34" i="72" a="1"/>
  <c r="BN34" i="72" s="1"/>
  <c r="AY34" i="72" a="1"/>
  <c r="AY34" i="72" s="1"/>
  <c r="BT34" i="72" a="1"/>
  <c r="BT34" i="72" s="1"/>
  <c r="BS34" i="72" a="1"/>
  <c r="BS34" i="72" s="1"/>
  <c r="BR34" i="72" a="1"/>
  <c r="BR34" i="72" s="1"/>
  <c r="BP34" i="72" a="1"/>
  <c r="BP34" i="72" s="1"/>
  <c r="BP26" i="72" a="1"/>
  <c r="BP26" i="72" s="1"/>
  <c r="BT26" i="72" a="1"/>
  <c r="BT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Q27" i="72" a="1"/>
  <c r="CQ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Q14" i="72" a="1"/>
  <c r="CQ14" i="72" s="1"/>
  <c r="CM14" i="72" a="1"/>
  <c r="CM14" i="72" s="1"/>
  <c r="CN14" i="72" a="1"/>
  <c r="CN14" i="72" s="1"/>
  <c r="DH31" i="72" a="1"/>
  <c r="DH31" i="72" s="1"/>
  <c r="DL31" i="72" a="1"/>
  <c r="DL31" i="72" s="1"/>
  <c r="DK31" i="72" a="1"/>
  <c r="DK31" i="72" s="1"/>
  <c r="DJ31" i="72" a="1"/>
  <c r="DJ31" i="72" s="1"/>
  <c r="DN31" i="72" a="1"/>
  <c r="DN31" i="72" s="1"/>
  <c r="CS31" i="72" a="1"/>
  <c r="CS31" i="72" s="1"/>
  <c r="DM31" i="72" a="1"/>
  <c r="DM31" i="72" s="1"/>
  <c r="DI31" i="72" a="1"/>
  <c r="DI31" i="72" s="1"/>
  <c r="DG31" i="72" a="1"/>
  <c r="DG31" i="72" s="1"/>
  <c r="DJ16" i="72" a="1"/>
  <c r="DJ16" i="72" s="1"/>
  <c r="DN16" i="72" a="1"/>
  <c r="DN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N22" i="72" a="1"/>
  <c r="DN22" i="72" s="1"/>
  <c r="DL22" i="72" a="1"/>
  <c r="DL22" i="72" s="1"/>
  <c r="CS22" i="72" a="1"/>
  <c r="CS22" i="72" s="1"/>
  <c r="DJ22" i="72" a="1"/>
  <c r="DJ22" i="72" s="1"/>
  <c r="DI22" i="72" a="1"/>
  <c r="DI22" i="72" s="1"/>
  <c r="EJ34" i="72" a="1"/>
  <c r="EJ34" i="72" s="1"/>
  <c r="EF34" i="72" a="1"/>
  <c r="EF34" i="72" s="1"/>
  <c r="DP34" i="72" a="1"/>
  <c r="DP34" i="72" s="1"/>
  <c r="EH34" i="72" a="1"/>
  <c r="EH34" i="72" s="1"/>
  <c r="EK34" i="72" a="1"/>
  <c r="EK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K24" i="72" a="1"/>
  <c r="EK24" i="72" s="1"/>
  <c r="EI24" i="72" a="1"/>
  <c r="EI24" i="72" s="1"/>
  <c r="EH24" i="72" a="1"/>
  <c r="EH24" i="72" s="1"/>
  <c r="EF24" i="72" a="1"/>
  <c r="EF24" i="72" s="1"/>
  <c r="FE22" i="72" a="1"/>
  <c r="FE22" i="72" s="1"/>
  <c r="FA22" i="72" a="1"/>
  <c r="FA22" i="72" s="1"/>
  <c r="FH22" i="72" a="1"/>
  <c r="FH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H24" i="72" a="1"/>
  <c r="FH24" i="72" s="1"/>
  <c r="FX27" i="72" a="1"/>
  <c r="FX27" i="72" s="1"/>
  <c r="GB27" i="72" a="1"/>
  <c r="GB27" i="72" s="1"/>
  <c r="GA27" i="72" a="1"/>
  <c r="GA27" i="72" s="1"/>
  <c r="FJ27" i="72" a="1"/>
  <c r="FJ27" i="72" s="1"/>
  <c r="GE27" i="72" a="1"/>
  <c r="GE27" i="72" s="1"/>
  <c r="FZ27" i="72" a="1"/>
  <c r="FZ27" i="72" s="1"/>
  <c r="GD27" i="72" a="1"/>
  <c r="GD27" i="72" s="1"/>
  <c r="FY27" i="72" a="1"/>
  <c r="FY27" i="72" s="1"/>
  <c r="GC27" i="72" a="1"/>
  <c r="GC27" i="72" s="1"/>
  <c r="GD32" i="72" a="1"/>
  <c r="GD32" i="72" s="1"/>
  <c r="FZ32" i="72" a="1"/>
  <c r="FZ32" i="72" s="1"/>
  <c r="FJ32" i="72" a="1"/>
  <c r="FJ32" i="72" s="1"/>
  <c r="FX32" i="72" a="1"/>
  <c r="FX32" i="72" s="1"/>
  <c r="GE32" i="72" a="1"/>
  <c r="GE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HB21" i="72" a="1"/>
  <c r="HB21" i="72" s="1"/>
  <c r="GZ14" i="72" a="1"/>
  <c r="GZ14" i="72" s="1"/>
  <c r="GV14" i="72" a="1"/>
  <c r="GV14" i="72" s="1"/>
  <c r="GY14" i="72" a="1"/>
  <c r="GY14" i="72" s="1"/>
  <c r="GU14" i="72" a="1"/>
  <c r="GU14" i="72" s="1"/>
  <c r="HB14" i="72" a="1"/>
  <c r="HB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Y33" i="72" a="1"/>
  <c r="HY33" i="72" s="1"/>
  <c r="HX32" i="72" a="1"/>
  <c r="HX32" i="72" s="1"/>
  <c r="HT32" i="72" a="1"/>
  <c r="HT32" i="72" s="1"/>
  <c r="HD32" i="72" a="1"/>
  <c r="HD32" i="72" s="1"/>
  <c r="HV32" i="72" a="1"/>
  <c r="HV32" i="72" s="1"/>
  <c r="HU32" i="72" a="1"/>
  <c r="HU32" i="72" s="1"/>
  <c r="HS32" i="72" a="1"/>
  <c r="HS32" i="72" s="1"/>
  <c r="HR32" i="72" a="1"/>
  <c r="HR32" i="72" s="1"/>
  <c r="HY32" i="72" a="1"/>
  <c r="HY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V17" i="72" a="1"/>
  <c r="IV17" i="72" s="1"/>
  <c r="IT14" i="72" a="1"/>
  <c r="IT14" i="72" s="1"/>
  <c r="IP14" i="72" a="1"/>
  <c r="IP14" i="72" s="1"/>
  <c r="IS14" i="72" a="1"/>
  <c r="IS14" i="72" s="1"/>
  <c r="IO14" i="72" a="1"/>
  <c r="IO14" i="72" s="1"/>
  <c r="IU14" i="72" a="1"/>
  <c r="IU14" i="72" s="1"/>
  <c r="IV14" i="72" a="1"/>
  <c r="IV14" i="72" s="1"/>
  <c r="IR14" i="72" a="1"/>
  <c r="IR14" i="72" s="1"/>
  <c r="IQ14" i="72" a="1"/>
  <c r="IQ14" i="72" s="1"/>
  <c r="IA14" i="72" a="1"/>
  <c r="IA14" i="72" s="1"/>
  <c r="JM18" i="72" a="1"/>
  <c r="JM18" i="72" s="1"/>
  <c r="JL18" i="72" a="1"/>
  <c r="JL18" i="72" s="1"/>
  <c r="JO18" i="72" a="1"/>
  <c r="JO18" i="72" s="1"/>
  <c r="JN18" i="72" a="1"/>
  <c r="JN18" i="72" s="1"/>
  <c r="JS18" i="72" a="1"/>
  <c r="JS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JS15" i="72" a="1"/>
  <c r="JS15" i="72" s="1"/>
  <c r="IX15" i="72" a="1"/>
  <c r="IX15" i="72" s="1"/>
  <c r="CO21" i="72" a="1"/>
  <c r="CO21" i="72" s="1"/>
  <c r="CN21" i="72" a="1"/>
  <c r="CN21" i="72" s="1"/>
  <c r="CM21" i="72" a="1"/>
  <c r="CM21" i="72" s="1"/>
  <c r="BV21" i="72" a="1"/>
  <c r="BV21" i="72" s="1"/>
  <c r="CK21" i="72" a="1"/>
  <c r="CK21" i="72" s="1"/>
  <c r="CJ21" i="72" a="1"/>
  <c r="CJ21" i="72" s="1"/>
  <c r="CQ21" i="72" a="1"/>
  <c r="CQ21" i="72" s="1"/>
  <c r="CP21" i="72" a="1"/>
  <c r="CP21" i="72" s="1"/>
  <c r="CL21" i="72" a="1"/>
  <c r="CL21" i="72" s="1"/>
  <c r="EE21" i="72" a="1"/>
  <c r="EE21" i="72" s="1"/>
  <c r="EJ21" i="72" a="1"/>
  <c r="EJ21" i="72" s="1"/>
  <c r="ED21" i="72" a="1"/>
  <c r="ED21" i="72" s="1"/>
  <c r="EH21" i="72" a="1"/>
  <c r="EH21" i="72" s="1"/>
  <c r="EF21" i="72" a="1"/>
  <c r="EF21" i="72" s="1"/>
  <c r="DP21" i="72" a="1"/>
  <c r="DP21" i="72" s="1"/>
  <c r="EK21" i="72" a="1"/>
  <c r="EK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K27" i="72" a="1"/>
  <c r="EK27" i="72" s="1"/>
  <c r="EF27" i="72" a="1"/>
  <c r="EF27" i="72" s="1"/>
  <c r="GU16" i="72" a="1"/>
  <c r="GU16" i="72" s="1"/>
  <c r="GY16" i="72" a="1"/>
  <c r="GY16" i="72" s="1"/>
  <c r="GX16" i="72" a="1"/>
  <c r="GX16" i="72" s="1"/>
  <c r="HB16" i="72" a="1"/>
  <c r="HB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V26" i="72" a="1"/>
  <c r="IV26" i="72" s="1"/>
  <c r="IA26" i="72" a="1"/>
  <c r="IA26" i="72" s="1"/>
  <c r="IQ26" i="72" a="1"/>
  <c r="IQ26" i="72" s="1"/>
  <c r="JO30" i="72" a="1"/>
  <c r="JO30" i="72" s="1"/>
  <c r="JN30" i="72" a="1"/>
  <c r="JN30" i="72" s="1"/>
  <c r="JR30" i="72" a="1"/>
  <c r="JR30" i="72" s="1"/>
  <c r="JM30" i="72" a="1"/>
  <c r="JM30" i="72" s="1"/>
  <c r="JQ30" i="72" a="1"/>
  <c r="JQ30" i="72" s="1"/>
  <c r="JS30" i="72" a="1"/>
  <c r="JS30" i="72" s="1"/>
  <c r="JP30" i="72" a="1"/>
  <c r="JP30" i="72" s="1"/>
  <c r="JL30" i="72" a="1"/>
  <c r="JL30" i="72" s="1"/>
  <c r="IX30" i="72" a="1"/>
  <c r="IX30" i="72" s="1"/>
  <c r="BQ32" i="72" a="1"/>
  <c r="BQ32" i="72" s="1"/>
  <c r="BM32" i="72" a="1"/>
  <c r="BM32" i="72" s="1"/>
  <c r="BS32" i="72" a="1"/>
  <c r="BS32" i="72" s="1"/>
  <c r="BP32" i="72" a="1"/>
  <c r="BP32" i="72" s="1"/>
  <c r="AY32" i="72" a="1"/>
  <c r="AY32" i="72" s="1"/>
  <c r="BT32" i="72" a="1"/>
  <c r="BT32" i="72" s="1"/>
  <c r="BR32" i="72" a="1"/>
  <c r="BR32" i="72" s="1"/>
  <c r="BO32" i="72" a="1"/>
  <c r="BO32" i="72" s="1"/>
  <c r="BN32" i="72" a="1"/>
  <c r="BN32" i="72" s="1"/>
  <c r="BO30" i="72" a="1"/>
  <c r="BO30" i="72" s="1"/>
  <c r="BQ30" i="72" a="1"/>
  <c r="BQ30" i="72" s="1"/>
  <c r="BM30" i="72" a="1"/>
  <c r="BM30" i="72" s="1"/>
  <c r="BP30" i="72" a="1"/>
  <c r="BP30" i="72" s="1"/>
  <c r="AY30" i="72" a="1"/>
  <c r="AY30" i="72" s="1"/>
  <c r="BT30" i="72" a="1"/>
  <c r="BT30" i="72" s="1"/>
  <c r="BS30" i="72" a="1"/>
  <c r="BS30" i="72" s="1"/>
  <c r="BR30" i="72" a="1"/>
  <c r="BR30" i="72" s="1"/>
  <c r="BN30" i="72" a="1"/>
  <c r="BN30" i="72" s="1"/>
  <c r="CQ15" i="72" a="1"/>
  <c r="CQ15"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CQ31" i="72" a="1"/>
  <c r="CQ31" i="72" s="1"/>
  <c r="BV31" i="72" a="1"/>
  <c r="BV31" i="72" s="1"/>
  <c r="CO31" i="72" a="1"/>
  <c r="CO31" i="72" s="1"/>
  <c r="CM31" i="72" a="1"/>
  <c r="CM31" i="72" s="1"/>
  <c r="DL30" i="72" a="1"/>
  <c r="DL30" i="72" s="1"/>
  <c r="DI30" i="72" a="1"/>
  <c r="DI30" i="72" s="1"/>
  <c r="DK30" i="72" a="1"/>
  <c r="DK30" i="72" s="1"/>
  <c r="CS30" i="72" a="1"/>
  <c r="CS30" i="72" s="1"/>
  <c r="DN30" i="72" a="1"/>
  <c r="DN30" i="72" s="1"/>
  <c r="DH30" i="72" a="1"/>
  <c r="DH30" i="72" s="1"/>
  <c r="DM30" i="72" a="1"/>
  <c r="DM30" i="72" s="1"/>
  <c r="DG30" i="72" a="1"/>
  <c r="DG30" i="72" s="1"/>
  <c r="DJ30" i="72" a="1"/>
  <c r="DJ30" i="72" s="1"/>
  <c r="DN27" i="72" a="1"/>
  <c r="DN27"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K25" i="72" a="1"/>
  <c r="EK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K20" i="72" a="1"/>
  <c r="EK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K26" i="72" a="1"/>
  <c r="EK26" i="72" s="1"/>
  <c r="EF26" i="72" a="1"/>
  <c r="EF26" i="72" s="1"/>
  <c r="EJ26" i="72" a="1"/>
  <c r="EJ26" i="72" s="1"/>
  <c r="FA17" i="72" a="1"/>
  <c r="FA17" i="72" s="1"/>
  <c r="FH17" i="72" a="1"/>
  <c r="FH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FH28" i="72" a="1"/>
  <c r="FH28" i="72" s="1"/>
  <c r="EM28" i="72" a="1"/>
  <c r="EM28" i="72" s="1"/>
  <c r="FC28" i="72" a="1"/>
  <c r="FC28" i="72" s="1"/>
  <c r="GE21" i="72" a="1"/>
  <c r="GE21"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E33" i="72" a="1"/>
  <c r="GE33" i="72" s="1"/>
  <c r="GC33" i="72" a="1"/>
  <c r="GC33" i="72" s="1"/>
  <c r="GA33" i="72" a="1"/>
  <c r="GA33" i="72" s="1"/>
  <c r="FY33" i="72" a="1"/>
  <c r="FY33" i="72" s="1"/>
  <c r="GY34" i="72" a="1"/>
  <c r="GY34" i="72" s="1"/>
  <c r="GU34" i="72" a="1"/>
  <c r="GU34" i="72" s="1"/>
  <c r="HB34" i="72" a="1"/>
  <c r="HB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B31" i="72" a="1"/>
  <c r="HB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Y25" i="72" a="1"/>
  <c r="HY25" i="72" s="1"/>
  <c r="HW25" i="72" a="1"/>
  <c r="HW25" i="72" s="1"/>
  <c r="HV25" i="72" a="1"/>
  <c r="HV25" i="72" s="1"/>
  <c r="HT25" i="72" a="1"/>
  <c r="HT25" i="72" s="1"/>
  <c r="HR29" i="72" a="1"/>
  <c r="HR29" i="72" s="1"/>
  <c r="HU29" i="72" a="1"/>
  <c r="HU29" i="72" s="1"/>
  <c r="HY29" i="72" a="1"/>
  <c r="HY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V19" i="72" a="1"/>
  <c r="IV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V23" i="72" a="1"/>
  <c r="IV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JS16" i="72" a="1"/>
  <c r="JS16" i="72" s="1"/>
  <c r="IX16" i="72" a="1"/>
  <c r="IX16" i="72" s="1"/>
  <c r="JO16" i="72" a="1"/>
  <c r="JO16" i="72" s="1"/>
  <c r="GY15" i="72" a="1"/>
  <c r="GY15" i="72" s="1"/>
  <c r="GX15" i="72" a="1"/>
  <c r="GX15" i="72" s="1"/>
  <c r="HB15" i="72" a="1"/>
  <c r="HB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N15" i="72" a="1"/>
  <c r="DN15" i="72" s="1"/>
  <c r="DJ15" i="72" a="1"/>
  <c r="DJ15" i="72" s="1"/>
  <c r="DM15" i="72" a="1"/>
  <c r="DM15" i="72" s="1"/>
  <c r="DI15" i="72" a="1"/>
  <c r="DI15" i="72" s="1"/>
  <c r="CS15" i="72" a="1"/>
  <c r="CS15" i="72" s="1"/>
  <c r="FE34" i="72" a="1"/>
  <c r="FE34" i="72" s="1"/>
  <c r="FA34" i="72" a="1"/>
  <c r="FA34" i="72" s="1"/>
  <c r="FC34" i="72" a="1"/>
  <c r="FC34" i="72" s="1"/>
  <c r="FH34" i="72" a="1"/>
  <c r="FH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B33" i="72" a="1"/>
  <c r="HB33" i="72" s="1"/>
  <c r="HA33" i="72" a="1"/>
  <c r="HA33" i="72" s="1"/>
  <c r="GZ33" i="72" a="1"/>
  <c r="GZ33" i="72" s="1"/>
  <c r="IS34" i="72" a="1"/>
  <c r="IS34" i="72" s="1"/>
  <c r="IO34" i="72" a="1"/>
  <c r="IO34" i="72" s="1"/>
  <c r="IV34" i="72" a="1"/>
  <c r="IV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T23" i="72" a="1"/>
  <c r="BT23" i="72" s="1"/>
  <c r="BO23" i="72" a="1"/>
  <c r="BO23" i="72" s="1"/>
  <c r="BN23" i="72" a="1"/>
  <c r="BN23" i="72" s="1"/>
  <c r="BS23" i="72" a="1"/>
  <c r="BS23" i="72" s="1"/>
  <c r="BR23" i="72" a="1"/>
  <c r="BR23" i="72" s="1"/>
  <c r="BT25" i="72" a="1"/>
  <c r="BT25"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BT24" i="72" a="1"/>
  <c r="BT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Q30" i="72" a="1"/>
  <c r="CQ30" i="72" s="1"/>
  <c r="CN20" i="72" a="1"/>
  <c r="CN20" i="72" s="1"/>
  <c r="CJ20" i="72" a="1"/>
  <c r="CJ20" i="72" s="1"/>
  <c r="CM20" i="72" a="1"/>
  <c r="CM20" i="72" s="1"/>
  <c r="BV20" i="72" a="1"/>
  <c r="BV20" i="72" s="1"/>
  <c r="CQ20" i="72" a="1"/>
  <c r="CQ20" i="72" s="1"/>
  <c r="CL20" i="72" a="1"/>
  <c r="CL20" i="72" s="1"/>
  <c r="CP20" i="72" a="1"/>
  <c r="CP20" i="72" s="1"/>
  <c r="CK20" i="72" a="1"/>
  <c r="CK20" i="72" s="1"/>
  <c r="CO20" i="72" a="1"/>
  <c r="CO20" i="72" s="1"/>
  <c r="DH25" i="72" a="1"/>
  <c r="DH25" i="72" s="1"/>
  <c r="DN25" i="72" a="1"/>
  <c r="DN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DN19" i="72" a="1"/>
  <c r="DN19" i="72" s="1"/>
  <c r="EK15" i="72" a="1"/>
  <c r="EK15"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K14" i="72" a="1"/>
  <c r="EK14" i="72" s="1"/>
  <c r="EI14" i="72" a="1"/>
  <c r="EI14" i="72" s="1"/>
  <c r="EE14" i="72" a="1"/>
  <c r="EE14" i="72" s="1"/>
  <c r="ED14" i="72" a="1"/>
  <c r="ED14" i="72" s="1"/>
  <c r="EG14" i="72" a="1"/>
  <c r="EG14" i="72" s="1"/>
  <c r="EJ22" i="72" a="1"/>
  <c r="EJ22" i="72" s="1"/>
  <c r="EF22" i="72" a="1"/>
  <c r="EF22" i="72" s="1"/>
  <c r="DP22" i="72" a="1"/>
  <c r="DP22" i="72" s="1"/>
  <c r="EG22" i="72" a="1"/>
  <c r="EG22" i="72" s="1"/>
  <c r="EK22" i="72" a="1"/>
  <c r="EK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H23" i="72" a="1"/>
  <c r="FH23" i="72" s="1"/>
  <c r="FC23" i="72" a="1"/>
  <c r="FC23" i="72" s="1"/>
  <c r="FF18" i="72" a="1"/>
  <c r="FF18" i="72" s="1"/>
  <c r="FE18" i="72" a="1"/>
  <c r="FE18" i="72" s="1"/>
  <c r="FD18" i="72" a="1"/>
  <c r="FD18" i="72" s="1"/>
  <c r="FC18" i="72" a="1"/>
  <c r="FC18" i="72" s="1"/>
  <c r="FH18" i="72" a="1"/>
  <c r="FH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GE16" i="72" a="1"/>
  <c r="GE16" i="72" s="1"/>
  <c r="FJ16" i="72" a="1"/>
  <c r="FJ16" i="72" s="1"/>
  <c r="GD16" i="72" a="1"/>
  <c r="GD16" i="72" s="1"/>
  <c r="FZ16" i="72" a="1"/>
  <c r="FZ16" i="72" s="1"/>
  <c r="GB19" i="72" a="1"/>
  <c r="GB19" i="72" s="1"/>
  <c r="FX19" i="72" a="1"/>
  <c r="FX19" i="72" s="1"/>
  <c r="GC19" i="72" a="1"/>
  <c r="GC19" i="72" s="1"/>
  <c r="GE19" i="72" a="1"/>
  <c r="GE19" i="72" s="1"/>
  <c r="GD19" i="72" a="1"/>
  <c r="GD19" i="72" s="1"/>
  <c r="GA19" i="72" a="1"/>
  <c r="GA19" i="72" s="1"/>
  <c r="FZ19" i="72" a="1"/>
  <c r="FZ19" i="72" s="1"/>
  <c r="FY19" i="72" a="1"/>
  <c r="FY19" i="72" s="1"/>
  <c r="FJ19" i="72" a="1"/>
  <c r="FJ19" i="72" s="1"/>
  <c r="GY23" i="72" a="1"/>
  <c r="GY23" i="72" s="1"/>
  <c r="GU23" i="72" a="1"/>
  <c r="GU23" i="72" s="1"/>
  <c r="HB23" i="72" a="1"/>
  <c r="HB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HB28" i="72" a="1"/>
  <c r="HB28" i="72" s="1"/>
  <c r="GV28" i="72" a="1"/>
  <c r="GV28" i="72" s="1"/>
  <c r="HW30" i="72" a="1"/>
  <c r="HW30" i="72" s="1"/>
  <c r="HU30" i="72" a="1"/>
  <c r="HU30" i="72" s="1"/>
  <c r="HY30" i="72" a="1"/>
  <c r="HY30" i="72" s="1"/>
  <c r="HD30" i="72" a="1"/>
  <c r="HD30" i="72" s="1"/>
  <c r="HX30" i="72" a="1"/>
  <c r="HX30" i="72" s="1"/>
  <c r="HV30" i="72" a="1"/>
  <c r="HV30" i="72" s="1"/>
  <c r="HT30" i="72" a="1"/>
  <c r="HT30" i="72" s="1"/>
  <c r="HS30" i="72" a="1"/>
  <c r="HS30" i="72" s="1"/>
  <c r="HR30" i="72" a="1"/>
  <c r="HR30" i="72" s="1"/>
  <c r="HV16" i="72" a="1"/>
  <c r="HV16" i="72" s="1"/>
  <c r="HU16" i="72" a="1"/>
  <c r="HU16" i="72" s="1"/>
  <c r="HY16" i="72" a="1"/>
  <c r="HY16" i="72" s="1"/>
  <c r="HD16" i="72" a="1"/>
  <c r="HD16" i="72" s="1"/>
  <c r="HT16" i="72" a="1"/>
  <c r="HT16" i="72" s="1"/>
  <c r="HX16" i="72" a="1"/>
  <c r="HX16" i="72" s="1"/>
  <c r="HS16" i="72" a="1"/>
  <c r="HS16" i="72" s="1"/>
  <c r="HR16" i="72" a="1"/>
  <c r="HR16" i="72" s="1"/>
  <c r="HW16" i="72" a="1"/>
  <c r="HW16" i="72" s="1"/>
  <c r="IV29" i="72" a="1"/>
  <c r="IV29"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S22" i="72" a="1"/>
  <c r="JS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S33" i="72" a="1"/>
  <c r="JS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28" i="72"/>
  <c r="CD24" i="72"/>
  <c r="CD20" i="72"/>
  <c r="CD16" i="72"/>
  <c r="CD12" i="72"/>
  <c r="CC24" i="72"/>
  <c r="CC28" i="72"/>
  <c r="CD32" i="72"/>
  <c r="CD27" i="72"/>
  <c r="CD23" i="72"/>
  <c r="CD19" i="72"/>
  <c r="CD15" i="72"/>
  <c r="CB12" i="72"/>
  <c r="CC29" i="72"/>
  <c r="CC21" i="72"/>
  <c r="CC17" i="72"/>
  <c r="CE12" i="72"/>
  <c r="CC33" i="72"/>
  <c r="CC16" i="72"/>
  <c r="CC32" i="72"/>
  <c r="CC27" i="72"/>
  <c r="CC23" i="72"/>
  <c r="CC19" i="72"/>
  <c r="CC15" i="72"/>
  <c r="CA12" i="72"/>
  <c r="CC30" i="72"/>
  <c r="CC22" i="72"/>
  <c r="CC18" i="72"/>
  <c r="CC14" i="72"/>
  <c r="BY12" i="72"/>
  <c r="CD30" i="72"/>
  <c r="CD26" i="72"/>
  <c r="CD22" i="72"/>
  <c r="CD18" i="72"/>
  <c r="CD14" i="72"/>
  <c r="BZ12" i="72"/>
  <c r="CC26" i="72"/>
  <c r="CC25" i="72"/>
  <c r="CC20" i="72"/>
  <c r="CC12" i="72"/>
  <c r="CD29" i="72"/>
  <c r="CD25" i="72"/>
  <c r="CD21" i="72"/>
  <c r="CD17" i="72"/>
  <c r="CF12" i="72"/>
  <c r="CD34" i="72"/>
  <c r="CD33" i="72"/>
  <c r="CC31" i="72"/>
  <c r="CD31" i="72"/>
  <c r="CC34"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C16" i="36" s="1"/>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FJ35" i="72" l="1"/>
  <c r="FK24" i="72" s="1"/>
  <c r="FM24" i="72" s="1"/>
  <c r="FS24" i="72" s="1"/>
  <c r="CS35" i="72"/>
  <c r="CT28" i="72" s="1"/>
  <c r="FK17" i="72"/>
  <c r="FM17" i="72" s="1"/>
  <c r="FK31" i="72"/>
  <c r="DP35" i="72"/>
  <c r="DQ14" i="72" s="1"/>
  <c r="DQ17" i="72"/>
  <c r="DS17" i="72" s="1"/>
  <c r="CT20" i="72"/>
  <c r="CV20" i="72" s="1"/>
  <c r="EM35" i="72"/>
  <c r="EN16" i="72" s="1"/>
  <c r="EP16" i="72" s="1"/>
  <c r="EV16" i="72" s="1"/>
  <c r="DQ24" i="72"/>
  <c r="DS24" i="72" s="1"/>
  <c r="CT16" i="72"/>
  <c r="CV16" i="72" s="1"/>
  <c r="CT32" i="72"/>
  <c r="CT26" i="72"/>
  <c r="CT34" i="72"/>
  <c r="DQ25" i="72"/>
  <c r="DS25" i="72" s="1"/>
  <c r="CT30" i="72"/>
  <c r="CT29" i="72"/>
  <c r="FK19" i="72"/>
  <c r="FM19" i="72" s="1"/>
  <c r="FS19" i="72" s="1"/>
  <c r="DQ21" i="72"/>
  <c r="DS21" i="72" s="1"/>
  <c r="FK27" i="72"/>
  <c r="HD35" i="72"/>
  <c r="HE18" i="72" s="1"/>
  <c r="HG18" i="72" s="1"/>
  <c r="HE34" i="72"/>
  <c r="GG35" i="72"/>
  <c r="GH29" i="72" s="1"/>
  <c r="FK32" i="72"/>
  <c r="DQ34" i="72"/>
  <c r="CT22" i="72"/>
  <c r="CV22" i="72" s="1"/>
  <c r="BV35" i="72"/>
  <c r="BW28" i="72" s="1"/>
  <c r="BW14" i="72"/>
  <c r="FK28" i="72"/>
  <c r="CT17" i="72"/>
  <c r="CV17" i="72" s="1"/>
  <c r="HE22" i="72"/>
  <c r="HG22" i="72" s="1"/>
  <c r="DQ18" i="72"/>
  <c r="DS18" i="72" s="1"/>
  <c r="DQ19" i="72"/>
  <c r="DS19" i="72" s="1"/>
  <c r="CT21" i="72"/>
  <c r="CV21" i="72" s="1"/>
  <c r="FK29" i="72"/>
  <c r="HE17" i="72"/>
  <c r="HG17" i="72" s="1"/>
  <c r="HE31" i="72"/>
  <c r="CT24" i="72"/>
  <c r="CV24" i="72" s="1"/>
  <c r="DB24" i="72" s="1"/>
  <c r="CT33" i="72"/>
  <c r="IA35" i="72"/>
  <c r="IB29" i="72" s="1"/>
  <c r="CT25" i="72"/>
  <c r="CV25" i="72" s="1"/>
  <c r="HE29" i="72"/>
  <c r="FK33" i="72"/>
  <c r="DQ26" i="72"/>
  <c r="CT27" i="72"/>
  <c r="DQ27" i="72"/>
  <c r="CT31" i="72"/>
  <c r="DQ30" i="72"/>
  <c r="DQ23" i="72"/>
  <c r="DS23" i="72" s="1"/>
  <c r="DY23" i="72" s="1"/>
  <c r="CT18" i="72"/>
  <c r="CV18" i="72" s="1"/>
  <c r="DB18" i="72" s="1"/>
  <c r="FK18" i="72"/>
  <c r="FM18" i="72" s="1"/>
  <c r="IY21" i="72"/>
  <c r="JA21" i="72" s="1"/>
  <c r="JH21" i="72" s="1"/>
  <c r="IX35" i="72"/>
  <c r="IY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DC25" i="72"/>
  <c r="DB22" i="72"/>
  <c r="HM17" i="72"/>
  <c r="FT18" i="72"/>
  <c r="DC21" i="72"/>
  <c r="DB16" i="72"/>
  <c r="JE22" i="72"/>
  <c r="JF19" i="72"/>
  <c r="JE19" i="72"/>
  <c r="JF16" i="72"/>
  <c r="JE14" i="72"/>
  <c r="JA12" i="72"/>
  <c r="JB12" i="72"/>
  <c r="JE30" i="72"/>
  <c r="JF27" i="72"/>
  <c r="JF30" i="72"/>
  <c r="JF28" i="72"/>
  <c r="JG12" i="72"/>
  <c r="JE31" i="72"/>
  <c r="JE32" i="72"/>
  <c r="JC12" i="72"/>
  <c r="JF17" i="72"/>
  <c r="JF12" i="72"/>
  <c r="JF26" i="72"/>
  <c r="JH12" i="72"/>
  <c r="JF32" i="72"/>
  <c r="JF14" i="72"/>
  <c r="JE20" i="72"/>
  <c r="JF15" i="72"/>
  <c r="JE29" i="72"/>
  <c r="JE16" i="72"/>
  <c r="JE17" i="72"/>
  <c r="JF25" i="72"/>
  <c r="JF23" i="72"/>
  <c r="JF34" i="72"/>
  <c r="JF21" i="72"/>
  <c r="JF22" i="72"/>
  <c r="JE28" i="72"/>
  <c r="JE26" i="72"/>
  <c r="JE15" i="72"/>
  <c r="JE24" i="72"/>
  <c r="JE25" i="72"/>
  <c r="JF33" i="72"/>
  <c r="JE34" i="72"/>
  <c r="JE23" i="72"/>
  <c r="JF29" i="72"/>
  <c r="JE33" i="72"/>
  <c r="JE12" i="72"/>
  <c r="JF18" i="72"/>
  <c r="JE18" i="72"/>
  <c r="JF24" i="72"/>
  <c r="JD12" i="72"/>
  <c r="JF20" i="72"/>
  <c r="JE21" i="72"/>
  <c r="JF31" i="72"/>
  <c r="JE27" i="72"/>
  <c r="IH33" i="72"/>
  <c r="IH17" i="72"/>
  <c r="II30" i="72"/>
  <c r="IH16" i="72"/>
  <c r="IH30" i="72"/>
  <c r="II14" i="72"/>
  <c r="II27" i="72"/>
  <c r="IH14" i="72"/>
  <c r="IH25" i="72"/>
  <c r="IK12" i="72"/>
  <c r="II22" i="72"/>
  <c r="IF12" i="72"/>
  <c r="II19" i="72"/>
  <c r="IH22" i="72"/>
  <c r="IE12" i="72"/>
  <c r="II32" i="72"/>
  <c r="IH15" i="72"/>
  <c r="II23" i="72"/>
  <c r="IH29" i="72"/>
  <c r="IH19" i="72"/>
  <c r="IG12" i="72"/>
  <c r="II20" i="72"/>
  <c r="IH26" i="72"/>
  <c r="II34" i="72"/>
  <c r="II24" i="72"/>
  <c r="II17" i="72"/>
  <c r="IH23" i="72"/>
  <c r="II31" i="72"/>
  <c r="II21" i="72"/>
  <c r="IH27" i="72"/>
  <c r="IH20" i="72"/>
  <c r="II28" i="72"/>
  <c r="IH34" i="72"/>
  <c r="IH24" i="72"/>
  <c r="II25" i="72"/>
  <c r="IH31" i="72"/>
  <c r="IJ12" i="72"/>
  <c r="II29" i="72"/>
  <c r="IH28" i="72"/>
  <c r="II12" i="72"/>
  <c r="II18" i="72"/>
  <c r="IH32" i="72"/>
  <c r="II33" i="72"/>
  <c r="II15" i="72"/>
  <c r="IH21" i="72"/>
  <c r="ID12" i="72"/>
  <c r="IH12" i="72"/>
  <c r="IH18" i="72"/>
  <c r="II26" i="72"/>
  <c r="II16" i="72"/>
  <c r="HK31" i="72"/>
  <c r="HL24" i="72"/>
  <c r="HL19" i="72"/>
  <c r="HK14" i="72"/>
  <c r="HK30" i="72"/>
  <c r="HK24" i="72"/>
  <c r="HK19" i="72"/>
  <c r="HN12" i="72"/>
  <c r="HK32" i="72"/>
  <c r="HL25" i="72"/>
  <c r="HK20" i="72"/>
  <c r="HK15" i="72"/>
  <c r="HL29" i="72"/>
  <c r="HL23" i="72"/>
  <c r="HK18" i="72"/>
  <c r="HL12" i="72"/>
  <c r="HK12" i="72"/>
  <c r="HK28" i="72"/>
  <c r="HK22" i="72"/>
  <c r="HL16" i="72"/>
  <c r="HJ12" i="72"/>
  <c r="HL27" i="72"/>
  <c r="HL28" i="72"/>
  <c r="HK23" i="72"/>
  <c r="HL17" i="72"/>
  <c r="HL33" i="72"/>
  <c r="HL21" i="72"/>
  <c r="HK16" i="72"/>
  <c r="HH12" i="72"/>
  <c r="HL32" i="72"/>
  <c r="HK27" i="72"/>
  <c r="HL20" i="72"/>
  <c r="HL15" i="72"/>
  <c r="HG12" i="72"/>
  <c r="HL34" i="72"/>
  <c r="HK33" i="72"/>
  <c r="HK29" i="72"/>
  <c r="HK26" i="72"/>
  <c r="HI12" i="72"/>
  <c r="HL31" i="72"/>
  <c r="HL14" i="72"/>
  <c r="HK34" i="72"/>
  <c r="HK17" i="72"/>
  <c r="HM12" i="72"/>
  <c r="HL22" i="72"/>
  <c r="HL18" i="72"/>
  <c r="HK25" i="72"/>
  <c r="HK21" i="72"/>
  <c r="HL30" i="72"/>
  <c r="HL26" i="72"/>
  <c r="HM22" i="72"/>
  <c r="GO34" i="72"/>
  <c r="GN30" i="72"/>
  <c r="GN26" i="72"/>
  <c r="GN22" i="72"/>
  <c r="GN18" i="72"/>
  <c r="GN14" i="72"/>
  <c r="GJ12" i="72"/>
  <c r="GO33" i="72"/>
  <c r="GN29" i="72"/>
  <c r="GN21" i="72"/>
  <c r="GN17" i="72"/>
  <c r="GM12" i="72"/>
  <c r="GN31" i="72"/>
  <c r="GN19" i="72"/>
  <c r="GL12" i="72"/>
  <c r="GN34" i="72"/>
  <c r="GO29" i="72"/>
  <c r="GO25" i="72"/>
  <c r="GO21" i="72"/>
  <c r="GO17" i="72"/>
  <c r="GQ12" i="72"/>
  <c r="GN23" i="72"/>
  <c r="GO30" i="72"/>
  <c r="GO26" i="72"/>
  <c r="GO22" i="72"/>
  <c r="GO14" i="72"/>
  <c r="GK12" i="72"/>
  <c r="GN25" i="72"/>
  <c r="GP12" i="72"/>
  <c r="GN27" i="72"/>
  <c r="GN15" i="72"/>
  <c r="GO18" i="72"/>
  <c r="GN33" i="72"/>
  <c r="GO28" i="72"/>
  <c r="GO24" i="72"/>
  <c r="GO20" i="72"/>
  <c r="GO16" i="72"/>
  <c r="GO12" i="72"/>
  <c r="GO31" i="72"/>
  <c r="GO27" i="72"/>
  <c r="GO32" i="72"/>
  <c r="GN28" i="72"/>
  <c r="GN24" i="72"/>
  <c r="GN20" i="72"/>
  <c r="GN16" i="72"/>
  <c r="GN12" i="72"/>
  <c r="GO23" i="72"/>
  <c r="GO19" i="72"/>
  <c r="GO15" i="72"/>
  <c r="GN32" i="72"/>
  <c r="FR31" i="72"/>
  <c r="FR27" i="72"/>
  <c r="FR23" i="72"/>
  <c r="FR19" i="72"/>
  <c r="FR15" i="72"/>
  <c r="FP12" i="72"/>
  <c r="FQ31" i="72"/>
  <c r="FQ27" i="72"/>
  <c r="FQ23" i="72"/>
  <c r="FQ19" i="72"/>
  <c r="FQ15" i="72"/>
  <c r="FO12" i="72"/>
  <c r="FR34" i="72"/>
  <c r="FR30" i="72"/>
  <c r="FR26" i="72"/>
  <c r="FR22" i="72"/>
  <c r="FR18" i="72"/>
  <c r="FR14" i="72"/>
  <c r="FN12" i="72"/>
  <c r="FQ34" i="72"/>
  <c r="FQ30" i="72"/>
  <c r="FQ26" i="72"/>
  <c r="FQ22" i="72"/>
  <c r="FQ18" i="72"/>
  <c r="FQ14" i="72"/>
  <c r="FM12" i="72"/>
  <c r="FQ32" i="72"/>
  <c r="FQ28" i="72"/>
  <c r="FQ24" i="72"/>
  <c r="FQ20" i="72"/>
  <c r="FQ16" i="72"/>
  <c r="FQ12" i="72"/>
  <c r="FR33" i="72"/>
  <c r="FR29" i="72"/>
  <c r="FR25" i="72"/>
  <c r="FR21" i="72"/>
  <c r="FR17" i="72"/>
  <c r="FT12" i="72"/>
  <c r="FQ33" i="72"/>
  <c r="FQ29" i="72"/>
  <c r="FQ25" i="72"/>
  <c r="FQ21" i="72"/>
  <c r="FQ17" i="72"/>
  <c r="FS12" i="72"/>
  <c r="FR32" i="72"/>
  <c r="FR28" i="72"/>
  <c r="FR24" i="72"/>
  <c r="FR20" i="72"/>
  <c r="FR12" i="72"/>
  <c r="FR16" i="72"/>
  <c r="FS17" i="72"/>
  <c r="ET28" i="72"/>
  <c r="EU21" i="72"/>
  <c r="EU17" i="72"/>
  <c r="EW12" i="72"/>
  <c r="EU27" i="72"/>
  <c r="ET21" i="72"/>
  <c r="ET17" i="72"/>
  <c r="EV12" i="72"/>
  <c r="EU12" i="72"/>
  <c r="EU31" i="72"/>
  <c r="EU19" i="72"/>
  <c r="ES12" i="72"/>
  <c r="ET19" i="72"/>
  <c r="ET26" i="72"/>
  <c r="EU20" i="72"/>
  <c r="EU16" i="72"/>
  <c r="EU24" i="72"/>
  <c r="EU15" i="72"/>
  <c r="EU23" i="72"/>
  <c r="ET33" i="72"/>
  <c r="ET25" i="72"/>
  <c r="ET20" i="72"/>
  <c r="ET16" i="72"/>
  <c r="ET12" i="72"/>
  <c r="ET30" i="72"/>
  <c r="ER12" i="72"/>
  <c r="ET18" i="72"/>
  <c r="ET15" i="72"/>
  <c r="EU28" i="72"/>
  <c r="ET22" i="72"/>
  <c r="ET14" i="72"/>
  <c r="EP12" i="72"/>
  <c r="EU29" i="72"/>
  <c r="EU22" i="72"/>
  <c r="EU18" i="72"/>
  <c r="EU14" i="72"/>
  <c r="EQ12" i="72"/>
  <c r="EU32" i="72"/>
  <c r="EU30" i="72"/>
  <c r="ET34" i="72"/>
  <c r="ET24" i="72"/>
  <c r="ET31" i="72"/>
  <c r="EU33" i="72"/>
  <c r="ET27" i="72"/>
  <c r="EU26" i="72"/>
  <c r="ET32" i="72"/>
  <c r="ET29" i="72"/>
  <c r="EU34" i="72"/>
  <c r="EU25" i="72"/>
  <c r="ET23" i="72"/>
  <c r="DV18" i="72"/>
  <c r="DW21" i="72"/>
  <c r="DW19" i="72"/>
  <c r="DX22" i="72"/>
  <c r="DZ12" i="72"/>
  <c r="DW29" i="72"/>
  <c r="DX33" i="72"/>
  <c r="DX21" i="72"/>
  <c r="DW16" i="72"/>
  <c r="DY12" i="72"/>
  <c r="DW34" i="72"/>
  <c r="DX19" i="72"/>
  <c r="DX18" i="72"/>
  <c r="DW23" i="72"/>
  <c r="DW15" i="72"/>
  <c r="DX30" i="72"/>
  <c r="DX17" i="72"/>
  <c r="DU12" i="72"/>
  <c r="DW31" i="72"/>
  <c r="DW27" i="72"/>
  <c r="DW20" i="72"/>
  <c r="DX26" i="72"/>
  <c r="DX16" i="72"/>
  <c r="DX15" i="72"/>
  <c r="DW30" i="72"/>
  <c r="DW26" i="72"/>
  <c r="DW22" i="72"/>
  <c r="DW14" i="72"/>
  <c r="DX23" i="72"/>
  <c r="DW17" i="72"/>
  <c r="DX25" i="72"/>
  <c r="DX14" i="72"/>
  <c r="DW24" i="72"/>
  <c r="DX32" i="72"/>
  <c r="DW12" i="72"/>
  <c r="DX31" i="72"/>
  <c r="DV12" i="72"/>
  <c r="DW18" i="72"/>
  <c r="DX34" i="72"/>
  <c r="DW33" i="72"/>
  <c r="DW32" i="72"/>
  <c r="DX27" i="72"/>
  <c r="DX12" i="72"/>
  <c r="DX28" i="72"/>
  <c r="DW25" i="72"/>
  <c r="DS12" i="72"/>
  <c r="DX20" i="72"/>
  <c r="DW28" i="72"/>
  <c r="DX24" i="72"/>
  <c r="DX29" i="72"/>
  <c r="DT12" i="72"/>
  <c r="DZ25" i="72"/>
  <c r="DZ19" i="72"/>
  <c r="DZ24" i="72"/>
  <c r="DZ17" i="72"/>
  <c r="DC20" i="72"/>
  <c r="DA33" i="72"/>
  <c r="DA29" i="72"/>
  <c r="DA25" i="72"/>
  <c r="DA21" i="72"/>
  <c r="DA17" i="72"/>
  <c r="DC12" i="72"/>
  <c r="DA19" i="72"/>
  <c r="CZ27" i="72"/>
  <c r="CZ33" i="72"/>
  <c r="CZ29" i="72"/>
  <c r="CZ25" i="72"/>
  <c r="CZ21" i="72"/>
  <c r="CZ17" i="72"/>
  <c r="DB12" i="72"/>
  <c r="CZ24" i="72"/>
  <c r="CZ12" i="72"/>
  <c r="DA27" i="72"/>
  <c r="DA15" i="72"/>
  <c r="CZ15" i="72"/>
  <c r="DA32" i="72"/>
  <c r="DA28" i="72"/>
  <c r="DA24" i="72"/>
  <c r="DA20" i="72"/>
  <c r="DA16" i="72"/>
  <c r="DA12" i="72"/>
  <c r="CZ32" i="72"/>
  <c r="CZ16" i="72"/>
  <c r="CZ19" i="72"/>
  <c r="CZ23" i="72"/>
  <c r="DA34" i="72"/>
  <c r="DA30" i="72"/>
  <c r="DA26" i="72"/>
  <c r="DA22" i="72"/>
  <c r="DA18" i="72"/>
  <c r="DA14" i="72"/>
  <c r="CW12" i="72"/>
  <c r="CZ31" i="72"/>
  <c r="CZ34" i="72"/>
  <c r="CZ30" i="72"/>
  <c r="CZ26" i="72"/>
  <c r="CZ22" i="72"/>
  <c r="CZ18" i="72"/>
  <c r="CZ14" i="72"/>
  <c r="CV12" i="72"/>
  <c r="CZ28" i="72"/>
  <c r="CZ20" i="72"/>
  <c r="DA31" i="72"/>
  <c r="DA23" i="72"/>
  <c r="CY12" i="72"/>
  <c r="CX12" i="72"/>
  <c r="DC17" i="72"/>
  <c r="BF34" i="72"/>
  <c r="BG28" i="72"/>
  <c r="BF23" i="72"/>
  <c r="BG16" i="72"/>
  <c r="BF28" i="72"/>
  <c r="BG15" i="72"/>
  <c r="BG25" i="72"/>
  <c r="BE12" i="72"/>
  <c r="BF33" i="72"/>
  <c r="BG27" i="72"/>
  <c r="BF21" i="72"/>
  <c r="BI12" i="72"/>
  <c r="BG31" i="72"/>
  <c r="BG26" i="72"/>
  <c r="BF20" i="72"/>
  <c r="BG12" i="72"/>
  <c r="BG29" i="72"/>
  <c r="BF25" i="72"/>
  <c r="BF18" i="72"/>
  <c r="BC12" i="72"/>
  <c r="BF22" i="72"/>
  <c r="BF31" i="72"/>
  <c r="BF26" i="72"/>
  <c r="BG19" i="72"/>
  <c r="BF12" i="72"/>
  <c r="BF30" i="72"/>
  <c r="BF19" i="72"/>
  <c r="BF29" i="72"/>
  <c r="BG23" i="72"/>
  <c r="BF17" i="72"/>
  <c r="BB12" i="72"/>
  <c r="BG33" i="72"/>
  <c r="BG20" i="72"/>
  <c r="BF16" i="72"/>
  <c r="BG22" i="72"/>
  <c r="BG24" i="72"/>
  <c r="BH12" i="72"/>
  <c r="BF24" i="72"/>
  <c r="BF27" i="72"/>
  <c r="BF15" i="72"/>
  <c r="BG30" i="72"/>
  <c r="BG32" i="72"/>
  <c r="BG18" i="72"/>
  <c r="BG14" i="72"/>
  <c r="BG17" i="72"/>
  <c r="BF32" i="72"/>
  <c r="BF14" i="72"/>
  <c r="BD12" i="72"/>
  <c r="BG21" i="72"/>
  <c r="BG34" i="72"/>
  <c r="DC22" i="72"/>
  <c r="HN18" i="72"/>
  <c r="HJ18" i="72"/>
  <c r="HH18" i="72"/>
  <c r="HM18" i="72"/>
  <c r="FT17" i="72"/>
  <c r="DY21" i="72"/>
  <c r="DZ21" i="72"/>
  <c r="DT21" i="72"/>
  <c r="DV21" i="72"/>
  <c r="DC16" i="72"/>
  <c r="CW20" i="72"/>
  <c r="CV32" i="72" s="1"/>
  <c r="DC32" i="72" s="1"/>
  <c r="CW16" i="72"/>
  <c r="CV28" i="72" s="1"/>
  <c r="DC28" i="72" s="1"/>
  <c r="CY16" i="72"/>
  <c r="CY22" i="72"/>
  <c r="CW22" i="72"/>
  <c r="CY18" i="72"/>
  <c r="D15" i="36"/>
  <c r="S15" i="36" s="1"/>
  <c r="AB37" i="72"/>
  <c r="EP50" i="72"/>
  <c r="CV50" i="72"/>
  <c r="GJ50" i="72"/>
  <c r="FM50" i="72"/>
  <c r="AA11" i="75" s="1"/>
  <c r="ID50" i="72"/>
  <c r="DS50" i="72"/>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AD5" i="75"/>
  <c r="BB50" i="72"/>
  <c r="DS4" i="72"/>
  <c r="JA50" i="72"/>
  <c r="HG50" i="72"/>
  <c r="JA4" i="72"/>
  <c r="ID4" i="72"/>
  <c r="GJ4" i="72"/>
  <c r="HG4" i="72"/>
  <c r="EP4" i="72"/>
  <c r="CV4" i="72"/>
  <c r="FM4" i="72"/>
  <c r="IY29" i="72" l="1"/>
  <c r="IY19" i="72"/>
  <c r="JA19" i="72" s="1"/>
  <c r="JG19" i="72" s="1"/>
  <c r="DQ28" i="72"/>
  <c r="HE20" i="72"/>
  <c r="HG20" i="72" s="1"/>
  <c r="HM20" i="72" s="1"/>
  <c r="HE24" i="72"/>
  <c r="HG24" i="72" s="1"/>
  <c r="HJ24" i="72" s="1"/>
  <c r="EN30" i="72"/>
  <c r="GH30" i="72"/>
  <c r="EN24" i="72"/>
  <c r="EP24" i="72" s="1"/>
  <c r="EN32" i="72"/>
  <c r="EN20" i="72"/>
  <c r="EP20" i="72" s="1"/>
  <c r="EW20" i="72" s="1"/>
  <c r="EN28" i="72"/>
  <c r="EN31" i="72"/>
  <c r="EN33" i="72"/>
  <c r="BW15" i="72"/>
  <c r="BY15" i="72" s="1"/>
  <c r="HE14" i="72"/>
  <c r="EN27" i="72"/>
  <c r="EN19" i="72"/>
  <c r="EP19" i="72" s="1"/>
  <c r="ES19" i="72" s="1"/>
  <c r="GH18" i="72"/>
  <c r="GJ18" i="72" s="1"/>
  <c r="GM18" i="72" s="1"/>
  <c r="GH34" i="72"/>
  <c r="HE21" i="72"/>
  <c r="HG21" i="72" s="1"/>
  <c r="CT23" i="72"/>
  <c r="CV23" i="72" s="1"/>
  <c r="DB23" i="72" s="1"/>
  <c r="HE27" i="72"/>
  <c r="FK14" i="72"/>
  <c r="EN23" i="72"/>
  <c r="EP23" i="72" s="1"/>
  <c r="EV23" i="72" s="1"/>
  <c r="IY23" i="72"/>
  <c r="JA23" i="72" s="1"/>
  <c r="JD23" i="72" s="1"/>
  <c r="CT15" i="72"/>
  <c r="CV15" i="72" s="1"/>
  <c r="DC15" i="72" s="1"/>
  <c r="CV34" i="72"/>
  <c r="DC34" i="72" s="1"/>
  <c r="EN15" i="72"/>
  <c r="EP15" i="72" s="1"/>
  <c r="GH32" i="72"/>
  <c r="HE23" i="72"/>
  <c r="HG23" i="72" s="1"/>
  <c r="HN23" i="72" s="1"/>
  <c r="FK21" i="72"/>
  <c r="FM21" i="72" s="1"/>
  <c r="DQ22" i="72"/>
  <c r="DS22" i="72" s="1"/>
  <c r="DT22" i="72" s="1"/>
  <c r="EN17" i="72"/>
  <c r="EP17" i="72" s="1"/>
  <c r="DQ33" i="72"/>
  <c r="CT19" i="72"/>
  <c r="CV19" i="72" s="1"/>
  <c r="DQ35" i="72"/>
  <c r="DS14" i="72"/>
  <c r="DV14" i="72" s="1"/>
  <c r="BW35" i="72"/>
  <c r="BY14" i="72"/>
  <c r="IB22" i="72"/>
  <c r="ID22" i="72" s="1"/>
  <c r="IK22" i="72" s="1"/>
  <c r="IB33" i="72"/>
  <c r="IB20" i="72"/>
  <c r="ID20" i="72" s="1"/>
  <c r="IB34" i="72"/>
  <c r="HE26" i="72"/>
  <c r="FK35" i="72"/>
  <c r="FM14" i="72"/>
  <c r="IB14" i="72"/>
  <c r="BW31" i="72"/>
  <c r="IB30" i="72"/>
  <c r="IY22" i="72"/>
  <c r="JA22" i="72" s="1"/>
  <c r="JG22" i="72" s="1"/>
  <c r="IY25" i="72"/>
  <c r="JA25" i="72" s="1"/>
  <c r="IB19" i="72"/>
  <c r="ID19" i="72" s="1"/>
  <c r="IJ19" i="72" s="1"/>
  <c r="BW24" i="72"/>
  <c r="BY24" i="72" s="1"/>
  <c r="IY15" i="72"/>
  <c r="JA15" i="72" s="1"/>
  <c r="IB24" i="72"/>
  <c r="ID24" i="72" s="1"/>
  <c r="EN34" i="72"/>
  <c r="IB15" i="72"/>
  <c r="ID15" i="72" s="1"/>
  <c r="BW20" i="72"/>
  <c r="BY20" i="72" s="1"/>
  <c r="HE35" i="72"/>
  <c r="HG14" i="72"/>
  <c r="HM14" i="72" s="1"/>
  <c r="BW29" i="72"/>
  <c r="IB28" i="72"/>
  <c r="GH21" i="72"/>
  <c r="GJ21" i="72" s="1"/>
  <c r="BW32" i="72"/>
  <c r="BW21" i="72"/>
  <c r="BY21" i="72" s="1"/>
  <c r="IB27" i="72"/>
  <c r="BW16" i="72"/>
  <c r="BY16" i="72" s="1"/>
  <c r="HE25" i="72"/>
  <c r="HG25" i="72" s="1"/>
  <c r="HM25" i="72" s="1"/>
  <c r="BW22" i="72"/>
  <c r="BY22" i="72" s="1"/>
  <c r="GH22" i="72"/>
  <c r="GJ22" i="72" s="1"/>
  <c r="JA14" i="72"/>
  <c r="JG14" i="72" s="1"/>
  <c r="IY35" i="72"/>
  <c r="IY34" i="72"/>
  <c r="BW17" i="72"/>
  <c r="BY17" i="72" s="1"/>
  <c r="BW18" i="72"/>
  <c r="BY18" i="72" s="1"/>
  <c r="GH31" i="72"/>
  <c r="HE15" i="72"/>
  <c r="HG15" i="72" s="1"/>
  <c r="HM15" i="72" s="1"/>
  <c r="IB32" i="72"/>
  <c r="GH17" i="72"/>
  <c r="GJ17" i="72" s="1"/>
  <c r="GP17" i="72" s="1"/>
  <c r="EN14" i="72"/>
  <c r="EN21" i="72"/>
  <c r="EP21" i="72" s="1"/>
  <c r="EQ21" i="72" s="1"/>
  <c r="IY30" i="72"/>
  <c r="DQ29" i="72"/>
  <c r="EN29" i="72"/>
  <c r="EN25" i="72"/>
  <c r="EP25" i="72" s="1"/>
  <c r="EV25" i="72" s="1"/>
  <c r="IY20" i="72"/>
  <c r="JA20" i="72" s="1"/>
  <c r="JG20" i="72" s="1"/>
  <c r="EN22" i="72"/>
  <c r="EP22" i="72" s="1"/>
  <c r="EN18" i="72"/>
  <c r="EP18" i="72" s="1"/>
  <c r="EV18" i="72" s="1"/>
  <c r="BW23" i="72"/>
  <c r="BY23" i="72" s="1"/>
  <c r="GH28" i="72"/>
  <c r="IY17" i="72"/>
  <c r="JA17" i="72" s="1"/>
  <c r="JG17" i="72" s="1"/>
  <c r="IY26" i="72"/>
  <c r="IY32" i="72"/>
  <c r="FK15" i="72"/>
  <c r="FM15" i="72" s="1"/>
  <c r="FS15" i="72" s="1"/>
  <c r="FK30" i="72"/>
  <c r="FK23" i="72"/>
  <c r="FM23" i="72" s="1"/>
  <c r="FS23" i="72" s="1"/>
  <c r="BW26" i="72"/>
  <c r="DQ15" i="72"/>
  <c r="DS15" i="72" s="1"/>
  <c r="DZ15" i="72" s="1"/>
  <c r="CT14" i="72"/>
  <c r="HE32" i="72"/>
  <c r="HE16" i="72"/>
  <c r="HG16" i="72" s="1"/>
  <c r="HN16" i="72" s="1"/>
  <c r="BW19" i="72"/>
  <c r="BY19" i="72" s="1"/>
  <c r="GH20" i="72"/>
  <c r="GJ20" i="72" s="1"/>
  <c r="IY27" i="72"/>
  <c r="GH14" i="72"/>
  <c r="IB31" i="72"/>
  <c r="BW27" i="72"/>
  <c r="GH26" i="72"/>
  <c r="BW33" i="72"/>
  <c r="GH33" i="72"/>
  <c r="GH19" i="72"/>
  <c r="GJ19" i="72" s="1"/>
  <c r="GQ19" i="72" s="1"/>
  <c r="BW30" i="72"/>
  <c r="FK22" i="72"/>
  <c r="FM22" i="72" s="1"/>
  <c r="FT22" i="72" s="1"/>
  <c r="FK34" i="72"/>
  <c r="BW25" i="72"/>
  <c r="BY25" i="72" s="1"/>
  <c r="FK16" i="72"/>
  <c r="FM16" i="72" s="1"/>
  <c r="FS16" i="72" s="1"/>
  <c r="DQ32" i="72"/>
  <c r="GH16" i="72"/>
  <c r="GJ16" i="72" s="1"/>
  <c r="IB17" i="72"/>
  <c r="ID17" i="72" s="1"/>
  <c r="IJ17" i="72" s="1"/>
  <c r="IB16" i="72"/>
  <c r="ID16" i="72" s="1"/>
  <c r="IJ16" i="72" s="1"/>
  <c r="HE19" i="72"/>
  <c r="HG19" i="72" s="1"/>
  <c r="HM19" i="72" s="1"/>
  <c r="GH24" i="72"/>
  <c r="GJ24" i="72" s="1"/>
  <c r="GQ24" i="72" s="1"/>
  <c r="IY33" i="72"/>
  <c r="IY28" i="72"/>
  <c r="GH27" i="72"/>
  <c r="DQ31" i="72"/>
  <c r="GH23" i="72"/>
  <c r="GJ23" i="72" s="1"/>
  <c r="GQ23" i="72" s="1"/>
  <c r="BW34" i="72"/>
  <c r="FK20" i="72"/>
  <c r="FM20" i="72" s="1"/>
  <c r="IY16" i="72"/>
  <c r="JA16" i="72" s="1"/>
  <c r="JH16" i="72" s="1"/>
  <c r="IB25" i="72"/>
  <c r="ID25" i="72" s="1"/>
  <c r="IB23" i="72"/>
  <c r="ID23" i="72" s="1"/>
  <c r="IJ23" i="72" s="1"/>
  <c r="FK25" i="72"/>
  <c r="FM25" i="72" s="1"/>
  <c r="FS25" i="72" s="1"/>
  <c r="IY18" i="72"/>
  <c r="JA18" i="72" s="1"/>
  <c r="FK26" i="72"/>
  <c r="HE33" i="72"/>
  <c r="HE30" i="72"/>
  <c r="DQ20" i="72"/>
  <c r="DS20" i="72" s="1"/>
  <c r="DZ20" i="72" s="1"/>
  <c r="HE28" i="72"/>
  <c r="IB21" i="72"/>
  <c r="ID21" i="72" s="1"/>
  <c r="IJ21" i="72" s="1"/>
  <c r="DQ16" i="72"/>
  <c r="DS16" i="72" s="1"/>
  <c r="DZ16" i="72" s="1"/>
  <c r="IY31" i="72"/>
  <c r="EN26" i="72"/>
  <c r="IY24" i="72"/>
  <c r="JA24" i="72" s="1"/>
  <c r="JG24" i="72" s="1"/>
  <c r="IB18" i="72"/>
  <c r="ID18" i="72" s="1"/>
  <c r="GH25" i="72"/>
  <c r="GJ25" i="72" s="1"/>
  <c r="GP25" i="72" s="1"/>
  <c r="GH15" i="72"/>
  <c r="GJ15" i="72" s="1"/>
  <c r="GP15" i="72" s="1"/>
  <c r="IB26" i="72"/>
  <c r="CW28" i="72"/>
  <c r="HI18" i="72"/>
  <c r="HG30" i="72"/>
  <c r="HN30" i="72" s="1"/>
  <c r="ER21" i="72"/>
  <c r="EP33" i="72"/>
  <c r="ES33" i="72" s="1"/>
  <c r="DU21" i="72"/>
  <c r="DS33" i="72"/>
  <c r="DT33" i="72" s="1"/>
  <c r="DU33" i="72" s="1"/>
  <c r="CY28" i="72"/>
  <c r="CY20" i="72"/>
  <c r="IE18" i="72"/>
  <c r="DB20" i="72"/>
  <c r="GM17" i="72"/>
  <c r="GK17" i="72"/>
  <c r="GK19" i="72"/>
  <c r="GQ17" i="72"/>
  <c r="GM19" i="72"/>
  <c r="GP19" i="72"/>
  <c r="FN19" i="72"/>
  <c r="FP19" i="72"/>
  <c r="FT19" i="72"/>
  <c r="EQ20" i="72"/>
  <c r="DV25" i="72"/>
  <c r="DY25" i="72"/>
  <c r="DT25" i="72"/>
  <c r="DU25" i="72" s="1"/>
  <c r="DB28" i="72"/>
  <c r="IE19" i="72"/>
  <c r="IK19" i="72"/>
  <c r="IE17" i="72"/>
  <c r="IG19" i="72"/>
  <c r="FN17" i="72"/>
  <c r="FP17" i="72"/>
  <c r="DT18" i="72"/>
  <c r="DZ18" i="72"/>
  <c r="DV24" i="72"/>
  <c r="DT24" i="72"/>
  <c r="DU24" i="72" s="1"/>
  <c r="DY24" i="72"/>
  <c r="DY18" i="72"/>
  <c r="HN24" i="72"/>
  <c r="HM24" i="72"/>
  <c r="HH24" i="72"/>
  <c r="HI24" i="72" s="1"/>
  <c r="HM23" i="72"/>
  <c r="FP22" i="72"/>
  <c r="FS22" i="72"/>
  <c r="FN22" i="72"/>
  <c r="JH15" i="72"/>
  <c r="JB21" i="72"/>
  <c r="JD21" i="72"/>
  <c r="JG21" i="72"/>
  <c r="JB22" i="72"/>
  <c r="JD22" i="72"/>
  <c r="JH22" i="72"/>
  <c r="JB15" i="72"/>
  <c r="IE21" i="72"/>
  <c r="HN17" i="72"/>
  <c r="HJ20" i="72"/>
  <c r="HM30" i="72"/>
  <c r="GP18" i="72"/>
  <c r="GQ18" i="72"/>
  <c r="FN18" i="72"/>
  <c r="FT24" i="72"/>
  <c r="FT23" i="72"/>
  <c r="CY24" i="72"/>
  <c r="DB21" i="72"/>
  <c r="CY23" i="72"/>
  <c r="CW24" i="72"/>
  <c r="DC24" i="72"/>
  <c r="CY21" i="72"/>
  <c r="CW21" i="72"/>
  <c r="CV33" i="72" s="1"/>
  <c r="DC33" i="72" s="1"/>
  <c r="GM15" i="72"/>
  <c r="GK18" i="72"/>
  <c r="GK15" i="72"/>
  <c r="GQ15" i="72"/>
  <c r="CW25" i="72"/>
  <c r="DB25" i="72"/>
  <c r="CY25" i="72"/>
  <c r="JB17" i="72"/>
  <c r="JD17" i="72"/>
  <c r="JH17" i="72"/>
  <c r="FN24" i="72"/>
  <c r="FO24" i="72" s="1"/>
  <c r="FP18" i="72"/>
  <c r="FS18" i="72"/>
  <c r="FP24" i="72"/>
  <c r="EW23" i="72"/>
  <c r="CW34" i="72"/>
  <c r="CY34" i="72"/>
  <c r="DB34" i="72"/>
  <c r="CW15" i="72"/>
  <c r="CV27" i="72" s="1"/>
  <c r="DB15" i="72"/>
  <c r="CY15" i="72"/>
  <c r="JB20" i="72"/>
  <c r="JD20" i="72"/>
  <c r="JH20" i="72"/>
  <c r="JB16" i="72"/>
  <c r="JG16" i="72"/>
  <c r="JD14" i="72"/>
  <c r="JB14" i="72"/>
  <c r="JH14" i="72"/>
  <c r="HH20" i="72"/>
  <c r="HN20" i="72"/>
  <c r="HJ23" i="72"/>
  <c r="HH23" i="72"/>
  <c r="HI23" i="72" s="1"/>
  <c r="HH30" i="72"/>
  <c r="HI30" i="72" s="1"/>
  <c r="FS20" i="72"/>
  <c r="FP16" i="72"/>
  <c r="DT17" i="72"/>
  <c r="DT15" i="72"/>
  <c r="CW18" i="72"/>
  <c r="CV30" i="72" s="1"/>
  <c r="DC18" i="72"/>
  <c r="JD19" i="72"/>
  <c r="JB19" i="72"/>
  <c r="JH19" i="72"/>
  <c r="IG17" i="72"/>
  <c r="IK17" i="72"/>
  <c r="IK23" i="72"/>
  <c r="IG21" i="72"/>
  <c r="IK21" i="72"/>
  <c r="IE23" i="72"/>
  <c r="IF23" i="72" s="1"/>
  <c r="IG23" i="72"/>
  <c r="HJ14" i="72"/>
  <c r="HJ19" i="72"/>
  <c r="HH14" i="72"/>
  <c r="HH19" i="72"/>
  <c r="HN14" i="72"/>
  <c r="HN19" i="72"/>
  <c r="HH17" i="72"/>
  <c r="HJ17" i="72"/>
  <c r="GM25" i="72"/>
  <c r="GM23" i="72"/>
  <c r="GK25" i="72"/>
  <c r="GL25" i="72" s="1"/>
  <c r="GP23" i="72"/>
  <c r="GK23" i="72"/>
  <c r="GL23" i="72" s="1"/>
  <c r="GQ25" i="72"/>
  <c r="FP25" i="72"/>
  <c r="FN16" i="72"/>
  <c r="FT16" i="72"/>
  <c r="FP15" i="72"/>
  <c r="FN15" i="72"/>
  <c r="FT15" i="72"/>
  <c r="ES20" i="72"/>
  <c r="EV20" i="72"/>
  <c r="EQ16" i="72"/>
  <c r="EW16" i="72"/>
  <c r="EV21" i="72"/>
  <c r="EW21" i="72"/>
  <c r="ES21" i="72"/>
  <c r="ES16" i="72"/>
  <c r="DB32" i="72"/>
  <c r="CY32" i="72"/>
  <c r="CW32" i="72"/>
  <c r="HH25" i="72"/>
  <c r="HI25" i="72" s="1"/>
  <c r="HJ25" i="72"/>
  <c r="HN25" i="72"/>
  <c r="EQ19" i="72"/>
  <c r="EQ33" i="72"/>
  <c r="ER33" i="72" s="1"/>
  <c r="EW19" i="72"/>
  <c r="EV19" i="72"/>
  <c r="ES25" i="72"/>
  <c r="DV23" i="72"/>
  <c r="DZ33" i="72"/>
  <c r="DV33" i="72"/>
  <c r="DY33" i="72"/>
  <c r="DV20" i="72"/>
  <c r="DT20" i="72"/>
  <c r="DT23" i="72"/>
  <c r="DU23" i="72" s="1"/>
  <c r="DY20" i="72"/>
  <c r="DZ23" i="72"/>
  <c r="JH23" i="72"/>
  <c r="JB23" i="72"/>
  <c r="JC23" i="72" s="1"/>
  <c r="JG23" i="72"/>
  <c r="HH15" i="72"/>
  <c r="HJ22" i="72"/>
  <c r="HH22" i="72"/>
  <c r="HN22" i="72"/>
  <c r="GP24" i="72"/>
  <c r="GM24" i="72"/>
  <c r="GK24" i="72"/>
  <c r="GL24" i="72" s="1"/>
  <c r="EQ22" i="72"/>
  <c r="ES22" i="72"/>
  <c r="DV17" i="72"/>
  <c r="DV15" i="72"/>
  <c r="DV16" i="72"/>
  <c r="DY17" i="72"/>
  <c r="DY15" i="72"/>
  <c r="DV19" i="72"/>
  <c r="DT19" i="72"/>
  <c r="DY19" i="72"/>
  <c r="CW33" i="72"/>
  <c r="CY33" i="72"/>
  <c r="DB33" i="72"/>
  <c r="CY17" i="72"/>
  <c r="CW17" i="72"/>
  <c r="CV29" i="72" s="1"/>
  <c r="DC29" i="72" s="1"/>
  <c r="DB17" i="72"/>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EW18" i="72" l="1"/>
  <c r="EQ23" i="72"/>
  <c r="ER23" i="72" s="1"/>
  <c r="IE16" i="72"/>
  <c r="ES18" i="72"/>
  <c r="ES23" i="72"/>
  <c r="IJ22" i="72"/>
  <c r="EQ18" i="72"/>
  <c r="JH24" i="72"/>
  <c r="FN23" i="72"/>
  <c r="FO23" i="72" s="1"/>
  <c r="IK16" i="72"/>
  <c r="JB24" i="72"/>
  <c r="JC24" i="72" s="1"/>
  <c r="JD24" i="72"/>
  <c r="IG22" i="72"/>
  <c r="FP23" i="72"/>
  <c r="IG16" i="72"/>
  <c r="IE22" i="72"/>
  <c r="FN25" i="72"/>
  <c r="FO25" i="72" s="1"/>
  <c r="HH16" i="72"/>
  <c r="CW23" i="72"/>
  <c r="HM16" i="72"/>
  <c r="EW15" i="72"/>
  <c r="EV15" i="72"/>
  <c r="EQ15" i="72"/>
  <c r="ES15" i="72"/>
  <c r="HM21" i="72"/>
  <c r="HH21" i="72"/>
  <c r="HJ21" i="72"/>
  <c r="HN21" i="72"/>
  <c r="DZ14" i="72"/>
  <c r="DT14" i="72"/>
  <c r="HJ15" i="72"/>
  <c r="HJ16" i="72"/>
  <c r="DC19" i="72"/>
  <c r="CW19" i="72"/>
  <c r="CV31" i="72" s="1"/>
  <c r="CY19" i="72"/>
  <c r="DB19" i="72"/>
  <c r="DT16" i="72"/>
  <c r="EV17" i="72"/>
  <c r="ES17" i="72"/>
  <c r="EW17" i="72"/>
  <c r="EQ17" i="72"/>
  <c r="DY14" i="72"/>
  <c r="EW33" i="72"/>
  <c r="DY22" i="72"/>
  <c r="DZ22" i="72"/>
  <c r="DV22" i="72"/>
  <c r="EW24" i="72"/>
  <c r="ES24" i="72"/>
  <c r="EQ24" i="72"/>
  <c r="ER24" i="72" s="1"/>
  <c r="EV24" i="72"/>
  <c r="EW25" i="72"/>
  <c r="DC23" i="72"/>
  <c r="FS21" i="72"/>
  <c r="FT21" i="72"/>
  <c r="FP21" i="72"/>
  <c r="FN21" i="72"/>
  <c r="DY16" i="72"/>
  <c r="EV33" i="72"/>
  <c r="HN15" i="72"/>
  <c r="EQ25" i="72"/>
  <c r="ER25" i="72" s="1"/>
  <c r="FT25" i="72"/>
  <c r="HJ30" i="72"/>
  <c r="JD16" i="72"/>
  <c r="CF15" i="72"/>
  <c r="CB15" i="72"/>
  <c r="BZ15" i="72"/>
  <c r="CE15" i="72"/>
  <c r="IK25" i="72"/>
  <c r="IE25" i="72"/>
  <c r="IF25" i="72" s="1"/>
  <c r="IG25" i="72"/>
  <c r="IJ25" i="72"/>
  <c r="CB25" i="72"/>
  <c r="BZ25" i="72"/>
  <c r="CA25" i="72" s="1"/>
  <c r="CE25" i="72"/>
  <c r="CF25" i="72"/>
  <c r="CT35" i="72"/>
  <c r="CV14" i="72"/>
  <c r="CF18" i="72"/>
  <c r="CB18" i="72"/>
  <c r="CE18" i="72"/>
  <c r="BZ18" i="72"/>
  <c r="CE16" i="72"/>
  <c r="CF16" i="72"/>
  <c r="BZ16" i="72"/>
  <c r="CB16" i="72"/>
  <c r="JG25" i="72"/>
  <c r="JH25" i="72"/>
  <c r="JB25" i="72"/>
  <c r="JC25" i="72" s="1"/>
  <c r="JD25" i="72"/>
  <c r="CE17" i="72"/>
  <c r="BZ17" i="72"/>
  <c r="CF17" i="72"/>
  <c r="CB17" i="72"/>
  <c r="CE20" i="72"/>
  <c r="CF20" i="72"/>
  <c r="CB20" i="72"/>
  <c r="BZ20" i="72"/>
  <c r="IJ20" i="72"/>
  <c r="IK20" i="72"/>
  <c r="IE20" i="72"/>
  <c r="IG20" i="72"/>
  <c r="IG18" i="72"/>
  <c r="IK18" i="72"/>
  <c r="IJ18" i="72"/>
  <c r="FP20" i="72"/>
  <c r="FT20" i="72"/>
  <c r="FN20" i="72"/>
  <c r="GH35" i="72"/>
  <c r="GJ14" i="72"/>
  <c r="CF23" i="72"/>
  <c r="CE23" i="72"/>
  <c r="CB23" i="72"/>
  <c r="BZ23" i="72"/>
  <c r="CA23" i="72" s="1"/>
  <c r="CF21" i="72"/>
  <c r="BZ21" i="72"/>
  <c r="CB21" i="72"/>
  <c r="CE21" i="72"/>
  <c r="IK15" i="72"/>
  <c r="IE15" i="72"/>
  <c r="IG15" i="72"/>
  <c r="IJ15" i="72"/>
  <c r="EN35" i="72"/>
  <c r="EP14" i="72"/>
  <c r="GP20" i="72"/>
  <c r="GQ20" i="72"/>
  <c r="GM20" i="72"/>
  <c r="GK20" i="72"/>
  <c r="EV22" i="72"/>
  <c r="EW22" i="72"/>
  <c r="GQ21" i="72"/>
  <c r="GP21" i="72"/>
  <c r="GM21" i="72"/>
  <c r="GK21" i="72"/>
  <c r="IG24" i="72"/>
  <c r="IJ24" i="72"/>
  <c r="IK24" i="72"/>
  <c r="IE24" i="72"/>
  <c r="IF24" i="72" s="1"/>
  <c r="IB35" i="72"/>
  <c r="ID14" i="72"/>
  <c r="CE14" i="72"/>
  <c r="CF14" i="72"/>
  <c r="BZ14" i="72"/>
  <c r="CB14" i="72"/>
  <c r="JB18" i="72"/>
  <c r="JD18" i="72"/>
  <c r="JG18" i="72"/>
  <c r="JH18" i="72"/>
  <c r="GQ16" i="72"/>
  <c r="GK16" i="72"/>
  <c r="GP16" i="72"/>
  <c r="GM16" i="72"/>
  <c r="CE19" i="72"/>
  <c r="CF19" i="72"/>
  <c r="BZ19" i="72"/>
  <c r="CB19" i="72"/>
  <c r="GK22" i="72"/>
  <c r="GQ22" i="72"/>
  <c r="GP22" i="72"/>
  <c r="GM22" i="72"/>
  <c r="JD15" i="72"/>
  <c r="JG15" i="72"/>
  <c r="FS14" i="72"/>
  <c r="FT14" i="72"/>
  <c r="FP14" i="72"/>
  <c r="FN14" i="72"/>
  <c r="CE22" i="72"/>
  <c r="CF22" i="72"/>
  <c r="CB22" i="72"/>
  <c r="BZ22" i="72"/>
  <c r="CF24" i="72"/>
  <c r="CE24" i="72"/>
  <c r="CB24" i="72"/>
  <c r="BZ24" i="72"/>
  <c r="CA24" i="72" s="1"/>
  <c r="DB29" i="72"/>
  <c r="JC14" i="72"/>
  <c r="JA26" i="72"/>
  <c r="CY29" i="72"/>
  <c r="HI14" i="72"/>
  <c r="HG26" i="72"/>
  <c r="DU14" i="72"/>
  <c r="DS26" i="72"/>
  <c r="JC19" i="72"/>
  <c r="JA31" i="72"/>
  <c r="JC15" i="72"/>
  <c r="JA27" i="72"/>
  <c r="JC16" i="72"/>
  <c r="JA28" i="72"/>
  <c r="JC22" i="72"/>
  <c r="JA34" i="72"/>
  <c r="JC20" i="72"/>
  <c r="JA32" i="72"/>
  <c r="JC17" i="72"/>
  <c r="JA29" i="72"/>
  <c r="JC21" i="72"/>
  <c r="JA33" i="72"/>
  <c r="IF22" i="72"/>
  <c r="ID34" i="72"/>
  <c r="IF18" i="72"/>
  <c r="ID30" i="72"/>
  <c r="IF16" i="72"/>
  <c r="ID28" i="72"/>
  <c r="IF21" i="72"/>
  <c r="ID33" i="72"/>
  <c r="IF17" i="72"/>
  <c r="ID29" i="72"/>
  <c r="IF19" i="72"/>
  <c r="ID31" i="72"/>
  <c r="HI17" i="72"/>
  <c r="HG29" i="72"/>
  <c r="HI19" i="72"/>
  <c r="HG31" i="72"/>
  <c r="HI22" i="72"/>
  <c r="HG34" i="72"/>
  <c r="HI16" i="72"/>
  <c r="HG28" i="72"/>
  <c r="HI15" i="72"/>
  <c r="HG27" i="72"/>
  <c r="HI20" i="72"/>
  <c r="HG32" i="72"/>
  <c r="GL15" i="72"/>
  <c r="GJ27" i="72"/>
  <c r="GL18" i="72"/>
  <c r="GJ30" i="72"/>
  <c r="GL19" i="72"/>
  <c r="GJ31" i="72"/>
  <c r="GL17" i="72"/>
  <c r="GJ29" i="72"/>
  <c r="FO15" i="72"/>
  <c r="FM27" i="72"/>
  <c r="FO18" i="72"/>
  <c r="FM30" i="72"/>
  <c r="FO19" i="72"/>
  <c r="FM31" i="72"/>
  <c r="FO17" i="72"/>
  <c r="FM29" i="72"/>
  <c r="FO16" i="72"/>
  <c r="FM28" i="72"/>
  <c r="FO22" i="72"/>
  <c r="FM34" i="72"/>
  <c r="ER20" i="72"/>
  <c r="EP32" i="72"/>
  <c r="ER18" i="72"/>
  <c r="EP30" i="72"/>
  <c r="ER16" i="72"/>
  <c r="EP28" i="72"/>
  <c r="ER22" i="72"/>
  <c r="EP34" i="72"/>
  <c r="ER19" i="72"/>
  <c r="EP31" i="72"/>
  <c r="DU22" i="72"/>
  <c r="DS34" i="72"/>
  <c r="DU15" i="72"/>
  <c r="DS27" i="72"/>
  <c r="DU18" i="72"/>
  <c r="DS30" i="72"/>
  <c r="DU17" i="72"/>
  <c r="DS29" i="72"/>
  <c r="DU19" i="72"/>
  <c r="DS31" i="72"/>
  <c r="DU20" i="72"/>
  <c r="DS32" i="72"/>
  <c r="DU16" i="72"/>
  <c r="DS28" i="72"/>
  <c r="CY30" i="72"/>
  <c r="DC30" i="72"/>
  <c r="CW30" i="72"/>
  <c r="DB30" i="72"/>
  <c r="CY27" i="72"/>
  <c r="CW27" i="72"/>
  <c r="DB27" i="72"/>
  <c r="DC27" i="72"/>
  <c r="CW29" i="72"/>
  <c r="AH39" i="72"/>
  <c r="AH38" i="72"/>
  <c r="AH37" i="72" s="1"/>
  <c r="X16" i="75"/>
  <c r="K17" i="36"/>
  <c r="K25" i="36" s="1"/>
  <c r="I22" i="12"/>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ER15" i="72" l="1"/>
  <c r="EP27" i="72"/>
  <c r="FO21" i="72"/>
  <c r="FM33" i="72"/>
  <c r="BY27" i="72"/>
  <c r="CA15" i="72"/>
  <c r="DC31" i="72"/>
  <c r="DB31" i="72"/>
  <c r="CW31" i="72"/>
  <c r="CY31" i="72"/>
  <c r="HI21" i="72"/>
  <c r="HG33" i="72"/>
  <c r="ER17" i="72"/>
  <c r="EP29" i="72"/>
  <c r="IG14" i="72"/>
  <c r="IK14" i="72"/>
  <c r="IE14" i="72"/>
  <c r="IJ14" i="72"/>
  <c r="EV14" i="72"/>
  <c r="ES14" i="72"/>
  <c r="EQ14" i="72"/>
  <c r="EW14" i="72"/>
  <c r="BY33" i="72"/>
  <c r="CA21" i="72"/>
  <c r="FO20" i="72"/>
  <c r="FM32" i="72"/>
  <c r="CA17" i="72"/>
  <c r="BY29" i="72"/>
  <c r="CA19" i="72"/>
  <c r="BY31" i="72"/>
  <c r="CA22" i="72"/>
  <c r="BY34" i="72"/>
  <c r="CA20" i="72"/>
  <c r="BY32" i="72"/>
  <c r="CA18" i="72"/>
  <c r="BY30" i="72"/>
  <c r="JC18" i="72"/>
  <c r="JA30" i="72"/>
  <c r="JA35" i="72" s="1"/>
  <c r="GL20" i="72"/>
  <c r="GJ32" i="72"/>
  <c r="IF15" i="72"/>
  <c r="ID27" i="72"/>
  <c r="CA14" i="72"/>
  <c r="BY26" i="72"/>
  <c r="FO14" i="72"/>
  <c r="FM26" i="72"/>
  <c r="GL16" i="72"/>
  <c r="GJ28" i="72"/>
  <c r="GL21" i="72"/>
  <c r="GJ33" i="72"/>
  <c r="GQ14" i="72"/>
  <c r="GK14" i="72"/>
  <c r="GM14" i="72"/>
  <c r="GP14" i="72"/>
  <c r="CY14" i="72"/>
  <c r="DB14" i="72"/>
  <c r="DC14" i="72"/>
  <c r="CW14" i="72"/>
  <c r="CV26" i="72" s="1"/>
  <c r="GL22" i="72"/>
  <c r="GJ34" i="72"/>
  <c r="IF20" i="72"/>
  <c r="ID32" i="72"/>
  <c r="BY28" i="72"/>
  <c r="CA16" i="72"/>
  <c r="DY26" i="72"/>
  <c r="DV26" i="72"/>
  <c r="DT26" i="72"/>
  <c r="DU26" i="72" s="1"/>
  <c r="DZ26" i="72"/>
  <c r="HM26" i="72"/>
  <c r="HN26" i="72"/>
  <c r="HH26" i="72"/>
  <c r="HI26" i="72" s="1"/>
  <c r="HJ26" i="72"/>
  <c r="JB26" i="72"/>
  <c r="JC26" i="72" s="1"/>
  <c r="JH26" i="72"/>
  <c r="JG26" i="72"/>
  <c r="JD26" i="72"/>
  <c r="JH34" i="72"/>
  <c r="JD34" i="72"/>
  <c r="JG34" i="72"/>
  <c r="JB34" i="72"/>
  <c r="JC34" i="72" s="1"/>
  <c r="JG33" i="72"/>
  <c r="JB33" i="72"/>
  <c r="JC33" i="72" s="1"/>
  <c r="JH33" i="72"/>
  <c r="JD33" i="72"/>
  <c r="JG28" i="72"/>
  <c r="JB28" i="72"/>
  <c r="JC28" i="72" s="1"/>
  <c r="JD28" i="72"/>
  <c r="JH28" i="72"/>
  <c r="JG29" i="72"/>
  <c r="JB29" i="72"/>
  <c r="JC29" i="72" s="1"/>
  <c r="JD29" i="72"/>
  <c r="JH29" i="72"/>
  <c r="JG27" i="72"/>
  <c r="JB27" i="72"/>
  <c r="JH27" i="72"/>
  <c r="JD27" i="72"/>
  <c r="JG32" i="72"/>
  <c r="JB32" i="72"/>
  <c r="JC32" i="72" s="1"/>
  <c r="JD32" i="72"/>
  <c r="JH32" i="72"/>
  <c r="JG31" i="72"/>
  <c r="JB31" i="72"/>
  <c r="JC31" i="72" s="1"/>
  <c r="JD31" i="72"/>
  <c r="JH31" i="72"/>
  <c r="IJ31" i="72"/>
  <c r="IK31" i="72"/>
  <c r="IE31" i="72"/>
  <c r="IF31" i="72" s="1"/>
  <c r="IG31" i="72"/>
  <c r="IJ29" i="72"/>
  <c r="IK29" i="72"/>
  <c r="IE29" i="72"/>
  <c r="IF29" i="72" s="1"/>
  <c r="IG29" i="72"/>
  <c r="IJ28" i="72"/>
  <c r="IG28" i="72"/>
  <c r="IE28" i="72"/>
  <c r="IK28" i="72"/>
  <c r="IE33" i="72"/>
  <c r="IF33" i="72" s="1"/>
  <c r="IK33" i="72"/>
  <c r="IJ33" i="72"/>
  <c r="IG33" i="72"/>
  <c r="IK30" i="72"/>
  <c r="IE30" i="72"/>
  <c r="IF30" i="72" s="1"/>
  <c r="IJ30" i="72"/>
  <c r="IG30" i="72"/>
  <c r="IG34" i="72"/>
  <c r="IK34" i="72"/>
  <c r="IE34" i="72"/>
  <c r="IF34" i="72" s="1"/>
  <c r="IJ34" i="72"/>
  <c r="HM28" i="72"/>
  <c r="HH28" i="72"/>
  <c r="HI28" i="72" s="1"/>
  <c r="HJ28" i="72"/>
  <c r="HN28" i="72"/>
  <c r="HM34" i="72"/>
  <c r="HJ34" i="72"/>
  <c r="HN34" i="72"/>
  <c r="HH34" i="72"/>
  <c r="HI34" i="72" s="1"/>
  <c r="HM32" i="72"/>
  <c r="HH32" i="72"/>
  <c r="HI32" i="72" s="1"/>
  <c r="HJ32" i="72"/>
  <c r="HN32" i="72"/>
  <c r="HN31" i="72"/>
  <c r="HM31" i="72"/>
  <c r="HH31" i="72"/>
  <c r="HI31" i="72" s="1"/>
  <c r="HJ31" i="72"/>
  <c r="HM27" i="72"/>
  <c r="HG35" i="72"/>
  <c r="HH27" i="72"/>
  <c r="HJ27" i="72"/>
  <c r="HN27" i="72"/>
  <c r="HM29" i="72"/>
  <c r="HN29" i="72"/>
  <c r="HJ29" i="72"/>
  <c r="HH29" i="72"/>
  <c r="HI29" i="72" s="1"/>
  <c r="GP31" i="72"/>
  <c r="GQ31" i="72"/>
  <c r="GK31" i="72"/>
  <c r="GL31" i="72" s="1"/>
  <c r="GM31" i="72"/>
  <c r="GM30" i="72"/>
  <c r="GK30" i="72"/>
  <c r="GL30" i="72" s="1"/>
  <c r="GP30" i="72"/>
  <c r="GQ30" i="72"/>
  <c r="GQ29" i="72"/>
  <c r="GP29" i="72"/>
  <c r="GK29" i="72"/>
  <c r="GL29" i="72" s="1"/>
  <c r="GM29" i="72"/>
  <c r="GP27" i="72"/>
  <c r="GM27" i="72"/>
  <c r="GQ27" i="72"/>
  <c r="GK27" i="72"/>
  <c r="FT29" i="72"/>
  <c r="FN29" i="72"/>
  <c r="FO29" i="72" s="1"/>
  <c r="FS29" i="72"/>
  <c r="FP29" i="72"/>
  <c r="FP31" i="72"/>
  <c r="FS31" i="72"/>
  <c r="FT31" i="72"/>
  <c r="FN31" i="72"/>
  <c r="FO31" i="72" s="1"/>
  <c r="FS34" i="72"/>
  <c r="FT34" i="72"/>
  <c r="FP34" i="72"/>
  <c r="FN34" i="72"/>
  <c r="FO34" i="72" s="1"/>
  <c r="FT30" i="72"/>
  <c r="FS30" i="72"/>
  <c r="FP30" i="72"/>
  <c r="FN30" i="72"/>
  <c r="FO30" i="72" s="1"/>
  <c r="FS28" i="72"/>
  <c r="FP28" i="72"/>
  <c r="FN28" i="72"/>
  <c r="FO28" i="72" s="1"/>
  <c r="FT28" i="72"/>
  <c r="FS27" i="72"/>
  <c r="FN27" i="72"/>
  <c r="FP27" i="72"/>
  <c r="FM35" i="72"/>
  <c r="FT27" i="72"/>
  <c r="EV28" i="72"/>
  <c r="ES28" i="72"/>
  <c r="EW28" i="72"/>
  <c r="EQ28" i="72"/>
  <c r="EV30" i="72"/>
  <c r="ES30" i="72"/>
  <c r="EQ30" i="72"/>
  <c r="ER30" i="72" s="1"/>
  <c r="EW30" i="72"/>
  <c r="EV31" i="72"/>
  <c r="EQ31" i="72"/>
  <c r="ER31" i="72" s="1"/>
  <c r="ES31" i="72"/>
  <c r="EW31" i="72"/>
  <c r="EV32" i="72"/>
  <c r="EW32" i="72"/>
  <c r="EQ32" i="72"/>
  <c r="ER32" i="72" s="1"/>
  <c r="ES32" i="72"/>
  <c r="EV34" i="72"/>
  <c r="ES34" i="72"/>
  <c r="EW34" i="72"/>
  <c r="EQ34" i="72"/>
  <c r="ER34" i="72" s="1"/>
  <c r="DT29" i="72"/>
  <c r="DU29" i="72" s="1"/>
  <c r="DV29" i="72"/>
  <c r="DY29" i="72"/>
  <c r="DZ29" i="72"/>
  <c r="DY28" i="72"/>
  <c r="DZ28" i="72"/>
  <c r="DT28" i="72"/>
  <c r="DU28" i="72" s="1"/>
  <c r="DV28" i="72"/>
  <c r="DY30" i="72"/>
  <c r="DV30" i="72"/>
  <c r="DT30" i="72"/>
  <c r="DU30" i="72" s="1"/>
  <c r="DZ30" i="72"/>
  <c r="DY32" i="72"/>
  <c r="DV32" i="72"/>
  <c r="DZ32" i="72"/>
  <c r="DT32" i="72"/>
  <c r="DU32" i="72" s="1"/>
  <c r="DZ27" i="72"/>
  <c r="DY27" i="72"/>
  <c r="DT27" i="72"/>
  <c r="DV27" i="72"/>
  <c r="DS35" i="72"/>
  <c r="DZ31" i="72"/>
  <c r="DY31" i="72"/>
  <c r="DV31" i="72"/>
  <c r="DT31" i="72"/>
  <c r="DU31" i="72" s="1"/>
  <c r="DY34" i="72"/>
  <c r="DT34" i="72"/>
  <c r="DU34" i="72" s="1"/>
  <c r="DV34" i="72"/>
  <c r="DZ34" i="72"/>
  <c r="AH40" i="72"/>
  <c r="L6" i="94" s="1"/>
  <c r="W10" i="76"/>
  <c r="B4" i="43"/>
  <c r="B5" i="43"/>
  <c r="K26" i="36"/>
  <c r="W17" i="36"/>
  <c r="AB7" i="75"/>
  <c r="AN14" i="72"/>
  <c r="AJ14" i="72" s="1"/>
  <c r="AI35" i="72"/>
  <c r="AK35" i="72" s="1"/>
  <c r="S49" i="72"/>
  <c r="H6" i="12" s="1"/>
  <c r="AA10" i="75"/>
  <c r="X35" i="72"/>
  <c r="AA12" i="75"/>
  <c r="AD35" i="72"/>
  <c r="AA9" i="75"/>
  <c r="AC35" i="72"/>
  <c r="EV29" i="72" l="1"/>
  <c r="EW29" i="72"/>
  <c r="EQ29" i="72"/>
  <c r="ER29" i="72" s="1"/>
  <c r="ES29" i="72"/>
  <c r="CE27" i="72"/>
  <c r="BZ27" i="72"/>
  <c r="CA27" i="72" s="1"/>
  <c r="CB27" i="72"/>
  <c r="CF27" i="72"/>
  <c r="HM33" i="72"/>
  <c r="HJ33" i="72"/>
  <c r="HN33" i="72"/>
  <c r="HN35" i="72" s="1"/>
  <c r="HG10" i="72" s="1"/>
  <c r="E44" i="43" s="1"/>
  <c r="HH33" i="72"/>
  <c r="HI33" i="72" s="1"/>
  <c r="FN33" i="72"/>
  <c r="FO33" i="72" s="1"/>
  <c r="FS33" i="72"/>
  <c r="FP33" i="72"/>
  <c r="FT33" i="72"/>
  <c r="ES27" i="72"/>
  <c r="EV27" i="72"/>
  <c r="EQ27" i="72"/>
  <c r="ER27" i="72" s="1"/>
  <c r="EW27" i="72"/>
  <c r="DB26" i="72"/>
  <c r="DB35" i="72" s="1"/>
  <c r="CV9" i="72" s="1"/>
  <c r="D39" i="43" s="1"/>
  <c r="DC26" i="72"/>
  <c r="DC35" i="72" s="1"/>
  <c r="CV10" i="72" s="1"/>
  <c r="E39" i="43" s="1"/>
  <c r="CW26" i="72"/>
  <c r="CW35" i="72" s="1"/>
  <c r="F17" i="36" s="1"/>
  <c r="CY26" i="72"/>
  <c r="CY35" i="72" s="1"/>
  <c r="CV35" i="72"/>
  <c r="GM33" i="72"/>
  <c r="GP33" i="72"/>
  <c r="GK33" i="72"/>
  <c r="GL33" i="72" s="1"/>
  <c r="GQ33" i="72"/>
  <c r="IJ27" i="72"/>
  <c r="IK27" i="72"/>
  <c r="IE27" i="72"/>
  <c r="IF27" i="72" s="1"/>
  <c r="IG27" i="72"/>
  <c r="BZ32" i="72"/>
  <c r="CA32" i="72" s="1"/>
  <c r="CE32" i="72"/>
  <c r="CF32" i="72"/>
  <c r="CB32" i="72"/>
  <c r="FS32" i="72"/>
  <c r="FP32" i="72"/>
  <c r="FP35" i="72" s="1"/>
  <c r="FN32" i="72"/>
  <c r="FO32" i="72" s="1"/>
  <c r="FT32" i="72"/>
  <c r="IF14" i="72"/>
  <c r="ID26" i="72"/>
  <c r="GQ28" i="72"/>
  <c r="GP28" i="72"/>
  <c r="GK28" i="72"/>
  <c r="GL28" i="72" s="1"/>
  <c r="GM28" i="72"/>
  <c r="GP32" i="72"/>
  <c r="GM32" i="72"/>
  <c r="GK32" i="72"/>
  <c r="GL32" i="72" s="1"/>
  <c r="GQ32" i="72"/>
  <c r="CE34" i="72"/>
  <c r="BZ34" i="72"/>
  <c r="CA34" i="72" s="1"/>
  <c r="CB34" i="72"/>
  <c r="CF34" i="72"/>
  <c r="CE28" i="72"/>
  <c r="CF28" i="72"/>
  <c r="CB28" i="72"/>
  <c r="BZ28" i="72"/>
  <c r="CA28" i="72" s="1"/>
  <c r="CB33" i="72"/>
  <c r="CE33" i="72"/>
  <c r="CF33" i="72"/>
  <c r="BZ33" i="72"/>
  <c r="CA33" i="72" s="1"/>
  <c r="IJ32" i="72"/>
  <c r="IG32" i="72"/>
  <c r="IE32" i="72"/>
  <c r="IF32" i="72" s="1"/>
  <c r="IK32" i="72"/>
  <c r="FS26" i="72"/>
  <c r="FS35" i="72" s="1"/>
  <c r="FM9" i="72" s="1"/>
  <c r="D42" i="43" s="1"/>
  <c r="F42" i="43" s="1"/>
  <c r="FP26" i="72"/>
  <c r="FN26" i="72"/>
  <c r="FO26" i="72" s="1"/>
  <c r="FT26" i="72"/>
  <c r="FT35" i="72" s="1"/>
  <c r="FM10" i="72" s="1"/>
  <c r="E42" i="43" s="1"/>
  <c r="G42" i="43" s="1"/>
  <c r="JG30" i="72"/>
  <c r="JB30" i="72"/>
  <c r="JC30" i="72" s="1"/>
  <c r="JD30" i="72"/>
  <c r="JH30" i="72"/>
  <c r="CF31" i="72"/>
  <c r="CB31" i="72"/>
  <c r="BZ31" i="72"/>
  <c r="CA31" i="72" s="1"/>
  <c r="CE31" i="72"/>
  <c r="ER14" i="72"/>
  <c r="EP26" i="72"/>
  <c r="GP34" i="72"/>
  <c r="GK34" i="72"/>
  <c r="GL34" i="72" s="1"/>
  <c r="GQ34" i="72"/>
  <c r="GM34" i="72"/>
  <c r="GL14" i="72"/>
  <c r="GJ26" i="72"/>
  <c r="BY35" i="72"/>
  <c r="CE26" i="72"/>
  <c r="CF26" i="72"/>
  <c r="BZ26" i="72"/>
  <c r="CB26" i="72"/>
  <c r="CB30" i="72"/>
  <c r="CE30" i="72"/>
  <c r="CF30" i="72"/>
  <c r="BZ30" i="72"/>
  <c r="CA30" i="72" s="1"/>
  <c r="BZ29" i="72"/>
  <c r="CA29" i="72" s="1"/>
  <c r="CE29" i="72"/>
  <c r="CF29" i="72"/>
  <c r="CB29" i="72"/>
  <c r="JD35" i="72"/>
  <c r="JH35" i="72"/>
  <c r="JA10" i="72" s="1"/>
  <c r="E46" i="43" s="1"/>
  <c r="G46" i="43" s="1"/>
  <c r="JC27" i="72"/>
  <c r="JC35" i="72" s="1"/>
  <c r="JB35" i="72"/>
  <c r="F24" i="36" s="1"/>
  <c r="JG35" i="72"/>
  <c r="JA9" i="72" s="1"/>
  <c r="D46" i="43" s="1"/>
  <c r="F46" i="43" s="1"/>
  <c r="IF28" i="72"/>
  <c r="HJ35" i="72"/>
  <c r="HI27" i="72"/>
  <c r="HI35" i="72" s="1"/>
  <c r="HH35" i="72"/>
  <c r="F22" i="36" s="1"/>
  <c r="Y22" i="36" s="1"/>
  <c r="HM35" i="72"/>
  <c r="HG9" i="72" s="1"/>
  <c r="D44" i="43" s="1"/>
  <c r="GL27" i="72"/>
  <c r="FO27" i="72"/>
  <c r="ER28" i="72"/>
  <c r="DV35" i="72"/>
  <c r="DU27" i="72"/>
  <c r="DU35" i="72" s="1"/>
  <c r="DT35" i="72"/>
  <c r="F18" i="36" s="1"/>
  <c r="DY35" i="72"/>
  <c r="DS9" i="72" s="1"/>
  <c r="D40" i="43" s="1"/>
  <c r="DZ35" i="72"/>
  <c r="DS10" i="72" s="1"/>
  <c r="E40" i="43" s="1"/>
  <c r="H7" i="12"/>
  <c r="H6" i="70"/>
  <c r="H6" i="11"/>
  <c r="E6" i="70"/>
  <c r="E7" i="12"/>
  <c r="O24" i="36"/>
  <c r="Z24" i="36"/>
  <c r="O18" i="36"/>
  <c r="AE18" i="36" s="1"/>
  <c r="Z18" i="36"/>
  <c r="AB12" i="75"/>
  <c r="AB10" i="75"/>
  <c r="AB9" i="75"/>
  <c r="AJ35" i="72"/>
  <c r="Y18" i="36"/>
  <c r="Y24" i="36"/>
  <c r="X24" i="36"/>
  <c r="X18" i="36"/>
  <c r="P24" i="36"/>
  <c r="P18" i="36"/>
  <c r="H5" i="11"/>
  <c r="H5" i="70"/>
  <c r="AA8" i="75"/>
  <c r="AA13" i="75"/>
  <c r="O17" i="36" l="1"/>
  <c r="Z17" i="36"/>
  <c r="Y17" i="36"/>
  <c r="X17" i="36"/>
  <c r="Z22" i="36"/>
  <c r="X22" i="36"/>
  <c r="O22" i="36"/>
  <c r="AE22" i="36" s="1"/>
  <c r="P22" i="36"/>
  <c r="AF22" i="36" s="1"/>
  <c r="FN35" i="72"/>
  <c r="F20" i="36" s="1"/>
  <c r="FO35" i="72"/>
  <c r="CE35" i="72"/>
  <c r="BY9" i="72" s="1"/>
  <c r="D38" i="43" s="1"/>
  <c r="F38" i="43" s="1"/>
  <c r="CB35" i="72"/>
  <c r="CA26" i="72"/>
  <c r="CA35" i="72" s="1"/>
  <c r="BZ35" i="72"/>
  <c r="F16" i="36" s="1"/>
  <c r="CF35" i="72"/>
  <c r="BY10" i="72" s="1"/>
  <c r="E38" i="43" s="1"/>
  <c r="G38" i="43" s="1"/>
  <c r="EP35" i="72"/>
  <c r="EW26" i="72"/>
  <c r="EW35" i="72" s="1"/>
  <c r="EQ26" i="72"/>
  <c r="EV26" i="72"/>
  <c r="EV35" i="72" s="1"/>
  <c r="ES26" i="72"/>
  <c r="ES35" i="72" s="1"/>
  <c r="IG26" i="72"/>
  <c r="IG35" i="72" s="1"/>
  <c r="IJ26" i="72"/>
  <c r="IJ35" i="72" s="1"/>
  <c r="ID35" i="72"/>
  <c r="IK26" i="72"/>
  <c r="IK35" i="72" s="1"/>
  <c r="ID10" i="72" s="1"/>
  <c r="E45" i="43" s="1"/>
  <c r="G45" i="43" s="1"/>
  <c r="IE26" i="72"/>
  <c r="GM26" i="72"/>
  <c r="GM35" i="72" s="1"/>
  <c r="GP26" i="72"/>
  <c r="GP35" i="72" s="1"/>
  <c r="GK26" i="72"/>
  <c r="GQ26" i="72"/>
  <c r="GQ35" i="72" s="1"/>
  <c r="GJ35" i="72"/>
  <c r="E6" i="11"/>
  <c r="H5" i="89"/>
  <c r="T44" i="61"/>
  <c r="AA16" i="75"/>
  <c r="F40" i="43"/>
  <c r="G40" i="43"/>
  <c r="AF24" i="36"/>
  <c r="AF18" i="36"/>
  <c r="AB8" i="75"/>
  <c r="AB13" i="75"/>
  <c r="AE24" i="36"/>
  <c r="AE17" i="36"/>
  <c r="P17" i="36"/>
  <c r="AF17" i="36" s="1"/>
  <c r="Z20" i="36" l="1"/>
  <c r="Y20" i="36"/>
  <c r="P20" i="36"/>
  <c r="AF20" i="36" s="1"/>
  <c r="X20" i="36"/>
  <c r="O20" i="36"/>
  <c r="AE20" i="36" s="1"/>
  <c r="ID9" i="72"/>
  <c r="D45" i="43" s="1"/>
  <c r="F45" i="43" s="1"/>
  <c r="GJ10" i="72"/>
  <c r="E43" i="43" s="1"/>
  <c r="G43" i="43" s="1"/>
  <c r="Z16" i="36"/>
  <c r="P16" i="36"/>
  <c r="AF16" i="36" s="1"/>
  <c r="X16" i="36"/>
  <c r="O16" i="36"/>
  <c r="AE16" i="36" s="1"/>
  <c r="Y16" i="36"/>
  <c r="GL26" i="72"/>
  <c r="GL35" i="72" s="1"/>
  <c r="GK35" i="72"/>
  <c r="F21" i="36" s="1"/>
  <c r="GJ9" i="72"/>
  <c r="D43" i="43" s="1"/>
  <c r="F43" i="43" s="1"/>
  <c r="EP9" i="72"/>
  <c r="D41" i="43" s="1"/>
  <c r="F41" i="43" s="1"/>
  <c r="ER26" i="72"/>
  <c r="ER35" i="72" s="1"/>
  <c r="EQ35" i="72"/>
  <c r="F19" i="36" s="1"/>
  <c r="IF26" i="72"/>
  <c r="IF35" i="72" s="1"/>
  <c r="IE35" i="72"/>
  <c r="F23" i="36" s="1"/>
  <c r="EP10" i="72"/>
  <c r="E41" i="43" s="1"/>
  <c r="G41" i="43" s="1"/>
  <c r="N33" i="12"/>
  <c r="I32" i="12" s="1"/>
  <c r="N34" i="12"/>
  <c r="G44" i="43"/>
  <c r="G39" i="43"/>
  <c r="F39" i="43"/>
  <c r="F44" i="43"/>
  <c r="AB16" i="75"/>
  <c r="AU3" i="76" s="1"/>
  <c r="C10" i="69"/>
  <c r="C4" i="69"/>
  <c r="O23" i="36" l="1"/>
  <c r="AE23" i="36" s="1"/>
  <c r="Y23" i="36"/>
  <c r="Z23" i="36"/>
  <c r="X23" i="36"/>
  <c r="P23" i="36"/>
  <c r="AF23" i="36" s="1"/>
  <c r="X21" i="36"/>
  <c r="P21" i="36"/>
  <c r="AF21" i="36" s="1"/>
  <c r="Y21" i="36"/>
  <c r="O21" i="36"/>
  <c r="AE21" i="36" s="1"/>
  <c r="Z21" i="36"/>
  <c r="O19" i="36"/>
  <c r="AE19" i="36" s="1"/>
  <c r="X19" i="36"/>
  <c r="Z19" i="36"/>
  <c r="P19" i="36"/>
  <c r="AF19" i="36" s="1"/>
  <c r="Y19" i="36"/>
  <c r="H33" i="12"/>
  <c r="G35" i="72" l="1"/>
  <c r="B37" i="65" l="1"/>
  <c r="E7" i="11" l="1"/>
  <c r="H4" i="12"/>
  <c r="E7" i="70" l="1"/>
  <c r="E8" i="12"/>
  <c r="B39" i="65" s="1"/>
  <c r="B7" i="43"/>
  <c r="J3" i="36"/>
  <c r="H3" i="11"/>
  <c r="K11" i="6" l="1"/>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W7" i="75" s="1"/>
  <c r="M20" i="36"/>
  <c r="L15" i="36"/>
  <c r="N15" i="36" s="1"/>
  <c r="AD15" i="36" s="1"/>
  <c r="M15" i="36"/>
  <c r="A15" i="36" s="1"/>
  <c r="W6" i="75" s="1"/>
  <c r="M19" i="36"/>
  <c r="M21" i="36"/>
  <c r="M22" i="36"/>
  <c r="M24" i="36"/>
  <c r="L17" i="36"/>
  <c r="N17" i="36" s="1"/>
  <c r="AD17" i="36" s="1"/>
  <c r="AG17" i="36" s="1"/>
  <c r="M17" i="36"/>
  <c r="A17" i="36" s="1"/>
  <c r="W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E17" i="11" l="1"/>
  <c r="E28" i="12" l="1"/>
  <c r="F1" i="6" l="1"/>
  <c r="K1" i="6" l="1"/>
  <c r="J1" i="6"/>
  <c r="H1" i="6"/>
  <c r="K19" i="6" l="1"/>
  <c r="K20" i="6" l="1"/>
  <c r="G72" i="59" l="1"/>
  <c r="G66" i="59"/>
  <c r="E12" i="12" l="1"/>
  <c r="E26" i="12" l="1"/>
  <c r="E13" i="11" s="1"/>
  <c r="N12" i="12"/>
  <c r="E6" i="12"/>
  <c r="E5" i="11"/>
  <c r="E5" i="70"/>
  <c r="B14" i="43"/>
  <c r="C21" i="43"/>
  <c r="C22" i="43" s="1"/>
  <c r="C23" i="43" s="1"/>
  <c r="B23" i="65"/>
  <c r="T28" i="61" l="1"/>
  <c r="T36" i="61" s="1"/>
  <c r="C23" i="69" s="1"/>
  <c r="I13" i="11"/>
  <c r="D25" i="43"/>
  <c r="D24" i="43"/>
  <c r="I17" i="11"/>
  <c r="B15" i="43"/>
  <c r="B16" i="43"/>
  <c r="I17" i="75" l="1"/>
  <c r="G32" i="70" l="1"/>
  <c r="B25" i="65" l="1"/>
  <c r="B38" i="65"/>
  <c r="F22" i="12"/>
  <c r="E22" i="12"/>
  <c r="N22" i="12"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T14" i="72" a="1"/>
  <c r="BT14" i="72" s="1"/>
  <c r="BP14" i="72" a="1"/>
  <c r="BP14" i="72" s="1"/>
  <c r="BO14" i="72" a="1"/>
  <c r="BO14" i="72" s="1"/>
  <c r="BS14" i="72" a="1"/>
  <c r="BS14" i="72" s="1"/>
  <c r="AY14" i="72" a="1"/>
  <c r="AY14" i="72" s="1"/>
  <c r="AY35" i="72" s="1"/>
  <c r="AZ14" i="72" s="1"/>
  <c r="AZ35" i="72" l="1"/>
  <c r="BB14" i="72"/>
  <c r="AZ26" i="72"/>
  <c r="AZ33" i="72"/>
  <c r="AZ22" i="72"/>
  <c r="BB22" i="72" s="1"/>
  <c r="AZ31" i="72"/>
  <c r="AZ27" i="72"/>
  <c r="AZ18" i="72"/>
  <c r="BB18" i="72" s="1"/>
  <c r="AZ24" i="72"/>
  <c r="BB24" i="72" s="1"/>
  <c r="AZ29" i="72"/>
  <c r="AZ28" i="72"/>
  <c r="AZ30" i="72"/>
  <c r="AZ23" i="72"/>
  <c r="BB23" i="72" s="1"/>
  <c r="AZ19" i="72"/>
  <c r="BB19" i="72" s="1"/>
  <c r="AZ25" i="72"/>
  <c r="BB25" i="72" s="1"/>
  <c r="AZ32" i="72"/>
  <c r="AZ34" i="72"/>
  <c r="AZ16" i="72"/>
  <c r="BB16" i="72" s="1"/>
  <c r="AZ20" i="72"/>
  <c r="BB20" i="72" s="1"/>
  <c r="AZ17" i="72"/>
  <c r="BB17" i="72" s="1"/>
  <c r="AZ15" i="72"/>
  <c r="BB15" i="72" s="1"/>
  <c r="AZ21" i="72"/>
  <c r="BB21" i="72" s="1"/>
  <c r="BH18" i="72" l="1"/>
  <c r="BI18" i="72"/>
  <c r="BE18" i="72"/>
  <c r="BC18" i="72"/>
  <c r="AB18" i="72"/>
  <c r="C18" i="72"/>
  <c r="D16" i="76" s="1"/>
  <c r="T18" i="72"/>
  <c r="BE25" i="72"/>
  <c r="BH25" i="72"/>
  <c r="BI25" i="72"/>
  <c r="BC25" i="72"/>
  <c r="C25" i="72"/>
  <c r="D23" i="76" s="1"/>
  <c r="AB25" i="72"/>
  <c r="T25" i="72"/>
  <c r="BH21" i="72"/>
  <c r="BE21" i="72"/>
  <c r="BC21" i="72"/>
  <c r="BI21" i="72"/>
  <c r="AB21" i="72"/>
  <c r="T21" i="72"/>
  <c r="C21" i="72"/>
  <c r="D19" i="76" s="1"/>
  <c r="N21" i="72"/>
  <c r="AQ21" i="72" s="1"/>
  <c r="BC19" i="72"/>
  <c r="BH19" i="72"/>
  <c r="BE19" i="72"/>
  <c r="BI19" i="72"/>
  <c r="C19" i="72"/>
  <c r="D17" i="76" s="1"/>
  <c r="T19" i="72"/>
  <c r="AB19" i="72"/>
  <c r="N19" i="72"/>
  <c r="AQ19" i="72" s="1"/>
  <c r="BH15" i="72"/>
  <c r="BI15" i="72"/>
  <c r="BC15" i="72"/>
  <c r="BE15" i="72"/>
  <c r="C15" i="72"/>
  <c r="D13" i="76" s="1"/>
  <c r="AB15" i="72"/>
  <c r="T15" i="72"/>
  <c r="J15" i="72"/>
  <c r="P11" i="70" s="1"/>
  <c r="BE23" i="72"/>
  <c r="BI23" i="72"/>
  <c r="BC23" i="72"/>
  <c r="BH23" i="72"/>
  <c r="AB23" i="72"/>
  <c r="T23" i="72"/>
  <c r="C23" i="72"/>
  <c r="D21" i="76" s="1"/>
  <c r="BH22" i="72"/>
  <c r="BI22" i="72"/>
  <c r="BE22" i="72"/>
  <c r="BC22" i="72"/>
  <c r="C22" i="72"/>
  <c r="D20" i="76" s="1"/>
  <c r="T22" i="72"/>
  <c r="AB22" i="72"/>
  <c r="BH17" i="72"/>
  <c r="BC17" i="72"/>
  <c r="BI17" i="72"/>
  <c r="BE17" i="72"/>
  <c r="C17" i="72"/>
  <c r="D15" i="76" s="1"/>
  <c r="T17" i="72"/>
  <c r="AB17" i="72"/>
  <c r="I17" i="72"/>
  <c r="O13" i="70" s="1"/>
  <c r="BH20" i="72"/>
  <c r="BC20" i="72"/>
  <c r="BE20" i="72"/>
  <c r="BI20" i="72"/>
  <c r="T20" i="72"/>
  <c r="C20" i="72"/>
  <c r="D18" i="76" s="1"/>
  <c r="AB20" i="72"/>
  <c r="BI16" i="72"/>
  <c r="BC16" i="72"/>
  <c r="BH16" i="72"/>
  <c r="BE16" i="72"/>
  <c r="C16" i="72"/>
  <c r="D14" i="76" s="1"/>
  <c r="AB16" i="72"/>
  <c r="T16" i="72"/>
  <c r="AB14" i="72"/>
  <c r="BC14" i="72"/>
  <c r="T14" i="72"/>
  <c r="BE14" i="72"/>
  <c r="BH14" i="72"/>
  <c r="C14" i="72"/>
  <c r="L14" i="72" s="1"/>
  <c r="BI14" i="72"/>
  <c r="BE24" i="72"/>
  <c r="BI24" i="72"/>
  <c r="BH24" i="72"/>
  <c r="BC24" i="72"/>
  <c r="C24" i="72"/>
  <c r="D22" i="76" s="1"/>
  <c r="T24" i="72"/>
  <c r="AB24" i="72"/>
  <c r="I24" i="72"/>
  <c r="O20" i="70" s="1"/>
  <c r="L21" i="72" l="1"/>
  <c r="N24" i="72"/>
  <c r="AQ24" i="72" s="1"/>
  <c r="J17" i="72"/>
  <c r="P13" i="70" s="1"/>
  <c r="K21" i="72"/>
  <c r="Q17" i="70" s="1"/>
  <c r="L24" i="72"/>
  <c r="K17" i="72"/>
  <c r="Q13" i="70" s="1"/>
  <c r="N22" i="72"/>
  <c r="AQ22" i="72" s="1"/>
  <c r="L23" i="72"/>
  <c r="M23" i="72" s="1"/>
  <c r="W21" i="76" s="1"/>
  <c r="K19" i="72"/>
  <c r="Q15" i="70" s="1"/>
  <c r="L19" i="72"/>
  <c r="J19" i="72"/>
  <c r="P15" i="70" s="1"/>
  <c r="I19" i="72"/>
  <c r="O15" i="70" s="1"/>
  <c r="N16" i="72"/>
  <c r="AQ16" i="72" s="1"/>
  <c r="J20" i="72"/>
  <c r="P16" i="70" s="1"/>
  <c r="N17" i="72"/>
  <c r="AQ17" i="72" s="1"/>
  <c r="J18" i="72"/>
  <c r="P14" i="70" s="1"/>
  <c r="N25" i="72"/>
  <c r="AQ25" i="72" s="1"/>
  <c r="K23" i="72"/>
  <c r="Q19" i="70" s="1"/>
  <c r="K25" i="72"/>
  <c r="Q21" i="70" s="1"/>
  <c r="J24" i="72"/>
  <c r="P20" i="70" s="1"/>
  <c r="L16" i="72"/>
  <c r="N23" i="72"/>
  <c r="AQ23" i="72" s="1"/>
  <c r="J25" i="72"/>
  <c r="P21" i="70" s="1"/>
  <c r="J16" i="72"/>
  <c r="P12" i="70" s="1"/>
  <c r="I25" i="72"/>
  <c r="O21" i="70" s="1"/>
  <c r="I16" i="72"/>
  <c r="O12" i="70" s="1"/>
  <c r="L25" i="72"/>
  <c r="I18" i="72"/>
  <c r="O14" i="70" s="1"/>
  <c r="N14" i="72"/>
  <c r="AQ14" i="72" s="1"/>
  <c r="D12" i="76"/>
  <c r="AF20" i="72"/>
  <c r="AE20" i="72"/>
  <c r="M16" i="70" s="1"/>
  <c r="AU20" i="72"/>
  <c r="W16" i="70" s="1"/>
  <c r="AE22" i="72"/>
  <c r="M18" i="70" s="1"/>
  <c r="AU22" i="72"/>
  <c r="W18" i="70" s="1"/>
  <c r="AF22" i="72"/>
  <c r="J23" i="72"/>
  <c r="P19" i="70" s="1"/>
  <c r="BD23" i="72"/>
  <c r="D23" i="72"/>
  <c r="E21" i="76" s="1"/>
  <c r="U23" i="72"/>
  <c r="Y15" i="72"/>
  <c r="F19" i="72"/>
  <c r="G17" i="76" s="1"/>
  <c r="W19" i="72"/>
  <c r="Y18" i="72"/>
  <c r="BD24" i="72"/>
  <c r="U24" i="72"/>
  <c r="D24" i="72"/>
  <c r="E22" i="76" s="1"/>
  <c r="L35" i="72"/>
  <c r="M35" i="72" s="1"/>
  <c r="BD16" i="72"/>
  <c r="BB28" i="72"/>
  <c r="D16" i="72"/>
  <c r="E14" i="76" s="1"/>
  <c r="U16" i="72"/>
  <c r="BD17" i="72"/>
  <c r="BB29" i="72"/>
  <c r="D17" i="72"/>
  <c r="E15" i="76" s="1"/>
  <c r="U17" i="72"/>
  <c r="Y22" i="72"/>
  <c r="AF15" i="72"/>
  <c r="AE15" i="72"/>
  <c r="M11" i="70" s="1"/>
  <c r="AU15" i="72"/>
  <c r="W11" i="70" s="1"/>
  <c r="Y21" i="72"/>
  <c r="F23" i="72"/>
  <c r="G21" i="76" s="1"/>
  <c r="I21" i="76" s="1"/>
  <c r="W23" i="72"/>
  <c r="BD19" i="72"/>
  <c r="BB31" i="72"/>
  <c r="D19" i="72"/>
  <c r="E17" i="76" s="1"/>
  <c r="U19" i="72"/>
  <c r="AF21" i="72"/>
  <c r="AE21" i="72"/>
  <c r="M17" i="70" s="1"/>
  <c r="AU21" i="72"/>
  <c r="W17" i="70" s="1"/>
  <c r="W25" i="72"/>
  <c r="F25" i="72"/>
  <c r="G23" i="76" s="1"/>
  <c r="I23" i="76" s="1"/>
  <c r="AE18" i="72"/>
  <c r="M14" i="70" s="1"/>
  <c r="AU18" i="72"/>
  <c r="W14" i="70" s="1"/>
  <c r="AF18" i="72"/>
  <c r="W17" i="72"/>
  <c r="F17" i="72"/>
  <c r="G15" i="76" s="1"/>
  <c r="F24" i="72"/>
  <c r="G22" i="76" s="1"/>
  <c r="W24" i="72"/>
  <c r="Y20" i="72"/>
  <c r="K24" i="72"/>
  <c r="Q20" i="70" s="1"/>
  <c r="I14" i="72"/>
  <c r="O10" i="70" s="1"/>
  <c r="W14" i="72"/>
  <c r="F14" i="72"/>
  <c r="K16" i="72"/>
  <c r="Q12" i="70" s="1"/>
  <c r="N20" i="72"/>
  <c r="AQ20" i="72" s="1"/>
  <c r="L17" i="72"/>
  <c r="K22" i="72"/>
  <c r="Q18" i="70" s="1"/>
  <c r="BD22" i="72"/>
  <c r="BB34" i="72"/>
  <c r="D22" i="72"/>
  <c r="E20" i="76" s="1"/>
  <c r="H20" i="76" s="1"/>
  <c r="U22" i="72"/>
  <c r="I23" i="72"/>
  <c r="O19" i="70" s="1"/>
  <c r="I15" i="72"/>
  <c r="O11" i="70" s="1"/>
  <c r="W15" i="72"/>
  <c r="F15" i="72"/>
  <c r="G13" i="76" s="1"/>
  <c r="I13" i="76" s="1"/>
  <c r="BB30" i="72"/>
  <c r="BD18" i="72"/>
  <c r="D18" i="72"/>
  <c r="E16" i="76" s="1"/>
  <c r="H16" i="76" s="1"/>
  <c r="U18" i="72"/>
  <c r="AE24" i="72"/>
  <c r="M20" i="70" s="1"/>
  <c r="AF24" i="72"/>
  <c r="AU24" i="72"/>
  <c r="W20" i="70" s="1"/>
  <c r="Y14" i="72"/>
  <c r="Y16" i="72"/>
  <c r="K20" i="72"/>
  <c r="Q16" i="70" s="1"/>
  <c r="F20" i="72"/>
  <c r="G18" i="76" s="1"/>
  <c r="I18" i="76" s="1"/>
  <c r="W20" i="72"/>
  <c r="AU17" i="72"/>
  <c r="W13" i="70" s="1"/>
  <c r="AF17" i="72"/>
  <c r="AE17" i="72"/>
  <c r="M13" i="70" s="1"/>
  <c r="J22" i="72"/>
  <c r="P18" i="70" s="1"/>
  <c r="W22" i="72"/>
  <c r="F22" i="72"/>
  <c r="G20" i="76" s="1"/>
  <c r="I20" i="76" s="1"/>
  <c r="H21" i="76"/>
  <c r="N15" i="72"/>
  <c r="AQ15" i="72" s="1"/>
  <c r="BD15" i="72"/>
  <c r="BB27" i="72"/>
  <c r="D15" i="72"/>
  <c r="E13" i="76" s="1"/>
  <c r="H13" i="76" s="1"/>
  <c r="U15" i="72"/>
  <c r="AU19" i="72"/>
  <c r="W15" i="70" s="1"/>
  <c r="AE19" i="72"/>
  <c r="M15" i="70" s="1"/>
  <c r="AF19" i="72"/>
  <c r="I21" i="72"/>
  <c r="O17" i="70" s="1"/>
  <c r="BD21" i="72"/>
  <c r="BB33" i="72"/>
  <c r="U21" i="72"/>
  <c r="D21" i="72"/>
  <c r="E19" i="76" s="1"/>
  <c r="H19" i="76" s="1"/>
  <c r="Y25" i="72"/>
  <c r="K18" i="72"/>
  <c r="Q14" i="70" s="1"/>
  <c r="F18" i="72"/>
  <c r="G16" i="76" s="1"/>
  <c r="I16" i="76" s="1"/>
  <c r="W18" i="72"/>
  <c r="W16" i="72"/>
  <c r="F16" i="72"/>
  <c r="G14" i="76" s="1"/>
  <c r="Y24" i="72"/>
  <c r="K14" i="72"/>
  <c r="Q10" i="70" s="1"/>
  <c r="BB26" i="72"/>
  <c r="BD14" i="72"/>
  <c r="D14" i="72"/>
  <c r="U14" i="72"/>
  <c r="AF16" i="72"/>
  <c r="AE16" i="72"/>
  <c r="M12" i="70" s="1"/>
  <c r="AU16" i="72"/>
  <c r="W12" i="70" s="1"/>
  <c r="I20" i="72"/>
  <c r="O16" i="70" s="1"/>
  <c r="BB32" i="72"/>
  <c r="BD20" i="72"/>
  <c r="D20" i="72"/>
  <c r="E18" i="76" s="1"/>
  <c r="H18" i="76" s="1"/>
  <c r="U20" i="72"/>
  <c r="Y17" i="72"/>
  <c r="I22" i="72"/>
  <c r="O18" i="70" s="1"/>
  <c r="Y23" i="72"/>
  <c r="L15" i="72"/>
  <c r="Y19" i="72"/>
  <c r="W21" i="72"/>
  <c r="F21" i="72"/>
  <c r="G19" i="76" s="1"/>
  <c r="I19" i="76" s="1"/>
  <c r="AU25" i="72"/>
  <c r="W21" i="70" s="1"/>
  <c r="AF25" i="72"/>
  <c r="AE25" i="72"/>
  <c r="M21" i="70" s="1"/>
  <c r="N18" i="72"/>
  <c r="AQ18" i="72" s="1"/>
  <c r="BD25" i="72"/>
  <c r="U25" i="72"/>
  <c r="D25" i="72"/>
  <c r="E23" i="76" s="1"/>
  <c r="H23" i="76" s="1"/>
  <c r="I22" i="76"/>
  <c r="H22" i="76"/>
  <c r="J14" i="72"/>
  <c r="P10" i="70" s="1"/>
  <c r="AE14" i="72"/>
  <c r="M10" i="70" s="1"/>
  <c r="AU14" i="72"/>
  <c r="W10" i="70" s="1"/>
  <c r="AF14" i="72"/>
  <c r="I14" i="76"/>
  <c r="H14" i="76"/>
  <c r="L20" i="72"/>
  <c r="I15" i="76"/>
  <c r="H15" i="76"/>
  <c r="L22" i="72"/>
  <c r="AU23" i="72"/>
  <c r="W19" i="70" s="1"/>
  <c r="AF23" i="72"/>
  <c r="AE23" i="72"/>
  <c r="M19" i="70" s="1"/>
  <c r="K15" i="72"/>
  <c r="Q11" i="70" s="1"/>
  <c r="H17" i="76"/>
  <c r="I17" i="76"/>
  <c r="J21" i="72"/>
  <c r="P17" i="70" s="1"/>
  <c r="L18" i="72"/>
  <c r="M21" i="72" l="1"/>
  <c r="W19" i="76" s="1"/>
  <c r="M18" i="72"/>
  <c r="W16" i="76" s="1"/>
  <c r="M16" i="72"/>
  <c r="W14" i="76" s="1"/>
  <c r="M15" i="72"/>
  <c r="W13" i="76" s="1"/>
  <c r="M25" i="72"/>
  <c r="W23" i="76" s="1"/>
  <c r="M22" i="72"/>
  <c r="W20" i="76" s="1"/>
  <c r="M24" i="72"/>
  <c r="W22" i="76" s="1"/>
  <c r="M20" i="72"/>
  <c r="W18" i="76" s="1"/>
  <c r="M17" i="72"/>
  <c r="W15" i="76" s="1"/>
  <c r="G12" i="76"/>
  <c r="AB28" i="72"/>
  <c r="C28" i="72"/>
  <c r="D26" i="76" s="1"/>
  <c r="BI28" i="72"/>
  <c r="BH28" i="72"/>
  <c r="T28" i="72"/>
  <c r="BE28" i="72"/>
  <c r="BC28" i="72"/>
  <c r="E12" i="76"/>
  <c r="BI31" i="72"/>
  <c r="BE31" i="72"/>
  <c r="BC31" i="72"/>
  <c r="BH31" i="72"/>
  <c r="C31" i="72"/>
  <c r="D29" i="76" s="1"/>
  <c r="AB31" i="72"/>
  <c r="T31" i="72"/>
  <c r="T33" i="72"/>
  <c r="C33" i="72"/>
  <c r="D31" i="76" s="1"/>
  <c r="AB33" i="72"/>
  <c r="BC33" i="72"/>
  <c r="BH33" i="72"/>
  <c r="BE33" i="72"/>
  <c r="BI33" i="72"/>
  <c r="N33" i="72"/>
  <c r="AQ33" i="72" s="1"/>
  <c r="AB27" i="72"/>
  <c r="C27" i="72"/>
  <c r="D25" i="76" s="1"/>
  <c r="T27" i="72"/>
  <c r="BH27" i="72"/>
  <c r="BC27" i="72"/>
  <c r="BI27" i="72"/>
  <c r="BE27" i="72"/>
  <c r="BH30" i="72"/>
  <c r="BE30" i="72"/>
  <c r="BI30" i="72"/>
  <c r="BC30" i="72"/>
  <c r="C30" i="72"/>
  <c r="D28" i="76" s="1"/>
  <c r="T30" i="72"/>
  <c r="AB30" i="72"/>
  <c r="C34" i="72"/>
  <c r="D32" i="76" s="1"/>
  <c r="AB34" i="72"/>
  <c r="T34" i="72"/>
  <c r="BH34" i="72"/>
  <c r="BE34" i="72"/>
  <c r="BC34" i="72"/>
  <c r="BI34" i="72"/>
  <c r="BI29" i="72"/>
  <c r="BE29" i="72"/>
  <c r="T29" i="72"/>
  <c r="AB29" i="72"/>
  <c r="BH29" i="72"/>
  <c r="C29" i="72"/>
  <c r="L29" i="72" s="1"/>
  <c r="M29" i="72" s="1"/>
  <c r="W27" i="76" s="1"/>
  <c r="BC29" i="72"/>
  <c r="K29" i="72"/>
  <c r="Q25" i="70" s="1"/>
  <c r="M14" i="72"/>
  <c r="W12" i="76" s="1"/>
  <c r="W33" i="76" s="1"/>
  <c r="BI32" i="72"/>
  <c r="BE32" i="72"/>
  <c r="T32" i="72"/>
  <c r="BC32" i="72"/>
  <c r="AB32" i="72"/>
  <c r="BH32" i="72"/>
  <c r="C32" i="72"/>
  <c r="D30" i="76" s="1"/>
  <c r="I12" i="76"/>
  <c r="T26" i="72"/>
  <c r="AB26" i="72"/>
  <c r="BE26" i="72"/>
  <c r="BI26" i="72"/>
  <c r="BH26" i="72"/>
  <c r="BC26" i="72"/>
  <c r="C26" i="72"/>
  <c r="N26" i="72" s="1"/>
  <c r="AQ26" i="72" s="1"/>
  <c r="J26" i="72"/>
  <c r="P22" i="70" s="1"/>
  <c r="I26" i="72"/>
  <c r="O22" i="70" s="1"/>
  <c r="BB35" i="72"/>
  <c r="M19" i="72"/>
  <c r="W17" i="76" s="1"/>
  <c r="I32" i="72" l="1"/>
  <c r="O28" i="70" s="1"/>
  <c r="N32" i="72"/>
  <c r="AQ32" i="72" s="1"/>
  <c r="J33" i="72"/>
  <c r="P29" i="70" s="1"/>
  <c r="I31" i="72"/>
  <c r="O27" i="70" s="1"/>
  <c r="I34" i="72"/>
  <c r="O30" i="70" s="1"/>
  <c r="I27" i="72"/>
  <c r="O23" i="70" s="1"/>
  <c r="L26" i="72"/>
  <c r="M26" i="72" s="1"/>
  <c r="W24" i="76" s="1"/>
  <c r="N30" i="72"/>
  <c r="AQ30" i="72" s="1"/>
  <c r="N29" i="72"/>
  <c r="AQ29" i="72" s="1"/>
  <c r="K30" i="72"/>
  <c r="Q26" i="70" s="1"/>
  <c r="L31" i="72"/>
  <c r="M31" i="72" s="1"/>
  <c r="W29" i="76" s="1"/>
  <c r="I29" i="72"/>
  <c r="O25" i="70" s="1"/>
  <c r="N31" i="72"/>
  <c r="AQ31" i="72" s="1"/>
  <c r="K31" i="72"/>
  <c r="Q27" i="70" s="1"/>
  <c r="I28" i="72"/>
  <c r="O24" i="70" s="1"/>
  <c r="J31" i="72"/>
  <c r="P27" i="70" s="1"/>
  <c r="L28" i="72"/>
  <c r="M28" i="72" s="1"/>
  <c r="W26" i="76" s="1"/>
  <c r="AE32" i="72"/>
  <c r="M28" i="70" s="1"/>
  <c r="AF32" i="72"/>
  <c r="AU32" i="72"/>
  <c r="W28" i="70" s="1"/>
  <c r="F29" i="72"/>
  <c r="G27" i="76" s="1"/>
  <c r="W29" i="72"/>
  <c r="F34" i="72"/>
  <c r="G32" i="76" s="1"/>
  <c r="W34" i="72"/>
  <c r="AU30" i="72"/>
  <c r="W26" i="70" s="1"/>
  <c r="AE30" i="72"/>
  <c r="M26" i="70" s="1"/>
  <c r="AF30" i="72"/>
  <c r="AU33" i="72"/>
  <c r="W29" i="70" s="1"/>
  <c r="AF33" i="72"/>
  <c r="AE33" i="72"/>
  <c r="M29" i="70" s="1"/>
  <c r="Y31" i="72"/>
  <c r="CX27" i="72"/>
  <c r="CX18" i="72"/>
  <c r="CX28" i="72"/>
  <c r="CX19" i="72"/>
  <c r="CX30" i="72"/>
  <c r="CX23" i="72"/>
  <c r="CX21" i="72"/>
  <c r="CX24" i="72"/>
  <c r="CX17" i="72"/>
  <c r="CX16" i="72"/>
  <c r="D28" i="72"/>
  <c r="E26" i="76" s="1"/>
  <c r="CX29" i="72"/>
  <c r="CX22" i="72"/>
  <c r="CX26" i="72"/>
  <c r="U28" i="72"/>
  <c r="BD28" i="72"/>
  <c r="CX20" i="72"/>
  <c r="CX31" i="72"/>
  <c r="CX33" i="72"/>
  <c r="CX25" i="72"/>
  <c r="CX15" i="72"/>
  <c r="CX32" i="72"/>
  <c r="CX34" i="72"/>
  <c r="CX14" i="72"/>
  <c r="AU26" i="72"/>
  <c r="W22" i="70" s="1"/>
  <c r="AF26" i="72"/>
  <c r="AE26" i="72"/>
  <c r="M22" i="70" s="1"/>
  <c r="AB35" i="72"/>
  <c r="K32" i="72"/>
  <c r="Q28" i="70" s="1"/>
  <c r="BD32" i="72"/>
  <c r="V32" i="72" s="1"/>
  <c r="U32" i="72"/>
  <c r="D32" i="72"/>
  <c r="E30" i="76" s="1"/>
  <c r="J34" i="72"/>
  <c r="P30" i="70" s="1"/>
  <c r="Y30" i="72"/>
  <c r="F30" i="72"/>
  <c r="G28" i="76" s="1"/>
  <c r="W30" i="72"/>
  <c r="J27" i="72"/>
  <c r="P23" i="70" s="1"/>
  <c r="BD31" i="72"/>
  <c r="U31" i="72"/>
  <c r="D31" i="72"/>
  <c r="E29" i="76" s="1"/>
  <c r="Y26" i="72"/>
  <c r="T35" i="72"/>
  <c r="Q32" i="72" s="1"/>
  <c r="R32" i="72" s="1"/>
  <c r="AU28" i="72"/>
  <c r="W24" i="70" s="1"/>
  <c r="AF28" i="72"/>
  <c r="AE28" i="72"/>
  <c r="M24" i="70" s="1"/>
  <c r="L32" i="72"/>
  <c r="M32" i="72" s="1"/>
  <c r="W30" i="76" s="1"/>
  <c r="W32" i="72"/>
  <c r="F32" i="72"/>
  <c r="G30" i="76" s="1"/>
  <c r="J29" i="72"/>
  <c r="P25" i="70" s="1"/>
  <c r="D27" i="76"/>
  <c r="N34" i="72"/>
  <c r="AQ34" i="72" s="1"/>
  <c r="K34" i="72"/>
  <c r="Q30" i="70" s="1"/>
  <c r="I30" i="72"/>
  <c r="O26" i="70" s="1"/>
  <c r="N27" i="72"/>
  <c r="AQ27" i="72" s="1"/>
  <c r="F33" i="72"/>
  <c r="G31" i="76" s="1"/>
  <c r="W33" i="72"/>
  <c r="Y28" i="72"/>
  <c r="Y32" i="72"/>
  <c r="BD29" i="72"/>
  <c r="V29" i="72" s="1"/>
  <c r="D29" i="72"/>
  <c r="E27" i="76" s="1"/>
  <c r="U29" i="72"/>
  <c r="BD27" i="72"/>
  <c r="U27" i="72"/>
  <c r="D27" i="72"/>
  <c r="E25" i="76" s="1"/>
  <c r="H25" i="76" s="1"/>
  <c r="Y33" i="72"/>
  <c r="F31" i="72"/>
  <c r="G29" i="76" s="1"/>
  <c r="W31" i="72"/>
  <c r="F28" i="72"/>
  <c r="G26" i="76" s="1"/>
  <c r="I26" i="76" s="1"/>
  <c r="W28" i="72"/>
  <c r="D24" i="76"/>
  <c r="C35" i="72"/>
  <c r="K35" i="72" s="1"/>
  <c r="J32" i="72"/>
  <c r="P28" i="70" s="1"/>
  <c r="Y34" i="72"/>
  <c r="J30" i="72"/>
  <c r="P26" i="70" s="1"/>
  <c r="L27" i="72"/>
  <c r="M27" i="72" s="1"/>
  <c r="W25" i="76" s="1"/>
  <c r="Y27" i="72"/>
  <c r="L33" i="72"/>
  <c r="M33" i="72" s="1"/>
  <c r="W31" i="76" s="1"/>
  <c r="J28" i="72"/>
  <c r="P24" i="70" s="1"/>
  <c r="U26" i="72"/>
  <c r="D26" i="72"/>
  <c r="BD26" i="72"/>
  <c r="BC35" i="72"/>
  <c r="F15" i="36" s="1"/>
  <c r="AE34" i="72"/>
  <c r="M30" i="70" s="1"/>
  <c r="AF34" i="72"/>
  <c r="AU34" i="72"/>
  <c r="W30" i="70" s="1"/>
  <c r="I28" i="76"/>
  <c r="AF31" i="72"/>
  <c r="AE31" i="72"/>
  <c r="M27" i="70" s="1"/>
  <c r="AU31" i="72"/>
  <c r="W27" i="70" s="1"/>
  <c r="W26" i="72"/>
  <c r="F26" i="72"/>
  <c r="BE35" i="72"/>
  <c r="N35" i="72"/>
  <c r="BD34" i="72"/>
  <c r="V34" i="72" s="1"/>
  <c r="D34" i="72"/>
  <c r="E32" i="76" s="1"/>
  <c r="H32" i="76" s="1"/>
  <c r="U34" i="72"/>
  <c r="I32" i="76"/>
  <c r="W27" i="72"/>
  <c r="F27" i="72"/>
  <c r="G25" i="76" s="1"/>
  <c r="AU27" i="72"/>
  <c r="W23" i="70" s="1"/>
  <c r="AE27" i="72"/>
  <c r="M23" i="70" s="1"/>
  <c r="AF27" i="72"/>
  <c r="K33" i="72"/>
  <c r="Q29" i="70" s="1"/>
  <c r="H12" i="76"/>
  <c r="AE29" i="72"/>
  <c r="M25" i="70" s="1"/>
  <c r="AU29" i="72"/>
  <c r="W25" i="70" s="1"/>
  <c r="AF29" i="72"/>
  <c r="BH35" i="72"/>
  <c r="BB9" i="72" s="1"/>
  <c r="D37" i="43" s="1"/>
  <c r="F37" i="43" s="1"/>
  <c r="F47" i="43" s="1"/>
  <c r="E29" i="11" s="1"/>
  <c r="H30" i="76"/>
  <c r="I30" i="76"/>
  <c r="K26" i="72"/>
  <c r="Q22" i="70" s="1"/>
  <c r="BI35" i="72"/>
  <c r="BB10" i="72" s="1"/>
  <c r="E37" i="43" s="1"/>
  <c r="G37" i="43" s="1"/>
  <c r="G47" i="43" s="1"/>
  <c r="Y29" i="72"/>
  <c r="L34" i="72"/>
  <c r="M34" i="72" s="1"/>
  <c r="W32" i="76" s="1"/>
  <c r="L30" i="72"/>
  <c r="M30" i="72" s="1"/>
  <c r="W28" i="76" s="1"/>
  <c r="BD30" i="72"/>
  <c r="D30" i="72"/>
  <c r="E28" i="76" s="1"/>
  <c r="U30" i="72"/>
  <c r="K27" i="72"/>
  <c r="Q23" i="70" s="1"/>
  <c r="I33" i="72"/>
  <c r="O29" i="70" s="1"/>
  <c r="BD33" i="72"/>
  <c r="V33" i="72" s="1"/>
  <c r="U33" i="72"/>
  <c r="D33" i="72"/>
  <c r="E31" i="76" s="1"/>
  <c r="H31" i="76" s="1"/>
  <c r="H29" i="76"/>
  <c r="I29" i="76"/>
  <c r="N28" i="72"/>
  <c r="AQ28" i="72" s="1"/>
  <c r="K28" i="72"/>
  <c r="Q24" i="70" s="1"/>
  <c r="V31" i="72" l="1"/>
  <c r="V30" i="72"/>
  <c r="E20" i="72"/>
  <c r="F18" i="76" s="1"/>
  <c r="V20" i="72"/>
  <c r="E23" i="11"/>
  <c r="I23" i="11" s="1"/>
  <c r="E17" i="12"/>
  <c r="J35" i="72"/>
  <c r="Q27" i="72"/>
  <c r="R27" i="72" s="1"/>
  <c r="D33" i="76"/>
  <c r="Q26" i="72"/>
  <c r="R26" i="72" s="1"/>
  <c r="CX35" i="72"/>
  <c r="V14" i="72"/>
  <c r="E14" i="72"/>
  <c r="E28" i="72"/>
  <c r="F26" i="76" s="1"/>
  <c r="V28" i="72"/>
  <c r="E24" i="72"/>
  <c r="F22" i="76" s="1"/>
  <c r="V24" i="72"/>
  <c r="Q31" i="72"/>
  <c r="R31" i="72" s="1"/>
  <c r="I35" i="72"/>
  <c r="Z15" i="36"/>
  <c r="O15" i="36"/>
  <c r="AE15" i="36" s="1"/>
  <c r="P15" i="36"/>
  <c r="AF15" i="36" s="1"/>
  <c r="AF25" i="36" s="1"/>
  <c r="E15" i="11"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I24" i="76" s="1"/>
  <c r="F35" i="72"/>
  <c r="E24" i="76"/>
  <c r="H24" i="76" s="1"/>
  <c r="D35" i="72"/>
  <c r="Q30" i="72"/>
  <c r="R30" i="72" s="1"/>
  <c r="E15" i="72"/>
  <c r="F13" i="76" s="1"/>
  <c r="V15" i="72"/>
  <c r="E22" i="72"/>
  <c r="F20" i="76" s="1"/>
  <c r="V22" i="72"/>
  <c r="E30" i="72"/>
  <c r="F28" i="76" s="1"/>
  <c r="I27" i="76"/>
  <c r="H27" i="76"/>
  <c r="A27" i="76"/>
  <c r="L27" i="76" s="1"/>
  <c r="AH27" i="76" s="1"/>
  <c r="W35" i="72"/>
  <c r="H28" i="76"/>
  <c r="U35" i="72"/>
  <c r="Q34" i="72"/>
  <c r="R34" i="72" s="1"/>
  <c r="E25" i="72"/>
  <c r="F23" i="76" s="1"/>
  <c r="V25" i="72"/>
  <c r="E29" i="72"/>
  <c r="F27" i="76" s="1"/>
  <c r="E19" i="72"/>
  <c r="F17" i="76" s="1"/>
  <c r="V19" i="72"/>
  <c r="I29" i="11"/>
  <c r="B30" i="65"/>
  <c r="E30"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R14" i="72" l="1"/>
  <c r="R35" i="72" s="1"/>
  <c r="Q35" i="72"/>
  <c r="E27" i="12"/>
  <c r="I15" i="11"/>
  <c r="AG15" i="36"/>
  <c r="AE25" i="36"/>
  <c r="F12" i="76"/>
  <c r="F33" i="76" s="1"/>
  <c r="E35" i="72"/>
  <c r="E36" i="72" s="1"/>
  <c r="V35" i="72"/>
  <c r="V11" i="72" s="1"/>
  <c r="G33" i="76"/>
  <c r="I17" i="12"/>
  <c r="B26" i="65"/>
  <c r="E33" i="76"/>
  <c r="A12" i="76"/>
  <c r="A15" i="76"/>
  <c r="L15" i="76" s="1"/>
  <c r="AH15" i="76" s="1"/>
  <c r="A18" i="76"/>
  <c r="L18" i="76" s="1"/>
  <c r="AH18" i="76" s="1"/>
  <c r="A14" i="76"/>
  <c r="L14" i="76" s="1"/>
  <c r="AH14" i="76" s="1"/>
  <c r="A21" i="76"/>
  <c r="L21" i="76" s="1"/>
  <c r="AH21" i="76" s="1"/>
  <c r="A13" i="76"/>
  <c r="L13" i="76" s="1"/>
  <c r="AH13" i="76" s="1"/>
  <c r="A23" i="76"/>
  <c r="L23" i="76" s="1"/>
  <c r="AH23" i="76" s="1"/>
  <c r="A17" i="76"/>
  <c r="L17" i="76" s="1"/>
  <c r="AH17" i="76" s="1"/>
  <c r="A16" i="76"/>
  <c r="L16" i="76" s="1"/>
  <c r="AH16" i="76" s="1"/>
  <c r="A20" i="76"/>
  <c r="L20" i="76" s="1"/>
  <c r="AH20" i="76" s="1"/>
  <c r="A19" i="76"/>
  <c r="L19" i="76" s="1"/>
  <c r="AH19" i="76" s="1"/>
  <c r="A22" i="76"/>
  <c r="L22" i="76" s="1"/>
  <c r="AH22" i="76" s="1"/>
  <c r="A26" i="76"/>
  <c r="L26" i="76" s="1"/>
  <c r="AH26" i="76" s="1"/>
  <c r="A31" i="76"/>
  <c r="L31" i="76" s="1"/>
  <c r="AH31" i="76" s="1"/>
  <c r="A28" i="76"/>
  <c r="L28" i="76" s="1"/>
  <c r="AH28" i="76" s="1"/>
  <c r="A30" i="76"/>
  <c r="L30" i="76" s="1"/>
  <c r="AH30" i="76" s="1"/>
  <c r="A32" i="76"/>
  <c r="L32" i="76" s="1"/>
  <c r="AH32" i="76" s="1"/>
  <c r="A29" i="76"/>
  <c r="L29" i="76" s="1"/>
  <c r="AH29" i="76" s="1"/>
  <c r="A25" i="76"/>
  <c r="L25" i="76" s="1"/>
  <c r="AH25" i="76" s="1"/>
  <c r="A24" i="76"/>
  <c r="L24" i="76" s="1"/>
  <c r="AH24" i="76" s="1"/>
  <c r="AG25" i="36" l="1"/>
  <c r="E11" i="11"/>
  <c r="A33" i="76"/>
  <c r="L12" i="76"/>
  <c r="AH12" i="76" l="1"/>
  <c r="AH33" i="76" s="1"/>
  <c r="L33" i="76"/>
  <c r="I11" i="11"/>
  <c r="E25" i="12"/>
  <c r="E19" i="11"/>
  <c r="B29" i="65" l="1"/>
  <c r="I19" i="11"/>
  <c r="Q12" i="76"/>
  <c r="Q33" i="76" s="1"/>
  <c r="P18" i="76"/>
  <c r="O25" i="76"/>
  <c r="P23" i="76"/>
  <c r="O13" i="76"/>
  <c r="O21" i="76"/>
  <c r="P19" i="76"/>
  <c r="O26" i="76"/>
  <c r="O14" i="76"/>
  <c r="P16" i="76"/>
  <c r="R13" i="76"/>
  <c r="R22" i="76"/>
  <c r="R23" i="76"/>
  <c r="O18" i="76"/>
  <c r="R12" i="76"/>
  <c r="R33" i="76" s="1"/>
  <c r="P15" i="76"/>
  <c r="P17" i="76"/>
  <c r="P20" i="76"/>
  <c r="R18" i="76"/>
  <c r="O23" i="76"/>
  <c r="R19" i="76"/>
  <c r="P21" i="76"/>
  <c r="R20" i="76"/>
  <c r="O15" i="76"/>
  <c r="O17" i="76"/>
  <c r="O12" i="76"/>
  <c r="R16" i="76"/>
  <c r="O30" i="76"/>
  <c r="O19" i="76"/>
  <c r="O16" i="76"/>
  <c r="P22" i="76"/>
  <c r="O29" i="76"/>
  <c r="O20" i="76"/>
  <c r="P12" i="76"/>
  <c r="P33" i="76" s="1"/>
  <c r="R15" i="76"/>
  <c r="R14" i="76"/>
  <c r="R21" i="76"/>
  <c r="O31" i="76"/>
  <c r="O28" i="76"/>
  <c r="P14" i="76"/>
  <c r="R17" i="76"/>
  <c r="O22" i="76"/>
  <c r="O32" i="76"/>
  <c r="P13" i="76"/>
  <c r="R32" i="76"/>
  <c r="R26" i="76"/>
  <c r="R25" i="76"/>
  <c r="R31" i="76"/>
  <c r="R29" i="76"/>
  <c r="P30" i="76"/>
  <c r="O24" i="76"/>
  <c r="P29" i="76"/>
  <c r="P32" i="76"/>
  <c r="P28" i="76"/>
  <c r="R28" i="76"/>
  <c r="O27" i="76"/>
  <c r="R30" i="76"/>
  <c r="P31" i="76"/>
  <c r="R27" i="76"/>
  <c r="P26" i="76"/>
  <c r="P27" i="76"/>
  <c r="P25" i="76"/>
  <c r="Q14" i="76"/>
  <c r="Q24" i="76"/>
  <c r="Q28" i="76"/>
  <c r="Q17" i="76"/>
  <c r="Q19" i="76"/>
  <c r="Q23" i="76"/>
  <c r="Q13" i="76"/>
  <c r="Q20" i="76"/>
  <c r="P24" i="76"/>
  <c r="Q25" i="76"/>
  <c r="Q21" i="76"/>
  <c r="R24" i="76"/>
  <c r="Q29" i="76"/>
  <c r="Q16" i="76"/>
  <c r="Q32" i="76"/>
  <c r="Q26" i="76"/>
  <c r="Q31" i="76"/>
  <c r="Q15" i="76"/>
  <c r="Q18" i="76"/>
  <c r="Q30" i="76"/>
  <c r="Q27" i="76"/>
  <c r="Q22" i="76"/>
  <c r="S19" i="76" l="1"/>
  <c r="AO19" i="76" s="1"/>
  <c r="T19" i="76"/>
  <c r="AP19" i="76" s="1"/>
  <c r="Y19" i="76"/>
  <c r="S13" i="76"/>
  <c r="AO13" i="76" s="1"/>
  <c r="Y13" i="76"/>
  <c r="T13" i="76"/>
  <c r="AP13" i="76" s="1"/>
  <c r="T21" i="76"/>
  <c r="AP21" i="76" s="1"/>
  <c r="S21" i="76"/>
  <c r="AO21" i="76" s="1"/>
  <c r="Y21" i="76"/>
  <c r="T30" i="76"/>
  <c r="AP30" i="76" s="1"/>
  <c r="Y30" i="76"/>
  <c r="S30" i="76"/>
  <c r="AO30" i="76" s="1"/>
  <c r="S23" i="76"/>
  <c r="AO23" i="76" s="1"/>
  <c r="T23" i="76"/>
  <c r="AP23" i="76" s="1"/>
  <c r="Y23" i="76"/>
  <c r="T18" i="76"/>
  <c r="AP18" i="76" s="1"/>
  <c r="Y18" i="76"/>
  <c r="S18" i="76"/>
  <c r="AO18" i="76" s="1"/>
  <c r="S24" i="76"/>
  <c r="AO24" i="76" s="1"/>
  <c r="T24" i="76"/>
  <c r="AP24" i="76" s="1"/>
  <c r="Y24" i="76"/>
  <c r="T32" i="76"/>
  <c r="AP32" i="76" s="1"/>
  <c r="Y32" i="76"/>
  <c r="S32" i="76"/>
  <c r="AO32" i="76" s="1"/>
  <c r="T25" i="76"/>
  <c r="AP25" i="76" s="1"/>
  <c r="Y25" i="76"/>
  <c r="S25" i="76"/>
  <c r="AO25" i="76" s="1"/>
  <c r="T12" i="76"/>
  <c r="AP12" i="76" s="1"/>
  <c r="O33" i="76"/>
  <c r="Y12" i="76"/>
  <c r="S12" i="76"/>
  <c r="AO12" i="76" s="1"/>
  <c r="Y22" i="76"/>
  <c r="T22" i="76"/>
  <c r="AP22" i="76" s="1"/>
  <c r="S22" i="76"/>
  <c r="AO22" i="76" s="1"/>
  <c r="T20" i="76"/>
  <c r="AP20" i="76" s="1"/>
  <c r="S20" i="76"/>
  <c r="AO20" i="76" s="1"/>
  <c r="Y20" i="76"/>
  <c r="S17" i="76"/>
  <c r="AO17" i="76" s="1"/>
  <c r="Y17" i="76"/>
  <c r="T17" i="76"/>
  <c r="AP17" i="76" s="1"/>
  <c r="T14" i="76"/>
  <c r="AP14" i="76" s="1"/>
  <c r="S14" i="76"/>
  <c r="AO14" i="76" s="1"/>
  <c r="Y14" i="76"/>
  <c r="T31" i="76"/>
  <c r="AP31" i="76" s="1"/>
  <c r="Y31" i="76"/>
  <c r="S31" i="76"/>
  <c r="AO31" i="76" s="1"/>
  <c r="S27" i="76"/>
  <c r="AO27" i="76" s="1"/>
  <c r="T27" i="76"/>
  <c r="AP27" i="76" s="1"/>
  <c r="Y27" i="76"/>
  <c r="S29" i="76"/>
  <c r="AO29" i="76" s="1"/>
  <c r="T29" i="76"/>
  <c r="AP29" i="76" s="1"/>
  <c r="Y29" i="76"/>
  <c r="T15" i="76"/>
  <c r="AP15" i="76" s="1"/>
  <c r="Y15" i="76"/>
  <c r="S15" i="76"/>
  <c r="AO15" i="76" s="1"/>
  <c r="Y26" i="76"/>
  <c r="S26" i="76"/>
  <c r="AO26" i="76" s="1"/>
  <c r="T26" i="76"/>
  <c r="AP26" i="76" s="1"/>
  <c r="T16" i="76"/>
  <c r="AP16" i="76" s="1"/>
  <c r="S16" i="76"/>
  <c r="AO16" i="76" s="1"/>
  <c r="Y16" i="76"/>
  <c r="T28" i="76"/>
  <c r="AP28" i="76" s="1"/>
  <c r="Y28" i="76"/>
  <c r="S28" i="76"/>
  <c r="AO28" i="76" s="1"/>
  <c r="Z28" i="76" l="1"/>
  <c r="AA28" i="76"/>
  <c r="AA17" i="76"/>
  <c r="Z17" i="76"/>
  <c r="Z32" i="76"/>
  <c r="AA32" i="76"/>
  <c r="AA23" i="76"/>
  <c r="Z23" i="76"/>
  <c r="S26" i="70"/>
  <c r="T26" i="70"/>
  <c r="U26" i="70"/>
  <c r="AA15" i="76"/>
  <c r="Z15" i="76"/>
  <c r="Z12" i="76"/>
  <c r="Z33" i="76" s="1"/>
  <c r="Y33" i="76"/>
  <c r="AA12" i="76"/>
  <c r="T30" i="70"/>
  <c r="S30" i="70"/>
  <c r="U30" i="70"/>
  <c r="T11" i="70"/>
  <c r="S11" i="70"/>
  <c r="U11" i="70"/>
  <c r="AA16" i="76"/>
  <c r="Z16" i="76"/>
  <c r="Z31" i="76"/>
  <c r="AA31" i="76"/>
  <c r="Z20" i="76"/>
  <c r="AA20" i="76"/>
  <c r="Z24" i="76"/>
  <c r="AA24" i="76"/>
  <c r="Z13" i="76"/>
  <c r="AA13" i="76"/>
  <c r="Z29" i="76"/>
  <c r="AA29" i="76"/>
  <c r="U29" i="70"/>
  <c r="S29" i="70"/>
  <c r="T29" i="70"/>
  <c r="U22" i="70"/>
  <c r="S22" i="70"/>
  <c r="T22" i="70"/>
  <c r="AA26" i="76"/>
  <c r="Z26" i="76"/>
  <c r="AA22" i="76"/>
  <c r="Z22" i="76"/>
  <c r="AA14" i="76"/>
  <c r="Z14" i="76"/>
  <c r="AA30" i="76"/>
  <c r="Z30" i="76"/>
  <c r="AA19" i="76"/>
  <c r="Z19" i="76"/>
  <c r="T24" i="70"/>
  <c r="S24" i="70"/>
  <c r="U24" i="70"/>
  <c r="S27" i="70"/>
  <c r="T27" i="70"/>
  <c r="U27" i="70"/>
  <c r="AA25" i="76"/>
  <c r="Z25" i="76"/>
  <c r="U25" i="70"/>
  <c r="T25" i="70"/>
  <c r="S25" i="70"/>
  <c r="AA27" i="76"/>
  <c r="Z27" i="76"/>
  <c r="T12" i="70"/>
  <c r="U12" i="70"/>
  <c r="S12" i="70"/>
  <c r="Z18" i="76"/>
  <c r="AA18" i="76"/>
  <c r="AA21" i="76"/>
  <c r="Z21" i="76"/>
  <c r="AD30" i="76" l="1"/>
  <c r="AC30" i="76"/>
  <c r="AC16" i="76"/>
  <c r="AD16" i="76"/>
  <c r="AD23" i="76"/>
  <c r="AC23" i="76"/>
  <c r="AD27" i="76"/>
  <c r="AC27" i="76"/>
  <c r="X20" i="76"/>
  <c r="X27" i="76"/>
  <c r="X31" i="76"/>
  <c r="X15" i="76"/>
  <c r="X29" i="76"/>
  <c r="X25" i="76"/>
  <c r="X22" i="76"/>
  <c r="X17" i="76"/>
  <c r="X30" i="76"/>
  <c r="X14" i="76"/>
  <c r="X18" i="76"/>
  <c r="X13" i="76"/>
  <c r="X23" i="76"/>
  <c r="X12" i="76"/>
  <c r="X28" i="76"/>
  <c r="X26" i="76"/>
  <c r="X19" i="76"/>
  <c r="X21" i="76"/>
  <c r="X16" i="76"/>
  <c r="X24" i="76"/>
  <c r="X32" i="76"/>
  <c r="AD32" i="76"/>
  <c r="AC32" i="76"/>
  <c r="AD21" i="76"/>
  <c r="AC21" i="76"/>
  <c r="AD14" i="76"/>
  <c r="AC14" i="76"/>
  <c r="AD20" i="76"/>
  <c r="AC20" i="76"/>
  <c r="AD15" i="76"/>
  <c r="AC15" i="76"/>
  <c r="AD22" i="76"/>
  <c r="AC22" i="76"/>
  <c r="AC17" i="76"/>
  <c r="AD17" i="76"/>
  <c r="AA33" i="76"/>
  <c r="AC12" i="76"/>
  <c r="AC33" i="76" s="1"/>
  <c r="AD12" i="76"/>
  <c r="AD29" i="76"/>
  <c r="AC29" i="76"/>
  <c r="AD31" i="76"/>
  <c r="AC31" i="76"/>
  <c r="AD28" i="76"/>
  <c r="AC28" i="76"/>
  <c r="AC13" i="76"/>
  <c r="AD13" i="76"/>
  <c r="AC24" i="76"/>
  <c r="AD24" i="76"/>
  <c r="AC18" i="76"/>
  <c r="AD18" i="76"/>
  <c r="AC25" i="76"/>
  <c r="AD25" i="76"/>
  <c r="AD19" i="76"/>
  <c r="AC19" i="76"/>
  <c r="AD26" i="76"/>
  <c r="AC26" i="76"/>
  <c r="AF24" i="76" l="1"/>
  <c r="AI24" i="76" s="1"/>
  <c r="AF27" i="76"/>
  <c r="AI27" i="76" s="1"/>
  <c r="AF15" i="76"/>
  <c r="AI15" i="76" s="1"/>
  <c r="AF19" i="76"/>
  <c r="AI19" i="76" s="1"/>
  <c r="AF23" i="76"/>
  <c r="AI23" i="76" s="1"/>
  <c r="AF22" i="76"/>
  <c r="AI22" i="76" s="1"/>
  <c r="AF29" i="76"/>
  <c r="AI29" i="76" s="1"/>
  <c r="AF12" i="76"/>
  <c r="AD33" i="76"/>
  <c r="AF16" i="76"/>
  <c r="AI16" i="76" s="1"/>
  <c r="AF21" i="76"/>
  <c r="AI21" i="76" s="1"/>
  <c r="AF26" i="76"/>
  <c r="AI26" i="76" s="1"/>
  <c r="X33" i="76"/>
  <c r="AB32" i="76" s="1"/>
  <c r="AF28" i="76"/>
  <c r="AI28" i="76" s="1"/>
  <c r="AF17" i="76"/>
  <c r="AI17" i="76" s="1"/>
  <c r="AF13" i="76"/>
  <c r="AI13" i="76" s="1"/>
  <c r="AF32" i="76"/>
  <c r="AI32" i="76" s="1"/>
  <c r="AF25" i="76"/>
  <c r="AI25" i="76" s="1"/>
  <c r="AF14" i="76"/>
  <c r="AI14" i="76" s="1"/>
  <c r="AF20" i="76"/>
  <c r="AI20" i="76" s="1"/>
  <c r="AF18" i="76"/>
  <c r="AI18" i="76" s="1"/>
  <c r="AF31" i="76"/>
  <c r="AI31" i="76" s="1"/>
  <c r="AF30" i="76"/>
  <c r="AI30" i="76" s="1"/>
  <c r="AB31" i="76" l="1"/>
  <c r="AB23" i="76"/>
  <c r="AB26" i="76"/>
  <c r="AB24" i="76"/>
  <c r="AB20" i="76"/>
  <c r="AB14" i="76"/>
  <c r="AB16" i="76"/>
  <c r="AB27" i="76"/>
  <c r="AB30" i="76"/>
  <c r="AB21" i="76"/>
  <c r="AB29" i="76"/>
  <c r="AB18" i="76"/>
  <c r="AB19" i="76"/>
  <c r="AB17" i="76"/>
  <c r="AB25" i="76"/>
  <c r="AF33" i="76"/>
  <c r="AI12" i="76"/>
  <c r="AI33" i="76" s="1"/>
  <c r="AB22" i="76"/>
  <c r="AB28" i="76"/>
  <c r="AB12" i="76"/>
  <c r="AB33" i="76" s="1"/>
  <c r="AB15" i="76"/>
  <c r="AB13" i="76"/>
  <c r="AL14" i="76" l="1"/>
  <c r="AL18" i="76"/>
  <c r="AL24" i="76"/>
  <c r="AL15" i="76"/>
  <c r="AL22" i="76"/>
  <c r="AL27" i="76"/>
  <c r="AL13" i="76"/>
  <c r="AL31" i="76"/>
  <c r="AL17" i="76"/>
  <c r="AL19" i="76"/>
  <c r="AL29" i="76"/>
  <c r="AL16" i="76"/>
  <c r="AL28" i="76"/>
  <c r="AL21" i="76"/>
  <c r="AL32" i="76"/>
  <c r="AL12" i="76"/>
  <c r="AL25" i="76"/>
  <c r="AL20" i="76"/>
  <c r="AL23" i="76"/>
  <c r="AL26" i="76"/>
  <c r="AL30" i="76"/>
  <c r="G10" i="70" l="1"/>
  <c r="J10" i="70" s="1"/>
  <c r="AQ12" i="76"/>
  <c r="AR12" i="76"/>
  <c r="AL33" i="76"/>
  <c r="AU2" i="76" s="1"/>
  <c r="AM12" i="76"/>
  <c r="AP14" i="72"/>
  <c r="AN12" i="76"/>
  <c r="AP15" i="72"/>
  <c r="AQ13" i="76"/>
  <c r="AM13" i="76"/>
  <c r="H11" i="70" s="1"/>
  <c r="AB11" i="70" s="1"/>
  <c r="AN13" i="76"/>
  <c r="I11" i="70" s="1"/>
  <c r="G11" i="70"/>
  <c r="J11" i="70" s="1"/>
  <c r="AR13" i="76"/>
  <c r="AQ30" i="76"/>
  <c r="AM30" i="76"/>
  <c r="H28" i="70" s="1"/>
  <c r="AB28" i="70" s="1"/>
  <c r="AP32" i="72"/>
  <c r="AR30" i="76"/>
  <c r="G28" i="70"/>
  <c r="J28" i="70" s="1"/>
  <c r="AN30" i="76"/>
  <c r="I28" i="70" s="1"/>
  <c r="AN22" i="76"/>
  <c r="I20" i="70" s="1"/>
  <c r="AP24" i="72"/>
  <c r="AQ22" i="76"/>
  <c r="G20" i="70"/>
  <c r="J20" i="70" s="1"/>
  <c r="AR22" i="76"/>
  <c r="AM22" i="76"/>
  <c r="H20" i="70" s="1"/>
  <c r="AB20" i="70" s="1"/>
  <c r="AM26" i="76"/>
  <c r="H24" i="70" s="1"/>
  <c r="AB24" i="70" s="1"/>
  <c r="AN26" i="76"/>
  <c r="I24" i="70" s="1"/>
  <c r="G24" i="70"/>
  <c r="J24" i="70" s="1"/>
  <c r="AR26" i="76"/>
  <c r="AQ26" i="76"/>
  <c r="AP28" i="72"/>
  <c r="AN15" i="76"/>
  <c r="I13" i="70" s="1"/>
  <c r="G13" i="70"/>
  <c r="J13" i="70" s="1"/>
  <c r="AP17" i="72"/>
  <c r="AR15" i="76"/>
  <c r="AQ15" i="76"/>
  <c r="AM15" i="76"/>
  <c r="H13" i="70" s="1"/>
  <c r="AB13" i="70" s="1"/>
  <c r="AP33" i="72"/>
  <c r="AN31" i="76"/>
  <c r="I29" i="70" s="1"/>
  <c r="G29" i="70"/>
  <c r="J29" i="70" s="1"/>
  <c r="AR31" i="76"/>
  <c r="AQ31" i="76"/>
  <c r="AM31" i="76"/>
  <c r="H29" i="70" s="1"/>
  <c r="AB29" i="70" s="1"/>
  <c r="G19" i="70"/>
  <c r="J19" i="70" s="1"/>
  <c r="AM21" i="76"/>
  <c r="H19" i="70" s="1"/>
  <c r="AB19" i="70" s="1"/>
  <c r="AR21" i="76"/>
  <c r="AN21" i="76"/>
  <c r="I19" i="70" s="1"/>
  <c r="AP23" i="72"/>
  <c r="AQ21" i="76"/>
  <c r="AN29" i="76"/>
  <c r="I27" i="70" s="1"/>
  <c r="G27" i="70"/>
  <c r="J27" i="70" s="1"/>
  <c r="AQ29" i="76"/>
  <c r="AM29" i="76"/>
  <c r="H27" i="70" s="1"/>
  <c r="AB27" i="70" s="1"/>
  <c r="AR29" i="76"/>
  <c r="AP31" i="72"/>
  <c r="G22" i="70"/>
  <c r="J22" i="70" s="1"/>
  <c r="AQ24" i="76"/>
  <c r="AM24" i="76"/>
  <c r="H22" i="70" s="1"/>
  <c r="AB22" i="70" s="1"/>
  <c r="AP26" i="72"/>
  <c r="AR24" i="76"/>
  <c r="AN24" i="76"/>
  <c r="I22" i="70" s="1"/>
  <c r="AM32" i="76"/>
  <c r="H30" i="70" s="1"/>
  <c r="AB30" i="70" s="1"/>
  <c r="AQ32" i="76"/>
  <c r="AR32" i="76"/>
  <c r="AP34" i="72"/>
  <c r="G30" i="70"/>
  <c r="J30" i="70" s="1"/>
  <c r="AN32" i="76"/>
  <c r="I30" i="70" s="1"/>
  <c r="AQ27" i="76"/>
  <c r="AN27" i="76"/>
  <c r="I25" i="70" s="1"/>
  <c r="AP29" i="72"/>
  <c r="AM27" i="76"/>
  <c r="H25" i="70" s="1"/>
  <c r="AB25" i="70" s="1"/>
  <c r="AR27" i="76"/>
  <c r="G25" i="70"/>
  <c r="J25" i="70" s="1"/>
  <c r="AR16" i="76"/>
  <c r="AQ16" i="76"/>
  <c r="G14" i="70"/>
  <c r="J14" i="70" s="1"/>
  <c r="AP18" i="72"/>
  <c r="AM16" i="76"/>
  <c r="H14" i="70" s="1"/>
  <c r="AB14" i="70" s="1"/>
  <c r="AN16" i="76"/>
  <c r="I14" i="70" s="1"/>
  <c r="AQ20" i="76"/>
  <c r="AN20" i="76"/>
  <c r="I18" i="70" s="1"/>
  <c r="AM20" i="76"/>
  <c r="H18" i="70" s="1"/>
  <c r="AB18" i="70" s="1"/>
  <c r="AP22" i="72"/>
  <c r="G18" i="70"/>
  <c r="J18" i="70" s="1"/>
  <c r="AR20" i="76"/>
  <c r="AN19" i="76"/>
  <c r="I17" i="70" s="1"/>
  <c r="AR19" i="76"/>
  <c r="G17" i="70"/>
  <c r="J17" i="70" s="1"/>
  <c r="AM19" i="76"/>
  <c r="H17" i="70" s="1"/>
  <c r="AB17" i="70" s="1"/>
  <c r="AQ19" i="76"/>
  <c r="AP21" i="72"/>
  <c r="AQ18" i="76"/>
  <c r="AM18" i="76"/>
  <c r="H16" i="70" s="1"/>
  <c r="AB16" i="70" s="1"/>
  <c r="AN18" i="76"/>
  <c r="I16" i="70" s="1"/>
  <c r="G16" i="70"/>
  <c r="J16" i="70" s="1"/>
  <c r="AR18" i="76"/>
  <c r="AP20" i="72"/>
  <c r="AM28" i="76"/>
  <c r="H26" i="70" s="1"/>
  <c r="AB26" i="70" s="1"/>
  <c r="AQ28" i="76"/>
  <c r="AP30" i="72"/>
  <c r="AR28" i="76"/>
  <c r="G26" i="70"/>
  <c r="J26" i="70" s="1"/>
  <c r="AN28" i="76"/>
  <c r="I26" i="70" s="1"/>
  <c r="AM23" i="76"/>
  <c r="H21" i="70" s="1"/>
  <c r="AB21" i="70" s="1"/>
  <c r="G21" i="70"/>
  <c r="J21" i="70" s="1"/>
  <c r="AN23" i="76"/>
  <c r="I21" i="70" s="1"/>
  <c r="AR23" i="76"/>
  <c r="AQ23" i="76"/>
  <c r="AP25" i="72"/>
  <c r="AM25" i="76"/>
  <c r="H23" i="70" s="1"/>
  <c r="AB23" i="70" s="1"/>
  <c r="AN25" i="76"/>
  <c r="I23" i="70" s="1"/>
  <c r="AR25" i="76"/>
  <c r="AP27" i="72"/>
  <c r="G23" i="70"/>
  <c r="J23" i="70" s="1"/>
  <c r="AQ25" i="76"/>
  <c r="AN17" i="76"/>
  <c r="I15" i="70" s="1"/>
  <c r="AQ17" i="76"/>
  <c r="AP19" i="72"/>
  <c r="G15" i="70"/>
  <c r="AR17" i="76"/>
  <c r="AM17" i="76"/>
  <c r="H15" i="70" s="1"/>
  <c r="AB15" i="70" s="1"/>
  <c r="AN14" i="76"/>
  <c r="I12" i="70" s="1"/>
  <c r="AQ14" i="76"/>
  <c r="AP16" i="72"/>
  <c r="AM14" i="76"/>
  <c r="H12" i="70" s="1"/>
  <c r="AB12" i="70" s="1"/>
  <c r="G12" i="70"/>
  <c r="J12" i="70" s="1"/>
  <c r="AR14" i="76"/>
  <c r="AU36" i="61" l="1"/>
  <c r="J15" i="70"/>
  <c r="J31" i="70" s="1"/>
  <c r="I34" i="70" s="1"/>
  <c r="I10" i="70"/>
  <c r="I31" i="70" s="1"/>
  <c r="AN33" i="76"/>
  <c r="H10" i="70"/>
  <c r="AM33" i="76"/>
  <c r="BJ6" i="76"/>
  <c r="BJ7" i="76" s="1"/>
  <c r="I33" i="70" s="1"/>
  <c r="AX6" i="76"/>
  <c r="AX7" i="76" s="1"/>
  <c r="AB10" i="70" l="1"/>
  <c r="H31" i="70"/>
  <c r="I40" i="70"/>
  <c r="E13" i="12"/>
  <c r="I35" i="70"/>
  <c r="G37" i="70" l="1"/>
  <c r="I37" i="70"/>
  <c r="G13" i="12"/>
  <c r="N13" i="12"/>
  <c r="B24" i="65"/>
  <c r="E20" i="12"/>
  <c r="I39" i="70"/>
  <c r="T38" i="61"/>
  <c r="C22" i="69" s="1"/>
  <c r="G12" i="12"/>
  <c r="G17" i="12"/>
  <c r="D29" i="65"/>
  <c r="D25" i="65"/>
  <c r="G26" i="12"/>
  <c r="G13" i="11" s="1"/>
  <c r="G17" i="11"/>
  <c r="G22" i="12"/>
  <c r="G23" i="11"/>
  <c r="D30" i="65"/>
  <c r="G15" i="11"/>
  <c r="D26" i="65"/>
  <c r="G11" i="11"/>
  <c r="T40" i="61"/>
  <c r="G28" i="12"/>
  <c r="E30" i="11"/>
  <c r="G36" i="12"/>
  <c r="G5" i="89"/>
  <c r="G27" i="12"/>
  <c r="I5" i="89"/>
  <c r="G29" i="11"/>
  <c r="G25" i="12"/>
  <c r="G36" i="11"/>
  <c r="G30" i="12"/>
  <c r="G19" i="11"/>
  <c r="N17" i="12"/>
  <c r="K36" i="70"/>
  <c r="L33" i="70"/>
  <c r="K33" i="70"/>
  <c r="G30" i="11" l="1"/>
  <c r="B31" i="65"/>
  <c r="D31" i="65" s="1"/>
  <c r="E31" i="12"/>
  <c r="G31" i="12" s="1"/>
  <c r="I30" i="11"/>
  <c r="I20" i="12"/>
  <c r="G20" i="12"/>
  <c r="E23" i="12"/>
  <c r="B27" i="65"/>
  <c r="D24" i="65"/>
  <c r="E34" i="12" l="1"/>
  <c r="G23" i="12"/>
  <c r="B33" i="65"/>
  <c r="D27" i="65"/>
  <c r="B35" i="65" l="1"/>
  <c r="B34" i="65"/>
  <c r="D33" i="65"/>
  <c r="M34" i="12"/>
  <c r="I34" i="12"/>
  <c r="C27" i="43" s="1"/>
  <c r="E38" i="12"/>
  <c r="G34" i="12"/>
  <c r="K34" i="12"/>
  <c r="M38" i="12" l="1"/>
  <c r="G38" i="12"/>
  <c r="K38" i="12"/>
  <c r="I38" i="12"/>
  <c r="C28" i="43"/>
  <c r="H34" i="12"/>
  <c r="H38" i="12"/>
  <c r="N38" i="1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GaneshMahendran</author>
  </authors>
  <commentList>
    <comment ref="D4" authorId="0" shapeId="0" xr:uid="{D6C70679-8D79-4280-9DCA-CA3CB5F20875}">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ABC072D1-5216-4471-AC5A-27C1169C8E51}">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46FCB363-6C57-4130-89E8-575D8D83A583}">
      <text>
        <r>
          <rPr>
            <b/>
            <sz val="10"/>
            <color indexed="81"/>
            <rFont val="Calibri"/>
            <family val="2"/>
            <scheme val="minor"/>
          </rPr>
          <t>Qualifying incentive sales excludes all PIM Classes that were excluded on PIM Model tab.</t>
        </r>
      </text>
    </comment>
    <comment ref="G10" authorId="1" shapeId="0" xr:uid="{AEECF33C-9C6D-4C88-86A1-CE2BF6C863B5}">
      <text>
        <r>
          <rPr>
            <b/>
            <sz val="10"/>
            <color indexed="81"/>
            <rFont val="Calibri"/>
            <family val="2"/>
            <scheme val="minor"/>
          </rPr>
          <t>Eligible payout sales excludes any qualifying volume priced at $/LB or $/CS.  This spend is eligible for incentive payouts.</t>
        </r>
      </text>
    </comment>
    <comment ref="D12" authorId="1" shapeId="0" xr:uid="{75B3C932-901C-4AD1-A544-195DDD455868}">
      <text>
        <r>
          <rPr>
            <b/>
            <sz val="11"/>
            <color indexed="81"/>
            <rFont val="Calibri"/>
            <family val="2"/>
            <scheme val="minor"/>
          </rPr>
          <t>Volume incentives are incentives that pays back a percentage on eligible sales back to first dollar.
Tiers are based on weekly sales average during the incentive period. 
Single Rate - Pays a single rate on eligible sales back to first dollar
Threshold - Pays a single rate on eligible sales back to first dollar once the customer achieves their threshold during the incentive period
Tiered - Pays the single rate on eligible sales back to first dollar for the highest tier the customer achieves during the incentive periodnd payout in each tier.</t>
        </r>
      </text>
    </comment>
    <comment ref="D26" authorId="1" shapeId="0" xr:uid="{FA5598C6-02FC-44F6-ACDC-55F06D30AE60}">
      <text>
        <r>
          <rPr>
            <b/>
            <sz val="11"/>
            <color indexed="81"/>
            <rFont val="Calibri"/>
            <family val="2"/>
            <scheme val="minor"/>
          </rPr>
          <t>Volume incentives are incentives that pays back a percentage on eligible sales back to first dollar.
Tiers are based on weekly sales average during the incentive period. 
Single Rate - Pays a single rate on eligible sales back to first dollar
Threshold - Pays a single rate on eligible sales back to first dollar once the customer achieves their threshold during the incentive period
Tiered - Pays the single rate on eligible sales back to first dollar for the highest tier the customer achieves during the incentive periodnd payout in each tier.</t>
        </r>
      </text>
    </comment>
    <comment ref="D40" authorId="1" shapeId="0" xr:uid="{EE208E6E-4470-4F39-B6E3-12AEDAE37E79}">
      <text>
        <r>
          <rPr>
            <b/>
            <sz val="11"/>
            <color indexed="81"/>
            <rFont val="Calibri"/>
            <family val="2"/>
            <scheme val="minor"/>
          </rPr>
          <t>Volume incentives are incentives that pays back a percentage on eligible sales back to first dollar.
Tiers are based on weekly sales average during the incentive period. 
Single Rate - Pays a single rate on eligible sales back to first dollar
Threshold - Pays a single rate on eligible sales back to first dollar once the customer achieves their threshold during the incentive period
Tiered - Pays the single rate on eligible sales back to first dollar for the highest tier the customer achieves during the incentive periodnd payout in each tier.</t>
        </r>
      </text>
    </comment>
    <comment ref="D54" authorId="1" shapeId="0" xr:uid="{AF6277FF-4E8F-4BFA-9C0D-E2F04E715E2C}">
      <text>
        <r>
          <rPr>
            <b/>
            <sz val="11"/>
            <color indexed="81"/>
            <rFont val="Calibri"/>
            <family val="2"/>
            <scheme val="minor"/>
          </rPr>
          <t>Drop-Size incentives are incentives that pays back a percentage on every dollar of eligible sales if the customer hits their drop size target.
Tiers are based on average drops during the incentive period.
Threshold - Pays a single rate on eligible sales back to first dollar once the customer achieves their threshold
Tiered - Pays the single rate on eligible sales back to first dollar for the highest tier the customer achieves during the incentive period</t>
        </r>
      </text>
    </comment>
    <comment ref="D68" authorId="1" shapeId="0" xr:uid="{3C1FEFFC-EEB2-4DD7-BA70-9402A563FDCA}">
      <text>
        <r>
          <rPr>
            <b/>
            <sz val="11"/>
            <color indexed="81"/>
            <rFont val="Calibri"/>
            <family val="2"/>
            <scheme val="minor"/>
          </rPr>
          <t>Drop-Size incentives are incentives that pays back a percentage on every dollar of eligible sales if the customer hits their drop size target.
Tiers are based on average drops during the incentive period.
Threshold - Pays a single rate on eligible sales back to first dollar once the customer achieves their threshold
Tiered - Pays the single rate on eligible sales back to first dollar for the highest tier the customer achieves during the incentive period</t>
        </r>
      </text>
    </comment>
    <comment ref="D82" authorId="1" shapeId="0" xr:uid="{551C30EE-756D-40E3-B608-85F63ED2F0FB}">
      <text>
        <r>
          <rPr>
            <b/>
            <sz val="11"/>
            <color indexed="81"/>
            <rFont val="Calibri"/>
            <family val="2"/>
            <scheme val="minor"/>
          </rPr>
          <t>Exclusive Brand (EB) incentives are incentives that pays back a percentage on eligible EB sales dollar.
Tiers are based on the percent of EB sales over total sales during the incentive period. 
Single Rate - Pays a single rate on eligible EB sales back to first dollar
Threshold - Pays a single rate on eligible EB sales back to first dollar once the customer achieves their threshold during the incentive period
Tiered - Pays the single rate on eligible EB sales back to first dollar for the highest tier the customer achieves during the incentive 
period</t>
        </r>
      </text>
    </comment>
    <comment ref="D96" authorId="1" shapeId="0" xr:uid="{0763D013-1254-4EE2-AFF4-BBB445A4A506}">
      <text>
        <r>
          <rPr>
            <b/>
            <sz val="11"/>
            <color indexed="81"/>
            <rFont val="Calibri"/>
            <family val="2"/>
            <scheme val="minor"/>
          </rPr>
          <t>Exclusive Brand (EB) incentives are incentives that pays back a percentage on eligible EB sales dollar.
Tiers are based on the percent of EB sales over total sales during the incentive period. 
Single Rate - Pays a single rate on eligible EB sales back to first dollar
Threshold - Pays a single rate on eligible EB sales back to first dollar once the customer achieves their threshold during the incentive period
Tiered - Pays the single rate on eligible EB sales back to first dollar for the highest tier the customer achieves during the incentive 
period</t>
        </r>
      </text>
    </comment>
    <comment ref="D110" authorId="2" shapeId="0" xr:uid="{D076C6F0-DAD1-4479-AAC0-81555D181BE5}">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D118" authorId="1" shapeId="0" xr:uid="{F7C49A1E-7516-4B84-A4AF-808BD23D44AF}">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D126" authorId="2" shapeId="0" xr:uid="{FA58BD48-32F0-4CAA-8E56-EAFE626B6EC2}">
      <text>
        <r>
          <rPr>
            <b/>
            <sz val="11"/>
            <color indexed="81"/>
            <rFont val="Calibri"/>
            <family val="2"/>
            <scheme val="minor"/>
          </rPr>
          <t>CBT incentive that reimburses customers for CBT expenses incurred during the agreement term up to this total dollar value.</t>
        </r>
        <r>
          <rPr>
            <b/>
            <sz val="9"/>
            <color indexed="81"/>
            <rFont val="Tahoma"/>
            <charset val="1"/>
          </rPr>
          <t xml:space="preserve">
</t>
        </r>
      </text>
    </comment>
    <comment ref="D134" authorId="2" shapeId="0" xr:uid="{C8EFCAD1-AF89-4001-87AD-A9D8C9FB5310}">
      <text>
        <r>
          <rPr>
            <b/>
            <sz val="11"/>
            <color indexed="81"/>
            <rFont val="Calibri"/>
            <family val="2"/>
            <scheme val="minor"/>
          </rPr>
          <t>CBT incentive that reimburses customers for CBT expenses incurred during the agreement term up to this total dollar value.</t>
        </r>
        <r>
          <rPr>
            <b/>
            <sz val="9"/>
            <color indexed="81"/>
            <rFont val="Tahoma"/>
            <charset val="1"/>
          </rPr>
          <t xml:space="preserve">
</t>
        </r>
      </text>
    </comment>
    <comment ref="D142" authorId="1" shapeId="0" xr:uid="{F74A0898-0810-4CF3-B673-655671DB61F5}">
      <text>
        <r>
          <rPr>
            <b/>
            <sz val="11"/>
            <color indexed="81"/>
            <rFont val="Calibri"/>
            <family val="2"/>
            <scheme val="minor"/>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D150" authorId="1" shapeId="0" xr:uid="{F0F76B6E-39EA-4CDF-A298-AC7D00FBF5A6}">
      <text>
        <r>
          <rPr>
            <b/>
            <sz val="11"/>
            <color indexed="81"/>
            <rFont val="Calibri"/>
            <family val="2"/>
            <scheme val="minor"/>
          </rPr>
          <t>Prepaid Incentive with Rollover incentive is used to move unearned prepaid from a prior agreement into a new agreement. 
There are two options: 
Prepaid Rollover No Payment - No new money paid out
Prepaid Rollover - New money can be paid out</t>
        </r>
      </text>
    </comment>
    <comment ref="D159" authorId="1" shapeId="0" xr:uid="{369C876D-6B03-4F24-AE38-F96021BF85AB}">
      <text>
        <r>
          <rPr>
            <b/>
            <sz val="8"/>
            <color indexed="81"/>
            <rFont val="Tahoma"/>
            <family val="2"/>
          </rPr>
          <t>Roll over any unamortized balance for a previouse agreement.</t>
        </r>
      </text>
    </comment>
    <comment ref="G159" authorId="0" shapeId="0" xr:uid="{C44644B6-A631-4259-AB3B-F50FAA6256B7}">
      <text>
        <r>
          <rPr>
            <sz val="9"/>
            <color indexed="81"/>
            <rFont val="Tahoma"/>
            <family val="2"/>
          </rPr>
          <t>This is the amount of money that will be giving to the customer</t>
        </r>
      </text>
    </comment>
    <comment ref="K159" authorId="0" shapeId="0" xr:uid="{8D5FB0B5-D4B7-4BAC-A96D-918D13B53C07}">
      <text>
        <r>
          <rPr>
            <sz val="9"/>
            <color indexed="81"/>
            <rFont val="Tahoma"/>
            <family val="2"/>
          </rPr>
          <t>Amount of the clawback</t>
        </r>
      </text>
    </comment>
    <comment ref="D169" authorId="1" shapeId="0" xr:uid="{706432F0-C4B5-4608-83B0-4C7789A92418}">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G172" authorId="3" shapeId="0" xr:uid="{498EA109-ABEA-453A-864C-E9448D67F4C1}">
      <text>
        <r>
          <rPr>
            <sz val="9"/>
            <color indexed="81"/>
            <rFont val="Tahoma"/>
            <family val="2"/>
          </rPr>
          <t>The maximum rate for this incentive is 50% of the current market credit card expense rate rounded up in 0.25% increments.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E5D51868-3A84-4FF8-AC1F-91F41673A5ED}">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F3742CF-0B31-496C-9EDE-D160C3C612AD}">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4D09140E-3A36-4870-A996-F682012E4516}">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C679DB8C-EAE3-48A1-86E3-26BAC663017B}">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EEEF6BC0-9341-4CDA-8683-FC8728DD5FE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51C22A11-3AE0-4E68-A1FB-8307869A45E4}">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FC378F82-EA9A-42A2-B1DA-946D33D75D9B}">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F46CBC08-7D98-4D5B-A750-AE3434431548}">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<sst xmlns="http://schemas.openxmlformats.org/spreadsheetml/2006/main" count="5484" uniqueCount="1594">
  <si>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</si>
  <si>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</si>
  <si>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</si>
  <si>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</si>
  <si>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</si>
  <si>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</si>
  <si>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</si>
  <si>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</si>
  <si>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</si>
  <si>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</si>
  <si>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</si>
  <si>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</si>
  <si>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</si>
  <si>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</si>
  <si>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</si>
  <si>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</si>
  <si>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</si>
  <si>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</si>
  <si>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</si>
  <si>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</si>
  <si>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</si>
  <si>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</si>
  <si>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</si>
  <si>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</si>
  <si>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</si>
  <si>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</si>
  <si>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</si>
  <si>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</si>
  <si>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</si>
  <si>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</si>
  <si>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</si>
  <si>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</si>
  <si>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</si>
  <si>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</si>
  <si>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</si>
  <si>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</si>
  <si>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</si>
  <si>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</si>
  <si>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</si>
  <si>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</si>
  <si>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</si>
  <si>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</si>
  <si>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</si>
  <si>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</si>
  <si>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</si>
  <si>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</si>
  <si>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</si>
  <si>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</si>
  <si>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</si>
  <si>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</si>
  <si>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</si>
  <si>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</si>
  <si>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</si>
  <si>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</si>
  <si>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</si>
  <si>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</si>
  <si>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</si>
  <si>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</si>
  <si>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</si>
  <si>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</si>
  <si>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</si>
  <si>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</si>
  <si>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</si>
  <si>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</si>
  <si>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</si>
  <si>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</si>
  <si>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</si>
  <si>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</si>
  <si>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</si>
  <si>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</si>
  <si>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</si>
  <si>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</si>
  <si>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</si>
  <si>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</si>
  <si>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</si>
  <si>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</si>
  <si>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</si>
  <si>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</si>
  <si>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</si>
  <si>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</si>
  <si>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</si>
  <si>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</si>
  <si>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</si>
  <si>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</si>
  <si>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</si>
  <si>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</si>
  <si>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</si>
  <si>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</si>
  <si>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</si>
  <si>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</si>
  <si>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</si>
  <si>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</si>
  <si>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</si>
  <si>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</si>
  <si>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</si>
  <si>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</si>
  <si>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</si>
  <si>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</si>
  <si>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</si>
  <si>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</si>
  <si>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</si>
  <si>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</si>
  <si>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</si>
  <si>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</si>
  <si>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</si>
  <si>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</si>
  <si>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</si>
  <si>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</si>
  <si>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</si>
  <si>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</si>
  <si>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</si>
  <si>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</si>
  <si>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</si>
  <si>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</si>
  <si>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</si>
  <si>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</si>
  <si>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</si>
  <si>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</si>
  <si>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</si>
  <si>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</si>
  <si>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</si>
  <si>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</si>
  <si>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</si>
  <si>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</si>
  <si>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</si>
  <si>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</si>
  <si>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</si>
  <si>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</si>
  <si>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</si>
  <si>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</si>
  <si>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</si>
  <si>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</si>
  <si>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</si>
  <si>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</si>
  <si>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</si>
  <si>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</si>
  <si>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</si>
  <si>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</si>
  <si>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</si>
  <si>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</si>
  <si>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</si>
  <si>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</si>
  <si>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</si>
  <si>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</si>
  <si>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</si>
  <si>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</si>
  <si>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</si>
  <si>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</si>
  <si>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</si>
  <si>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</si>
  <si>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</si>
  <si>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</si>
  <si>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</si>
  <si>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</si>
  <si>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</si>
  <si>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</si>
  <si>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</si>
  <si>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</si>
  <si>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</si>
  <si>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</si>
  <si>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</si>
  <si>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</si>
  <si>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</si>
  <si>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</si>
  <si>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</si>
  <si>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</si>
  <si>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</si>
  <si>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</si>
  <si>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</si>
  <si>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</si>
  <si>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</si>
  <si>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</si>
  <si>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</si>
  <si>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</si>
  <si>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</si>
  <si>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</si>
  <si>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</si>
  <si>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</si>
  <si>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</si>
  <si>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</si>
  <si>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</si>
  <si>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</si>
  <si>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</si>
  <si>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</si>
  <si>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</si>
  <si>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</si>
  <si>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</si>
  <si>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</si>
  <si>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</si>
  <si>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</si>
  <si>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</si>
  <si>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</si>
  <si>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</si>
  <si>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</si>
  <si>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</si>
  <si>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</si>
  <si>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</si>
  <si>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</si>
  <si>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</si>
  <si>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</si>
  <si>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</si>
  <si>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</si>
  <si>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</si>
  <si>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</si>
  <si>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</si>
  <si>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</si>
  <si>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</si>
  <si>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</si>
  <si>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</si>
  <si>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</si>
  <si>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</si>
  <si>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</si>
  <si>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</si>
  <si>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</si>
  <si>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</si>
  <si>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</si>
  <si>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</si>
  <si>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</si>
  <si>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</si>
  <si>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</si>
  <si>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</si>
  <si>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</si>
  <si>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</si>
  <si>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</si>
  <si>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</si>
  <si>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</si>
  <si>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</si>
  <si>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</si>
  <si>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</si>
  <si>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</si>
  <si>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</si>
  <si>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</si>
  <si>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</si>
  <si>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</si>
  <si>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</si>
  <si>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</si>
  <si>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</si>
  <si>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</si>
  <si>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</si>
  <si>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</si>
  <si>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</si>
  <si>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</si>
  <si>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</si>
  <si>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</si>
  <si>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</si>
  <si>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</si>
  <si>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</si>
  <si>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</si>
  <si>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</si>
  <si>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</si>
  <si>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</si>
  <si>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</si>
  <si>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</si>
  <si>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</si>
  <si>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</si>
  <si>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</si>
  <si>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</si>
  <si>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</si>
  <si>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</si>
  <si>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</si>
  <si>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</si>
  <si>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</si>
  <si>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</si>
  <si>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</si>
  <si>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</si>
  <si>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</si>
  <si>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</si>
  <si>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</si>
  <si>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</si>
  <si>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</si>
  <si>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</si>
  <si>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</si>
  <si>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</si>
  <si>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</si>
  <si>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</si>
  <si>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</si>
  <si>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</si>
  <si>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</si>
  <si>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</si>
  <si>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</si>
  <si>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</si>
  <si>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</si>
  <si>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</si>
  <si>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</si>
  <si>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</si>
  <si>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</si>
  <si>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</si>
  <si>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</si>
  <si>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</si>
  <si>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</si>
  <si>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</si>
  <si>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</si>
  <si>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</si>
  <si>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</si>
  <si>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</si>
  <si>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</si>
  <si>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</si>
  <si>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</si>
  <si>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</si>
  <si>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</si>
  <si>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</si>
  <si>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</si>
  <si>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</si>
  <si>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</si>
  <si>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</si>
  <si>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</si>
  <si>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</si>
  <si>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</si>
  <si>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</si>
  <si>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</si>
  <si>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</si>
  <si>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</si>
  <si>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</si>
  <si>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</si>
  <si>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</si>
  <si>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</si>
  <si>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</si>
  <si>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</si>
  <si>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</si>
  <si>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</si>
  <si>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</si>
  <si>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</si>
  <si>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</si>
  <si>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</si>
  <si>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</si>
  <si>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</si>
  <si>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</si>
  <si>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</si>
  <si>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</si>
  <si>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</si>
  <si>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</si>
  <si>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</si>
  <si>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</si>
  <si>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</si>
  <si>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</si>
  <si>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</si>
  <si>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</si>
  <si>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</si>
  <si>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</si>
  <si>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</si>
  <si>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</si>
  <si>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</si>
  <si>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</si>
  <si>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</si>
  <si>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</si>
  <si>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</si>
  <si>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</si>
  <si>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</si>
  <si>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</si>
  <si>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</si>
  <si>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</si>
  <si>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</si>
  <si>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</si>
  <si>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</si>
  <si>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</si>
  <si>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</si>
  <si>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</si>
  <si>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</si>
  <si>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</si>
  <si>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</si>
  <si>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</si>
  <si>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</si>
  <si>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</si>
  <si>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</si>
  <si>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</si>
  <si>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</si>
  <si>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</si>
  <si>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</si>
  <si>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</si>
  <si>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</si>
  <si>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</si>
  <si>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</si>
  <si>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</si>
  <si>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</si>
  <si>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</si>
  <si>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 xml:space="preserve"># of Locations: </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</si>
  <si>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</si>
  <si>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</si>
  <si>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</si>
  <si>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</si>
  <si>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</si>
  <si>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</si>
  <si>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</si>
  <si>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</si>
  <si>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</si>
  <si>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</si>
  <si>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</si>
  <si>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</si>
  <si>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</si>
  <si>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</si>
  <si>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</si>
  <si>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</si>
  <si>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</si>
  <si>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</si>
  <si>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</si>
  <si>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</si>
  <si>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</si>
  <si>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</si>
  <si>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</si>
  <si>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</si>
  <si>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</si>
  <si>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</si>
  <si>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</si>
  <si>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</si>
  <si>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</si>
  <si>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</si>
  <si>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</si>
  <si>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</si>
  <si>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</si>
  <si>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</si>
  <si>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</si>
  <si>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</si>
  <si>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</si>
  <si>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</si>
  <si>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</si>
  <si>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</si>
  <si>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</si>
  <si>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</si>
  <si>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</si>
  <si>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</si>
  <si>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</si>
  <si>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</si>
  <si>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</si>
  <si>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</si>
  <si>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</si>
  <si>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</si>
  <si>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</si>
  <si>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</si>
  <si>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</si>
  <si>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</si>
  <si>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</si>
  <si>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</si>
  <si>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</si>
  <si>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</si>
  <si>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</si>
  <si>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</si>
  <si>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</si>
  <si>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</si>
  <si>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</si>
  <si>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</si>
  <si>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</si>
  <si>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</si>
  <si>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</si>
  <si>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</si>
  <si>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</si>
  <si>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</si>
  <si>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</si>
  <si>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</si>
  <si>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</si>
  <si>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</si>
  <si>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</si>
  <si>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</si>
  <si>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</si>
  <si>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</si>
  <si>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</si>
  <si>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</si>
  <si>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</si>
  <si>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</si>
  <si>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</si>
  <si>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</si>
  <si>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</si>
  <si>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</si>
  <si>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</si>
  <si>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</si>
  <si>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</si>
  <si>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</si>
  <si>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</si>
  <si>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</si>
  <si>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</si>
  <si>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</si>
  <si>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</si>
  <si>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</si>
  <si>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</si>
  <si>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</si>
  <si>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</si>
  <si>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</si>
  <si>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</si>
  <si>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</si>
  <si>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</si>
  <si>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</si>
  <si>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</si>
  <si>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</si>
  <si>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</si>
  <si>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</si>
  <si>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</si>
  <si>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</si>
  <si>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</si>
  <si>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</si>
  <si>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</si>
  <si>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</si>
  <si>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</si>
  <si>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</si>
  <si>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</si>
  <si>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</si>
  <si>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</si>
  <si>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</si>
  <si>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</si>
  <si>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</si>
  <si>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</si>
  <si>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</si>
  <si>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</si>
  <si>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</si>
  <si>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</si>
  <si>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</si>
  <si>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</si>
  <si>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</si>
  <si>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</si>
  <si>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</si>
  <si>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</si>
  <si>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</si>
  <si>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</si>
  <si>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</si>
  <si>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</si>
  <si>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</si>
  <si>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</si>
  <si>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</si>
  <si>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</si>
  <si>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</si>
  <si>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</si>
  <si>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</si>
  <si>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</si>
  <si>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</si>
  <si>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</si>
  <si>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</si>
  <si>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</si>
  <si>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</si>
  <si>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</si>
  <si>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</si>
  <si>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</si>
  <si>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</si>
  <si>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</si>
  <si>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</si>
  <si>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</si>
  <si>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Enter Incentive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</si>
  <si>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</si>
  <si>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</si>
  <si>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</si>
  <si>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</si>
  <si>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</si>
  <si>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</si>
  <si>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</si>
  <si>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</si>
  <si>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</si>
  <si>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</si>
  <si>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</si>
  <si>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</si>
  <si>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</si>
  <si>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</si>
  <si>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</si>
  <si>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</si>
  <si>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</si>
  <si>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</si>
  <si>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</si>
  <si>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</si>
  <si>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</si>
  <si>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</si>
  <si>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</si>
  <si>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</si>
  <si>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</si>
  <si>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</si>
  <si>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</si>
  <si>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</si>
  <si>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</si>
  <si>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</si>
  <si>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</si>
  <si>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</si>
  <si>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</si>
  <si>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</si>
  <si>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</si>
  <si>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</si>
  <si>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</si>
  <si>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</si>
  <si>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</si>
  <si>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</si>
  <si>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</si>
  <si>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</si>
  <si>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</si>
  <si>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</si>
  <si>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</si>
  <si>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</si>
  <si>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</si>
  <si>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</si>
  <si>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</si>
  <si>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</si>
  <si>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</si>
  <si>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</si>
  <si>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</si>
  <si>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</si>
  <si>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</si>
  <si>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</si>
  <si>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</si>
  <si>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</si>
  <si>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</si>
  <si>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</si>
  <si>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</si>
  <si>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</si>
  <si>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</si>
  <si>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</si>
  <si>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</si>
  <si>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</si>
  <si>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</si>
  <si>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</si>
  <si>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</si>
  <si>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</si>
  <si>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</si>
  <si>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</si>
  <si>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</si>
  <si>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</si>
  <si>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</si>
  <si>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</si>
  <si>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</si>
  <si>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</si>
  <si>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</si>
  <si>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</si>
  <si>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</si>
  <si>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</si>
  <si>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</si>
  <si>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</si>
  <si>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</si>
  <si>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</si>
  <si>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</si>
  <si>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</si>
  <si>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</si>
  <si>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</si>
  <si>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</si>
  <si>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</si>
  <si>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</si>
  <si>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</si>
  <si>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</si>
  <si>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</si>
  <si>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</si>
  <si>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</si>
  <si>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</si>
  <si>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</si>
  <si>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</si>
  <si>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</si>
  <si>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</si>
  <si>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</si>
  <si>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</si>
  <si>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</si>
  <si>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</si>
  <si>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</si>
  <si>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</si>
  <si>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</si>
  <si>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</si>
  <si>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</si>
  <si>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</si>
  <si>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</si>
  <si>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</si>
  <si>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</si>
  <si>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</si>
  <si>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</si>
  <si>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</si>
  <si>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</si>
  <si>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</si>
  <si>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</si>
  <si>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</si>
  <si>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</si>
  <si>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</si>
  <si>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</si>
  <si>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</si>
  <si>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</si>
  <si>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</si>
  <si>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</si>
  <si>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</si>
  <si>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</si>
  <si>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</si>
  <si>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</si>
  <si>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</si>
  <si>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</si>
  <si>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</si>
  <si>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</si>
  <si>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</si>
  <si>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</si>
  <si>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</si>
  <si>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</si>
  <si>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</si>
  <si>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</si>
  <si>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</si>
  <si>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</si>
  <si>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</si>
  <si>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</si>
  <si>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</si>
  <si>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</si>
  <si>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</si>
  <si>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</si>
  <si>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</si>
  <si>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</si>
  <si>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</si>
  <si>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</si>
  <si>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</si>
  <si>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</si>
  <si>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</si>
  <si>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</si>
  <si>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</si>
  <si>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</si>
  <si>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</si>
  <si>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</si>
  <si>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</si>
  <si>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</si>
  <si>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</si>
  <si>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</si>
  <si>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</si>
  <si>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</si>
  <si>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</si>
  <si>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</si>
  <si>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</si>
  <si>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</si>
  <si>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</si>
  <si>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</si>
  <si>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</si>
  <si>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</si>
  <si>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</si>
  <si>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</si>
  <si>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</si>
  <si>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</si>
  <si>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</si>
  <si>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</si>
  <si>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</si>
  <si>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</si>
  <si>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</si>
  <si>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</si>
  <si>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</si>
  <si>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</si>
  <si>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</si>
  <si>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</si>
  <si>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</si>
  <si>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</si>
  <si>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</si>
  <si>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</si>
  <si>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</si>
  <si>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</si>
  <si>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</si>
  <si>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</si>
  <si>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</si>
  <si>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</si>
  <si>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</si>
  <si>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</si>
  <si>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</si>
  <si>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</si>
  <si>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</si>
  <si>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</si>
  <si>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</si>
  <si>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</si>
  <si>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</si>
  <si>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</si>
  <si>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</si>
  <si>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</si>
  <si>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</si>
  <si>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</si>
  <si>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</si>
  <si>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</si>
  <si>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</si>
  <si>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</si>
  <si>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</si>
  <si>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</si>
  <si>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</si>
  <si>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</si>
  <si>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</si>
  <si>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</si>
  <si>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</si>
  <si>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</si>
  <si>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</si>
  <si>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</si>
  <si>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</si>
  <si>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</si>
  <si>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</si>
  <si>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</si>
  <si>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</si>
  <si>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</si>
  <si>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</si>
  <si>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</si>
  <si>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</si>
  <si>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</si>
  <si>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</si>
  <si>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</si>
  <si>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</si>
  <si>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</si>
  <si>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</si>
  <si>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</si>
  <si>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</si>
  <si>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</si>
  <si>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</si>
  <si>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</si>
  <si>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</si>
  <si>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</si>
  <si>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</si>
  <si>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</si>
  <si>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</si>
  <si>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</si>
  <si>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</si>
  <si>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</si>
  <si>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</si>
  <si>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</si>
  <si>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</si>
  <si>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</si>
  <si>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</si>
  <si>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</si>
  <si>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</si>
  <si>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</si>
  <si>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</si>
  <si>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</si>
  <si>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</si>
  <si>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</si>
  <si>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</si>
  <si>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</si>
  <si>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</si>
  <si>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</si>
  <si>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</si>
  <si>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</si>
  <si>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</si>
  <si>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</si>
  <si>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</si>
  <si>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</si>
  <si>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</si>
  <si>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</si>
  <si>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</si>
  <si>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</si>
  <si>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</si>
  <si>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</si>
  <si>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</si>
  <si>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</si>
  <si>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</si>
  <si>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</si>
  <si>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</si>
  <si>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</si>
  <si>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</si>
  <si>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</si>
  <si>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</si>
  <si>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</si>
  <si>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</si>
  <si>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</si>
  <si>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</si>
  <si>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</si>
  <si>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</si>
  <si>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</si>
  <si>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</si>
  <si>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</si>
  <si>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</si>
  <si>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</si>
  <si>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</si>
  <si>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</si>
  <si>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</si>
  <si>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</si>
  <si>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</si>
  <si>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</si>
  <si>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</si>
  <si>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</si>
  <si>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</si>
  <si>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</si>
  <si>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</si>
  <si>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</si>
  <si>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</si>
  <si>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</si>
  <si>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</si>
  <si>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</si>
  <si>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</si>
  <si>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</si>
  <si>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</si>
  <si>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</si>
  <si>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</si>
  <si>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</si>
  <si>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</si>
  <si>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</si>
  <si>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</si>
  <si>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</si>
  <si>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</si>
  <si>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</si>
  <si>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</si>
  <si>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</si>
  <si>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</si>
  <si>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</si>
  <si>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</si>
  <si>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</si>
  <si>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</si>
  <si>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</si>
  <si>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</si>
  <si>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</si>
  <si>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</si>
  <si>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</si>
  <si>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</si>
  <si>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</si>
  <si>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</si>
  <si>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</si>
  <si>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</si>
  <si>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</si>
  <si>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</si>
  <si>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</si>
  <si>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</si>
  <si>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</si>
  <si>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</si>
  <si>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</si>
  <si>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</si>
  <si>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</si>
  <si>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</si>
  <si>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</si>
  <si>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</si>
  <si>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</si>
  <si>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</si>
  <si>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</si>
  <si>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</si>
  <si>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</si>
  <si>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</si>
  <si>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</si>
  <si>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</si>
  <si>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</si>
  <si>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</si>
  <si>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</si>
  <si>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</si>
  <si>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</si>
  <si>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</si>
  <si>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</si>
  <si>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</si>
  <si>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</si>
  <si>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</si>
  <si>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</si>
  <si>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</si>
  <si>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</si>
  <si>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</si>
  <si>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</si>
  <si>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</si>
  <si>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</si>
  <si>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</si>
  <si>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</si>
  <si>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</si>
  <si>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</si>
  <si>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</si>
  <si>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</si>
  <si>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</si>
  <si>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</si>
  <si>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</si>
  <si>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</si>
  <si>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</si>
  <si>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</si>
  <si>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</si>
  <si>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</si>
  <si>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</si>
  <si>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</si>
  <si>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</si>
  <si>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</si>
  <si>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</si>
  <si>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</si>
  <si>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</si>
  <si>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</si>
  <si>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</si>
  <si>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</si>
  <si>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</si>
  <si>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</si>
  <si>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</si>
  <si>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</si>
  <si>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</si>
  <si>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</si>
  <si>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</si>
  <si>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</si>
  <si>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</si>
  <si>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</si>
  <si>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</si>
  <si>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</si>
  <si>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</si>
  <si>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</si>
  <si>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</si>
  <si>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</si>
  <si>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</si>
  <si>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</si>
  <si>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</si>
  <si>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</si>
  <si>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</si>
  <si>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</si>
  <si>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</si>
  <si>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</si>
  <si>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</si>
  <si>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</si>
  <si>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</si>
  <si>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</si>
  <si>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</si>
  <si>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</si>
  <si>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</si>
  <si>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</si>
  <si>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</si>
  <si>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</si>
  <si>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</si>
  <si>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</si>
  <si>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</si>
  <si>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</si>
  <si>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</si>
  <si>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</si>
  <si>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</si>
  <si>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</si>
  <si>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</si>
  <si>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</si>
  <si>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</si>
  <si>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</si>
  <si>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</si>
  <si>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</si>
  <si>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</si>
  <si>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</si>
  <si>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</si>
  <si>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</si>
  <si>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</si>
  <si>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</si>
  <si>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</si>
  <si>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</si>
  <si>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</si>
  <si>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</si>
  <si>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</si>
  <si>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</si>
  <si>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</si>
  <si>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</si>
  <si>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</si>
  <si>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</si>
  <si>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</si>
  <si>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</si>
  <si>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</si>
  <si>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</si>
  <si>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</si>
  <si>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</si>
  <si>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</si>
  <si>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</si>
  <si>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</si>
  <si>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</si>
  <si>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</si>
  <si>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</si>
  <si>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</si>
  <si>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</si>
  <si>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</si>
  <si>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</si>
  <si>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</si>
  <si>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</si>
  <si>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</si>
  <si>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</si>
  <si>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</si>
  <si>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</si>
  <si>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</si>
  <si>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</si>
  <si>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</si>
  <si>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</si>
  <si>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</si>
  <si>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</si>
  <si>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</si>
  <si>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</si>
  <si>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</si>
  <si>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</si>
  <si>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</si>
  <si>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</si>
  <si>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</si>
  <si>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</si>
  <si>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</si>
  <si>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</si>
  <si>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</si>
  <si>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</si>
  <si>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</si>
  <si>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</si>
  <si>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</si>
  <si>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</si>
  <si>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</si>
  <si>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</si>
  <si>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</si>
  <si>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</si>
  <si>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</si>
  <si>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</si>
  <si>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</si>
  <si>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</si>
  <si>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</si>
  <si>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</si>
  <si>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</si>
  <si>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</si>
  <si>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</si>
  <si>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</si>
  <si>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</si>
  <si>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</si>
  <si>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</si>
  <si>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</si>
  <si>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</si>
  <si>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</si>
  <si>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</si>
  <si>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</si>
  <si>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</si>
  <si>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</si>
  <si>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</si>
  <si>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</si>
  <si>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SIOUX FALLS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</si>
  <si>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</si>
  <si>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</si>
  <si>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</si>
  <si>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</si>
  <si>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</si>
  <si>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</si>
  <si>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</si>
  <si>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</si>
  <si>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</si>
  <si>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</si>
  <si>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</si>
  <si>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</si>
  <si>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</si>
  <si>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</si>
  <si>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</si>
  <si>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</si>
  <si>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</si>
  <si>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</si>
  <si>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</si>
  <si>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</si>
  <si>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</si>
  <si>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</si>
  <si>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</si>
  <si>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</si>
  <si>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</si>
  <si>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</si>
  <si>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</si>
  <si>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</si>
  <si>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</si>
  <si>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</si>
  <si>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</si>
  <si>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</si>
  <si>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</si>
  <si>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</si>
  <si>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</si>
  <si>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</si>
  <si>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</si>
  <si>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</si>
  <si>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</si>
  <si>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</si>
  <si>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</si>
  <si>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</si>
  <si>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</si>
  <si>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</si>
  <si>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</si>
  <si>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</si>
  <si>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</si>
  <si>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</si>
  <si>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</si>
  <si>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</si>
  <si>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</si>
  <si>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</si>
  <si>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</si>
  <si>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</si>
  <si>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</si>
  <si>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</si>
  <si>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</si>
  <si>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</si>
  <si>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</si>
  <si>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</si>
  <si>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</si>
  <si>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</si>
  <si>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</si>
  <si>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</si>
  <si>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</si>
  <si>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</si>
  <si>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</si>
  <si>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</si>
  <si>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</si>
  <si>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</si>
  <si>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</si>
  <si>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</si>
  <si>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</si>
  <si>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</si>
  <si>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</si>
  <si>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</si>
  <si>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</si>
  <si>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</si>
  <si>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</si>
  <si>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</si>
  <si>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</si>
  <si>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</si>
  <si>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</si>
  <si>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</si>
  <si>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</si>
  <si>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</si>
  <si>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</si>
  <si>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</si>
  <si>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</si>
  <si>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</si>
  <si>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</si>
  <si>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</si>
  <si>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</si>
  <si>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</si>
  <si>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Gross sales multiplied by the maximum credit card fee amount (2.5%)</t>
  </si>
  <si>
    <t>Unit</t>
  </si>
  <si>
    <t>Credit Rate</t>
  </si>
  <si>
    <t>National CC Rate</t>
  </si>
  <si>
    <t>MARKET NUMBER</t>
  </si>
  <si>
    <t>MARKET NAME</t>
  </si>
  <si>
    <t>Prepaid</t>
  </si>
  <si>
    <t>Multi Years Prepaid</t>
  </si>
  <si>
    <t>PON Only</t>
  </si>
  <si>
    <t>STANDARD</t>
  </si>
  <si>
    <t>CURRENT</t>
  </si>
  <si>
    <t>Is this a MDA Renewal?</t>
  </si>
  <si>
    <t>Sales Growth Incentive</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</si>
  <si>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</si>
  <si>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</si>
  <si>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</si>
  <si>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</si>
  <si>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</si>
  <si>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</si>
  <si>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</si>
  <si>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</si>
  <si>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</si>
  <si>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</si>
  <si>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</si>
  <si>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</si>
  <si>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</si>
  <si>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</si>
  <si>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</si>
  <si>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</si>
  <si>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</si>
  <si>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</si>
  <si>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</si>
  <si>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</si>
  <si>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</si>
  <si>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</si>
  <si>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</si>
  <si>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</si>
  <si>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</si>
  <si>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</si>
  <si>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</si>
  <si>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</si>
  <si>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</si>
  <si>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</si>
  <si>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</si>
  <si>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</si>
  <si>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</si>
  <si>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</si>
  <si>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</si>
  <si>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</si>
  <si>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</si>
  <si>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</si>
  <si>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Classification</t>
  </si>
  <si>
    <t>Previous Agreement Effective Date</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</si>
  <si>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</si>
  <si>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</si>
  <si>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</si>
  <si>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</si>
  <si>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</si>
  <si>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</si>
  <si>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</si>
  <si>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</si>
  <si>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</si>
  <si>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</si>
  <si>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</si>
  <si>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Tracking Program TBD</t>
  </si>
  <si>
    <t>Net New Prepaid Amount</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</si>
  <si>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</si>
  <si>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</si>
  <si>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</si>
  <si>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</si>
  <si>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</si>
  <si>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</si>
  <si>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</si>
  <si>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</si>
  <si>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</si>
  <si>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</si>
  <si>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</si>
  <si>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</si>
  <si>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</si>
  <si>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</si>
  <si>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</si>
  <si>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</si>
  <si>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Recommendation:  We recommend having your Sales Analyst configure this incentive.</t>
  </si>
  <si>
    <t>Only needed after the model is approved.</t>
  </si>
  <si>
    <t>Value</t>
  </si>
  <si>
    <t>Percent</t>
  </si>
  <si>
    <t>Key</t>
  </si>
  <si>
    <t>No Payment</t>
  </si>
  <si>
    <t>PON with Existing CIA</t>
  </si>
  <si>
    <t>PON with New CIA</t>
  </si>
  <si>
    <t>GROSS_SALES_EXTENDED_EB</t>
  </si>
  <si>
    <t>Agreement Option:</t>
  </si>
  <si>
    <t>New</t>
  </si>
  <si>
    <t xml:space="preserve">Agreement Classification: </t>
  </si>
  <si>
    <t xml:space="preserve">Initial Agreement Terms: </t>
  </si>
  <si>
    <t xml:space="preserve">Proprietary Slots Included Flag: </t>
  </si>
  <si>
    <t xml:space="preserve">Proprietary Slots Additional Markup: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</si>
  <si>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</si>
  <si>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</si>
  <si>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</si>
  <si>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</si>
  <si>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</si>
  <si>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</si>
  <si>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</si>
  <si>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</si>
  <si>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</si>
  <si>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</si>
  <si>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</si>
  <si>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</si>
  <si>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</si>
  <si>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</si>
  <si>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</si>
  <si>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</si>
  <si>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</si>
  <si>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</si>
  <si>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</si>
  <si>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</si>
  <si>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</si>
  <si>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</si>
  <si>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</si>
  <si>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</si>
  <si>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</si>
  <si>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</si>
  <si>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</si>
  <si>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</si>
  <si>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</si>
  <si>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</si>
  <si>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</si>
  <si>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</si>
  <si>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</si>
  <si>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</si>
  <si>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</si>
  <si>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</si>
  <si>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</si>
  <si>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</si>
  <si>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</si>
  <si>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</si>
  <si>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</si>
  <si>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</si>
  <si>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</si>
  <si>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</si>
  <si>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</si>
  <si>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</si>
  <si>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</si>
  <si>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</si>
  <si>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</si>
  <si>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</si>
  <si>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</si>
  <si>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</si>
  <si>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</si>
  <si>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</si>
  <si>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</si>
  <si>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</si>
  <si>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</si>
  <si>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</si>
  <si>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</si>
  <si>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</si>
  <si>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</si>
  <si>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</si>
  <si>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</si>
  <si>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</si>
  <si>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</si>
  <si>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</si>
  <si>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</si>
  <si>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</si>
  <si>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</si>
  <si>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</si>
  <si>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</si>
  <si>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</si>
  <si>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</si>
  <si>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</si>
  <si>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</si>
  <si>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</si>
  <si>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</si>
  <si>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</si>
  <si>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</si>
  <si>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</si>
  <si>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</si>
  <si>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</si>
  <si>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</si>
  <si>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</si>
  <si>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</si>
  <si>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</si>
  <si>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</si>
  <si>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</si>
  <si>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</si>
  <si>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</si>
  <si>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</si>
  <si>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</si>
  <si>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</si>
  <si>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</si>
  <si>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</si>
  <si>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</si>
  <si>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</si>
  <si>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</si>
  <si>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</si>
  <si>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</si>
  <si>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</si>
  <si>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</si>
  <si>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</si>
  <si>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</si>
  <si>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</si>
  <si>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</si>
  <si>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</si>
  <si>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</si>
  <si>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</si>
  <si>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</si>
  <si>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</si>
  <si>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</si>
  <si>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</si>
  <si>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Basis
Code</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</si>
  <si>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</si>
  <si>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</si>
  <si>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</si>
  <si>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</si>
  <si>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</si>
  <si>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</si>
  <si>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</si>
  <si>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</si>
  <si>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</si>
  <si>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</si>
  <si>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</si>
  <si>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</si>
  <si>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</si>
  <si>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</si>
  <si>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</si>
  <si>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</si>
  <si>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</si>
  <si>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</si>
  <si>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</si>
  <si>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</si>
  <si>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</si>
  <si>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</si>
  <si>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</si>
  <si>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</si>
  <si>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</si>
  <si>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</si>
  <si>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</si>
  <si>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</si>
  <si>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</si>
  <si>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</si>
  <si>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</si>
  <si>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</si>
  <si>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</si>
  <si>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</si>
  <si>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</si>
  <si>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</si>
  <si>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</si>
  <si>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</si>
  <si>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</si>
  <si>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</si>
  <si>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</si>
  <si>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</si>
  <si>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</si>
  <si>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</si>
  <si>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</si>
  <si>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</si>
  <si>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</si>
  <si>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</si>
  <si>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</si>
  <si>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</si>
  <si>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</si>
  <si>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</si>
  <si>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</si>
  <si>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</si>
  <si>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</si>
  <si>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</si>
  <si>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</si>
  <si>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</si>
  <si>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</si>
  <si>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</si>
  <si>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</si>
  <si>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</si>
  <si>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</si>
  <si>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</si>
  <si>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</si>
  <si>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</si>
  <si>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</si>
  <si>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</si>
  <si>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</si>
  <si>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</si>
  <si>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</si>
  <si>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</si>
  <si>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</si>
  <si>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</si>
  <si>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</si>
  <si>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</si>
  <si>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</si>
  <si>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</si>
  <si>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</si>
  <si>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</si>
  <si>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</si>
  <si>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</si>
  <si>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</si>
  <si>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</si>
  <si>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</si>
  <si>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</si>
  <si>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</si>
  <si>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</si>
  <si>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</si>
  <si>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</si>
  <si>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</si>
  <si>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</si>
  <si>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</si>
  <si>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</si>
  <si>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</si>
  <si>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</si>
  <si>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B4</t>
  </si>
  <si>
    <t>B5</t>
  </si>
  <si>
    <t>FORM</t>
  </si>
  <si>
    <t>Agreement Worksheet</t>
  </si>
  <si>
    <t>Market Branch Code</t>
  </si>
  <si>
    <t>A</t>
  </si>
  <si>
    <t>Markets</t>
  </si>
  <si>
    <t>B</t>
  </si>
  <si>
    <t>E23</t>
  </si>
  <si>
    <t>E</t>
  </si>
  <si>
    <t>TABLE</t>
  </si>
  <si>
    <t>Required Info to Submit</t>
  </si>
  <si>
    <t>Customers</t>
  </si>
  <si>
    <t>K23</t>
  </si>
  <si>
    <t>K</t>
  </si>
  <si>
    <t>F</t>
  </si>
  <si>
    <t>L23</t>
  </si>
  <si>
    <t>G</t>
  </si>
  <si>
    <t>M23</t>
  </si>
  <si>
    <t>H</t>
  </si>
  <si>
    <t>I</t>
  </si>
  <si>
    <t>O23</t>
  </si>
  <si>
    <t>O</t>
  </si>
  <si>
    <t>J</t>
  </si>
  <si>
    <t>Fuel Charge Applied</t>
  </si>
  <si>
    <t>N23</t>
  </si>
  <si>
    <t>D9</t>
  </si>
  <si>
    <t>D10</t>
  </si>
  <si>
    <t>Customer Performance</t>
  </si>
  <si>
    <t>D8</t>
  </si>
  <si>
    <t>E8</t>
  </si>
  <si>
    <t>Minimum EB Percentage of Purchases</t>
  </si>
  <si>
    <t>G4</t>
  </si>
  <si>
    <t>G5</t>
  </si>
  <si>
    <t>C</t>
  </si>
  <si>
    <t>H4</t>
  </si>
  <si>
    <t>H5</t>
  </si>
  <si>
    <t>I4</t>
  </si>
  <si>
    <t>I5</t>
  </si>
  <si>
    <t>D7</t>
  </si>
  <si>
    <t>E7</t>
  </si>
  <si>
    <t>C9</t>
  </si>
  <si>
    <t>C10</t>
  </si>
  <si>
    <t>E9</t>
  </si>
  <si>
    <t>E10</t>
  </si>
  <si>
    <t>F9</t>
  </si>
  <si>
    <t>F10</t>
  </si>
  <si>
    <t>C12</t>
  </si>
  <si>
    <t>C13</t>
  </si>
  <si>
    <t>D12</t>
  </si>
  <si>
    <t>D13</t>
  </si>
  <si>
    <t>Minimum per Case Markup</t>
  </si>
  <si>
    <t>F12</t>
  </si>
  <si>
    <t>F13</t>
  </si>
  <si>
    <t>Special Order Products Surcharge Amount</t>
  </si>
  <si>
    <t>G12</t>
  </si>
  <si>
    <t>G13</t>
  </si>
  <si>
    <t>Special Order Products Surcharge  Amount</t>
  </si>
  <si>
    <t>H13</t>
  </si>
  <si>
    <t>G9</t>
  </si>
  <si>
    <t>G10</t>
  </si>
  <si>
    <t>I12</t>
  </si>
  <si>
    <t>I13</t>
  </si>
  <si>
    <t>P</t>
  </si>
  <si>
    <t>Proprietary Slots Additional Markup</t>
  </si>
  <si>
    <t>C20</t>
  </si>
  <si>
    <t>D20</t>
  </si>
  <si>
    <t>Welcome</t>
  </si>
  <si>
    <t>Proprietary Slots Additional Markup</t>
  </si>
  <si>
    <t>Q</t>
  </si>
  <si>
    <t>C25</t>
  </si>
  <si>
    <t>C26</t>
  </si>
  <si>
    <t>Proprietary Slots Alloted Table</t>
  </si>
  <si>
    <t>G25</t>
  </si>
  <si>
    <t>G26</t>
  </si>
  <si>
    <t>D25</t>
  </si>
  <si>
    <t>D26</t>
  </si>
  <si>
    <t>E25</t>
  </si>
  <si>
    <t>E26</t>
  </si>
  <si>
    <t>F25</t>
  </si>
  <si>
    <t>F26</t>
  </si>
  <si>
    <t>H25</t>
  </si>
  <si>
    <t>H26</t>
  </si>
  <si>
    <t>Margin Basis Code</t>
  </si>
  <si>
    <t>D4</t>
  </si>
  <si>
    <t>D5</t>
  </si>
  <si>
    <t>E4</t>
  </si>
  <si>
    <t>E5</t>
  </si>
  <si>
    <t>Basket Composition Adj</t>
  </si>
  <si>
    <t>Auto Renewal</t>
  </si>
  <si>
    <t>Incentive Auto Approval Flag</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</si>
  <si>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</si>
  <si>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</si>
  <si>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</si>
  <si>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</si>
  <si>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</si>
  <si>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</si>
  <si>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</si>
  <si>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</si>
  <si>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</si>
  <si>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</si>
  <si>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</si>
  <si>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</si>
  <si>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</si>
  <si>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</si>
  <si>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</si>
  <si>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</si>
  <si>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</si>
  <si>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Program</t>
  </si>
  <si>
    <t>FF Payment Amount</t>
  </si>
  <si>
    <t>Paid To</t>
  </si>
  <si>
    <t>Corporate Office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</si>
</sst>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0000#####"/>
    <numFmt numFmtId="181" formatCode="0000####"/>
  </numFmts>
  <fonts count="92"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charset val="1"/>
    </font>
  </fonts>
  <fills count="4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s>
  <borders count="90">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546">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73" fontId="4" fillId="0" borderId="9" xfId="1" applyNumberFormat="1" applyFont="1" applyBorder="1" applyAlignment="1">
      <alignment horizontal="center"/>
    </xf>
    <xf numFmtId="173"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0"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1"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73" fontId="4" fillId="0" borderId="54" xfId="1" applyNumberFormat="1" applyFont="1" applyBorder="1" applyAlignment="1">
      <alignment horizontal="center"/>
    </xf>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0"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4"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1" fillId="4" borderId="8" xfId="0" applyFont="1" applyFill="1" applyBorder="1" applyAlignment="1" applyProtection="1">
      <alignment horizontal="center" vertical="center"/>
      <protection locked="0"/>
    </xf>
    <xf numFmtId="0" fontId="76" fillId="10" borderId="0" xfId="0" applyFont="1" applyFill="1" applyAlignment="1">
      <alignment horizontal="center" vertical="center"/>
    </xf>
    <xf numFmtId="0" fontId="72"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4"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6"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0" fontId="8" fillId="11" borderId="50" xfId="0" applyFont="1" applyFill="1" applyBorder="1" applyAlignment="1">
      <alignment horizontal="center" vertical="center"/>
    </xf>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78" fillId="10" borderId="0" xfId="2" applyNumberFormat="1" applyFont="1" applyFill="1" applyAlignment="1">
      <alignment vertical="center"/>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9"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81"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8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30" fillId="20" borderId="45" xfId="0" applyFont="1" applyFill="1" applyBorder="1" applyAlignment="1">
      <alignment horizontal="center" wrapText="1"/>
    </xf>
    <xf numFmtId="0" fontId="0" fillId="3" borderId="0" xfId="0" applyFont="1" applyFill="1"/>
    <xf numFmtId="0" fontId="69" fillId="3" borderId="29" xfId="0" applyFont="1" applyFill="1" applyBorder="1" applyAlignment="1" applyProtection="1">
      <alignment horizontal="center"/>
      <protection hidden="1"/>
    </xf>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27"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4" fillId="36" borderId="9" xfId="0" applyFont="1" applyFill="1" applyBorder="1" applyAlignment="1">
      <alignment horizontal="center" vertical="center"/>
    </xf>
    <xf numFmtId="0" fontId="84" fillId="36" borderId="8" xfId="0" applyFont="1" applyFill="1" applyBorder="1" applyAlignment="1">
      <alignment horizontal="center" vertical="center"/>
    </xf>
    <xf numFmtId="0" fontId="84"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64" xfId="0" applyFont="1" applyFill="1" applyBorder="1" applyAlignment="1">
      <alignment horizontal="center" wrapText="1"/>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83" fillId="0" borderId="5" xfId="0" applyFont="1" applyBorder="1" applyAlignment="1" applyProtection="1">
      <alignment horizontal="center" vertical="center"/>
      <protection locked="0"/>
    </xf>
    <xf numFmtId="0" fontId="8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5" fillId="6" borderId="9" xfId="5" applyFont="1" applyFill="1" applyBorder="1" applyProtection="1"/>
    <xf numFmtId="0" fontId="3" fillId="3" borderId="0" xfId="0" applyFont="1" applyFill="1" applyBorder="1" applyAlignment="1">
      <alignment horizontal="right" vertical="center" wrapText="1"/>
    </xf>
    <xf numFmtId="0" fontId="3" fillId="3" borderId="0" xfId="0" applyFont="1" applyFill="1" applyBorder="1" applyAlignment="1">
      <alignment horizontal="right" wrapText="1"/>
    </xf>
    <xf numFmtId="0" fontId="86" fillId="0" borderId="0" xfId="0" applyFont="1"/>
    <xf numFmtId="0" fontId="87"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83" fillId="0" borderId="3" xfId="0" applyFont="1" applyBorder="1" applyAlignment="1" applyProtection="1">
      <alignment horizontal="center" vertical="center"/>
      <protection locked="0"/>
    </xf>
    <xf numFmtId="0" fontId="83"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83" fillId="0" borderId="3" xfId="0" applyFont="1" applyBorder="1" applyAlignment="1" applyProtection="1">
      <alignment horizontal="center" vertical="center" wrapText="1"/>
      <protection locked="0"/>
    </xf>
    <xf numFmtId="0" fontId="83"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4" fontId="42" fillId="7" borderId="0" xfId="2" applyNumberFormat="1" applyFont="1" applyFill="1" applyBorder="1"/>
    <xf numFmtId="0" fontId="42" fillId="7" borderId="0" xfId="2"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0" fontId="0" fillId="0" borderId="9" xfId="0" applyBorder="1" applyAlignment="1"/>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3" borderId="0" xfId="0" applyFill="1" applyAlignment="1">
      <alignment horizontal="right"/>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2" borderId="88" xfId="0" applyFont="1" applyFill="1" applyBorder="1" applyAlignment="1">
      <alignment horizontal="right"/>
    </xf>
    <xf numFmtId="0" fontId="3" fillId="2" borderId="65" xfId="0" applyFont="1" applyFill="1" applyBorder="1" applyAlignment="1">
      <alignment horizontal="right"/>
    </xf>
    <xf numFmtId="0" fontId="3" fillId="2" borderId="89" xfId="0" applyFont="1" applyFill="1" applyBorder="1" applyAlignment="1">
      <alignment horizontal="right"/>
    </xf>
    <xf numFmtId="0" fontId="3" fillId="6" borderId="36" xfId="0" applyFont="1" applyFill="1" applyBorder="1" applyAlignment="1">
      <alignment horizontal="right"/>
    </xf>
    <xf numFmtId="0" fontId="0" fillId="7" borderId="57" xfId="0" applyFill="1" applyBorder="1" applyAlignment="1" applyProtection="1">
      <alignment horizontal="center" vertical="center" wrapText="1"/>
      <protection locked="0"/>
    </xf>
    <xf numFmtId="0" fontId="0" fillId="3" borderId="0" xfId="0" applyFill="1" applyAlignment="1">
      <alignment horizontal="right" vertical="center"/>
    </xf>
    <xf numFmtId="0" fontId="3" fillId="6" borderId="36" xfId="0" applyFont="1" applyFill="1" applyBorder="1" applyAlignment="1">
      <alignment horizontal="right" vertical="center"/>
    </xf>
    <xf numFmtId="0" fontId="19" fillId="0" borderId="11" xfId="0" applyFont="1" applyBorder="1" applyAlignment="1">
      <alignment horizontal="center" vertical="center"/>
    </xf>
    <xf numFmtId="0" fontId="0" fillId="0" borderId="0" xfId="0" applyAlignment="1">
      <alignment horizontal="right" vertical="center"/>
    </xf>
    <xf numFmtId="9" fontId="1" fillId="0" borderId="0" xfId="0" applyNumberFormat="1" applyFont="1"/>
    <xf numFmtId="0" fontId="0" fillId="0" borderId="20" xfId="0" applyBorder="1" applyAlignment="1">
      <alignment vertical="center"/>
    </xf>
    <xf numFmtId="0" fontId="66" fillId="6" borderId="36" xfId="0" applyFont="1" applyFill="1" applyBorder="1" applyAlignment="1">
      <alignment horizontal="right" vertical="center"/>
    </xf>
    <xf numFmtId="0" fontId="3" fillId="7" borderId="36" xfId="0" applyFont="1" applyFill="1" applyBorder="1" applyAlignment="1">
      <alignment horizontal="center" vertical="center" wrapText="1"/>
    </xf>
    <xf numFmtId="0" fontId="8" fillId="11" borderId="36" xfId="0" applyFont="1" applyFill="1" applyBorder="1" applyAlignment="1">
      <alignment horizontal="right" vertical="center" wrapText="1"/>
    </xf>
    <xf numFmtId="0" fontId="3" fillId="6" borderId="36" xfId="0" applyFont="1" applyFill="1" applyBorder="1" applyAlignment="1">
      <alignment horizontal="center" vertical="center" wrapText="1"/>
    </xf>
    <xf numFmtId="0" fontId="1" fillId="2" borderId="8" xfId="0" applyFont="1" applyFill="1" applyBorder="1" applyAlignment="1">
      <alignment horizontal="center" vertical="center"/>
    </xf>
    <xf numFmtId="180" fontId="0" fillId="3" borderId="8" xfId="0" applyNumberFormat="1" applyFill="1" applyBorder="1" applyAlignment="1">
      <alignment horizontal="center" vertical="center"/>
    </xf>
    <xf numFmtId="0" fontId="33" fillId="10" borderId="0" xfId="0" applyFont="1" applyFill="1" applyAlignment="1">
      <alignment horizontal="right" vertical="center"/>
    </xf>
    <xf numFmtId="0" fontId="8" fillId="11" borderId="60" xfId="0" applyFont="1" applyFill="1" applyBorder="1" applyAlignment="1">
      <alignment horizontal="right" vertical="center" wrapText="1"/>
    </xf>
    <xf numFmtId="179" fontId="3" fillId="6" borderId="36" xfId="0" applyNumberFormat="1" applyFont="1" applyFill="1" applyBorder="1" applyAlignment="1">
      <alignment horizontal="left" vertical="center"/>
    </xf>
    <xf numFmtId="0" fontId="3" fillId="6" borderId="36" xfId="0" applyFont="1" applyFill="1" applyBorder="1" applyAlignment="1">
      <alignment horizontal="left" vertical="center"/>
    </xf>
    <xf numFmtId="167" fontId="0" fillId="2" borderId="9" xfId="3" applyNumberFormat="1" applyFont="1" applyFill="1" applyBorder="1" applyAlignment="1" applyProtection="1">
      <alignment horizontal="center" vertical="center"/>
    </xf>
    <xf numFmtId="0" fontId="30" fillId="6" borderId="88" xfId="0" applyFont="1" applyFill="1" applyBorder="1" applyAlignment="1">
      <alignment horizontal="right" vertical="center"/>
    </xf>
    <xf numFmtId="9" fontId="21" fillId="4" borderId="31" xfId="2" applyFont="1" applyFill="1" applyBorder="1" applyAlignment="1">
      <alignment vertical="center"/>
    </xf>
    <xf numFmtId="0" fontId="3" fillId="10" borderId="0" xfId="0" applyFont="1" applyFill="1" applyAlignment="1">
      <alignment horizontal="right" vertical="center" wrapText="1"/>
    </xf>
    <xf numFmtId="169" fontId="0" fillId="2" borderId="9" xfId="2" applyNumberFormat="1" applyFont="1" applyFill="1" applyBorder="1" applyAlignment="1">
      <alignment horizontal="center" vertical="center" wrapText="1"/>
    </xf>
    <xf numFmtId="166" fontId="0" fillId="6" borderId="9" xfId="3" applyNumberFormat="1" applyFont="1" applyFill="1" applyBorder="1" applyAlignment="1">
      <alignment horizontal="center" vertical="center"/>
    </xf>
    <xf numFmtId="0" fontId="30" fillId="6" borderId="65" xfId="0" applyFont="1" applyFill="1" applyBorder="1" applyAlignment="1">
      <alignment horizontal="right" vertical="center"/>
    </xf>
    <xf numFmtId="9" fontId="21" fillId="4" borderId="32" xfId="2" applyFont="1" applyFill="1" applyBorder="1" applyAlignment="1">
      <alignment vertical="center"/>
    </xf>
    <xf numFmtId="169" fontId="0" fillId="2" borderId="9" xfId="2" applyNumberFormat="1" applyFont="1" applyFill="1" applyBorder="1" applyAlignment="1" applyProtection="1">
      <alignment horizontal="center" vertical="center" wrapText="1"/>
      <protection locked="0"/>
    </xf>
    <xf numFmtId="0" fontId="21" fillId="10" borderId="16" xfId="0" applyFont="1" applyFill="1" applyBorder="1" applyAlignment="1">
      <alignment vertical="center"/>
    </xf>
    <xf numFmtId="0" fontId="21" fillId="10" borderId="0" xfId="0" applyFont="1" applyFill="1" applyAlignment="1">
      <alignment vertical="center"/>
    </xf>
    <xf numFmtId="0" fontId="30" fillId="6" borderId="89" xfId="0" applyFont="1" applyFill="1" applyBorder="1" applyAlignment="1">
      <alignment horizontal="right" vertical="center"/>
    </xf>
    <xf numFmtId="9" fontId="21" fillId="4" borderId="33" xfId="2" applyFont="1" applyFill="1" applyBorder="1" applyAlignment="1">
      <alignment vertical="center"/>
    </xf>
    <xf numFmtId="0" fontId="15" fillId="6" borderId="36" xfId="0" applyFont="1" applyFill="1" applyBorder="1" applyAlignment="1">
      <alignment horizontal="right" vertical="center"/>
    </xf>
    <xf numFmtId="0" fontId="3" fillId="7" borderId="57" xfId="0" applyFont="1" applyFill="1" applyBorder="1" applyAlignment="1" applyProtection="1">
      <alignment horizontal="center" vertical="center"/>
      <protection locked="0"/>
    </xf>
    <xf numFmtId="0" fontId="3" fillId="6" borderId="36" xfId="0" applyFont="1" applyFill="1" applyBorder="1" applyAlignment="1" applyProtection="1">
      <alignment horizontal="center" vertical="center" wrapText="1"/>
      <protection locked="0"/>
    </xf>
    <xf numFmtId="181" fontId="0" fillId="3" borderId="8" xfId="0" applyNumberFormat="1" applyFill="1" applyBorder="1" applyAlignment="1">
      <alignment horizontal="center" vertical="center"/>
    </xf>
    <xf numFmtId="166" fontId="0" fillId="2" borderId="9" xfId="3" applyNumberFormat="1" applyFont="1" applyFill="1" applyBorder="1" applyAlignment="1">
      <alignment horizontal="center" vertical="center"/>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166" fontId="0" fillId="10" borderId="0" xfId="3" applyNumberFormat="1" applyFont="1" applyFill="1" applyAlignment="1">
      <alignment horizontal="right" vertical="center"/>
    </xf>
    <xf numFmtId="0" fontId="30" fillId="6" borderId="31" xfId="0" applyFont="1" applyFill="1" applyBorder="1" applyAlignment="1">
      <alignment horizontal="right" vertical="center"/>
    </xf>
    <xf numFmtId="0" fontId="30" fillId="6" borderId="32" xfId="0" applyFont="1" applyFill="1" applyBorder="1" applyAlignment="1">
      <alignment horizontal="right" vertical="center"/>
    </xf>
    <xf numFmtId="0" fontId="0" fillId="0" borderId="20" xfId="0" applyBorder="1"/>
    <xf numFmtId="0" fontId="30" fillId="6" borderId="33" xfId="0" applyFont="1" applyFill="1" applyBorder="1" applyAlignment="1">
      <alignment horizontal="right" vertical="center"/>
    </xf>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180" fontId="0" fillId="3" borderId="8" xfId="0" applyNumberFormat="1" applyFill="1" applyBorder="1" applyAlignment="1" applyProtection="1">
      <alignment horizontal="center" vertical="center"/>
      <protection locked="0"/>
    </xf>
    <xf numFmtId="9" fontId="21" fillId="4" borderId="35" xfId="2" applyFont="1" applyFill="1" applyBorder="1" applyAlignment="1">
      <alignment vertical="center"/>
    </xf>
    <xf numFmtId="9" fontId="21" fillId="4" borderId="37" xfId="2" applyFont="1" applyFill="1" applyBorder="1" applyAlignment="1">
      <alignment vertical="center"/>
    </xf>
    <xf numFmtId="9" fontId="21" fillId="4" borderId="38" xfId="2" applyFont="1" applyFill="1" applyBorder="1" applyAlignment="1">
      <alignment vertical="center"/>
    </xf>
    <xf numFmtId="164" fontId="0" fillId="2" borderId="9" xfId="2" applyNumberFormat="1" applyFont="1" applyFill="1" applyBorder="1" applyAlignment="1" applyProtection="1">
      <alignment horizontal="center" vertical="center"/>
    </xf>
    <xf numFmtId="0" fontId="0" fillId="10" borderId="22" xfId="0" applyFill="1" applyBorder="1" applyAlignment="1">
      <alignment horizontal="right"/>
    </xf>
    <xf numFmtId="0" fontId="1" fillId="3" borderId="0" xfId="0" applyFont="1" applyFill="1" applyAlignment="1">
      <alignment horizontal="center" vertical="center"/>
    </xf>
    <xf numFmtId="0" fontId="0" fillId="10" borderId="0" xfId="0" applyFill="1" applyAlignment="1">
      <alignment horizontal="right"/>
    </xf>
    <xf numFmtId="0" fontId="8" fillId="11" borderId="36" xfId="0" applyFont="1" applyFill="1" applyBorder="1" applyAlignment="1">
      <alignment horizontal="center" vertical="center" wrapText="1"/>
    </xf>
    <xf numFmtId="0" fontId="0" fillId="10" borderId="22" xfId="0" applyFill="1" applyBorder="1" applyAlignment="1">
      <alignment horizontal="right" vertical="center"/>
    </xf>
    <xf numFmtId="0" fontId="72" fillId="10" borderId="0" xfId="0" applyFont="1" applyFill="1" applyAlignment="1">
      <alignment vertical="center" wrapText="1"/>
    </xf>
    <xf numFmtId="0" fontId="0" fillId="6" borderId="8" xfId="0" applyFill="1" applyBorder="1" applyAlignment="1">
      <alignment horizontal="center" vertical="center"/>
    </xf>
    <xf numFmtId="0" fontId="0" fillId="10" borderId="18" xfId="0" applyFill="1" applyBorder="1" applyAlignment="1">
      <alignment horizontal="right" vertical="center"/>
    </xf>
    <xf numFmtId="44" fontId="0" fillId="4" borderId="9" xfId="3" applyFont="1" applyFill="1" applyBorder="1" applyAlignment="1" applyProtection="1">
      <alignment horizontal="center" vertical="center"/>
      <protection locked="0"/>
    </xf>
    <xf numFmtId="44" fontId="1" fillId="4" borderId="8" xfId="3" applyFont="1" applyFill="1" applyBorder="1" applyAlignment="1" applyProtection="1">
      <alignment horizontal="center" vertical="center"/>
      <protection locked="0"/>
    </xf>
    <xf numFmtId="0" fontId="13" fillId="10" borderId="0" xfId="0" applyFont="1" applyFill="1" applyAlignment="1">
      <alignment horizontal="right" vertical="center"/>
    </xf>
    <xf numFmtId="0" fontId="1" fillId="4" borderId="8" xfId="0" applyFont="1" applyFill="1" applyBorder="1" applyAlignment="1">
      <alignment horizontal="center" vertical="center"/>
    </xf>
    <xf numFmtId="0" fontId="12" fillId="0" borderId="0" xfId="0" applyFont="1" applyAlignment="1">
      <alignment horizontal="right"/>
    </xf>
    <xf numFmtId="0" fontId="0" fillId="0" borderId="2" xfId="0" applyBorder="1" applyAlignment="1">
      <alignment horizontal="right"/>
    </xf>
    <xf numFmtId="0" fontId="0" fillId="10" borderId="0" xfId="0" applyFill="1" applyAlignment="1" applyProtection="1">
      <alignment horizontal="center" vertical="center"/>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pplyProtection="1">
      <alignment horizontal="right" vertical="center"/>
      <protection locked="0"/>
    </xf>
    <xf numFmtId="0" fontId="0" fillId="7" borderId="36" xfId="0" applyFill="1" applyBorder="1" applyAlignment="1" applyProtection="1">
      <alignment horizontal="center" vertical="center" wrapText="1"/>
      <protection locked="0"/>
    </xf>
    <xf numFmtId="0" fontId="1" fillId="2" borderId="8"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66" fontId="0" fillId="10" borderId="0" xfId="3" applyNumberFormat="1" applyFont="1" applyFill="1" applyBorder="1" applyAlignment="1">
      <alignment horizontal="left" vertical="center"/>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65" fillId="3" borderId="0" xfId="0" applyFont="1" applyFill="1" applyBorder="1" applyAlignment="1">
      <alignment horizontal="center" vertical="center" wrapText="1"/>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7" xfId="0" applyNumberFormat="1" applyFont="1" applyFill="1" applyBorder="1" applyAlignment="1">
      <alignment horizontal="center" vertical="center"/>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72" fillId="10" borderId="0" xfId="0" applyFont="1" applyFill="1" applyAlignment="1">
      <alignment horizontal="left" vertical="center" wrapText="1"/>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75" fillId="10" borderId="18" xfId="0" applyFont="1" applyFill="1" applyBorder="1" applyAlignment="1">
      <alignment horizontal="center" vertical="center" wrapText="1"/>
    </xf>
    <xf numFmtId="0" fontId="75" fillId="10" borderId="0" xfId="0" applyFont="1" applyFill="1" applyAlignment="1">
      <alignment horizontal="center" vertical="center" wrapText="1"/>
    </xf>
    <xf numFmtId="0" fontId="75" fillId="10" borderId="22" xfId="0" applyFont="1" applyFill="1" applyBorder="1" applyAlignment="1">
      <alignment horizontal="center" vertical="center" wrapText="1"/>
    </xf>
    <xf numFmtId="0" fontId="13" fillId="10" borderId="0" xfId="0" applyFont="1" applyFill="1" applyAlignment="1">
      <alignment horizontal="right" vertical="center" wrapText="1"/>
    </xf>
    <xf numFmtId="0" fontId="13" fillId="10" borderId="22" xfId="0" applyFont="1" applyFill="1" applyBorder="1" applyAlignment="1">
      <alignment horizontal="right" vertical="center" wrapText="1"/>
    </xf>
    <xf numFmtId="0" fontId="75" fillId="10" borderId="20" xfId="0" applyFont="1" applyFill="1" applyBorder="1" applyAlignment="1">
      <alignment horizontal="center" vertical="center" wrapText="1"/>
    </xf>
    <xf numFmtId="0" fontId="43" fillId="10" borderId="18" xfId="0" applyFont="1" applyFill="1" applyBorder="1" applyAlignment="1">
      <alignment horizontal="center" vertical="center" wrapText="1"/>
    </xf>
    <xf numFmtId="0" fontId="80" fillId="10" borderId="0" xfId="0" applyFont="1" applyFill="1" applyAlignment="1">
      <alignment horizontal="left" vertical="center" wrapText="1"/>
    </xf>
    <xf numFmtId="0" fontId="13" fillId="10" borderId="18" xfId="0" applyFont="1" applyFill="1" applyBorder="1" applyAlignment="1">
      <alignment horizontal="center" vertical="top"/>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9"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8"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lignment horizontal="center"/>
    </xf>
    <xf numFmtId="0" fontId="7" fillId="23" borderId="9" xfId="0" applyFont="1" applyFill="1" applyBorder="1" applyAlignment="1">
      <alignment horizontal="center"/>
    </xf>
    <xf numFmtId="0" fontId="8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83"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3" fillId="23" borderId="56" xfId="0" applyFont="1" applyFill="1" applyBorder="1" applyAlignment="1">
      <alignment horizontal="center"/>
    </xf>
    <xf numFmtId="0" fontId="73" fillId="23" borderId="60" xfId="0" applyFont="1" applyFill="1" applyBorder="1" applyAlignment="1">
      <alignment horizontal="center"/>
    </xf>
    <xf numFmtId="0" fontId="73"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quotePrefix="1" applyAlignment="1">
      <alignment horizontal="left" wrapText="1"/>
    </xf>
    <xf numFmtId="14" fontId="0" fillId="0" borderId="0" xfId="0" applyNumberFormat="1" applyAlignment="1">
      <alignment horizontal="left"/>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288">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2" tint="-9.9948118533890809E-2"/>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0000"/>
        </patternFill>
      </fill>
    </dxf>
    <dxf>
      <fill>
        <patternFill>
          <bgColor rgb="FFFF000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strike/>
      </font>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openxmlformats.org/officeDocument/2006/relationships/calcChain" Target="calcChain.xml"/><Relationship Id="rId50"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externalLink" Target="externalLinks/externalLink1.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openxmlformats.org/officeDocument/2006/relationships/customXml" Target="../customXml/item1.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9.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2]!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178</xdr:row>
      <xdr:rowOff>142875</xdr:rowOff>
    </xdr:from>
    <xdr:to>
      <xdr:col>8</xdr:col>
      <xdr:colOff>1733551</xdr:colOff>
      <xdr:row>178</xdr:row>
      <xdr:rowOff>491217</xdr:rowOff>
    </xdr:to>
    <xdr:sp macro="[2]!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8067675" y="26117550"/>
          <a:ext cx="119062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178</xdr:row>
      <xdr:rowOff>142875</xdr:rowOff>
    </xdr:from>
    <xdr:to>
      <xdr:col>15</xdr:col>
      <xdr:colOff>542924</xdr:colOff>
      <xdr:row>178</xdr:row>
      <xdr:rowOff>504825</xdr:rowOff>
    </xdr:to>
    <xdr:sp macro="[2]!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2782549" y="26117550"/>
          <a:ext cx="288607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178</xdr:row>
      <xdr:rowOff>142876</xdr:rowOff>
    </xdr:from>
    <xdr:to>
      <xdr:col>3</xdr:col>
      <xdr:colOff>1169246</xdr:colOff>
      <xdr:row>178</xdr:row>
      <xdr:rowOff>485776</xdr:rowOff>
    </xdr:to>
    <xdr:sp macro="[2]!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314325" y="26117551"/>
          <a:ext cx="116924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161</xdr:row>
      <xdr:rowOff>309562</xdr:rowOff>
    </xdr:from>
    <xdr:to>
      <xdr:col>11</xdr:col>
      <xdr:colOff>68262</xdr:colOff>
      <xdr:row>164</xdr:row>
      <xdr:rowOff>44450</xdr:rowOff>
    </xdr:to>
    <xdr:sp macro="" textlink="">
      <xdr:nvSpPr>
        <xdr:cNvPr id="6" name="Rectangle 5">
          <a:extLst>
            <a:ext uri="{FF2B5EF4-FFF2-40B4-BE49-F238E27FC236}">
              <a16:creationId xmlns:a16="http://schemas.microsoft.com/office/drawing/2014/main" id="{4D2E7AA9-7858-4934-8C87-D41032BE5666}"/>
            </a:ext>
          </a:extLst>
        </xdr:cNvPr>
        <xdr:cNvSpPr/>
      </xdr:nvSpPr>
      <xdr:spPr>
        <a:xfrm>
          <a:off x="4779962" y="22264687"/>
          <a:ext cx="6642100" cy="611188"/>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126</xdr:row>
      <xdr:rowOff>0</xdr:rowOff>
    </xdr:from>
    <xdr:to>
      <xdr:col>2</xdr:col>
      <xdr:colOff>1738313</xdr:colOff>
      <xdr:row>128</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Incebtive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161925</xdr:colOff>
      <xdr:row>0</xdr:row>
      <xdr:rowOff>152400</xdr:rowOff>
    </xdr:from>
    <xdr:to>
      <xdr:col>4</xdr:col>
      <xdr:colOff>161925</xdr:colOff>
      <xdr:row>3</xdr:row>
      <xdr:rowOff>114300</xdr:rowOff>
    </xdr:to>
    <xdr:sp macro="[0]!UploadFile" textlink="">
      <xdr:nvSpPr>
        <xdr:cNvPr id="2" name="Rectangle 1">
          <a:extLst>
            <a:ext uri="{FF2B5EF4-FFF2-40B4-BE49-F238E27FC236}">
              <a16:creationId xmlns:a16="http://schemas.microsoft.com/office/drawing/2014/main" id="{C0A9030D-6425-4490-BA3C-6F1445CC131D}"/>
            </a:ext>
          </a:extLst>
        </xdr:cNvPr>
        <xdr:cNvSpPr>
          <a:spLocks noChangeArrowheads="1"/>
        </xdr:cNvSpPr>
      </xdr:nvSpPr>
      <xdr:spPr bwMode="auto">
        <a:xfrm>
          <a:off x="161925" y="152400"/>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prathima.rm\Desktop\ALC\ALC%20Master%20File%20-%20New%20Incentive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PIM Model"/>
      <sheetName val="Incentives"/>
      <sheetName val="Incentive Helper"/>
      <sheetName val="Variable Costs &amp; Income"/>
      <sheetName val="Tracking &amp; Profitability"/>
      <sheetName val="Required Info to Submit"/>
      <sheetName val="Mapping Sheet"/>
      <sheetName val="ALC Comparison"/>
      <sheetName val="Agreement Worksheet"/>
      <sheetName val="Pricing Schedule"/>
      <sheetName val="Variable Costs (Back)"/>
      <sheetName val="EB_CM (Back)"/>
      <sheetName val="Multi-Customer"/>
      <sheetName val="PIM Ranges"/>
      <sheetName val="Incentive Setup"/>
      <sheetName val="MDA Worksheet"/>
      <sheetName val="PRIME Upload"/>
      <sheetName val="Basket Composition"/>
      <sheetName val="PRIME Headers"/>
      <sheetName val="CC MARKET EXPENSE"/>
      <sheetName val="Margin Guidence Table"/>
      <sheetName val="Modellable Customers"/>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 val="ALC Master File - New Incentive"/>
    </sheetNames>
    <definedNames>
      <definedName name="Incentives"/>
      <definedName name="NextActiveSheet"/>
      <definedName name="PrevActiveSheet"/>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omments" Target="../comments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212" t="s">
        <v>761</v>
      </c>
      <c r="B1" s="1212"/>
      <c r="C1" s="1212"/>
      <c r="D1" s="1212"/>
      <c r="E1" s="1212"/>
    </row>
    <row r="2" spans="1:5" x14ac:dyDescent="0.25">
      <c r="A2" s="1212" t="s">
        <v>762</v>
      </c>
      <c r="B2" s="1212"/>
      <c r="C2" s="1212"/>
      <c r="D2" s="1212"/>
      <c r="E2" s="1212"/>
    </row>
    <row r="3" spans="1:5" x14ac:dyDescent="0.25">
      <c r="A3" s="73"/>
    </row>
    <row r="4" spans="1:5" ht="78" customHeight="1" x14ac:dyDescent="0.25">
      <c r="A4" s="1230" t="s">
        <v>763</v>
      </c>
      <c r="B4" s="1230"/>
      <c r="C4" s="1230"/>
      <c r="D4" s="1230"/>
      <c r="E4" s="1230"/>
    </row>
    <row r="5" spans="1:5" x14ac:dyDescent="0.25">
      <c r="A5" s="73"/>
    </row>
    <row r="6" spans="1:5" ht="31.5" customHeight="1" x14ac:dyDescent="0.25">
      <c r="A6" s="1229" t="s">
        <v>764</v>
      </c>
      <c r="B6" s="1229"/>
      <c r="C6" s="1229"/>
      <c r="D6" s="1229"/>
      <c r="E6" s="1229"/>
    </row>
    <row r="7" spans="1:5" ht="15.75" thickBot="1" x14ac:dyDescent="0.3">
      <c r="A7" s="74"/>
    </row>
    <row r="8" spans="1:5" ht="15" customHeight="1" x14ac:dyDescent="0.25">
      <c r="A8" s="1223" t="s">
        <v>765</v>
      </c>
      <c r="B8" s="1224"/>
      <c r="C8" s="1224"/>
      <c r="D8" s="1224"/>
      <c r="E8" s="1225"/>
    </row>
    <row r="9" spans="1:5" ht="15" customHeight="1" thickBot="1" x14ac:dyDescent="0.3">
      <c r="A9" s="1226" t="s">
        <v>766</v>
      </c>
      <c r="B9" s="1227"/>
      <c r="C9" s="1227"/>
      <c r="D9" s="1227"/>
      <c r="E9" s="1228"/>
    </row>
    <row r="10" spans="1:5" x14ac:dyDescent="0.25">
      <c r="A10" s="75"/>
      <c r="B10" s="1220"/>
      <c r="C10" s="1220"/>
      <c r="D10" s="79"/>
    </row>
    <row r="11" spans="1:5" ht="31.5" customHeight="1" thickBot="1" x14ac:dyDescent="0.3">
      <c r="A11" s="77" t="s">
        <v>767</v>
      </c>
      <c r="B11" s="1221" t="s">
        <v>768</v>
      </c>
      <c r="C11" s="1221"/>
      <c r="D11" s="79">
        <f>Welcome!$D$4</f>
        <v>0</v>
      </c>
    </row>
    <row r="12" spans="1:5" ht="15.75" thickBot="1" x14ac:dyDescent="0.3">
      <c r="A12" s="77" t="s">
        <v>769</v>
      </c>
      <c r="B12" s="1222">
        <f>'MDA Worksheet'!$R$18</f>
        <v>0</v>
      </c>
      <c r="C12" s="1222"/>
      <c r="D12" s="75"/>
    </row>
    <row r="13" spans="1:5" x14ac:dyDescent="0.25">
      <c r="A13" s="77"/>
      <c r="B13" s="75"/>
      <c r="C13" s="76"/>
      <c r="D13" s="75"/>
    </row>
    <row r="14" spans="1:5" ht="30.75" thickBot="1" x14ac:dyDescent="0.3">
      <c r="A14" s="77" t="s">
        <v>770</v>
      </c>
      <c r="B14" s="134">
        <f>'MDA Worksheet'!$R$24</f>
        <v>0</v>
      </c>
      <c r="C14" s="75" t="s">
        <v>771</v>
      </c>
      <c r="D14" s="135" t="str">
        <f>Welcome!$D$12&amp;" Years"</f>
        <v>Select Term Years</v>
      </c>
    </row>
    <row r="15" spans="1:5" ht="15.75" thickBot="1" x14ac:dyDescent="0.3">
      <c r="A15" s="77" t="s">
        <v>772</v>
      </c>
      <c r="B15" s="122">
        <f>'MDA Worksheet'!$R$24</f>
        <v>0</v>
      </c>
      <c r="C15" s="75" t="s">
        <v>773</v>
      </c>
      <c r="D15" s="122" t="e">
        <f>'MDA Worksheet'!$AV$24</f>
        <v>#REF!</v>
      </c>
    </row>
    <row r="16" spans="1:5" x14ac:dyDescent="0.25">
      <c r="A16" s="75"/>
      <c r="B16" s="118"/>
      <c r="C16" s="75"/>
      <c r="D16" s="118"/>
    </row>
    <row r="17" spans="1:5" ht="15.75" thickBot="1" x14ac:dyDescent="0.3">
      <c r="A17" s="77" t="s">
        <v>774</v>
      </c>
      <c r="B17" s="1219"/>
      <c r="C17" s="1219"/>
      <c r="D17" s="1219"/>
      <c r="E17" s="1219"/>
    </row>
    <row r="18" spans="1:5" x14ac:dyDescent="0.25">
      <c r="A18" s="75"/>
      <c r="B18" s="118"/>
      <c r="C18" s="75"/>
      <c r="D18" s="118"/>
    </row>
    <row r="19" spans="1:5" ht="15.75" thickBot="1" x14ac:dyDescent="0.3">
      <c r="A19" s="77" t="s">
        <v>845</v>
      </c>
      <c r="B19" s="1219">
        <f>Welcome!$D$8</f>
        <v>0</v>
      </c>
      <c r="C19" s="1219"/>
      <c r="D19" s="1219"/>
      <c r="E19" s="1219"/>
    </row>
    <row r="20" spans="1:5" x14ac:dyDescent="0.25">
      <c r="A20" s="77"/>
      <c r="B20" s="118"/>
      <c r="C20" s="75"/>
      <c r="D20" s="118"/>
    </row>
    <row r="21" spans="1:5" x14ac:dyDescent="0.25">
      <c r="A21" s="121"/>
      <c r="B21" s="121"/>
      <c r="C21" s="121"/>
      <c r="D21" s="121"/>
      <c r="E21" s="41"/>
    </row>
    <row r="22" spans="1:5" x14ac:dyDescent="0.25">
      <c r="A22" s="7"/>
      <c r="B22" s="6" t="s">
        <v>231</v>
      </c>
      <c r="C22" s="35"/>
      <c r="D22" s="126" t="s">
        <v>369</v>
      </c>
      <c r="E22" s="41"/>
    </row>
    <row r="23" spans="1:5" x14ac:dyDescent="0.25">
      <c r="A23" s="8" t="s">
        <v>689</v>
      </c>
      <c r="B23" s="12">
        <f>'Tracking &amp; Profitability'!$E$12</f>
        <v>0</v>
      </c>
      <c r="C23" s="125"/>
      <c r="D23" s="64"/>
      <c r="E23" s="41"/>
    </row>
    <row r="24" spans="1:5" x14ac:dyDescent="0.25">
      <c r="A24" s="8" t="s">
        <v>491</v>
      </c>
      <c r="B24" s="12">
        <f>IFERROR('Tracking &amp; Profitability'!$E$13,0)</f>
        <v>0</v>
      </c>
      <c r="C24" s="36"/>
      <c r="D24" s="130">
        <f>IFERROR($B$24/'PIM Model'!$H$31,0)</f>
        <v>0</v>
      </c>
      <c r="E24" s="41"/>
    </row>
    <row r="25" spans="1:5" x14ac:dyDescent="0.25">
      <c r="A25" s="16" t="s">
        <v>222</v>
      </c>
      <c r="B25" s="12">
        <f>IFERROR(#REF!*-1,0)</f>
        <v>0</v>
      </c>
      <c r="C25" s="127"/>
      <c r="D25" s="130">
        <f>IFERROR($B$25/'PIM Model'!$H$31,0)</f>
        <v>0</v>
      </c>
      <c r="E25" s="41"/>
    </row>
    <row r="26" spans="1:5" s="805" customFormat="1" x14ac:dyDescent="0.25">
      <c r="A26" s="16" t="s">
        <v>224</v>
      </c>
      <c r="B26" s="12">
        <f>IFERROR('Tracking &amp; Profitability'!$E$17,0)</f>
        <v>0</v>
      </c>
      <c r="C26" s="127"/>
      <c r="D26" s="130">
        <f>IFERROR(#REF!/'PIM Model'!$H$31,0)</f>
        <v>0</v>
      </c>
      <c r="E26" s="41"/>
    </row>
    <row r="27" spans="1:5" x14ac:dyDescent="0.25">
      <c r="A27" s="8" t="s">
        <v>223</v>
      </c>
      <c r="B27" s="12">
        <f>B24+B25+B26</f>
        <v>0</v>
      </c>
      <c r="C27" s="36"/>
      <c r="D27" s="130">
        <f>IFERROR($B$27/'PIM Model'!$H$31,0)</f>
        <v>0</v>
      </c>
      <c r="E27" s="41"/>
    </row>
    <row r="28" spans="1:5" x14ac:dyDescent="0.25">
      <c r="A28" s="41"/>
      <c r="B28" s="41"/>
      <c r="C28" s="41"/>
      <c r="D28" s="131"/>
      <c r="E28" s="41"/>
    </row>
    <row r="29" spans="1:5" x14ac:dyDescent="0.25">
      <c r="A29" s="16" t="s">
        <v>844</v>
      </c>
      <c r="B29" s="13">
        <f>IFERROR('Variable Costs &amp; Income'!$E$19*-1,0)</f>
        <v>0</v>
      </c>
      <c r="C29" s="37"/>
      <c r="D29" s="130">
        <f>IFERROR($B$29/'PIM Model'!$H$31,0)</f>
        <v>0</v>
      </c>
      <c r="E29" s="41"/>
    </row>
    <row r="30" spans="1:5" x14ac:dyDescent="0.25">
      <c r="A30" s="17" t="s">
        <v>221</v>
      </c>
      <c r="B30" s="12">
        <f>IFERROR('Variable Costs &amp; Income'!$E$29,0)</f>
        <v>0</v>
      </c>
      <c r="C30" s="36"/>
      <c r="D30" s="130">
        <f>IFERROR($B$30/'PIM Model'!$H$31,0)</f>
        <v>0</v>
      </c>
      <c r="E30" s="41"/>
    </row>
    <row r="31" spans="1:5" x14ac:dyDescent="0.25">
      <c r="A31" s="17" t="s">
        <v>220</v>
      </c>
      <c r="B31" s="12">
        <f>'Variable Costs &amp; Income'!$E$30</f>
        <v>0</v>
      </c>
      <c r="C31" s="36"/>
      <c r="D31" s="130">
        <f>IFERROR($B$31/'PIM Model'!$H$31,0)</f>
        <v>0</v>
      </c>
      <c r="E31" s="41"/>
    </row>
    <row r="32" spans="1:5" x14ac:dyDescent="0.25">
      <c r="A32" s="119"/>
      <c r="B32" s="119"/>
      <c r="C32" s="34"/>
      <c r="D32" s="132"/>
      <c r="E32" s="41"/>
    </row>
    <row r="33" spans="1:5" x14ac:dyDescent="0.25">
      <c r="A33" s="8" t="s">
        <v>209</v>
      </c>
      <c r="B33" s="12">
        <f>IFERROR(B27+B29+B30+B31,"")</f>
        <v>0</v>
      </c>
      <c r="C33" s="36"/>
      <c r="D33" s="130">
        <f>IFERROR($B$33/'PIM Model'!$H$31,0)</f>
        <v>0</v>
      </c>
      <c r="E33" s="41"/>
    </row>
    <row r="34" spans="1:5" x14ac:dyDescent="0.25">
      <c r="A34" s="8" t="s">
        <v>846</v>
      </c>
      <c r="B34" s="12">
        <f>IFERROR($B$33/('Tracking &amp; Profitability'!E7*52),0)</f>
        <v>0</v>
      </c>
      <c r="C34" s="41"/>
      <c r="D34" s="41"/>
      <c r="E34" s="41"/>
    </row>
    <row r="35" spans="1:5" x14ac:dyDescent="0.25">
      <c r="A35" s="8" t="s">
        <v>882</v>
      </c>
      <c r="B35" s="133">
        <f>IFERROR(B33/B23,0)</f>
        <v>0</v>
      </c>
      <c r="C35" s="41"/>
      <c r="D35" s="41"/>
      <c r="E35" s="41"/>
    </row>
    <row r="36" spans="1:5" x14ac:dyDescent="0.25">
      <c r="A36" s="120"/>
      <c r="B36" s="41"/>
      <c r="C36" s="41"/>
      <c r="D36" s="124"/>
      <c r="E36" s="41"/>
    </row>
    <row r="37" spans="1:5" x14ac:dyDescent="0.25">
      <c r="A37" s="8" t="s">
        <v>775</v>
      </c>
      <c r="B37" s="12" t="e">
        <f>#REF!</f>
        <v>#REF!</v>
      </c>
      <c r="C37" s="41"/>
      <c r="D37" s="41"/>
      <c r="E37" s="41"/>
    </row>
    <row r="38" spans="1:5" x14ac:dyDescent="0.25">
      <c r="A38" s="8" t="s">
        <v>776</v>
      </c>
      <c r="B38" s="12" t="e">
        <f>SUM(#REF!-#REF!-#REF!)</f>
        <v>#REF!</v>
      </c>
      <c r="C38" s="41"/>
      <c r="D38" s="41"/>
      <c r="E38" s="41"/>
    </row>
    <row r="39" spans="1:5" x14ac:dyDescent="0.25">
      <c r="A39" s="8" t="s">
        <v>465</v>
      </c>
      <c r="B39" s="123">
        <f>'Tracking &amp; Profitability'!$E$8</f>
        <v>0</v>
      </c>
      <c r="C39" s="41"/>
      <c r="D39" s="41"/>
      <c r="E39" s="41"/>
    </row>
    <row r="40" spans="1:5" x14ac:dyDescent="0.25">
      <c r="A40" s="120"/>
      <c r="B40" s="41"/>
      <c r="C40" s="41"/>
      <c r="D40" s="41"/>
      <c r="E40" s="41"/>
    </row>
    <row r="41" spans="1:5" s="831" customFormat="1" ht="15.75" thickBot="1" x14ac:dyDescent="0.3">
      <c r="A41" s="870"/>
    </row>
    <row r="42" spans="1:5" s="831" customFormat="1" ht="15.75" thickBot="1" x14ac:dyDescent="0.3">
      <c r="A42" s="1197" t="s">
        <v>1253</v>
      </c>
      <c r="B42" s="1198"/>
      <c r="C42" s="1198"/>
      <c r="D42" s="1198"/>
      <c r="E42" s="1199"/>
    </row>
    <row r="43" spans="1:5" s="831" customFormat="1" x14ac:dyDescent="0.25">
      <c r="A43" s="1200"/>
      <c r="B43" s="1201"/>
      <c r="C43" s="1201"/>
      <c r="D43" s="1201"/>
      <c r="E43" s="1202"/>
    </row>
    <row r="44" spans="1:5" s="831" customFormat="1" ht="15.75" thickBot="1" x14ac:dyDescent="0.3">
      <c r="A44" s="1203"/>
      <c r="B44" s="1204"/>
      <c r="C44" s="1204"/>
      <c r="D44" s="1204"/>
      <c r="E44" s="1205"/>
    </row>
    <row r="45" spans="1:5" s="831" customFormat="1" ht="15.75" thickBot="1" x14ac:dyDescent="0.3">
      <c r="A45" s="870"/>
    </row>
    <row r="46" spans="1:5" s="831" customFormat="1" ht="15.75" thickBot="1" x14ac:dyDescent="0.3">
      <c r="A46" s="1197" t="s">
        <v>1242</v>
      </c>
      <c r="B46" s="1198"/>
      <c r="C46" s="1198"/>
      <c r="D46" s="1198"/>
      <c r="E46" s="1199"/>
    </row>
    <row r="47" spans="1:5" s="831" customFormat="1" ht="15.75" x14ac:dyDescent="0.25">
      <c r="A47" s="871" t="s">
        <v>1243</v>
      </c>
      <c r="B47" s="872"/>
      <c r="C47" s="883" t="s">
        <v>1244</v>
      </c>
      <c r="D47" s="873"/>
      <c r="E47" s="874"/>
    </row>
    <row r="48" spans="1:5" s="831" customFormat="1" ht="15" customHeight="1" x14ac:dyDescent="0.25">
      <c r="A48" s="871" t="s">
        <v>1245</v>
      </c>
      <c r="B48" s="872"/>
      <c r="C48" s="884"/>
      <c r="D48" s="877" t="s">
        <v>1246</v>
      </c>
      <c r="E48" s="885"/>
    </row>
    <row r="49" spans="1:5" s="831" customFormat="1" ht="15.75" x14ac:dyDescent="0.25">
      <c r="A49" s="871" t="s">
        <v>1247</v>
      </c>
      <c r="B49" s="872"/>
      <c r="C49" s="884"/>
      <c r="D49" s="873" t="s">
        <v>1248</v>
      </c>
      <c r="E49" s="885"/>
    </row>
    <row r="50" spans="1:5" s="831" customFormat="1" ht="15.75" x14ac:dyDescent="0.25">
      <c r="A50" s="871" t="s">
        <v>1249</v>
      </c>
      <c r="B50" s="872"/>
      <c r="C50" s="884"/>
      <c r="D50" s="873"/>
      <c r="E50" s="874"/>
    </row>
    <row r="51" spans="1:5" s="831" customFormat="1" ht="15.75" x14ac:dyDescent="0.25">
      <c r="A51" s="871" t="s">
        <v>1250</v>
      </c>
      <c r="B51" s="872"/>
      <c r="C51" s="884"/>
      <c r="D51" s="873" t="s">
        <v>1251</v>
      </c>
      <c r="E51" s="885"/>
    </row>
    <row r="52" spans="1:5" s="831" customFormat="1" ht="15.75" x14ac:dyDescent="0.25">
      <c r="A52" s="871" t="s">
        <v>1252</v>
      </c>
      <c r="B52" s="872"/>
      <c r="C52" s="875"/>
      <c r="D52" s="872"/>
      <c r="E52" s="876"/>
    </row>
    <row r="53" spans="1:5" s="831" customFormat="1" x14ac:dyDescent="0.25">
      <c r="A53" s="1231"/>
      <c r="B53" s="1232"/>
      <c r="C53" s="1232"/>
      <c r="D53" s="1232"/>
      <c r="E53" s="1233"/>
    </row>
    <row r="54" spans="1:5" s="831" customFormat="1" ht="15.75" thickBot="1" x14ac:dyDescent="0.3">
      <c r="A54" s="1234"/>
      <c r="B54" s="1235"/>
      <c r="C54" s="1235"/>
      <c r="D54" s="1235"/>
      <c r="E54" s="1236"/>
    </row>
    <row r="55" spans="1:5" ht="15.75" thickBot="1" x14ac:dyDescent="0.3">
      <c r="A55" s="870"/>
      <c r="B55" s="831"/>
      <c r="C55" s="831"/>
      <c r="D55" s="831"/>
      <c r="E55" s="831"/>
    </row>
    <row r="56" spans="1:5" ht="30.75" customHeight="1" thickBot="1" x14ac:dyDescent="0.3">
      <c r="A56" s="1213" t="s">
        <v>777</v>
      </c>
      <c r="B56" s="1214"/>
      <c r="C56" s="1214"/>
      <c r="D56" s="1214"/>
      <c r="E56" s="1215"/>
    </row>
    <row r="57" spans="1:5" ht="15" customHeight="1" x14ac:dyDescent="0.25">
      <c r="A57" s="78"/>
      <c r="B57" s="79"/>
      <c r="C57" s="79"/>
      <c r="D57" s="79"/>
    </row>
    <row r="58" spans="1:5" ht="30.95" customHeight="1" thickBot="1" x14ac:dyDescent="0.3">
      <c r="A58" s="80" t="s">
        <v>778</v>
      </c>
      <c r="B58" s="285"/>
      <c r="C58" s="81" t="s">
        <v>779</v>
      </c>
      <c r="D58" s="285"/>
    </row>
    <row r="59" spans="1:5" ht="30.95" customHeight="1" thickBot="1" x14ac:dyDescent="0.3">
      <c r="A59" s="82" t="s">
        <v>780</v>
      </c>
      <c r="B59" s="285"/>
      <c r="C59" s="81" t="s">
        <v>781</v>
      </c>
      <c r="D59" s="286" t="s">
        <v>782</v>
      </c>
    </row>
    <row r="60" spans="1:5" ht="30.95" customHeight="1" thickBot="1" x14ac:dyDescent="0.3">
      <c r="A60" s="80" t="s">
        <v>783</v>
      </c>
      <c r="B60" s="285"/>
      <c r="C60" s="81" t="s">
        <v>779</v>
      </c>
      <c r="D60" s="286"/>
    </row>
    <row r="61" spans="1:5" ht="30.6" customHeight="1" thickBot="1" x14ac:dyDescent="0.3">
      <c r="A61" s="82" t="s">
        <v>780</v>
      </c>
      <c r="B61" s="285"/>
      <c r="C61" s="81" t="s">
        <v>781</v>
      </c>
      <c r="D61" s="286" t="s">
        <v>784</v>
      </c>
    </row>
    <row r="62" spans="1:5" ht="30.75" customHeight="1" thickBot="1" x14ac:dyDescent="0.3">
      <c r="A62" s="80" t="s">
        <v>785</v>
      </c>
      <c r="B62" s="285"/>
      <c r="C62" s="81" t="s">
        <v>779</v>
      </c>
      <c r="D62" s="285"/>
    </row>
    <row r="63" spans="1:5" ht="30.75" customHeight="1" thickBot="1" x14ac:dyDescent="0.3">
      <c r="A63" s="82" t="s">
        <v>780</v>
      </c>
      <c r="B63" s="286"/>
      <c r="C63" s="81" t="s">
        <v>781</v>
      </c>
      <c r="D63" s="286" t="s">
        <v>786</v>
      </c>
    </row>
    <row r="64" spans="1:5" ht="30.75" customHeight="1" thickBot="1" x14ac:dyDescent="0.3">
      <c r="A64" s="80" t="s">
        <v>787</v>
      </c>
      <c r="B64" s="286"/>
      <c r="C64" s="81" t="s">
        <v>779</v>
      </c>
      <c r="D64" s="286"/>
    </row>
    <row r="65" spans="1:5" ht="30.95" customHeight="1" thickBot="1" x14ac:dyDescent="0.3">
      <c r="A65" s="82" t="s">
        <v>780</v>
      </c>
      <c r="B65" s="286"/>
      <c r="C65" s="81" t="s">
        <v>781</v>
      </c>
      <c r="D65" s="286" t="s">
        <v>788</v>
      </c>
    </row>
    <row r="66" spans="1:5" ht="15.75" thickBot="1" x14ac:dyDescent="0.3">
      <c r="A66" s="5"/>
    </row>
    <row r="67" spans="1:5" ht="15.75" thickBot="1" x14ac:dyDescent="0.3">
      <c r="A67" s="1216" t="s">
        <v>789</v>
      </c>
      <c r="B67" s="1217"/>
      <c r="C67" s="1217"/>
      <c r="D67" s="1217"/>
      <c r="E67" s="1218"/>
    </row>
    <row r="68" spans="1:5" x14ac:dyDescent="0.25">
      <c r="A68" s="78"/>
      <c r="B68" s="79"/>
      <c r="C68" s="79"/>
      <c r="D68" s="79"/>
    </row>
    <row r="69" spans="1:5" ht="30.95" customHeight="1" thickBot="1" x14ac:dyDescent="0.3">
      <c r="A69" s="80" t="s">
        <v>778</v>
      </c>
      <c r="B69" s="285"/>
      <c r="C69" s="81" t="s">
        <v>779</v>
      </c>
      <c r="D69" s="285"/>
    </row>
    <row r="70" spans="1:5" ht="30.95" customHeight="1" thickBot="1" x14ac:dyDescent="0.3">
      <c r="A70" s="82" t="s">
        <v>780</v>
      </c>
      <c r="B70" s="285"/>
      <c r="C70" s="81" t="s">
        <v>781</v>
      </c>
      <c r="D70" s="286" t="s">
        <v>790</v>
      </c>
    </row>
    <row r="71" spans="1:5" ht="30.95" customHeight="1" thickBot="1" x14ac:dyDescent="0.3">
      <c r="A71" s="80" t="s">
        <v>783</v>
      </c>
      <c r="B71" s="285"/>
      <c r="C71" s="81" t="s">
        <v>779</v>
      </c>
      <c r="D71" s="285"/>
    </row>
    <row r="72" spans="1:5" ht="30.95" customHeight="1" thickBot="1" x14ac:dyDescent="0.3">
      <c r="A72" s="82" t="s">
        <v>780</v>
      </c>
      <c r="B72" s="286"/>
      <c r="C72" s="81" t="s">
        <v>781</v>
      </c>
      <c r="D72" s="286" t="s">
        <v>791</v>
      </c>
    </row>
    <row r="73" spans="1:5" ht="15.75" thickBot="1" x14ac:dyDescent="0.3"/>
    <row r="74" spans="1:5" ht="15.75" thickBot="1" x14ac:dyDescent="0.3">
      <c r="A74" s="1206" t="s">
        <v>1254</v>
      </c>
      <c r="B74" s="1207"/>
      <c r="C74" s="1207"/>
      <c r="D74" s="1207"/>
      <c r="E74" s="1208"/>
    </row>
    <row r="75" spans="1:5" ht="30.95" customHeight="1" thickBot="1" x14ac:dyDescent="0.3">
      <c r="A75" s="881" t="s">
        <v>793</v>
      </c>
      <c r="B75" s="285"/>
      <c r="C75" s="878" t="s">
        <v>779</v>
      </c>
      <c r="D75" s="285"/>
    </row>
    <row r="76" spans="1:5" ht="30.95" customHeight="1" thickBot="1" x14ac:dyDescent="0.3">
      <c r="A76" s="881" t="s">
        <v>1255</v>
      </c>
      <c r="B76" s="285"/>
      <c r="C76" s="878" t="s">
        <v>781</v>
      </c>
      <c r="D76" s="882" t="s">
        <v>1256</v>
      </c>
    </row>
    <row r="77" spans="1:5" ht="15" customHeight="1" thickBot="1" x14ac:dyDescent="0.3">
      <c r="A77" s="879"/>
      <c r="B77" s="879"/>
      <c r="C77" s="880"/>
      <c r="D77" s="880"/>
      <c r="E77" s="880"/>
    </row>
    <row r="78" spans="1:5" ht="15.75" thickBot="1" x14ac:dyDescent="0.3">
      <c r="A78" s="1209" t="s">
        <v>792</v>
      </c>
      <c r="B78" s="1210"/>
      <c r="C78" s="1210"/>
      <c r="D78" s="1210"/>
      <c r="E78" s="1211"/>
    </row>
    <row r="79" spans="1:5" x14ac:dyDescent="0.25">
      <c r="A79" s="78"/>
      <c r="B79" s="79"/>
      <c r="C79" s="79"/>
      <c r="D79" s="79"/>
    </row>
    <row r="80" spans="1:5" ht="30.95" customHeight="1" thickBot="1" x14ac:dyDescent="0.3">
      <c r="A80" s="80" t="s">
        <v>793</v>
      </c>
      <c r="B80" s="285"/>
      <c r="C80" s="81" t="s">
        <v>779</v>
      </c>
      <c r="D80" s="285"/>
    </row>
    <row r="81" spans="1:5" ht="30.95" customHeight="1" thickBot="1" x14ac:dyDescent="0.3">
      <c r="A81" s="83" t="s">
        <v>780</v>
      </c>
      <c r="B81" s="285"/>
      <c r="C81" s="81" t="s">
        <v>781</v>
      </c>
      <c r="D81" s="285"/>
    </row>
    <row r="82" spans="1:5" ht="15.75" thickBot="1" x14ac:dyDescent="0.3">
      <c r="A82" s="5"/>
    </row>
    <row r="83" spans="1:5" ht="15.75" thickBot="1" x14ac:dyDescent="0.3">
      <c r="A83" s="1209" t="s">
        <v>794</v>
      </c>
      <c r="B83" s="1210"/>
      <c r="C83" s="1210"/>
      <c r="D83" s="1210"/>
      <c r="E83" s="1211"/>
    </row>
    <row r="84" spans="1:5" x14ac:dyDescent="0.25">
      <c r="A84" s="78"/>
      <c r="B84" s="79"/>
      <c r="C84" s="79"/>
      <c r="D84" s="79"/>
    </row>
    <row r="85" spans="1:5" ht="30.95" customHeight="1" thickBot="1" x14ac:dyDescent="0.3">
      <c r="A85" s="80" t="s">
        <v>793</v>
      </c>
      <c r="B85" s="285"/>
      <c r="C85" s="81" t="s">
        <v>779</v>
      </c>
      <c r="D85" s="285"/>
    </row>
    <row r="86" spans="1:5" ht="30.95" customHeight="1" thickBot="1" x14ac:dyDescent="0.3">
      <c r="A86" s="83" t="s">
        <v>780</v>
      </c>
      <c r="B86" s="285"/>
      <c r="C86" s="81" t="s">
        <v>781</v>
      </c>
      <c r="D86" s="285"/>
    </row>
  </sheetData>
  <sheetProtection algorithmName="SHA-512" hashValue="5Tt2riOF0i3d77D155qDg2kmBpzYjYKdKOfCwdgk7Ka44Hn6cSIfCjEFBDxAzTEppldOXgosaqdYZuiJcXTvfw==" saltValue="6UfQqmLw10AauGNP5uJf1w=="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287" priority="7">
      <formula>NOT(ISBLANK(C48))</formula>
    </cfRule>
  </conditionalFormatting>
  <conditionalFormatting sqref="E48">
    <cfRule type="expression" dxfId="286" priority="6">
      <formula>NOT(ISBLANK(E48))</formula>
    </cfRule>
  </conditionalFormatting>
  <conditionalFormatting sqref="E49">
    <cfRule type="expression" dxfId="285" priority="5">
      <formula>NOT(ISBLANK(E49))</formula>
    </cfRule>
  </conditionalFormatting>
  <conditionalFormatting sqref="E51">
    <cfRule type="expression" dxfId="284" priority="4">
      <formula>NOT(ISBLANK(E51))</formula>
    </cfRule>
  </conditionalFormatting>
  <conditionalFormatting sqref="C49">
    <cfRule type="expression" dxfId="283" priority="3">
      <formula>NOT(ISBLANK(C49))</formula>
    </cfRule>
  </conditionalFormatting>
  <conditionalFormatting sqref="C50">
    <cfRule type="expression" dxfId="282" priority="2">
      <formula>NOT(ISBLANK(C50))</formula>
    </cfRule>
  </conditionalFormatting>
  <conditionalFormatting sqref="C51">
    <cfRule type="expression" dxfId="281"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903" customWidth="1"/>
    <col min="6" max="6" width="14.7109375" style="903" customWidth="1"/>
    <col min="7" max="7" width="13.140625" style="903" customWidth="1"/>
    <col min="8" max="8" width="15.140625" style="903"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505"/>
      <c r="B1" s="136"/>
      <c r="C1" s="136"/>
      <c r="D1" s="136"/>
      <c r="E1" s="136"/>
      <c r="F1" s="136"/>
      <c r="G1" s="136"/>
      <c r="H1" s="136"/>
      <c r="I1" s="136"/>
      <c r="J1" s="136"/>
      <c r="K1" s="136"/>
      <c r="L1" s="136"/>
      <c r="M1" s="136"/>
      <c r="N1" s="136"/>
      <c r="O1" s="136"/>
      <c r="P1" s="136"/>
      <c r="Q1" s="136"/>
      <c r="R1" s="136"/>
      <c r="S1" s="136"/>
      <c r="T1" s="136"/>
      <c r="U1" s="136"/>
      <c r="V1" s="136"/>
      <c r="W1" s="136"/>
      <c r="X1" s="136"/>
      <c r="Y1" s="136"/>
      <c r="Z1" s="136" t="s">
        <v>994</v>
      </c>
      <c r="AA1" s="136"/>
      <c r="AB1" s="136"/>
      <c r="AC1" s="136"/>
    </row>
    <row r="2" spans="1:29" ht="21" customHeight="1" x14ac:dyDescent="0.3">
      <c r="A2" s="143"/>
      <c r="B2" s="336"/>
      <c r="C2" s="357" t="s">
        <v>890</v>
      </c>
      <c r="D2" s="358"/>
      <c r="E2" s="358"/>
      <c r="F2" s="358"/>
      <c r="G2" s="358"/>
      <c r="H2" s="358"/>
      <c r="I2" s="359"/>
      <c r="J2" s="143"/>
      <c r="K2" s="136"/>
      <c r="L2" s="136"/>
      <c r="M2" s="136"/>
      <c r="N2" s="136"/>
      <c r="O2" s="136"/>
      <c r="P2" s="136"/>
      <c r="Q2" s="136"/>
      <c r="R2" s="136"/>
      <c r="S2" s="136"/>
      <c r="T2" s="136"/>
      <c r="U2" s="136"/>
      <c r="V2" s="136"/>
      <c r="W2" s="136"/>
      <c r="X2" s="136"/>
      <c r="Y2" s="136"/>
      <c r="Z2" s="136"/>
      <c r="AA2" s="136"/>
      <c r="AB2" s="136"/>
      <c r="AC2" s="136"/>
    </row>
    <row r="3" spans="1:29" ht="21.6" customHeight="1" x14ac:dyDescent="0.3">
      <c r="A3" s="143"/>
      <c r="B3" s="373"/>
      <c r="C3" s="1237" t="s">
        <v>1222</v>
      </c>
      <c r="D3" s="1238"/>
      <c r="E3" s="136"/>
      <c r="F3" s="136"/>
      <c r="G3" s="136"/>
      <c r="H3" s="136"/>
      <c r="I3" s="356"/>
      <c r="J3" s="143"/>
      <c r="K3" s="136"/>
      <c r="L3" s="136"/>
      <c r="M3" s="136"/>
      <c r="N3" s="136"/>
      <c r="O3" s="136"/>
      <c r="P3" s="136"/>
      <c r="Q3" s="136"/>
      <c r="R3" s="136"/>
      <c r="S3" s="136"/>
      <c r="T3" s="136"/>
      <c r="U3" s="136"/>
      <c r="V3" s="136"/>
      <c r="W3" s="136"/>
      <c r="X3" s="136"/>
      <c r="Y3" s="136"/>
      <c r="Z3" s="136"/>
      <c r="AA3" s="136"/>
      <c r="AB3" s="136"/>
      <c r="AC3" s="136"/>
    </row>
    <row r="4" spans="1:29" x14ac:dyDescent="0.25">
      <c r="A4" s="143"/>
      <c r="B4" s="374"/>
      <c r="C4" s="360" t="s">
        <v>883</v>
      </c>
      <c r="D4" s="504">
        <f>'Existing Customers'!$L$2</f>
        <v>0</v>
      </c>
      <c r="E4" s="143"/>
      <c r="F4" s="143"/>
      <c r="G4" s="143"/>
      <c r="H4" s="143"/>
      <c r="I4" s="356"/>
      <c r="J4" s="143"/>
      <c r="K4" s="136"/>
      <c r="L4" s="136"/>
      <c r="M4" s="136"/>
      <c r="N4" s="136"/>
      <c r="O4" s="136"/>
      <c r="P4" s="136"/>
      <c r="Q4" s="136"/>
      <c r="R4" s="136"/>
      <c r="S4" s="136"/>
      <c r="T4" s="136"/>
      <c r="U4" s="136"/>
      <c r="V4" s="136"/>
      <c r="W4" s="136"/>
      <c r="X4" s="136"/>
      <c r="Y4" s="136"/>
      <c r="Z4" s="136"/>
      <c r="AA4" s="136"/>
      <c r="AB4" s="136"/>
      <c r="AC4" s="136"/>
    </row>
    <row r="5" spans="1:29" ht="16.899999999999999" customHeight="1" x14ac:dyDescent="0.25">
      <c r="A5" s="143"/>
      <c r="B5" s="374"/>
      <c r="C5" s="143"/>
      <c r="D5" s="143"/>
      <c r="E5" s="143"/>
      <c r="F5" s="143"/>
      <c r="G5" s="143"/>
      <c r="H5" s="143"/>
      <c r="I5" s="356"/>
      <c r="J5" s="143"/>
      <c r="K5" s="136"/>
      <c r="L5" s="136"/>
      <c r="M5" s="136"/>
      <c r="N5" s="136"/>
      <c r="O5" s="136"/>
      <c r="P5" s="136"/>
      <c r="Q5" s="136"/>
      <c r="R5" s="136"/>
      <c r="S5" s="136"/>
      <c r="T5" s="136"/>
      <c r="U5" s="136"/>
      <c r="V5" s="136"/>
      <c r="W5" s="136"/>
      <c r="X5" s="136"/>
      <c r="Y5" s="136"/>
      <c r="Z5" s="136"/>
      <c r="AA5" s="136"/>
      <c r="AB5" s="136"/>
      <c r="AC5" s="136"/>
    </row>
    <row r="6" spans="1:29" s="899" customFormat="1" ht="16.899999999999999" customHeight="1" x14ac:dyDescent="0.25">
      <c r="A6" s="143"/>
      <c r="B6" s="374"/>
      <c r="C6" s="360" t="s">
        <v>1266</v>
      </c>
      <c r="D6" s="900" t="s">
        <v>1267</v>
      </c>
      <c r="E6" s="143"/>
      <c r="F6" s="143"/>
      <c r="G6" s="143"/>
      <c r="H6" s="143"/>
      <c r="I6" s="356"/>
      <c r="J6" s="143"/>
      <c r="K6" s="136"/>
      <c r="L6" s="136"/>
      <c r="M6" s="136"/>
      <c r="N6" s="136"/>
      <c r="O6" s="136"/>
      <c r="P6" s="136"/>
      <c r="Q6" s="136"/>
      <c r="R6" s="136"/>
      <c r="S6" s="136"/>
      <c r="T6" s="136"/>
      <c r="U6" s="136"/>
      <c r="V6" s="136"/>
      <c r="W6" s="136"/>
      <c r="X6" s="136"/>
      <c r="Y6" s="136"/>
      <c r="Z6" s="136"/>
      <c r="AA6" s="136"/>
      <c r="AB6" s="136"/>
      <c r="AC6" s="136"/>
    </row>
    <row r="7" spans="1:29" s="899" customFormat="1" ht="16.899999999999999" customHeight="1" x14ac:dyDescent="0.25">
      <c r="A7" s="143"/>
      <c r="B7" s="374"/>
      <c r="C7" s="143"/>
      <c r="D7" s="143"/>
      <c r="E7" s="143"/>
      <c r="F7" s="143"/>
      <c r="G7" s="143"/>
      <c r="H7" s="143"/>
      <c r="I7" s="356"/>
      <c r="J7" s="143"/>
      <c r="K7" s="136"/>
      <c r="L7" s="136"/>
      <c r="M7" s="136"/>
      <c r="N7" s="136"/>
      <c r="O7" s="136"/>
      <c r="P7" s="136"/>
      <c r="Q7" s="136"/>
      <c r="R7" s="136"/>
      <c r="S7" s="136"/>
      <c r="T7" s="136"/>
      <c r="U7" s="136"/>
      <c r="V7" s="136"/>
      <c r="W7" s="136"/>
      <c r="X7" s="136"/>
      <c r="Y7" s="136"/>
      <c r="Z7" s="136"/>
      <c r="AA7" s="136"/>
      <c r="AB7" s="136"/>
      <c r="AC7" s="136"/>
    </row>
    <row r="8" spans="1:29" x14ac:dyDescent="0.25">
      <c r="A8" s="143"/>
      <c r="B8" s="374"/>
      <c r="C8" s="360" t="s">
        <v>1268</v>
      </c>
      <c r="D8" s="361"/>
      <c r="E8" s="143"/>
      <c r="F8" s="143"/>
      <c r="G8" s="143"/>
      <c r="H8" s="143"/>
      <c r="I8" s="356"/>
      <c r="J8" s="143"/>
      <c r="K8" s="136"/>
      <c r="L8" s="136"/>
      <c r="M8" s="136"/>
      <c r="N8" s="136"/>
      <c r="O8" s="136"/>
      <c r="P8" s="136"/>
      <c r="Q8" s="136"/>
      <c r="R8" s="136"/>
      <c r="S8" s="136"/>
      <c r="T8" s="136"/>
      <c r="U8" s="136"/>
      <c r="V8" s="136"/>
      <c r="W8" s="136"/>
      <c r="X8" s="136"/>
      <c r="Y8" s="136"/>
      <c r="Z8" s="136"/>
      <c r="AA8" s="136"/>
      <c r="AB8" s="136"/>
      <c r="AC8" s="136"/>
    </row>
    <row r="9" spans="1:29" ht="16.899999999999999" customHeight="1" x14ac:dyDescent="0.25">
      <c r="A9" s="143"/>
      <c r="B9" s="374"/>
      <c r="C9" s="757"/>
      <c r="D9" s="757"/>
      <c r="E9" s="143"/>
      <c r="F9" s="143"/>
      <c r="G9" s="143"/>
      <c r="H9" s="143"/>
      <c r="I9" s="356"/>
      <c r="J9" s="143"/>
      <c r="K9" s="136"/>
      <c r="L9" s="136"/>
      <c r="M9" s="136"/>
      <c r="N9" s="136"/>
      <c r="O9" s="136"/>
      <c r="P9" s="136"/>
      <c r="Q9" s="136"/>
      <c r="R9" s="136"/>
      <c r="S9" s="136"/>
      <c r="T9" s="136"/>
      <c r="U9" s="136"/>
      <c r="V9" s="136"/>
      <c r="W9" s="136"/>
      <c r="X9" s="136"/>
      <c r="Y9" s="136" t="s">
        <v>1185</v>
      </c>
      <c r="Z9" s="136">
        <f>D8</f>
        <v>0</v>
      </c>
      <c r="AA9" s="136"/>
      <c r="AB9" s="136"/>
      <c r="AC9" s="136"/>
    </row>
    <row r="10" spans="1:29" hidden="1" x14ac:dyDescent="0.25">
      <c r="A10" s="143"/>
      <c r="B10" s="374"/>
      <c r="C10" s="360" t="s">
        <v>1186</v>
      </c>
      <c r="D10" s="361" t="s">
        <v>655</v>
      </c>
      <c r="E10" s="143"/>
      <c r="F10" s="143"/>
      <c r="G10" s="143"/>
      <c r="H10" s="143"/>
      <c r="I10" s="356"/>
      <c r="J10" s="143"/>
      <c r="K10" s="136"/>
      <c r="L10" s="136"/>
      <c r="M10" s="136"/>
      <c r="N10" s="136"/>
      <c r="O10" s="136"/>
      <c r="P10" s="136"/>
      <c r="Q10" s="136"/>
      <c r="R10" s="136"/>
      <c r="S10" s="136"/>
      <c r="T10" s="136"/>
      <c r="U10" s="136"/>
      <c r="V10" s="136"/>
      <c r="W10" s="136"/>
      <c r="X10" s="136"/>
      <c r="Y10" s="136" t="s">
        <v>1184</v>
      </c>
      <c r="Z10" s="804" t="s">
        <v>211</v>
      </c>
      <c r="AA10" s="136"/>
      <c r="AB10" s="136"/>
      <c r="AC10" s="136"/>
    </row>
    <row r="11" spans="1:29" ht="16.899999999999999" hidden="1" customHeight="1" x14ac:dyDescent="0.25">
      <c r="A11" s="143"/>
      <c r="B11" s="374"/>
      <c r="C11" s="143"/>
      <c r="D11" s="143"/>
      <c r="E11" s="143"/>
      <c r="F11" s="143"/>
      <c r="G11" s="143"/>
      <c r="H11" s="143"/>
      <c r="I11" s="356"/>
      <c r="J11" s="143"/>
      <c r="K11" s="136"/>
      <c r="L11" s="136"/>
      <c r="M11" s="136"/>
      <c r="N11" s="136"/>
      <c r="O11" s="136"/>
      <c r="P11" s="136"/>
      <c r="Q11" s="136"/>
      <c r="R11" s="136"/>
      <c r="S11" s="136"/>
      <c r="T11" s="136"/>
      <c r="U11" s="136"/>
      <c r="V11" s="136"/>
      <c r="W11" s="136"/>
      <c r="X11" s="136"/>
      <c r="Y11" s="136">
        <v>1</v>
      </c>
      <c r="Z11" s="52" t="str">
        <f>IF(AND($Z$9="MDA",$D$10="No"),"",IF(AND($Z$9="MDA",$D$10="Yes"),Y11,IF(OR($Z$9="PON ONLY",$Z$9="MDA",$Z$9="CIA",$Z$9="PON with Existing CIA",$Z$9="PON with New CIA"),Y11,"")))</f>
        <v/>
      </c>
      <c r="AA11" s="136"/>
      <c r="AB11" s="136"/>
      <c r="AC11" s="136"/>
    </row>
    <row r="12" spans="1:29" x14ac:dyDescent="0.25">
      <c r="A12" s="143"/>
      <c r="B12" s="374"/>
      <c r="C12" s="360" t="s">
        <v>1269</v>
      </c>
      <c r="D12" s="901" t="s">
        <v>211</v>
      </c>
      <c r="E12" s="143"/>
      <c r="F12" s="143"/>
      <c r="G12" s="143"/>
      <c r="H12" s="143"/>
      <c r="I12" s="356"/>
      <c r="J12" s="143"/>
      <c r="K12" s="136"/>
      <c r="L12" s="136"/>
      <c r="M12" s="136"/>
      <c r="N12" s="136"/>
      <c r="O12" s="136"/>
      <c r="P12" s="136"/>
      <c r="Q12" s="136"/>
      <c r="R12" s="136"/>
      <c r="S12" s="136"/>
      <c r="T12" s="136"/>
      <c r="U12" s="136"/>
      <c r="V12" s="136"/>
      <c r="W12" s="136"/>
      <c r="X12" s="136"/>
      <c r="Y12" s="136">
        <v>2</v>
      </c>
      <c r="Z12" s="52" t="str">
        <f>IF(OR($Z$9="PON ONLY",$Z$9="PON with Existing CIA"),"",IF($Z$9="MDA",Y12,IF($Z$9="CIA",Y12,IF($Z$9="PON with New CIA",Y12,""))))</f>
        <v/>
      </c>
      <c r="AA12" s="136"/>
      <c r="AB12" s="136"/>
      <c r="AC12" s="136"/>
    </row>
    <row r="13" spans="1:29" s="746" customFormat="1" x14ac:dyDescent="0.25">
      <c r="A13" s="143"/>
      <c r="B13" s="374"/>
      <c r="C13" s="362"/>
      <c r="D13" s="144"/>
      <c r="E13" s="143"/>
      <c r="F13" s="143"/>
      <c r="G13" s="143"/>
      <c r="H13" s="143"/>
      <c r="I13" s="356"/>
      <c r="J13" s="143"/>
      <c r="K13" s="136"/>
      <c r="L13" s="136"/>
      <c r="M13" s="136"/>
      <c r="N13" s="136"/>
      <c r="O13" s="136"/>
      <c r="P13" s="136"/>
      <c r="Q13" s="136"/>
      <c r="R13" s="136"/>
      <c r="S13" s="136"/>
      <c r="T13" s="136"/>
      <c r="U13" s="136"/>
      <c r="V13" s="136"/>
      <c r="W13" s="136"/>
      <c r="X13" s="136"/>
      <c r="Y13" s="136">
        <v>3</v>
      </c>
      <c r="Z13" s="52" t="str">
        <f>IF(OR($Z$9="PON ONLY",$Z$9="PON with Existing CIA"),"",IF($Z$9="MDA",Y13,IF($Z$9="CIA",Y13,IF($Z$9="PON with New CIA",Y13,""))))</f>
        <v/>
      </c>
      <c r="AA13" s="136"/>
      <c r="AB13" s="136"/>
      <c r="AC13" s="136"/>
    </row>
    <row r="14" spans="1:29" x14ac:dyDescent="0.25">
      <c r="A14" s="143"/>
      <c r="B14" s="374"/>
      <c r="C14" s="360" t="s">
        <v>375</v>
      </c>
      <c r="D14" s="361" t="s">
        <v>458</v>
      </c>
      <c r="E14" s="143"/>
      <c r="F14" s="143"/>
      <c r="G14" s="143"/>
      <c r="H14" s="143"/>
      <c r="I14" s="356"/>
      <c r="J14" s="143"/>
      <c r="K14" s="136"/>
      <c r="L14" s="136"/>
      <c r="M14" s="136"/>
      <c r="N14" s="136"/>
      <c r="O14" s="136"/>
      <c r="P14" s="136"/>
      <c r="Q14" s="136"/>
      <c r="R14" s="136"/>
      <c r="S14" s="136"/>
      <c r="T14" s="136"/>
      <c r="U14" s="136"/>
      <c r="V14" s="136"/>
      <c r="W14" s="136"/>
      <c r="X14" s="136"/>
      <c r="Y14" s="136">
        <v>4</v>
      </c>
      <c r="Z14" s="52" t="str">
        <f>IF(OR($Z$9="PON ONLY",$Z$9="PON with Existing CIA"),"",IF($Z$9="MDA",Y14,IF($Z$9="CIA",Y14,IF($Z$9="PON with New CIA",Y14,""))))</f>
        <v/>
      </c>
      <c r="AA14" s="136"/>
      <c r="AB14" s="136"/>
      <c r="AC14" s="136"/>
    </row>
    <row r="15" spans="1:29" ht="19.899999999999999" customHeight="1" x14ac:dyDescent="0.25">
      <c r="A15" s="143"/>
      <c r="B15" s="374"/>
      <c r="E15" s="143"/>
      <c r="F15" s="143"/>
      <c r="G15" s="143"/>
      <c r="H15" s="143"/>
      <c r="I15" s="356"/>
      <c r="J15" s="143"/>
      <c r="K15" s="136"/>
      <c r="L15" s="136"/>
      <c r="M15" s="136"/>
      <c r="N15" s="136"/>
      <c r="O15" s="136"/>
      <c r="P15" s="136"/>
      <c r="Q15" s="136"/>
      <c r="R15" s="136"/>
      <c r="S15" s="136"/>
      <c r="T15" s="136"/>
      <c r="U15" s="136"/>
      <c r="V15" s="136"/>
      <c r="W15" s="136"/>
      <c r="X15" s="136"/>
      <c r="Y15" s="136">
        <v>5</v>
      </c>
      <c r="Z15" s="52" t="str">
        <f>IF(OR($Z$9="PON ONLY",$Z$9="PON with Existing CIA"),"",IF($Z$9="MDA",Y15,IF($Z$9="CIA",Y15,IF($Z$9="PON with New CIA",Y15,""))))</f>
        <v/>
      </c>
      <c r="AA15" s="136"/>
      <c r="AB15" s="136"/>
      <c r="AC15" s="136"/>
    </row>
    <row r="16" spans="1:29" x14ac:dyDescent="0.25">
      <c r="A16" s="143"/>
      <c r="B16" s="374"/>
      <c r="C16" s="360" t="s">
        <v>1171</v>
      </c>
      <c r="D16" s="361"/>
      <c r="E16" s="143"/>
      <c r="F16" s="143"/>
      <c r="G16" s="143"/>
      <c r="H16" s="143"/>
      <c r="I16" s="356"/>
      <c r="J16" s="143"/>
      <c r="K16" s="136"/>
      <c r="L16" s="136"/>
      <c r="M16" s="136"/>
      <c r="N16" s="136"/>
      <c r="O16" s="136"/>
      <c r="P16" s="136"/>
      <c r="Q16" s="136"/>
      <c r="R16" s="136"/>
      <c r="S16" s="136"/>
      <c r="T16" s="136"/>
      <c r="U16" s="136"/>
      <c r="V16" s="136"/>
      <c r="W16" s="136"/>
      <c r="X16" s="136"/>
      <c r="Y16" s="136"/>
      <c r="Z16" s="136"/>
      <c r="AA16" s="136"/>
      <c r="AB16" s="136"/>
      <c r="AC16" s="136"/>
    </row>
    <row r="17" spans="1:29" s="902" customFormat="1" x14ac:dyDescent="0.25">
      <c r="A17" s="143"/>
      <c r="B17" s="374"/>
      <c r="C17" s="136"/>
      <c r="D17" s="136"/>
      <c r="E17" s="143"/>
      <c r="F17" s="143"/>
      <c r="G17" s="143"/>
      <c r="H17" s="143"/>
      <c r="I17" s="356"/>
      <c r="J17" s="143"/>
      <c r="K17" s="136"/>
      <c r="L17" s="136"/>
      <c r="M17" s="136"/>
      <c r="N17" s="136"/>
      <c r="O17" s="136"/>
      <c r="P17" s="136"/>
      <c r="Q17" s="136"/>
      <c r="R17" s="136"/>
      <c r="S17" s="136"/>
      <c r="T17" s="136"/>
      <c r="U17" s="136"/>
      <c r="V17" s="136"/>
      <c r="W17" s="136"/>
      <c r="X17" s="136"/>
      <c r="Y17" s="136"/>
      <c r="Z17" s="136"/>
      <c r="AA17" s="136"/>
      <c r="AB17" s="136"/>
      <c r="AC17" s="136"/>
    </row>
    <row r="18" spans="1:29" s="902" customFormat="1" hidden="1" x14ac:dyDescent="0.25">
      <c r="A18" s="143"/>
      <c r="B18" s="374"/>
      <c r="C18" s="360" t="s">
        <v>1270</v>
      </c>
      <c r="D18" s="361" t="s">
        <v>655</v>
      </c>
      <c r="E18" s="143"/>
      <c r="F18" s="143"/>
      <c r="G18" s="143"/>
      <c r="H18" s="143"/>
      <c r="I18" s="356"/>
      <c r="J18" s="143"/>
      <c r="K18" s="136"/>
      <c r="L18" s="136"/>
      <c r="M18" s="136"/>
      <c r="N18" s="136"/>
      <c r="O18" s="136"/>
      <c r="P18" s="136"/>
      <c r="Q18" s="136"/>
      <c r="R18" s="136"/>
      <c r="S18" s="136"/>
      <c r="T18" s="136"/>
      <c r="U18" s="136"/>
      <c r="V18" s="136"/>
      <c r="W18" s="136"/>
      <c r="X18" s="136"/>
      <c r="Y18" s="136"/>
      <c r="Z18" s="136"/>
      <c r="AA18" s="136"/>
      <c r="AB18" s="136"/>
      <c r="AC18" s="136"/>
    </row>
    <row r="19" spans="1:29" s="902" customFormat="1" hidden="1" x14ac:dyDescent="0.25">
      <c r="A19" s="143"/>
      <c r="B19" s="374"/>
      <c r="C19" s="136"/>
      <c r="D19" s="136"/>
      <c r="E19" s="143"/>
      <c r="F19" s="143"/>
      <c r="G19" s="143"/>
      <c r="H19" s="143"/>
      <c r="I19" s="356"/>
      <c r="J19" s="143"/>
      <c r="K19" s="136"/>
      <c r="L19" s="136"/>
      <c r="M19" s="136"/>
      <c r="N19" s="136"/>
      <c r="O19" s="136"/>
      <c r="P19" s="136"/>
      <c r="Q19" s="136"/>
      <c r="R19" s="136"/>
      <c r="S19" s="136"/>
      <c r="T19" s="136"/>
      <c r="U19" s="136"/>
      <c r="V19" s="136"/>
      <c r="W19" s="136"/>
      <c r="X19" s="136"/>
      <c r="Y19" s="136"/>
      <c r="Z19" s="136"/>
      <c r="AA19" s="136"/>
      <c r="AB19" s="136"/>
      <c r="AC19" s="136"/>
    </row>
    <row r="20" spans="1:29" s="902" customFormat="1" hidden="1" x14ac:dyDescent="0.25">
      <c r="A20" s="143"/>
      <c r="B20" s="374"/>
      <c r="C20" s="360" t="s">
        <v>1271</v>
      </c>
      <c r="D20" s="904"/>
      <c r="E20" s="143"/>
      <c r="F20" s="143"/>
      <c r="G20" s="143"/>
      <c r="H20" s="143"/>
      <c r="I20" s="356"/>
      <c r="J20" s="143"/>
      <c r="K20" s="136"/>
      <c r="L20" s="136"/>
      <c r="M20" s="136"/>
      <c r="N20" s="136"/>
      <c r="O20" s="136"/>
      <c r="P20" s="136"/>
      <c r="Q20" s="136"/>
      <c r="R20" s="136"/>
      <c r="S20" s="136"/>
      <c r="T20" s="136"/>
      <c r="U20" s="136"/>
      <c r="V20" s="136"/>
      <c r="W20" s="136"/>
      <c r="X20" s="136"/>
      <c r="Y20" s="136"/>
      <c r="Z20" s="136"/>
      <c r="AA20" s="136"/>
      <c r="AB20" s="136"/>
      <c r="AC20" s="136"/>
    </row>
    <row r="21" spans="1:29" s="903" customFormat="1" hidden="1" x14ac:dyDescent="0.25">
      <c r="A21" s="143"/>
      <c r="B21" s="374"/>
      <c r="C21" s="136"/>
      <c r="D21" s="136"/>
      <c r="E21" s="136"/>
      <c r="F21" s="136"/>
      <c r="G21" s="136"/>
      <c r="H21" s="136"/>
      <c r="I21" s="356"/>
      <c r="J21" s="143"/>
      <c r="K21" s="136"/>
      <c r="L21" s="136"/>
      <c r="M21" s="136"/>
      <c r="N21" s="136"/>
      <c r="O21" s="136"/>
      <c r="P21" s="136"/>
      <c r="Q21" s="136"/>
      <c r="R21" s="136"/>
      <c r="S21" s="136"/>
      <c r="T21" s="136"/>
      <c r="U21" s="136"/>
      <c r="V21" s="136"/>
      <c r="W21" s="136"/>
      <c r="X21" s="136"/>
      <c r="Y21" s="136"/>
      <c r="Z21" s="136"/>
      <c r="AA21" s="136"/>
      <c r="AB21" s="136"/>
      <c r="AC21" s="136"/>
    </row>
    <row r="22" spans="1:29" s="903" customFormat="1" x14ac:dyDescent="0.25">
      <c r="A22" s="143"/>
      <c r="B22" s="374"/>
      <c r="C22" s="136"/>
      <c r="D22" s="136"/>
      <c r="E22" s="136"/>
      <c r="F22" s="136"/>
      <c r="G22" s="136"/>
      <c r="H22" s="136"/>
      <c r="I22" s="356"/>
      <c r="J22" s="143"/>
      <c r="K22" s="136"/>
      <c r="L22" s="136"/>
      <c r="M22" s="136"/>
      <c r="N22" s="136"/>
      <c r="O22" s="136"/>
      <c r="P22" s="136"/>
      <c r="Q22" s="136"/>
      <c r="R22" s="136"/>
      <c r="S22" s="136"/>
      <c r="T22" s="136"/>
      <c r="U22" s="136"/>
      <c r="V22" s="136"/>
      <c r="W22" s="136"/>
      <c r="X22" s="136"/>
      <c r="Y22" s="136"/>
      <c r="Z22" s="136"/>
      <c r="AA22" s="136"/>
      <c r="AB22" s="136"/>
      <c r="AC22" s="136"/>
    </row>
    <row r="23" spans="1:29" s="903" customFormat="1" x14ac:dyDescent="0.25">
      <c r="A23" s="143"/>
      <c r="B23" s="374"/>
      <c r="C23" s="136"/>
      <c r="D23" s="136"/>
      <c r="E23" s="136"/>
      <c r="F23" s="136"/>
      <c r="G23" s="136"/>
      <c r="H23" s="136"/>
      <c r="I23" s="356"/>
      <c r="J23" s="143"/>
      <c r="K23" s="136"/>
      <c r="L23" s="136"/>
      <c r="M23" s="136"/>
      <c r="N23" s="136"/>
      <c r="O23" s="136"/>
      <c r="P23" s="136"/>
      <c r="Q23" s="136"/>
      <c r="R23" s="136"/>
      <c r="S23" s="136"/>
      <c r="T23" s="136"/>
      <c r="U23" s="136"/>
      <c r="V23" s="136"/>
      <c r="W23" s="136"/>
      <c r="X23" s="136"/>
      <c r="Y23" s="136"/>
      <c r="Z23" s="136"/>
      <c r="AA23" s="136"/>
      <c r="AB23" s="136"/>
      <c r="AC23" s="136"/>
    </row>
    <row r="24" spans="1:29" s="903" customFormat="1" x14ac:dyDescent="0.25">
      <c r="A24" s="143"/>
      <c r="B24" s="374"/>
      <c r="C24" s="136"/>
      <c r="D24" s="136"/>
      <c r="E24" s="136"/>
      <c r="F24" s="136"/>
      <c r="G24" s="136"/>
      <c r="H24" s="136"/>
      <c r="I24" s="356"/>
      <c r="J24" s="143"/>
      <c r="K24" s="136"/>
      <c r="L24" s="136"/>
      <c r="M24" s="136"/>
      <c r="N24" s="136"/>
      <c r="O24" s="136"/>
      <c r="P24" s="136"/>
      <c r="Q24" s="136"/>
      <c r="R24" s="136"/>
      <c r="S24" s="136"/>
      <c r="T24" s="136"/>
      <c r="U24" s="136"/>
      <c r="V24" s="136"/>
      <c r="W24" s="136"/>
      <c r="X24" s="136"/>
      <c r="Y24" s="136"/>
      <c r="Z24" s="136"/>
      <c r="AA24" s="136"/>
      <c r="AB24" s="136"/>
      <c r="AC24" s="136"/>
    </row>
    <row r="25" spans="1:29" s="903" customFormat="1" ht="29.25" hidden="1" customHeight="1" x14ac:dyDescent="0.25">
      <c r="A25" s="143"/>
      <c r="B25" s="374"/>
      <c r="C25" s="905" t="s">
        <v>245</v>
      </c>
      <c r="D25" s="908" t="s">
        <v>659</v>
      </c>
      <c r="E25" s="908" t="s">
        <v>1272</v>
      </c>
      <c r="F25" s="908" t="s">
        <v>1273</v>
      </c>
      <c r="G25" s="907" t="s">
        <v>266</v>
      </c>
      <c r="H25" s="906" t="s">
        <v>1274</v>
      </c>
      <c r="I25" s="356"/>
      <c r="J25" s="143"/>
      <c r="K25" s="136"/>
      <c r="L25" s="136"/>
      <c r="M25" s="136"/>
      <c r="N25" s="136"/>
      <c r="O25" s="136"/>
      <c r="P25" s="136"/>
      <c r="Q25" s="136"/>
      <c r="R25" s="136"/>
      <c r="S25" s="136"/>
      <c r="T25" s="136"/>
      <c r="U25" s="136"/>
      <c r="V25" s="136"/>
      <c r="W25" s="136"/>
      <c r="X25" s="136"/>
      <c r="Y25" s="136"/>
      <c r="Z25" s="136"/>
      <c r="AA25" s="136"/>
      <c r="AB25" s="136"/>
      <c r="AC25" s="136"/>
    </row>
    <row r="26" spans="1:29" s="903" customFormat="1" ht="26.25" hidden="1" customHeight="1" thickBot="1" x14ac:dyDescent="0.3">
      <c r="A26" s="143"/>
      <c r="B26" s="374"/>
      <c r="C26" s="909">
        <f>D4</f>
        <v>0</v>
      </c>
      <c r="D26" s="910"/>
      <c r="E26" s="910"/>
      <c r="F26" s="911"/>
      <c r="G26" s="913">
        <f>D26+E26+F26</f>
        <v>0</v>
      </c>
      <c r="H26" s="912">
        <v>5</v>
      </c>
      <c r="I26" s="356"/>
      <c r="J26" s="143"/>
      <c r="K26" s="136"/>
      <c r="L26" s="136"/>
      <c r="M26" s="136"/>
      <c r="N26" s="136"/>
      <c r="O26" s="136"/>
      <c r="P26" s="136"/>
      <c r="Q26" s="136"/>
      <c r="R26" s="136"/>
      <c r="S26" s="136"/>
      <c r="T26" s="136"/>
      <c r="U26" s="136"/>
      <c r="V26" s="136"/>
      <c r="W26" s="136"/>
      <c r="X26" s="136"/>
      <c r="Y26" s="136"/>
      <c r="Z26" s="136"/>
      <c r="AA26" s="136"/>
      <c r="AB26" s="136"/>
      <c r="AC26" s="136"/>
    </row>
    <row r="27" spans="1:29" ht="19.899999999999999" customHeight="1" thickBot="1" x14ac:dyDescent="0.3">
      <c r="A27" s="143"/>
      <c r="B27" s="363"/>
      <c r="C27" s="375"/>
      <c r="D27" s="392"/>
      <c r="E27" s="392"/>
      <c r="F27" s="392"/>
      <c r="G27" s="392"/>
      <c r="H27" s="392"/>
      <c r="I27" s="364"/>
      <c r="J27" s="143"/>
      <c r="K27" s="136"/>
      <c r="L27" s="136"/>
      <c r="M27" s="136"/>
      <c r="N27" s="136"/>
      <c r="O27" s="136"/>
      <c r="P27" s="136"/>
      <c r="Q27" s="136"/>
      <c r="R27" s="136"/>
      <c r="S27" s="136"/>
      <c r="T27" s="136"/>
      <c r="U27" s="136"/>
      <c r="V27" s="136"/>
      <c r="W27" s="136"/>
      <c r="X27" s="136"/>
      <c r="Y27" s="136"/>
      <c r="Z27" s="136"/>
      <c r="AA27" s="136"/>
      <c r="AB27" s="136"/>
      <c r="AC27" s="136"/>
    </row>
    <row r="28" spans="1:29" ht="33" customHeight="1" thickBot="1" x14ac:dyDescent="0.3">
      <c r="A28" s="143"/>
      <c r="B28" s="143"/>
      <c r="C28" s="362"/>
      <c r="D28" s="144"/>
      <c r="E28" s="144"/>
      <c r="F28" s="144"/>
      <c r="G28" s="144"/>
      <c r="H28" s="144"/>
      <c r="I28" s="143"/>
      <c r="J28" s="143"/>
      <c r="K28" s="136"/>
      <c r="L28" s="136"/>
      <c r="M28" s="136"/>
      <c r="N28" s="136"/>
      <c r="O28" s="136"/>
      <c r="P28" s="136"/>
      <c r="Q28" s="136"/>
      <c r="R28" s="136"/>
      <c r="S28" s="136"/>
      <c r="T28" s="136"/>
      <c r="U28" s="136"/>
      <c r="V28" s="136"/>
      <c r="W28" s="136"/>
      <c r="X28" s="136"/>
      <c r="Y28" s="136"/>
      <c r="Z28" s="136"/>
      <c r="AA28" s="136"/>
      <c r="AB28" s="136"/>
      <c r="AC28" s="136"/>
    </row>
    <row r="29" spans="1:29" ht="19.899999999999999" customHeight="1" thickBot="1" x14ac:dyDescent="0.3">
      <c r="A29" s="143"/>
      <c r="B29" s="1248" t="s">
        <v>1275</v>
      </c>
      <c r="C29" s="1249"/>
      <c r="D29" s="1249"/>
      <c r="E29" s="1249"/>
      <c r="F29" s="1249"/>
      <c r="G29" s="1249"/>
      <c r="H29" s="1249"/>
      <c r="I29" s="1250"/>
      <c r="J29" s="143"/>
      <c r="K29" s="136"/>
      <c r="L29" s="136"/>
      <c r="M29" s="136"/>
      <c r="N29" s="136"/>
      <c r="O29" s="136"/>
      <c r="P29" s="136"/>
      <c r="Q29" s="136"/>
      <c r="R29" s="136"/>
      <c r="S29" s="136"/>
      <c r="T29" s="136"/>
      <c r="U29" s="136"/>
      <c r="V29" s="136"/>
      <c r="W29" s="136"/>
      <c r="X29" s="136"/>
      <c r="Y29" s="136"/>
      <c r="Z29" s="136"/>
      <c r="AA29" s="136"/>
      <c r="AB29" s="136"/>
      <c r="AC29" s="136"/>
    </row>
    <row r="30" spans="1:29" ht="19.899999999999999" customHeight="1" x14ac:dyDescent="0.25">
      <c r="A30" s="143"/>
      <c r="B30" s="1239"/>
      <c r="C30" s="1240"/>
      <c r="D30" s="1240"/>
      <c r="E30" s="1240"/>
      <c r="F30" s="1240"/>
      <c r="G30" s="1240"/>
      <c r="H30" s="1240"/>
      <c r="I30" s="1241"/>
      <c r="J30" s="143"/>
      <c r="K30" s="136"/>
      <c r="L30" s="136"/>
      <c r="M30" s="136"/>
      <c r="N30" s="136"/>
      <c r="O30" s="136"/>
      <c r="P30" s="136"/>
      <c r="Q30" s="136"/>
      <c r="R30" s="136"/>
      <c r="S30" s="136"/>
      <c r="T30" s="136"/>
      <c r="U30" s="136"/>
      <c r="V30" s="136"/>
      <c r="W30" s="136"/>
      <c r="X30" s="136"/>
      <c r="Y30" s="136"/>
      <c r="Z30" s="136"/>
      <c r="AA30" s="136"/>
      <c r="AB30" s="136"/>
      <c r="AC30" s="136"/>
    </row>
    <row r="31" spans="1:29" ht="19.899999999999999" customHeight="1" x14ac:dyDescent="0.25">
      <c r="A31" s="143"/>
      <c r="B31" s="1242"/>
      <c r="C31" s="1243"/>
      <c r="D31" s="1243"/>
      <c r="E31" s="1243"/>
      <c r="F31" s="1243"/>
      <c r="G31" s="1243"/>
      <c r="H31" s="1243"/>
      <c r="I31" s="1244"/>
      <c r="J31" s="143"/>
      <c r="K31" s="136"/>
      <c r="L31" s="136"/>
      <c r="M31" s="136"/>
      <c r="N31" s="136"/>
      <c r="O31" s="136"/>
      <c r="P31" s="136"/>
      <c r="Q31" s="136"/>
      <c r="R31" s="136"/>
      <c r="S31" s="136"/>
      <c r="T31" s="136"/>
      <c r="U31" s="136"/>
      <c r="V31" s="136"/>
      <c r="W31" s="136"/>
      <c r="X31" s="136"/>
      <c r="Y31" s="136"/>
      <c r="Z31" s="136"/>
      <c r="AA31" s="136"/>
      <c r="AB31" s="136"/>
      <c r="AC31" s="136"/>
    </row>
    <row r="32" spans="1:29" ht="19.899999999999999" customHeight="1" x14ac:dyDescent="0.25">
      <c r="A32" s="143"/>
      <c r="B32" s="1242"/>
      <c r="C32" s="1243"/>
      <c r="D32" s="1243"/>
      <c r="E32" s="1243"/>
      <c r="F32" s="1243"/>
      <c r="G32" s="1243"/>
      <c r="H32" s="1243"/>
      <c r="I32" s="1244"/>
      <c r="J32" s="143"/>
      <c r="K32" s="136"/>
      <c r="L32" s="136"/>
      <c r="M32" s="136"/>
      <c r="N32" s="136"/>
      <c r="O32" s="136"/>
      <c r="P32" s="136"/>
      <c r="Q32" s="136"/>
      <c r="R32" s="136"/>
      <c r="S32" s="136"/>
      <c r="T32" s="136"/>
      <c r="U32" s="136"/>
      <c r="V32" s="136"/>
      <c r="W32" s="136"/>
      <c r="X32" s="136"/>
      <c r="Y32" s="136"/>
      <c r="Z32" s="136"/>
      <c r="AA32" s="136"/>
      <c r="AB32" s="136"/>
      <c r="AC32" s="136"/>
    </row>
    <row r="33" spans="1:29" ht="27" customHeight="1" x14ac:dyDescent="0.25">
      <c r="A33" s="143"/>
      <c r="B33" s="1242"/>
      <c r="C33" s="1243"/>
      <c r="D33" s="1243"/>
      <c r="E33" s="1243"/>
      <c r="F33" s="1243"/>
      <c r="G33" s="1243"/>
      <c r="H33" s="1243"/>
      <c r="I33" s="1244"/>
      <c r="J33" s="143"/>
      <c r="K33" s="136"/>
      <c r="L33" s="136"/>
      <c r="M33" s="136"/>
      <c r="N33" s="136"/>
      <c r="O33" s="136"/>
      <c r="P33" s="136"/>
      <c r="Q33" s="136"/>
      <c r="R33" s="136"/>
      <c r="S33" s="136"/>
      <c r="T33" s="136"/>
      <c r="U33" s="136"/>
      <c r="V33" s="136"/>
      <c r="W33" s="136"/>
      <c r="X33" s="136"/>
      <c r="Y33" s="136"/>
      <c r="Z33" s="136"/>
      <c r="AA33" s="136"/>
      <c r="AB33" s="136"/>
      <c r="AC33" s="136"/>
    </row>
    <row r="34" spans="1:29" ht="15.6" customHeight="1" x14ac:dyDescent="0.25">
      <c r="A34" s="143"/>
      <c r="B34" s="1242"/>
      <c r="C34" s="1243"/>
      <c r="D34" s="1243"/>
      <c r="E34" s="1243"/>
      <c r="F34" s="1243"/>
      <c r="G34" s="1243"/>
      <c r="H34" s="1243"/>
      <c r="I34" s="1244"/>
      <c r="J34" s="143"/>
      <c r="K34" s="136"/>
      <c r="L34" s="136"/>
      <c r="M34" s="136"/>
      <c r="N34" s="136"/>
      <c r="O34" s="136"/>
      <c r="P34" s="136"/>
      <c r="Q34" s="136"/>
      <c r="R34" s="136"/>
      <c r="S34" s="136"/>
      <c r="T34" s="136"/>
      <c r="U34" s="136"/>
      <c r="V34" s="136"/>
      <c r="W34" s="136"/>
      <c r="X34" s="136"/>
      <c r="Y34" s="136"/>
      <c r="Z34" s="136"/>
      <c r="AA34" s="136"/>
      <c r="AB34" s="136"/>
      <c r="AC34" s="136"/>
    </row>
    <row r="35" spans="1:29" ht="27.75" customHeight="1" thickBot="1" x14ac:dyDescent="0.3">
      <c r="A35" s="136"/>
      <c r="B35" s="1245"/>
      <c r="C35" s="1246"/>
      <c r="D35" s="1246"/>
      <c r="E35" s="1246"/>
      <c r="F35" s="1246"/>
      <c r="G35" s="1246"/>
      <c r="H35" s="1246"/>
      <c r="I35" s="1247"/>
      <c r="J35" s="136"/>
      <c r="K35" s="136"/>
      <c r="L35" s="136"/>
      <c r="M35" s="136"/>
      <c r="N35" s="136"/>
      <c r="O35" s="136"/>
      <c r="P35" s="136"/>
      <c r="Q35" s="136"/>
      <c r="R35" s="136"/>
      <c r="S35" s="136"/>
      <c r="T35" s="136"/>
      <c r="U35" s="136"/>
      <c r="V35" s="136"/>
      <c r="W35" s="136"/>
      <c r="X35" s="136"/>
      <c r="Y35" s="136"/>
      <c r="Z35" s="136"/>
      <c r="AA35" s="136"/>
      <c r="AB35" s="136"/>
      <c r="AC35" s="136"/>
    </row>
    <row r="36" spans="1:29" ht="15.75" thickBot="1" x14ac:dyDescent="0.3">
      <c r="A36" s="136"/>
      <c r="B36" s="143"/>
      <c r="C36" s="362"/>
      <c r="D36" s="144"/>
      <c r="E36" s="144"/>
      <c r="F36" s="144"/>
      <c r="G36" s="144"/>
      <c r="H36" s="144"/>
      <c r="I36" s="143"/>
      <c r="J36" s="136"/>
      <c r="K36" s="136"/>
      <c r="L36" s="136"/>
      <c r="M36" s="136"/>
      <c r="N36" s="136"/>
      <c r="O36" s="136"/>
      <c r="P36" s="136"/>
      <c r="Q36" s="136"/>
      <c r="R36" s="136"/>
      <c r="S36" s="136"/>
      <c r="T36" s="136"/>
      <c r="U36" s="136"/>
      <c r="V36" s="136"/>
      <c r="W36" s="136"/>
      <c r="X36" s="136"/>
      <c r="Y36" s="136"/>
      <c r="Z36" s="136"/>
      <c r="AA36" s="136"/>
      <c r="AB36" s="136"/>
      <c r="AC36" s="136"/>
    </row>
    <row r="37" spans="1:29" ht="15.75" thickBot="1" x14ac:dyDescent="0.3">
      <c r="A37" s="136"/>
      <c r="B37" s="1251" t="s">
        <v>1172</v>
      </c>
      <c r="C37" s="1252"/>
      <c r="D37" s="1252"/>
      <c r="E37" s="1252"/>
      <c r="F37" s="1252"/>
      <c r="G37" s="1252"/>
      <c r="H37" s="1252"/>
      <c r="I37" s="1253"/>
      <c r="J37" s="136"/>
      <c r="K37" s="136"/>
      <c r="L37" s="136"/>
      <c r="M37" s="136"/>
      <c r="N37" s="136"/>
      <c r="O37" s="136"/>
      <c r="P37" s="136"/>
      <c r="Q37" s="136"/>
      <c r="R37" s="136"/>
      <c r="S37" s="136"/>
      <c r="T37" s="136"/>
      <c r="U37" s="136"/>
      <c r="V37" s="136"/>
      <c r="W37" s="136"/>
      <c r="X37" s="136"/>
      <c r="Y37" s="136"/>
      <c r="Z37" s="136"/>
      <c r="AA37" s="136"/>
      <c r="AB37" s="136"/>
      <c r="AC37" s="136"/>
    </row>
    <row r="38" spans="1:29" x14ac:dyDescent="0.25">
      <c r="A38" s="136"/>
      <c r="B38" s="1239"/>
      <c r="C38" s="1240"/>
      <c r="D38" s="1240"/>
      <c r="E38" s="1240"/>
      <c r="F38" s="1240"/>
      <c r="G38" s="1240"/>
      <c r="H38" s="1240"/>
      <c r="I38" s="1241"/>
      <c r="J38" s="136"/>
      <c r="K38" s="136"/>
      <c r="L38" s="136"/>
      <c r="M38" s="136"/>
      <c r="N38" s="136"/>
      <c r="O38" s="136"/>
      <c r="P38" s="136"/>
      <c r="Q38" s="136"/>
      <c r="R38" s="136"/>
      <c r="S38" s="136"/>
      <c r="T38" s="136"/>
      <c r="U38" s="136"/>
      <c r="V38" s="136"/>
      <c r="W38" s="136"/>
      <c r="X38" s="136"/>
      <c r="Y38" s="136"/>
      <c r="Z38" s="136"/>
      <c r="AA38" s="136"/>
      <c r="AB38" s="136"/>
      <c r="AC38" s="136"/>
    </row>
    <row r="39" spans="1:29" x14ac:dyDescent="0.25">
      <c r="A39" s="136"/>
      <c r="B39" s="1242"/>
      <c r="C39" s="1243"/>
      <c r="D39" s="1243"/>
      <c r="E39" s="1243"/>
      <c r="F39" s="1243"/>
      <c r="G39" s="1243"/>
      <c r="H39" s="1243"/>
      <c r="I39" s="1244"/>
      <c r="J39" s="136"/>
      <c r="K39" s="136"/>
      <c r="L39" s="136"/>
      <c r="M39" s="136"/>
      <c r="N39" s="136"/>
      <c r="O39" s="136"/>
      <c r="P39" s="136"/>
      <c r="Q39" s="136"/>
      <c r="R39" s="136"/>
      <c r="S39" s="136"/>
      <c r="T39" s="136"/>
      <c r="U39" s="136"/>
      <c r="V39" s="136"/>
      <c r="W39" s="136"/>
      <c r="X39" s="136"/>
      <c r="Y39" s="136"/>
      <c r="Z39" s="136"/>
      <c r="AA39" s="136"/>
      <c r="AB39" s="136"/>
      <c r="AC39" s="136"/>
    </row>
    <row r="40" spans="1:29" x14ac:dyDescent="0.25">
      <c r="A40" s="136"/>
      <c r="B40" s="1242"/>
      <c r="C40" s="1243"/>
      <c r="D40" s="1243"/>
      <c r="E40" s="1243"/>
      <c r="F40" s="1243"/>
      <c r="G40" s="1243"/>
      <c r="H40" s="1243"/>
      <c r="I40" s="1244"/>
      <c r="J40" s="136"/>
      <c r="K40" s="136"/>
      <c r="L40" s="136"/>
      <c r="M40" s="136"/>
      <c r="N40" s="136"/>
      <c r="O40" s="136"/>
      <c r="P40" s="136"/>
      <c r="Q40" s="136"/>
      <c r="R40" s="136"/>
      <c r="S40" s="136"/>
      <c r="T40" s="136"/>
      <c r="U40" s="136"/>
      <c r="V40" s="136"/>
      <c r="W40" s="136"/>
      <c r="X40" s="136"/>
      <c r="Y40" s="136"/>
      <c r="Z40" s="136"/>
      <c r="AA40" s="136"/>
      <c r="AB40" s="136"/>
      <c r="AC40" s="136"/>
    </row>
    <row r="41" spans="1:29" x14ac:dyDescent="0.25">
      <c r="A41" s="136"/>
      <c r="B41" s="1242"/>
      <c r="C41" s="1243"/>
      <c r="D41" s="1243"/>
      <c r="E41" s="1243"/>
      <c r="F41" s="1243"/>
      <c r="G41" s="1243"/>
      <c r="H41" s="1243"/>
      <c r="I41" s="1244"/>
      <c r="J41" s="136"/>
      <c r="K41" s="136"/>
      <c r="L41" s="136"/>
      <c r="M41" s="136"/>
      <c r="N41" s="136"/>
      <c r="O41" s="136"/>
      <c r="P41" s="136"/>
      <c r="Q41" s="136"/>
      <c r="R41" s="136"/>
      <c r="S41" s="136"/>
      <c r="T41" s="136"/>
      <c r="U41" s="136"/>
      <c r="V41" s="136"/>
      <c r="W41" s="136"/>
      <c r="X41" s="136"/>
      <c r="Y41" s="136"/>
      <c r="Z41" s="136"/>
      <c r="AA41" s="136"/>
      <c r="AB41" s="136"/>
      <c r="AC41" s="136"/>
    </row>
    <row r="42" spans="1:29" x14ac:dyDescent="0.25">
      <c r="A42" s="136"/>
      <c r="B42" s="1242"/>
      <c r="C42" s="1243"/>
      <c r="D42" s="1243"/>
      <c r="E42" s="1243"/>
      <c r="F42" s="1243"/>
      <c r="G42" s="1243"/>
      <c r="H42" s="1243"/>
      <c r="I42" s="1244"/>
      <c r="J42" s="136"/>
      <c r="K42" s="136"/>
      <c r="L42" s="136"/>
      <c r="M42" s="136"/>
      <c r="N42" s="136"/>
      <c r="O42" s="136"/>
      <c r="P42" s="136"/>
      <c r="Q42" s="136"/>
      <c r="R42" s="136"/>
      <c r="S42" s="136"/>
      <c r="T42" s="136"/>
      <c r="U42" s="136"/>
      <c r="V42" s="136"/>
      <c r="W42" s="136"/>
      <c r="X42" s="136"/>
      <c r="Y42" s="136"/>
      <c r="Z42" s="136"/>
      <c r="AA42" s="136"/>
      <c r="AB42" s="136"/>
      <c r="AC42" s="136"/>
    </row>
    <row r="43" spans="1:29" ht="15.75" thickBot="1" x14ac:dyDescent="0.3">
      <c r="A43" s="136"/>
      <c r="B43" s="1245"/>
      <c r="C43" s="1246"/>
      <c r="D43" s="1246"/>
      <c r="E43" s="1246"/>
      <c r="F43" s="1246"/>
      <c r="G43" s="1246"/>
      <c r="H43" s="1246"/>
      <c r="I43" s="1247"/>
      <c r="J43" s="136"/>
      <c r="K43" s="136"/>
      <c r="L43" s="136"/>
      <c r="M43" s="136"/>
      <c r="N43" s="136"/>
      <c r="O43" s="136"/>
      <c r="P43" s="136"/>
      <c r="Q43" s="136"/>
      <c r="R43" s="136"/>
      <c r="S43" s="136"/>
      <c r="T43" s="136"/>
      <c r="U43" s="136"/>
      <c r="V43" s="136"/>
      <c r="W43" s="136"/>
      <c r="X43" s="136"/>
      <c r="Y43" s="136"/>
      <c r="Z43" s="136"/>
      <c r="AA43" s="136"/>
      <c r="AB43" s="136"/>
      <c r="AC43" s="136"/>
    </row>
    <row r="44" spans="1:29" x14ac:dyDescent="0.25">
      <c r="A44" s="136"/>
      <c r="B44" s="136"/>
      <c r="C44" s="136"/>
      <c r="D44" s="136"/>
      <c r="E44" s="136"/>
      <c r="F44" s="136"/>
      <c r="G44" s="136"/>
      <c r="H44" s="136"/>
      <c r="I44" s="136"/>
      <c r="J44" s="136"/>
      <c r="K44" s="136"/>
      <c r="L44" s="136"/>
      <c r="M44" s="136"/>
      <c r="N44" s="136"/>
      <c r="O44" s="136"/>
      <c r="P44" s="136"/>
      <c r="Q44" s="136"/>
      <c r="R44" s="136"/>
      <c r="S44" s="136"/>
      <c r="T44" s="136"/>
      <c r="U44" s="136"/>
      <c r="V44" s="136"/>
      <c r="W44" s="136"/>
      <c r="X44" s="136"/>
      <c r="Y44" s="136"/>
      <c r="Z44" s="136"/>
      <c r="AA44" s="136"/>
      <c r="AB44" s="136"/>
      <c r="AC44" s="136"/>
    </row>
    <row r="45" spans="1:29" x14ac:dyDescent="0.25">
      <c r="A45" s="136"/>
      <c r="B45" s="136"/>
      <c r="C45" s="136"/>
      <c r="D45" s="136"/>
      <c r="E45" s="136"/>
      <c r="F45" s="136"/>
      <c r="G45" s="136"/>
      <c r="H45" s="136"/>
      <c r="I45" s="136"/>
      <c r="J45" s="136"/>
      <c r="K45" s="136"/>
      <c r="L45" s="136"/>
      <c r="M45" s="136"/>
      <c r="N45" s="136"/>
      <c r="O45" s="136"/>
      <c r="P45" s="136"/>
      <c r="Q45" s="136"/>
      <c r="R45" s="136"/>
      <c r="S45" s="136"/>
      <c r="T45" s="136"/>
      <c r="U45" s="136"/>
      <c r="V45" s="136"/>
      <c r="W45" s="136"/>
      <c r="X45" s="136"/>
      <c r="Y45" s="136"/>
      <c r="Z45" s="136"/>
      <c r="AA45" s="136"/>
      <c r="AB45" s="136"/>
      <c r="AC45" s="136"/>
    </row>
    <row r="46" spans="1:29" x14ac:dyDescent="0.25">
      <c r="A46" s="136"/>
      <c r="B46" s="136"/>
      <c r="C46" s="136"/>
      <c r="D46" s="136"/>
      <c r="E46" s="136"/>
      <c r="F46" s="136"/>
      <c r="G46" s="136"/>
      <c r="H46" s="136"/>
      <c r="I46" s="136"/>
      <c r="J46" s="136"/>
      <c r="K46" s="136"/>
      <c r="L46" s="136"/>
      <c r="M46" s="136"/>
      <c r="N46" s="136"/>
      <c r="O46" s="136"/>
      <c r="P46" s="136"/>
      <c r="Q46" s="136"/>
      <c r="R46" s="136"/>
      <c r="S46" s="136"/>
      <c r="T46" s="136"/>
      <c r="U46" s="136"/>
      <c r="V46" s="136"/>
      <c r="W46" s="136"/>
      <c r="X46" s="136"/>
      <c r="Y46" s="136"/>
      <c r="Z46" s="136"/>
      <c r="AA46" s="136"/>
      <c r="AB46" s="136"/>
      <c r="AC46" s="136"/>
    </row>
    <row r="47" spans="1:29" x14ac:dyDescent="0.25">
      <c r="A47" s="136"/>
      <c r="B47" s="136"/>
      <c r="C47" s="136"/>
      <c r="D47" s="136"/>
      <c r="E47" s="136"/>
      <c r="F47" s="136"/>
      <c r="G47" s="136"/>
      <c r="H47" s="136"/>
      <c r="I47" s="136"/>
      <c r="J47" s="136"/>
      <c r="K47" s="136"/>
      <c r="L47" s="136"/>
      <c r="M47" s="136"/>
      <c r="N47" s="136"/>
      <c r="O47" s="136"/>
      <c r="P47" s="136"/>
      <c r="Q47" s="136"/>
      <c r="R47" s="136"/>
      <c r="S47" s="136"/>
      <c r="T47" s="136"/>
      <c r="U47" s="136"/>
      <c r="V47" s="136"/>
      <c r="W47" s="136"/>
      <c r="X47" s="136"/>
      <c r="Y47" s="136"/>
      <c r="Z47" s="136"/>
      <c r="AA47" s="136"/>
      <c r="AB47" s="136"/>
      <c r="AC47" s="136"/>
    </row>
    <row r="48" spans="1:29" x14ac:dyDescent="0.25">
      <c r="A48" s="143"/>
      <c r="B48" s="136"/>
      <c r="C48" s="136"/>
      <c r="D48" s="136"/>
      <c r="E48" s="136"/>
      <c r="F48" s="136"/>
      <c r="G48" s="136"/>
      <c r="H48" s="136"/>
      <c r="I48" s="136"/>
      <c r="J48" s="143"/>
      <c r="K48" s="136"/>
      <c r="L48" s="136"/>
      <c r="M48" s="136"/>
      <c r="N48" s="136"/>
      <c r="O48" s="136"/>
      <c r="P48" s="136"/>
      <c r="Q48" s="136"/>
      <c r="R48" s="136"/>
      <c r="S48" s="136"/>
      <c r="T48" s="136"/>
      <c r="U48" s="136"/>
      <c r="V48" s="136"/>
      <c r="W48" s="136"/>
      <c r="X48" s="136"/>
      <c r="Y48" s="136"/>
      <c r="Z48" s="136"/>
      <c r="AA48" s="136"/>
      <c r="AB48" s="136"/>
      <c r="AC48" s="136"/>
    </row>
    <row r="49" spans="1:29" x14ac:dyDescent="0.25">
      <c r="A49" s="143"/>
      <c r="B49" s="136"/>
      <c r="C49" s="136"/>
      <c r="D49" s="136"/>
      <c r="E49" s="136"/>
      <c r="F49" s="136"/>
      <c r="G49" s="136"/>
      <c r="H49" s="136"/>
      <c r="I49" s="136"/>
      <c r="J49" s="143"/>
      <c r="K49" s="136"/>
      <c r="L49" s="136"/>
      <c r="M49" s="136"/>
      <c r="N49" s="136"/>
      <c r="O49" s="136"/>
      <c r="P49" s="136"/>
      <c r="Q49" s="136"/>
      <c r="R49" s="136"/>
      <c r="S49" s="136"/>
      <c r="T49" s="136"/>
      <c r="U49" s="136"/>
      <c r="V49" s="136"/>
      <c r="W49" s="136"/>
      <c r="X49" s="136"/>
      <c r="Y49" s="136"/>
      <c r="Z49" s="136"/>
      <c r="AA49" s="136"/>
      <c r="AB49" s="136"/>
      <c r="AC49" s="136"/>
    </row>
    <row r="50" spans="1:29" x14ac:dyDescent="0.25">
      <c r="A50" s="143"/>
      <c r="B50" s="136"/>
      <c r="C50" s="136"/>
      <c r="D50" s="136"/>
      <c r="E50" s="136"/>
      <c r="F50" s="136"/>
      <c r="G50" s="136"/>
      <c r="H50" s="136"/>
      <c r="I50" s="136"/>
      <c r="J50" s="143"/>
      <c r="K50" s="136"/>
      <c r="L50" s="136"/>
      <c r="M50" s="136"/>
      <c r="N50" s="136"/>
      <c r="O50" s="136"/>
      <c r="P50" s="136"/>
      <c r="Q50" s="136"/>
      <c r="R50" s="136"/>
      <c r="S50" s="136"/>
      <c r="T50" s="136"/>
      <c r="U50" s="136"/>
      <c r="V50" s="136"/>
      <c r="W50" s="136"/>
      <c r="X50" s="136"/>
      <c r="Y50" s="136"/>
      <c r="Z50" s="136"/>
      <c r="AA50" s="136"/>
      <c r="AB50" s="136"/>
      <c r="AC50" s="136"/>
    </row>
    <row r="51" spans="1:29" x14ac:dyDescent="0.25">
      <c r="A51" s="143"/>
      <c r="B51" s="143"/>
      <c r="C51" s="143"/>
      <c r="D51" s="143"/>
      <c r="E51" s="143"/>
      <c r="F51" s="143"/>
      <c r="G51" s="143"/>
      <c r="H51" s="143"/>
      <c r="I51" s="143"/>
      <c r="J51" s="143"/>
      <c r="K51" s="136"/>
      <c r="L51" s="136"/>
      <c r="M51" s="136"/>
      <c r="N51" s="136"/>
      <c r="O51" s="136"/>
      <c r="P51" s="136"/>
      <c r="Q51" s="136"/>
      <c r="R51" s="136"/>
      <c r="S51" s="136"/>
      <c r="T51" s="136"/>
      <c r="U51" s="136"/>
      <c r="V51" s="136"/>
      <c r="W51" s="136"/>
      <c r="X51" s="136"/>
      <c r="Y51" s="136"/>
      <c r="Z51" s="136"/>
      <c r="AA51" s="136"/>
      <c r="AB51" s="136"/>
      <c r="AC51" s="136"/>
    </row>
    <row r="52" spans="1:29" x14ac:dyDescent="0.25">
      <c r="A52" s="143"/>
      <c r="B52" s="143"/>
      <c r="C52" s="143"/>
      <c r="D52" s="143"/>
      <c r="E52" s="143"/>
      <c r="F52" s="143"/>
      <c r="G52" s="143"/>
      <c r="H52" s="143"/>
      <c r="I52" s="143"/>
      <c r="J52" s="143"/>
      <c r="K52" s="136"/>
      <c r="L52" s="136"/>
      <c r="M52" s="136"/>
      <c r="N52" s="136"/>
      <c r="O52" s="136"/>
      <c r="P52" s="136"/>
      <c r="Q52" s="136"/>
      <c r="R52" s="136"/>
      <c r="S52" s="136"/>
      <c r="T52" s="136"/>
      <c r="U52" s="136"/>
      <c r="V52" s="136"/>
      <c r="W52" s="136"/>
      <c r="X52" s="136"/>
      <c r="Y52" s="136"/>
      <c r="Z52" s="136"/>
      <c r="AA52" s="136"/>
      <c r="AB52" s="136"/>
      <c r="AC52" s="136"/>
    </row>
    <row r="53" spans="1:29" x14ac:dyDescent="0.25">
      <c r="A53" s="143"/>
      <c r="B53" s="143"/>
      <c r="C53" s="143"/>
      <c r="D53" s="143"/>
      <c r="E53" s="143"/>
      <c r="F53" s="143"/>
      <c r="G53" s="143"/>
      <c r="H53" s="143"/>
      <c r="I53" s="143"/>
      <c r="J53" s="143"/>
      <c r="K53" s="136"/>
      <c r="L53" s="136"/>
      <c r="M53" s="136"/>
      <c r="N53" s="136"/>
      <c r="O53" s="136"/>
      <c r="P53" s="136"/>
      <c r="Q53" s="136"/>
      <c r="R53" s="136"/>
      <c r="S53" s="136"/>
      <c r="T53" s="136"/>
      <c r="U53" s="136"/>
      <c r="V53" s="136"/>
      <c r="W53" s="136"/>
      <c r="X53" s="136"/>
      <c r="Y53" s="136"/>
      <c r="Z53" s="136"/>
      <c r="AA53" s="136"/>
      <c r="AB53" s="136"/>
      <c r="AC53" s="136"/>
    </row>
    <row r="54" spans="1:29" x14ac:dyDescent="0.25">
      <c r="A54" s="143"/>
      <c r="B54" s="143"/>
      <c r="C54" s="143"/>
      <c r="D54" s="143"/>
      <c r="E54" s="143"/>
      <c r="F54" s="143"/>
      <c r="G54" s="143"/>
      <c r="H54" s="143"/>
      <c r="I54" s="143"/>
      <c r="J54" s="143"/>
      <c r="K54" s="136"/>
      <c r="L54" s="136"/>
      <c r="M54" s="136"/>
      <c r="N54" s="136"/>
      <c r="O54" s="136"/>
      <c r="P54" s="136"/>
      <c r="Q54" s="136"/>
      <c r="R54" s="136"/>
      <c r="S54" s="136"/>
      <c r="T54" s="136"/>
      <c r="U54" s="136"/>
      <c r="V54" s="136"/>
      <c r="W54" s="136"/>
      <c r="X54" s="136"/>
      <c r="Y54" s="136"/>
      <c r="Z54" s="136"/>
      <c r="AA54" s="136"/>
      <c r="AB54" s="136"/>
      <c r="AC54" s="136"/>
    </row>
    <row r="55" spans="1:29" x14ac:dyDescent="0.25">
      <c r="A55" s="143"/>
      <c r="B55" s="143"/>
      <c r="C55" s="143"/>
      <c r="D55" s="143"/>
      <c r="E55" s="143"/>
      <c r="F55" s="143"/>
      <c r="G55" s="143"/>
      <c r="H55" s="143"/>
      <c r="I55" s="143"/>
      <c r="J55" s="143"/>
      <c r="K55" s="136"/>
      <c r="L55" s="136"/>
      <c r="M55" s="136"/>
      <c r="N55" s="136"/>
      <c r="O55" s="136"/>
      <c r="P55" s="136"/>
      <c r="Q55" s="136"/>
      <c r="R55" s="136"/>
      <c r="S55" s="136"/>
      <c r="T55" s="136"/>
      <c r="U55" s="136"/>
      <c r="V55" s="136"/>
      <c r="W55" s="136"/>
      <c r="X55" s="136"/>
      <c r="Y55" s="136"/>
      <c r="Z55" s="136"/>
      <c r="AA55" s="136"/>
      <c r="AB55" s="136"/>
      <c r="AC55" s="136"/>
    </row>
    <row r="56" spans="1:29" x14ac:dyDescent="0.25">
      <c r="A56" s="143"/>
      <c r="B56" s="143"/>
      <c r="C56" s="143"/>
      <c r="D56" s="143"/>
      <c r="E56" s="143"/>
      <c r="F56" s="143"/>
      <c r="G56" s="143"/>
      <c r="H56" s="143"/>
      <c r="I56" s="143"/>
      <c r="J56" s="143"/>
      <c r="K56" s="136"/>
      <c r="L56" s="136"/>
      <c r="M56" s="136"/>
      <c r="N56" s="136"/>
      <c r="O56" s="136"/>
      <c r="P56" s="136"/>
      <c r="Q56" s="136"/>
      <c r="R56" s="136"/>
      <c r="S56" s="136"/>
      <c r="T56" s="136"/>
      <c r="U56" s="136"/>
      <c r="V56" s="136"/>
      <c r="W56" s="136"/>
      <c r="X56" s="136"/>
      <c r="Y56" s="136"/>
      <c r="Z56" s="136"/>
      <c r="AA56" s="136"/>
      <c r="AB56" s="136"/>
      <c r="AC56" s="136"/>
    </row>
    <row r="57" spans="1:29" x14ac:dyDescent="0.25">
      <c r="A57" s="143"/>
      <c r="B57" s="143"/>
      <c r="C57" s="143"/>
      <c r="D57" s="143"/>
      <c r="E57" s="143"/>
      <c r="F57" s="143"/>
      <c r="G57" s="143"/>
      <c r="H57" s="143"/>
      <c r="I57" s="143"/>
      <c r="J57" s="143"/>
      <c r="K57" s="136"/>
      <c r="L57" s="136"/>
      <c r="M57" s="136"/>
      <c r="N57" s="136"/>
      <c r="O57" s="136"/>
      <c r="P57" s="136"/>
      <c r="Q57" s="136"/>
      <c r="R57" s="136"/>
      <c r="S57" s="136"/>
      <c r="T57" s="136"/>
      <c r="U57" s="136"/>
      <c r="V57" s="136"/>
      <c r="W57" s="136"/>
      <c r="X57" s="136"/>
      <c r="Y57" s="136"/>
      <c r="Z57" s="136"/>
      <c r="AA57" s="136"/>
      <c r="AB57" s="136"/>
      <c r="AC57" s="136"/>
    </row>
    <row r="58" spans="1:29" x14ac:dyDescent="0.25">
      <c r="A58" s="143"/>
      <c r="B58" s="143"/>
      <c r="C58" s="143"/>
      <c r="D58" s="143"/>
      <c r="E58" s="143"/>
      <c r="F58" s="143"/>
      <c r="G58" s="143"/>
      <c r="H58" s="143"/>
      <c r="I58" s="143"/>
      <c r="J58" s="143"/>
      <c r="K58" s="136"/>
      <c r="L58" s="136"/>
      <c r="M58" s="136"/>
      <c r="N58" s="136"/>
      <c r="O58" s="136"/>
      <c r="P58" s="136"/>
      <c r="Q58" s="136"/>
      <c r="R58" s="136"/>
      <c r="S58" s="136"/>
      <c r="T58" s="136"/>
      <c r="U58" s="136"/>
      <c r="V58" s="136"/>
      <c r="W58" s="136"/>
      <c r="X58" s="136"/>
      <c r="Y58" s="136"/>
      <c r="Z58" s="136"/>
      <c r="AA58" s="136"/>
      <c r="AB58" s="136"/>
      <c r="AC58" s="136"/>
    </row>
    <row r="59" spans="1:29" x14ac:dyDescent="0.25">
      <c r="A59" s="136"/>
      <c r="B59" s="143"/>
      <c r="C59" s="143"/>
      <c r="D59" s="143"/>
      <c r="E59" s="143"/>
      <c r="F59" s="143"/>
      <c r="G59" s="143"/>
      <c r="H59" s="143"/>
      <c r="I59" s="143"/>
      <c r="J59" s="136"/>
      <c r="K59" s="136"/>
      <c r="L59" s="136"/>
      <c r="M59" s="136"/>
      <c r="N59" s="136"/>
      <c r="O59" s="136"/>
      <c r="P59" s="136"/>
      <c r="Q59" s="136"/>
      <c r="R59" s="136"/>
      <c r="S59" s="136"/>
      <c r="T59" s="136"/>
      <c r="U59" s="136"/>
      <c r="V59" s="136"/>
      <c r="W59" s="136"/>
      <c r="X59" s="136"/>
      <c r="Y59" s="136"/>
      <c r="Z59" s="136"/>
      <c r="AA59" s="136"/>
      <c r="AB59" s="136"/>
      <c r="AC59" s="136"/>
    </row>
    <row r="60" spans="1:29" x14ac:dyDescent="0.25">
      <c r="A60" s="136"/>
      <c r="B60" s="143"/>
      <c r="C60" s="143"/>
      <c r="D60" s="143"/>
      <c r="E60" s="143"/>
      <c r="F60" s="143"/>
      <c r="G60" s="143"/>
      <c r="H60" s="143"/>
      <c r="I60" s="143"/>
      <c r="J60" s="136"/>
      <c r="K60" s="136"/>
      <c r="L60" s="136"/>
      <c r="M60" s="136"/>
      <c r="N60" s="136"/>
      <c r="O60" s="136"/>
      <c r="P60" s="136"/>
      <c r="Q60" s="136"/>
      <c r="R60" s="136"/>
      <c r="S60" s="136"/>
      <c r="T60" s="136"/>
      <c r="U60" s="136"/>
      <c r="V60" s="136"/>
      <c r="W60" s="136"/>
      <c r="X60" s="136"/>
      <c r="Y60" s="136"/>
      <c r="Z60" s="136"/>
      <c r="AA60" s="136"/>
      <c r="AB60" s="136"/>
      <c r="AC60" s="136"/>
    </row>
    <row r="61" spans="1:29" x14ac:dyDescent="0.25">
      <c r="A61" s="136"/>
      <c r="B61" s="143"/>
      <c r="C61" s="143"/>
      <c r="D61" s="143"/>
      <c r="E61" s="143"/>
      <c r="F61" s="143"/>
      <c r="G61" s="143"/>
      <c r="H61" s="143"/>
      <c r="I61" s="143"/>
      <c r="J61" s="136"/>
      <c r="K61" s="136"/>
      <c r="L61" s="136"/>
      <c r="M61" s="136"/>
      <c r="N61" s="136"/>
      <c r="O61" s="136"/>
      <c r="P61" s="136"/>
      <c r="Q61" s="136"/>
      <c r="R61" s="136"/>
      <c r="S61" s="136"/>
      <c r="T61" s="136"/>
      <c r="U61" s="136"/>
      <c r="V61" s="136"/>
      <c r="W61" s="136"/>
      <c r="X61" s="136"/>
      <c r="Y61" s="136"/>
      <c r="Z61" s="136"/>
      <c r="AA61" s="136"/>
      <c r="AB61" s="136"/>
      <c r="AC61" s="136"/>
    </row>
    <row r="62" spans="1:29" x14ac:dyDescent="0.25">
      <c r="A62" s="136"/>
      <c r="B62" s="136"/>
      <c r="C62" s="136"/>
      <c r="D62" s="136"/>
      <c r="E62" s="136"/>
      <c r="F62" s="136"/>
      <c r="G62" s="136"/>
      <c r="H62" s="136"/>
      <c r="I62" s="136"/>
      <c r="J62" s="136"/>
      <c r="K62" s="136"/>
      <c r="L62" s="136"/>
      <c r="M62" s="136"/>
      <c r="N62" s="136"/>
      <c r="O62" s="136"/>
      <c r="P62" s="136"/>
      <c r="Q62" s="136"/>
      <c r="R62" s="136"/>
      <c r="S62" s="136"/>
      <c r="T62" s="136"/>
      <c r="U62" s="136"/>
      <c r="V62" s="136"/>
      <c r="W62" s="136"/>
      <c r="X62" s="136"/>
      <c r="Y62" s="136"/>
      <c r="Z62" s="136"/>
      <c r="AA62" s="136"/>
      <c r="AB62" s="136"/>
      <c r="AC62" s="136"/>
    </row>
    <row r="63" spans="1:29" x14ac:dyDescent="0.25">
      <c r="A63" s="136"/>
      <c r="B63" s="136"/>
      <c r="C63" s="136"/>
      <c r="D63" s="136"/>
      <c r="E63" s="136"/>
      <c r="F63" s="136"/>
      <c r="G63" s="136"/>
      <c r="H63" s="136"/>
      <c r="I63" s="136"/>
      <c r="J63" s="136"/>
      <c r="K63" s="136"/>
      <c r="L63" s="136"/>
      <c r="M63" s="136"/>
      <c r="N63" s="136"/>
      <c r="O63" s="136"/>
      <c r="P63" s="136"/>
      <c r="Q63" s="136"/>
      <c r="R63" s="136"/>
      <c r="S63" s="136"/>
      <c r="T63" s="136"/>
      <c r="U63" s="136"/>
      <c r="V63" s="136"/>
      <c r="W63" s="136"/>
      <c r="X63" s="136"/>
      <c r="Y63" s="136"/>
      <c r="Z63" s="136"/>
      <c r="AA63" s="136"/>
      <c r="AB63" s="136"/>
      <c r="AC63" s="136"/>
    </row>
    <row r="64" spans="1:29" x14ac:dyDescent="0.25">
      <c r="A64" s="136"/>
      <c r="B64" s="136"/>
      <c r="C64" s="136"/>
      <c r="D64" s="136"/>
      <c r="E64" s="136"/>
      <c r="F64" s="136"/>
      <c r="G64" s="136"/>
      <c r="H64" s="136"/>
      <c r="I64" s="136"/>
      <c r="J64" s="136"/>
      <c r="K64" s="136"/>
      <c r="L64" s="136"/>
      <c r="M64" s="136"/>
      <c r="N64" s="136"/>
      <c r="O64" s="136"/>
      <c r="P64" s="136"/>
      <c r="Q64" s="136"/>
      <c r="R64" s="136"/>
      <c r="S64" s="136"/>
      <c r="T64" s="136"/>
      <c r="U64" s="136"/>
      <c r="V64" s="136"/>
      <c r="W64" s="136"/>
      <c r="X64" s="136"/>
      <c r="Y64" s="136"/>
      <c r="Z64" s="136"/>
      <c r="AA64" s="136"/>
      <c r="AB64" s="136"/>
      <c r="AC64" s="136"/>
    </row>
    <row r="65" spans="1:29" x14ac:dyDescent="0.25">
      <c r="A65" s="136"/>
      <c r="B65" s="136"/>
      <c r="C65" s="136"/>
      <c r="D65" s="136"/>
      <c r="E65" s="136"/>
      <c r="F65" s="136"/>
      <c r="G65" s="136"/>
      <c r="H65" s="136"/>
      <c r="I65" s="136"/>
      <c r="J65" s="136"/>
      <c r="K65" s="136"/>
      <c r="L65" s="136"/>
      <c r="M65" s="136"/>
      <c r="N65" s="136"/>
      <c r="O65" s="136"/>
      <c r="P65" s="136"/>
      <c r="Q65" s="136"/>
      <c r="R65" s="136"/>
      <c r="S65" s="136"/>
      <c r="T65" s="136"/>
      <c r="U65" s="136"/>
      <c r="V65" s="136"/>
      <c r="W65" s="136"/>
      <c r="X65" s="136"/>
      <c r="Y65" s="136"/>
      <c r="Z65" s="136"/>
      <c r="AA65" s="136"/>
      <c r="AB65" s="136"/>
      <c r="AC65" s="136"/>
    </row>
    <row r="66" spans="1:29" x14ac:dyDescent="0.25">
      <c r="A66" s="136"/>
      <c r="B66" s="136"/>
      <c r="C66" s="136"/>
      <c r="D66" s="136"/>
      <c r="E66" s="136"/>
      <c r="F66" s="136"/>
      <c r="G66" s="136"/>
      <c r="H66" s="136"/>
      <c r="I66" s="136"/>
      <c r="J66" s="136"/>
      <c r="K66" s="136"/>
      <c r="L66" s="136"/>
      <c r="M66" s="136"/>
      <c r="N66" s="136"/>
      <c r="O66" s="136"/>
      <c r="P66" s="136"/>
      <c r="Q66" s="136"/>
      <c r="R66" s="136"/>
      <c r="S66" s="136"/>
      <c r="T66" s="136"/>
      <c r="U66" s="136"/>
      <c r="V66" s="136"/>
      <c r="W66" s="136"/>
      <c r="X66" s="136"/>
      <c r="Y66" s="136"/>
      <c r="Z66" s="136"/>
      <c r="AA66" s="136"/>
      <c r="AB66" s="136"/>
      <c r="AC66" s="136"/>
    </row>
    <row r="67" spans="1:29" x14ac:dyDescent="0.25">
      <c r="A67" s="136"/>
      <c r="B67" s="136"/>
      <c r="C67" s="136"/>
      <c r="D67" s="136"/>
      <c r="E67" s="136"/>
      <c r="F67" s="136"/>
      <c r="G67" s="136"/>
      <c r="H67" s="136"/>
      <c r="I67" s="136"/>
      <c r="J67" s="136"/>
      <c r="K67" s="136"/>
      <c r="L67" s="136"/>
      <c r="M67" s="136"/>
      <c r="N67" s="136"/>
      <c r="O67" s="136"/>
      <c r="P67" s="136"/>
      <c r="Q67" s="136"/>
      <c r="R67" s="136"/>
      <c r="S67" s="136"/>
      <c r="T67" s="136"/>
      <c r="U67" s="136"/>
      <c r="V67" s="136"/>
      <c r="W67" s="136"/>
      <c r="X67" s="136"/>
      <c r="Y67" s="136"/>
      <c r="Z67" s="136"/>
      <c r="AA67" s="136"/>
      <c r="AB67" s="136"/>
      <c r="AC67" s="136"/>
    </row>
    <row r="68" spans="1:29" x14ac:dyDescent="0.25">
      <c r="A68" s="136"/>
      <c r="B68" s="136"/>
      <c r="C68" s="136"/>
      <c r="D68" s="136"/>
      <c r="E68" s="136"/>
      <c r="F68" s="136"/>
      <c r="G68" s="136"/>
      <c r="H68" s="136"/>
      <c r="I68" s="136"/>
      <c r="J68" s="136"/>
      <c r="K68" s="136"/>
      <c r="L68" s="136"/>
      <c r="M68" s="136"/>
      <c r="N68" s="136"/>
      <c r="O68" s="136"/>
      <c r="P68" s="136"/>
      <c r="Q68" s="136"/>
      <c r="R68" s="136"/>
      <c r="S68" s="136"/>
      <c r="T68" s="136"/>
      <c r="U68" s="136"/>
      <c r="V68" s="136"/>
      <c r="W68" s="136"/>
      <c r="X68" s="136"/>
      <c r="Y68" s="136"/>
      <c r="Z68" s="136"/>
      <c r="AA68" s="136"/>
      <c r="AB68" s="136"/>
      <c r="AC68" s="136"/>
    </row>
    <row r="69" spans="1:29" x14ac:dyDescent="0.25">
      <c r="A69" s="136"/>
      <c r="B69" s="136"/>
      <c r="C69" s="136"/>
      <c r="D69" s="136"/>
      <c r="E69" s="136"/>
      <c r="F69" s="136"/>
      <c r="G69" s="136"/>
      <c r="H69" s="136"/>
      <c r="I69" s="136"/>
      <c r="J69" s="136"/>
      <c r="K69" s="136"/>
      <c r="L69" s="136"/>
      <c r="M69" s="136"/>
      <c r="N69" s="136"/>
      <c r="O69" s="136"/>
      <c r="P69" s="136"/>
      <c r="Q69" s="136"/>
      <c r="R69" s="136"/>
      <c r="S69" s="136"/>
      <c r="T69" s="136"/>
      <c r="U69" s="136"/>
      <c r="V69" s="136"/>
      <c r="W69" s="136"/>
      <c r="X69" s="136"/>
      <c r="Y69" s="136"/>
      <c r="Z69" s="136"/>
      <c r="AA69" s="136"/>
      <c r="AB69" s="136"/>
      <c r="AC69" s="136"/>
    </row>
    <row r="70" spans="1:29" x14ac:dyDescent="0.25">
      <c r="A70" s="136"/>
      <c r="B70" s="136"/>
      <c r="C70" s="136"/>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136"/>
      <c r="AB70" s="136"/>
      <c r="AC70" s="136"/>
    </row>
    <row r="71" spans="1:29" x14ac:dyDescent="0.25">
      <c r="A71" s="136"/>
      <c r="B71" s="136"/>
      <c r="C71" s="136"/>
      <c r="D71" s="136"/>
      <c r="E71" s="136"/>
      <c r="F71" s="136"/>
      <c r="G71" s="136"/>
      <c r="H71" s="136"/>
      <c r="I71" s="136"/>
      <c r="J71" s="136"/>
      <c r="K71" s="136"/>
      <c r="L71" s="136"/>
      <c r="M71" s="136"/>
      <c r="N71" s="136"/>
      <c r="O71" s="136"/>
      <c r="P71" s="136"/>
      <c r="Q71" s="136"/>
      <c r="R71" s="136"/>
      <c r="S71" s="136"/>
      <c r="T71" s="136"/>
      <c r="U71" s="136"/>
      <c r="V71" s="136"/>
      <c r="W71" s="136"/>
      <c r="X71" s="136"/>
      <c r="Y71" s="136"/>
      <c r="Z71" s="136"/>
      <c r="AA71" s="136"/>
      <c r="AB71" s="136"/>
      <c r="AC71" s="136"/>
    </row>
    <row r="72" spans="1:29" x14ac:dyDescent="0.25">
      <c r="A72" s="136"/>
      <c r="B72" s="136"/>
      <c r="C72" s="136"/>
      <c r="D72" s="136"/>
      <c r="E72" s="136"/>
      <c r="F72" s="136"/>
      <c r="G72" s="136"/>
      <c r="H72" s="136"/>
      <c r="I72" s="136"/>
      <c r="J72" s="136"/>
      <c r="K72" s="136"/>
      <c r="L72" s="136"/>
      <c r="M72" s="136"/>
      <c r="N72" s="136"/>
      <c r="O72" s="136"/>
      <c r="P72" s="136"/>
      <c r="Q72" s="136"/>
      <c r="R72" s="136"/>
      <c r="S72" s="136"/>
      <c r="T72" s="136"/>
      <c r="U72" s="136"/>
      <c r="V72" s="136"/>
      <c r="W72" s="136"/>
      <c r="X72" s="136"/>
      <c r="Y72" s="136"/>
      <c r="Z72" s="136"/>
      <c r="AA72" s="136"/>
      <c r="AB72" s="136"/>
      <c r="AC72" s="136"/>
    </row>
    <row r="73" spans="1:29" x14ac:dyDescent="0.25">
      <c r="A73" s="136"/>
      <c r="B73" s="136"/>
      <c r="C73" s="136"/>
      <c r="D73" s="136"/>
      <c r="E73" s="136"/>
      <c r="F73" s="136"/>
      <c r="G73" s="136"/>
      <c r="H73" s="136"/>
      <c r="I73" s="136"/>
      <c r="J73" s="136"/>
      <c r="K73" s="136"/>
      <c r="L73" s="136"/>
      <c r="M73" s="136"/>
      <c r="N73" s="136"/>
      <c r="O73" s="136"/>
      <c r="P73" s="136"/>
      <c r="Q73" s="136"/>
      <c r="R73" s="136"/>
      <c r="S73" s="136"/>
      <c r="T73" s="136"/>
      <c r="U73" s="136"/>
      <c r="V73" s="136"/>
      <c r="W73" s="136"/>
      <c r="X73" s="136"/>
      <c r="Y73" s="136"/>
      <c r="Z73" s="136"/>
      <c r="AA73" s="136"/>
      <c r="AB73" s="136"/>
      <c r="AC73" s="136"/>
    </row>
    <row r="74" spans="1:29" x14ac:dyDescent="0.25">
      <c r="A74" s="136"/>
      <c r="B74" s="136"/>
      <c r="C74" s="136"/>
      <c r="D74" s="136"/>
      <c r="E74" s="136"/>
      <c r="F74" s="136"/>
      <c r="G74" s="136"/>
      <c r="H74" s="136"/>
      <c r="I74" s="136"/>
      <c r="J74" s="136"/>
      <c r="K74" s="136"/>
      <c r="L74" s="136"/>
      <c r="M74" s="136"/>
      <c r="N74" s="136"/>
      <c r="O74" s="136"/>
      <c r="P74" s="136"/>
      <c r="Q74" s="136"/>
      <c r="R74" s="136"/>
      <c r="S74" s="136"/>
      <c r="T74" s="136"/>
      <c r="U74" s="136"/>
      <c r="V74" s="136"/>
      <c r="W74" s="136"/>
      <c r="X74" s="136"/>
      <c r="Y74" s="136"/>
      <c r="Z74" s="136"/>
      <c r="AA74" s="136"/>
      <c r="AB74" s="136"/>
      <c r="AC74" s="136"/>
    </row>
    <row r="75" spans="1:29" x14ac:dyDescent="0.25">
      <c r="A75" s="136"/>
      <c r="B75" s="136"/>
      <c r="C75" s="136"/>
      <c r="D75" s="136"/>
      <c r="E75" s="136"/>
      <c r="F75" s="136"/>
      <c r="G75" s="136"/>
      <c r="H75" s="136"/>
      <c r="I75" s="136"/>
      <c r="J75" s="136"/>
      <c r="K75" s="136"/>
      <c r="L75" s="136"/>
      <c r="M75" s="136"/>
      <c r="N75" s="136"/>
      <c r="O75" s="136"/>
      <c r="P75" s="136"/>
      <c r="Q75" s="136"/>
      <c r="R75" s="136"/>
      <c r="S75" s="136"/>
      <c r="T75" s="136"/>
      <c r="U75" s="136"/>
      <c r="V75" s="136"/>
      <c r="W75" s="136"/>
      <c r="X75" s="136"/>
      <c r="Y75" s="136"/>
      <c r="Z75" s="136"/>
      <c r="AA75" s="136"/>
      <c r="AB75" s="136"/>
      <c r="AC75" s="136"/>
    </row>
    <row r="76" spans="1:29" x14ac:dyDescent="0.25">
      <c r="A76" s="136"/>
      <c r="B76" s="136"/>
      <c r="C76" s="136"/>
      <c r="D76" s="136"/>
      <c r="E76" s="136"/>
      <c r="F76" s="136"/>
      <c r="G76" s="136"/>
      <c r="H76" s="136"/>
      <c r="I76" s="136"/>
      <c r="J76" s="136"/>
      <c r="K76" s="136"/>
      <c r="L76" s="136"/>
      <c r="M76" s="136"/>
      <c r="N76" s="136"/>
      <c r="O76" s="136"/>
      <c r="P76" s="136"/>
      <c r="Q76" s="136"/>
      <c r="R76" s="136"/>
      <c r="S76" s="136"/>
      <c r="T76" s="136"/>
      <c r="U76" s="136"/>
      <c r="V76" s="136"/>
      <c r="W76" s="136"/>
      <c r="X76" s="136"/>
      <c r="Y76" s="136"/>
      <c r="Z76" s="136"/>
      <c r="AA76" s="136"/>
      <c r="AB76" s="136"/>
      <c r="AC76" s="136"/>
    </row>
    <row r="77" spans="1:29" x14ac:dyDescent="0.25">
      <c r="A77" s="136"/>
      <c r="B77" s="136"/>
      <c r="C77" s="136"/>
      <c r="D77" s="136"/>
      <c r="E77" s="136"/>
      <c r="F77" s="136"/>
      <c r="G77" s="136"/>
      <c r="H77" s="136"/>
      <c r="I77" s="136"/>
      <c r="J77" s="136"/>
      <c r="K77" s="136"/>
      <c r="L77" s="136"/>
      <c r="M77" s="136"/>
      <c r="N77" s="136"/>
      <c r="O77" s="136"/>
      <c r="P77" s="136"/>
      <c r="Q77" s="136"/>
      <c r="R77" s="136"/>
      <c r="S77" s="136"/>
      <c r="T77" s="136"/>
      <c r="U77" s="136"/>
      <c r="V77" s="136"/>
      <c r="W77" s="136"/>
      <c r="X77" s="136"/>
      <c r="Y77" s="136"/>
      <c r="Z77" s="136"/>
      <c r="AA77" s="136"/>
      <c r="AB77" s="136"/>
      <c r="AC77" s="136"/>
    </row>
    <row r="78" spans="1:29" x14ac:dyDescent="0.25">
      <c r="A78" s="136"/>
      <c r="B78" s="136"/>
      <c r="C78" s="136"/>
      <c r="D78" s="136"/>
      <c r="E78" s="136"/>
      <c r="F78" s="136"/>
      <c r="G78" s="136"/>
      <c r="H78" s="136"/>
      <c r="I78" s="136"/>
      <c r="J78" s="136"/>
      <c r="K78" s="136"/>
      <c r="L78" s="136"/>
      <c r="M78" s="136"/>
      <c r="N78" s="136"/>
      <c r="O78" s="136"/>
      <c r="P78" s="136"/>
      <c r="Q78" s="136"/>
      <c r="R78" s="136"/>
      <c r="S78" s="136"/>
      <c r="T78" s="136"/>
      <c r="U78" s="136"/>
      <c r="V78" s="136"/>
      <c r="W78" s="136"/>
      <c r="X78" s="136"/>
      <c r="Y78" s="136"/>
      <c r="Z78" s="136"/>
      <c r="AA78" s="136"/>
      <c r="AB78" s="136"/>
      <c r="AC78" s="136"/>
    </row>
    <row r="79" spans="1:29" x14ac:dyDescent="0.25">
      <c r="A79" s="136"/>
      <c r="B79" s="136"/>
      <c r="C79" s="136"/>
      <c r="D79" s="136"/>
      <c r="E79" s="136"/>
      <c r="F79" s="136"/>
      <c r="G79" s="136"/>
      <c r="H79" s="136"/>
      <c r="I79" s="136"/>
      <c r="J79" s="136"/>
      <c r="K79" s="136"/>
      <c r="L79" s="136"/>
      <c r="M79" s="136"/>
      <c r="N79" s="136"/>
      <c r="O79" s="136"/>
      <c r="P79" s="136"/>
      <c r="Q79" s="136"/>
      <c r="R79" s="136"/>
      <c r="S79" s="136"/>
      <c r="T79" s="136"/>
      <c r="U79" s="136"/>
      <c r="V79" s="136"/>
      <c r="W79" s="136"/>
      <c r="X79" s="136"/>
      <c r="Y79" s="136"/>
      <c r="Z79" s="136"/>
      <c r="AA79" s="136"/>
      <c r="AB79" s="136"/>
      <c r="AC79" s="136"/>
    </row>
    <row r="80" spans="1:29" x14ac:dyDescent="0.25">
      <c r="A80" s="136"/>
      <c r="B80" s="136"/>
      <c r="C80" s="136"/>
      <c r="D80" s="136"/>
      <c r="E80" s="136"/>
      <c r="F80" s="136"/>
      <c r="G80" s="136"/>
      <c r="H80" s="136"/>
      <c r="I80" s="136"/>
      <c r="J80" s="136"/>
      <c r="K80" s="136"/>
      <c r="L80" s="136"/>
      <c r="M80" s="136"/>
      <c r="N80" s="136"/>
      <c r="O80" s="136"/>
      <c r="P80" s="136"/>
      <c r="Q80" s="136"/>
      <c r="R80" s="136"/>
      <c r="S80" s="136"/>
      <c r="T80" s="136"/>
      <c r="U80" s="136"/>
      <c r="V80" s="136"/>
      <c r="W80" s="136"/>
      <c r="X80" s="136"/>
      <c r="Y80" s="136"/>
      <c r="Z80" s="136"/>
      <c r="AA80" s="136"/>
      <c r="AB80" s="136"/>
      <c r="AC80" s="136"/>
    </row>
    <row r="81" spans="1:29" x14ac:dyDescent="0.25">
      <c r="A81" s="136"/>
      <c r="B81" s="136"/>
      <c r="C81" s="136"/>
      <c r="D81" s="136"/>
      <c r="E81" s="136"/>
      <c r="F81" s="136"/>
      <c r="G81" s="136"/>
      <c r="H81" s="136"/>
      <c r="I81" s="136"/>
      <c r="J81" s="136"/>
      <c r="K81" s="136"/>
      <c r="L81" s="136"/>
      <c r="M81" s="136"/>
      <c r="N81" s="136"/>
      <c r="O81" s="136"/>
      <c r="P81" s="136"/>
      <c r="Q81" s="136"/>
      <c r="R81" s="136"/>
      <c r="S81" s="136"/>
      <c r="T81" s="136"/>
      <c r="U81" s="136"/>
      <c r="V81" s="136"/>
      <c r="W81" s="136"/>
      <c r="X81" s="136"/>
      <c r="Y81" s="136"/>
      <c r="Z81" s="136"/>
      <c r="AA81" s="136"/>
      <c r="AB81" s="136"/>
      <c r="AC81" s="136"/>
    </row>
    <row r="82" spans="1:29" x14ac:dyDescent="0.25">
      <c r="A82" s="136"/>
      <c r="B82" s="136"/>
      <c r="C82" s="136"/>
      <c r="D82" s="136"/>
      <c r="E82" s="136"/>
      <c r="F82" s="136"/>
      <c r="G82" s="136"/>
      <c r="H82" s="136"/>
      <c r="I82" s="136"/>
      <c r="J82" s="136"/>
      <c r="K82" s="136"/>
      <c r="L82" s="136"/>
      <c r="M82" s="136"/>
      <c r="N82" s="136"/>
      <c r="O82" s="136"/>
      <c r="P82" s="136"/>
      <c r="Q82" s="136"/>
      <c r="R82" s="136"/>
      <c r="S82" s="136"/>
      <c r="T82" s="136"/>
      <c r="U82" s="136"/>
      <c r="V82" s="136"/>
      <c r="W82" s="136"/>
      <c r="X82" s="136"/>
      <c r="Y82" s="136"/>
      <c r="Z82" s="136"/>
      <c r="AA82" s="136"/>
      <c r="AB82" s="136"/>
      <c r="AC82" s="136"/>
    </row>
    <row r="83" spans="1:29" x14ac:dyDescent="0.25">
      <c r="A83" s="136"/>
      <c r="B83" s="136"/>
      <c r="C83" s="136"/>
      <c r="D83" s="136"/>
      <c r="E83" s="136"/>
      <c r="F83" s="136"/>
      <c r="G83" s="136"/>
      <c r="H83" s="136"/>
      <c r="I83" s="136"/>
      <c r="J83" s="136"/>
      <c r="K83" s="136"/>
      <c r="L83" s="136"/>
      <c r="M83" s="136"/>
      <c r="N83" s="136"/>
      <c r="O83" s="136"/>
      <c r="P83" s="136"/>
      <c r="Q83" s="136"/>
      <c r="R83" s="136"/>
      <c r="S83" s="136"/>
      <c r="T83" s="136"/>
      <c r="U83" s="136"/>
      <c r="V83" s="136"/>
      <c r="W83" s="136"/>
      <c r="X83" s="136"/>
      <c r="Y83" s="136"/>
      <c r="Z83" s="136"/>
      <c r="AA83" s="136"/>
      <c r="AB83" s="136"/>
      <c r="AC83" s="136"/>
    </row>
    <row r="84" spans="1:29" x14ac:dyDescent="0.25">
      <c r="A84" s="136"/>
      <c r="B84" s="136"/>
      <c r="C84" s="136"/>
      <c r="D84" s="136"/>
      <c r="E84" s="136"/>
      <c r="F84" s="136"/>
      <c r="G84" s="136"/>
      <c r="H84" s="136"/>
      <c r="I84" s="136"/>
      <c r="J84" s="136"/>
      <c r="K84" s="136"/>
      <c r="L84" s="136"/>
      <c r="M84" s="136"/>
      <c r="N84" s="136"/>
      <c r="O84" s="136"/>
      <c r="P84" s="136"/>
      <c r="Q84" s="136"/>
      <c r="R84" s="136"/>
      <c r="S84" s="136"/>
      <c r="T84" s="136"/>
      <c r="U84" s="136"/>
      <c r="V84" s="136"/>
      <c r="W84" s="136"/>
      <c r="X84" s="136"/>
      <c r="Y84" s="136"/>
      <c r="Z84" s="136"/>
      <c r="AA84" s="136"/>
      <c r="AB84" s="136"/>
      <c r="AC84" s="136"/>
    </row>
    <row r="85" spans="1:29" x14ac:dyDescent="0.25">
      <c r="A85" s="136"/>
      <c r="B85" s="136"/>
      <c r="C85" s="136"/>
      <c r="D85" s="136"/>
      <c r="E85" s="136"/>
      <c r="F85" s="136"/>
      <c r="G85" s="136"/>
      <c r="H85" s="136"/>
      <c r="I85" s="136"/>
      <c r="J85" s="136"/>
      <c r="K85" s="136"/>
      <c r="L85" s="136"/>
      <c r="M85" s="136"/>
      <c r="N85" s="136"/>
      <c r="O85" s="136"/>
      <c r="P85" s="136"/>
      <c r="Q85" s="136"/>
      <c r="R85" s="136"/>
      <c r="S85" s="136"/>
      <c r="T85" s="136"/>
      <c r="U85" s="136"/>
      <c r="V85" s="136"/>
      <c r="W85" s="136"/>
      <c r="X85" s="136"/>
      <c r="Y85" s="136"/>
      <c r="Z85" s="136"/>
      <c r="AA85" s="136"/>
      <c r="AB85" s="136"/>
      <c r="AC85" s="136"/>
    </row>
    <row r="86" spans="1:29" x14ac:dyDescent="0.25">
      <c r="A86" s="136"/>
      <c r="B86" s="136"/>
      <c r="C86" s="136"/>
      <c r="D86" s="136"/>
      <c r="E86" s="136"/>
      <c r="F86" s="136"/>
      <c r="G86" s="136"/>
      <c r="H86" s="136"/>
      <c r="I86" s="136"/>
      <c r="J86" s="136"/>
      <c r="K86" s="136"/>
      <c r="L86" s="136"/>
      <c r="M86" s="136"/>
      <c r="N86" s="136"/>
      <c r="O86" s="136"/>
      <c r="P86" s="136"/>
      <c r="Q86" s="136"/>
      <c r="R86" s="136"/>
      <c r="S86" s="136"/>
      <c r="T86" s="136"/>
      <c r="U86" s="136"/>
      <c r="V86" s="136"/>
      <c r="W86" s="136"/>
      <c r="X86" s="136"/>
      <c r="Y86" s="136"/>
      <c r="Z86" s="136"/>
      <c r="AA86" s="136"/>
      <c r="AB86" s="136"/>
      <c r="AC86" s="136"/>
    </row>
    <row r="87" spans="1:29" x14ac:dyDescent="0.25">
      <c r="A87" s="136"/>
      <c r="B87" s="136"/>
      <c r="C87" s="136"/>
      <c r="D87" s="136"/>
      <c r="E87" s="136"/>
      <c r="F87" s="136"/>
      <c r="G87" s="136"/>
      <c r="H87" s="136"/>
      <c r="I87" s="136"/>
      <c r="J87" s="136"/>
      <c r="K87" s="136"/>
      <c r="L87" s="136"/>
      <c r="M87" s="136"/>
      <c r="N87" s="136"/>
      <c r="O87" s="136"/>
      <c r="P87" s="136"/>
      <c r="Q87" s="136"/>
      <c r="R87" s="136"/>
      <c r="S87" s="136"/>
      <c r="T87" s="136"/>
      <c r="U87" s="136"/>
      <c r="V87" s="136"/>
      <c r="W87" s="136"/>
      <c r="X87" s="136"/>
      <c r="Y87" s="136"/>
      <c r="Z87" s="136"/>
      <c r="AA87" s="136"/>
      <c r="AB87" s="136"/>
      <c r="AC87" s="136"/>
    </row>
    <row r="88" spans="1:29" x14ac:dyDescent="0.25">
      <c r="A88" s="136"/>
      <c r="B88" s="136"/>
      <c r="C88" s="136"/>
      <c r="D88" s="136"/>
      <c r="E88" s="136"/>
      <c r="F88" s="136"/>
      <c r="G88" s="136"/>
      <c r="H88" s="136"/>
      <c r="I88" s="136"/>
      <c r="J88" s="136"/>
      <c r="K88" s="136"/>
      <c r="L88" s="136"/>
      <c r="M88" s="136"/>
      <c r="N88" s="136"/>
      <c r="O88" s="136"/>
      <c r="P88" s="136"/>
      <c r="Q88" s="136"/>
      <c r="R88" s="136"/>
      <c r="S88" s="136"/>
      <c r="T88" s="136"/>
      <c r="U88" s="136"/>
      <c r="V88" s="136"/>
      <c r="W88" s="136"/>
      <c r="X88" s="136"/>
      <c r="Y88" s="136"/>
      <c r="Z88" s="136"/>
      <c r="AA88" s="136"/>
      <c r="AB88" s="136"/>
      <c r="AC88" s="136"/>
    </row>
    <row r="89" spans="1:29" x14ac:dyDescent="0.25">
      <c r="A89" s="136"/>
      <c r="B89" s="136"/>
      <c r="C89" s="136"/>
      <c r="D89" s="136"/>
      <c r="E89" s="136"/>
      <c r="F89" s="136"/>
      <c r="G89" s="136"/>
      <c r="H89" s="136"/>
      <c r="I89" s="136"/>
      <c r="J89" s="136"/>
      <c r="K89" s="136"/>
      <c r="L89" s="136"/>
      <c r="M89" s="136"/>
      <c r="N89" s="136"/>
      <c r="O89" s="136"/>
      <c r="P89" s="136"/>
      <c r="Q89" s="136"/>
      <c r="R89" s="136"/>
      <c r="S89" s="136"/>
      <c r="T89" s="136"/>
      <c r="U89" s="136"/>
      <c r="V89" s="136"/>
      <c r="W89" s="136"/>
      <c r="X89" s="136"/>
      <c r="Y89" s="136"/>
      <c r="Z89" s="136"/>
      <c r="AA89" s="136"/>
      <c r="AB89" s="136"/>
      <c r="AC89" s="136"/>
    </row>
    <row r="90" spans="1:29" x14ac:dyDescent="0.25">
      <c r="A90" s="136"/>
      <c r="B90" s="136"/>
      <c r="C90" s="136"/>
      <c r="D90" s="136"/>
      <c r="E90" s="136"/>
      <c r="F90" s="136"/>
      <c r="G90" s="136"/>
      <c r="H90" s="136"/>
      <c r="I90" s="136"/>
      <c r="J90" s="136"/>
      <c r="K90" s="136"/>
      <c r="L90" s="136"/>
      <c r="M90" s="136"/>
      <c r="N90" s="136"/>
      <c r="O90" s="136"/>
      <c r="P90" s="136"/>
      <c r="Q90" s="136"/>
      <c r="R90" s="136"/>
      <c r="S90" s="136"/>
      <c r="T90" s="136"/>
      <c r="U90" s="136"/>
      <c r="V90" s="136"/>
      <c r="W90" s="136"/>
      <c r="X90" s="136"/>
      <c r="Y90" s="136"/>
      <c r="Z90" s="136"/>
      <c r="AA90" s="136"/>
      <c r="AB90" s="136"/>
      <c r="AC90" s="136"/>
    </row>
    <row r="91" spans="1:29" x14ac:dyDescent="0.25">
      <c r="A91" s="136"/>
      <c r="B91" s="136"/>
      <c r="C91" s="136"/>
      <c r="D91" s="136"/>
      <c r="E91" s="136"/>
      <c r="F91" s="136"/>
      <c r="G91" s="136"/>
      <c r="H91" s="136"/>
      <c r="I91" s="136"/>
      <c r="J91" s="136"/>
      <c r="K91" s="136"/>
      <c r="L91" s="136"/>
      <c r="M91" s="136"/>
      <c r="N91" s="136"/>
      <c r="O91" s="136"/>
      <c r="P91" s="136"/>
      <c r="Q91" s="136"/>
      <c r="R91" s="136"/>
      <c r="S91" s="136"/>
      <c r="T91" s="136"/>
      <c r="U91" s="136"/>
      <c r="V91" s="136"/>
      <c r="W91" s="136"/>
      <c r="X91" s="136"/>
      <c r="Y91" s="136"/>
      <c r="Z91" s="136"/>
      <c r="AA91" s="136"/>
      <c r="AB91" s="136"/>
      <c r="AC91" s="136"/>
    </row>
    <row r="92" spans="1:29" x14ac:dyDescent="0.25">
      <c r="A92" s="136"/>
      <c r="B92" s="136"/>
      <c r="C92" s="136"/>
      <c r="D92" s="136"/>
      <c r="E92" s="136"/>
      <c r="F92" s="136"/>
      <c r="G92" s="136"/>
      <c r="H92" s="136"/>
      <c r="I92" s="136"/>
      <c r="J92" s="136"/>
      <c r="K92" s="136"/>
      <c r="L92" s="136"/>
      <c r="M92" s="136"/>
      <c r="N92" s="136"/>
      <c r="O92" s="136"/>
      <c r="P92" s="136"/>
      <c r="Q92" s="136"/>
      <c r="R92" s="136"/>
      <c r="S92" s="136"/>
      <c r="T92" s="136"/>
      <c r="U92" s="136"/>
      <c r="V92" s="136"/>
      <c r="W92" s="136"/>
      <c r="X92" s="136"/>
      <c r="Y92" s="136"/>
      <c r="Z92" s="136"/>
      <c r="AA92" s="136"/>
      <c r="AB92" s="136"/>
      <c r="AC92" s="136"/>
    </row>
    <row r="93" spans="1:29" x14ac:dyDescent="0.25">
      <c r="A93" s="136"/>
      <c r="B93" s="136"/>
      <c r="C93" s="136"/>
      <c r="D93" s="136"/>
      <c r="E93" s="136"/>
      <c r="F93" s="136"/>
      <c r="G93" s="136"/>
      <c r="H93" s="136"/>
      <c r="I93" s="136"/>
      <c r="J93" s="136"/>
      <c r="K93" s="136"/>
      <c r="L93" s="136"/>
      <c r="M93" s="136"/>
      <c r="N93" s="136"/>
      <c r="O93" s="136"/>
      <c r="P93" s="136"/>
      <c r="Q93" s="136"/>
      <c r="R93" s="136"/>
      <c r="S93" s="136"/>
      <c r="T93" s="136"/>
      <c r="U93" s="136"/>
      <c r="V93" s="136"/>
      <c r="W93" s="136"/>
      <c r="X93" s="136"/>
      <c r="Y93" s="136"/>
      <c r="Z93" s="136"/>
      <c r="AA93" s="136"/>
      <c r="AB93" s="136"/>
      <c r="AC93" s="136"/>
    </row>
    <row r="94" spans="1:29" x14ac:dyDescent="0.25">
      <c r="A94" s="136"/>
      <c r="B94" s="136"/>
      <c r="C94" s="136"/>
      <c r="D94" s="136"/>
      <c r="E94" s="136"/>
      <c r="F94" s="136"/>
      <c r="G94" s="136"/>
      <c r="H94" s="136"/>
      <c r="I94" s="136"/>
      <c r="J94" s="136"/>
      <c r="K94" s="136"/>
      <c r="L94" s="136"/>
      <c r="M94" s="136"/>
      <c r="N94" s="136"/>
      <c r="O94" s="136"/>
      <c r="P94" s="136"/>
      <c r="Q94" s="136"/>
      <c r="R94" s="136"/>
      <c r="S94" s="136"/>
      <c r="T94" s="136"/>
      <c r="U94" s="136"/>
      <c r="V94" s="136"/>
      <c r="W94" s="136"/>
      <c r="X94" s="136"/>
      <c r="Y94" s="136"/>
      <c r="Z94" s="136"/>
      <c r="AA94" s="136"/>
      <c r="AB94" s="136"/>
      <c r="AC94" s="136"/>
    </row>
    <row r="95" spans="1:29" x14ac:dyDescent="0.25">
      <c r="A95" s="136"/>
      <c r="B95" s="136"/>
      <c r="C95" s="136"/>
      <c r="D95" s="136"/>
      <c r="E95" s="136"/>
      <c r="F95" s="136"/>
      <c r="G95" s="136"/>
      <c r="H95" s="136"/>
      <c r="I95" s="136"/>
      <c r="J95" s="136"/>
      <c r="K95" s="136"/>
      <c r="L95" s="136"/>
      <c r="M95" s="136"/>
      <c r="N95" s="136"/>
      <c r="O95" s="136"/>
      <c r="P95" s="136"/>
      <c r="Q95" s="136"/>
      <c r="R95" s="136"/>
      <c r="S95" s="136"/>
      <c r="T95" s="136"/>
      <c r="U95" s="136"/>
      <c r="V95" s="136"/>
      <c r="W95" s="136"/>
      <c r="X95" s="136"/>
      <c r="Y95" s="136"/>
      <c r="Z95" s="136"/>
      <c r="AA95" s="136"/>
      <c r="AB95" s="136"/>
      <c r="AC95" s="136"/>
    </row>
    <row r="96" spans="1:29" x14ac:dyDescent="0.25">
      <c r="A96" s="136"/>
      <c r="B96" s="136"/>
      <c r="C96" s="136"/>
      <c r="D96" s="136"/>
      <c r="E96" s="136"/>
      <c r="F96" s="136"/>
      <c r="G96" s="136"/>
      <c r="H96" s="136"/>
      <c r="I96" s="136"/>
      <c r="J96" s="136"/>
      <c r="K96" s="136"/>
      <c r="L96" s="136"/>
      <c r="M96" s="136"/>
      <c r="N96" s="136"/>
      <c r="O96" s="136"/>
      <c r="P96" s="136"/>
      <c r="Q96" s="136"/>
      <c r="R96" s="136"/>
      <c r="S96" s="136"/>
      <c r="T96" s="136"/>
      <c r="U96" s="136"/>
      <c r="V96" s="136"/>
      <c r="W96" s="136"/>
      <c r="X96" s="136"/>
      <c r="Y96" s="136"/>
      <c r="Z96" s="136"/>
      <c r="AA96" s="136"/>
      <c r="AB96" s="136"/>
      <c r="AC96" s="136"/>
    </row>
    <row r="97" spans="1:29" x14ac:dyDescent="0.25">
      <c r="A97" s="136"/>
      <c r="B97" s="136"/>
      <c r="C97" s="136"/>
      <c r="D97" s="136"/>
      <c r="E97" s="136"/>
      <c r="F97" s="136"/>
      <c r="G97" s="136"/>
      <c r="H97" s="136"/>
      <c r="I97" s="136"/>
      <c r="J97" s="136"/>
      <c r="K97" s="136"/>
      <c r="L97" s="136"/>
      <c r="M97" s="136"/>
      <c r="N97" s="136"/>
      <c r="O97" s="136"/>
      <c r="P97" s="136"/>
      <c r="Q97" s="136"/>
      <c r="R97" s="136"/>
      <c r="S97" s="136"/>
      <c r="T97" s="136"/>
      <c r="U97" s="136"/>
      <c r="V97" s="136"/>
      <c r="W97" s="136"/>
      <c r="X97" s="136"/>
      <c r="Y97" s="136"/>
      <c r="Z97" s="136"/>
      <c r="AA97" s="136"/>
      <c r="AB97" s="136"/>
      <c r="AC97" s="136"/>
    </row>
    <row r="98" spans="1:29" x14ac:dyDescent="0.25">
      <c r="A98" s="136"/>
      <c r="B98" s="136"/>
      <c r="C98" s="136"/>
      <c r="D98" s="136"/>
      <c r="E98" s="136"/>
      <c r="F98" s="136"/>
      <c r="G98" s="136"/>
      <c r="H98" s="136"/>
      <c r="I98" s="136"/>
      <c r="J98" s="136"/>
      <c r="K98" s="136"/>
      <c r="L98" s="136"/>
      <c r="M98" s="136"/>
      <c r="N98" s="136"/>
      <c r="O98" s="136"/>
      <c r="P98" s="136"/>
      <c r="Q98" s="136"/>
      <c r="R98" s="136"/>
      <c r="S98" s="136"/>
      <c r="T98" s="136"/>
      <c r="U98" s="136"/>
      <c r="V98" s="136"/>
      <c r="W98" s="136"/>
      <c r="X98" s="136"/>
      <c r="Y98" s="136"/>
      <c r="Z98" s="136"/>
      <c r="AA98" s="136"/>
      <c r="AB98" s="136"/>
      <c r="AC98" s="136"/>
    </row>
    <row r="99" spans="1:29" x14ac:dyDescent="0.25">
      <c r="A99" s="136"/>
      <c r="B99" s="136"/>
      <c r="C99" s="136"/>
      <c r="D99" s="136"/>
      <c r="E99" s="136"/>
      <c r="F99" s="136"/>
      <c r="G99" s="136"/>
      <c r="H99" s="136"/>
      <c r="I99" s="136"/>
      <c r="J99" s="136"/>
      <c r="K99" s="136"/>
      <c r="L99" s="136"/>
      <c r="M99" s="136"/>
      <c r="N99" s="136"/>
      <c r="O99" s="136"/>
      <c r="P99" s="136"/>
      <c r="Q99" s="136"/>
      <c r="R99" s="136"/>
      <c r="S99" s="136"/>
      <c r="T99" s="136"/>
      <c r="U99" s="136"/>
      <c r="V99" s="136"/>
      <c r="W99" s="136"/>
      <c r="X99" s="136"/>
      <c r="Y99" s="136"/>
      <c r="Z99" s="136"/>
      <c r="AA99" s="136"/>
      <c r="AB99" s="136"/>
      <c r="AC99" s="136"/>
    </row>
    <row r="100" spans="1:29" x14ac:dyDescent="0.25">
      <c r="A100" s="136"/>
      <c r="B100" s="136"/>
      <c r="C100" s="136"/>
      <c r="D100" s="136"/>
      <c r="E100" s="136"/>
      <c r="F100" s="136"/>
      <c r="G100" s="136"/>
      <c r="H100" s="136"/>
      <c r="I100" s="136"/>
      <c r="J100" s="136"/>
      <c r="K100" s="136"/>
      <c r="L100" s="136"/>
      <c r="M100" s="136"/>
      <c r="N100" s="136"/>
      <c r="O100" s="136"/>
      <c r="P100" s="136"/>
      <c r="Q100" s="136"/>
      <c r="R100" s="136"/>
      <c r="S100" s="136"/>
      <c r="T100" s="136"/>
      <c r="U100" s="136"/>
      <c r="V100" s="136"/>
      <c r="W100" s="136"/>
      <c r="X100" s="136"/>
      <c r="Y100" s="136"/>
      <c r="Z100" s="136"/>
      <c r="AA100" s="136"/>
      <c r="AB100" s="136"/>
      <c r="AC100" s="136"/>
    </row>
    <row r="101" spans="1:29" x14ac:dyDescent="0.25">
      <c r="A101" s="136"/>
      <c r="B101" s="136"/>
      <c r="C101" s="136"/>
      <c r="D101" s="136"/>
      <c r="E101" s="136"/>
      <c r="F101" s="136"/>
      <c r="G101" s="136"/>
      <c r="H101" s="136"/>
      <c r="I101" s="136"/>
      <c r="J101" s="136"/>
      <c r="K101" s="136"/>
      <c r="L101" s="136"/>
      <c r="M101" s="136"/>
      <c r="N101" s="136"/>
      <c r="O101" s="136"/>
      <c r="P101" s="136"/>
      <c r="Q101" s="136"/>
      <c r="R101" s="136"/>
      <c r="S101" s="136"/>
      <c r="T101" s="136"/>
      <c r="U101" s="136"/>
      <c r="V101" s="136"/>
      <c r="W101" s="136"/>
      <c r="X101" s="136"/>
      <c r="Y101" s="136"/>
      <c r="Z101" s="136"/>
      <c r="AA101" s="136"/>
      <c r="AB101" s="136"/>
      <c r="AC101" s="136"/>
    </row>
    <row r="102" spans="1:29" x14ac:dyDescent="0.25">
      <c r="A102" s="136"/>
      <c r="B102" s="136"/>
      <c r="C102" s="136"/>
      <c r="D102" s="136"/>
      <c r="E102" s="136"/>
      <c r="F102" s="136"/>
      <c r="G102" s="136"/>
      <c r="H102" s="136"/>
      <c r="I102" s="136"/>
      <c r="J102" s="136"/>
      <c r="K102" s="136"/>
      <c r="L102" s="136"/>
      <c r="M102" s="136"/>
      <c r="N102" s="136"/>
      <c r="O102" s="136"/>
      <c r="P102" s="136"/>
      <c r="Q102" s="136"/>
      <c r="R102" s="136"/>
      <c r="S102" s="136"/>
      <c r="T102" s="136"/>
      <c r="U102" s="136"/>
      <c r="V102" s="136"/>
      <c r="W102" s="136"/>
      <c r="X102" s="136"/>
      <c r="Y102" s="136"/>
      <c r="Z102" s="136"/>
      <c r="AA102" s="136"/>
      <c r="AB102" s="136"/>
      <c r="AC102" s="136"/>
    </row>
    <row r="103" spans="1:29" x14ac:dyDescent="0.25">
      <c r="B103" s="136"/>
      <c r="C103" s="136"/>
      <c r="D103" s="136"/>
      <c r="E103" s="136"/>
      <c r="F103" s="136"/>
      <c r="G103" s="136"/>
      <c r="H103" s="136"/>
      <c r="I103" s="136"/>
    </row>
    <row r="104" spans="1:29" x14ac:dyDescent="0.25">
      <c r="B104" s="136"/>
      <c r="C104" s="136"/>
      <c r="D104" s="136"/>
      <c r="E104" s="136"/>
      <c r="F104" s="136"/>
      <c r="G104" s="136"/>
      <c r="H104" s="136"/>
      <c r="I104" s="136"/>
    </row>
    <row r="105" spans="1:29" x14ac:dyDescent="0.25">
      <c r="B105" s="136"/>
      <c r="C105" s="136"/>
      <c r="D105" s="136"/>
      <c r="E105" s="136"/>
      <c r="F105" s="136"/>
      <c r="G105" s="136"/>
      <c r="H105" s="136"/>
      <c r="I105" s="136"/>
    </row>
  </sheetData>
  <sheetProtection algorithmName="SHA-512" hashValue="PhDc1cGZ/nJvpnzVW5dSPyQYVlDbUMUBTxDd6tmnXZ7CWTAInlDnxYVmz/uUdU9KyOMxc43O+l++2ECAz+zacA==" saltValue="rWrjFtu63x+hs7DFZwUgjA==" spinCount="100000" sheet="1" objects="1" scenarios="1" selectLockedCells="1"/>
  <mergeCells count="5">
    <mergeCell ref="C3:D3"/>
    <mergeCell ref="B30:I35"/>
    <mergeCell ref="B29:I29"/>
    <mergeCell ref="B37:I37"/>
    <mergeCell ref="B38:I43"/>
  </mergeCells>
  <conditionalFormatting sqref="B37:I43">
    <cfRule type="expression" dxfId="280" priority="2">
      <formula>$D$16="No"</formula>
    </cfRule>
  </conditionalFormatting>
  <dataValidations count="4">
    <dataValidation type="list" allowBlank="1" showInputMessage="1" showErrorMessage="1" sqref="D10" xr:uid="{6C9A9740-786D-439D-8842-F9CFA15CE546}">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D39C76A7-E4F3-4765-93EC-84A985E59DB7}">
      <formula1>"Yes,No"</formula1>
    </dataValidation>
    <dataValidation type="list" allowBlank="1" showInputMessage="1" showErrorMessage="1" error="Please select from the dropdown menu" sqref="D6" xr:uid="{8250300D-A807-4BD6-87F6-754ECDDB34DC}">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D14</xm:sqref>
        </x14:dataValidation>
        <x14:dataValidation type="list" allowBlank="1" showInputMessage="1" showErrorMessage="1" error="Please select from the dropdown menu" xr:uid="{00000000-0002-0000-0100-000000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E2" sqref="E2"/>
    </sheetView>
  </sheetViews>
  <sheetFormatPr defaultColWidth="8.85546875" defaultRowHeight="15" x14ac:dyDescent="0.25"/>
  <cols>
    <col min="1" max="1" width="4.140625" hidden="1" customWidth="1"/>
    <col min="2" max="2" width="9" hidden="1" customWidth="1"/>
    <col min="3" max="3" width="3" hidden="1" customWidth="1"/>
    <col min="4" max="4" width="0.5703125" style="136" customWidth="1"/>
    <col min="5" max="5" width="2.7109375" customWidth="1"/>
    <col min="6" max="6" width="8.42578125" customWidth="1"/>
    <col min="7" max="7" width="14.5703125" customWidth="1"/>
    <col min="8" max="8" width="33.140625" style="921" customWidth="1"/>
    <col min="9" max="9" width="17" style="964" hidden="1" customWidth="1"/>
    <col min="10" max="10" width="23.140625" style="964"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921" customWidth="1"/>
    <col min="22" max="22" width="13.28515625" style="921"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2" max="44" width="8.85546875" hidden="1" customWidth="1"/>
    <col min="45" max="45" width="13" hidden="1" customWidth="1"/>
    <col min="46" max="46" width="24.85546875" hidden="1" customWidth="1"/>
    <col min="47" max="47" width="21.7109375" hidden="1" customWidth="1"/>
    <col min="48" max="49" width="21.7109375" style="1041"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6"/>
      <c r="F1" s="136"/>
      <c r="G1" s="393"/>
      <c r="H1" s="393"/>
      <c r="I1" s="393"/>
      <c r="J1" s="393"/>
      <c r="K1" s="136"/>
      <c r="L1" s="136"/>
      <c r="M1" s="136"/>
      <c r="N1" s="136"/>
      <c r="O1" s="136"/>
      <c r="P1" s="136"/>
      <c r="Q1" s="136"/>
      <c r="R1" s="136"/>
      <c r="S1" s="136"/>
      <c r="T1" s="136"/>
      <c r="U1" s="136"/>
      <c r="V1" s="136"/>
      <c r="W1" s="136"/>
      <c r="X1" s="136"/>
      <c r="Y1" s="136"/>
      <c r="Z1" s="136"/>
      <c r="AA1" s="136"/>
      <c r="AB1" s="136"/>
      <c r="AC1" s="136"/>
      <c r="AD1" s="136"/>
      <c r="AE1" s="136"/>
      <c r="AF1" s="136"/>
      <c r="AG1" s="136" t="e">
        <f>VLOOKUP('Existing Customers'!AB2,'Market Geography'!A:B,2,0)</f>
        <v>#N/A</v>
      </c>
      <c r="AH1" s="136"/>
      <c r="AI1" s="136"/>
      <c r="AJ1" s="136"/>
      <c r="AK1" s="136"/>
      <c r="AL1" s="136"/>
      <c r="AM1" s="136"/>
      <c r="AN1" s="136"/>
      <c r="AO1" s="136"/>
      <c r="AP1" s="136"/>
      <c r="AQ1" s="136"/>
      <c r="AR1" s="136"/>
      <c r="AS1" s="136"/>
      <c r="AT1" s="136"/>
      <c r="AU1" s="136"/>
      <c r="AV1" s="136"/>
      <c r="AW1" s="136"/>
      <c r="AX1" s="136"/>
      <c r="AY1" s="136"/>
      <c r="AZ1" s="136"/>
      <c r="BA1" s="136"/>
      <c r="BB1" s="136"/>
      <c r="BC1" s="136"/>
      <c r="BD1" s="136"/>
    </row>
    <row r="2" spans="1:56" ht="21" x14ac:dyDescent="0.35">
      <c r="E2" s="701"/>
      <c r="F2" s="1254" t="s">
        <v>920</v>
      </c>
      <c r="G2" s="1254"/>
      <c r="H2" s="920"/>
      <c r="I2" s="963"/>
      <c r="J2" s="963"/>
      <c r="K2" s="629"/>
      <c r="L2" s="629"/>
      <c r="M2" s="629"/>
      <c r="N2" s="629"/>
      <c r="O2" s="629"/>
      <c r="P2" s="137"/>
      <c r="Q2" s="137"/>
      <c r="R2" s="137"/>
      <c r="S2" s="629"/>
      <c r="T2" s="629"/>
      <c r="U2" s="629"/>
      <c r="V2" s="629"/>
      <c r="W2" s="630"/>
      <c r="X2" s="136"/>
      <c r="Y2" s="136"/>
      <c r="Z2" s="136"/>
      <c r="AA2" s="136"/>
      <c r="AB2" s="136"/>
      <c r="AC2" s="136"/>
      <c r="AD2" s="136"/>
      <c r="AE2" s="136"/>
      <c r="AF2" s="136"/>
      <c r="AG2" s="136"/>
      <c r="AH2" s="136"/>
      <c r="AI2" s="136"/>
      <c r="AJ2" s="136"/>
      <c r="AL2" s="136"/>
      <c r="AM2" s="136"/>
      <c r="AN2" s="136"/>
      <c r="AO2" s="136"/>
      <c r="AP2" s="136"/>
      <c r="AQ2" s="136"/>
      <c r="AR2" s="136"/>
      <c r="AS2" s="136"/>
      <c r="AT2" s="136"/>
      <c r="AU2" s="136"/>
      <c r="AV2" s="136"/>
      <c r="AW2" s="136"/>
      <c r="AX2" s="136"/>
      <c r="AY2" s="136"/>
      <c r="AZ2" s="136"/>
      <c r="BA2" s="136"/>
      <c r="BB2" s="136"/>
      <c r="BC2" s="136"/>
      <c r="BD2" s="136"/>
    </row>
    <row r="3" spans="1:56" ht="27" customHeight="1" x14ac:dyDescent="0.25">
      <c r="E3" s="631"/>
      <c r="F3" s="756"/>
      <c r="G3" s="756"/>
      <c r="H3" s="756"/>
      <c r="I3" s="756"/>
      <c r="J3" s="756"/>
      <c r="K3" s="756"/>
      <c r="L3" s="1259"/>
      <c r="M3" s="1259"/>
      <c r="N3" s="1259"/>
      <c r="O3" s="757"/>
      <c r="P3" s="1255" t="str">
        <f>IF(COUNTIFS($P$6:$P$15,"&gt;0")&lt;$C$4,"Must Enter Expected Sales for All Locations","")</f>
        <v/>
      </c>
      <c r="Q3" s="1255"/>
      <c r="R3" s="1255"/>
      <c r="S3" s="756"/>
      <c r="T3" s="756"/>
      <c r="U3" s="756"/>
      <c r="V3" s="756"/>
      <c r="W3" s="632"/>
      <c r="X3" s="136"/>
      <c r="Y3" s="136"/>
      <c r="Z3" s="136"/>
      <c r="AA3" s="136"/>
      <c r="AB3" s="136"/>
      <c r="AC3" s="136"/>
      <c r="AD3" s="136"/>
      <c r="AE3" s="136"/>
      <c r="AF3" s="136"/>
      <c r="AG3" s="136"/>
      <c r="AH3" s="136"/>
      <c r="AI3" s="136"/>
      <c r="AJ3" s="136"/>
      <c r="AL3" s="136"/>
      <c r="AM3" s="136"/>
      <c r="AN3" s="136"/>
      <c r="AO3" s="136"/>
      <c r="AP3" s="136"/>
      <c r="AQ3" s="136"/>
      <c r="AR3" s="136"/>
      <c r="AS3" s="136"/>
      <c r="AT3" s="136"/>
      <c r="AU3" s="136"/>
      <c r="AV3" s="136"/>
      <c r="AW3" s="136"/>
      <c r="AX3" s="136"/>
      <c r="AY3" s="136"/>
      <c r="AZ3" s="136"/>
      <c r="BA3" s="136"/>
      <c r="BB3" s="136"/>
      <c r="BC3" s="136"/>
      <c r="BD3" s="136"/>
    </row>
    <row r="4" spans="1:56" ht="21" customHeight="1" thickBot="1" x14ac:dyDescent="0.3">
      <c r="C4" s="143">
        <f>IF(Welcome!$D$14="Select # of Locations",0,Welcome!$D$14)</f>
        <v>0</v>
      </c>
      <c r="D4" s="143"/>
      <c r="E4" s="374"/>
      <c r="F4" s="758"/>
      <c r="G4" s="758"/>
      <c r="H4" s="758"/>
      <c r="I4" s="758"/>
      <c r="J4" s="758"/>
      <c r="K4" s="758"/>
      <c r="L4" s="758"/>
      <c r="M4" s="758"/>
      <c r="N4" s="758"/>
      <c r="O4" s="1256" t="str">
        <f>IF(COUNTIFS($P$6:$P$15,"&gt;0")&lt;$C$4,"VVVVV","")</f>
        <v/>
      </c>
      <c r="P4" s="1256"/>
      <c r="Q4" s="1256"/>
      <c r="R4" s="756"/>
      <c r="S4" s="756"/>
      <c r="T4" s="759"/>
      <c r="U4" s="759"/>
      <c r="V4" s="759"/>
      <c r="W4" s="632"/>
      <c r="X4" s="136"/>
      <c r="Y4" s="136"/>
      <c r="Z4" s="136"/>
      <c r="AA4" s="136"/>
      <c r="AB4" s="136"/>
      <c r="AE4" s="2"/>
      <c r="AF4" s="136"/>
      <c r="AH4" s="136"/>
      <c r="AI4" s="136"/>
      <c r="AJ4" s="136"/>
      <c r="AK4" s="447" t="e">
        <f>Welcome!#REF!</f>
        <v>#REF!</v>
      </c>
      <c r="AL4" s="447"/>
      <c r="AM4" s="447"/>
      <c r="AN4" s="753">
        <f>COUNTIF($AN$6:$AN$15,"FLAG")</f>
        <v>0</v>
      </c>
      <c r="AO4" s="136"/>
      <c r="AP4" s="136"/>
      <c r="AQ4" s="136"/>
      <c r="AR4" s="136"/>
      <c r="AS4" s="136"/>
      <c r="AT4" s="136"/>
      <c r="AU4" s="136"/>
      <c r="AV4" s="136"/>
      <c r="AW4" s="136"/>
      <c r="AX4" s="136"/>
      <c r="AY4" s="136"/>
      <c r="AZ4" s="136" t="s">
        <v>1431</v>
      </c>
      <c r="BA4" s="136" t="s">
        <v>1432</v>
      </c>
      <c r="BB4" s="136" t="s">
        <v>1433</v>
      </c>
      <c r="BC4" s="136"/>
      <c r="BD4" s="136" t="s">
        <v>1434</v>
      </c>
    </row>
    <row r="5" spans="1:56" ht="49.5" customHeight="1" thickBot="1" x14ac:dyDescent="0.3">
      <c r="E5" s="631"/>
      <c r="F5" s="699" t="s">
        <v>1044</v>
      </c>
      <c r="G5" s="971" t="s">
        <v>736</v>
      </c>
      <c r="H5" s="970" t="s">
        <v>1298</v>
      </c>
      <c r="I5" s="971" t="s">
        <v>1380</v>
      </c>
      <c r="J5" s="655" t="s">
        <v>1381</v>
      </c>
      <c r="K5" s="922" t="s">
        <v>918</v>
      </c>
      <c r="L5" s="656" t="s">
        <v>1299</v>
      </c>
      <c r="M5" s="656" t="s">
        <v>1306</v>
      </c>
      <c r="N5" s="656" t="s">
        <v>916</v>
      </c>
      <c r="O5" s="657" t="s">
        <v>1300</v>
      </c>
      <c r="P5" s="766" t="s">
        <v>1301</v>
      </c>
      <c r="Q5" s="767" t="s">
        <v>1302</v>
      </c>
      <c r="R5" s="767" t="s">
        <v>1303</v>
      </c>
      <c r="S5" s="767" t="s">
        <v>204</v>
      </c>
      <c r="T5" s="926" t="s">
        <v>1304</v>
      </c>
      <c r="U5" s="927" t="s">
        <v>1305</v>
      </c>
      <c r="V5" s="931" t="s">
        <v>1471</v>
      </c>
      <c r="W5" s="632"/>
      <c r="X5" s="627" t="s">
        <v>462</v>
      </c>
      <c r="Y5" s="52" t="s">
        <v>919</v>
      </c>
      <c r="Z5" s="52" t="s">
        <v>204</v>
      </c>
      <c r="AA5" s="52" t="s">
        <v>507</v>
      </c>
      <c r="AB5" s="136"/>
      <c r="AC5" t="s">
        <v>935</v>
      </c>
      <c r="AD5">
        <f>MAX(AD6:AD15)</f>
        <v>0</v>
      </c>
      <c r="AE5" s="2"/>
      <c r="AF5" s="136"/>
      <c r="AH5" s="136"/>
      <c r="AI5" s="136"/>
      <c r="AJ5" s="136"/>
      <c r="AK5" s="136" t="s">
        <v>1137</v>
      </c>
      <c r="AL5" s="136" t="s">
        <v>1138</v>
      </c>
      <c r="AM5" s="136" t="s">
        <v>1139</v>
      </c>
      <c r="AN5" s="136" t="s">
        <v>1140</v>
      </c>
      <c r="AO5" s="136"/>
      <c r="AP5" s="136"/>
      <c r="AQ5" s="136"/>
      <c r="AR5" s="136"/>
      <c r="AS5" s="1042" t="s">
        <v>1418</v>
      </c>
      <c r="AT5" s="1042" t="s">
        <v>1424</v>
      </c>
      <c r="AU5" s="1042" t="s">
        <v>1425</v>
      </c>
      <c r="AV5" s="1042" t="s">
        <v>1435</v>
      </c>
      <c r="AW5" s="1042" t="s">
        <v>1436</v>
      </c>
      <c r="AX5" s="1042" t="s">
        <v>1420</v>
      </c>
      <c r="AY5" s="1042" t="s">
        <v>1423</v>
      </c>
      <c r="AZ5" s="1042" t="s">
        <v>1426</v>
      </c>
      <c r="BA5" s="1043" t="s">
        <v>1427</v>
      </c>
      <c r="BB5" s="1043" t="s">
        <v>1428</v>
      </c>
      <c r="BC5" s="1044" t="s">
        <v>1429</v>
      </c>
      <c r="BD5" s="1044" t="s">
        <v>1430</v>
      </c>
    </row>
    <row r="6" spans="1:56" x14ac:dyDescent="0.25">
      <c r="A6" t="str">
        <f t="shared" ref="A6:A15" si="0">IFERROR(RANK($AE6,$AE$6:$AE$15,1),"")</f>
        <v/>
      </c>
      <c r="B6">
        <f t="shared" ref="B6:B15" si="1">IF($G6="New Store",$G6&amp;" "&amp;$AC6,$G6)</f>
        <v>0</v>
      </c>
      <c r="C6" s="143">
        <v>1</v>
      </c>
      <c r="D6" s="143"/>
      <c r="E6" s="698"/>
      <c r="F6" s="616" t="str">
        <f>IF(Welcome!$D$14="Select # of Locations","",IF($C6&lt;=Welcome!$D$14,$C6,""))</f>
        <v/>
      </c>
      <c r="G6" s="975"/>
      <c r="H6" s="972"/>
      <c r="I6" s="1037"/>
      <c r="J6" s="1017"/>
      <c r="K6" s="923" t="str">
        <f>IF($C$4&gt;=$C6,IF(SUMIF('Existing Customers'!$A:$A,'Customer Inputs'!$G6,'Existing Customers'!$Q:$Q)=0,"Enter Spend&gt;&gt;&gt;",ROUND(SUMIF('Existing Customers'!$A:$A,'Customer Inputs'!$G6,'Existing Customers'!$Q:$Q),0)),"")</f>
        <v/>
      </c>
      <c r="L6" s="754" t="str">
        <f>IF($F6="","",IFERROR(ROUND(VLOOKUP(BB38,'Existing Customer Variable Exp'!$B:$F,5,FALSE)/52,1),"Enter Drops &gt;"))</f>
        <v/>
      </c>
      <c r="M6" s="924" t="str">
        <f>IF($F6="","",IFERROR(VLOOKUP($G6,'Existing Customers'!$A:$AD,30,FALSE),"Enter Menu Type&gt;&gt;"))</f>
        <v/>
      </c>
      <c r="N6" s="755" t="str">
        <f>IFERROR(IF($C$4&gt;=$C6,VLOOKUP($G6,'Existing Customers'!$A:$J,10,FALSE),""),"Enter Zip Code &gt;")</f>
        <v/>
      </c>
      <c r="O6" s="764" t="str">
        <f>IF($F6="","",IF(K6="Enter Spend&gt;&gt;&gt;","Enter EB % &gt;",BB$7))</f>
        <v/>
      </c>
      <c r="P6" s="770"/>
      <c r="Q6" s="636"/>
      <c r="R6" s="771"/>
      <c r="S6" s="772"/>
      <c r="T6" s="1075"/>
      <c r="U6" s="769"/>
      <c r="V6" s="930" t="s">
        <v>655</v>
      </c>
      <c r="W6" s="929" t="str">
        <f>IF($F6="","",'Variable Costs (Back)'!$A15)</f>
        <v/>
      </c>
      <c r="X6" s="628" t="str">
        <f>IF(Q6="",L6,Q6)</f>
        <v/>
      </c>
      <c r="Y6" s="52" t="str">
        <f t="shared" ref="Y6:Y15" si="2">IF(K6="Enter Spend&gt;&gt;&gt;",R6,M6)</f>
        <v/>
      </c>
      <c r="Z6" s="52" t="str">
        <f t="shared" ref="Z6:Z15" si="3">IF(K6="Enter Spend&gt;&gt;&gt;",S6,N6)</f>
        <v/>
      </c>
      <c r="AA6" s="52" t="str">
        <f>IF(T6="",O6,T6)</f>
        <v/>
      </c>
      <c r="AB6" s="136">
        <f>IFERROR(AA6*(P6/$P$17),0)</f>
        <v>0</v>
      </c>
      <c r="AC6">
        <f>IF($G6="New Store",COUNTIF($G$6:$G$15,"New Store")-COUNTIF($G7:$G$15,"New Store"),0)</f>
        <v>0</v>
      </c>
      <c r="AD6" t="str">
        <f t="shared" ref="AD6:AD15" si="4">IFERROR(RANK($AE6,$AE$6:$AE$15,1),"")</f>
        <v/>
      </c>
      <c r="AE6" s="2" t="str">
        <f t="shared" ref="AE6:AE15" si="5">IF($G6="New Store",$F6,IF($K6="Enter Spend&gt;&gt;&gt;",$F6,""))</f>
        <v/>
      </c>
      <c r="AF6" s="136"/>
      <c r="AG6" t="e">
        <f>_xlfn.CONCAT($AG$1,"_",IF(NOT(ISBLANK($H$6)),$H$6,""),"_",IF(AND(NOT(ISBLANK($G$6)),$G$6&lt;&gt;"New"),IF($M$6&lt;&gt;"Enter Menu Type&gt;&gt;",IF($R$6=0,$M$6,$R$6),$R$6),""))</f>
        <v>#N/A</v>
      </c>
      <c r="AH6" s="136"/>
      <c r="AI6" s="136"/>
      <c r="AJ6" s="136"/>
      <c r="AK6" s="136" t="b">
        <f>NOT(ISERROR(IFERROR(VLOOKUP($G6&amp;"",'HOS_Modellable Customers'!$A:$A,1,0),VLOOKUP($G6,'HOS_Modellable Customers'!$A:$A,1,0))))</f>
        <v>0</v>
      </c>
      <c r="AL6" s="136" t="b">
        <f>NOT(ISERROR(IFERROR(VLOOKUP($G6&amp;"",'Modellable Customers'!$A:$A,1,0),VLOOKUP($G6,'Modellable Customers'!$A:$A,1,0))))</f>
        <v>0</v>
      </c>
      <c r="AM6" s="136" t="b">
        <f>IF(K6="Enter Spend&gt;&gt;&gt;",TRUE,FALSE)</f>
        <v>0</v>
      </c>
      <c r="AN6" s="136" t="str">
        <f>IF(G6="","CLEAR",IF(AM6=TRUE,"CLEAR",IF(AND($AK$4="HOSPITALITY",AK6=TRUE),"CLEAR",IF(AND($AK$4="INDEPENDENT RESTAURATEURS",AL6=TRUE),"CLEAR","FLAG"))))</f>
        <v>CLEAR</v>
      </c>
      <c r="AO6" s="136"/>
      <c r="AP6" s="136" t="str">
        <f>IF($G6="","",IF(AR6="","Prospect","Existing"))</f>
        <v/>
      </c>
      <c r="AQ6" s="928" t="str">
        <f>IF($F6="","",IF(OR(U6="",U6="Existing"),IFERROR(VLOOKUP($G6,'Existing Customers'!$A:$F,4,FALSE),""),""))</f>
        <v/>
      </c>
      <c r="AR6" s="136"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Exp'!$B:$L,8,FALSE),0))</f>
        <v/>
      </c>
      <c r="AY6" s="52" t="str">
        <f>IF($F6="","",IFERROR(VLOOKUP($G6,'Existing Customer Variable Exp'!$B:$L,11,FALSE),0))</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3">
        <v>2</v>
      </c>
      <c r="D7" s="143"/>
      <c r="E7" s="698"/>
      <c r="F7" s="617" t="str">
        <f>IF(Welcome!$D$14="Select # of Locations","",IF($C7&lt;=Welcome!$D$14,$C7,""))</f>
        <v/>
      </c>
      <c r="G7" s="973"/>
      <c r="H7" s="968"/>
      <c r="I7" s="1038"/>
      <c r="J7" s="1019"/>
      <c r="K7" s="924" t="str">
        <f>IF($C$4&gt;=$C7,IF(SUMIF('Existing Customers'!$A:$A,'Customer Inputs'!$G7,'Existing Customers'!$Q:$Q)=0,"Enter Spend&gt;&gt;&gt;",ROUND(SUMIF('Existing Customers'!$A:$A,'Customer Inputs'!$G7,'Existing Customers'!$Q:$Q),0)),"")</f>
        <v/>
      </c>
      <c r="L7" s="619" t="str">
        <f>IF($F7="","",IFERROR(ROUND(VLOOKUP(BY38,'Existing Customer Variable Exp'!$B:$F,5,FALSE)/52,1),"Enter Drops &gt;"))</f>
        <v/>
      </c>
      <c r="M7" s="924" t="str">
        <f>IF($F7="","",IFERROR(VLOOKUP($G7,'Existing Customers'!$A:$AD,30,FALSE),"Enter Menu Type&gt;&gt;"))</f>
        <v/>
      </c>
      <c r="N7" s="751" t="str">
        <f>IFERROR(IF($C$4&gt;=$C7,VLOOKUP($G7,'Existing Customers'!$A:$J,10,FALSE),""),"Enter Zip Code &gt;")</f>
        <v/>
      </c>
      <c r="O7" s="765" t="str">
        <f>IF($F7="","",IF(K7="Enter Spend&gt;&gt;&gt;","Enter EB % &gt;",BY$7))</f>
        <v/>
      </c>
      <c r="P7" s="773"/>
      <c r="Q7" s="637"/>
      <c r="R7" s="768"/>
      <c r="S7" s="769"/>
      <c r="T7" s="1076"/>
      <c r="U7" s="769"/>
      <c r="V7" s="621" t="s">
        <v>655</v>
      </c>
      <c r="W7" s="929" t="str">
        <f>IF($F7="","",'Variable Costs (Back)'!$A16)</f>
        <v/>
      </c>
      <c r="X7" s="628" t="str">
        <f t="shared" ref="X7:X15" si="6">IF(Q7="",L7,Q7)</f>
        <v/>
      </c>
      <c r="Y7" s="52" t="str">
        <f t="shared" si="2"/>
        <v/>
      </c>
      <c r="Z7" s="52" t="str">
        <f t="shared" si="3"/>
        <v/>
      </c>
      <c r="AA7" s="52" t="str">
        <f t="shared" ref="AA7:AA15" si="7">IF(T7="",O7,T7)</f>
        <v/>
      </c>
      <c r="AB7" s="136">
        <f t="shared" ref="AB7:AB15" si="8">IFERROR(AA7*(P7/$P$17),0)</f>
        <v>0</v>
      </c>
      <c r="AC7">
        <f>IF($G7="New Store",COUNTIF($G$6:$G$15,"New Store")-COUNTIF($G8:$G$15,"New Store"),0)</f>
        <v>0</v>
      </c>
      <c r="AD7" t="str">
        <f t="shared" si="4"/>
        <v/>
      </c>
      <c r="AE7" s="2" t="str">
        <f t="shared" si="5"/>
        <v/>
      </c>
      <c r="AF7" s="136"/>
      <c r="AG7" t="e">
        <f>_xlfn.CONCAT($AG$1,"_",IF(NOT(ISBLANK($H$7)),$H$7,""),"_",IF(AND(NOT(ISBLANK($G$7)),$G$7&lt;&gt;"New"),IF($M$7&lt;&gt;"Enter Menu Type&gt;&gt;",IF($R$7=0,$M$7,$R$7),$R$7),""))</f>
        <v>#N/A</v>
      </c>
      <c r="AH7" s="136"/>
      <c r="AI7" s="136"/>
      <c r="AJ7" s="136"/>
      <c r="AK7" s="136" t="b">
        <f>NOT(ISERROR(IFERROR(VLOOKUP($G7&amp;"",'HOS_Modellable Customers'!$A:$A,1,0),VLOOKUP($G7,'HOS_Modellable Customers'!$A:$A,1,0))))</f>
        <v>0</v>
      </c>
      <c r="AL7" s="136" t="b">
        <f>NOT(ISERROR(IFERROR(VLOOKUP($G7&amp;"",'Modellable Customers'!$A:$A,1,0),VLOOKUP($G7,'Modellable Customers'!$A:$A,1,0))))</f>
        <v>0</v>
      </c>
      <c r="AM7" s="136" t="b">
        <f t="shared" ref="AM7:AM12" si="9">IF(K7="Enter Spend&gt;&gt;&gt;",TRUE,FALSE)</f>
        <v>0</v>
      </c>
      <c r="AN7" s="136" t="str">
        <f t="shared" ref="AN7:AN15" si="10">IF(G7="","CLEAR",IF(AM7=TRUE,"CLEAR",IF(AND($AK$4="HOSPITALITY",AK7=TRUE),"CLEAR",IF(AND($AK$4="INDEPENDENT RESTAURATEURS",AL7=TRUE),"CLEAR","FLAG"))))</f>
        <v>CLEAR</v>
      </c>
      <c r="AO7" s="136"/>
      <c r="AP7" s="136" t="str">
        <f t="shared" ref="AP7:AP15" si="11">IF($G7="","",IF(AR7="","Prospect","Existing"))</f>
        <v/>
      </c>
      <c r="AQ7" s="928" t="str">
        <f>IF($F7="","",IF(OR(U7="",U7="Existing"),IFERROR(VLOOKUP($G7,'Existing Customers'!$A:$F,4,FALSE),""),""))</f>
        <v/>
      </c>
      <c r="AR7" s="136"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Exp'!$B:$L,8,FALSE),0))</f>
        <v/>
      </c>
      <c r="AY7" s="52" t="str">
        <f>IF($F7="","",IFERROR(VLOOKUP($G7,'Existing Customer Variable Exp'!$B:$L,11,FALSE),0))</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3">
        <v>3</v>
      </c>
      <c r="D8" s="143"/>
      <c r="E8" s="698"/>
      <c r="F8" s="617" t="str">
        <f>IF(Welcome!$D$14="Select # of Locations","",IF($C8&lt;=Welcome!$D$14,$C8,""))</f>
        <v/>
      </c>
      <c r="G8" s="973"/>
      <c r="H8" s="968"/>
      <c r="I8" s="1038"/>
      <c r="J8" s="1019"/>
      <c r="K8" s="924" t="str">
        <f>IF($C$4&gt;=$C8,IF(SUMIF('Existing Customers'!$A:$A,'Customer Inputs'!$G8,'Existing Customers'!$Q:$Q)=0,"Enter Spend&gt;&gt;&gt;",ROUND(SUMIF('Existing Customers'!$A:$A,'Customer Inputs'!$G8,'Existing Customers'!$Q:$Q),0)),"")</f>
        <v/>
      </c>
      <c r="L8" s="619" t="str">
        <f>IF($F8="","",IFERROR(ROUND(VLOOKUP(CV38,'Existing Customer Variable Exp'!$B:$F,5,FALSE)/52,1),"Enter Drops &gt;"))</f>
        <v/>
      </c>
      <c r="M8" s="924" t="str">
        <f>IF($F8="","",IFERROR(VLOOKUP($G8,'Existing Customers'!$A:$AD,30,FALSE),"Enter Menu Type&gt;&gt;"))</f>
        <v/>
      </c>
      <c r="N8" s="751" t="str">
        <f>IFERROR(IF($C$4&gt;=$C8,VLOOKUP($G8,'Existing Customers'!$A:$J,10,FALSE),""),"Enter Zip Code &gt;")</f>
        <v/>
      </c>
      <c r="O8" s="765" t="str">
        <f>IF($F8="","",IF(K8="Enter Spend&gt;&gt;&gt;","Enter EB % &gt;",CV$7))</f>
        <v/>
      </c>
      <c r="P8" s="773"/>
      <c r="Q8" s="637"/>
      <c r="R8" s="768"/>
      <c r="S8" s="769"/>
      <c r="T8" s="1076"/>
      <c r="U8" s="769"/>
      <c r="V8" s="621" t="s">
        <v>655</v>
      </c>
      <c r="W8" s="929" t="str">
        <f>IF($F8="","",'Variable Costs (Back)'!$A17)</f>
        <v/>
      </c>
      <c r="X8" s="628" t="str">
        <f t="shared" si="6"/>
        <v/>
      </c>
      <c r="Y8" s="52" t="str">
        <f t="shared" si="2"/>
        <v/>
      </c>
      <c r="Z8" s="52" t="str">
        <f t="shared" si="3"/>
        <v/>
      </c>
      <c r="AA8" s="52" t="str">
        <f t="shared" si="7"/>
        <v/>
      </c>
      <c r="AB8" s="136">
        <f t="shared" si="8"/>
        <v>0</v>
      </c>
      <c r="AC8">
        <f>IF($G8="New Store",COUNTIF($G$6:$G$15,"New Store")-COUNTIF($G9:$G$15,"New Store"),0)</f>
        <v>0</v>
      </c>
      <c r="AD8" t="str">
        <f t="shared" si="4"/>
        <v/>
      </c>
      <c r="AE8" s="2" t="str">
        <f t="shared" si="5"/>
        <v/>
      </c>
      <c r="AF8" s="136"/>
      <c r="AG8" t="e">
        <f>_xlfn.CONCAT($AG$1,"_",IF(NOT(ISBLANK($H$8)),$H$8,""),"_",IF(AND(NOT(ISBLANK($G$8)),$G$8&lt;&gt;"New"),IF($M$8&lt;&gt;"Enter Menu Type&gt;&gt;",IF($R$8=0,$M$8,$R$8),$R$8),""))</f>
        <v>#N/A</v>
      </c>
      <c r="AH8" s="136"/>
      <c r="AI8" s="136"/>
      <c r="AJ8" s="136"/>
      <c r="AK8" s="136" t="b">
        <f>NOT(ISERROR(IFERROR(VLOOKUP($G8&amp;"",'HOS_Modellable Customers'!$A:$A,1,0),VLOOKUP($G8,'HOS_Modellable Customers'!$A:$A,1,0))))</f>
        <v>0</v>
      </c>
      <c r="AL8" s="136" t="b">
        <f>NOT(ISERROR(IFERROR(VLOOKUP($G8&amp;"",'Modellable Customers'!$A:$A,1,0),VLOOKUP($G8,'Modellable Customers'!$A:$A,1,0))))</f>
        <v>0</v>
      </c>
      <c r="AM8" s="136" t="b">
        <f t="shared" si="9"/>
        <v>0</v>
      </c>
      <c r="AN8" s="136" t="str">
        <f t="shared" si="10"/>
        <v>CLEAR</v>
      </c>
      <c r="AO8" s="136"/>
      <c r="AP8" s="136" t="str">
        <f t="shared" si="11"/>
        <v/>
      </c>
      <c r="AQ8" s="928" t="str">
        <f>IF($F8="","",IF(OR(U8="",U8="Existing"),IFERROR(VLOOKUP($G8,'Existing Customers'!$A:$F,4,FALSE),""),""))</f>
        <v/>
      </c>
      <c r="AR8" s="136"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Exp'!$B:$L,8,FALSE),0))</f>
        <v/>
      </c>
      <c r="AY8" s="52" t="str">
        <f>IF($F8="","",IFERROR(VLOOKUP($G8,'Existing Customer Variable Exp'!$B:$L,11,FALSE),0))</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3">
        <v>4</v>
      </c>
      <c r="D9" s="143"/>
      <c r="E9" s="698"/>
      <c r="F9" s="617" t="str">
        <f>IF(Welcome!$D$14="Select # of Locations","",IF($C9&lt;=Welcome!$D$14,$C9,""))</f>
        <v/>
      </c>
      <c r="G9" s="973"/>
      <c r="H9" s="968"/>
      <c r="I9" s="1038"/>
      <c r="J9" s="1019"/>
      <c r="K9" s="924" t="str">
        <f>IF($C$4&gt;=$C9,IF(SUMIF('Existing Customers'!$A:$A,'Customer Inputs'!$G9,'Existing Customers'!$Q:$Q)=0,"Enter Spend&gt;&gt;&gt;",ROUND(SUMIF('Existing Customers'!$A:$A,'Customer Inputs'!$G9,'Existing Customers'!$Q:$Q),0)),"")</f>
        <v/>
      </c>
      <c r="L9" s="619" t="str">
        <f>IF($F9="","",IFERROR(ROUND(VLOOKUP(DS38,'Existing Customer Variable Exp'!$B:$F,5,FALSE)/52,1),"Enter Drops &gt;"))</f>
        <v/>
      </c>
      <c r="M9" s="924" t="str">
        <f>IF($F9="","",IFERROR(VLOOKUP($G9,'Existing Customers'!$A:$AD,30,FALSE),"Enter Menu Type&gt;&gt;"))</f>
        <v/>
      </c>
      <c r="N9" s="751" t="str">
        <f>IFERROR(IF($C$4&gt;=$C9,VLOOKUP($G9,'Existing Customers'!$A:$J,10,FALSE),""),"Enter Zip Code &gt;")</f>
        <v/>
      </c>
      <c r="O9" s="765" t="str">
        <f>IF($F9="","",IF(K9="Enter Spend&gt;&gt;&gt;","Enter EB % &gt;",DS$7))</f>
        <v/>
      </c>
      <c r="P9" s="773"/>
      <c r="Q9" s="637"/>
      <c r="R9" s="768"/>
      <c r="S9" s="769"/>
      <c r="T9" s="1076"/>
      <c r="U9" s="769"/>
      <c r="V9" s="621" t="s">
        <v>655</v>
      </c>
      <c r="W9" s="929" t="str">
        <f>IF($F9="","",'Variable Costs (Back)'!$A18)</f>
        <v/>
      </c>
      <c r="X9" s="628" t="str">
        <f>IF(Q9="",L9,Q9)</f>
        <v/>
      </c>
      <c r="Y9" s="52" t="str">
        <f t="shared" si="2"/>
        <v/>
      </c>
      <c r="Z9" s="52" t="str">
        <f t="shared" si="3"/>
        <v/>
      </c>
      <c r="AA9" s="52" t="str">
        <f t="shared" si="7"/>
        <v/>
      </c>
      <c r="AB9" s="136">
        <f t="shared" si="8"/>
        <v>0</v>
      </c>
      <c r="AC9">
        <f>IF($G9="New Store",COUNTIF($G$6:$G$15,"New Store")-COUNTIF($G10:$G$15,"New Store"),0)</f>
        <v>0</v>
      </c>
      <c r="AD9" t="str">
        <f t="shared" si="4"/>
        <v/>
      </c>
      <c r="AE9" s="2" t="str">
        <f t="shared" si="5"/>
        <v/>
      </c>
      <c r="AF9" s="136"/>
      <c r="AG9" t="e">
        <f>_xlfn.CONCAT($AG$1,"_",IF(NOT(ISBLANK($H$9)),$H$9,""),"_",IF(AND(NOT(ISBLANK($G$9)),$G$9&lt;&gt;"New"),IF($M$9&lt;&gt;"Enter Menu Type&gt;&gt;",IF($R$9=0,$M$9,$R$9),$R$9),""))</f>
        <v>#N/A</v>
      </c>
      <c r="AH9" s="136"/>
      <c r="AI9" s="136"/>
      <c r="AJ9" s="136"/>
      <c r="AK9" s="136" t="b">
        <f>NOT(ISERROR(IFERROR(VLOOKUP($G9&amp;"",'HOS_Modellable Customers'!$A:$A,1,0),VLOOKUP($G9,'HOS_Modellable Customers'!$A:$A,1,0))))</f>
        <v>0</v>
      </c>
      <c r="AL9" s="136" t="b">
        <f>NOT(ISERROR(IFERROR(VLOOKUP($G9&amp;"",'Modellable Customers'!$A:$A,1,0),VLOOKUP($G9,'Modellable Customers'!$A:$A,1,0))))</f>
        <v>0</v>
      </c>
      <c r="AM9" s="136" t="b">
        <f t="shared" si="9"/>
        <v>0</v>
      </c>
      <c r="AN9" s="136" t="str">
        <f t="shared" si="10"/>
        <v>CLEAR</v>
      </c>
      <c r="AO9" s="136"/>
      <c r="AP9" s="136" t="str">
        <f t="shared" si="11"/>
        <v/>
      </c>
      <c r="AQ9" s="928" t="str">
        <f>IF($F9="","",IF(OR(U9="",U9="Existing"),IFERROR(VLOOKUP($G9,'Existing Customers'!$A:$F,4,FALSE),""),""))</f>
        <v/>
      </c>
      <c r="AR9" s="136"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Exp'!$B:$L,8,FALSE),0))</f>
        <v/>
      </c>
      <c r="AY9" s="52" t="str">
        <f>IF($F9="","",IFERROR(VLOOKUP($G9,'Existing Customer Variable Exp'!$B:$L,11,FALSE),0))</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3">
        <v>5</v>
      </c>
      <c r="D10" s="143"/>
      <c r="E10" s="698"/>
      <c r="F10" s="617" t="str">
        <f>IF(Welcome!$D$14="Select # of Locations","",IF($C10&lt;=Welcome!$D$14,$C10,""))</f>
        <v/>
      </c>
      <c r="G10" s="973"/>
      <c r="H10" s="968"/>
      <c r="I10" s="1038"/>
      <c r="J10" s="1019"/>
      <c r="K10" s="924" t="str">
        <f>IF($C$4&gt;=$C10,IF(SUMIF('Existing Customers'!$A:$A,'Customer Inputs'!$G10,'Existing Customers'!$Q:$Q)=0,"Enter Spend&gt;&gt;&gt;",ROUND(SUMIF('Existing Customers'!$A:$A,'Customer Inputs'!$G10,'Existing Customers'!$Q:$Q),0)),"")</f>
        <v/>
      </c>
      <c r="L10" s="619" t="str">
        <f>IF($F10="","",IFERROR(ROUND(VLOOKUP(EP38,'Existing Customer Variable Exp'!$B:$F,5,FALSE)/52,1),"Enter Drops &gt;"))</f>
        <v/>
      </c>
      <c r="M10" s="924" t="str">
        <f>IF($F10="","",IFERROR(VLOOKUP($G10,'Existing Customers'!$A:$AD,30,FALSE),"Enter Menu Type&gt;&gt;"))</f>
        <v/>
      </c>
      <c r="N10" s="751" t="str">
        <f>IFERROR(IF($C$4&gt;=$C10,VLOOKUP($G10,'Existing Customers'!$A:$J,10,FALSE),""),"Enter Zip Code &gt;")</f>
        <v/>
      </c>
      <c r="O10" s="765" t="str">
        <f>IF($F10="","",IF(K10="Enter Spend&gt;&gt;&gt;","Enter EB % &gt;",EP$7))</f>
        <v/>
      </c>
      <c r="P10" s="773"/>
      <c r="Q10" s="637"/>
      <c r="R10" s="768"/>
      <c r="S10" s="769"/>
      <c r="T10" s="1076"/>
      <c r="U10" s="769"/>
      <c r="V10" s="621" t="s">
        <v>655</v>
      </c>
      <c r="W10" s="929" t="str">
        <f>IF($F10="","",'Variable Costs (Back)'!$A19)</f>
        <v/>
      </c>
      <c r="X10" s="628" t="str">
        <f t="shared" si="6"/>
        <v/>
      </c>
      <c r="Y10" s="52" t="str">
        <f t="shared" si="2"/>
        <v/>
      </c>
      <c r="Z10" s="52" t="str">
        <f t="shared" si="3"/>
        <v/>
      </c>
      <c r="AA10" s="52" t="str">
        <f t="shared" si="7"/>
        <v/>
      </c>
      <c r="AB10" s="136">
        <f t="shared" si="8"/>
        <v>0</v>
      </c>
      <c r="AC10">
        <f>IF($G10="New Store",COUNTIF($G$6:$G$15,"New Store")-COUNTIF($G11:$G$15,"New Store"),0)</f>
        <v>0</v>
      </c>
      <c r="AD10" t="str">
        <f t="shared" si="4"/>
        <v/>
      </c>
      <c r="AE10" s="2" t="str">
        <f t="shared" si="5"/>
        <v/>
      </c>
      <c r="AF10" s="136"/>
      <c r="AG10" t="e">
        <f>_xlfn.CONCAT($AG$1,"_",IF(NOT(ISBLANK($H$10)),$H$10,""),"_",IF(AND(NOT(ISBLANK($G$10)),$G$10&lt;&gt;"New"),IF($M$10&lt;&gt;"Enter Menu Type&gt;&gt;",IF($R$10=0,$M$10,$R$10),$R$10),""))</f>
        <v>#N/A</v>
      </c>
      <c r="AH10" s="136"/>
      <c r="AI10" s="136"/>
      <c r="AJ10" s="136"/>
      <c r="AK10" s="136" t="b">
        <f>NOT(ISERROR(IFERROR(VLOOKUP($G10&amp;"",'HOS_Modellable Customers'!$A:$A,1,0),VLOOKUP($G10,'HOS_Modellable Customers'!$A:$A,1,0))))</f>
        <v>0</v>
      </c>
      <c r="AL10" s="136" t="b">
        <f>NOT(ISERROR(IFERROR(VLOOKUP($G10&amp;"",'Modellable Customers'!$A:$A,1,0),VLOOKUP($G10,'Modellable Customers'!$A:$A,1,0))))</f>
        <v>0</v>
      </c>
      <c r="AM10" s="136" t="b">
        <f t="shared" si="9"/>
        <v>0</v>
      </c>
      <c r="AN10" s="136" t="str">
        <f t="shared" si="10"/>
        <v>CLEAR</v>
      </c>
      <c r="AO10" s="136"/>
      <c r="AP10" s="136" t="str">
        <f t="shared" si="11"/>
        <v/>
      </c>
      <c r="AQ10" s="928" t="str">
        <f>IF($F10="","",IF(OR(U10="",U10="Existing"),IFERROR(VLOOKUP($G10,'Existing Customers'!$A:$F,4,FALSE),""),""))</f>
        <v/>
      </c>
      <c r="AR10" s="136"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Exp'!$B:$L,8,FALSE),0))</f>
        <v/>
      </c>
      <c r="AY10" s="52" t="str">
        <f>IF($F10="","",IFERROR(VLOOKUP($G10,'Existing Customer Variable Exp'!$B:$L,11,FALSE),0))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3">
        <v>6</v>
      </c>
      <c r="D11" s="143"/>
      <c r="E11" s="698"/>
      <c r="F11" s="617" t="str">
        <f>IF(Welcome!$D$14="Select # of Locations","",IF($C11&lt;=Welcome!$D$14,$C11,""))</f>
        <v/>
      </c>
      <c r="G11" s="973"/>
      <c r="H11" s="968"/>
      <c r="I11" s="1038"/>
      <c r="J11" s="1019"/>
      <c r="K11" s="924" t="str">
        <f>IF($C$4&gt;=$C11,IF(SUMIF('Existing Customers'!$A:$A,'Customer Inputs'!$G11,'Existing Customers'!$Q:$Q)=0,"Enter Spend&gt;&gt;&gt;",ROUND(SUMIF('Existing Customers'!$A:$A,'Customer Inputs'!$G11,'Existing Customers'!$Q:$Q),0)),"")</f>
        <v/>
      </c>
      <c r="L11" s="619" t="str">
        <f>IF($F11="","",IFERROR(ROUND(VLOOKUP(FM38,'Existing Customer Variable Exp'!$B:$F,5,FALSE)/52,1),"Enter Drops &gt;"))</f>
        <v/>
      </c>
      <c r="M11" s="924" t="str">
        <f>IF($F11="","",IFERROR(VLOOKUP($G11,'Existing Customers'!$A:$AD,30,FALSE),"Enter Menu Type&gt;&gt;"))</f>
        <v/>
      </c>
      <c r="N11" s="751" t="str">
        <f>IFERROR(IF($C$4&gt;=$C11,VLOOKUP($G11,'Existing Customers'!$A:$J,10,FALSE),""),"Enter Zip Code &gt;")</f>
        <v/>
      </c>
      <c r="O11" s="765" t="str">
        <f>IF($F11="","",IF(K11="Enter Spend&gt;&gt;&gt;","Enter EB % &gt;",FM$7))</f>
        <v/>
      </c>
      <c r="P11" s="773"/>
      <c r="Q11" s="637"/>
      <c r="R11" s="768"/>
      <c r="S11" s="769"/>
      <c r="T11" s="1076"/>
      <c r="U11" s="769"/>
      <c r="V11" s="621" t="s">
        <v>655</v>
      </c>
      <c r="W11" s="929" t="str">
        <f>IF($F11="","",'Variable Costs (Back)'!$A20)</f>
        <v/>
      </c>
      <c r="X11" s="628" t="str">
        <f t="shared" si="6"/>
        <v/>
      </c>
      <c r="Y11" s="52" t="str">
        <f t="shared" si="2"/>
        <v/>
      </c>
      <c r="Z11" s="52" t="str">
        <f t="shared" si="3"/>
        <v/>
      </c>
      <c r="AA11" s="52" t="str">
        <f t="shared" si="7"/>
        <v/>
      </c>
      <c r="AB11" s="136">
        <f t="shared" si="8"/>
        <v>0</v>
      </c>
      <c r="AC11">
        <f>IF($G11="New Store",COUNTIF($G$6:$G$15,"New Store")-COUNTIF($G12:$G$15,"New Store"),0)</f>
        <v>0</v>
      </c>
      <c r="AD11" t="str">
        <f t="shared" si="4"/>
        <v/>
      </c>
      <c r="AE11" s="2" t="str">
        <f t="shared" si="5"/>
        <v/>
      </c>
      <c r="AF11" s="136"/>
      <c r="AG11" t="e">
        <f>_xlfn.CONCAT($AG$1,"_",IF(NOT(ISBLANK($H$11)),$H$11,""),"_",IF(AND(NOT(ISBLANK($G$11)),$G$11&lt;&gt;"New"),IF($M$11&lt;&gt;"Enter Menu Type&gt;&gt;",IF($R$11=0,$M$11,$R$11),$R$11),""))</f>
        <v>#N/A</v>
      </c>
      <c r="AH11" s="136"/>
      <c r="AI11" s="136"/>
      <c r="AJ11" s="136"/>
      <c r="AK11" s="136" t="b">
        <f>NOT(ISERROR(IFERROR(VLOOKUP($G11&amp;"",'HOS_Modellable Customers'!$A:$A,1,0),VLOOKUP($G11,'HOS_Modellable Customers'!$A:$A,1,0))))</f>
        <v>0</v>
      </c>
      <c r="AL11" s="136" t="b">
        <f>NOT(ISERROR(IFERROR(VLOOKUP($G11&amp;"",'Modellable Customers'!$A:$A,1,0),VLOOKUP($G11,'Modellable Customers'!$A:$A,1,0))))</f>
        <v>0</v>
      </c>
      <c r="AM11" s="136" t="b">
        <f t="shared" si="9"/>
        <v>0</v>
      </c>
      <c r="AN11" s="136" t="str">
        <f t="shared" si="10"/>
        <v>CLEAR</v>
      </c>
      <c r="AO11" s="136"/>
      <c r="AP11" s="136" t="str">
        <f t="shared" si="11"/>
        <v/>
      </c>
      <c r="AQ11" s="928" t="str">
        <f>IF($F11="","",IF(OR(U11="",U11="Existing"),IFERROR(VLOOKUP($G11,'Existing Customers'!$A:$F,4,FALSE),""),""))</f>
        <v/>
      </c>
      <c r="AR11" s="136"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Exp'!$B:$L,8,FALSE),0))</f>
        <v/>
      </c>
      <c r="AY11" s="52" t="str">
        <f>IF($F11="","",IFERROR(VLOOKUP($G11,'Existing Customer Variable Exp'!$B:$L,11,FALSE),0))</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3">
        <v>7</v>
      </c>
      <c r="D12" s="143"/>
      <c r="E12" s="698"/>
      <c r="F12" s="617" t="str">
        <f>IF(Welcome!$D$14="Select # of Locations","",IF($C12&lt;=Welcome!$D$14,$C12,""))</f>
        <v/>
      </c>
      <c r="G12" s="973"/>
      <c r="H12" s="968"/>
      <c r="I12" s="1038"/>
      <c r="J12" s="1019"/>
      <c r="K12" s="924" t="str">
        <f>IF($C$4&gt;=$C12,IF(SUMIF('Existing Customers'!$A:$A,'Customer Inputs'!$G12,'Existing Customers'!$Q:$Q)=0,"Enter Spend&gt;&gt;&gt;",ROUND(SUMIF('Existing Customers'!$A:$A,'Customer Inputs'!$G12,'Existing Customers'!$Q:$Q),0)),"")</f>
        <v/>
      </c>
      <c r="L12" s="619" t="str">
        <f>IF($F12="","",IFERROR(ROUND(VLOOKUP(GJ38,'Existing Customer Variable Exp'!$B:$F,5,FALSE)/52,1),"Enter Drops &gt;"))</f>
        <v/>
      </c>
      <c r="M12" s="924" t="str">
        <f>IF($F12="","",IFERROR(VLOOKUP($G12,'Existing Customers'!$A:$AD,30,FALSE),"Enter Menu Type&gt;&gt;"))</f>
        <v/>
      </c>
      <c r="N12" s="751" t="str">
        <f>IFERROR(IF($C$4&gt;=$C12,VLOOKUP($G12,'Existing Customers'!$A:$J,10,FALSE),""),"Enter Zip Code &gt;")</f>
        <v/>
      </c>
      <c r="O12" s="765" t="str">
        <f>IF($F12="","",IF(K12="Enter Spend&gt;&gt;&gt;","Enter EB % &gt;",GJ$7))</f>
        <v/>
      </c>
      <c r="P12" s="773"/>
      <c r="Q12" s="637"/>
      <c r="R12" s="768"/>
      <c r="S12" s="769"/>
      <c r="T12" s="1076"/>
      <c r="U12" s="769"/>
      <c r="V12" s="621" t="s">
        <v>655</v>
      </c>
      <c r="W12" s="929" t="str">
        <f>IF($F12="","",'Variable Costs (Back)'!$A21)</f>
        <v/>
      </c>
      <c r="X12" s="628" t="str">
        <f t="shared" si="6"/>
        <v/>
      </c>
      <c r="Y12" s="52" t="str">
        <f t="shared" si="2"/>
        <v/>
      </c>
      <c r="Z12" s="52" t="str">
        <f t="shared" si="3"/>
        <v/>
      </c>
      <c r="AA12" s="52" t="str">
        <f t="shared" si="7"/>
        <v/>
      </c>
      <c r="AB12" s="136">
        <f t="shared" si="8"/>
        <v>0</v>
      </c>
      <c r="AC12">
        <f>IF($G12="New Store",COUNTIF($G$6:$G$15,"New Store")-COUNTIF($G13:$G$15,"New Store"),0)</f>
        <v>0</v>
      </c>
      <c r="AD12" t="str">
        <f t="shared" si="4"/>
        <v/>
      </c>
      <c r="AE12" s="2" t="str">
        <f t="shared" si="5"/>
        <v/>
      </c>
      <c r="AF12" s="136"/>
      <c r="AG12" t="e">
        <f>_xlfn.CONCAT($AG$1,"_",IF(NOT(ISBLANK($H$12)),$H$12,""),"_",IF(AND(NOT(ISBLANK($G$12)),$G$12&lt;&gt;"New"),IF($M$12&lt;&gt;"Enter Menu Type&gt;&gt;",IF($R$12=0,$M$12,$R$12),$R$12),""))</f>
        <v>#N/A</v>
      </c>
      <c r="AH12" s="136"/>
      <c r="AI12" s="136"/>
      <c r="AJ12" s="136"/>
      <c r="AK12" s="136" t="b">
        <f>NOT(ISERROR(IFERROR(VLOOKUP($G12&amp;"",'HOS_Modellable Customers'!$A:$A,1,0),VLOOKUP($G12,'HOS_Modellable Customers'!$A:$A,1,0))))</f>
        <v>0</v>
      </c>
      <c r="AL12" s="136" t="b">
        <f>NOT(ISERROR(IFERROR(VLOOKUP($G12&amp;"",'Modellable Customers'!$A:$A,1,0),VLOOKUP($G12,'Modellable Customers'!$A:$A,1,0))))</f>
        <v>0</v>
      </c>
      <c r="AM12" s="136" t="b">
        <f t="shared" si="9"/>
        <v>0</v>
      </c>
      <c r="AN12" s="136" t="str">
        <f t="shared" si="10"/>
        <v>CLEAR</v>
      </c>
      <c r="AO12" s="136"/>
      <c r="AP12" s="136" t="str">
        <f t="shared" si="11"/>
        <v/>
      </c>
      <c r="AQ12" s="928" t="str">
        <f>IF($F12="","",IF(OR(U12="",U12="Existing"),IFERROR(VLOOKUP($G12,'Existing Customers'!$A:$F,4,FALSE),""),""))</f>
        <v/>
      </c>
      <c r="AR12" s="136"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Exp'!$B:$L,8,FALSE),0))</f>
        <v/>
      </c>
      <c r="AY12" s="52" t="str">
        <f>IF($F12="","",IFERROR(VLOOKUP($G12,'Existing Customer Variable Exp'!$B:$L,11,FALSE),0))</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3">
        <v>8</v>
      </c>
      <c r="D13" s="143"/>
      <c r="E13" s="698"/>
      <c r="F13" s="617" t="str">
        <f>IF(Welcome!$D$14="Select # of Locations","",IF($C13&lt;=Welcome!$D$14,$C13,""))</f>
        <v/>
      </c>
      <c r="G13" s="973"/>
      <c r="H13" s="968"/>
      <c r="I13" s="1038"/>
      <c r="J13" s="1019"/>
      <c r="K13" s="924" t="str">
        <f>IF($C$4&gt;=$C13,IF(SUMIF('Existing Customers'!$A:$A,'Customer Inputs'!$G13,'Existing Customers'!$Q:$Q)=0,"Enter Spend&gt;&gt;&gt;",ROUND(SUMIF('Existing Customers'!$A:$A,'Customer Inputs'!$G13,'Existing Customers'!$Q:$Q),0)),"")</f>
        <v/>
      </c>
      <c r="L13" s="619" t="str">
        <f>IF($F13="","",IFERROR(ROUND(VLOOKUP(HG38,'Existing Customer Variable Exp'!$B:$F,5,FALSE)/52,1),"Enter Drops &gt;"))</f>
        <v/>
      </c>
      <c r="M13" s="924" t="str">
        <f>IF($F13="","",IFERROR(VLOOKUP($G13,'Existing Customers'!$A:$AD,30,FALSE),"Enter Menu Type&gt;&gt;"))</f>
        <v/>
      </c>
      <c r="N13" s="751" t="str">
        <f>IFERROR(IF($C$4&gt;=$C13,VLOOKUP($G13,'Existing Customers'!$A:$J,10,FALSE),""),"Enter Zip Code &gt;")</f>
        <v/>
      </c>
      <c r="O13" s="765" t="str">
        <f>IF($F13="","",IF(K13="Enter Spend&gt;&gt;&gt;","Enter EB % &gt;",HG$7))</f>
        <v/>
      </c>
      <c r="P13" s="773"/>
      <c r="Q13" s="637"/>
      <c r="R13" s="768"/>
      <c r="S13" s="769"/>
      <c r="T13" s="1076"/>
      <c r="U13" s="769"/>
      <c r="V13" s="621" t="s">
        <v>655</v>
      </c>
      <c r="W13" s="929" t="str">
        <f>IF($F13="","",'Variable Costs (Back)'!$A22)</f>
        <v/>
      </c>
      <c r="X13" s="628" t="str">
        <f t="shared" si="6"/>
        <v/>
      </c>
      <c r="Y13" s="52" t="str">
        <f t="shared" si="2"/>
        <v/>
      </c>
      <c r="Z13" s="52" t="str">
        <f t="shared" si="3"/>
        <v/>
      </c>
      <c r="AA13" s="52" t="str">
        <f t="shared" si="7"/>
        <v/>
      </c>
      <c r="AB13" s="136">
        <f t="shared" si="8"/>
        <v>0</v>
      </c>
      <c r="AC13">
        <f>IF($G13="New Store",COUNTIF($G$6:$G$15,"New Store")-COUNTIF($G14:$G$15,"New Store"),0)</f>
        <v>0</v>
      </c>
      <c r="AD13" t="str">
        <f t="shared" si="4"/>
        <v/>
      </c>
      <c r="AE13" s="2" t="str">
        <f t="shared" si="5"/>
        <v/>
      </c>
      <c r="AF13" s="136"/>
      <c r="AG13" t="e">
        <f>_xlfn.CONCAT($AG$1,"_",IF(NOT(ISBLANK($H$13)),$H$13,""),"_",IF(AND(NOT(ISBLANK($G$13)),$G$13&lt;&gt;"New"),IF($M$13&lt;&gt;"Enter Menu Type&gt;&gt;",IF($R$13=0,$M$13,$R$13),$R$13),""))</f>
        <v>#N/A</v>
      </c>
      <c r="AH13" s="136"/>
      <c r="AI13" s="136"/>
      <c r="AJ13" s="136"/>
      <c r="AK13" s="136" t="b">
        <f>NOT(ISERROR(IFERROR(VLOOKUP($G13&amp;"",'HOS_Modellable Customers'!$A:$A,1,0),VLOOKUP($G13,'HOS_Modellable Customers'!$A:$A,1,0))))</f>
        <v>0</v>
      </c>
      <c r="AL13" s="136" t="b">
        <f>NOT(ISERROR(IFERROR(VLOOKUP($G13&amp;"",'Modellable Customers'!$A:$A,1,0),VLOOKUP($G13,'Modellable Customers'!$A:$A,1,0))))</f>
        <v>0</v>
      </c>
      <c r="AM13" s="136" t="b">
        <f t="shared" ref="AM13:AM15" si="17">IF(K13="Enter Spend&gt;&gt;&gt;",TRUE,FALSE)</f>
        <v>0</v>
      </c>
      <c r="AN13" s="136" t="str">
        <f t="shared" si="10"/>
        <v>CLEAR</v>
      </c>
      <c r="AO13" s="136"/>
      <c r="AP13" s="136" t="str">
        <f t="shared" si="11"/>
        <v/>
      </c>
      <c r="AQ13" s="928" t="str">
        <f>IF($F13="","",IF(OR(U13="",U13="Existing"),IFERROR(VLOOKUP($G13,'Existing Customers'!$A:$F,4,FALSE),""),""))</f>
        <v/>
      </c>
      <c r="AR13" s="136"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Exp'!$B:$L,8,FALSE),0))</f>
        <v/>
      </c>
      <c r="AY13" s="52" t="str">
        <f>IF($F13="","",IFERROR(VLOOKUP($G13,'Existing Customer Variable Exp'!$B:$L,11,FALSE),0))</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3">
        <v>9</v>
      </c>
      <c r="D14" s="143"/>
      <c r="E14" s="698"/>
      <c r="F14" s="617" t="str">
        <f>IF(Welcome!$D$14="Select # of Locations","",IF($C14&lt;=Welcome!$D$14,$C14,""))</f>
        <v/>
      </c>
      <c r="G14" s="973"/>
      <c r="H14" s="968"/>
      <c r="I14" s="1038"/>
      <c r="J14" s="1019"/>
      <c r="K14" s="924" t="str">
        <f>IF($C$4&gt;=$C14,IF(SUMIF('Existing Customers'!$A:$A,'Customer Inputs'!$G14,'Existing Customers'!$Q:$Q)=0,"Enter Spend&gt;&gt;&gt;",ROUND(SUMIF('Existing Customers'!$A:$A,'Customer Inputs'!$G14,'Existing Customers'!$Q:$Q),0)),"")</f>
        <v/>
      </c>
      <c r="L14" s="619" t="str">
        <f>IF($F14="","",IFERROR(ROUND(VLOOKUP(ID38,'Existing Customer Variable Exp'!$B:$F,5,FALSE)/52,1),"Enter Drops &gt;"))</f>
        <v/>
      </c>
      <c r="M14" s="924" t="str">
        <f>IF($F14="","",IFERROR(VLOOKUP($G14,'Existing Customers'!$A:$AD,30,FALSE),"Enter Menu Type&gt;&gt;"))</f>
        <v/>
      </c>
      <c r="N14" s="751" t="str">
        <f>IFERROR(IF($C$4&gt;=$C14,VLOOKUP($G14,'Existing Customers'!$A:$J,10,FALSE),""),"Enter Zip Code &gt;")</f>
        <v/>
      </c>
      <c r="O14" s="765" t="str">
        <f>IF($F14="","",IF(K14="Enter Spend&gt;&gt;&gt;","Enter EB % &gt;",ID$7))</f>
        <v/>
      </c>
      <c r="P14" s="773"/>
      <c r="Q14" s="637"/>
      <c r="R14" s="768"/>
      <c r="S14" s="769"/>
      <c r="T14" s="1076"/>
      <c r="U14" s="769"/>
      <c r="V14" s="621" t="s">
        <v>655</v>
      </c>
      <c r="W14" s="929" t="str">
        <f>IF($F14="","",'Variable Costs (Back)'!$A23)</f>
        <v/>
      </c>
      <c r="X14" s="628" t="str">
        <f t="shared" si="6"/>
        <v/>
      </c>
      <c r="Y14" s="52" t="str">
        <f t="shared" si="2"/>
        <v/>
      </c>
      <c r="Z14" s="52" t="str">
        <f t="shared" si="3"/>
        <v/>
      </c>
      <c r="AA14" s="52" t="str">
        <f t="shared" si="7"/>
        <v/>
      </c>
      <c r="AB14" s="136">
        <f t="shared" si="8"/>
        <v>0</v>
      </c>
      <c r="AC14">
        <f>IF($G14="New Store",COUNTIF($G$6:$G$15,"New Store")-COUNTIF($G15:$G$15,"New Store"),0)</f>
        <v>0</v>
      </c>
      <c r="AD14" t="str">
        <f t="shared" si="4"/>
        <v/>
      </c>
      <c r="AE14" s="2" t="str">
        <f t="shared" si="5"/>
        <v/>
      </c>
      <c r="AF14" s="136"/>
      <c r="AG14" t="e">
        <f>_xlfn.CONCAT($AG$1,"_",IF(NOT(ISBLANK($H$14)),$H$14,""),"_",IF(AND(NOT(ISBLANK($G$14)),$G$14&lt;&gt;"New"),IF($M$14&lt;&gt;"Enter Menu Type&gt;&gt;",IF($R$14=0,$M$14,$R$14),$R$14),""))</f>
        <v>#N/A</v>
      </c>
      <c r="AH14" s="136"/>
      <c r="AI14" s="136"/>
      <c r="AJ14" s="136"/>
      <c r="AK14" s="136" t="b">
        <f>NOT(ISERROR(IFERROR(VLOOKUP($G14&amp;"",'HOS_Modellable Customers'!$A:$A,1,0),VLOOKUP($G14,'HOS_Modellable Customers'!$A:$A,1,0))))</f>
        <v>0</v>
      </c>
      <c r="AL14" s="136" t="b">
        <f>NOT(ISERROR(IFERROR(VLOOKUP($G14&amp;"",'Modellable Customers'!$A:$A,1,0),VLOOKUP($G14,'Modellable Customers'!$A:$A,1,0))))</f>
        <v>0</v>
      </c>
      <c r="AM14" s="136" t="b">
        <f t="shared" si="17"/>
        <v>0</v>
      </c>
      <c r="AN14" s="136" t="str">
        <f t="shared" si="10"/>
        <v>CLEAR</v>
      </c>
      <c r="AO14" s="136"/>
      <c r="AP14" s="136" t="str">
        <f t="shared" si="11"/>
        <v/>
      </c>
      <c r="AQ14" s="928" t="str">
        <f>IF($F14="","",IF(OR(U14="",U14="Existing"),IFERROR(VLOOKUP($G14,'Existing Customers'!$A:$F,4,FALSE),""),""))</f>
        <v/>
      </c>
      <c r="AR14" s="136"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Exp'!$B:$L,8,FALSE),0))</f>
        <v/>
      </c>
      <c r="AY14" s="52" t="str">
        <f>IF($F14="","",IFERROR(VLOOKUP($G14,'Existing Customer Variable Exp'!$B:$L,11,FALSE),0))</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3">
        <v>10</v>
      </c>
      <c r="D15" s="143"/>
      <c r="E15" s="698"/>
      <c r="F15" s="618" t="str">
        <f>IF(Welcome!$D$14="Select # of Locations","",IF($C15&lt;=Welcome!$D$14,$C15,""))</f>
        <v/>
      </c>
      <c r="G15" s="974"/>
      <c r="H15" s="969"/>
      <c r="I15" s="976"/>
      <c r="J15" s="1018"/>
      <c r="K15" s="925" t="str">
        <f>IF($C$4&gt;=$C15,IF(SUMIF('Existing Customers'!$A:$A,'Customer Inputs'!$G15,'Existing Customers'!$Q:$Q)=0,"Enter Spend&gt;&gt;&gt;",ROUND(SUMIF('Existing Customers'!$A:$A,'Customer Inputs'!$G15,'Existing Customers'!$Q:$Q),0)),"")</f>
        <v/>
      </c>
      <c r="L15" s="620" t="str">
        <f>IF($F15="","",IFERROR(ROUND(VLOOKUP(JA38,'Existing Customer Variable Exp'!$B:$F,5,FALSE)/52,1),"Enter Drops &gt;"))</f>
        <v/>
      </c>
      <c r="M15" s="1058" t="str">
        <f>IF($F15="","",IFERROR(VLOOKUP($G15,'Existing Customers'!$A:$AD,30,FALSE),"Enter Menu Type&gt;&gt;"))</f>
        <v/>
      </c>
      <c r="N15" s="752" t="str">
        <f>IFERROR(IF($C$4&gt;=$C15,VLOOKUP($G15,'Existing Customers'!$A:$J,10,FALSE),""),"Enter Zip Code &gt;")</f>
        <v/>
      </c>
      <c r="O15" s="761" t="str">
        <f>IF($F15="","",IF(K15="Enter Spend&gt;&gt;&gt;","Enter EB % &gt;",JA$7))</f>
        <v/>
      </c>
      <c r="P15" s="774"/>
      <c r="Q15" s="638"/>
      <c r="R15" s="775"/>
      <c r="S15" s="776"/>
      <c r="T15" s="1077"/>
      <c r="U15" s="776"/>
      <c r="V15" s="622" t="s">
        <v>655</v>
      </c>
      <c r="W15" s="929" t="str">
        <f>IF($F15="","",'Variable Costs (Back)'!$A24)</f>
        <v/>
      </c>
      <c r="X15" s="628" t="str">
        <f t="shared" si="6"/>
        <v/>
      </c>
      <c r="Y15" s="52" t="str">
        <f t="shared" si="2"/>
        <v/>
      </c>
      <c r="Z15" s="52" t="str">
        <f t="shared" si="3"/>
        <v/>
      </c>
      <c r="AA15" s="52" t="str">
        <f t="shared" si="7"/>
        <v/>
      </c>
      <c r="AB15" s="136">
        <f t="shared" si="8"/>
        <v>0</v>
      </c>
      <c r="AC15">
        <f>IF(IF($G15="New Store",COUNTIF($G$6:$G$15,"New Store")-COUNTIF($G$15:$G16,"New Store"),0)=9,10,9)</f>
        <v>9</v>
      </c>
      <c r="AD15" t="str">
        <f t="shared" si="4"/>
        <v/>
      </c>
      <c r="AE15" s="2" t="str">
        <f t="shared" si="5"/>
        <v/>
      </c>
      <c r="AF15" s="136"/>
      <c r="AG15" s="136" t="e">
        <f>_xlfn.CONCAT($AG$1,"_",IF(NOT(ISBLANK($H$15)),$H$15,""),"_",IF(AND(NOT(ISBLANK($G$15)),$G$15&lt;&gt;"New"),IF($M$15&lt;&gt;"Enter Menu Type&gt;&gt;",IF($R$15=0,$M$15,$R$15),$R$15),""))</f>
        <v>#N/A</v>
      </c>
      <c r="AH15" s="136"/>
      <c r="AI15" s="136"/>
      <c r="AJ15" s="136"/>
      <c r="AK15" s="136" t="b">
        <f>NOT(ISERROR(IFERROR(VLOOKUP($G15&amp;"",'HOS_Modellable Customers'!$A:$A,1,0),VLOOKUP($G15,'HOS_Modellable Customers'!$A:$A,1,0))))</f>
        <v>0</v>
      </c>
      <c r="AL15" s="136" t="b">
        <f>NOT(ISERROR(IFERROR(VLOOKUP($G15&amp;"",'Modellable Customers'!$A:$A,1,0),VLOOKUP($G15,'Modellable Customers'!$A:$A,1,0))))</f>
        <v>0</v>
      </c>
      <c r="AM15" s="136" t="b">
        <f t="shared" si="17"/>
        <v>0</v>
      </c>
      <c r="AN15" s="136" t="str">
        <f t="shared" si="10"/>
        <v>CLEAR</v>
      </c>
      <c r="AO15" s="136"/>
      <c r="AP15" s="136" t="str">
        <f t="shared" si="11"/>
        <v/>
      </c>
      <c r="AQ15" s="928" t="str">
        <f>IF($F15="","",IF(OR(U15="",U15="Existing"),IFERROR(VLOOKUP($G15,'Existing Customers'!$A:$F,4,FALSE),""),""))</f>
        <v/>
      </c>
      <c r="AR15" s="136"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Exp'!$B:$L,8,FALSE),0))</f>
        <v/>
      </c>
      <c r="AY15" s="52" t="str">
        <f>IF($F15="","",IFERROR(VLOOKUP($G15,'Existing Customer Variable Exp'!$B:$L,11,FALSE),0))</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31"/>
      <c r="F16" s="756"/>
      <c r="G16" s="756"/>
      <c r="H16" s="756"/>
      <c r="I16" s="756"/>
      <c r="J16" s="756"/>
      <c r="K16" s="760"/>
      <c r="L16" s="756"/>
      <c r="M16" s="756"/>
      <c r="N16" s="756"/>
      <c r="O16" s="756"/>
      <c r="P16" s="756"/>
      <c r="Q16" s="756"/>
      <c r="R16" s="756"/>
      <c r="S16" s="756"/>
      <c r="T16" s="756"/>
      <c r="U16" s="756"/>
      <c r="V16" s="756"/>
      <c r="W16" s="632"/>
      <c r="X16" s="136">
        <f>COUNTIF($X$6:$X$15,"Enter Drops &gt;")</f>
        <v>0</v>
      </c>
      <c r="Y16" s="136"/>
      <c r="Z16" s="136"/>
      <c r="AA16" s="687">
        <f>COUNTIF($AA$6:$AA$15,"Enter EB % &gt;")</f>
        <v>0</v>
      </c>
      <c r="AB16" s="136">
        <f>SUM(AB6:AB15)</f>
        <v>0</v>
      </c>
      <c r="AC16" s="136"/>
      <c r="AD16" s="136"/>
      <c r="AE16" s="136"/>
      <c r="AF16" s="136"/>
      <c r="AG16" s="136"/>
      <c r="AH16" s="136"/>
      <c r="AI16" s="136"/>
      <c r="AJ16" s="136"/>
      <c r="AK16" s="136"/>
      <c r="AL16" s="136"/>
      <c r="AM16" s="136"/>
      <c r="AN16" s="136"/>
      <c r="AO16" s="136"/>
      <c r="AP16" s="136"/>
      <c r="AQ16" s="136"/>
      <c r="AR16" s="136"/>
      <c r="AS16" s="136"/>
      <c r="AT16" s="136"/>
      <c r="AU16" s="136"/>
      <c r="AV16" s="136"/>
      <c r="AW16" s="136"/>
      <c r="AX16" s="136"/>
      <c r="AY16" s="136"/>
      <c r="AZ16" s="136"/>
      <c r="BA16" s="52">
        <f>SUM(BA6:BA15)</f>
        <v>0</v>
      </c>
      <c r="BB16" s="756"/>
      <c r="BC16" s="52">
        <f>SUM(BC6:BC15)</f>
        <v>0</v>
      </c>
      <c r="BD16" s="52">
        <f>SUM(BD6:BD15)</f>
        <v>0</v>
      </c>
    </row>
    <row r="17" spans="5:56" ht="14.45" customHeight="1" x14ac:dyDescent="0.25">
      <c r="E17" s="631"/>
      <c r="F17" s="756"/>
      <c r="G17" s="1011" t="s">
        <v>1161</v>
      </c>
      <c r="H17" s="1011" t="s">
        <v>1161</v>
      </c>
      <c r="I17" s="1257">
        <f>SUM($I$6:$I$15)</f>
        <v>0</v>
      </c>
      <c r="J17" s="1260" t="s">
        <v>1412</v>
      </c>
      <c r="K17" s="1262">
        <f>SUM($K$6:$K$15)</f>
        <v>0</v>
      </c>
      <c r="L17" s="1260" t="s">
        <v>1413</v>
      </c>
      <c r="M17" s="756"/>
      <c r="N17" s="756"/>
      <c r="O17" s="756"/>
      <c r="P17" s="1257">
        <f>SUMIF($F$6:$F$15,"&gt;0",$P$6:$P$15)</f>
        <v>0</v>
      </c>
      <c r="Q17" s="1264" t="s">
        <v>1414</v>
      </c>
      <c r="R17" s="1012"/>
      <c r="S17" s="756"/>
      <c r="T17" s="756"/>
      <c r="U17" s="756"/>
      <c r="V17" s="756"/>
      <c r="W17" s="632"/>
      <c r="X17" s="136"/>
      <c r="Y17" s="136"/>
      <c r="Z17" s="136"/>
      <c r="AA17" s="136"/>
      <c r="AB17" s="136" t="s">
        <v>1059</v>
      </c>
      <c r="AC17" s="136"/>
      <c r="AD17" s="136"/>
      <c r="AE17" s="136"/>
      <c r="AF17" s="136"/>
      <c r="AG17" s="136"/>
      <c r="AH17" s="136"/>
      <c r="AI17" s="136"/>
      <c r="AJ17" s="136"/>
      <c r="AK17" s="136"/>
      <c r="AL17" s="136"/>
      <c r="AM17" s="136"/>
      <c r="AN17" s="136"/>
      <c r="AO17" s="136"/>
      <c r="AP17" s="136"/>
      <c r="AQ17" s="136"/>
      <c r="AR17" s="136"/>
      <c r="AS17" s="136"/>
      <c r="AT17" s="136"/>
      <c r="AU17" s="136"/>
      <c r="AV17" s="136"/>
      <c r="AW17" s="136"/>
      <c r="AX17" s="136"/>
      <c r="AY17" s="136"/>
      <c r="AZ17" s="136"/>
      <c r="BA17" s="136"/>
      <c r="BB17" s="136"/>
      <c r="BC17" s="136"/>
      <c r="BD17" s="136"/>
    </row>
    <row r="18" spans="5:56" ht="20.25" customHeight="1" thickBot="1" x14ac:dyDescent="0.3">
      <c r="E18" s="631"/>
      <c r="F18" s="756"/>
      <c r="G18" s="1011"/>
      <c r="H18" s="1011"/>
      <c r="I18" s="1258"/>
      <c r="J18" s="1261"/>
      <c r="K18" s="1263"/>
      <c r="L18" s="1261"/>
      <c r="M18" s="756"/>
      <c r="N18" s="756"/>
      <c r="O18" s="756"/>
      <c r="P18" s="1258"/>
      <c r="Q18" s="1265"/>
      <c r="R18" s="1012"/>
      <c r="S18" s="756"/>
      <c r="T18" s="756"/>
      <c r="U18" s="756"/>
      <c r="V18" s="756"/>
      <c r="W18" s="632"/>
      <c r="X18" s="136"/>
      <c r="Y18" s="136"/>
      <c r="Z18" s="136"/>
      <c r="AA18" s="136"/>
      <c r="AB18" s="136"/>
      <c r="AC18" s="136"/>
      <c r="AD18" s="136"/>
      <c r="AE18" s="136"/>
      <c r="AF18" s="136"/>
      <c r="AG18" s="136"/>
      <c r="AH18" s="136"/>
      <c r="AI18" s="136"/>
      <c r="AJ18" s="136"/>
      <c r="AK18" s="136"/>
      <c r="AL18" s="136"/>
      <c r="AM18" s="136"/>
      <c r="AN18" s="136"/>
      <c r="AO18" s="136"/>
      <c r="AP18" s="136"/>
      <c r="AQ18" s="136"/>
      <c r="AR18" s="136"/>
      <c r="AS18" s="136"/>
      <c r="AT18" s="136"/>
      <c r="AU18" s="136"/>
      <c r="AV18" s="136"/>
      <c r="AW18" s="136"/>
      <c r="AX18" s="136"/>
      <c r="AY18" s="136"/>
      <c r="AZ18" s="136"/>
      <c r="BA18" s="136"/>
      <c r="BB18" s="136"/>
      <c r="BC18" s="136"/>
      <c r="BD18" s="136"/>
    </row>
    <row r="19" spans="5:56" ht="19.149999999999999" customHeight="1" thickBot="1" x14ac:dyDescent="0.3">
      <c r="E19" s="633"/>
      <c r="F19" s="634"/>
      <c r="G19" s="634"/>
      <c r="H19" s="634"/>
      <c r="I19" s="634"/>
      <c r="J19" s="634"/>
      <c r="K19" s="634"/>
      <c r="L19" s="634"/>
      <c r="M19" s="634"/>
      <c r="N19" s="669"/>
      <c r="O19" s="268"/>
      <c r="P19" s="669"/>
      <c r="Q19" s="669"/>
      <c r="R19" s="634"/>
      <c r="S19" s="634"/>
      <c r="T19" s="634"/>
      <c r="U19" s="634"/>
      <c r="V19" s="634"/>
      <c r="W19" s="635"/>
      <c r="X19" s="136"/>
      <c r="Y19" s="136"/>
      <c r="Z19" s="136"/>
      <c r="AA19" s="136"/>
      <c r="AB19" s="136"/>
      <c r="AC19" s="136"/>
      <c r="AD19" s="136"/>
      <c r="AE19" s="136"/>
      <c r="AF19" s="136"/>
      <c r="AG19" s="136"/>
      <c r="AH19" s="136"/>
      <c r="AI19" s="136"/>
      <c r="AJ19" s="136"/>
      <c r="AK19" s="136"/>
      <c r="AL19" s="136"/>
      <c r="AM19" s="136"/>
      <c r="AN19" s="136"/>
      <c r="AO19" s="136"/>
      <c r="AP19" s="136"/>
      <c r="AQ19" s="136"/>
      <c r="AR19" s="136"/>
      <c r="AS19" s="136"/>
      <c r="AT19" s="136"/>
      <c r="AU19" s="136"/>
      <c r="AV19" s="136"/>
      <c r="AW19" s="136"/>
      <c r="AX19" s="136"/>
      <c r="AY19" s="136"/>
      <c r="AZ19" s="136"/>
      <c r="BA19" s="136"/>
      <c r="BB19" s="136"/>
      <c r="BC19" s="136"/>
      <c r="BD19" s="136"/>
    </row>
    <row r="20" spans="5:56" x14ac:dyDescent="0.25">
      <c r="E20" s="136"/>
      <c r="F20" s="136"/>
      <c r="G20" s="136"/>
      <c r="H20" s="136"/>
      <c r="I20" s="136"/>
      <c r="J20" s="136"/>
      <c r="K20" s="136"/>
      <c r="L20" s="136"/>
      <c r="M20" s="136"/>
      <c r="N20" s="136"/>
      <c r="O20" s="136"/>
      <c r="P20" s="136"/>
      <c r="Q20" s="136"/>
      <c r="R20" s="136"/>
      <c r="S20" s="136"/>
      <c r="T20" s="136"/>
      <c r="U20" s="136"/>
      <c r="V20" s="136"/>
      <c r="W20" s="136"/>
      <c r="X20" s="136"/>
      <c r="Y20" s="136"/>
      <c r="Z20" s="136"/>
      <c r="AA20" s="136"/>
      <c r="AB20" s="136"/>
      <c r="AC20" s="136"/>
      <c r="AD20" s="136"/>
      <c r="AE20" s="136"/>
      <c r="AF20" s="136"/>
      <c r="AG20" s="136"/>
      <c r="AH20" s="136"/>
      <c r="AI20" s="136"/>
      <c r="AJ20" s="136"/>
      <c r="AK20" s="136"/>
      <c r="AL20" s="136"/>
      <c r="AM20" s="136"/>
      <c r="AN20" s="136"/>
      <c r="AO20" s="136"/>
      <c r="AP20" s="136"/>
      <c r="AQ20" s="136"/>
      <c r="AR20" s="136"/>
      <c r="AS20" s="136"/>
      <c r="AT20" s="136"/>
      <c r="AU20" s="136"/>
      <c r="AV20" s="136"/>
      <c r="AW20" s="136"/>
      <c r="AX20" s="136"/>
      <c r="AY20" s="136"/>
      <c r="AZ20" s="136"/>
      <c r="BA20" s="136"/>
      <c r="BB20" s="136"/>
      <c r="BC20" s="136"/>
      <c r="BD20" s="136"/>
    </row>
    <row r="21" spans="5:56" ht="15" customHeight="1" x14ac:dyDescent="0.25">
      <c r="E21" s="136"/>
      <c r="F21" s="136"/>
      <c r="G21" s="136"/>
      <c r="H21" s="136"/>
      <c r="I21" s="136"/>
      <c r="J21" s="136"/>
      <c r="K21" s="136"/>
      <c r="L21" s="136"/>
      <c r="M21" s="136"/>
      <c r="N21" s="136"/>
      <c r="O21" s="136"/>
      <c r="P21" s="136"/>
      <c r="Q21" s="136"/>
      <c r="R21" s="136"/>
      <c r="S21" s="136"/>
      <c r="T21" s="136"/>
      <c r="U21" s="136"/>
      <c r="V21" s="136"/>
      <c r="W21" s="136"/>
      <c r="X21" s="136"/>
      <c r="Y21" s="136"/>
      <c r="Z21" s="136"/>
      <c r="AA21" s="136"/>
      <c r="AB21" s="136"/>
      <c r="AC21" s="136"/>
      <c r="AD21" s="136"/>
      <c r="AE21" s="136"/>
      <c r="AF21" s="136"/>
      <c r="AG21" s="136"/>
      <c r="AH21" s="136"/>
      <c r="AI21" s="136"/>
      <c r="AJ21" s="136"/>
      <c r="AK21" s="136"/>
      <c r="AL21" s="136"/>
      <c r="AM21" s="136"/>
      <c r="AN21" s="136"/>
      <c r="AO21" s="136"/>
      <c r="AP21" s="136"/>
      <c r="AQ21" s="136"/>
      <c r="AR21" s="136"/>
      <c r="AS21" s="136"/>
      <c r="AT21" s="136"/>
      <c r="AU21" s="136"/>
      <c r="AV21" s="136"/>
      <c r="AW21" s="136"/>
      <c r="AX21" s="136"/>
      <c r="AY21" s="136"/>
      <c r="AZ21" s="136"/>
      <c r="BA21" s="136"/>
      <c r="BB21" s="136"/>
      <c r="BC21" s="136"/>
      <c r="BD21" s="136"/>
    </row>
    <row r="22" spans="5:56" x14ac:dyDescent="0.25">
      <c r="E22" s="136"/>
      <c r="F22" s="136"/>
      <c r="G22" s="136"/>
      <c r="H22" s="136"/>
      <c r="I22" s="136"/>
      <c r="J22" s="136"/>
      <c r="K22" s="136"/>
      <c r="L22" s="136"/>
      <c r="M22" s="136"/>
      <c r="N22" s="136"/>
      <c r="O22" s="136"/>
      <c r="P22" s="136"/>
      <c r="Q22" s="136"/>
      <c r="R22" s="136"/>
      <c r="S22" s="136"/>
      <c r="T22" s="136"/>
      <c r="U22" s="136"/>
      <c r="V22" s="136"/>
      <c r="W22" s="136"/>
      <c r="X22" s="136"/>
      <c r="Y22" s="136"/>
      <c r="Z22" s="136"/>
      <c r="AA22" s="136"/>
      <c r="AB22" s="136"/>
      <c r="AC22" s="136"/>
      <c r="AD22" s="136"/>
      <c r="AE22" s="136"/>
      <c r="AF22" s="136"/>
      <c r="AG22" s="136"/>
      <c r="AH22" s="136"/>
      <c r="AI22" s="136"/>
      <c r="AJ22" s="136"/>
      <c r="AK22" s="136"/>
      <c r="AL22" s="136"/>
      <c r="AM22" s="136"/>
      <c r="AN22" s="136"/>
      <c r="AO22" s="136"/>
      <c r="AP22" s="136"/>
      <c r="AQ22" s="136"/>
      <c r="AR22" s="136"/>
      <c r="AS22" s="136"/>
      <c r="AT22" s="136"/>
      <c r="AU22" s="136"/>
      <c r="AV22" s="136"/>
      <c r="AW22" s="136"/>
      <c r="AX22" s="136"/>
      <c r="AY22" s="136"/>
      <c r="AZ22" s="136"/>
      <c r="BA22" s="136"/>
      <c r="BB22" s="136"/>
      <c r="BC22" s="136"/>
      <c r="BD22" s="136"/>
    </row>
    <row r="23" spans="5:56" x14ac:dyDescent="0.25">
      <c r="E23" s="136"/>
      <c r="F23" s="136"/>
      <c r="G23" s="136"/>
      <c r="H23" s="136"/>
      <c r="I23" s="136"/>
      <c r="J23" s="136"/>
      <c r="K23" s="136"/>
      <c r="L23" s="136"/>
      <c r="M23" s="136"/>
      <c r="N23" s="136"/>
      <c r="O23" s="136"/>
      <c r="P23" s="136"/>
      <c r="Q23" s="136"/>
      <c r="R23" s="136"/>
      <c r="S23" s="136"/>
      <c r="T23" s="136"/>
      <c r="U23" s="136"/>
      <c r="V23" s="136"/>
      <c r="W23" s="136"/>
      <c r="X23" s="136"/>
      <c r="Y23" s="136"/>
      <c r="Z23" s="136"/>
      <c r="AA23" s="136"/>
      <c r="AB23" s="136"/>
      <c r="AC23" s="136"/>
      <c r="AD23" s="136"/>
      <c r="AE23" s="136"/>
      <c r="AF23" s="136"/>
      <c r="AG23" s="136"/>
      <c r="AH23" s="136"/>
      <c r="AI23" s="136"/>
      <c r="AJ23" s="136"/>
      <c r="AK23" s="136"/>
      <c r="AL23" s="136"/>
      <c r="AM23" s="136"/>
      <c r="AN23" s="136"/>
      <c r="AO23" s="136"/>
      <c r="AP23" s="136"/>
      <c r="AQ23" s="136"/>
      <c r="AR23" s="136"/>
      <c r="AS23" s="136"/>
      <c r="AT23" s="136"/>
      <c r="AU23" s="136"/>
      <c r="AV23" s="136"/>
      <c r="AW23" s="136"/>
      <c r="AX23" s="136"/>
      <c r="AY23" s="136"/>
      <c r="AZ23" s="136"/>
      <c r="BA23" s="136"/>
      <c r="BB23" s="136"/>
      <c r="BC23" s="136"/>
      <c r="BD23" s="136"/>
    </row>
    <row r="24" spans="5:56" x14ac:dyDescent="0.25">
      <c r="E24" s="136"/>
      <c r="F24" s="136"/>
      <c r="G24" s="136"/>
      <c r="H24" s="136"/>
      <c r="I24" s="136"/>
      <c r="J24" s="136"/>
      <c r="K24" s="136"/>
      <c r="L24" s="136"/>
      <c r="M24" s="136"/>
      <c r="N24" s="136"/>
      <c r="O24" s="136"/>
      <c r="P24" s="136"/>
      <c r="Q24" s="136"/>
      <c r="R24" s="136"/>
      <c r="S24" s="136"/>
      <c r="T24" s="136"/>
      <c r="U24" s="136"/>
      <c r="V24" s="136"/>
      <c r="W24" s="136"/>
      <c r="X24" s="136"/>
      <c r="Y24" s="136"/>
      <c r="Z24" s="136"/>
      <c r="AA24" s="136"/>
      <c r="AB24" s="136"/>
      <c r="AC24" s="136"/>
      <c r="AD24" s="136"/>
      <c r="AE24" s="136"/>
      <c r="AF24" s="136"/>
      <c r="AG24" s="136"/>
      <c r="AH24" s="136"/>
      <c r="AI24" s="136"/>
      <c r="AJ24" s="136"/>
      <c r="AK24" s="136"/>
      <c r="AL24" s="136"/>
      <c r="AM24" s="136"/>
      <c r="AN24" s="136"/>
      <c r="AO24" s="136"/>
      <c r="AP24" s="136"/>
      <c r="AQ24" s="136"/>
      <c r="AR24" s="136"/>
      <c r="AS24" s="136"/>
      <c r="AT24" s="136"/>
      <c r="AU24" s="136"/>
      <c r="AV24" s="136"/>
      <c r="AW24" s="136"/>
      <c r="AX24" s="136"/>
      <c r="AY24" s="136"/>
      <c r="AZ24" s="136"/>
      <c r="BA24" s="136"/>
      <c r="BB24" s="136"/>
      <c r="BC24" s="136"/>
      <c r="BD24" s="136"/>
    </row>
    <row r="25" spans="5:56" x14ac:dyDescent="0.25">
      <c r="E25" s="136"/>
      <c r="F25" s="136"/>
      <c r="G25" s="136"/>
      <c r="H25" s="136"/>
      <c r="I25" s="136"/>
      <c r="J25" s="136"/>
      <c r="K25" s="136"/>
      <c r="L25" s="136"/>
      <c r="M25" s="136"/>
      <c r="N25" s="136"/>
      <c r="O25" s="136"/>
      <c r="P25" s="136"/>
      <c r="Q25" s="136"/>
      <c r="R25" s="136"/>
      <c r="S25" s="136"/>
      <c r="T25" s="136"/>
      <c r="U25" s="136"/>
      <c r="V25" s="136"/>
      <c r="W25" s="136"/>
      <c r="X25" s="136"/>
      <c r="Y25" s="136"/>
      <c r="Z25" s="136"/>
      <c r="AA25" s="136"/>
      <c r="AB25" s="136"/>
      <c r="AC25" s="136"/>
      <c r="AD25" s="136"/>
      <c r="AE25" s="136"/>
      <c r="AF25" s="136"/>
      <c r="AG25" s="136"/>
      <c r="AH25" s="136"/>
      <c r="AI25" s="136"/>
      <c r="AJ25" s="136"/>
      <c r="AK25" s="136"/>
      <c r="AL25" s="136"/>
      <c r="AM25" s="136"/>
      <c r="AN25" s="136"/>
      <c r="AO25" s="136"/>
      <c r="AP25" s="136"/>
      <c r="AQ25" s="136"/>
      <c r="AR25" s="136"/>
      <c r="AS25" s="136"/>
      <c r="AT25" s="136"/>
      <c r="AU25" s="136"/>
      <c r="AV25" s="136"/>
      <c r="AW25" s="136"/>
      <c r="AX25" s="136"/>
      <c r="AY25" s="136"/>
      <c r="AZ25" s="136"/>
      <c r="BA25" s="136"/>
      <c r="BB25" s="136"/>
      <c r="BC25" s="136"/>
      <c r="BD25" s="136"/>
    </row>
    <row r="26" spans="5:56" x14ac:dyDescent="0.25">
      <c r="E26" s="136"/>
      <c r="F26" s="136"/>
      <c r="G26" s="136"/>
      <c r="H26" s="136"/>
      <c r="I26" s="136"/>
      <c r="J26" s="136"/>
      <c r="K26" s="136"/>
      <c r="L26" s="136"/>
      <c r="M26" s="136"/>
      <c r="N26" s="136"/>
      <c r="O26" s="136"/>
      <c r="P26" s="136"/>
      <c r="Q26" s="136"/>
      <c r="R26" s="136"/>
      <c r="S26" s="136"/>
      <c r="T26" s="136"/>
      <c r="U26" s="136"/>
      <c r="V26" s="136"/>
      <c r="W26" s="136"/>
      <c r="X26" s="136"/>
      <c r="Y26" s="136"/>
      <c r="Z26" s="136"/>
      <c r="AA26" s="136"/>
      <c r="AB26" s="136"/>
      <c r="AC26" s="136"/>
      <c r="AD26" s="136"/>
      <c r="AE26" s="136"/>
      <c r="AF26" s="136"/>
      <c r="AG26" s="136"/>
      <c r="AH26" s="136"/>
      <c r="AI26" s="136"/>
      <c r="AJ26" s="136"/>
      <c r="AK26" s="136"/>
      <c r="AL26" s="136"/>
      <c r="AM26" s="136"/>
      <c r="AN26" s="136"/>
      <c r="AO26" s="136"/>
      <c r="AP26" s="136"/>
      <c r="AQ26" s="136"/>
      <c r="AR26" s="136"/>
      <c r="AS26" s="136"/>
      <c r="AT26" s="136"/>
      <c r="AU26" s="136"/>
      <c r="AV26" s="136"/>
      <c r="AW26" s="136"/>
      <c r="AX26" s="136"/>
      <c r="AY26" s="136"/>
      <c r="AZ26" s="136"/>
      <c r="BA26" s="136"/>
      <c r="BB26" s="136"/>
      <c r="BC26" s="136"/>
      <c r="BD26" s="136"/>
    </row>
    <row r="27" spans="5:56" x14ac:dyDescent="0.25">
      <c r="E27" s="136"/>
      <c r="F27" s="136"/>
      <c r="G27" s="136"/>
      <c r="H27" s="136"/>
      <c r="I27" s="136"/>
      <c r="J27" s="136"/>
      <c r="K27" s="136"/>
      <c r="L27" s="136"/>
      <c r="M27" s="136"/>
      <c r="N27" s="136"/>
      <c r="O27" s="136"/>
      <c r="P27" s="136"/>
      <c r="Q27" s="136"/>
      <c r="R27" s="136"/>
      <c r="S27" s="136"/>
      <c r="T27" s="136"/>
      <c r="U27" s="136"/>
      <c r="V27" s="136"/>
      <c r="W27" s="136"/>
      <c r="X27" s="136"/>
      <c r="Y27" s="136"/>
      <c r="Z27" s="136"/>
      <c r="AA27" s="136"/>
      <c r="AB27" s="136"/>
      <c r="AC27" s="136"/>
      <c r="AD27" s="136"/>
      <c r="AE27" s="136"/>
      <c r="AF27" s="136"/>
      <c r="AG27" s="136"/>
      <c r="AH27" s="136"/>
      <c r="AI27" s="136"/>
      <c r="AJ27" s="136"/>
      <c r="AK27" s="136"/>
      <c r="AL27" s="136"/>
      <c r="AM27" s="136"/>
      <c r="AN27" s="136"/>
      <c r="AO27" s="136"/>
      <c r="AP27" s="136"/>
      <c r="AQ27" s="136"/>
      <c r="AR27" s="136"/>
      <c r="AS27" s="136"/>
      <c r="AT27" s="136"/>
      <c r="AU27" s="136"/>
      <c r="AV27" s="136"/>
      <c r="AW27" s="136"/>
      <c r="AX27" s="136"/>
      <c r="AY27" s="136"/>
      <c r="AZ27" s="136"/>
      <c r="BA27" s="136"/>
      <c r="BB27" s="136"/>
      <c r="BC27" s="136"/>
      <c r="BD27" s="136"/>
    </row>
    <row r="28" spans="5:56" x14ac:dyDescent="0.25">
      <c r="E28" s="136"/>
      <c r="F28" s="136"/>
      <c r="G28" s="136"/>
      <c r="H28" s="136"/>
      <c r="I28" s="136"/>
      <c r="J28" s="136"/>
      <c r="K28" s="136"/>
      <c r="L28" s="136"/>
      <c r="M28" s="136"/>
      <c r="N28" s="136"/>
      <c r="O28" s="136"/>
      <c r="P28" s="136"/>
      <c r="Q28" s="136"/>
      <c r="R28" s="136"/>
      <c r="S28" s="136"/>
      <c r="T28" s="136"/>
      <c r="U28" s="136"/>
      <c r="V28" s="136"/>
      <c r="W28" s="136"/>
      <c r="X28" s="136"/>
      <c r="Y28" s="136"/>
      <c r="Z28" s="136"/>
      <c r="AA28" s="136"/>
      <c r="AB28" s="136"/>
      <c r="AC28" s="136"/>
      <c r="AD28" s="136"/>
      <c r="AE28" s="136"/>
      <c r="AF28" s="136"/>
      <c r="AG28" s="136"/>
      <c r="AH28" s="136"/>
      <c r="AI28" s="136"/>
      <c r="AJ28" s="136"/>
      <c r="AK28" s="136"/>
      <c r="AL28" s="136"/>
      <c r="AM28" s="136"/>
      <c r="AN28" s="136"/>
      <c r="AO28" s="136"/>
      <c r="AP28" s="136"/>
      <c r="AQ28" s="136"/>
      <c r="AR28" s="136"/>
      <c r="AS28" s="136"/>
      <c r="AT28" s="136"/>
      <c r="AU28" s="136"/>
      <c r="AV28" s="136"/>
      <c r="AW28" s="136"/>
      <c r="AX28" s="136"/>
      <c r="AY28" s="136"/>
      <c r="AZ28" s="136"/>
      <c r="BA28" s="136"/>
      <c r="BB28" s="136"/>
      <c r="BC28" s="136"/>
      <c r="BD28" s="136"/>
    </row>
    <row r="29" spans="5:56" x14ac:dyDescent="0.25">
      <c r="E29" s="136"/>
      <c r="F29" s="136"/>
      <c r="G29" s="136"/>
      <c r="H29" s="136"/>
      <c r="I29" s="136"/>
      <c r="J29" s="136"/>
      <c r="K29" s="136"/>
      <c r="L29" s="136"/>
      <c r="M29" s="136"/>
      <c r="N29" s="136"/>
      <c r="O29" s="136"/>
      <c r="P29" s="136"/>
      <c r="Q29" s="136"/>
      <c r="R29" s="136"/>
      <c r="S29" s="136"/>
      <c r="T29" s="136"/>
      <c r="U29" s="136"/>
      <c r="V29" s="136"/>
      <c r="W29" s="136"/>
      <c r="X29" s="136"/>
      <c r="Y29" s="136"/>
      <c r="Z29" s="136"/>
      <c r="AA29" s="136"/>
      <c r="AB29" s="136"/>
      <c r="AC29" s="136"/>
      <c r="AD29" s="136"/>
      <c r="AE29" s="136"/>
      <c r="AF29" s="136"/>
      <c r="AG29" s="136"/>
      <c r="AH29" s="136"/>
      <c r="AI29" s="136"/>
      <c r="AJ29" s="136"/>
      <c r="AK29" s="136"/>
      <c r="AL29" s="136"/>
      <c r="AM29" s="136"/>
      <c r="AN29" s="136"/>
      <c r="AO29" s="136"/>
      <c r="AP29" s="136"/>
      <c r="AQ29" s="136"/>
      <c r="AR29" s="136"/>
      <c r="AS29" s="136"/>
      <c r="AT29" s="136"/>
      <c r="AU29" s="136"/>
      <c r="AV29" s="136"/>
      <c r="AW29" s="136"/>
      <c r="AX29" s="136"/>
      <c r="AY29" s="136"/>
      <c r="AZ29" s="136"/>
      <c r="BA29" s="136"/>
      <c r="BB29" s="136"/>
      <c r="BC29" s="136"/>
      <c r="BD29" s="136"/>
    </row>
    <row r="30" spans="5:56" x14ac:dyDescent="0.25">
      <c r="E30" s="136"/>
      <c r="F30" s="136"/>
      <c r="G30" s="136"/>
      <c r="H30" s="136"/>
      <c r="I30" s="136"/>
      <c r="J30" s="136"/>
      <c r="K30" s="136"/>
      <c r="L30" s="136"/>
      <c r="M30" s="136"/>
      <c r="N30" s="136"/>
      <c r="O30" s="136"/>
      <c r="P30" s="136"/>
      <c r="Q30" s="136"/>
      <c r="R30" s="136"/>
      <c r="S30" s="136"/>
      <c r="T30" s="136"/>
      <c r="U30" s="136"/>
      <c r="V30" s="136"/>
      <c r="W30" s="136"/>
      <c r="X30" s="136"/>
      <c r="Y30" s="136"/>
      <c r="Z30" s="136"/>
      <c r="AA30" s="136"/>
      <c r="AB30" s="136"/>
      <c r="AC30" s="136"/>
      <c r="AD30" s="136"/>
      <c r="AE30" s="136"/>
      <c r="AF30" s="136"/>
      <c r="AG30" s="136"/>
      <c r="AH30" s="136"/>
      <c r="AI30" s="136"/>
      <c r="AJ30" s="136"/>
      <c r="AK30" s="136"/>
      <c r="AL30" s="136"/>
      <c r="AM30" s="136"/>
      <c r="AN30" s="136"/>
      <c r="AO30" s="136"/>
      <c r="AP30" s="136"/>
      <c r="AQ30" s="136"/>
      <c r="AR30" s="136"/>
      <c r="AS30" s="136"/>
      <c r="AT30" s="136"/>
      <c r="AU30" s="136"/>
      <c r="AV30" s="136"/>
      <c r="AW30" s="136"/>
      <c r="AX30" s="136"/>
      <c r="AY30" s="136"/>
      <c r="AZ30" s="136"/>
      <c r="BA30" s="136"/>
      <c r="BB30" s="136"/>
      <c r="BC30" s="136"/>
      <c r="BD30" s="136"/>
    </row>
    <row r="31" spans="5:56" x14ac:dyDescent="0.25">
      <c r="E31" s="136"/>
      <c r="F31" s="136"/>
      <c r="G31" s="136"/>
      <c r="H31" s="136"/>
      <c r="I31" s="136"/>
      <c r="J31" s="136"/>
      <c r="K31" s="136"/>
      <c r="L31" s="136"/>
      <c r="M31" s="136"/>
      <c r="N31" s="136"/>
      <c r="O31" s="136"/>
      <c r="P31" s="136"/>
      <c r="Q31" s="136"/>
      <c r="R31" s="136"/>
      <c r="S31" s="136"/>
      <c r="T31" s="136"/>
      <c r="U31" s="136"/>
      <c r="V31" s="136"/>
      <c r="W31" s="136"/>
      <c r="X31" s="136"/>
      <c r="Y31" s="136"/>
      <c r="Z31" s="136"/>
      <c r="AA31" s="136"/>
      <c r="AB31" s="136"/>
      <c r="AC31" s="136"/>
      <c r="AD31" s="136"/>
      <c r="AE31" s="136"/>
      <c r="AF31" s="136"/>
      <c r="AG31" s="136"/>
      <c r="AH31" s="136"/>
      <c r="AI31" s="136"/>
      <c r="AJ31" s="136"/>
      <c r="AK31" s="136"/>
      <c r="AL31" s="136"/>
      <c r="AM31" s="136"/>
      <c r="AN31" s="136"/>
      <c r="AO31" s="136"/>
      <c r="AP31" s="136"/>
      <c r="AQ31" s="136"/>
      <c r="AR31" s="136"/>
      <c r="AS31" s="136"/>
      <c r="AT31" s="136"/>
      <c r="AU31" s="136"/>
      <c r="AV31" s="136"/>
      <c r="AW31" s="136"/>
      <c r="AX31" s="136"/>
      <c r="AY31" s="136"/>
      <c r="AZ31" s="136"/>
      <c r="BA31" s="136"/>
      <c r="BB31" s="136"/>
      <c r="BC31" s="136"/>
      <c r="BD31" s="136"/>
    </row>
    <row r="32" spans="5:56" x14ac:dyDescent="0.25">
      <c r="E32" s="136"/>
      <c r="F32" s="136"/>
      <c r="G32" s="136"/>
      <c r="H32" s="136"/>
      <c r="I32" s="136"/>
      <c r="J32" s="136"/>
      <c r="K32" s="136"/>
      <c r="L32" s="136"/>
      <c r="M32" s="136"/>
      <c r="N32" s="136"/>
      <c r="O32" s="136"/>
      <c r="P32" s="136"/>
      <c r="Q32" s="136"/>
      <c r="R32" s="136"/>
      <c r="S32" s="136"/>
      <c r="T32" s="136"/>
      <c r="U32" s="136"/>
      <c r="V32" s="136"/>
      <c r="W32" s="136"/>
      <c r="X32" s="136"/>
      <c r="Y32" s="136"/>
      <c r="Z32" s="136"/>
      <c r="AA32" s="136"/>
      <c r="AB32" s="136"/>
      <c r="AC32" s="136"/>
      <c r="AD32" s="136"/>
      <c r="AE32" s="136"/>
      <c r="AF32" s="136"/>
      <c r="AG32" s="136"/>
      <c r="AH32" s="136"/>
      <c r="AI32" s="136"/>
      <c r="AJ32" s="136"/>
      <c r="AK32" s="136"/>
      <c r="AL32" s="136"/>
      <c r="AM32" s="136"/>
      <c r="AN32" s="136"/>
      <c r="AO32" s="136"/>
      <c r="AP32" s="136"/>
      <c r="AQ32" s="136"/>
      <c r="AR32" s="136"/>
      <c r="AS32" s="136"/>
      <c r="AT32" s="136"/>
      <c r="AU32" s="136"/>
      <c r="AV32" s="136"/>
      <c r="AW32" s="136"/>
      <c r="AX32" s="136"/>
      <c r="AY32" s="136"/>
      <c r="AZ32" s="136"/>
      <c r="BA32" s="136"/>
      <c r="BB32" s="136"/>
      <c r="BC32" s="136"/>
      <c r="BD32" s="136"/>
    </row>
    <row r="33" spans="5:56" x14ac:dyDescent="0.25">
      <c r="E33" s="136"/>
      <c r="F33" s="136"/>
      <c r="G33" s="136"/>
      <c r="H33" s="136"/>
      <c r="I33" s="136"/>
      <c r="J33" s="136"/>
      <c r="K33" s="136"/>
      <c r="L33" s="136"/>
      <c r="M33" s="136"/>
      <c r="N33" s="136"/>
      <c r="O33" s="136"/>
      <c r="P33" s="136"/>
      <c r="Q33" s="136"/>
      <c r="R33" s="136"/>
      <c r="S33" s="136"/>
      <c r="T33" s="136"/>
      <c r="U33" s="136"/>
      <c r="V33" s="136"/>
      <c r="W33" s="136"/>
      <c r="X33" s="136"/>
      <c r="Y33" s="136"/>
      <c r="Z33" s="136"/>
      <c r="AA33" s="136"/>
      <c r="AB33" s="136"/>
      <c r="AC33" s="136"/>
      <c r="AD33" s="136"/>
      <c r="AE33" s="136"/>
      <c r="AF33" s="136"/>
      <c r="AG33" s="136"/>
      <c r="AH33" s="136"/>
      <c r="AI33" s="136"/>
      <c r="AJ33" s="136"/>
      <c r="AK33" s="136"/>
      <c r="AL33" s="136"/>
      <c r="AM33" s="136"/>
      <c r="AN33" s="136"/>
      <c r="AO33" s="136"/>
      <c r="AP33" s="136"/>
      <c r="AQ33" s="136"/>
      <c r="AR33" s="136"/>
      <c r="AS33" s="136"/>
      <c r="AT33" s="136"/>
      <c r="AU33" s="136"/>
      <c r="AV33" s="136"/>
      <c r="AW33" s="136"/>
      <c r="AX33" s="136"/>
      <c r="AY33" s="136"/>
      <c r="AZ33" s="136"/>
      <c r="BA33" s="136"/>
      <c r="BB33" s="136"/>
      <c r="BC33" s="136"/>
      <c r="BD33" s="136"/>
    </row>
    <row r="34" spans="5:56" x14ac:dyDescent="0.25">
      <c r="E34" s="136"/>
      <c r="F34" s="136"/>
      <c r="G34" s="136"/>
      <c r="H34" s="136"/>
      <c r="I34" s="136"/>
      <c r="J34" s="136"/>
      <c r="K34" s="136"/>
      <c r="L34" s="136"/>
      <c r="M34" s="136"/>
      <c r="N34" s="136"/>
      <c r="O34" s="136"/>
      <c r="P34" s="136"/>
      <c r="Q34" s="136"/>
      <c r="R34" s="136"/>
      <c r="S34" s="136"/>
      <c r="T34" s="136"/>
      <c r="U34" s="136"/>
      <c r="V34" s="136"/>
      <c r="W34" s="136"/>
      <c r="X34" s="136"/>
      <c r="Y34" s="136"/>
      <c r="Z34" s="136"/>
      <c r="AA34" s="136"/>
      <c r="AB34" s="136"/>
      <c r="AC34" s="136"/>
      <c r="AD34" s="136"/>
      <c r="AE34" s="136"/>
      <c r="AF34" s="136"/>
      <c r="AG34" s="136"/>
      <c r="AH34" s="136"/>
      <c r="AI34" s="136"/>
      <c r="AJ34" s="136"/>
      <c r="AK34" s="136"/>
      <c r="AL34" s="136"/>
      <c r="AM34" s="136"/>
      <c r="AN34" s="136"/>
      <c r="AO34" s="136"/>
      <c r="AP34" s="136"/>
      <c r="AQ34" s="136"/>
      <c r="AR34" s="136"/>
      <c r="AS34" s="136"/>
      <c r="AT34" s="136"/>
      <c r="AU34" s="136"/>
      <c r="AV34" s="136"/>
      <c r="AW34" s="136"/>
      <c r="AX34" s="136"/>
      <c r="AY34" s="136"/>
      <c r="AZ34" s="136"/>
      <c r="BA34" s="136"/>
      <c r="BB34" s="136"/>
      <c r="BC34" s="136"/>
      <c r="BD34" s="136"/>
    </row>
    <row r="35" spans="5:56" x14ac:dyDescent="0.25">
      <c r="E35" s="136"/>
      <c r="F35" s="136"/>
      <c r="G35" s="136"/>
      <c r="H35" s="136"/>
      <c r="I35" s="136"/>
      <c r="J35" s="136"/>
      <c r="K35" s="136"/>
      <c r="L35" s="136"/>
      <c r="M35" s="136"/>
      <c r="N35" s="136"/>
      <c r="O35" s="136"/>
      <c r="P35" s="136"/>
      <c r="Q35" s="136"/>
      <c r="R35" s="136"/>
      <c r="S35" s="136"/>
      <c r="T35" s="136"/>
      <c r="U35" s="136"/>
      <c r="V35" s="136"/>
      <c r="W35" s="136"/>
      <c r="X35" s="136"/>
      <c r="Y35" s="136"/>
      <c r="Z35" s="136"/>
      <c r="AA35" s="136"/>
      <c r="AB35" s="136"/>
      <c r="AC35" s="136"/>
      <c r="AD35" s="136"/>
      <c r="AE35" s="136"/>
      <c r="AF35" s="136"/>
      <c r="AG35" s="136"/>
      <c r="AH35" s="136"/>
      <c r="AI35" s="136"/>
      <c r="AJ35" s="136"/>
      <c r="AK35" s="136"/>
      <c r="AL35" s="136"/>
      <c r="AM35" s="136"/>
      <c r="AN35" s="136"/>
      <c r="AO35" s="136"/>
      <c r="AP35" s="136"/>
      <c r="AQ35" s="136"/>
      <c r="AR35" s="136"/>
      <c r="AS35" s="136"/>
      <c r="AT35" s="136"/>
      <c r="AU35" s="136"/>
      <c r="AV35" s="136"/>
      <c r="AW35" s="136"/>
      <c r="AX35" s="136"/>
      <c r="AY35" s="136"/>
      <c r="AZ35" s="136"/>
      <c r="BA35" s="136"/>
      <c r="BB35" s="136"/>
      <c r="BC35" s="136"/>
      <c r="BD35" s="136"/>
    </row>
    <row r="36" spans="5:56" x14ac:dyDescent="0.25">
      <c r="E36" s="136"/>
      <c r="F36" s="136"/>
      <c r="G36" s="136"/>
      <c r="H36" s="136"/>
      <c r="I36" s="136"/>
      <c r="J36" s="136"/>
      <c r="K36" s="136"/>
      <c r="L36" s="136"/>
      <c r="M36" s="136"/>
      <c r="N36" s="136"/>
      <c r="O36" s="136"/>
      <c r="P36" s="136"/>
      <c r="Q36" s="136"/>
      <c r="R36" s="136"/>
      <c r="S36" s="136"/>
      <c r="T36" s="136"/>
      <c r="U36" s="136"/>
      <c r="V36" s="136"/>
      <c r="W36" s="136"/>
      <c r="X36" s="136"/>
      <c r="Y36" s="136"/>
      <c r="Z36" s="136"/>
      <c r="AA36" s="136"/>
      <c r="AB36" s="136"/>
      <c r="AC36" s="136"/>
      <c r="AD36" s="136"/>
      <c r="AE36" s="136"/>
      <c r="AF36" s="136"/>
      <c r="AG36" s="136"/>
      <c r="AH36" s="136"/>
      <c r="AI36" s="136"/>
      <c r="AJ36" s="136"/>
      <c r="AK36" s="136"/>
      <c r="AL36" s="136"/>
      <c r="AM36" s="136"/>
      <c r="AN36" s="136"/>
      <c r="AO36" s="136"/>
      <c r="AP36" s="136"/>
      <c r="AQ36" s="136"/>
      <c r="AR36" s="136"/>
      <c r="AS36" s="136"/>
      <c r="AT36" s="136"/>
      <c r="AU36" s="136"/>
      <c r="AV36" s="136"/>
      <c r="AW36" s="136"/>
      <c r="AX36" s="136"/>
      <c r="AY36" s="136"/>
      <c r="AZ36" s="136"/>
      <c r="BA36" s="136"/>
      <c r="BB36" s="136"/>
      <c r="BC36" s="136"/>
      <c r="BD36" s="136"/>
    </row>
    <row r="37" spans="5:56" x14ac:dyDescent="0.25">
      <c r="E37" s="136"/>
      <c r="F37" s="136"/>
      <c r="G37" s="136"/>
      <c r="H37" s="136"/>
      <c r="I37" s="136"/>
      <c r="J37" s="136"/>
      <c r="K37" s="136"/>
      <c r="L37" s="136"/>
      <c r="M37" s="136"/>
      <c r="N37" s="136"/>
      <c r="O37" s="136"/>
      <c r="P37" s="136"/>
      <c r="Q37" s="136"/>
      <c r="R37" s="136"/>
      <c r="S37" s="136"/>
      <c r="T37" s="136"/>
      <c r="U37" s="136"/>
      <c r="V37" s="136"/>
      <c r="W37" s="136"/>
      <c r="X37" s="136"/>
      <c r="Y37" s="136"/>
      <c r="Z37" s="136"/>
      <c r="AA37" s="136"/>
      <c r="AB37" s="136"/>
      <c r="AC37" s="136"/>
      <c r="AD37" s="136"/>
      <c r="AE37" s="136"/>
      <c r="AF37" s="136"/>
      <c r="AG37" s="136"/>
      <c r="AH37" s="136"/>
      <c r="AI37" s="136"/>
      <c r="AJ37" s="136"/>
      <c r="AK37" s="136"/>
      <c r="AL37" s="136"/>
      <c r="AM37" s="136"/>
      <c r="AN37" s="136"/>
      <c r="AO37" s="136"/>
      <c r="AP37" s="136"/>
      <c r="AQ37" s="136"/>
      <c r="AR37" s="136"/>
      <c r="AS37" s="136"/>
      <c r="AT37" s="136"/>
      <c r="AU37" s="136"/>
      <c r="AV37" s="136"/>
      <c r="AW37" s="136"/>
      <c r="AX37" s="136"/>
      <c r="AY37" s="136"/>
      <c r="AZ37" s="136"/>
      <c r="BA37" s="136"/>
      <c r="BB37" s="136"/>
      <c r="BC37" s="136"/>
      <c r="BD37" s="136"/>
    </row>
    <row r="38" spans="5:56" x14ac:dyDescent="0.25">
      <c r="E38" s="136"/>
      <c r="F38" s="136"/>
      <c r="G38" s="136"/>
      <c r="H38" s="136"/>
      <c r="I38" s="136"/>
      <c r="J38" s="136"/>
      <c r="K38" s="136"/>
      <c r="L38" s="136"/>
      <c r="M38" s="136"/>
      <c r="N38" s="136"/>
      <c r="O38" s="136"/>
      <c r="P38" s="136"/>
      <c r="Q38" s="136"/>
      <c r="R38" s="136"/>
      <c r="S38" s="136"/>
      <c r="T38" s="136"/>
      <c r="U38" s="136"/>
      <c r="V38" s="136"/>
      <c r="W38" s="136"/>
      <c r="X38" s="136"/>
      <c r="Y38" s="136"/>
      <c r="Z38" s="136"/>
      <c r="AA38" s="136"/>
      <c r="AB38" s="136"/>
      <c r="AC38" s="136"/>
      <c r="AD38" s="136"/>
      <c r="AE38" s="136"/>
      <c r="AF38" s="136"/>
      <c r="AG38" s="136"/>
      <c r="AH38" s="136"/>
      <c r="AI38" s="136"/>
      <c r="AJ38" s="136"/>
      <c r="AK38" s="136"/>
      <c r="AL38" s="136"/>
      <c r="AM38" s="136"/>
      <c r="AN38" s="136"/>
      <c r="AO38" s="136"/>
      <c r="AP38" s="136"/>
      <c r="AQ38" s="136"/>
      <c r="AR38" s="136"/>
      <c r="AS38" s="136"/>
      <c r="AT38" s="136"/>
      <c r="AU38" s="136"/>
      <c r="AV38" s="136"/>
      <c r="AW38" s="136"/>
      <c r="AX38" s="136"/>
      <c r="AY38" s="136"/>
      <c r="AZ38" s="136"/>
      <c r="BA38" s="136"/>
      <c r="BB38" s="136"/>
      <c r="BC38" s="136"/>
      <c r="BD38" s="136"/>
    </row>
    <row r="39" spans="5:56" x14ac:dyDescent="0.25">
      <c r="E39" s="136"/>
      <c r="F39" s="136"/>
      <c r="G39" s="136"/>
      <c r="H39" s="136"/>
      <c r="I39" s="136"/>
      <c r="J39" s="136"/>
      <c r="K39" s="136"/>
      <c r="L39" s="136"/>
      <c r="M39" s="136"/>
      <c r="N39" s="136"/>
      <c r="O39" s="136"/>
      <c r="P39" s="136"/>
      <c r="Q39" s="136"/>
      <c r="R39" s="136"/>
      <c r="S39" s="136"/>
      <c r="T39" s="136"/>
      <c r="U39" s="136"/>
      <c r="V39" s="136"/>
      <c r="W39" s="136"/>
      <c r="X39" s="136"/>
      <c r="Y39" s="136"/>
      <c r="Z39" s="136"/>
      <c r="AA39" s="136"/>
      <c r="AB39" s="136"/>
      <c r="AC39" s="136"/>
      <c r="AD39" s="136"/>
      <c r="AE39" s="136"/>
      <c r="AF39" s="136"/>
      <c r="AG39" s="136"/>
      <c r="AH39" s="136"/>
      <c r="AI39" s="136"/>
      <c r="AJ39" s="136"/>
      <c r="AK39" s="136"/>
      <c r="AL39" s="136"/>
      <c r="AM39" s="136"/>
      <c r="AN39" s="136"/>
      <c r="AO39" s="136"/>
      <c r="AP39" s="136"/>
      <c r="AQ39" s="136"/>
      <c r="AR39" s="136"/>
      <c r="AS39" s="136"/>
      <c r="AT39" s="136"/>
      <c r="AU39" s="136"/>
      <c r="AV39" s="136"/>
      <c r="AW39" s="136"/>
      <c r="AX39" s="136"/>
      <c r="AY39" s="136"/>
      <c r="AZ39" s="136"/>
      <c r="BA39" s="136"/>
      <c r="BB39" s="136"/>
      <c r="BC39" s="136"/>
      <c r="BD39" s="136"/>
    </row>
    <row r="40" spans="5:56" x14ac:dyDescent="0.25">
      <c r="E40" s="136"/>
      <c r="F40" s="136"/>
      <c r="G40" s="136"/>
      <c r="H40" s="136"/>
      <c r="I40" s="136"/>
      <c r="J40" s="136"/>
      <c r="K40" s="136"/>
      <c r="L40" s="136"/>
      <c r="M40" s="136"/>
      <c r="N40" s="136"/>
      <c r="O40" s="136"/>
      <c r="P40" s="136"/>
      <c r="Q40" s="136"/>
      <c r="R40" s="136"/>
      <c r="S40" s="136"/>
      <c r="T40" s="136"/>
      <c r="U40" s="136"/>
      <c r="V40" s="136"/>
      <c r="W40" s="136"/>
      <c r="X40" s="136"/>
      <c r="Y40" s="136"/>
      <c r="Z40" s="136"/>
      <c r="AA40" s="136"/>
      <c r="AB40" s="136"/>
      <c r="AC40" s="136"/>
      <c r="AD40" s="136"/>
      <c r="AE40" s="136"/>
      <c r="AF40" s="136"/>
      <c r="AG40" s="136"/>
      <c r="AH40" s="136"/>
      <c r="AI40" s="136"/>
      <c r="AJ40" s="136"/>
      <c r="AK40" s="136"/>
      <c r="AL40" s="136"/>
      <c r="AM40" s="136"/>
      <c r="AN40" s="136"/>
      <c r="AO40" s="136"/>
      <c r="AP40" s="136"/>
      <c r="AQ40" s="136"/>
      <c r="AR40" s="136"/>
      <c r="AS40" s="136"/>
      <c r="AT40" s="136"/>
      <c r="AU40" s="136"/>
      <c r="AV40" s="136"/>
      <c r="AW40" s="136"/>
      <c r="AX40" s="136"/>
      <c r="AY40" s="136"/>
      <c r="AZ40" s="136"/>
      <c r="BA40" s="136"/>
      <c r="BB40" s="136"/>
      <c r="BC40" s="136"/>
      <c r="BD40" s="136"/>
    </row>
    <row r="41" spans="5:56" x14ac:dyDescent="0.25">
      <c r="E41" s="136"/>
      <c r="F41" s="136"/>
      <c r="G41" s="136"/>
      <c r="H41" s="136"/>
      <c r="I41" s="136"/>
      <c r="J41" s="136"/>
      <c r="K41" s="136"/>
      <c r="L41" s="136"/>
      <c r="M41" s="136"/>
      <c r="N41" s="136"/>
      <c r="O41" s="136"/>
      <c r="P41" s="136"/>
      <c r="Q41" s="136"/>
      <c r="R41" s="136"/>
      <c r="S41" s="136"/>
      <c r="T41" s="136"/>
      <c r="U41" s="136"/>
      <c r="V41" s="136"/>
      <c r="W41" s="136"/>
      <c r="X41" s="136"/>
      <c r="Y41" s="136"/>
      <c r="Z41" s="136"/>
      <c r="AA41" s="136"/>
      <c r="AB41" s="136"/>
      <c r="AC41" s="136"/>
      <c r="AD41" s="136"/>
      <c r="AE41" s="136"/>
      <c r="AF41" s="136"/>
      <c r="AG41" s="136"/>
      <c r="AH41" s="136"/>
      <c r="AI41" s="136"/>
      <c r="AJ41" s="136"/>
      <c r="AK41" s="136"/>
      <c r="AL41" s="136"/>
      <c r="AM41" s="136"/>
      <c r="AN41" s="136"/>
      <c r="AO41" s="136"/>
      <c r="AP41" s="136"/>
      <c r="AQ41" s="136"/>
      <c r="AR41" s="136"/>
      <c r="AS41" s="136"/>
      <c r="AT41" s="136"/>
      <c r="AU41" s="136"/>
      <c r="AV41" s="136"/>
      <c r="AW41" s="136"/>
      <c r="AX41" s="136"/>
      <c r="AY41" s="136"/>
      <c r="AZ41" s="136"/>
      <c r="BA41" s="136"/>
      <c r="BB41" s="136"/>
      <c r="BC41" s="136"/>
      <c r="BD41" s="136"/>
    </row>
    <row r="42" spans="5:56" x14ac:dyDescent="0.25">
      <c r="E42" s="136"/>
      <c r="F42" s="136"/>
      <c r="G42" s="136"/>
      <c r="H42" s="136"/>
      <c r="I42" s="136"/>
      <c r="J42" s="136"/>
      <c r="K42" s="136"/>
      <c r="L42" s="136"/>
      <c r="M42" s="136"/>
      <c r="N42" s="136"/>
      <c r="O42" s="136"/>
      <c r="P42" s="136"/>
      <c r="Q42" s="136"/>
      <c r="R42" s="136"/>
      <c r="S42" s="136"/>
      <c r="T42" s="136"/>
      <c r="U42" s="136"/>
      <c r="V42" s="136"/>
      <c r="W42" s="136"/>
      <c r="X42" s="136"/>
      <c r="Y42" s="136"/>
      <c r="Z42" s="136"/>
      <c r="AA42" s="136"/>
      <c r="AB42" s="136"/>
      <c r="AC42" s="136"/>
      <c r="AD42" s="136"/>
      <c r="AE42" s="136"/>
      <c r="AF42" s="136"/>
      <c r="AG42" s="136"/>
      <c r="AH42" s="136"/>
      <c r="AI42" s="136"/>
      <c r="AJ42" s="136"/>
      <c r="AK42" s="136"/>
      <c r="AL42" s="136"/>
      <c r="AM42" s="136"/>
      <c r="AN42" s="136"/>
      <c r="AO42" s="136"/>
      <c r="AP42" s="136"/>
      <c r="AQ42" s="136"/>
      <c r="AR42" s="136"/>
      <c r="AS42" s="136"/>
      <c r="AT42" s="136"/>
      <c r="AU42" s="136"/>
      <c r="AV42" s="136"/>
      <c r="AW42" s="136"/>
      <c r="AX42" s="136"/>
      <c r="AY42" s="136"/>
      <c r="AZ42" s="136"/>
      <c r="BA42" s="136"/>
      <c r="BB42" s="136"/>
      <c r="BC42" s="136"/>
      <c r="BD42" s="136"/>
    </row>
    <row r="43" spans="5:56" x14ac:dyDescent="0.25">
      <c r="E43" s="136"/>
      <c r="F43" s="136"/>
      <c r="G43" s="136"/>
      <c r="H43" s="136"/>
      <c r="I43" s="136"/>
      <c r="J43" s="136"/>
      <c r="K43" s="136"/>
      <c r="L43" s="136"/>
      <c r="M43" s="136"/>
      <c r="N43" s="136"/>
      <c r="O43" s="136"/>
      <c r="P43" s="136"/>
      <c r="Q43" s="136"/>
      <c r="R43" s="136"/>
      <c r="S43" s="136"/>
      <c r="T43" s="136"/>
      <c r="U43" s="136"/>
      <c r="V43" s="136"/>
      <c r="W43" s="136"/>
      <c r="X43" s="136"/>
      <c r="Y43" s="136"/>
      <c r="Z43" s="136"/>
      <c r="AA43" s="136"/>
      <c r="AB43" s="136"/>
      <c r="AC43" s="136"/>
      <c r="AD43" s="136"/>
      <c r="AE43" s="136"/>
      <c r="AF43" s="136"/>
      <c r="AG43" s="136"/>
      <c r="AH43" s="136"/>
      <c r="AI43" s="136"/>
      <c r="AJ43" s="136"/>
      <c r="AK43" s="136"/>
      <c r="AL43" s="136"/>
      <c r="AM43" s="136"/>
      <c r="AN43" s="136"/>
      <c r="AO43" s="136"/>
      <c r="AP43" s="136"/>
      <c r="AQ43" s="136"/>
      <c r="AR43" s="136"/>
      <c r="AS43" s="136"/>
      <c r="AT43" s="136"/>
      <c r="AU43" s="136"/>
      <c r="AV43" s="136"/>
      <c r="AW43" s="136"/>
      <c r="AX43" s="136"/>
      <c r="AY43" s="136"/>
      <c r="AZ43" s="136"/>
      <c r="BA43" s="136"/>
      <c r="BB43" s="136"/>
      <c r="BC43" s="136"/>
      <c r="BD43" s="136"/>
    </row>
    <row r="44" spans="5:56" x14ac:dyDescent="0.25">
      <c r="E44" s="136"/>
      <c r="F44" s="136"/>
      <c r="G44" s="136"/>
      <c r="H44" s="136"/>
      <c r="I44" s="136"/>
      <c r="J44" s="136"/>
      <c r="K44" s="136"/>
      <c r="L44" s="136"/>
      <c r="M44" s="136"/>
      <c r="N44" s="136"/>
      <c r="O44" s="136"/>
      <c r="P44" s="136"/>
      <c r="Q44" s="136"/>
      <c r="R44" s="136"/>
      <c r="S44" s="136"/>
      <c r="T44" s="136"/>
      <c r="U44" s="136"/>
      <c r="V44" s="136"/>
      <c r="W44" s="136"/>
      <c r="X44" s="136"/>
      <c r="Y44" s="136"/>
      <c r="Z44" s="136"/>
      <c r="AA44" s="136"/>
      <c r="AB44" s="136"/>
      <c r="AC44" s="136"/>
      <c r="AD44" s="136"/>
      <c r="AE44" s="136"/>
      <c r="AF44" s="136"/>
      <c r="AG44" s="136"/>
      <c r="AH44" s="136"/>
      <c r="AI44" s="136"/>
      <c r="AJ44" s="136"/>
      <c r="AK44" s="136"/>
      <c r="AL44" s="136"/>
      <c r="AM44" s="136"/>
      <c r="AN44" s="136"/>
      <c r="AO44" s="136"/>
      <c r="AP44" s="136"/>
      <c r="AQ44" s="136"/>
      <c r="AR44" s="136"/>
      <c r="AS44" s="136"/>
      <c r="AT44" s="136"/>
      <c r="AU44" s="136"/>
      <c r="AV44" s="136"/>
      <c r="AW44" s="136"/>
      <c r="AX44" s="136"/>
      <c r="AY44" s="136"/>
      <c r="AZ44" s="136"/>
      <c r="BA44" s="136"/>
      <c r="BB44" s="136"/>
      <c r="BC44" s="136"/>
      <c r="BD44" s="136"/>
    </row>
    <row r="45" spans="5:56" x14ac:dyDescent="0.25">
      <c r="E45" s="136"/>
      <c r="F45" s="136"/>
      <c r="G45" s="136"/>
      <c r="H45" s="136"/>
      <c r="I45" s="136"/>
      <c r="J45" s="136"/>
      <c r="K45" s="136"/>
      <c r="L45" s="136"/>
      <c r="M45" s="136"/>
      <c r="N45" s="136"/>
      <c r="O45" s="136"/>
      <c r="P45" s="136"/>
      <c r="Q45" s="136"/>
      <c r="R45" s="136"/>
      <c r="S45" s="136"/>
      <c r="T45" s="136"/>
      <c r="U45" s="136"/>
      <c r="V45" s="136"/>
      <c r="W45" s="136"/>
      <c r="X45" s="136"/>
      <c r="Y45" s="136"/>
      <c r="Z45" s="136"/>
      <c r="AA45" s="136"/>
      <c r="AB45" s="136"/>
      <c r="AC45" s="136"/>
      <c r="AD45" s="136"/>
      <c r="AE45" s="136"/>
      <c r="AF45" s="136"/>
      <c r="AG45" s="136"/>
      <c r="AH45" s="136"/>
      <c r="AI45" s="136"/>
      <c r="AJ45" s="136"/>
      <c r="AK45" s="136"/>
      <c r="AL45" s="136"/>
      <c r="AM45" s="136"/>
      <c r="AN45" s="136"/>
      <c r="AO45" s="136"/>
      <c r="AP45" s="136"/>
      <c r="AQ45" s="136"/>
      <c r="AR45" s="136"/>
      <c r="AS45" s="136"/>
      <c r="AT45" s="136"/>
      <c r="AU45" s="136"/>
      <c r="AV45" s="136"/>
      <c r="AW45" s="136"/>
      <c r="AX45" s="136"/>
      <c r="AY45" s="136"/>
      <c r="AZ45" s="136"/>
      <c r="BA45" s="136"/>
      <c r="BB45" s="136"/>
      <c r="BC45" s="136"/>
      <c r="BD45" s="136"/>
    </row>
    <row r="46" spans="5:56" x14ac:dyDescent="0.25">
      <c r="E46" s="136"/>
      <c r="F46" s="136"/>
      <c r="G46" s="136"/>
      <c r="H46" s="136"/>
      <c r="I46" s="136"/>
      <c r="J46" s="136"/>
      <c r="K46" s="136"/>
      <c r="L46" s="136"/>
      <c r="M46" s="136"/>
      <c r="N46" s="136"/>
      <c r="O46" s="136"/>
      <c r="P46" s="136"/>
      <c r="Q46" s="136"/>
      <c r="R46" s="136"/>
      <c r="S46" s="136"/>
      <c r="T46" s="136"/>
      <c r="U46" s="136"/>
      <c r="V46" s="136"/>
      <c r="W46" s="136"/>
      <c r="X46" s="136"/>
      <c r="Y46" s="136"/>
      <c r="Z46" s="136"/>
      <c r="AA46" s="136"/>
      <c r="AB46" s="136"/>
      <c r="AC46" s="136"/>
      <c r="AD46" s="136"/>
      <c r="AE46" s="136"/>
      <c r="AF46" s="136"/>
      <c r="AG46" s="136"/>
      <c r="AH46" s="136"/>
      <c r="AI46" s="136"/>
      <c r="AJ46" s="136"/>
      <c r="AK46" s="136"/>
      <c r="AL46" s="136"/>
      <c r="AM46" s="136"/>
      <c r="AN46" s="136"/>
      <c r="AO46" s="136"/>
      <c r="AP46" s="136"/>
      <c r="AQ46" s="136"/>
      <c r="AR46" s="136"/>
      <c r="AS46" s="136"/>
      <c r="AT46" s="136"/>
      <c r="AU46" s="136"/>
      <c r="AV46" s="136"/>
      <c r="AW46" s="136"/>
      <c r="AX46" s="136"/>
      <c r="AY46" s="136"/>
      <c r="AZ46" s="136"/>
      <c r="BA46" s="136"/>
      <c r="BB46" s="136"/>
      <c r="BC46" s="136"/>
      <c r="BD46" s="136"/>
    </row>
    <row r="47" spans="5:56" x14ac:dyDescent="0.25">
      <c r="E47" s="136"/>
      <c r="F47" s="136"/>
      <c r="G47" s="136"/>
      <c r="H47" s="136"/>
      <c r="I47" s="136"/>
      <c r="J47" s="136"/>
      <c r="K47" s="136"/>
      <c r="L47" s="136"/>
      <c r="M47" s="136"/>
      <c r="N47" s="136"/>
      <c r="O47" s="136"/>
      <c r="P47" s="136"/>
      <c r="Q47" s="136"/>
      <c r="R47" s="136"/>
      <c r="S47" s="136"/>
      <c r="T47" s="136"/>
      <c r="U47" s="136"/>
      <c r="V47" s="136"/>
      <c r="W47" s="136"/>
      <c r="X47" s="136"/>
      <c r="Y47" s="136"/>
      <c r="Z47" s="136"/>
      <c r="AA47" s="136"/>
      <c r="AB47" s="136"/>
      <c r="AC47" s="136"/>
      <c r="AD47" s="136"/>
      <c r="AE47" s="136"/>
      <c r="AF47" s="136"/>
      <c r="AG47" s="136"/>
      <c r="AH47" s="136"/>
      <c r="AI47" s="136"/>
      <c r="AJ47" s="136"/>
      <c r="AK47" s="136"/>
      <c r="AL47" s="136"/>
      <c r="AM47" s="136"/>
      <c r="AN47" s="136"/>
      <c r="AO47" s="136"/>
      <c r="AP47" s="136"/>
      <c r="AQ47" s="136"/>
      <c r="AR47" s="136"/>
      <c r="AS47" s="136"/>
      <c r="AT47" s="136"/>
      <c r="AU47" s="136"/>
      <c r="AV47" s="136"/>
      <c r="AW47" s="136"/>
      <c r="AX47" s="136"/>
      <c r="AY47" s="136"/>
      <c r="AZ47" s="136"/>
      <c r="BA47" s="136"/>
      <c r="BB47" s="136"/>
      <c r="BC47" s="136"/>
      <c r="BD47" s="136"/>
    </row>
    <row r="48" spans="5:56" x14ac:dyDescent="0.25">
      <c r="E48" s="136"/>
      <c r="F48" s="136"/>
      <c r="G48" s="136"/>
      <c r="H48" s="136"/>
      <c r="I48" s="136"/>
      <c r="J48" s="136"/>
      <c r="K48" s="136"/>
      <c r="L48" s="136"/>
      <c r="M48" s="136"/>
      <c r="N48" s="136"/>
      <c r="O48" s="136"/>
      <c r="P48" s="136"/>
      <c r="Q48" s="136"/>
      <c r="R48" s="136"/>
      <c r="S48" s="136"/>
      <c r="T48" s="136"/>
      <c r="U48" s="136"/>
      <c r="V48" s="136"/>
      <c r="W48" s="136"/>
      <c r="X48" s="136"/>
      <c r="Y48" s="136"/>
      <c r="Z48" s="136"/>
      <c r="AA48" s="136"/>
      <c r="AB48" s="136"/>
      <c r="AC48" s="136"/>
      <c r="AD48" s="136"/>
      <c r="AE48" s="136"/>
      <c r="AF48" s="136"/>
      <c r="AG48" s="136"/>
      <c r="AH48" s="136"/>
      <c r="AI48" s="136"/>
      <c r="AJ48" s="136"/>
      <c r="AK48" s="136"/>
      <c r="AL48" s="136"/>
      <c r="AM48" s="136"/>
      <c r="AN48" s="136"/>
      <c r="AO48" s="136"/>
      <c r="AP48" s="136"/>
      <c r="AQ48" s="136"/>
      <c r="AR48" s="136"/>
      <c r="AS48" s="136"/>
      <c r="AT48" s="136"/>
      <c r="AU48" s="136"/>
      <c r="AV48" s="136"/>
      <c r="AW48" s="136"/>
      <c r="AX48" s="136"/>
      <c r="AY48" s="136"/>
      <c r="AZ48" s="136"/>
      <c r="BA48" s="136"/>
      <c r="BB48" s="136"/>
      <c r="BC48" s="136"/>
      <c r="BD48" s="136"/>
    </row>
    <row r="49" spans="5:56" x14ac:dyDescent="0.25">
      <c r="E49" s="136"/>
      <c r="F49" s="136"/>
      <c r="G49" s="136"/>
      <c r="H49" s="136"/>
      <c r="I49" s="136"/>
      <c r="J49" s="136"/>
      <c r="K49" s="136"/>
      <c r="L49" s="136"/>
      <c r="M49" s="136"/>
      <c r="N49" s="136"/>
      <c r="O49" s="136"/>
      <c r="P49" s="136"/>
      <c r="Q49" s="136"/>
      <c r="R49" s="136"/>
      <c r="S49" s="136"/>
      <c r="T49" s="136"/>
      <c r="U49" s="136"/>
      <c r="V49" s="136"/>
      <c r="W49" s="136"/>
      <c r="X49" s="136"/>
      <c r="Y49" s="136"/>
      <c r="Z49" s="136"/>
      <c r="AA49" s="136"/>
      <c r="AB49" s="136"/>
      <c r="AC49" s="136"/>
      <c r="AD49" s="136"/>
      <c r="AE49" s="136"/>
      <c r="AF49" s="136"/>
      <c r="AG49" s="136"/>
      <c r="AH49" s="136"/>
      <c r="AI49" s="136"/>
      <c r="AJ49" s="136"/>
      <c r="AK49" s="136"/>
      <c r="AL49" s="136"/>
      <c r="AM49" s="136"/>
      <c r="AN49" s="136"/>
      <c r="AO49" s="136"/>
      <c r="AP49" s="136"/>
      <c r="AQ49" s="136"/>
      <c r="AR49" s="136"/>
      <c r="AS49" s="136"/>
      <c r="AT49" s="136"/>
      <c r="AU49" s="136"/>
      <c r="AV49" s="136"/>
      <c r="AW49" s="136"/>
      <c r="AX49" s="136"/>
      <c r="AY49" s="136"/>
      <c r="AZ49" s="136"/>
      <c r="BA49" s="136"/>
      <c r="BB49" s="136"/>
      <c r="BC49" s="136"/>
      <c r="BD49" s="136"/>
    </row>
    <row r="50" spans="5:56" x14ac:dyDescent="0.25">
      <c r="E50" s="136"/>
      <c r="F50" s="136"/>
      <c r="G50" s="136"/>
      <c r="H50" s="136"/>
      <c r="I50" s="136"/>
      <c r="J50" s="136"/>
      <c r="K50" s="136"/>
      <c r="L50" s="136"/>
      <c r="M50" s="136"/>
      <c r="N50" s="136"/>
      <c r="O50" s="136"/>
      <c r="P50" s="136"/>
      <c r="Q50" s="136"/>
      <c r="R50" s="136"/>
      <c r="S50" s="136"/>
      <c r="T50" s="136"/>
      <c r="U50" s="136"/>
      <c r="V50" s="136"/>
      <c r="W50" s="136"/>
      <c r="X50" s="136"/>
      <c r="Y50" s="136"/>
      <c r="Z50" s="136"/>
      <c r="AA50" s="136"/>
      <c r="AB50" s="136"/>
      <c r="AC50" s="136"/>
      <c r="AD50" s="136"/>
      <c r="AE50" s="136"/>
      <c r="AF50" s="136"/>
      <c r="AG50" s="136"/>
      <c r="AH50" s="136"/>
      <c r="AI50" s="136"/>
      <c r="AJ50" s="136"/>
      <c r="AK50" s="136"/>
      <c r="AL50" s="136"/>
      <c r="AM50" s="136"/>
      <c r="AN50" s="136"/>
      <c r="AO50" s="136"/>
      <c r="AP50" s="136"/>
      <c r="AQ50" s="136"/>
      <c r="AR50" s="136"/>
      <c r="AS50" s="136"/>
      <c r="AT50" s="136"/>
      <c r="AU50" s="136"/>
      <c r="AV50" s="136"/>
      <c r="AW50" s="136"/>
      <c r="AX50" s="136"/>
      <c r="AY50" s="136"/>
      <c r="AZ50" s="136"/>
      <c r="BA50" s="136"/>
      <c r="BB50" s="136"/>
      <c r="BC50" s="136"/>
      <c r="BD50" s="136"/>
    </row>
  </sheetData>
  <sheetProtection algorithmName="SHA-512" hashValue="ogYa52ptT3EvOpiN3QL1tLIbZa+jYLJWithYCQbS1ZA1sTJPMkcAAj2ysYUNUEvocId0DLg4wl6StCdlAfFVOw==" saltValue="M4qWNXTmnn5chh7/gHTlwA==" spinCount="100000" sheet="1" objects="1" scenarios="1" selectLockedCells="1"/>
  <mergeCells count="10">
    <mergeCell ref="F2:G2"/>
    <mergeCell ref="P3:R3"/>
    <mergeCell ref="O4:Q4"/>
    <mergeCell ref="P17:P18"/>
    <mergeCell ref="L3:N3"/>
    <mergeCell ref="I17:I18"/>
    <mergeCell ref="J17:J18"/>
    <mergeCell ref="K17:K18"/>
    <mergeCell ref="L17:L18"/>
    <mergeCell ref="Q17:Q18"/>
  </mergeCells>
  <conditionalFormatting sqref="R6:S15">
    <cfRule type="expression" dxfId="279" priority="11">
      <formula>$U6="Existing"</formula>
    </cfRule>
    <cfRule type="expression" dxfId="278" priority="35">
      <formula>AND($K6&lt;&gt;"Enter Spend&gt;&gt;&gt;",$U6&lt;&gt;"Prospect")</formula>
    </cfRule>
  </conditionalFormatting>
  <conditionalFormatting sqref="O6:O15 L6:L15">
    <cfRule type="expression" dxfId="277" priority="31">
      <formula>Q6&lt;&gt;""</formula>
    </cfRule>
  </conditionalFormatting>
  <conditionalFormatting sqref="S6:S15">
    <cfRule type="expression" dxfId="276" priority="29">
      <formula>$W6="Zip Code Not Serviced"</formula>
    </cfRule>
  </conditionalFormatting>
  <conditionalFormatting sqref="L3:N3">
    <cfRule type="expression" dxfId="275" priority="25">
      <formula>$AN$4&gt;0</formula>
    </cfRule>
  </conditionalFormatting>
  <conditionalFormatting sqref="T6:V15">
    <cfRule type="expression" dxfId="274" priority="20">
      <formula>AND($K6&lt;&gt;"Enter Spend&gt;&gt;&gt;",$U$6&lt;&gt;"Prospect")</formula>
    </cfRule>
  </conditionalFormatting>
  <conditionalFormatting sqref="T6:V15">
    <cfRule type="expression" dxfId="273" priority="21">
      <formula>$F6=""</formula>
    </cfRule>
    <cfRule type="notContainsBlanks" dxfId="272" priority="22">
      <formula>LEN(TRIM(T6))&gt;0</formula>
    </cfRule>
  </conditionalFormatting>
  <conditionalFormatting sqref="T6:V15">
    <cfRule type="expression" dxfId="271" priority="19">
      <formula>$AN6="FLAG"</formula>
    </cfRule>
  </conditionalFormatting>
  <conditionalFormatting sqref="T6:T15">
    <cfRule type="expression" dxfId="270" priority="18">
      <formula>$W6="Zip Code Not Serviced"</formula>
    </cfRule>
  </conditionalFormatting>
  <conditionalFormatting sqref="T6:T15">
    <cfRule type="expression" dxfId="269" priority="17">
      <formula>$W6="Zip Code Not Serviced"</formula>
    </cfRule>
  </conditionalFormatting>
  <conditionalFormatting sqref="U6:U15">
    <cfRule type="expression" dxfId="268" priority="16">
      <formula>$W6="Zip Code Not Serviced"</formula>
    </cfRule>
  </conditionalFormatting>
  <conditionalFormatting sqref="G6:G15">
    <cfRule type="expression" dxfId="267" priority="33">
      <formula>$F6&lt;&gt;""</formula>
    </cfRule>
    <cfRule type="notContainsBlanks" dxfId="266" priority="43">
      <formula>LEN(TRIM(G6))&gt;0</formula>
    </cfRule>
  </conditionalFormatting>
  <conditionalFormatting sqref="P6:S15">
    <cfRule type="expression" dxfId="265" priority="36">
      <formula>$F6=""</formula>
    </cfRule>
    <cfRule type="notContainsBlanks" dxfId="264" priority="37">
      <formula>LEN(TRIM(P6))&gt;0</formula>
    </cfRule>
  </conditionalFormatting>
  <conditionalFormatting sqref="H6:H15">
    <cfRule type="notContainsBlanks" dxfId="263" priority="12">
      <formula>LEN(TRIM(H6))&gt;0</formula>
    </cfRule>
    <cfRule type="expression" dxfId="262" priority="13">
      <formula>$F6&lt;&gt;""</formula>
    </cfRule>
  </conditionalFormatting>
  <conditionalFormatting sqref="K6:S15">
    <cfRule type="expression" dxfId="261" priority="23">
      <formula>$AN6="FLAG"</formula>
    </cfRule>
  </conditionalFormatting>
  <conditionalFormatting sqref="U14">
    <cfRule type="expression" dxfId="260" priority="10">
      <formula>$AP14="Prospect"</formula>
    </cfRule>
  </conditionalFormatting>
  <conditionalFormatting sqref="U13">
    <cfRule type="expression" dxfId="259" priority="9">
      <formula>$AP13="Prospect"</formula>
    </cfRule>
  </conditionalFormatting>
  <conditionalFormatting sqref="U15">
    <cfRule type="expression" dxfId="258" priority="8">
      <formula>$AP15="Prospect"</formula>
    </cfRule>
  </conditionalFormatting>
  <conditionalFormatting sqref="U12">
    <cfRule type="expression" dxfId="257" priority="7">
      <formula>$AP12="Prospect"</formula>
    </cfRule>
  </conditionalFormatting>
  <conditionalFormatting sqref="U11">
    <cfRule type="expression" dxfId="256" priority="6">
      <formula>$AP11="Prospect"</formula>
    </cfRule>
  </conditionalFormatting>
  <conditionalFormatting sqref="U10">
    <cfRule type="expression" dxfId="255" priority="5">
      <formula>$AP10="Prospect"</formula>
    </cfRule>
  </conditionalFormatting>
  <conditionalFormatting sqref="U9">
    <cfRule type="expression" dxfId="254" priority="4">
      <formula>$AP9="Prospect"</formula>
    </cfRule>
  </conditionalFormatting>
  <conditionalFormatting sqref="U8">
    <cfRule type="expression" dxfId="253" priority="3">
      <formula>$AP8="Prospect"</formula>
    </cfRule>
  </conditionalFormatting>
  <conditionalFormatting sqref="U7">
    <cfRule type="expression" dxfId="252" priority="2">
      <formula>$AP7="Prospect"</formula>
    </cfRule>
  </conditionalFormatting>
  <conditionalFormatting sqref="U6">
    <cfRule type="expression" dxfId="251" priority="1">
      <formula>$AP6="Prospect"</formula>
    </cfRule>
  </conditionalFormatting>
  <dataValidations count="2">
    <dataValidation type="list" allowBlank="1" showErrorMessage="1" errorTitle="EB % Outside Allowable Range" error="EB % must be between 0% and 100%" sqref="V6:V15" xr:uid="{46C4FD52-FFB9-49C1-B788-4089093843A9}">
      <formula1>"Yes, No"</formula1>
    </dataValidation>
    <dataValidation type="list" allowBlank="1" showInputMessage="1" showErrorMessage="1" sqref="U6:U15" xr:uid="{3BB749CB-9148-4FE5-BB67-7669772CD4A4}">
      <formula1>"Existing, Prospect"</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N7" sqref="N7"/>
    </sheetView>
  </sheetViews>
  <sheetFormatPr defaultColWidth="8.85546875" defaultRowHeight="15" x14ac:dyDescent="0.25"/>
  <cols>
    <col min="1" max="1" width="2.140625" style="142" customWidth="1"/>
    <col min="2" max="2" width="15.5703125" style="142" customWidth="1"/>
    <col min="3" max="3" width="12.5703125" style="142" customWidth="1"/>
    <col min="4" max="4" width="38" style="142" customWidth="1"/>
    <col min="5" max="5" width="17.7109375" style="142" customWidth="1"/>
    <col min="6" max="6" width="36.140625" style="142" customWidth="1"/>
    <col min="7" max="7" width="27.7109375" style="142" customWidth="1"/>
    <col min="8" max="8" width="11.140625" bestFit="1" customWidth="1"/>
    <col min="9" max="9" width="13.7109375" customWidth="1"/>
    <col min="10" max="10" width="12" hidden="1" customWidth="1"/>
    <col min="11" max="11" width="14.140625" style="142" customWidth="1"/>
    <col min="12" max="12" width="7.28515625" style="142" customWidth="1"/>
    <col min="13" max="13" width="16.85546875" style="142" bestFit="1" customWidth="1"/>
    <col min="14" max="14" width="2.140625" style="142" customWidth="1"/>
    <col min="15" max="15" width="11.7109375" style="142" customWidth="1"/>
    <col min="16" max="16" width="17.28515625" style="142" bestFit="1" customWidth="1"/>
    <col min="17" max="17" width="11.140625" style="142" customWidth="1"/>
    <col min="18" max="18" width="2.7109375" hidden="1" customWidth="1"/>
    <col min="19" max="19" width="8.7109375" style="142" hidden="1" customWidth="1"/>
    <col min="20" max="20" width="13.140625" style="142" hidden="1" customWidth="1"/>
    <col min="21" max="21" width="9" style="142" hidden="1" customWidth="1"/>
    <col min="22" max="22" width="2.7109375" style="142" hidden="1" customWidth="1"/>
    <col min="23" max="23" width="24.85546875" style="142" hidden="1" customWidth="1"/>
    <col min="24" max="24" width="2.7109375" style="142" hidden="1" customWidth="1"/>
    <col min="25" max="25" width="22.5703125" style="142" hidden="1" customWidth="1"/>
    <col min="26" max="27" width="8.85546875" style="142" hidden="1" customWidth="1"/>
    <col min="28" max="28" width="7.140625" hidden="1" customWidth="1"/>
    <col min="29" max="29" width="15.42578125" style="142" hidden="1" customWidth="1"/>
    <col min="30" max="30" width="14.28515625" style="142" hidden="1" customWidth="1"/>
    <col min="31" max="31" width="8.85546875" style="142" hidden="1" customWidth="1"/>
    <col min="32" max="32" width="11.5703125" style="142" hidden="1" customWidth="1"/>
    <col min="33" max="34" width="8.85546875" style="142" hidden="1" customWidth="1"/>
    <col min="35" max="35" width="8.85546875" style="142" customWidth="1"/>
    <col min="36" max="16384" width="8.85546875" style="142"/>
  </cols>
  <sheetData>
    <row r="1" spans="1:39" ht="21" x14ac:dyDescent="0.25">
      <c r="A1" s="141"/>
      <c r="B1" s="141"/>
      <c r="C1" s="141"/>
      <c r="D1" s="508" t="s">
        <v>208</v>
      </c>
      <c r="E1" s="141"/>
      <c r="F1" s="141"/>
      <c r="G1" s="143"/>
      <c r="H1" s="143"/>
      <c r="I1" s="143"/>
      <c r="J1" s="143"/>
      <c r="K1" s="509"/>
      <c r="L1" s="141"/>
      <c r="M1" s="141"/>
      <c r="N1" s="141"/>
      <c r="O1" s="141"/>
      <c r="P1" s="141"/>
      <c r="Q1" s="141"/>
      <c r="R1" s="136"/>
      <c r="S1" s="141"/>
      <c r="T1" s="141"/>
      <c r="U1" s="141"/>
      <c r="V1" s="141"/>
      <c r="W1" s="141"/>
      <c r="X1" s="141"/>
      <c r="Y1" s="141"/>
      <c r="Z1" s="141"/>
      <c r="AA1" s="141"/>
      <c r="AB1" s="136"/>
      <c r="AC1" s="141"/>
      <c r="AD1" s="141"/>
      <c r="AE1" s="141"/>
      <c r="AF1" s="141"/>
      <c r="AG1" s="141"/>
      <c r="AH1" s="141"/>
      <c r="AI1" s="141"/>
      <c r="AJ1" s="141"/>
      <c r="AK1" s="141"/>
      <c r="AL1" s="141"/>
      <c r="AM1" s="141"/>
    </row>
    <row r="2" spans="1:39" ht="6.6" customHeight="1" thickBot="1" x14ac:dyDescent="0.3">
      <c r="A2" s="141"/>
      <c r="B2" s="141"/>
      <c r="C2" s="141"/>
      <c r="D2" s="508"/>
      <c r="E2" s="141"/>
      <c r="F2" s="141"/>
      <c r="G2" s="143"/>
      <c r="H2" s="143"/>
      <c r="I2" s="143"/>
      <c r="J2" s="143"/>
      <c r="K2" s="141"/>
      <c r="L2" s="141"/>
      <c r="M2" s="141"/>
      <c r="N2" s="141"/>
      <c r="O2" s="141"/>
      <c r="P2" s="141"/>
      <c r="Q2" s="141"/>
      <c r="R2" s="136"/>
      <c r="S2" s="141"/>
      <c r="T2" s="141"/>
      <c r="U2" s="141"/>
      <c r="V2" s="141"/>
      <c r="W2" s="141"/>
      <c r="X2" s="141"/>
      <c r="Y2" s="141"/>
      <c r="Z2" s="141"/>
      <c r="AA2" s="141"/>
      <c r="AB2" s="136"/>
      <c r="AC2" s="141"/>
      <c r="AD2" s="141"/>
      <c r="AE2" s="141"/>
      <c r="AF2" s="141"/>
      <c r="AG2" s="141"/>
      <c r="AH2" s="141"/>
      <c r="AI2" s="141"/>
      <c r="AJ2" s="141"/>
      <c r="AK2" s="141"/>
      <c r="AL2" s="141"/>
      <c r="AM2" s="141"/>
    </row>
    <row r="3" spans="1:39" x14ac:dyDescent="0.25">
      <c r="A3" s="141"/>
      <c r="B3" s="141"/>
      <c r="C3" s="141"/>
      <c r="D3" s="483" t="s">
        <v>1268</v>
      </c>
      <c r="E3" s="396">
        <f>Welcome!$D$8</f>
        <v>0</v>
      </c>
      <c r="F3" s="141"/>
      <c r="G3" s="483" t="s">
        <v>110</v>
      </c>
      <c r="H3" s="1277" t="e">
        <f>VLOOKUP($H$4,'Market Geography'!$D:$G,4,FALSE)</f>
        <v>#N/A</v>
      </c>
      <c r="I3" s="1278"/>
      <c r="J3" s="1278"/>
      <c r="K3" s="1279"/>
      <c r="L3" s="141"/>
      <c r="M3" s="141"/>
      <c r="N3" s="141"/>
      <c r="O3" s="141"/>
      <c r="P3" s="141"/>
      <c r="Q3" s="141"/>
      <c r="R3" s="136"/>
      <c r="S3" s="141"/>
      <c r="T3" s="141"/>
      <c r="U3" s="141"/>
      <c r="V3" s="141"/>
      <c r="W3" s="141"/>
      <c r="X3" s="141"/>
      <c r="Y3" s="141"/>
      <c r="Z3" s="141"/>
      <c r="AA3" s="141"/>
      <c r="AB3" s="136"/>
      <c r="AC3" s="141"/>
      <c r="AD3" s="141"/>
      <c r="AE3" s="141"/>
      <c r="AF3" s="141"/>
      <c r="AG3" s="141"/>
      <c r="AH3" s="141"/>
      <c r="AI3" s="141"/>
      <c r="AJ3" s="141"/>
      <c r="AK3" s="141"/>
      <c r="AL3" s="141"/>
      <c r="AM3" s="141"/>
    </row>
    <row r="4" spans="1:39" x14ac:dyDescent="0.25">
      <c r="A4" s="141"/>
      <c r="B4" s="141"/>
      <c r="C4" s="141"/>
      <c r="D4" s="484" t="s">
        <v>1269</v>
      </c>
      <c r="E4" s="365" t="str">
        <f>Welcome!$D$12</f>
        <v>Select Term</v>
      </c>
      <c r="F4" s="141"/>
      <c r="G4" s="484" t="s">
        <v>883</v>
      </c>
      <c r="H4" s="1274">
        <f>Welcome!$D$4</f>
        <v>0</v>
      </c>
      <c r="I4" s="1275"/>
      <c r="J4" s="1275"/>
      <c r="K4" s="1276"/>
      <c r="L4" s="141"/>
      <c r="M4" s="141"/>
      <c r="N4" s="141"/>
      <c r="O4" s="141"/>
      <c r="P4" s="141"/>
      <c r="Q4" s="141"/>
      <c r="R4" s="136"/>
      <c r="S4" s="141"/>
      <c r="T4" s="141"/>
      <c r="U4" s="141"/>
      <c r="V4" s="141"/>
      <c r="W4" s="141"/>
      <c r="X4" s="141"/>
      <c r="Y4" s="141"/>
      <c r="Z4" s="141"/>
      <c r="AA4" s="141"/>
      <c r="AB4" s="136"/>
      <c r="AC4" s="141"/>
      <c r="AD4" s="141"/>
      <c r="AE4" s="141"/>
      <c r="AF4" s="141"/>
      <c r="AG4" s="141"/>
      <c r="AH4" s="141"/>
      <c r="AI4" s="141"/>
      <c r="AJ4" s="141"/>
      <c r="AK4" s="141"/>
      <c r="AL4" s="141"/>
      <c r="AM4" s="141"/>
    </row>
    <row r="5" spans="1:39" x14ac:dyDescent="0.25">
      <c r="A5" s="141"/>
      <c r="B5" s="141"/>
      <c r="C5" s="141"/>
      <c r="D5" s="484" t="s">
        <v>1276</v>
      </c>
      <c r="E5" s="145">
        <f>$G$31</f>
        <v>0</v>
      </c>
      <c r="F5" s="141"/>
      <c r="G5" s="484" t="s">
        <v>107</v>
      </c>
      <c r="H5" s="1274" t="str">
        <f>'Multi-Customer'!$S$49</f>
        <v>Enter Customer(s)</v>
      </c>
      <c r="I5" s="1275"/>
      <c r="J5" s="1275"/>
      <c r="K5" s="1276"/>
      <c r="L5" s="141"/>
      <c r="M5" s="141"/>
      <c r="N5" s="141"/>
      <c r="O5" s="141"/>
      <c r="P5" s="141"/>
      <c r="Q5" s="141"/>
      <c r="R5" s="136"/>
      <c r="S5" s="141"/>
      <c r="T5" s="141"/>
      <c r="U5" s="141"/>
      <c r="V5" s="141"/>
      <c r="W5" s="141"/>
      <c r="X5" s="141"/>
      <c r="Y5" s="141"/>
      <c r="Z5" s="141"/>
      <c r="AA5" s="141"/>
      <c r="AB5" s="136"/>
      <c r="AC5" s="141"/>
      <c r="AD5" s="141"/>
      <c r="AE5" s="141"/>
      <c r="AF5" s="141"/>
      <c r="AG5" s="141"/>
      <c r="AH5" s="141"/>
      <c r="AI5" s="141"/>
      <c r="AJ5" s="141"/>
      <c r="AK5" s="141"/>
      <c r="AL5" s="141"/>
      <c r="AM5" s="141"/>
    </row>
    <row r="6" spans="1:39" x14ac:dyDescent="0.25">
      <c r="A6" s="141"/>
      <c r="B6" s="141"/>
      <c r="C6" s="141"/>
      <c r="D6" s="484" t="s">
        <v>1277</v>
      </c>
      <c r="E6" s="146">
        <f>IFERROR('Variable Costs (Back)'!$K$26,0)</f>
        <v>0</v>
      </c>
      <c r="F6" s="141"/>
      <c r="G6" s="484" t="s">
        <v>1286</v>
      </c>
      <c r="H6" s="1274" t="str">
        <f>'Multi-Customer'!$AH$40</f>
        <v>MULTIPLE TYPES</v>
      </c>
      <c r="I6" s="1275"/>
      <c r="J6" s="1275"/>
      <c r="K6" s="1276"/>
      <c r="L6" s="141"/>
      <c r="M6" s="141"/>
      <c r="N6" s="141"/>
      <c r="O6" s="141"/>
      <c r="P6" s="141"/>
      <c r="Q6" s="141"/>
      <c r="R6" s="136"/>
      <c r="S6" s="141"/>
      <c r="T6" s="141"/>
      <c r="U6" s="141"/>
      <c r="V6" s="141"/>
      <c r="W6" s="141"/>
      <c r="X6" s="141"/>
      <c r="Y6" s="141"/>
      <c r="Z6" s="141"/>
      <c r="AA6" s="141"/>
      <c r="AB6" s="136"/>
      <c r="AC6" s="141"/>
      <c r="AD6" s="141"/>
      <c r="AE6" s="141"/>
      <c r="AF6" s="141"/>
      <c r="AG6" s="141"/>
      <c r="AH6" s="141"/>
      <c r="AI6" s="141"/>
      <c r="AJ6" s="141"/>
      <c r="AK6" s="141"/>
      <c r="AL6" s="141"/>
      <c r="AM6" s="141"/>
    </row>
    <row r="7" spans="1:39" ht="15.75" thickBot="1" x14ac:dyDescent="0.3">
      <c r="A7" s="141"/>
      <c r="B7" s="141"/>
      <c r="C7" s="141"/>
      <c r="D7" s="485" t="s">
        <v>1278</v>
      </c>
      <c r="E7" s="397">
        <f>IFERROR('PIM Ranges'!$AU$3,0)</f>
        <v>0</v>
      </c>
      <c r="F7" s="141"/>
      <c r="G7" s="485" t="s">
        <v>1279</v>
      </c>
      <c r="H7" s="1280" t="s">
        <v>206</v>
      </c>
      <c r="I7" s="1281"/>
      <c r="J7" s="1281"/>
      <c r="K7" s="1282"/>
      <c r="L7" s="141"/>
      <c r="M7" s="141"/>
      <c r="N7" s="141"/>
      <c r="O7" s="141"/>
      <c r="P7" s="141"/>
      <c r="Q7" s="509"/>
      <c r="R7" s="136"/>
      <c r="S7" s="141"/>
      <c r="T7" s="141"/>
      <c r="U7" s="141"/>
      <c r="V7" s="141"/>
      <c r="W7" s="141"/>
      <c r="X7" s="141"/>
      <c r="Y7" s="141"/>
      <c r="Z7" s="141"/>
      <c r="AA7" s="141"/>
      <c r="AB7" s="136"/>
      <c r="AC7" s="141"/>
      <c r="AD7" s="141"/>
      <c r="AE7" s="141"/>
      <c r="AF7" s="141"/>
      <c r="AG7" s="141"/>
      <c r="AH7" s="141"/>
      <c r="AI7" s="141"/>
      <c r="AJ7" s="141"/>
      <c r="AK7" s="141"/>
      <c r="AL7" s="141"/>
      <c r="AM7" s="141"/>
    </row>
    <row r="8" spans="1:39" ht="31.9" customHeight="1" thickBot="1" x14ac:dyDescent="0.3">
      <c r="A8" s="141"/>
      <c r="B8" s="141"/>
      <c r="C8" s="141"/>
      <c r="D8" s="141"/>
      <c r="E8" s="141"/>
      <c r="F8" s="141"/>
      <c r="G8" s="615"/>
      <c r="H8" s="136"/>
      <c r="I8" s="136"/>
      <c r="J8" s="136"/>
      <c r="K8" s="141"/>
      <c r="L8" s="141"/>
      <c r="M8" s="141"/>
      <c r="N8" s="141"/>
      <c r="O8" s="478"/>
      <c r="P8" s="573" t="str">
        <f>IF($E$3="MDA","Contract Margin %","Margin % Used For Modeling")</f>
        <v>Margin % Used For Modeling</v>
      </c>
      <c r="Q8" s="478"/>
      <c r="R8" s="136"/>
      <c r="S8" s="148"/>
      <c r="T8" s="149" t="s">
        <v>506</v>
      </c>
      <c r="U8" s="148"/>
      <c r="V8" s="141"/>
      <c r="W8" s="388" t="s">
        <v>497</v>
      </c>
      <c r="X8" s="141"/>
      <c r="Y8" s="141"/>
      <c r="Z8" s="141"/>
      <c r="AA8" s="141"/>
      <c r="AB8" s="141"/>
      <c r="AC8" s="141"/>
      <c r="AD8" s="141"/>
      <c r="AE8" s="141"/>
      <c r="AF8" s="141"/>
      <c r="AG8" s="141"/>
      <c r="AH8" s="141"/>
      <c r="AI8" s="141"/>
      <c r="AJ8" s="141"/>
      <c r="AK8" s="141"/>
      <c r="AL8" s="141"/>
      <c r="AM8" s="141"/>
    </row>
    <row r="9" spans="1:39" ht="30" customHeight="1" thickBot="1" x14ac:dyDescent="0.3">
      <c r="A9" s="141"/>
      <c r="B9" s="506" t="s">
        <v>932</v>
      </c>
      <c r="C9" s="507" t="s">
        <v>1008</v>
      </c>
      <c r="D9" s="507" t="s">
        <v>1363</v>
      </c>
      <c r="E9" s="390" t="s">
        <v>467</v>
      </c>
      <c r="F9" s="150" t="s">
        <v>1411</v>
      </c>
      <c r="G9" s="151" t="s">
        <v>398</v>
      </c>
      <c r="H9" s="152" t="s">
        <v>83</v>
      </c>
      <c r="I9" s="153" t="s">
        <v>1364</v>
      </c>
      <c r="J9" s="150" t="s">
        <v>1365</v>
      </c>
      <c r="K9" s="154" t="s">
        <v>225</v>
      </c>
      <c r="L9" s="155"/>
      <c r="M9" s="156" t="s">
        <v>959</v>
      </c>
      <c r="N9" s="157"/>
      <c r="O9" s="480" t="s">
        <v>126</v>
      </c>
      <c r="P9" s="479" t="str">
        <f>IF($E$3="CIA","Incentive Only","Recommended")</f>
        <v>Recommended</v>
      </c>
      <c r="Q9" s="481" t="s">
        <v>128</v>
      </c>
      <c r="R9" s="136"/>
      <c r="S9" s="158" t="s">
        <v>126</v>
      </c>
      <c r="T9" s="159" t="s">
        <v>127</v>
      </c>
      <c r="U9" s="160" t="s">
        <v>128</v>
      </c>
      <c r="V9" s="141"/>
      <c r="W9" s="389" t="s">
        <v>127</v>
      </c>
      <c r="X9" s="141"/>
      <c r="Y9" s="141"/>
      <c r="Z9" s="141"/>
      <c r="AA9" s="141"/>
      <c r="AB9" s="143"/>
      <c r="AD9" s="161" t="s">
        <v>685</v>
      </c>
      <c r="AE9" s="141"/>
      <c r="AF9" s="643" t="s">
        <v>1014</v>
      </c>
      <c r="AG9" s="141" t="s">
        <v>1015</v>
      </c>
      <c r="AH9" s="141" t="s">
        <v>488</v>
      </c>
      <c r="AI9" s="141"/>
      <c r="AJ9" s="141"/>
      <c r="AK9" s="141"/>
      <c r="AL9" s="141"/>
      <c r="AM9" s="141"/>
    </row>
    <row r="10" spans="1:39" ht="17.25" x14ac:dyDescent="0.25">
      <c r="A10" s="141"/>
      <c r="B10" s="604">
        <v>0</v>
      </c>
      <c r="C10" s="610"/>
      <c r="D10" s="914" t="s">
        <v>483</v>
      </c>
      <c r="E10" s="605" t="s">
        <v>967</v>
      </c>
      <c r="F10" s="162" t="s">
        <v>99</v>
      </c>
      <c r="G10" s="646">
        <f>IFERROR('PIM Ranges'!AL12,0)</f>
        <v>0</v>
      </c>
      <c r="H10" s="647">
        <f>IFERROR('PIM Ranges'!AM12,0)</f>
        <v>0</v>
      </c>
      <c r="I10" s="648">
        <f>IFERROR('PIM Ranges'!AN12,0)</f>
        <v>0</v>
      </c>
      <c r="J10" s="394">
        <f t="shared" ref="J10:J26" si="0">IF($E$3="CIA",IF($D10="%",$P10*$G10,$P10*$I10),IF($D10="%",$K10*$G10,$K10*I10))</f>
        <v>0</v>
      </c>
      <c r="K10" s="810"/>
      <c r="L10" s="697" t="str">
        <f t="shared" ref="L10:L26" si="1">IF($E$3="CIA","",IF(K10="","",IF(K10&lt;O10,"X",IF(K10&gt;Q10,"X",""))))</f>
        <v/>
      </c>
      <c r="M10" s="808">
        <f>'Multi-Customer'!AE14</f>
        <v>0</v>
      </c>
      <c r="N10" s="163"/>
      <c r="O10" s="812" t="e">
        <f>'Multi-Customer'!$I14</f>
        <v>#DIV/0!</v>
      </c>
      <c r="P10" s="812" t="e">
        <f>'Multi-Customer'!$J14</f>
        <v>#DIV/0!</v>
      </c>
      <c r="Q10" s="812" t="e">
        <f>'Multi-Customer'!$K14</f>
        <v>#DIV/0!</v>
      </c>
      <c r="R10" s="505"/>
      <c r="S10" s="812"/>
      <c r="T10" s="812"/>
      <c r="U10" s="812"/>
      <c r="V10" s="141"/>
      <c r="W10" s="164" t="e">
        <f>'Multi-Customer'!AU14</f>
        <v>#DIV/0!</v>
      </c>
      <c r="X10" s="141"/>
      <c r="Y10" s="141"/>
      <c r="Z10" s="141"/>
      <c r="AA10" s="141"/>
      <c r="AB10" s="367" t="str">
        <f t="shared" ref="AB10:AB30" si="2">IF($E$3="CIA","",IF($H10&gt;0,IF(E10="Include",IF($K10&lt;&gt;"","","ERROR"),""),""))</f>
        <v/>
      </c>
      <c r="AC10" s="165">
        <f t="shared" ref="AC10:AC30" si="3">IF($E$3="CIA","N/A for Incentive Only Customer",K10)</f>
        <v>0</v>
      </c>
      <c r="AD10" s="141" t="str">
        <f>IF($K10="","",ROUND(IF($D10="%",AC10*100,K10),4))</f>
        <v/>
      </c>
      <c r="AE10" s="141"/>
      <c r="AF10" s="141" t="str">
        <f>IF(L10="X",IF(K10&lt;O10,"BELOW","ABOVE"),"")</f>
        <v/>
      </c>
      <c r="AG10" s="141" t="str">
        <f>IF($AF10="","",IF($AF10="ABOVE",$Q10,$O10))</f>
        <v/>
      </c>
      <c r="AH10" s="141" t="str">
        <f>IF($AF10="","",$K10)</f>
        <v/>
      </c>
      <c r="AI10" s="141"/>
      <c r="AJ10" s="141"/>
      <c r="AK10" s="141"/>
      <c r="AL10" s="141"/>
      <c r="AM10" s="141"/>
    </row>
    <row r="11" spans="1:39" ht="17.25" x14ac:dyDescent="0.25">
      <c r="A11" s="141"/>
      <c r="B11" s="606">
        <v>0</v>
      </c>
      <c r="C11" s="611"/>
      <c r="D11" s="739" t="s">
        <v>483</v>
      </c>
      <c r="E11" s="607" t="s">
        <v>967</v>
      </c>
      <c r="F11" s="1001" t="s">
        <v>103</v>
      </c>
      <c r="G11" s="649">
        <f>IFERROR('PIM Ranges'!AL13,0)</f>
        <v>0</v>
      </c>
      <c r="H11" s="650">
        <f>IFERROR('PIM Ranges'!AM13,0)</f>
        <v>0</v>
      </c>
      <c r="I11" s="651">
        <f>IFERROR('PIM Ranges'!AN13,0)</f>
        <v>0</v>
      </c>
      <c r="J11" s="394">
        <f t="shared" si="0"/>
        <v>0</v>
      </c>
      <c r="K11" s="810"/>
      <c r="L11" s="697" t="str">
        <f t="shared" si="1"/>
        <v/>
      </c>
      <c r="M11" s="808">
        <f>'Multi-Customer'!AE15</f>
        <v>0</v>
      </c>
      <c r="N11" s="163"/>
      <c r="O11" s="812" t="e">
        <f>'Multi-Customer'!$I15</f>
        <v>#DIV/0!</v>
      </c>
      <c r="P11" s="812" t="e">
        <f>'Multi-Customer'!$J15</f>
        <v>#DIV/0!</v>
      </c>
      <c r="Q11" s="812" t="e">
        <f>'Multi-Customer'!$K15</f>
        <v>#DIV/0!</v>
      </c>
      <c r="R11" s="505"/>
      <c r="S11" s="1078" t="e">
        <f>'Multi-Customer'!$I15*'PIM Ranges'!$AP13</f>
        <v>#DIV/0!</v>
      </c>
      <c r="T11" s="1078" t="e">
        <f>'Multi-Customer'!$J15*'PIM Ranges'!$AP13</f>
        <v>#DIV/0!</v>
      </c>
      <c r="U11" s="1078" t="e">
        <f>'Multi-Customer'!$K15*'PIM Ranges'!$AP13</f>
        <v>#DIV/0!</v>
      </c>
      <c r="V11" s="141"/>
      <c r="W11" s="164" t="e">
        <f>'Multi-Customer'!AU15</f>
        <v>#DIV/0!</v>
      </c>
      <c r="X11" s="141"/>
      <c r="Y11" s="141"/>
      <c r="Z11" s="141"/>
      <c r="AA11" s="141"/>
      <c r="AB11" s="367" t="str">
        <f t="shared" si="2"/>
        <v/>
      </c>
      <c r="AC11" s="165">
        <f t="shared" si="3"/>
        <v>0</v>
      </c>
      <c r="AD11" s="141" t="str">
        <f t="shared" ref="AD11:AD30" si="4">IF($K11="","",ROUND(IF($D11="%",AC11*100,K11),4))</f>
        <v/>
      </c>
      <c r="AE11" s="141"/>
      <c r="AF11" s="141" t="str">
        <f t="shared" ref="AF11:AF30" si="5">IF(L11="X",IF(K11&lt;O11,"BELOW","ABOVE"),"")</f>
        <v/>
      </c>
      <c r="AG11" s="141" t="str">
        <f t="shared" ref="AG11:AG30" si="6">IF($AF11="","",IF($AF11="ABOVE",$Q11,$O11))</f>
        <v/>
      </c>
      <c r="AH11" s="141" t="str">
        <f t="shared" ref="AH11:AH30" si="7">IF($AF11="","",$K11)</f>
        <v/>
      </c>
      <c r="AI11" s="141"/>
      <c r="AJ11" s="141"/>
      <c r="AK11" s="141"/>
      <c r="AL11" s="141"/>
      <c r="AM11" s="141"/>
    </row>
    <row r="12" spans="1:39" ht="17.25" x14ac:dyDescent="0.25">
      <c r="A12" s="141"/>
      <c r="B12" s="606">
        <v>0</v>
      </c>
      <c r="C12" s="611"/>
      <c r="D12" s="739" t="s">
        <v>483</v>
      </c>
      <c r="E12" s="607" t="s">
        <v>967</v>
      </c>
      <c r="F12" s="1001" t="s">
        <v>1415</v>
      </c>
      <c r="G12" s="649">
        <f>IFERROR('PIM Ranges'!AL14,0)</f>
        <v>0</v>
      </c>
      <c r="H12" s="650">
        <f>IFERROR('PIM Ranges'!AM14,0)</f>
        <v>0</v>
      </c>
      <c r="I12" s="651">
        <f>IFERROR('PIM Ranges'!AN14,0)</f>
        <v>0</v>
      </c>
      <c r="J12" s="394">
        <f t="shared" si="0"/>
        <v>0</v>
      </c>
      <c r="K12" s="810"/>
      <c r="L12" s="697" t="str">
        <f t="shared" si="1"/>
        <v/>
      </c>
      <c r="M12" s="808">
        <f>'Multi-Customer'!AE16</f>
        <v>0</v>
      </c>
      <c r="N12" s="163"/>
      <c r="O12" s="812" t="e">
        <f>'Multi-Customer'!$I16</f>
        <v>#DIV/0!</v>
      </c>
      <c r="P12" s="812" t="e">
        <f>'Multi-Customer'!$J16</f>
        <v>#DIV/0!</v>
      </c>
      <c r="Q12" s="812" t="e">
        <f>'Multi-Customer'!$K16</f>
        <v>#DIV/0!</v>
      </c>
      <c r="R12" s="505"/>
      <c r="S12" s="1078" t="e">
        <f>'Multi-Customer'!$I16*'PIM Ranges'!$AP14</f>
        <v>#DIV/0!</v>
      </c>
      <c r="T12" s="1078" t="e">
        <f>'Multi-Customer'!$J16*'PIM Ranges'!$AP14</f>
        <v>#DIV/0!</v>
      </c>
      <c r="U12" s="1078" t="e">
        <f>'Multi-Customer'!$K16*'PIM Ranges'!$AP14</f>
        <v>#DIV/0!</v>
      </c>
      <c r="V12" s="141"/>
      <c r="W12" s="164" t="e">
        <f>'Multi-Customer'!AU16</f>
        <v>#DIV/0!</v>
      </c>
      <c r="X12" s="141"/>
      <c r="Y12" s="141"/>
      <c r="Z12" s="141"/>
      <c r="AA12" s="141"/>
      <c r="AB12" s="367" t="str">
        <f t="shared" si="2"/>
        <v/>
      </c>
      <c r="AC12" s="165">
        <f t="shared" si="3"/>
        <v>0</v>
      </c>
      <c r="AD12" s="141" t="str">
        <f t="shared" si="4"/>
        <v/>
      </c>
      <c r="AE12" s="141"/>
      <c r="AF12" s="141" t="str">
        <f t="shared" si="5"/>
        <v/>
      </c>
      <c r="AG12" s="141" t="str">
        <f t="shared" si="6"/>
        <v/>
      </c>
      <c r="AH12" s="141" t="str">
        <f t="shared" si="7"/>
        <v/>
      </c>
      <c r="AI12" s="141"/>
      <c r="AJ12" s="141"/>
      <c r="AK12" s="141"/>
      <c r="AL12" s="141"/>
      <c r="AM12" s="141"/>
    </row>
    <row r="13" spans="1:39" ht="17.25" x14ac:dyDescent="0.25">
      <c r="A13" s="141"/>
      <c r="B13" s="606">
        <v>0</v>
      </c>
      <c r="C13" s="611"/>
      <c r="D13" s="915" t="s">
        <v>483</v>
      </c>
      <c r="E13" s="607" t="s">
        <v>967</v>
      </c>
      <c r="F13" s="166" t="s">
        <v>102</v>
      </c>
      <c r="G13" s="649">
        <f>IFERROR('PIM Ranges'!AL15,0)</f>
        <v>0</v>
      </c>
      <c r="H13" s="650">
        <f>IFERROR('PIM Ranges'!AM15,0)</f>
        <v>0</v>
      </c>
      <c r="I13" s="651">
        <f>IFERROR('PIM Ranges'!AN15,0)</f>
        <v>0</v>
      </c>
      <c r="J13" s="394">
        <f t="shared" si="0"/>
        <v>0</v>
      </c>
      <c r="K13" s="810"/>
      <c r="L13" s="697" t="str">
        <f t="shared" si="1"/>
        <v/>
      </c>
      <c r="M13" s="808">
        <f>'Multi-Customer'!AE17</f>
        <v>0</v>
      </c>
      <c r="N13" s="163"/>
      <c r="O13" s="812" t="e">
        <f>'Multi-Customer'!$I17</f>
        <v>#DIV/0!</v>
      </c>
      <c r="P13" s="812" t="e">
        <f>'Multi-Customer'!$J17</f>
        <v>#DIV/0!</v>
      </c>
      <c r="Q13" s="812" t="e">
        <f>'Multi-Customer'!$K17</f>
        <v>#DIV/0!</v>
      </c>
      <c r="R13" s="505"/>
      <c r="S13" s="812"/>
      <c r="T13" s="812"/>
      <c r="U13" s="812"/>
      <c r="V13" s="141"/>
      <c r="W13" s="164" t="e">
        <f>'Multi-Customer'!AU17</f>
        <v>#DIV/0!</v>
      </c>
      <c r="X13" s="141"/>
      <c r="Y13" s="141"/>
      <c r="Z13" s="141"/>
      <c r="AA13" s="141"/>
      <c r="AB13" s="367" t="str">
        <f t="shared" si="2"/>
        <v/>
      </c>
      <c r="AC13" s="165">
        <f t="shared" si="3"/>
        <v>0</v>
      </c>
      <c r="AD13" s="141" t="str">
        <f t="shared" si="4"/>
        <v/>
      </c>
      <c r="AE13" s="141"/>
      <c r="AF13" s="141" t="str">
        <f t="shared" si="5"/>
        <v/>
      </c>
      <c r="AG13" s="141" t="str">
        <f t="shared" si="6"/>
        <v/>
      </c>
      <c r="AH13" s="141" t="str">
        <f t="shared" si="7"/>
        <v/>
      </c>
      <c r="AI13" s="141"/>
      <c r="AJ13" s="141"/>
      <c r="AK13" s="141"/>
      <c r="AL13" s="141"/>
      <c r="AM13" s="141"/>
    </row>
    <row r="14" spans="1:39" ht="17.25" x14ac:dyDescent="0.25">
      <c r="A14" s="141"/>
      <c r="B14" s="606">
        <v>0</v>
      </c>
      <c r="C14" s="611"/>
      <c r="D14" s="915" t="s">
        <v>483</v>
      </c>
      <c r="E14" s="607" t="s">
        <v>967</v>
      </c>
      <c r="F14" s="166" t="s">
        <v>100</v>
      </c>
      <c r="G14" s="649">
        <f>IFERROR('PIM Ranges'!AL16,0)</f>
        <v>0</v>
      </c>
      <c r="H14" s="650">
        <f>IFERROR('PIM Ranges'!AM16,0)</f>
        <v>0</v>
      </c>
      <c r="I14" s="651">
        <f>IFERROR('PIM Ranges'!AN16,0)</f>
        <v>0</v>
      </c>
      <c r="J14" s="394">
        <f t="shared" si="0"/>
        <v>0</v>
      </c>
      <c r="K14" s="810"/>
      <c r="L14" s="697" t="str">
        <f t="shared" si="1"/>
        <v/>
      </c>
      <c r="M14" s="808">
        <f>'Multi-Customer'!AE18</f>
        <v>0</v>
      </c>
      <c r="N14" s="163"/>
      <c r="O14" s="812" t="e">
        <f>'Multi-Customer'!$I18</f>
        <v>#DIV/0!</v>
      </c>
      <c r="P14" s="812" t="e">
        <f>'Multi-Customer'!$J18</f>
        <v>#DIV/0!</v>
      </c>
      <c r="Q14" s="812" t="e">
        <f>'Multi-Customer'!$K18</f>
        <v>#DIV/0!</v>
      </c>
      <c r="R14" s="505"/>
      <c r="S14" s="812"/>
      <c r="T14" s="812"/>
      <c r="U14" s="812"/>
      <c r="V14" s="141"/>
      <c r="W14" s="164" t="e">
        <f>'Multi-Customer'!AU18</f>
        <v>#DIV/0!</v>
      </c>
      <c r="X14" s="141"/>
      <c r="Y14" s="141"/>
      <c r="Z14" s="141"/>
      <c r="AA14" s="141"/>
      <c r="AB14" s="367" t="str">
        <f t="shared" si="2"/>
        <v/>
      </c>
      <c r="AC14" s="165">
        <f t="shared" si="3"/>
        <v>0</v>
      </c>
      <c r="AD14" s="141" t="str">
        <f t="shared" si="4"/>
        <v/>
      </c>
      <c r="AE14" s="141"/>
      <c r="AF14" s="141" t="str">
        <f t="shared" si="5"/>
        <v/>
      </c>
      <c r="AG14" s="141" t="str">
        <f t="shared" si="6"/>
        <v/>
      </c>
      <c r="AH14" s="141" t="str">
        <f t="shared" si="7"/>
        <v/>
      </c>
      <c r="AI14" s="141"/>
      <c r="AJ14" s="141"/>
      <c r="AK14" s="141"/>
      <c r="AL14" s="141"/>
      <c r="AM14" s="141"/>
    </row>
    <row r="15" spans="1:39" ht="17.25" x14ac:dyDescent="0.25">
      <c r="A15" s="141"/>
      <c r="B15" s="606">
        <v>0</v>
      </c>
      <c r="C15" s="611"/>
      <c r="D15" s="915" t="s">
        <v>483</v>
      </c>
      <c r="E15" s="607" t="s">
        <v>967</v>
      </c>
      <c r="F15" s="166" t="s">
        <v>104</v>
      </c>
      <c r="G15" s="649">
        <f>IFERROR('PIM Ranges'!AL17,0)</f>
        <v>0</v>
      </c>
      <c r="H15" s="650">
        <f>IFERROR('PIM Ranges'!AM17,0)</f>
        <v>0</v>
      </c>
      <c r="I15" s="651">
        <f>IFERROR('PIM Ranges'!AN17,0)</f>
        <v>0</v>
      </c>
      <c r="J15" s="394">
        <f t="shared" si="0"/>
        <v>0</v>
      </c>
      <c r="K15" s="810"/>
      <c r="L15" s="697" t="str">
        <f t="shared" si="1"/>
        <v/>
      </c>
      <c r="M15" s="808">
        <f>'Multi-Customer'!AE19</f>
        <v>0</v>
      </c>
      <c r="N15" s="163"/>
      <c r="O15" s="812" t="e">
        <f>'Multi-Customer'!$I19</f>
        <v>#DIV/0!</v>
      </c>
      <c r="P15" s="812" t="e">
        <f>'Multi-Customer'!$J19</f>
        <v>#DIV/0!</v>
      </c>
      <c r="Q15" s="812" t="e">
        <f>'Multi-Customer'!$K19</f>
        <v>#DIV/0!</v>
      </c>
      <c r="R15" s="505"/>
      <c r="S15" s="812"/>
      <c r="T15" s="812"/>
      <c r="U15" s="812"/>
      <c r="V15" s="141"/>
      <c r="W15" s="164" t="e">
        <f>'Multi-Customer'!AU19</f>
        <v>#DIV/0!</v>
      </c>
      <c r="X15" s="141"/>
      <c r="Y15" s="141"/>
      <c r="Z15" s="141"/>
      <c r="AA15" s="141"/>
      <c r="AB15" s="367" t="str">
        <f t="shared" si="2"/>
        <v/>
      </c>
      <c r="AC15" s="165">
        <f t="shared" si="3"/>
        <v>0</v>
      </c>
      <c r="AD15" s="141" t="str">
        <f t="shared" si="4"/>
        <v/>
      </c>
      <c r="AE15" s="141"/>
      <c r="AF15" s="141" t="str">
        <f t="shared" si="5"/>
        <v/>
      </c>
      <c r="AG15" s="141" t="str">
        <f t="shared" si="6"/>
        <v/>
      </c>
      <c r="AH15" s="141" t="str">
        <f t="shared" si="7"/>
        <v/>
      </c>
      <c r="AI15" s="141"/>
      <c r="AJ15" s="141"/>
      <c r="AK15" s="141"/>
      <c r="AL15" s="141"/>
      <c r="AM15" s="141"/>
    </row>
    <row r="16" spans="1:39" ht="17.25" x14ac:dyDescent="0.25">
      <c r="A16" s="141"/>
      <c r="B16" s="606">
        <v>0</v>
      </c>
      <c r="C16" s="611"/>
      <c r="D16" s="915" t="s">
        <v>483</v>
      </c>
      <c r="E16" s="607" t="s">
        <v>967</v>
      </c>
      <c r="F16" s="166" t="s">
        <v>98</v>
      </c>
      <c r="G16" s="649">
        <f>IFERROR('PIM Ranges'!AL18,0)</f>
        <v>0</v>
      </c>
      <c r="H16" s="650">
        <f>IFERROR('PIM Ranges'!AM18,0)</f>
        <v>0</v>
      </c>
      <c r="I16" s="651">
        <f>IFERROR('PIM Ranges'!AN18,0)</f>
        <v>0</v>
      </c>
      <c r="J16" s="394">
        <f t="shared" si="0"/>
        <v>0</v>
      </c>
      <c r="K16" s="810"/>
      <c r="L16" s="697" t="str">
        <f t="shared" si="1"/>
        <v/>
      </c>
      <c r="M16" s="808">
        <f>'Multi-Customer'!AE20</f>
        <v>0</v>
      </c>
      <c r="N16" s="163"/>
      <c r="O16" s="812" t="e">
        <f>'Multi-Customer'!$I20</f>
        <v>#DIV/0!</v>
      </c>
      <c r="P16" s="812" t="e">
        <f>'Multi-Customer'!$J20</f>
        <v>#DIV/0!</v>
      </c>
      <c r="Q16" s="812" t="e">
        <f>'Multi-Customer'!$K20</f>
        <v>#DIV/0!</v>
      </c>
      <c r="R16" s="505"/>
      <c r="S16" s="812"/>
      <c r="T16" s="812"/>
      <c r="U16" s="812"/>
      <c r="V16" s="141"/>
      <c r="W16" s="164" t="e">
        <f>'Multi-Customer'!AU20</f>
        <v>#DIV/0!</v>
      </c>
      <c r="X16" s="141"/>
      <c r="Y16" s="141"/>
      <c r="Z16" s="141"/>
      <c r="AA16" s="141"/>
      <c r="AB16" s="367" t="str">
        <f t="shared" si="2"/>
        <v/>
      </c>
      <c r="AC16" s="165">
        <f t="shared" si="3"/>
        <v>0</v>
      </c>
      <c r="AD16" s="141" t="str">
        <f t="shared" si="4"/>
        <v/>
      </c>
      <c r="AE16" s="141"/>
      <c r="AF16" s="141" t="str">
        <f t="shared" si="5"/>
        <v/>
      </c>
      <c r="AG16" s="141" t="str">
        <f t="shared" si="6"/>
        <v/>
      </c>
      <c r="AH16" s="141" t="str">
        <f t="shared" si="7"/>
        <v/>
      </c>
      <c r="AI16" s="141"/>
      <c r="AJ16" s="141"/>
      <c r="AK16" s="141"/>
      <c r="AL16" s="141"/>
      <c r="AM16" s="141"/>
    </row>
    <row r="17" spans="1:39" ht="17.25" x14ac:dyDescent="0.25">
      <c r="A17" s="141"/>
      <c r="B17" s="606">
        <v>0</v>
      </c>
      <c r="C17" s="611"/>
      <c r="D17" s="915" t="s">
        <v>483</v>
      </c>
      <c r="E17" s="607" t="s">
        <v>967</v>
      </c>
      <c r="F17" s="166" t="s">
        <v>95</v>
      </c>
      <c r="G17" s="649">
        <f>IFERROR('PIM Ranges'!AL19,0)</f>
        <v>0</v>
      </c>
      <c r="H17" s="650">
        <f>IFERROR('PIM Ranges'!AM19,0)</f>
        <v>0</v>
      </c>
      <c r="I17" s="651">
        <f>IFERROR('PIM Ranges'!AN19,0)</f>
        <v>0</v>
      </c>
      <c r="J17" s="394">
        <f t="shared" si="0"/>
        <v>0</v>
      </c>
      <c r="K17" s="810"/>
      <c r="L17" s="697" t="str">
        <f t="shared" si="1"/>
        <v/>
      </c>
      <c r="M17" s="808">
        <f>'Multi-Customer'!AE21</f>
        <v>0</v>
      </c>
      <c r="N17" s="163"/>
      <c r="O17" s="812" t="e">
        <f>'Multi-Customer'!$I21</f>
        <v>#DIV/0!</v>
      </c>
      <c r="P17" s="812" t="e">
        <f>'Multi-Customer'!$J21</f>
        <v>#DIV/0!</v>
      </c>
      <c r="Q17" s="812" t="e">
        <f>'Multi-Customer'!$K21</f>
        <v>#DIV/0!</v>
      </c>
      <c r="R17" s="505"/>
      <c r="S17" s="812"/>
      <c r="T17" s="812"/>
      <c r="U17" s="812"/>
      <c r="V17" s="141"/>
      <c r="W17" s="164" t="e">
        <f>'Multi-Customer'!AU21</f>
        <v>#DIV/0!</v>
      </c>
      <c r="X17" s="141"/>
      <c r="Y17" s="141"/>
      <c r="Z17" s="141"/>
      <c r="AA17" s="141"/>
      <c r="AB17" s="367" t="str">
        <f t="shared" si="2"/>
        <v/>
      </c>
      <c r="AC17" s="165">
        <f t="shared" si="3"/>
        <v>0</v>
      </c>
      <c r="AD17" s="141" t="str">
        <f t="shared" si="4"/>
        <v/>
      </c>
      <c r="AE17" s="141"/>
      <c r="AF17" s="141" t="str">
        <f t="shared" si="5"/>
        <v/>
      </c>
      <c r="AG17" s="141" t="str">
        <f t="shared" si="6"/>
        <v/>
      </c>
      <c r="AH17" s="141" t="str">
        <f t="shared" si="7"/>
        <v/>
      </c>
      <c r="AI17" s="141"/>
      <c r="AJ17" s="141"/>
      <c r="AK17" s="141"/>
      <c r="AL17" s="141"/>
      <c r="AM17" s="141"/>
    </row>
    <row r="18" spans="1:39" ht="17.25" x14ac:dyDescent="0.25">
      <c r="A18" s="141"/>
      <c r="B18" s="606">
        <v>0</v>
      </c>
      <c r="C18" s="611"/>
      <c r="D18" s="915" t="s">
        <v>483</v>
      </c>
      <c r="E18" s="607" t="s">
        <v>967</v>
      </c>
      <c r="F18" s="166" t="s">
        <v>96</v>
      </c>
      <c r="G18" s="649">
        <f>IFERROR('PIM Ranges'!AL20,0)</f>
        <v>0</v>
      </c>
      <c r="H18" s="650">
        <f>IFERROR('PIM Ranges'!AM20,0)</f>
        <v>0</v>
      </c>
      <c r="I18" s="651">
        <f>IFERROR('PIM Ranges'!AN20,0)</f>
        <v>0</v>
      </c>
      <c r="J18" s="394">
        <f t="shared" si="0"/>
        <v>0</v>
      </c>
      <c r="K18" s="810"/>
      <c r="L18" s="697" t="str">
        <f t="shared" si="1"/>
        <v/>
      </c>
      <c r="M18" s="808">
        <f>'Multi-Customer'!AE22</f>
        <v>0</v>
      </c>
      <c r="N18" s="163"/>
      <c r="O18" s="812" t="e">
        <f>'Multi-Customer'!$I22</f>
        <v>#DIV/0!</v>
      </c>
      <c r="P18" s="812" t="e">
        <f>'Multi-Customer'!$J22</f>
        <v>#DIV/0!</v>
      </c>
      <c r="Q18" s="812" t="e">
        <f>'Multi-Customer'!$K22</f>
        <v>#DIV/0!</v>
      </c>
      <c r="R18" s="505"/>
      <c r="S18" s="812"/>
      <c r="T18" s="812"/>
      <c r="U18" s="812"/>
      <c r="V18" s="141"/>
      <c r="W18" s="164" t="e">
        <f>'Multi-Customer'!AU22</f>
        <v>#DIV/0!</v>
      </c>
      <c r="X18" s="141"/>
      <c r="Y18" s="141"/>
      <c r="Z18" s="141"/>
      <c r="AA18" s="141"/>
      <c r="AB18" s="367" t="str">
        <f t="shared" si="2"/>
        <v/>
      </c>
      <c r="AC18" s="165">
        <f t="shared" si="3"/>
        <v>0</v>
      </c>
      <c r="AD18" s="141" t="str">
        <f t="shared" si="4"/>
        <v/>
      </c>
      <c r="AE18" s="141"/>
      <c r="AF18" s="141" t="str">
        <f t="shared" si="5"/>
        <v/>
      </c>
      <c r="AG18" s="141" t="str">
        <f t="shared" si="6"/>
        <v/>
      </c>
      <c r="AH18" s="141" t="str">
        <f t="shared" si="7"/>
        <v/>
      </c>
      <c r="AI18" s="141"/>
      <c r="AJ18" s="141"/>
      <c r="AK18" s="141"/>
      <c r="AL18" s="141"/>
      <c r="AM18" s="141"/>
    </row>
    <row r="19" spans="1:39" ht="17.25" x14ac:dyDescent="0.25">
      <c r="A19" s="141"/>
      <c r="B19" s="606">
        <v>0</v>
      </c>
      <c r="C19" s="611"/>
      <c r="D19" s="915" t="s">
        <v>483</v>
      </c>
      <c r="E19" s="607" t="s">
        <v>967</v>
      </c>
      <c r="F19" s="166" t="s">
        <v>101</v>
      </c>
      <c r="G19" s="649">
        <f>IFERROR('PIM Ranges'!AL21,0)</f>
        <v>0</v>
      </c>
      <c r="H19" s="650">
        <f>IFERROR('PIM Ranges'!AM21,0)</f>
        <v>0</v>
      </c>
      <c r="I19" s="651">
        <f>IFERROR('PIM Ranges'!AN21,0)</f>
        <v>0</v>
      </c>
      <c r="J19" s="394">
        <f t="shared" si="0"/>
        <v>0</v>
      </c>
      <c r="K19" s="810"/>
      <c r="L19" s="697" t="str">
        <f t="shared" si="1"/>
        <v/>
      </c>
      <c r="M19" s="808">
        <f>'Multi-Customer'!AE23</f>
        <v>0</v>
      </c>
      <c r="N19" s="163"/>
      <c r="O19" s="812" t="e">
        <f>'Multi-Customer'!$I23</f>
        <v>#DIV/0!</v>
      </c>
      <c r="P19" s="812" t="e">
        <f>'Multi-Customer'!$J23</f>
        <v>#DIV/0!</v>
      </c>
      <c r="Q19" s="812" t="e">
        <f>'Multi-Customer'!$K23</f>
        <v>#DIV/0!</v>
      </c>
      <c r="R19" s="505"/>
      <c r="S19" s="812"/>
      <c r="T19" s="812"/>
      <c r="U19" s="812"/>
      <c r="V19" s="141"/>
      <c r="W19" s="164" t="e">
        <f>'Multi-Customer'!AU23</f>
        <v>#DIV/0!</v>
      </c>
      <c r="X19" s="141"/>
      <c r="Y19" s="141"/>
      <c r="Z19" s="141"/>
      <c r="AA19" s="141"/>
      <c r="AB19" s="367" t="str">
        <f t="shared" si="2"/>
        <v/>
      </c>
      <c r="AC19" s="165">
        <f t="shared" si="3"/>
        <v>0</v>
      </c>
      <c r="AD19" s="141" t="str">
        <f t="shared" si="4"/>
        <v/>
      </c>
      <c r="AE19" s="141"/>
      <c r="AF19" s="141" t="str">
        <f t="shared" si="5"/>
        <v/>
      </c>
      <c r="AG19" s="141" t="str">
        <f t="shared" si="6"/>
        <v/>
      </c>
      <c r="AH19" s="141" t="str">
        <f t="shared" si="7"/>
        <v/>
      </c>
      <c r="AI19" s="141"/>
      <c r="AJ19" s="141"/>
      <c r="AK19" s="141"/>
      <c r="AL19" s="141"/>
      <c r="AM19" s="141"/>
    </row>
    <row r="20" spans="1:39" ht="17.25" x14ac:dyDescent="0.25">
      <c r="A20" s="141"/>
      <c r="B20" s="606">
        <v>0</v>
      </c>
      <c r="C20" s="611"/>
      <c r="D20" s="915" t="s">
        <v>483</v>
      </c>
      <c r="E20" s="607" t="s">
        <v>967</v>
      </c>
      <c r="F20" s="166" t="s">
        <v>97</v>
      </c>
      <c r="G20" s="649">
        <f>IFERROR('PIM Ranges'!AL22,0)</f>
        <v>0</v>
      </c>
      <c r="H20" s="650">
        <f>IFERROR('PIM Ranges'!AM22,0)</f>
        <v>0</v>
      </c>
      <c r="I20" s="651">
        <f>IFERROR('PIM Ranges'!AN22,0)</f>
        <v>0</v>
      </c>
      <c r="J20" s="394">
        <f t="shared" si="0"/>
        <v>0</v>
      </c>
      <c r="K20" s="810"/>
      <c r="L20" s="697" t="str">
        <f t="shared" si="1"/>
        <v/>
      </c>
      <c r="M20" s="808">
        <f>'Multi-Customer'!AE24</f>
        <v>0</v>
      </c>
      <c r="N20" s="163"/>
      <c r="O20" s="812" t="e">
        <f>'Multi-Customer'!$I24</f>
        <v>#DIV/0!</v>
      </c>
      <c r="P20" s="812" t="e">
        <f>'Multi-Customer'!$J24</f>
        <v>#DIV/0!</v>
      </c>
      <c r="Q20" s="812" t="e">
        <f>'Multi-Customer'!$K24</f>
        <v>#DIV/0!</v>
      </c>
      <c r="R20" s="505"/>
      <c r="S20" s="812"/>
      <c r="T20" s="812"/>
      <c r="U20" s="812"/>
      <c r="V20" s="141"/>
      <c r="W20" s="164" t="e">
        <f>'Multi-Customer'!AU24</f>
        <v>#DIV/0!</v>
      </c>
      <c r="X20" s="141"/>
      <c r="Y20" s="141"/>
      <c r="Z20" s="141"/>
      <c r="AA20" s="141"/>
      <c r="AB20" s="367" t="str">
        <f t="shared" si="2"/>
        <v/>
      </c>
      <c r="AC20" s="165">
        <f t="shared" si="3"/>
        <v>0</v>
      </c>
      <c r="AD20" s="141" t="str">
        <f t="shared" si="4"/>
        <v/>
      </c>
      <c r="AE20" s="141"/>
      <c r="AF20" s="141" t="str">
        <f t="shared" si="5"/>
        <v/>
      </c>
      <c r="AG20" s="141" t="str">
        <f t="shared" si="6"/>
        <v/>
      </c>
      <c r="AH20" s="141" t="str">
        <f t="shared" si="7"/>
        <v/>
      </c>
      <c r="AI20" s="141"/>
      <c r="AJ20" s="141"/>
      <c r="AK20" s="141"/>
      <c r="AL20" s="141"/>
      <c r="AM20" s="141"/>
    </row>
    <row r="21" spans="1:39" ht="17.25" x14ac:dyDescent="0.25">
      <c r="A21" s="141"/>
      <c r="B21" s="606">
        <v>0</v>
      </c>
      <c r="C21" s="611"/>
      <c r="D21" s="915" t="s">
        <v>483</v>
      </c>
      <c r="E21" s="607" t="s">
        <v>967</v>
      </c>
      <c r="F21" s="166" t="s">
        <v>93</v>
      </c>
      <c r="G21" s="649">
        <f>IFERROR('PIM Ranges'!AL23,0)</f>
        <v>0</v>
      </c>
      <c r="H21" s="650">
        <f>IFERROR('PIM Ranges'!AM23,0)</f>
        <v>0</v>
      </c>
      <c r="I21" s="651">
        <f>IFERROR('PIM Ranges'!AN23,0)</f>
        <v>0</v>
      </c>
      <c r="J21" s="394">
        <f t="shared" si="0"/>
        <v>0</v>
      </c>
      <c r="K21" s="810"/>
      <c r="L21" s="697" t="str">
        <f t="shared" si="1"/>
        <v/>
      </c>
      <c r="M21" s="808">
        <f>'Multi-Customer'!AE25</f>
        <v>0</v>
      </c>
      <c r="N21" s="163"/>
      <c r="O21" s="812" t="e">
        <f>'Multi-Customer'!$I25</f>
        <v>#DIV/0!</v>
      </c>
      <c r="P21" s="812" t="e">
        <f>'Multi-Customer'!$J25</f>
        <v>#DIV/0!</v>
      </c>
      <c r="Q21" s="812" t="e">
        <f>'Multi-Customer'!$K25</f>
        <v>#DIV/0!</v>
      </c>
      <c r="R21" s="505"/>
      <c r="S21" s="812"/>
      <c r="T21" s="812"/>
      <c r="U21" s="812"/>
      <c r="V21" s="141"/>
      <c r="W21" s="164" t="e">
        <f>'Multi-Customer'!AU25</f>
        <v>#DIV/0!</v>
      </c>
      <c r="X21" s="141"/>
      <c r="Y21" s="141"/>
      <c r="Z21" s="141"/>
      <c r="AA21" s="141"/>
      <c r="AB21" s="367" t="str">
        <f t="shared" si="2"/>
        <v/>
      </c>
      <c r="AC21" s="165">
        <f t="shared" si="3"/>
        <v>0</v>
      </c>
      <c r="AD21" s="141" t="str">
        <f t="shared" si="4"/>
        <v/>
      </c>
      <c r="AE21" s="141"/>
      <c r="AF21" s="141" t="str">
        <f t="shared" si="5"/>
        <v/>
      </c>
      <c r="AG21" s="141" t="str">
        <f t="shared" si="6"/>
        <v/>
      </c>
      <c r="AH21" s="141" t="str">
        <f t="shared" si="7"/>
        <v/>
      </c>
      <c r="AI21" s="141"/>
      <c r="AJ21" s="141"/>
      <c r="AK21" s="141"/>
      <c r="AL21" s="141"/>
      <c r="AM21" s="141"/>
    </row>
    <row r="22" spans="1:39" ht="17.25" x14ac:dyDescent="0.25">
      <c r="A22" s="141"/>
      <c r="B22" s="606">
        <v>0</v>
      </c>
      <c r="C22" s="611"/>
      <c r="D22" s="739" t="s">
        <v>483</v>
      </c>
      <c r="E22" s="607" t="s">
        <v>967</v>
      </c>
      <c r="F22" s="166" t="s">
        <v>105</v>
      </c>
      <c r="G22" s="649">
        <f>IFERROR('PIM Ranges'!AL24,0)</f>
        <v>0</v>
      </c>
      <c r="H22" s="650">
        <f>IFERROR('PIM Ranges'!AM24,0)</f>
        <v>0</v>
      </c>
      <c r="I22" s="651">
        <f>IFERROR('PIM Ranges'!AN24,0)</f>
        <v>0</v>
      </c>
      <c r="J22" s="394">
        <f t="shared" si="0"/>
        <v>0</v>
      </c>
      <c r="K22" s="810"/>
      <c r="L22" s="697" t="str">
        <f t="shared" si="1"/>
        <v/>
      </c>
      <c r="M22" s="808">
        <f>'Multi-Customer'!AE26</f>
        <v>0</v>
      </c>
      <c r="N22" s="163"/>
      <c r="O22" s="812" t="e">
        <f>'Multi-Customer'!$I26</f>
        <v>#DIV/0!</v>
      </c>
      <c r="P22" s="812" t="e">
        <f>'Multi-Customer'!$J26</f>
        <v>#DIV/0!</v>
      </c>
      <c r="Q22" s="812" t="e">
        <f>'Multi-Customer'!$K26</f>
        <v>#DIV/0!</v>
      </c>
      <c r="R22" s="505"/>
      <c r="S22" s="1078" t="e">
        <f>'Multi-Customer'!$I26*'PIM Ranges'!$AP24</f>
        <v>#DIV/0!</v>
      </c>
      <c r="T22" s="1078" t="e">
        <f>'Multi-Customer'!$J26*'PIM Ranges'!$AP24</f>
        <v>#DIV/0!</v>
      </c>
      <c r="U22" s="1078" t="e">
        <f>'Multi-Customer'!$K26*'PIM Ranges'!$AP24</f>
        <v>#DIV/0!</v>
      </c>
      <c r="V22" s="141"/>
      <c r="W22" s="164" t="e">
        <f>'Multi-Customer'!AU26</f>
        <v>#DIV/0!</v>
      </c>
      <c r="X22" s="141"/>
      <c r="Y22" s="141"/>
      <c r="Z22" s="141"/>
      <c r="AA22" s="141"/>
      <c r="AB22" s="367" t="str">
        <f t="shared" si="2"/>
        <v/>
      </c>
      <c r="AC22" s="165">
        <f t="shared" si="3"/>
        <v>0</v>
      </c>
      <c r="AD22" s="141" t="str">
        <f t="shared" si="4"/>
        <v/>
      </c>
      <c r="AE22" s="141"/>
      <c r="AF22" s="141" t="str">
        <f t="shared" si="5"/>
        <v/>
      </c>
      <c r="AG22" s="141" t="str">
        <f t="shared" si="6"/>
        <v/>
      </c>
      <c r="AH22" s="141" t="str">
        <f t="shared" si="7"/>
        <v/>
      </c>
      <c r="AI22" s="141"/>
      <c r="AJ22" s="141"/>
      <c r="AK22" s="141"/>
      <c r="AL22" s="141"/>
      <c r="AM22" s="141"/>
    </row>
    <row r="23" spans="1:39" ht="17.25" x14ac:dyDescent="0.25">
      <c r="A23" s="141"/>
      <c r="B23" s="606">
        <v>0</v>
      </c>
      <c r="C23" s="611"/>
      <c r="D23" s="915" t="s">
        <v>483</v>
      </c>
      <c r="E23" s="607" t="s">
        <v>967</v>
      </c>
      <c r="F23" s="166" t="s">
        <v>92</v>
      </c>
      <c r="G23" s="649">
        <f>IFERROR('PIM Ranges'!AL25,0)</f>
        <v>0</v>
      </c>
      <c r="H23" s="650">
        <f>IFERROR('PIM Ranges'!AM25,0)</f>
        <v>0</v>
      </c>
      <c r="I23" s="651">
        <f>IFERROR('PIM Ranges'!AN25,0)</f>
        <v>0</v>
      </c>
      <c r="J23" s="394">
        <f t="shared" si="0"/>
        <v>0</v>
      </c>
      <c r="K23" s="810"/>
      <c r="L23" s="697" t="str">
        <f t="shared" si="1"/>
        <v/>
      </c>
      <c r="M23" s="808">
        <f>'Multi-Customer'!AE27</f>
        <v>0</v>
      </c>
      <c r="N23" s="163"/>
      <c r="O23" s="812" t="e">
        <f>'Multi-Customer'!$I27</f>
        <v>#DIV/0!</v>
      </c>
      <c r="P23" s="812" t="e">
        <f>'Multi-Customer'!$J27</f>
        <v>#DIV/0!</v>
      </c>
      <c r="Q23" s="812" t="e">
        <f>'Multi-Customer'!$K27</f>
        <v>#DIV/0!</v>
      </c>
      <c r="R23" s="505"/>
      <c r="S23" s="812"/>
      <c r="T23" s="812"/>
      <c r="U23" s="812"/>
      <c r="V23" s="141"/>
      <c r="W23" s="164" t="e">
        <f>'Multi-Customer'!AU27</f>
        <v>#DIV/0!</v>
      </c>
      <c r="X23" s="141"/>
      <c r="Y23" s="141"/>
      <c r="Z23" s="141"/>
      <c r="AA23" s="141"/>
      <c r="AB23" s="367" t="str">
        <f t="shared" si="2"/>
        <v/>
      </c>
      <c r="AC23" s="165">
        <f t="shared" si="3"/>
        <v>0</v>
      </c>
      <c r="AD23" s="141" t="str">
        <f t="shared" si="4"/>
        <v/>
      </c>
      <c r="AE23" s="141"/>
      <c r="AF23" s="141" t="str">
        <f t="shared" si="5"/>
        <v/>
      </c>
      <c r="AG23" s="141" t="str">
        <f t="shared" si="6"/>
        <v/>
      </c>
      <c r="AH23" s="141" t="str">
        <f t="shared" si="7"/>
        <v/>
      </c>
      <c r="AI23" s="141"/>
      <c r="AJ23" s="141"/>
      <c r="AK23" s="141"/>
      <c r="AL23" s="141"/>
      <c r="AM23" s="141"/>
    </row>
    <row r="24" spans="1:39" ht="17.25" x14ac:dyDescent="0.25">
      <c r="A24" s="141"/>
      <c r="B24" s="606">
        <v>0</v>
      </c>
      <c r="C24" s="611"/>
      <c r="D24" s="739" t="s">
        <v>483</v>
      </c>
      <c r="E24" s="607" t="s">
        <v>967</v>
      </c>
      <c r="F24" s="166" t="s">
        <v>91</v>
      </c>
      <c r="G24" s="649">
        <f>IFERROR('PIM Ranges'!AL26,0)</f>
        <v>0</v>
      </c>
      <c r="H24" s="650">
        <f>IFERROR('PIM Ranges'!AM26,0)</f>
        <v>0</v>
      </c>
      <c r="I24" s="651">
        <f>IFERROR('PIM Ranges'!AN26,0)</f>
        <v>0</v>
      </c>
      <c r="J24" s="394">
        <f t="shared" si="0"/>
        <v>0</v>
      </c>
      <c r="K24" s="810"/>
      <c r="L24" s="697" t="str">
        <f t="shared" si="1"/>
        <v/>
      </c>
      <c r="M24" s="808">
        <f>'Multi-Customer'!AE28</f>
        <v>0</v>
      </c>
      <c r="N24" s="163"/>
      <c r="O24" s="812" t="e">
        <f>'Multi-Customer'!$I28</f>
        <v>#DIV/0!</v>
      </c>
      <c r="P24" s="812" t="e">
        <f>'Multi-Customer'!$J28</f>
        <v>#DIV/0!</v>
      </c>
      <c r="Q24" s="812" t="e">
        <f>'Multi-Customer'!$K28</f>
        <v>#DIV/0!</v>
      </c>
      <c r="R24" s="505"/>
      <c r="S24" s="1078" t="e">
        <f>'Multi-Customer'!$I28*'PIM Ranges'!$AP26</f>
        <v>#DIV/0!</v>
      </c>
      <c r="T24" s="1078" t="e">
        <f>'Multi-Customer'!$J28*'PIM Ranges'!$AP26</f>
        <v>#DIV/0!</v>
      </c>
      <c r="U24" s="1078" t="e">
        <f>'Multi-Customer'!$K28*'PIM Ranges'!$AP26</f>
        <v>#DIV/0!</v>
      </c>
      <c r="V24" s="141"/>
      <c r="W24" s="164" t="e">
        <f>'Multi-Customer'!AU28</f>
        <v>#DIV/0!</v>
      </c>
      <c r="X24" s="141"/>
      <c r="Y24" s="141"/>
      <c r="Z24" s="141"/>
      <c r="AA24" s="141"/>
      <c r="AB24" s="367" t="str">
        <f t="shared" si="2"/>
        <v/>
      </c>
      <c r="AC24" s="165">
        <f t="shared" si="3"/>
        <v>0</v>
      </c>
      <c r="AD24" s="141" t="str">
        <f t="shared" si="4"/>
        <v/>
      </c>
      <c r="AE24" s="141"/>
      <c r="AF24" s="141" t="str">
        <f t="shared" si="5"/>
        <v/>
      </c>
      <c r="AG24" s="141" t="str">
        <f t="shared" si="6"/>
        <v/>
      </c>
      <c r="AH24" s="141" t="str">
        <f t="shared" si="7"/>
        <v/>
      </c>
      <c r="AI24" s="141"/>
      <c r="AJ24" s="141"/>
      <c r="AK24" s="141"/>
      <c r="AL24" s="141"/>
      <c r="AM24" s="141"/>
    </row>
    <row r="25" spans="1:39" ht="17.25" x14ac:dyDescent="0.25">
      <c r="A25" s="141"/>
      <c r="B25" s="606">
        <v>0</v>
      </c>
      <c r="C25" s="611"/>
      <c r="D25" s="739" t="s">
        <v>483</v>
      </c>
      <c r="E25" s="607" t="s">
        <v>967</v>
      </c>
      <c r="F25" s="166" t="s">
        <v>90</v>
      </c>
      <c r="G25" s="649">
        <f>IFERROR('PIM Ranges'!AL27,0)</f>
        <v>0</v>
      </c>
      <c r="H25" s="650">
        <f>IFERROR('PIM Ranges'!AM27,0)</f>
        <v>0</v>
      </c>
      <c r="I25" s="651">
        <f>IFERROR('PIM Ranges'!AN27,0)</f>
        <v>0</v>
      </c>
      <c r="J25" s="394">
        <f t="shared" si="0"/>
        <v>0</v>
      </c>
      <c r="K25" s="810"/>
      <c r="L25" s="697" t="str">
        <f t="shared" si="1"/>
        <v/>
      </c>
      <c r="M25" s="808">
        <f>'Multi-Customer'!AE29</f>
        <v>0</v>
      </c>
      <c r="N25" s="163"/>
      <c r="O25" s="812" t="e">
        <f>'Multi-Customer'!$I29</f>
        <v>#DIV/0!</v>
      </c>
      <c r="P25" s="812" t="e">
        <f>'Multi-Customer'!$J29</f>
        <v>#DIV/0!</v>
      </c>
      <c r="Q25" s="812" t="e">
        <f>'Multi-Customer'!$K29</f>
        <v>#DIV/0!</v>
      </c>
      <c r="R25" s="505"/>
      <c r="S25" s="1078" t="e">
        <f>'Multi-Customer'!$I29*'PIM Ranges'!$AP27</f>
        <v>#DIV/0!</v>
      </c>
      <c r="T25" s="1078" t="e">
        <f>'Multi-Customer'!$J29*'PIM Ranges'!$AP27</f>
        <v>#DIV/0!</v>
      </c>
      <c r="U25" s="1078" t="e">
        <f>'Multi-Customer'!$K29*'PIM Ranges'!$AP27</f>
        <v>#DIV/0!</v>
      </c>
      <c r="V25" s="141"/>
      <c r="W25" s="164" t="e">
        <f>'Multi-Customer'!AU29</f>
        <v>#DIV/0!</v>
      </c>
      <c r="X25" s="141"/>
      <c r="Y25" s="141"/>
      <c r="Z25" s="141"/>
      <c r="AA25" s="141"/>
      <c r="AB25" s="367" t="str">
        <f t="shared" si="2"/>
        <v/>
      </c>
      <c r="AC25" s="165">
        <f t="shared" si="3"/>
        <v>0</v>
      </c>
      <c r="AD25" s="141" t="str">
        <f t="shared" si="4"/>
        <v/>
      </c>
      <c r="AE25" s="141"/>
      <c r="AF25" s="141" t="str">
        <f t="shared" si="5"/>
        <v/>
      </c>
      <c r="AG25" s="141" t="str">
        <f t="shared" si="6"/>
        <v/>
      </c>
      <c r="AH25" s="141" t="str">
        <f t="shared" si="7"/>
        <v/>
      </c>
      <c r="AI25" s="141"/>
      <c r="AJ25" s="141"/>
      <c r="AK25" s="141"/>
      <c r="AL25" s="141"/>
      <c r="AM25" s="141"/>
    </row>
    <row r="26" spans="1:39" ht="17.25" x14ac:dyDescent="0.25">
      <c r="A26" s="141"/>
      <c r="B26" s="606">
        <v>0</v>
      </c>
      <c r="C26" s="611"/>
      <c r="D26" s="739" t="s">
        <v>483</v>
      </c>
      <c r="E26" s="607" t="s">
        <v>967</v>
      </c>
      <c r="F26" s="166" t="s">
        <v>89</v>
      </c>
      <c r="G26" s="649">
        <f>IFERROR('PIM Ranges'!AL28,0)</f>
        <v>0</v>
      </c>
      <c r="H26" s="650">
        <f>IFERROR('PIM Ranges'!AM28,0)</f>
        <v>0</v>
      </c>
      <c r="I26" s="651">
        <f>IFERROR('PIM Ranges'!AN28,0)</f>
        <v>0</v>
      </c>
      <c r="J26" s="394">
        <f t="shared" si="0"/>
        <v>0</v>
      </c>
      <c r="K26" s="810"/>
      <c r="L26" s="697" t="str">
        <f t="shared" si="1"/>
        <v/>
      </c>
      <c r="M26" s="808">
        <f>'Multi-Customer'!AE30</f>
        <v>0</v>
      </c>
      <c r="N26" s="163"/>
      <c r="O26" s="812" t="e">
        <f>'Multi-Customer'!$I30</f>
        <v>#DIV/0!</v>
      </c>
      <c r="P26" s="812" t="e">
        <f>'Multi-Customer'!$J30</f>
        <v>#DIV/0!</v>
      </c>
      <c r="Q26" s="812" t="e">
        <f>'Multi-Customer'!$K30</f>
        <v>#DIV/0!</v>
      </c>
      <c r="R26" s="505"/>
      <c r="S26" s="1078" t="e">
        <f>'Multi-Customer'!$I30*'PIM Ranges'!$AP28</f>
        <v>#DIV/0!</v>
      </c>
      <c r="T26" s="1078" t="e">
        <f>'Multi-Customer'!$J30*'PIM Ranges'!$AP28</f>
        <v>#DIV/0!</v>
      </c>
      <c r="U26" s="1078" t="e">
        <f>'Multi-Customer'!$K30*'PIM Ranges'!$AP28</f>
        <v>#DIV/0!</v>
      </c>
      <c r="V26" s="141"/>
      <c r="W26" s="164" t="e">
        <f>'Multi-Customer'!AU30</f>
        <v>#DIV/0!</v>
      </c>
      <c r="X26" s="141"/>
      <c r="Y26" s="141"/>
      <c r="Z26" s="141"/>
      <c r="AA26" s="141"/>
      <c r="AB26" s="367" t="str">
        <f t="shared" si="2"/>
        <v/>
      </c>
      <c r="AC26" s="165">
        <f t="shared" si="3"/>
        <v>0</v>
      </c>
      <c r="AD26" s="141" t="str">
        <f t="shared" si="4"/>
        <v/>
      </c>
      <c r="AE26" s="141"/>
      <c r="AF26" s="141" t="str">
        <f t="shared" si="5"/>
        <v/>
      </c>
      <c r="AG26" s="141" t="str">
        <f t="shared" si="6"/>
        <v/>
      </c>
      <c r="AH26" s="141" t="str">
        <f t="shared" si="7"/>
        <v/>
      </c>
      <c r="AI26" s="141"/>
      <c r="AJ26" s="141"/>
      <c r="AK26" s="141"/>
      <c r="AL26" s="141"/>
      <c r="AM26" s="141"/>
    </row>
    <row r="27" spans="1:39" ht="17.25" x14ac:dyDescent="0.25">
      <c r="A27" s="141"/>
      <c r="B27" s="606">
        <v>0</v>
      </c>
      <c r="C27" s="611"/>
      <c r="D27" s="739" t="s">
        <v>483</v>
      </c>
      <c r="E27" s="607" t="s">
        <v>967</v>
      </c>
      <c r="F27" s="166" t="s">
        <v>94</v>
      </c>
      <c r="G27" s="649">
        <f>IFERROR('PIM Ranges'!AL29,0)</f>
        <v>0</v>
      </c>
      <c r="H27" s="650">
        <f>IFERROR('PIM Ranges'!AM29,0)</f>
        <v>0</v>
      </c>
      <c r="I27" s="651">
        <f>IFERROR('PIM Ranges'!AN29,0)</f>
        <v>0</v>
      </c>
      <c r="J27" s="394">
        <f>IF($E$3="CIA",IF($D27="%",$P27*$G27,$P27*$H27),IF($D27="%",$K27*$G27,$K27*H27))</f>
        <v>0</v>
      </c>
      <c r="K27" s="810"/>
      <c r="L27" s="697" t="str">
        <f>IF(K27&lt;0,"X",IF($E$3="CIA","",IF(K27="","",IF(K27&lt;O27,"L",IF(K27&gt;Q27,"X","")))))</f>
        <v/>
      </c>
      <c r="M27" s="808">
        <f>'Multi-Customer'!AE31</f>
        <v>0</v>
      </c>
      <c r="N27" s="163"/>
      <c r="O27" s="812" t="e">
        <f>'Multi-Customer'!$I31</f>
        <v>#DIV/0!</v>
      </c>
      <c r="P27" s="812" t="e">
        <f>'Multi-Customer'!$J31</f>
        <v>#DIV/0!</v>
      </c>
      <c r="Q27" s="812" t="e">
        <f>'Multi-Customer'!$K31</f>
        <v>#DIV/0!</v>
      </c>
      <c r="R27" s="505"/>
      <c r="S27" s="1078" t="e">
        <f>'Multi-Customer'!$I31*'PIM Ranges'!$AO29</f>
        <v>#DIV/0!</v>
      </c>
      <c r="T27" s="1078" t="e">
        <f>'Multi-Customer'!$J31*'PIM Ranges'!$AO29</f>
        <v>#DIV/0!</v>
      </c>
      <c r="U27" s="1078" t="e">
        <f>'Multi-Customer'!$K31*'PIM Ranges'!$AO29</f>
        <v>#DIV/0!</v>
      </c>
      <c r="V27" s="141"/>
      <c r="W27" s="164" t="e">
        <f>'Multi-Customer'!AU31</f>
        <v>#DIV/0!</v>
      </c>
      <c r="X27" s="141"/>
      <c r="Y27" s="141"/>
      <c r="Z27" s="141"/>
      <c r="AA27" s="141"/>
      <c r="AB27" s="367" t="str">
        <f t="shared" si="2"/>
        <v/>
      </c>
      <c r="AC27" s="165">
        <f t="shared" si="3"/>
        <v>0</v>
      </c>
      <c r="AD27" s="141" t="str">
        <f t="shared" si="4"/>
        <v/>
      </c>
      <c r="AE27" s="141"/>
      <c r="AF27" s="141" t="str">
        <f t="shared" si="5"/>
        <v/>
      </c>
      <c r="AG27" s="141" t="str">
        <f t="shared" si="6"/>
        <v/>
      </c>
      <c r="AH27" s="141" t="str">
        <f t="shared" si="7"/>
        <v/>
      </c>
      <c r="AI27" s="141"/>
      <c r="AJ27" s="141"/>
      <c r="AK27" s="141"/>
      <c r="AL27" s="141"/>
      <c r="AM27" s="141"/>
    </row>
    <row r="28" spans="1:39" ht="17.25" x14ac:dyDescent="0.25">
      <c r="A28" s="141"/>
      <c r="B28" s="606">
        <v>0</v>
      </c>
      <c r="C28" s="611"/>
      <c r="D28" s="915" t="s">
        <v>483</v>
      </c>
      <c r="E28" s="607" t="s">
        <v>967</v>
      </c>
      <c r="F28" s="166" t="s">
        <v>86</v>
      </c>
      <c r="G28" s="649">
        <f>IFERROR('PIM Ranges'!AL30,0)</f>
        <v>0</v>
      </c>
      <c r="H28" s="650">
        <f>IFERROR('PIM Ranges'!AM30,0)</f>
        <v>0</v>
      </c>
      <c r="I28" s="651">
        <f>IFERROR('PIM Ranges'!AN30,0)</f>
        <v>0</v>
      </c>
      <c r="J28" s="394">
        <f>IF($E$3="CIA",IF($D28="%",$P28*$G28,$P28*$I28),IF($D28="%",$K28*$G28,$K28*I28))</f>
        <v>0</v>
      </c>
      <c r="K28" s="810"/>
      <c r="L28" s="697" t="str">
        <f>IF($E$3="CIA","",IF(K28="","",IF(K28&lt;O28,"X",IF(K28&gt;Q28,"X",""))))</f>
        <v/>
      </c>
      <c r="M28" s="808">
        <f>'Multi-Customer'!AE32</f>
        <v>0</v>
      </c>
      <c r="N28" s="163"/>
      <c r="O28" s="812" t="e">
        <f>'Multi-Customer'!$I32</f>
        <v>#DIV/0!</v>
      </c>
      <c r="P28" s="812" t="e">
        <f>'Multi-Customer'!$J32</f>
        <v>#DIV/0!</v>
      </c>
      <c r="Q28" s="812" t="e">
        <f>'Multi-Customer'!$K32</f>
        <v>#DIV/0!</v>
      </c>
      <c r="R28" s="505"/>
      <c r="S28" s="812"/>
      <c r="T28" s="812"/>
      <c r="U28" s="812"/>
      <c r="V28" s="141"/>
      <c r="W28" s="164" t="e">
        <f>'Multi-Customer'!AU32</f>
        <v>#DIV/0!</v>
      </c>
      <c r="X28" s="141"/>
      <c r="Y28" s="141"/>
      <c r="Z28" s="141"/>
      <c r="AA28" s="141"/>
      <c r="AB28" s="367" t="str">
        <f t="shared" si="2"/>
        <v/>
      </c>
      <c r="AC28" s="165">
        <f t="shared" si="3"/>
        <v>0</v>
      </c>
      <c r="AD28" s="141" t="str">
        <f t="shared" si="4"/>
        <v/>
      </c>
      <c r="AE28" s="141"/>
      <c r="AF28" s="141" t="str">
        <f t="shared" si="5"/>
        <v/>
      </c>
      <c r="AG28" s="141" t="str">
        <f t="shared" si="6"/>
        <v/>
      </c>
      <c r="AH28" s="141" t="str">
        <f t="shared" si="7"/>
        <v/>
      </c>
      <c r="AI28" s="141"/>
      <c r="AJ28" s="141"/>
      <c r="AK28" s="141"/>
      <c r="AL28" s="141"/>
      <c r="AM28" s="141"/>
    </row>
    <row r="29" spans="1:39" ht="17.25" x14ac:dyDescent="0.25">
      <c r="A29" s="141"/>
      <c r="B29" s="606">
        <v>0</v>
      </c>
      <c r="C29" s="611"/>
      <c r="D29" s="740" t="s">
        <v>483</v>
      </c>
      <c r="E29" s="607" t="s">
        <v>967</v>
      </c>
      <c r="F29" s="166" t="s">
        <v>88</v>
      </c>
      <c r="G29" s="649">
        <f>IFERROR('PIM Ranges'!AL31,0)</f>
        <v>0</v>
      </c>
      <c r="H29" s="650">
        <f>IFERROR('PIM Ranges'!AM31,0)</f>
        <v>0</v>
      </c>
      <c r="I29" s="651">
        <f>IFERROR('PIM Ranges'!AN31,0)</f>
        <v>0</v>
      </c>
      <c r="J29" s="394">
        <f>IF($E$3="CIA",IF($D29="%",$P29*$G29,$P29*$I29),IF($D29="%",$K29*$G29,$K29*I29))</f>
        <v>0</v>
      </c>
      <c r="K29" s="810"/>
      <c r="L29" s="697" t="str">
        <f>IF($E$3="CIA","",IF(K29="","",IF(K29&lt;O29,"X",IF(K29&gt;Q29,"X",""))))</f>
        <v/>
      </c>
      <c r="M29" s="808">
        <f>'Multi-Customer'!AE33</f>
        <v>0</v>
      </c>
      <c r="N29" s="163"/>
      <c r="O29" s="812" t="e">
        <f>'Multi-Customer'!$I33</f>
        <v>#DIV/0!</v>
      </c>
      <c r="P29" s="812" t="e">
        <f>'Multi-Customer'!$J33</f>
        <v>#DIV/0!</v>
      </c>
      <c r="Q29" s="812" t="e">
        <f>'Multi-Customer'!$K33</f>
        <v>#DIV/0!</v>
      </c>
      <c r="R29" s="505"/>
      <c r="S29" s="1078" t="e">
        <f>'Multi-Customer'!$I33*'PIM Ranges'!$AP31</f>
        <v>#DIV/0!</v>
      </c>
      <c r="T29" s="1078" t="e">
        <f>'Multi-Customer'!$J33*'PIM Ranges'!$AP31</f>
        <v>#DIV/0!</v>
      </c>
      <c r="U29" s="1078" t="e">
        <f>'Multi-Customer'!$K33*'PIM Ranges'!$AP31</f>
        <v>#DIV/0!</v>
      </c>
      <c r="V29" s="141"/>
      <c r="W29" s="164" t="e">
        <f>'Multi-Customer'!AU33</f>
        <v>#DIV/0!</v>
      </c>
      <c r="X29" s="141"/>
      <c r="Y29" s="141"/>
      <c r="Z29" s="141"/>
      <c r="AA29" s="141"/>
      <c r="AB29" s="367" t="str">
        <f t="shared" si="2"/>
        <v/>
      </c>
      <c r="AC29" s="165">
        <f t="shared" si="3"/>
        <v>0</v>
      </c>
      <c r="AD29" s="141" t="str">
        <f t="shared" si="4"/>
        <v/>
      </c>
      <c r="AE29" s="141"/>
      <c r="AF29" s="141" t="str">
        <f t="shared" si="5"/>
        <v/>
      </c>
      <c r="AG29" s="141" t="str">
        <f t="shared" si="6"/>
        <v/>
      </c>
      <c r="AH29" s="141" t="str">
        <f t="shared" si="7"/>
        <v/>
      </c>
      <c r="AI29" s="141"/>
      <c r="AJ29" s="141"/>
      <c r="AK29" s="141"/>
      <c r="AL29" s="141"/>
      <c r="AM29" s="141"/>
    </row>
    <row r="30" spans="1:39" ht="18" thickBot="1" x14ac:dyDescent="0.3">
      <c r="A30" s="141"/>
      <c r="B30" s="608">
        <v>0</v>
      </c>
      <c r="C30" s="612"/>
      <c r="D30" s="741" t="s">
        <v>483</v>
      </c>
      <c r="E30" s="609" t="s">
        <v>967</v>
      </c>
      <c r="F30" s="167" t="s">
        <v>87</v>
      </c>
      <c r="G30" s="649">
        <f>IFERROR('PIM Ranges'!AL32,0)</f>
        <v>0</v>
      </c>
      <c r="H30" s="650">
        <f>IFERROR('PIM Ranges'!AM32,0)</f>
        <v>0</v>
      </c>
      <c r="I30" s="652">
        <f>IFERROR('PIM Ranges'!AN32,0)</f>
        <v>0</v>
      </c>
      <c r="J30" s="394">
        <f>IF($E$3="CIA",IF($D30="%",$P30*$G30,$P30*$I30),IF($D30="%",$K30*$G30,$K30*I30))</f>
        <v>0</v>
      </c>
      <c r="K30" s="811"/>
      <c r="L30" s="697" t="str">
        <f>IF($E$3="CIA","",IF(K30="","",IF(K30&lt;O30,"X",IF(K30&gt;Q30,"X",""))))</f>
        <v/>
      </c>
      <c r="M30" s="809">
        <f>'Multi-Customer'!AE34</f>
        <v>0</v>
      </c>
      <c r="N30" s="163"/>
      <c r="O30" s="812" t="e">
        <f>'Multi-Customer'!$I34</f>
        <v>#DIV/0!</v>
      </c>
      <c r="P30" s="812" t="e">
        <f>'Multi-Customer'!$J34</f>
        <v>#DIV/0!</v>
      </c>
      <c r="Q30" s="812" t="e">
        <f>'Multi-Customer'!$K34</f>
        <v>#DIV/0!</v>
      </c>
      <c r="R30" s="505"/>
      <c r="S30" s="1078" t="e">
        <f>'Multi-Customer'!$I34*'PIM Ranges'!$AP32</f>
        <v>#DIV/0!</v>
      </c>
      <c r="T30" s="1078" t="e">
        <f>'Multi-Customer'!$J34*'PIM Ranges'!$AP32</f>
        <v>#DIV/0!</v>
      </c>
      <c r="U30" s="1078" t="e">
        <f>'Multi-Customer'!$K34*'PIM Ranges'!$AP32</f>
        <v>#DIV/0!</v>
      </c>
      <c r="V30" s="141"/>
      <c r="W30" s="164" t="e">
        <f>'Multi-Customer'!AU34</f>
        <v>#DIV/0!</v>
      </c>
      <c r="X30" s="141"/>
      <c r="Y30" s="141"/>
      <c r="Z30" s="141"/>
      <c r="AA30" s="141"/>
      <c r="AB30" s="367" t="str">
        <f t="shared" si="2"/>
        <v/>
      </c>
      <c r="AC30" s="165">
        <f t="shared" si="3"/>
        <v>0</v>
      </c>
      <c r="AD30" s="141" t="str">
        <f t="shared" si="4"/>
        <v/>
      </c>
      <c r="AE30" s="141"/>
      <c r="AF30" s="141" t="str">
        <f t="shared" si="5"/>
        <v/>
      </c>
      <c r="AG30" s="141" t="str">
        <f t="shared" si="6"/>
        <v/>
      </c>
      <c r="AH30" s="141" t="str">
        <f t="shared" si="7"/>
        <v/>
      </c>
      <c r="AI30" s="141"/>
      <c r="AJ30" s="141"/>
      <c r="AK30" s="141"/>
      <c r="AL30" s="141"/>
      <c r="AM30" s="141"/>
    </row>
    <row r="31" spans="1:39" ht="14.45" customHeight="1" thickBot="1" x14ac:dyDescent="0.3">
      <c r="A31" s="141"/>
      <c r="B31" s="141"/>
      <c r="C31" s="141"/>
      <c r="D31" s="141"/>
      <c r="E31" s="141"/>
      <c r="F31" s="168" t="s">
        <v>109</v>
      </c>
      <c r="G31" s="169">
        <f>'Customer Inputs'!$P$17</f>
        <v>0</v>
      </c>
      <c r="H31" s="170">
        <f>SUM(H10:H30)</f>
        <v>0</v>
      </c>
      <c r="I31" s="171">
        <f>SUM(I10:I30)</f>
        <v>0</v>
      </c>
      <c r="J31" s="395">
        <f>SUM(J10:J30)</f>
        <v>0</v>
      </c>
      <c r="K31" s="141"/>
      <c r="L31" s="141"/>
      <c r="M31" s="141"/>
      <c r="N31" s="141"/>
      <c r="O31" s="141"/>
      <c r="P31" s="141"/>
      <c r="Q31" s="141"/>
      <c r="R31" s="136"/>
      <c r="S31" s="141"/>
      <c r="T31" s="141"/>
      <c r="U31" s="141"/>
      <c r="V31" s="141"/>
      <c r="W31" s="141"/>
      <c r="X31" s="141"/>
      <c r="Y31" s="141"/>
      <c r="Z31" s="141"/>
      <c r="AA31" s="141"/>
      <c r="AB31" s="136"/>
      <c r="AC31" s="141"/>
      <c r="AD31" s="141"/>
      <c r="AE31" s="141"/>
      <c r="AF31" s="141"/>
      <c r="AG31" s="141"/>
      <c r="AH31" s="141"/>
      <c r="AI31" s="141"/>
      <c r="AJ31" s="141"/>
      <c r="AK31" s="141"/>
      <c r="AL31" s="141"/>
      <c r="AM31" s="141"/>
    </row>
    <row r="32" spans="1:39" ht="15.75" thickBot="1" x14ac:dyDescent="0.3">
      <c r="A32" s="141"/>
      <c r="B32" s="141"/>
      <c r="C32" s="141"/>
      <c r="D32" s="141"/>
      <c r="E32" s="141"/>
      <c r="F32" s="168"/>
      <c r="G32" s="172">
        <f>IF($H$32=21,$G$31,ROUND(SUMIFS($G$10:$G$30,$D$10:$D$30,"%"),0))</f>
        <v>0</v>
      </c>
      <c r="H32" s="172">
        <f>COUNTIF($D$10:$D$30,"%")</f>
        <v>21</v>
      </c>
      <c r="I32" s="136"/>
      <c r="J32" s="136"/>
      <c r="K32" s="141"/>
      <c r="L32" s="141"/>
      <c r="M32" s="141"/>
      <c r="N32" s="141"/>
      <c r="O32" s="141"/>
      <c r="P32" s="141"/>
      <c r="Q32" s="141"/>
      <c r="R32" s="136"/>
      <c r="S32" s="141"/>
      <c r="T32" s="141"/>
      <c r="U32" s="141"/>
      <c r="V32" s="141"/>
      <c r="W32" s="141"/>
      <c r="X32" s="141"/>
      <c r="Y32" s="141"/>
      <c r="Z32" s="141"/>
      <c r="AA32" s="141"/>
      <c r="AB32" s="136"/>
      <c r="AC32" s="141"/>
      <c r="AD32" s="141"/>
      <c r="AE32" s="141"/>
      <c r="AF32" s="141"/>
      <c r="AG32" s="141"/>
      <c r="AH32" s="141"/>
      <c r="AI32" s="141"/>
      <c r="AJ32" s="141"/>
      <c r="AK32" s="141"/>
      <c r="AL32" s="141"/>
      <c r="AM32" s="141"/>
    </row>
    <row r="33" spans="1:39" ht="22.15" customHeight="1" x14ac:dyDescent="0.3">
      <c r="A33" s="141"/>
      <c r="B33" s="141"/>
      <c r="C33" s="141"/>
      <c r="D33" s="141"/>
      <c r="E33" s="141"/>
      <c r="F33" s="141"/>
      <c r="G33" s="1271" t="s">
        <v>119</v>
      </c>
      <c r="H33" s="1272"/>
      <c r="I33" s="477" t="e">
        <f>IF($E$3="MDA",'PIM Ranges'!$AX$7,'PIM Ranges'!$BJ$7)</f>
        <v>#DIV/0!</v>
      </c>
      <c r="J33" s="136"/>
      <c r="K33" s="1273" t="str">
        <f>IF(COUNTIF($AB$10:$AB$30,"ERROR")&lt;1,"",IF(COUNTIF($AB$10:$AB$30,"ERROR")&lt;2,(COUNTIF($AB$10:$AB$30,"ERROR")&amp;" Margin Missing Above"),(COUNTIF($AB$10:$AB$30,"ERROR")&amp;" Margins Missing Above")))</f>
        <v/>
      </c>
      <c r="L33" s="1273" t="str">
        <f t="shared" ref="L33" si="8">IF(COUNTIF($AB$10:$AB$30,"ERROR")&lt;1,"",IF(COUNTIF($AB$10:$AB$30,"ERROR")&lt;2,(COUNTIF($AB$10:$AB$30,"ERROR")&amp;" Margin Missing Above"),(COUNTIF($AB$10:$AB$30,"ERROR")&amp;" Margins Missing Above")))</f>
        <v/>
      </c>
      <c r="M33" s="141"/>
      <c r="N33" s="141"/>
      <c r="O33" s="141"/>
      <c r="P33" s="141"/>
      <c r="Q33" s="141"/>
      <c r="R33" s="136"/>
      <c r="S33" s="141"/>
      <c r="T33" s="141"/>
      <c r="U33" s="141"/>
      <c r="V33" s="141"/>
      <c r="W33" s="141"/>
      <c r="X33" s="141"/>
      <c r="Y33" s="141"/>
      <c r="Z33" s="141"/>
      <c r="AA33" s="141"/>
      <c r="AB33" s="136"/>
      <c r="AC33" s="141"/>
      <c r="AD33" s="141"/>
      <c r="AE33" s="141"/>
      <c r="AF33" s="141"/>
      <c r="AG33" s="141"/>
      <c r="AH33" s="141"/>
      <c r="AI33" s="141"/>
      <c r="AJ33" s="141"/>
      <c r="AK33" s="141"/>
      <c r="AL33" s="141"/>
      <c r="AM33" s="141"/>
    </row>
    <row r="34" spans="1:39" ht="25.15" customHeight="1" x14ac:dyDescent="0.25">
      <c r="A34" s="141"/>
      <c r="B34" s="141"/>
      <c r="C34" s="141"/>
      <c r="D34" s="141"/>
      <c r="E34" s="141"/>
      <c r="F34" s="141"/>
      <c r="G34" s="1266" t="s">
        <v>492</v>
      </c>
      <c r="H34" s="1267"/>
      <c r="I34" s="473">
        <f>J31</f>
        <v>0</v>
      </c>
      <c r="J34" s="136"/>
      <c r="K34" s="1273" t="str">
        <f>IF(COUNTIFS($L$10:$L$30,"X",$AF$10:$AF$30,"BELOW")&lt;1,"",IF(COUNTIFS($L$10:$L$30,"X",$AF$10:$AF$30,"BELOW")&lt;2,(COUNTIFS($L$10:$L$30,"X",$AF$10:$AF$30,"BELOW")&amp;" Margin Below Minimum"),(COUNTIFS($L$10:$L$30,"X",$AF$10:$AF$30,"BELOW")&amp;" Margins Below Minimum")))</f>
        <v/>
      </c>
      <c r="L34" s="1273"/>
      <c r="M34" s="141"/>
      <c r="N34" s="141"/>
      <c r="O34" s="141"/>
      <c r="P34" s="141"/>
      <c r="Q34" s="141"/>
      <c r="R34" s="136"/>
      <c r="S34" s="141"/>
      <c r="T34" s="141"/>
      <c r="U34" s="141"/>
      <c r="V34" s="141"/>
      <c r="W34" s="141"/>
      <c r="X34" s="141"/>
      <c r="Y34" s="141"/>
      <c r="Z34" s="141"/>
      <c r="AA34" s="141"/>
      <c r="AB34" s="136"/>
      <c r="AC34" s="141"/>
      <c r="AD34" s="141"/>
      <c r="AE34" s="141"/>
      <c r="AF34" s="141"/>
      <c r="AG34" s="141"/>
      <c r="AH34" s="141"/>
      <c r="AI34" s="141"/>
      <c r="AJ34" s="141"/>
      <c r="AK34" s="141"/>
      <c r="AL34" s="141"/>
      <c r="AM34" s="141"/>
    </row>
    <row r="35" spans="1:39" ht="27" customHeight="1" x14ac:dyDescent="0.25">
      <c r="A35" s="141"/>
      <c r="B35" s="141"/>
      <c r="C35" s="141"/>
      <c r="D35" s="141"/>
      <c r="E35" s="141"/>
      <c r="F35" s="141"/>
      <c r="G35" s="1266" t="s">
        <v>1366</v>
      </c>
      <c r="H35" s="1267"/>
      <c r="I35" s="474" t="str">
        <f>IFERROR(I34/G31,"")</f>
        <v/>
      </c>
      <c r="K35" s="1273" t="str">
        <f>IF(COUNTIFS($L$10:$L$30,"X",$AF$10:$AF$30,"ABOVE")&lt;1,"",IF(COUNTIFS($L$10:$L$30,"X",$AF$10:$AF$30,"ABOVE")&lt;2,(COUNTIFS($L$10:$L$30,"X",$AF$10:$AF$30,"ABOVE")&amp;" Margin Above Maximum"),(COUNTIFS($L$10:$L$30,"X",$AF$10:$AF$30,"ABOVE")&amp;" Margins Above Maximum")))</f>
        <v/>
      </c>
      <c r="L35" s="1273"/>
      <c r="M35" s="141"/>
      <c r="N35" s="141"/>
      <c r="O35" s="141"/>
      <c r="P35" s="141"/>
      <c r="Q35" s="141"/>
      <c r="R35" s="136"/>
      <c r="S35" s="141"/>
      <c r="T35" s="141"/>
      <c r="U35" s="141"/>
      <c r="V35" s="141"/>
      <c r="W35" s="141"/>
      <c r="X35" s="141"/>
      <c r="Y35" s="141"/>
      <c r="Z35" s="141"/>
      <c r="AA35" s="141"/>
      <c r="AB35" s="136"/>
      <c r="AC35" s="141"/>
      <c r="AD35" s="141"/>
      <c r="AE35" s="141"/>
      <c r="AF35" s="141"/>
      <c r="AG35" s="141"/>
      <c r="AH35" s="141"/>
      <c r="AI35" s="141"/>
      <c r="AJ35" s="141"/>
      <c r="AK35" s="141"/>
      <c r="AL35" s="141"/>
      <c r="AM35" s="141"/>
    </row>
    <row r="36" spans="1:39" ht="12" customHeight="1" x14ac:dyDescent="0.25">
      <c r="A36" s="141"/>
      <c r="B36" s="141"/>
      <c r="C36" s="141"/>
      <c r="D36" s="141"/>
      <c r="E36" s="141"/>
      <c r="F36" s="141"/>
      <c r="G36" s="1266"/>
      <c r="H36" s="1267"/>
      <c r="I36" s="474"/>
      <c r="J36" s="136"/>
      <c r="K36" s="486">
        <f>COUNTIF('PIM Model'!$AB$10:$AB$30,"ERROR")+COUNTIFS($L$10:$L$30,"X",$AF$10:$AF$30,"BELOW")</f>
        <v>0</v>
      </c>
      <c r="L36" s="173"/>
      <c r="M36" s="173"/>
      <c r="N36" s="173"/>
      <c r="O36" s="141"/>
      <c r="P36" s="141"/>
      <c r="Q36" s="141"/>
      <c r="R36" s="136"/>
      <c r="S36" s="141"/>
      <c r="T36" s="141"/>
      <c r="U36" s="141"/>
      <c r="V36" s="141"/>
      <c r="W36" s="141"/>
      <c r="X36" s="141"/>
      <c r="Y36" s="141"/>
      <c r="Z36" s="141"/>
      <c r="AA36" s="141"/>
      <c r="AB36" s="136"/>
      <c r="AC36" s="141"/>
      <c r="AD36" s="141"/>
      <c r="AE36" s="141"/>
      <c r="AF36" s="141"/>
      <c r="AG36" s="141"/>
      <c r="AH36" s="141"/>
      <c r="AI36" s="141"/>
      <c r="AJ36" s="141"/>
      <c r="AK36" s="141"/>
      <c r="AL36" s="141"/>
      <c r="AM36" s="141"/>
    </row>
    <row r="37" spans="1:39" ht="16.149999999999999" customHeight="1" x14ac:dyDescent="0.25">
      <c r="A37" s="141"/>
      <c r="B37" s="141"/>
      <c r="C37" s="141"/>
      <c r="D37" s="141"/>
      <c r="E37" s="141"/>
      <c r="F37" s="141"/>
      <c r="G37" s="1266" t="str">
        <f>IFERROR(IF(I35&gt;I33,"","Below Recommended TAGP: "),"")</f>
        <v/>
      </c>
      <c r="H37" s="1267"/>
      <c r="I37" s="474" t="str">
        <f>IFERROR(IF(I35&lt;I33,I33-I35,""),"")</f>
        <v/>
      </c>
      <c r="J37" s="136"/>
      <c r="K37" s="141"/>
      <c r="L37" s="173"/>
      <c r="M37" s="173"/>
      <c r="N37" s="173"/>
      <c r="O37" s="141"/>
      <c r="P37" s="141"/>
      <c r="Q37" s="141"/>
      <c r="R37" s="136"/>
      <c r="S37" s="141"/>
      <c r="T37" s="141"/>
      <c r="U37" s="141"/>
      <c r="V37" s="141"/>
      <c r="W37" s="141"/>
      <c r="X37" s="141"/>
      <c r="Y37" s="141"/>
      <c r="Z37" s="141"/>
      <c r="AA37" s="141"/>
      <c r="AB37" s="136"/>
      <c r="AC37" s="141"/>
      <c r="AD37" s="141"/>
      <c r="AE37" s="141"/>
      <c r="AF37" s="141"/>
      <c r="AG37" s="141"/>
      <c r="AH37" s="141"/>
      <c r="AI37" s="141"/>
      <c r="AJ37" s="141"/>
      <c r="AK37" s="141"/>
      <c r="AL37" s="141"/>
      <c r="AM37" s="141"/>
    </row>
    <row r="38" spans="1:39" ht="4.9000000000000004" customHeight="1" x14ac:dyDescent="0.25">
      <c r="A38" s="141"/>
      <c r="B38" s="141"/>
      <c r="C38" s="141"/>
      <c r="D38" s="141"/>
      <c r="E38" s="141"/>
      <c r="F38" s="141"/>
      <c r="G38" s="1266"/>
      <c r="H38" s="1267"/>
      <c r="I38" s="474"/>
      <c r="J38" s="136"/>
      <c r="K38" s="173"/>
      <c r="L38" s="173"/>
      <c r="M38" s="173"/>
      <c r="N38" s="173"/>
      <c r="O38" s="141"/>
      <c r="P38" s="141"/>
      <c r="Q38" s="141"/>
      <c r="R38" s="136"/>
      <c r="S38" s="141"/>
      <c r="T38" s="141"/>
      <c r="U38" s="141"/>
      <c r="V38" s="141"/>
      <c r="W38" s="141"/>
      <c r="X38" s="141"/>
      <c r="Y38" s="141"/>
      <c r="Z38" s="141"/>
      <c r="AA38" s="141"/>
      <c r="AB38" s="136"/>
      <c r="AC38" s="141"/>
      <c r="AD38" s="141"/>
      <c r="AE38" s="141"/>
      <c r="AF38" s="141"/>
      <c r="AG38" s="141"/>
      <c r="AH38" s="141"/>
      <c r="AI38" s="141"/>
      <c r="AJ38" s="141"/>
      <c r="AK38" s="141"/>
      <c r="AL38" s="141"/>
      <c r="AM38" s="141"/>
    </row>
    <row r="39" spans="1:39" ht="16.149999999999999" customHeight="1" x14ac:dyDescent="0.25">
      <c r="A39" s="141"/>
      <c r="B39" s="141"/>
      <c r="C39" s="141"/>
      <c r="D39" s="141"/>
      <c r="E39" s="141"/>
      <c r="F39" s="141"/>
      <c r="G39" s="1266" t="s">
        <v>1367</v>
      </c>
      <c r="H39" s="1267"/>
      <c r="I39" s="475">
        <f>IFERROR(I34/H31,0)</f>
        <v>0</v>
      </c>
      <c r="J39" s="136"/>
      <c r="K39" s="141"/>
      <c r="L39" s="141"/>
      <c r="M39" s="141"/>
      <c r="N39" s="141"/>
      <c r="O39" s="141"/>
      <c r="P39" s="141"/>
      <c r="Q39" s="141"/>
      <c r="R39" s="136"/>
      <c r="S39" s="141"/>
      <c r="T39" s="141"/>
      <c r="U39" s="141"/>
      <c r="V39" s="141"/>
      <c r="W39" s="141"/>
      <c r="X39" s="141"/>
      <c r="Y39" s="141"/>
      <c r="Z39" s="141"/>
      <c r="AA39" s="141"/>
      <c r="AB39" s="136"/>
      <c r="AC39" s="141"/>
      <c r="AD39" s="141"/>
      <c r="AE39" s="141"/>
      <c r="AF39" s="141"/>
      <c r="AG39" s="141"/>
      <c r="AH39" s="141"/>
      <c r="AI39" s="141"/>
      <c r="AJ39" s="141"/>
      <c r="AK39" s="141"/>
      <c r="AL39" s="141"/>
      <c r="AM39" s="141"/>
    </row>
    <row r="40" spans="1:39" ht="21" customHeight="1" thickBot="1" x14ac:dyDescent="0.3">
      <c r="A40" s="141"/>
      <c r="B40" s="141"/>
      <c r="C40" s="141"/>
      <c r="D40" s="141"/>
      <c r="E40" s="141"/>
      <c r="F40" s="141"/>
      <c r="G40" s="1268" t="s">
        <v>493</v>
      </c>
      <c r="H40" s="1269"/>
      <c r="I40" s="476">
        <f>IFERROR($I$34/(52*$E$6*$K$40),0)</f>
        <v>0</v>
      </c>
      <c r="J40" s="136"/>
      <c r="K40" s="574" t="str">
        <f>Welcome!$D$14</f>
        <v>Select # of Locations</v>
      </c>
      <c r="L40" s="141"/>
      <c r="M40" s="141"/>
      <c r="N40" s="141"/>
      <c r="O40" s="141"/>
      <c r="P40" s="141"/>
      <c r="Q40" s="509"/>
      <c r="R40" s="136"/>
      <c r="S40" s="141"/>
      <c r="T40" s="141"/>
      <c r="U40" s="141"/>
      <c r="V40" s="141"/>
      <c r="W40" s="141"/>
      <c r="X40" s="141"/>
      <c r="Y40" s="141"/>
      <c r="Z40" s="141"/>
      <c r="AA40" s="141"/>
      <c r="AB40" s="136"/>
      <c r="AC40" s="141"/>
      <c r="AD40" s="141"/>
      <c r="AE40" s="141"/>
      <c r="AF40" s="141"/>
      <c r="AG40" s="141"/>
      <c r="AH40" s="141"/>
      <c r="AI40" s="141"/>
      <c r="AJ40" s="141"/>
      <c r="AK40" s="141"/>
      <c r="AL40" s="141"/>
      <c r="AM40" s="141"/>
    </row>
    <row r="41" spans="1:39" x14ac:dyDescent="0.25">
      <c r="A41" s="141"/>
      <c r="B41" s="141"/>
      <c r="C41" s="141"/>
      <c r="D41" s="141"/>
      <c r="E41" s="141"/>
      <c r="F41" s="141"/>
      <c r="G41" s="141"/>
      <c r="H41" s="136"/>
      <c r="I41" s="505"/>
      <c r="J41" s="136"/>
      <c r="K41" s="896"/>
      <c r="L41" s="141"/>
      <c r="M41" s="141"/>
      <c r="N41" s="141"/>
      <c r="O41" s="141"/>
      <c r="P41" s="141"/>
      <c r="Q41" s="141"/>
      <c r="R41" s="136"/>
      <c r="S41" s="141"/>
      <c r="T41" s="141"/>
      <c r="U41" s="141"/>
      <c r="V41" s="141"/>
      <c r="W41" s="141"/>
      <c r="X41" s="141"/>
      <c r="Y41" s="141"/>
      <c r="Z41" s="141"/>
      <c r="AA41" s="141"/>
      <c r="AB41" s="136"/>
      <c r="AC41" s="141"/>
      <c r="AD41" s="141"/>
      <c r="AE41" s="141"/>
      <c r="AF41" s="141"/>
      <c r="AG41" s="141"/>
      <c r="AH41" s="141"/>
      <c r="AI41" s="141"/>
      <c r="AJ41" s="141"/>
      <c r="AK41" s="141"/>
      <c r="AL41" s="141"/>
      <c r="AM41" s="141"/>
    </row>
    <row r="42" spans="1:39" x14ac:dyDescent="0.25">
      <c r="A42" s="141"/>
      <c r="B42" s="141"/>
      <c r="C42" s="141"/>
      <c r="D42" s="141"/>
      <c r="E42" s="141"/>
      <c r="F42" s="141"/>
      <c r="G42" s="141"/>
      <c r="H42" s="136"/>
      <c r="I42" s="136"/>
      <c r="J42" s="136"/>
      <c r="K42" s="896"/>
      <c r="L42" s="141"/>
      <c r="M42" s="141"/>
      <c r="N42" s="141"/>
      <c r="O42" s="141"/>
      <c r="P42" s="141"/>
      <c r="Q42" s="141"/>
      <c r="R42" s="136"/>
      <c r="S42" s="141"/>
      <c r="T42" s="141"/>
      <c r="U42" s="141"/>
      <c r="V42" s="141"/>
      <c r="W42" s="141"/>
      <c r="X42" s="141"/>
      <c r="Y42" s="141"/>
      <c r="Z42" s="141"/>
      <c r="AA42" s="141"/>
      <c r="AB42" s="136"/>
      <c r="AC42" s="141"/>
      <c r="AD42" s="141"/>
      <c r="AE42" s="141"/>
      <c r="AF42" s="141"/>
      <c r="AG42" s="141"/>
      <c r="AH42" s="141"/>
      <c r="AI42" s="141"/>
      <c r="AJ42" s="141"/>
      <c r="AK42" s="141"/>
      <c r="AL42" s="141"/>
      <c r="AM42" s="141"/>
    </row>
    <row r="43" spans="1:39" x14ac:dyDescent="0.25">
      <c r="A43" s="141"/>
      <c r="B43" s="141"/>
      <c r="C43" s="141"/>
      <c r="D43" s="141"/>
      <c r="E43" s="141"/>
      <c r="F43" s="141"/>
      <c r="G43" s="141"/>
      <c r="H43" s="136"/>
      <c r="I43" s="136"/>
      <c r="J43" s="136"/>
      <c r="K43" s="141"/>
      <c r="L43" s="141"/>
      <c r="M43" s="141"/>
      <c r="N43" s="141"/>
      <c r="O43" s="141"/>
      <c r="P43" s="141"/>
      <c r="Q43" s="141"/>
      <c r="R43" s="136"/>
      <c r="S43" s="141"/>
      <c r="T43" s="141"/>
      <c r="U43" s="141"/>
      <c r="V43" s="141"/>
      <c r="W43" s="141"/>
      <c r="X43" s="141"/>
      <c r="Y43" s="141"/>
      <c r="Z43" s="141"/>
      <c r="AA43" s="141"/>
      <c r="AB43" s="136"/>
      <c r="AC43" s="141"/>
      <c r="AD43" s="141"/>
      <c r="AE43" s="141"/>
      <c r="AF43" s="141"/>
      <c r="AG43" s="141"/>
      <c r="AH43" s="141"/>
      <c r="AI43" s="141"/>
      <c r="AJ43" s="141"/>
      <c r="AK43" s="141"/>
      <c r="AL43" s="141"/>
      <c r="AM43" s="141"/>
    </row>
    <row r="44" spans="1:39" x14ac:dyDescent="0.25">
      <c r="A44" s="141"/>
      <c r="B44" s="141"/>
      <c r="C44" s="141"/>
      <c r="D44" s="141"/>
      <c r="E44" s="141"/>
      <c r="F44" s="141"/>
      <c r="G44" s="141"/>
      <c r="H44" s="136"/>
      <c r="I44" s="136"/>
      <c r="J44" s="136"/>
      <c r="K44" s="141"/>
      <c r="L44" s="141"/>
      <c r="M44" s="141"/>
      <c r="N44" s="141"/>
      <c r="O44" s="141"/>
      <c r="P44" s="141"/>
      <c r="Q44" s="141"/>
      <c r="R44" s="136"/>
      <c r="S44" s="141"/>
      <c r="T44" s="141"/>
      <c r="U44" s="141"/>
      <c r="V44" s="141"/>
      <c r="W44" s="141"/>
      <c r="X44" s="141"/>
      <c r="Y44" s="141"/>
      <c r="Z44" s="141"/>
      <c r="AA44" s="141"/>
      <c r="AB44" s="136"/>
      <c r="AC44" s="141"/>
      <c r="AD44" s="141"/>
      <c r="AE44" s="141"/>
      <c r="AF44" s="141"/>
      <c r="AG44" s="141"/>
      <c r="AH44" s="141"/>
      <c r="AI44" s="141"/>
      <c r="AJ44" s="141"/>
      <c r="AK44" s="141"/>
      <c r="AL44" s="141"/>
      <c r="AM44" s="141"/>
    </row>
    <row r="45" spans="1:39" x14ac:dyDescent="0.25">
      <c r="A45" s="141"/>
      <c r="B45" s="141"/>
      <c r="C45" s="141"/>
      <c r="D45" s="141"/>
      <c r="E45" s="141"/>
      <c r="F45" s="141"/>
      <c r="G45" s="141"/>
      <c r="H45" s="136"/>
      <c r="I45" s="136"/>
      <c r="J45" s="136"/>
      <c r="K45" s="141"/>
      <c r="L45" s="141"/>
      <c r="M45" s="141"/>
      <c r="N45" s="141"/>
      <c r="O45" s="141"/>
      <c r="P45" s="141"/>
      <c r="Q45" s="141"/>
      <c r="R45" s="136"/>
      <c r="S45" s="141"/>
      <c r="T45" s="141"/>
      <c r="U45" s="141"/>
      <c r="V45" s="141"/>
      <c r="W45" s="141"/>
      <c r="X45" s="141"/>
      <c r="Y45" s="141"/>
      <c r="Z45" s="141"/>
      <c r="AA45" s="141"/>
      <c r="AB45" s="136"/>
      <c r="AC45" s="141"/>
      <c r="AD45" s="141"/>
      <c r="AE45" s="141"/>
      <c r="AF45" s="141"/>
      <c r="AG45" s="141"/>
      <c r="AH45" s="141"/>
      <c r="AI45" s="141"/>
      <c r="AJ45" s="141"/>
      <c r="AK45" s="141"/>
      <c r="AL45" s="141"/>
      <c r="AM45" s="141"/>
    </row>
    <row r="46" spans="1:39" x14ac:dyDescent="0.25">
      <c r="A46" s="141"/>
      <c r="B46" s="141"/>
      <c r="C46" s="141"/>
      <c r="D46" s="141"/>
      <c r="E46" s="141"/>
      <c r="F46" s="141"/>
      <c r="G46" s="141"/>
      <c r="H46" s="136"/>
      <c r="I46" s="136"/>
      <c r="J46" s="136"/>
      <c r="K46" s="141"/>
      <c r="L46" s="141"/>
      <c r="M46" s="141"/>
      <c r="N46" s="141"/>
      <c r="O46" s="141"/>
      <c r="P46" s="141"/>
      <c r="Q46" s="141"/>
      <c r="R46" s="136"/>
      <c r="S46" s="141"/>
      <c r="T46" s="141"/>
      <c r="U46" s="141"/>
      <c r="V46" s="141"/>
      <c r="W46" s="141"/>
      <c r="X46" s="141"/>
      <c r="Y46" s="141"/>
      <c r="Z46" s="141"/>
      <c r="AA46" s="141"/>
      <c r="AB46" s="136"/>
      <c r="AC46" s="141"/>
      <c r="AD46" s="141"/>
      <c r="AE46" s="141"/>
      <c r="AF46" s="141"/>
      <c r="AG46" s="141"/>
      <c r="AH46" s="141"/>
      <c r="AI46" s="141"/>
      <c r="AJ46" s="141"/>
      <c r="AK46" s="141"/>
      <c r="AL46" s="141"/>
      <c r="AM46" s="141"/>
    </row>
    <row r="47" spans="1:39" x14ac:dyDescent="0.25">
      <c r="A47" s="141"/>
      <c r="B47" s="141"/>
      <c r="C47" s="141"/>
      <c r="D47" s="141"/>
      <c r="E47" s="141"/>
      <c r="F47" s="141"/>
      <c r="G47" s="141"/>
      <c r="H47" s="136"/>
      <c r="I47" s="136"/>
      <c r="J47" s="136"/>
      <c r="K47" s="141"/>
      <c r="L47" s="141"/>
      <c r="M47" s="141"/>
      <c r="N47" s="141"/>
      <c r="O47" s="141"/>
      <c r="P47" s="141"/>
      <c r="Q47" s="141"/>
      <c r="R47" s="136"/>
      <c r="S47" s="141"/>
      <c r="T47" s="141"/>
      <c r="U47" s="141"/>
      <c r="V47" s="141"/>
      <c r="W47" s="141"/>
      <c r="X47" s="141"/>
      <c r="Y47" s="141"/>
      <c r="Z47" s="141"/>
      <c r="AA47" s="141"/>
      <c r="AB47" s="136"/>
      <c r="AC47" s="141"/>
      <c r="AD47" s="141"/>
      <c r="AE47" s="141"/>
      <c r="AF47" s="141"/>
      <c r="AG47" s="141"/>
      <c r="AH47" s="141"/>
      <c r="AI47" s="141"/>
      <c r="AJ47" s="141"/>
      <c r="AK47" s="141"/>
      <c r="AL47" s="141"/>
      <c r="AM47" s="141"/>
    </row>
    <row r="48" spans="1:39" x14ac:dyDescent="0.25">
      <c r="A48" s="141"/>
      <c r="B48" s="141"/>
      <c r="C48" s="141"/>
      <c r="D48" s="141"/>
      <c r="E48" s="141"/>
      <c r="F48" s="141"/>
      <c r="G48" s="141"/>
      <c r="H48" s="136"/>
      <c r="I48" s="136"/>
      <c r="J48" s="136"/>
      <c r="K48" s="141"/>
      <c r="L48" s="141"/>
      <c r="M48" s="141"/>
      <c r="N48" s="141"/>
      <c r="O48" s="141"/>
      <c r="P48" s="141"/>
      <c r="Q48" s="141"/>
      <c r="R48" s="136"/>
      <c r="S48" s="141"/>
      <c r="T48" s="141"/>
      <c r="U48" s="141"/>
      <c r="V48" s="141"/>
      <c r="W48" s="141"/>
      <c r="X48" s="141"/>
      <c r="Y48" s="141"/>
      <c r="Z48" s="141"/>
      <c r="AA48" s="141"/>
      <c r="AB48" s="136"/>
      <c r="AC48" s="141"/>
      <c r="AD48" s="141"/>
      <c r="AE48" s="141"/>
      <c r="AF48" s="141"/>
      <c r="AG48" s="141"/>
      <c r="AH48" s="141"/>
      <c r="AI48" s="141"/>
      <c r="AJ48" s="141"/>
      <c r="AK48" s="141"/>
      <c r="AL48" s="141"/>
      <c r="AM48" s="141"/>
    </row>
    <row r="49" spans="1:39" x14ac:dyDescent="0.25">
      <c r="A49" s="141"/>
      <c r="B49" s="141"/>
      <c r="C49" s="141"/>
      <c r="D49" s="141"/>
      <c r="E49" s="141"/>
      <c r="F49" s="141"/>
      <c r="G49" s="141"/>
      <c r="H49" s="136"/>
      <c r="I49" s="136"/>
      <c r="J49" s="136"/>
      <c r="K49" s="141"/>
      <c r="L49" s="141"/>
      <c r="M49" s="141"/>
      <c r="N49" s="141"/>
      <c r="O49" s="141"/>
      <c r="P49" s="141"/>
      <c r="Q49" s="141"/>
      <c r="R49" s="136"/>
      <c r="S49" s="141"/>
      <c r="T49" s="141"/>
      <c r="U49" s="141"/>
      <c r="V49" s="141"/>
      <c r="W49" s="141"/>
      <c r="X49" s="141"/>
      <c r="Y49" s="141"/>
      <c r="Z49" s="141"/>
      <c r="AA49" s="141"/>
      <c r="AB49" s="136"/>
      <c r="AC49" s="141"/>
      <c r="AD49" s="141"/>
      <c r="AE49" s="141"/>
      <c r="AF49" s="141"/>
      <c r="AG49" s="141"/>
      <c r="AH49" s="141"/>
      <c r="AI49" s="141"/>
      <c r="AJ49" s="141"/>
      <c r="AK49" s="141"/>
      <c r="AL49" s="141"/>
      <c r="AM49" s="141"/>
    </row>
    <row r="50" spans="1:39" x14ac:dyDescent="0.25">
      <c r="A50" s="141"/>
      <c r="B50" s="141"/>
      <c r="C50" s="141"/>
      <c r="D50" s="141"/>
      <c r="E50" s="141"/>
      <c r="F50" s="141"/>
      <c r="G50" s="141"/>
      <c r="H50" s="136"/>
      <c r="I50" s="136"/>
      <c r="J50" s="136"/>
      <c r="K50" s="141"/>
      <c r="L50" s="141"/>
      <c r="M50" s="141"/>
      <c r="N50" s="141"/>
      <c r="O50" s="141"/>
      <c r="P50" s="141"/>
      <c r="Q50" s="141"/>
      <c r="R50" s="136"/>
      <c r="S50" s="141"/>
      <c r="T50" s="141"/>
      <c r="U50" s="141"/>
      <c r="V50" s="141"/>
      <c r="W50" s="141"/>
      <c r="X50" s="141"/>
      <c r="Y50" s="141"/>
      <c r="Z50" s="141"/>
      <c r="AA50" s="141"/>
      <c r="AB50" s="136"/>
      <c r="AC50" s="141"/>
      <c r="AD50" s="141"/>
      <c r="AE50" s="141"/>
      <c r="AF50" s="141"/>
      <c r="AG50" s="141"/>
      <c r="AH50" s="141"/>
      <c r="AI50" s="141"/>
      <c r="AJ50" s="141"/>
      <c r="AK50" s="141"/>
      <c r="AL50" s="141"/>
      <c r="AM50" s="141"/>
    </row>
    <row r="51" spans="1:39" x14ac:dyDescent="0.25">
      <c r="A51" s="141"/>
      <c r="B51" s="141"/>
      <c r="C51" s="141"/>
      <c r="D51" s="141"/>
      <c r="E51" s="141"/>
      <c r="F51" s="141"/>
      <c r="G51" s="141"/>
      <c r="H51" s="136"/>
      <c r="I51" s="136"/>
      <c r="J51" s="136"/>
      <c r="K51" s="141"/>
      <c r="L51" s="141"/>
      <c r="M51" s="141"/>
      <c r="N51" s="141"/>
      <c r="O51" s="141"/>
      <c r="P51" s="141"/>
      <c r="Q51" s="141"/>
      <c r="R51" s="136"/>
      <c r="S51" s="141"/>
      <c r="T51" s="141"/>
      <c r="U51" s="141"/>
      <c r="V51" s="141"/>
      <c r="W51" s="141"/>
      <c r="X51" s="141"/>
      <c r="Y51" s="141"/>
      <c r="Z51" s="141"/>
      <c r="AA51" s="141"/>
      <c r="AB51" s="136"/>
      <c r="AC51" s="141"/>
      <c r="AD51" s="141"/>
      <c r="AE51" s="141"/>
      <c r="AF51" s="141"/>
      <c r="AG51" s="141"/>
      <c r="AH51" s="141"/>
      <c r="AI51" s="141"/>
      <c r="AJ51" s="141"/>
      <c r="AK51" s="141"/>
      <c r="AL51" s="141"/>
      <c r="AM51" s="141"/>
    </row>
    <row r="52" spans="1:39" x14ac:dyDescent="0.25">
      <c r="A52" s="141"/>
      <c r="B52" s="141"/>
      <c r="C52" s="141"/>
      <c r="D52" s="141"/>
      <c r="E52" s="141"/>
      <c r="F52" s="1270"/>
      <c r="G52" s="1270"/>
      <c r="H52" s="136"/>
      <c r="I52" s="136"/>
      <c r="J52" s="136"/>
      <c r="K52" s="141"/>
      <c r="L52" s="141"/>
      <c r="M52" s="141"/>
      <c r="N52" s="141"/>
      <c r="O52" s="141"/>
      <c r="P52" s="141"/>
      <c r="Q52" s="141"/>
      <c r="R52" s="136"/>
      <c r="S52" s="141"/>
      <c r="T52" s="141"/>
      <c r="U52" s="141"/>
      <c r="V52" s="141"/>
      <c r="W52" s="141"/>
      <c r="X52" s="141"/>
      <c r="Y52" s="141"/>
      <c r="Z52" s="141"/>
      <c r="AA52" s="141"/>
      <c r="AB52" s="136"/>
      <c r="AC52" s="141"/>
      <c r="AD52" s="141"/>
      <c r="AE52" s="141"/>
      <c r="AF52" s="141"/>
      <c r="AG52" s="141"/>
      <c r="AH52" s="141"/>
      <c r="AI52" s="141"/>
      <c r="AJ52" s="141"/>
      <c r="AK52" s="141"/>
      <c r="AL52" s="141"/>
      <c r="AM52" s="141"/>
    </row>
    <row r="53" spans="1:39" x14ac:dyDescent="0.25">
      <c r="A53" s="141"/>
      <c r="B53" s="141"/>
      <c r="C53" s="141"/>
      <c r="D53" s="141"/>
      <c r="E53" s="141"/>
      <c r="F53" s="1270"/>
      <c r="G53" s="1270"/>
      <c r="H53" s="136"/>
      <c r="I53" s="136"/>
      <c r="J53" s="136"/>
      <c r="K53" s="141"/>
      <c r="L53" s="141"/>
      <c r="M53" s="141"/>
      <c r="N53" s="141"/>
      <c r="O53" s="141"/>
      <c r="P53" s="141"/>
      <c r="Q53" s="141"/>
      <c r="R53" s="136"/>
      <c r="S53" s="141"/>
      <c r="T53" s="141"/>
      <c r="U53" s="141"/>
      <c r="V53" s="141"/>
      <c r="W53" s="141"/>
      <c r="X53" s="141"/>
      <c r="Y53" s="141"/>
      <c r="Z53" s="141"/>
      <c r="AA53" s="141"/>
      <c r="AB53" s="136"/>
      <c r="AC53" s="141"/>
      <c r="AD53" s="141"/>
      <c r="AE53" s="141"/>
      <c r="AF53" s="141"/>
      <c r="AG53" s="141"/>
      <c r="AH53" s="141"/>
      <c r="AI53" s="141"/>
      <c r="AJ53" s="141"/>
      <c r="AK53" s="141"/>
      <c r="AL53" s="141"/>
      <c r="AM53" s="141"/>
    </row>
    <row r="54" spans="1:39" x14ac:dyDescent="0.25">
      <c r="A54" s="141"/>
      <c r="B54" s="141"/>
      <c r="C54" s="141"/>
      <c r="D54" s="141"/>
      <c r="E54" s="141"/>
      <c r="F54" s="1270"/>
      <c r="G54" s="1270"/>
      <c r="H54" s="136"/>
      <c r="I54" s="136"/>
      <c r="J54" s="136"/>
      <c r="K54" s="141"/>
      <c r="L54" s="141"/>
      <c r="M54" s="141"/>
      <c r="N54" s="141"/>
      <c r="O54" s="141"/>
      <c r="P54" s="141"/>
      <c r="Q54" s="141"/>
      <c r="R54" s="136"/>
      <c r="S54" s="141"/>
      <c r="T54" s="141"/>
      <c r="U54" s="141"/>
      <c r="V54" s="141"/>
      <c r="W54" s="141"/>
      <c r="X54" s="141"/>
      <c r="Y54" s="141"/>
      <c r="Z54" s="141"/>
      <c r="AA54" s="141"/>
      <c r="AB54" s="136"/>
      <c r="AC54" s="141"/>
      <c r="AD54" s="141"/>
      <c r="AE54" s="141"/>
      <c r="AF54" s="141"/>
      <c r="AG54" s="141"/>
      <c r="AH54" s="141"/>
      <c r="AI54" s="141"/>
      <c r="AJ54" s="141"/>
      <c r="AK54" s="141"/>
      <c r="AL54" s="141"/>
      <c r="AM54" s="141"/>
    </row>
    <row r="55" spans="1:39" x14ac:dyDescent="0.25">
      <c r="A55" s="141"/>
      <c r="B55" s="141"/>
      <c r="C55" s="141"/>
      <c r="D55" s="141"/>
      <c r="E55" s="141"/>
      <c r="F55" s="141"/>
      <c r="G55" s="141"/>
      <c r="H55" s="136"/>
      <c r="I55" s="136"/>
      <c r="J55" s="136"/>
      <c r="K55" s="141"/>
      <c r="L55" s="141"/>
      <c r="M55" s="141"/>
      <c r="N55" s="141"/>
      <c r="O55" s="141"/>
      <c r="P55" s="141"/>
      <c r="Q55" s="141"/>
      <c r="R55" s="136"/>
      <c r="S55" s="141"/>
      <c r="T55" s="141"/>
      <c r="U55" s="141"/>
      <c r="V55" s="141"/>
      <c r="W55" s="141"/>
      <c r="X55" s="141"/>
      <c r="Y55" s="141"/>
      <c r="Z55" s="141"/>
      <c r="AA55" s="141"/>
      <c r="AB55" s="136"/>
      <c r="AC55" s="141"/>
      <c r="AD55" s="141"/>
      <c r="AE55" s="141"/>
      <c r="AF55" s="141"/>
      <c r="AG55" s="141"/>
      <c r="AH55" s="141"/>
      <c r="AI55" s="141"/>
      <c r="AJ55" s="141"/>
      <c r="AK55" s="141"/>
      <c r="AL55" s="141"/>
      <c r="AM55" s="141"/>
    </row>
    <row r="56" spans="1:39" x14ac:dyDescent="0.25">
      <c r="A56" s="141"/>
      <c r="B56" s="141"/>
      <c r="C56" s="141"/>
      <c r="D56" s="141"/>
      <c r="E56" s="141"/>
      <c r="F56" s="141"/>
      <c r="G56" s="141"/>
      <c r="H56" s="136"/>
      <c r="I56" s="136"/>
      <c r="J56" s="136"/>
      <c r="K56" s="141"/>
      <c r="L56" s="141"/>
      <c r="M56" s="141"/>
      <c r="N56" s="141"/>
      <c r="O56" s="141"/>
      <c r="P56" s="141"/>
      <c r="Q56" s="141"/>
      <c r="R56" s="136"/>
      <c r="S56" s="141"/>
      <c r="T56" s="141"/>
      <c r="U56" s="141"/>
      <c r="V56" s="141"/>
      <c r="W56" s="141"/>
      <c r="X56" s="141"/>
      <c r="Y56" s="141"/>
      <c r="Z56" s="141"/>
      <c r="AA56" s="141"/>
      <c r="AB56" s="136"/>
      <c r="AC56" s="141"/>
      <c r="AD56" s="141"/>
      <c r="AE56" s="141"/>
      <c r="AF56" s="141"/>
      <c r="AG56" s="141"/>
      <c r="AH56" s="141"/>
      <c r="AI56" s="141"/>
      <c r="AJ56" s="141"/>
      <c r="AK56" s="141"/>
      <c r="AL56" s="141"/>
      <c r="AM56" s="141"/>
    </row>
    <row r="57" spans="1:39" x14ac:dyDescent="0.25">
      <c r="A57" s="141"/>
      <c r="B57" s="141"/>
      <c r="C57" s="141"/>
      <c r="D57" s="141"/>
      <c r="E57" s="141"/>
      <c r="F57" s="141"/>
      <c r="G57" s="141"/>
      <c r="H57" s="136"/>
      <c r="I57" s="136"/>
      <c r="J57" s="136"/>
      <c r="K57" s="141"/>
      <c r="L57" s="141"/>
      <c r="M57" s="141"/>
      <c r="N57" s="141"/>
      <c r="O57" s="141"/>
      <c r="P57" s="141"/>
      <c r="Q57" s="141"/>
      <c r="R57" s="136"/>
      <c r="S57" s="141"/>
      <c r="T57" s="141"/>
      <c r="U57" s="141"/>
      <c r="V57" s="141"/>
      <c r="W57" s="141"/>
      <c r="X57" s="141"/>
      <c r="Y57" s="141"/>
      <c r="Z57" s="141"/>
      <c r="AA57" s="141"/>
      <c r="AB57" s="136"/>
      <c r="AC57" s="141"/>
      <c r="AD57" s="141"/>
      <c r="AE57" s="141"/>
      <c r="AF57" s="141"/>
      <c r="AG57" s="141"/>
      <c r="AH57" s="141"/>
      <c r="AI57" s="141"/>
      <c r="AJ57" s="141"/>
      <c r="AK57" s="141"/>
      <c r="AL57" s="141"/>
      <c r="AM57" s="141"/>
    </row>
    <row r="58" spans="1:39" x14ac:dyDescent="0.25">
      <c r="A58" s="141"/>
      <c r="B58" s="141"/>
      <c r="C58" s="141"/>
      <c r="D58" s="141"/>
      <c r="E58" s="141"/>
      <c r="F58" s="141"/>
      <c r="G58" s="141"/>
      <c r="H58" s="136"/>
      <c r="I58" s="136"/>
      <c r="J58" s="136"/>
      <c r="K58" s="141"/>
      <c r="L58" s="141"/>
      <c r="M58" s="141"/>
      <c r="N58" s="141"/>
      <c r="O58" s="141"/>
      <c r="P58" s="141"/>
      <c r="Q58" s="141"/>
      <c r="R58" s="136"/>
      <c r="S58" s="141"/>
      <c r="T58" s="141"/>
      <c r="U58" s="141"/>
      <c r="V58" s="141"/>
      <c r="W58" s="141"/>
      <c r="X58" s="141"/>
      <c r="Y58" s="141"/>
      <c r="Z58" s="141"/>
      <c r="AA58" s="141"/>
      <c r="AB58" s="136"/>
      <c r="AC58" s="141"/>
      <c r="AD58" s="141"/>
      <c r="AE58" s="141"/>
      <c r="AF58" s="141"/>
      <c r="AG58" s="141"/>
      <c r="AH58" s="141"/>
      <c r="AI58" s="141"/>
      <c r="AJ58" s="141"/>
      <c r="AK58" s="141"/>
      <c r="AL58" s="141"/>
      <c r="AM58" s="141"/>
    </row>
    <row r="59" spans="1:39" x14ac:dyDescent="0.25">
      <c r="A59" s="141"/>
      <c r="B59" s="141"/>
      <c r="C59" s="141"/>
      <c r="D59" s="141"/>
      <c r="E59" s="141"/>
      <c r="F59" s="141"/>
      <c r="G59" s="141"/>
      <c r="H59" s="136"/>
      <c r="I59" s="136"/>
      <c r="J59" s="136"/>
      <c r="K59" s="141"/>
      <c r="L59" s="141"/>
      <c r="M59" s="141"/>
      <c r="N59" s="141"/>
      <c r="O59" s="141"/>
      <c r="P59" s="141"/>
      <c r="Q59" s="141"/>
      <c r="R59" s="136"/>
      <c r="S59" s="141"/>
      <c r="T59" s="141"/>
      <c r="U59" s="141"/>
      <c r="V59" s="141"/>
      <c r="W59" s="141"/>
      <c r="X59" s="141"/>
      <c r="Y59" s="141"/>
      <c r="Z59" s="141"/>
      <c r="AA59" s="141"/>
      <c r="AB59" s="136"/>
      <c r="AC59" s="141"/>
      <c r="AD59" s="141"/>
      <c r="AE59" s="141"/>
      <c r="AF59" s="141"/>
      <c r="AG59" s="141"/>
      <c r="AH59" s="141"/>
      <c r="AI59" s="141"/>
      <c r="AJ59" s="141"/>
      <c r="AK59" s="141"/>
      <c r="AL59" s="141"/>
      <c r="AM59" s="141"/>
    </row>
    <row r="60" spans="1:39" x14ac:dyDescent="0.25">
      <c r="A60" s="141"/>
      <c r="B60" s="141"/>
      <c r="C60" s="141"/>
      <c r="D60" s="141"/>
      <c r="E60" s="141"/>
      <c r="F60" s="141"/>
      <c r="G60" s="141"/>
      <c r="H60" s="136"/>
      <c r="I60" s="136"/>
      <c r="J60" s="136"/>
      <c r="K60" s="141"/>
      <c r="L60" s="141"/>
      <c r="M60" s="141"/>
      <c r="N60" s="141"/>
      <c r="O60" s="141"/>
      <c r="P60" s="141"/>
      <c r="Q60" s="141"/>
      <c r="R60" s="136"/>
      <c r="S60" s="141"/>
      <c r="T60" s="141"/>
      <c r="U60" s="141"/>
      <c r="V60" s="141"/>
      <c r="W60" s="141"/>
      <c r="X60" s="141"/>
      <c r="Y60" s="141"/>
      <c r="Z60" s="141"/>
      <c r="AA60" s="141"/>
      <c r="AB60" s="136"/>
      <c r="AC60" s="141"/>
      <c r="AD60" s="141"/>
      <c r="AE60" s="141"/>
      <c r="AF60" s="141"/>
      <c r="AG60" s="141"/>
      <c r="AH60" s="141"/>
      <c r="AI60" s="141"/>
      <c r="AJ60" s="141"/>
      <c r="AK60" s="141"/>
      <c r="AL60" s="141"/>
      <c r="AM60" s="141"/>
    </row>
    <row r="61" spans="1:39" x14ac:dyDescent="0.25">
      <c r="A61" s="141"/>
      <c r="B61" s="141"/>
      <c r="C61" s="141"/>
      <c r="D61" s="141"/>
      <c r="E61" s="141"/>
      <c r="F61" s="141"/>
      <c r="G61" s="141"/>
      <c r="H61" s="136"/>
      <c r="I61" s="136"/>
      <c r="J61" s="136"/>
      <c r="K61" s="141"/>
      <c r="L61" s="141"/>
      <c r="M61" s="141"/>
      <c r="N61" s="141"/>
      <c r="O61" s="141"/>
      <c r="P61" s="141"/>
      <c r="Q61" s="141"/>
      <c r="R61" s="136"/>
      <c r="S61" s="141"/>
      <c r="T61" s="141"/>
      <c r="U61" s="141"/>
      <c r="V61" s="141"/>
      <c r="W61" s="141"/>
      <c r="X61" s="141"/>
      <c r="Y61" s="141"/>
      <c r="Z61" s="141"/>
      <c r="AA61" s="141"/>
      <c r="AB61" s="136"/>
      <c r="AC61" s="141"/>
      <c r="AD61" s="141"/>
      <c r="AE61" s="141"/>
      <c r="AF61" s="141"/>
      <c r="AG61" s="141"/>
      <c r="AH61" s="141"/>
      <c r="AI61" s="141"/>
      <c r="AJ61" s="141"/>
      <c r="AK61" s="141"/>
      <c r="AL61" s="141"/>
      <c r="AM61" s="141"/>
    </row>
    <row r="62" spans="1:39" x14ac:dyDescent="0.25">
      <c r="A62" s="141"/>
      <c r="B62" s="141"/>
      <c r="C62" s="141"/>
      <c r="D62" s="141"/>
      <c r="E62" s="141"/>
      <c r="F62" s="141"/>
      <c r="G62" s="141"/>
      <c r="H62" s="136"/>
      <c r="I62" s="136"/>
      <c r="J62" s="136"/>
      <c r="K62" s="141"/>
      <c r="L62" s="141"/>
      <c r="M62" s="141"/>
      <c r="N62" s="141"/>
      <c r="O62" s="141"/>
      <c r="P62" s="141"/>
      <c r="Q62" s="141"/>
      <c r="R62" s="136"/>
      <c r="S62" s="141"/>
      <c r="T62" s="141"/>
      <c r="U62" s="141"/>
      <c r="V62" s="141"/>
      <c r="W62" s="141"/>
      <c r="X62" s="141"/>
      <c r="Y62" s="141"/>
      <c r="Z62" s="141"/>
      <c r="AA62" s="141"/>
      <c r="AB62" s="136"/>
      <c r="AC62" s="141"/>
      <c r="AD62" s="141"/>
      <c r="AE62" s="141"/>
      <c r="AF62" s="141"/>
      <c r="AG62" s="141"/>
      <c r="AH62" s="141"/>
      <c r="AI62" s="141"/>
      <c r="AJ62" s="141"/>
      <c r="AK62" s="141"/>
      <c r="AL62" s="141"/>
      <c r="AM62" s="141"/>
    </row>
    <row r="63" spans="1:39" x14ac:dyDescent="0.25">
      <c r="A63" s="141"/>
      <c r="B63" s="141"/>
      <c r="C63" s="141"/>
      <c r="D63" s="141"/>
      <c r="E63" s="141"/>
      <c r="F63" s="141"/>
      <c r="G63" s="141"/>
      <c r="H63" s="136"/>
      <c r="I63" s="136"/>
      <c r="J63" s="136"/>
      <c r="K63" s="141"/>
      <c r="L63" s="141"/>
      <c r="M63" s="141"/>
      <c r="N63" s="141"/>
      <c r="O63" s="141"/>
      <c r="P63" s="141"/>
      <c r="Q63" s="141"/>
      <c r="R63" s="136"/>
      <c r="S63" s="141"/>
      <c r="T63" s="141"/>
      <c r="U63" s="141"/>
      <c r="V63" s="141"/>
      <c r="W63" s="141"/>
      <c r="X63" s="141"/>
      <c r="Y63" s="141"/>
      <c r="Z63" s="141"/>
      <c r="AA63" s="141"/>
      <c r="AB63" s="136"/>
      <c r="AC63" s="141"/>
      <c r="AD63" s="141"/>
      <c r="AE63" s="141"/>
      <c r="AF63" s="141"/>
      <c r="AG63" s="141"/>
      <c r="AH63" s="141"/>
      <c r="AI63" s="141"/>
      <c r="AJ63" s="141"/>
      <c r="AK63" s="141"/>
      <c r="AL63" s="141"/>
      <c r="AM63" s="141"/>
    </row>
    <row r="64" spans="1:39" x14ac:dyDescent="0.25">
      <c r="A64" s="141"/>
      <c r="B64" s="141"/>
      <c r="C64" s="141"/>
      <c r="D64" s="141"/>
      <c r="E64" s="141"/>
      <c r="F64" s="141"/>
      <c r="G64" s="141"/>
      <c r="H64" s="136"/>
      <c r="I64" s="136"/>
      <c r="J64" s="136"/>
      <c r="K64" s="141"/>
      <c r="L64" s="141"/>
      <c r="M64" s="141"/>
      <c r="N64" s="141"/>
      <c r="O64" s="141"/>
      <c r="P64" s="141"/>
      <c r="Q64" s="141"/>
      <c r="R64" s="136"/>
      <c r="S64" s="141"/>
      <c r="T64" s="141"/>
      <c r="U64" s="141"/>
      <c r="V64" s="141"/>
      <c r="W64" s="141"/>
      <c r="X64" s="141"/>
      <c r="Y64" s="141"/>
      <c r="Z64" s="141"/>
      <c r="AA64" s="141"/>
      <c r="AB64" s="136"/>
      <c r="AC64" s="141"/>
      <c r="AD64" s="141"/>
      <c r="AE64" s="141"/>
      <c r="AF64" s="141"/>
      <c r="AG64" s="141"/>
      <c r="AH64" s="141"/>
      <c r="AI64" s="141"/>
      <c r="AJ64" s="141"/>
      <c r="AK64" s="141"/>
      <c r="AL64" s="141"/>
      <c r="AM64" s="141"/>
    </row>
    <row r="65" spans="1:39" x14ac:dyDescent="0.25">
      <c r="A65" s="141"/>
      <c r="B65" s="141"/>
      <c r="C65" s="141"/>
      <c r="D65" s="141"/>
      <c r="E65" s="141"/>
      <c r="F65" s="141"/>
      <c r="G65" s="141"/>
      <c r="H65" s="136"/>
      <c r="I65" s="136"/>
      <c r="J65" s="136"/>
      <c r="K65" s="141"/>
      <c r="L65" s="141"/>
      <c r="M65" s="141"/>
      <c r="N65" s="141"/>
      <c r="O65" s="141"/>
      <c r="P65" s="141"/>
      <c r="Q65" s="141"/>
      <c r="R65" s="136"/>
      <c r="S65" s="141"/>
      <c r="T65" s="141"/>
      <c r="U65" s="141"/>
      <c r="V65" s="141"/>
      <c r="W65" s="141"/>
      <c r="X65" s="141"/>
      <c r="Y65" s="141"/>
      <c r="Z65" s="141"/>
      <c r="AA65" s="141"/>
      <c r="AB65" s="136"/>
      <c r="AC65" s="141"/>
      <c r="AD65" s="141"/>
      <c r="AE65" s="141"/>
      <c r="AF65" s="141"/>
      <c r="AG65" s="141"/>
      <c r="AH65" s="141"/>
      <c r="AI65" s="141"/>
      <c r="AJ65" s="141"/>
      <c r="AK65" s="141"/>
      <c r="AL65" s="141"/>
      <c r="AM65" s="141"/>
    </row>
    <row r="66" spans="1:39" x14ac:dyDescent="0.25">
      <c r="A66" s="141"/>
      <c r="B66" s="141"/>
      <c r="C66" s="141"/>
      <c r="D66" s="141"/>
      <c r="E66" s="141"/>
      <c r="F66" s="141"/>
      <c r="G66" s="141"/>
      <c r="H66" s="136"/>
      <c r="I66" s="136"/>
      <c r="J66" s="136"/>
      <c r="K66" s="141"/>
      <c r="L66" s="141"/>
      <c r="M66" s="141"/>
      <c r="N66" s="141"/>
      <c r="O66" s="141"/>
      <c r="P66" s="141"/>
      <c r="Q66" s="141"/>
      <c r="R66" s="136"/>
      <c r="S66" s="141"/>
      <c r="T66" s="141"/>
      <c r="U66" s="141"/>
      <c r="V66" s="141"/>
      <c r="W66" s="141"/>
      <c r="X66" s="141"/>
      <c r="Y66" s="141"/>
      <c r="Z66" s="141"/>
      <c r="AA66" s="141"/>
      <c r="AB66" s="136"/>
      <c r="AC66" s="141"/>
      <c r="AD66" s="141"/>
      <c r="AE66" s="141"/>
      <c r="AF66" s="141"/>
      <c r="AG66" s="141"/>
      <c r="AH66" s="141"/>
      <c r="AI66" s="141"/>
      <c r="AJ66" s="141"/>
      <c r="AK66" s="141"/>
      <c r="AL66" s="141"/>
      <c r="AM66" s="141"/>
    </row>
    <row r="67" spans="1:39" x14ac:dyDescent="0.25">
      <c r="A67" s="141"/>
      <c r="B67" s="141"/>
      <c r="C67" s="141"/>
      <c r="D67" s="141"/>
      <c r="E67" s="141"/>
      <c r="F67" s="141"/>
      <c r="G67" s="141"/>
      <c r="H67" s="136"/>
      <c r="I67" s="136"/>
      <c r="J67" s="136"/>
      <c r="K67" s="141"/>
      <c r="L67" s="141"/>
      <c r="M67" s="141"/>
      <c r="N67" s="141"/>
      <c r="O67" s="141"/>
      <c r="P67" s="141"/>
      <c r="Q67" s="141"/>
      <c r="R67" s="136"/>
      <c r="S67" s="141"/>
      <c r="T67" s="141"/>
      <c r="U67" s="141"/>
      <c r="V67" s="141"/>
      <c r="W67" s="141"/>
      <c r="X67" s="141"/>
      <c r="Y67" s="141"/>
      <c r="Z67" s="141"/>
      <c r="AA67" s="141"/>
      <c r="AB67" s="136"/>
      <c r="AC67" s="141"/>
      <c r="AD67" s="141"/>
      <c r="AE67" s="141"/>
      <c r="AF67" s="141"/>
      <c r="AG67" s="141"/>
      <c r="AH67" s="141"/>
      <c r="AI67" s="141"/>
      <c r="AJ67" s="141"/>
      <c r="AK67" s="141"/>
      <c r="AL67" s="141"/>
      <c r="AM67" s="141"/>
    </row>
  </sheetData>
  <sheetProtection algorithmName="SHA-512" hashValue="LkKrQF5Ik1eaH1s9kGSgjNhOSTyIOJH3eKjw9u539cM6p/icDAuvWvGNSx2CdqTNz001nIs57VgaCDcGoJJ1MQ==" saltValue="xVpPoO3gx8wEERw0KL02A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250" priority="20">
      <formula>$E10="EXCLUDE"</formula>
    </cfRule>
  </conditionalFormatting>
  <conditionalFormatting sqref="O8:O9">
    <cfRule type="expression" dxfId="249" priority="22">
      <formula>$E$3="CIA"</formula>
    </cfRule>
  </conditionalFormatting>
  <conditionalFormatting sqref="Q8:Q9">
    <cfRule type="expression" dxfId="248" priority="21">
      <formula>$E$3="CIA"</formula>
    </cfRule>
  </conditionalFormatting>
  <conditionalFormatting sqref="K9:K30">
    <cfRule type="expression" dxfId="247" priority="11">
      <formula>$E$3="CIA"</formula>
    </cfRule>
  </conditionalFormatting>
  <conditionalFormatting sqref="L10:L30">
    <cfRule type="expression" dxfId="246" priority="12">
      <formula>$AF10="ABOVE"</formula>
    </cfRule>
  </conditionalFormatting>
  <conditionalFormatting sqref="I35">
    <cfRule type="expression" dxfId="245" priority="82">
      <formula>$K$36&gt;0</formula>
    </cfRule>
    <cfRule type="expression" dxfId="244" priority="83">
      <formula>$I$35&lt;$I$33</formula>
    </cfRule>
    <cfRule type="expression" dxfId="243" priority="84">
      <formula>$I$35&gt;$I$33</formula>
    </cfRule>
  </conditionalFormatting>
  <conditionalFormatting sqref="D10:D30">
    <cfRule type="expression" dxfId="242" priority="23">
      <formula>$E$3="CIA"</formula>
    </cfRule>
  </conditionalFormatting>
  <conditionalFormatting sqref="K10:K30">
    <cfRule type="expression" dxfId="241" priority="10">
      <formula>$D10&lt;&gt;"%"</formula>
    </cfRule>
  </conditionalFormatting>
  <conditionalFormatting sqref="K27">
    <cfRule type="expression" dxfId="240" priority="8">
      <formula>$K$27&lt;0</formula>
    </cfRule>
  </conditionalFormatting>
  <conditionalFormatting sqref="O10:Q30">
    <cfRule type="expression" dxfId="239" priority="6">
      <formula>$D10&lt;&gt;"%"</formula>
    </cfRule>
  </conditionalFormatting>
  <conditionalFormatting sqref="O10:O30">
    <cfRule type="expression" dxfId="238" priority="5">
      <formula>$E$3="CIA"</formula>
    </cfRule>
  </conditionalFormatting>
  <conditionalFormatting sqref="Q10:Q30">
    <cfRule type="expression" dxfId="237" priority="4">
      <formula>$E$3="CIA"</formula>
    </cfRule>
  </conditionalFormatting>
  <conditionalFormatting sqref="S10:U30">
    <cfRule type="expression" dxfId="236" priority="3">
      <formula>$D10&lt;&gt;"%"</formula>
    </cfRule>
  </conditionalFormatting>
  <conditionalFormatting sqref="S10:S30">
    <cfRule type="expression" dxfId="235" priority="2">
      <formula>$E$3="CIA"</formula>
    </cfRule>
  </conditionalFormatting>
  <conditionalFormatting sqref="U10:U30">
    <cfRule type="expression" dxfId="234"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31A2DF-A481-44EF-B467-285ECCC50C38}">
  <sheetPr codeName="Sheet1_7">
    <tabColor rgb="FFFFC000"/>
    <pageSetUpPr fitToPage="1"/>
  </sheetPr>
  <dimension ref="A1:AE179"/>
  <sheetViews>
    <sheetView showGridLines="0" zoomScale="80" zoomScaleNormal="80" workbookViewId="0">
      <selection activeCell="G89" sqref="G89"/>
    </sheetView>
  </sheetViews>
  <sheetFormatPr defaultColWidth="8.85546875" defaultRowHeight="15" x14ac:dyDescent="0.25"/>
  <cols>
    <col min="1" max="1" width="1" style="1090" customWidth="1"/>
    <col min="2" max="2" width="3.7109375" style="1090" customWidth="1"/>
    <col min="3" max="3" width="27.7109375" style="1090" hidden="1" customWidth="1"/>
    <col min="4" max="4" width="26.28515625" style="1094" customWidth="1"/>
    <col min="5" max="5" width="31.7109375" style="1090" customWidth="1"/>
    <col min="6" max="6" width="9" style="1090" customWidth="1"/>
    <col min="7" max="7" width="36.5703125" style="1090" customWidth="1"/>
    <col min="8" max="8" width="4.85546875" style="1090" customWidth="1"/>
    <col min="9" max="9" width="25.7109375" style="1090" customWidth="1"/>
    <col min="10" max="10" width="4.85546875" style="1090" customWidth="1"/>
    <col min="11" max="11" width="26.5703125" style="1090" customWidth="1"/>
    <col min="12" max="12" width="4.7109375" style="1090" customWidth="1"/>
    <col min="13" max="13" width="25.7109375" style="1090" customWidth="1"/>
    <col min="14" max="14" width="4.85546875" style="1090" customWidth="1"/>
    <col min="15" max="15" width="25.7109375" style="1090" customWidth="1"/>
    <col min="16" max="16" width="6.7109375" style="1090" customWidth="1"/>
    <col min="17" max="17" width="2.85546875" style="1090" customWidth="1"/>
    <col min="18" max="18" width="8" style="1091" bestFit="1" customWidth="1"/>
    <col min="19" max="19" width="9.5703125" style="1090" bestFit="1" customWidth="1"/>
    <col min="20" max="20" width="13" style="1090" bestFit="1" customWidth="1"/>
    <col min="21" max="21" width="12.7109375" style="1090" customWidth="1"/>
    <col min="22" max="22" width="8.42578125" style="1090" customWidth="1"/>
    <col min="23" max="16384" width="8.85546875" style="1090"/>
  </cols>
  <sheetData>
    <row r="1" spans="1:31" ht="5.45" customHeight="1" thickBot="1" x14ac:dyDescent="0.3"/>
    <row r="2" spans="1:31" s="1091" customFormat="1" ht="22.5" customHeight="1" thickBot="1" x14ac:dyDescent="0.4">
      <c r="A2" s="1093"/>
      <c r="B2" s="511"/>
      <c r="C2" s="1093"/>
      <c r="D2" s="1113" t="s">
        <v>1573</v>
      </c>
      <c r="E2" s="1093"/>
      <c r="F2" s="175"/>
      <c r="G2" s="176"/>
      <c r="H2" s="1093"/>
      <c r="I2" s="511"/>
      <c r="J2" s="1093"/>
      <c r="K2" s="1093"/>
      <c r="L2" s="1093"/>
      <c r="M2" s="1093"/>
      <c r="N2" s="1093"/>
      <c r="O2" s="1093"/>
      <c r="P2" s="1093"/>
      <c r="Q2" s="512"/>
      <c r="S2" s="178"/>
      <c r="T2" s="179"/>
      <c r="U2" s="179"/>
      <c r="V2" s="179"/>
      <c r="W2" s="179"/>
      <c r="X2" s="179"/>
      <c r="Y2" s="179"/>
      <c r="Z2" s="179"/>
      <c r="AA2" s="179"/>
      <c r="AB2" s="179"/>
      <c r="AC2" s="179"/>
      <c r="AD2" s="179"/>
      <c r="AE2" s="179"/>
    </row>
    <row r="3" spans="1:31" s="1091" customFormat="1" ht="18" customHeight="1" thickBot="1" x14ac:dyDescent="0.3">
      <c r="D3" s="1114"/>
      <c r="G3" s="1106" t="s">
        <v>1268</v>
      </c>
      <c r="H3" s="1311">
        <f>Welcome!$D$8</f>
        <v>0</v>
      </c>
      <c r="I3" s="1312"/>
      <c r="J3" s="1090"/>
      <c r="K3" s="1106" t="s">
        <v>110</v>
      </c>
      <c r="L3" s="1313">
        <f>IFERROR(VLOOKUP($L$4,'Market Geography'!$D:$G,4,FALSE),0)</f>
        <v>0</v>
      </c>
      <c r="M3" s="1314"/>
      <c r="N3" s="748"/>
      <c r="O3" s="748"/>
      <c r="P3" s="748"/>
      <c r="Q3" s="181"/>
      <c r="R3" s="179"/>
      <c r="S3" s="182"/>
      <c r="T3" s="179"/>
      <c r="U3" s="179"/>
      <c r="V3" s="179"/>
      <c r="W3" s="179"/>
      <c r="X3" s="179"/>
      <c r="Y3" s="179"/>
      <c r="Z3" s="179"/>
      <c r="AA3" s="179"/>
      <c r="AB3" s="179"/>
      <c r="AC3" s="179"/>
      <c r="AD3" s="179"/>
      <c r="AE3" s="179"/>
    </row>
    <row r="4" spans="1:31" s="1091" customFormat="1" ht="18" customHeight="1" thickBot="1" x14ac:dyDescent="0.3">
      <c r="D4" s="1109" t="s">
        <v>1571</v>
      </c>
      <c r="E4" s="1110" t="s">
        <v>653</v>
      </c>
      <c r="G4" s="1107" t="s">
        <v>1269</v>
      </c>
      <c r="H4" s="1315" t="str">
        <f>Welcome!$D$12</f>
        <v>Select Term</v>
      </c>
      <c r="I4" s="1316"/>
      <c r="J4" s="183"/>
      <c r="K4" s="1107" t="s">
        <v>883</v>
      </c>
      <c r="L4" s="1301">
        <f>Welcome!$D$4</f>
        <v>0</v>
      </c>
      <c r="M4" s="1302"/>
      <c r="N4" s="748"/>
      <c r="O4" s="748"/>
      <c r="P4" s="748"/>
      <c r="Q4" s="181"/>
      <c r="R4" s="179"/>
      <c r="S4" s="182"/>
      <c r="T4" s="179"/>
      <c r="U4" s="179"/>
      <c r="V4" s="179"/>
      <c r="W4" s="179"/>
      <c r="X4" s="179"/>
      <c r="Y4" s="179"/>
      <c r="Z4" s="179"/>
      <c r="AA4" s="179"/>
      <c r="AB4" s="179"/>
      <c r="AC4" s="179"/>
      <c r="AD4" s="179"/>
      <c r="AE4" s="179"/>
    </row>
    <row r="5" spans="1:31" s="1091" customFormat="1" ht="18" customHeight="1" thickBot="1" x14ac:dyDescent="0.3">
      <c r="D5" s="1111"/>
      <c r="E5" s="79"/>
      <c r="G5" s="1107" t="s">
        <v>1276</v>
      </c>
      <c r="H5" s="1317">
        <f>'PIM Model'!$G$31</f>
        <v>0</v>
      </c>
      <c r="I5" s="1318"/>
      <c r="J5" s="1090"/>
      <c r="K5" s="1107" t="s">
        <v>107</v>
      </c>
      <c r="L5" s="1301" t="str">
        <f>'Multi-Customer'!$S$49</f>
        <v>Enter Customer(s)</v>
      </c>
      <c r="M5" s="1302"/>
      <c r="N5" s="748"/>
      <c r="O5" s="748"/>
      <c r="P5" s="748"/>
      <c r="Q5" s="181"/>
      <c r="R5" s="179"/>
      <c r="S5" s="182"/>
      <c r="T5" s="179"/>
      <c r="U5" s="179"/>
      <c r="V5" s="179"/>
      <c r="W5" s="179"/>
      <c r="X5" s="179"/>
      <c r="Y5" s="179"/>
      <c r="Z5" s="179"/>
      <c r="AA5" s="179"/>
      <c r="AB5" s="179"/>
      <c r="AC5" s="179"/>
      <c r="AD5" s="179"/>
      <c r="AE5" s="179"/>
    </row>
    <row r="6" spans="1:31" s="1091" customFormat="1" ht="18" customHeight="1" thickBot="1" x14ac:dyDescent="0.3">
      <c r="D6" s="1112" t="s">
        <v>1572</v>
      </c>
      <c r="E6" s="1193" t="s">
        <v>655</v>
      </c>
      <c r="G6" s="1107" t="s">
        <v>1277</v>
      </c>
      <c r="H6" s="1299">
        <f>'Variable Costs (Back)'!$K$26</f>
        <v>0</v>
      </c>
      <c r="I6" s="1300"/>
      <c r="J6" s="1090"/>
      <c r="K6" s="1107" t="s">
        <v>1286</v>
      </c>
      <c r="L6" s="1301" t="str">
        <f>'Multi-Customer'!$AH$40</f>
        <v>MULTIPLE TYPES</v>
      </c>
      <c r="M6" s="1302"/>
      <c r="N6" s="748"/>
      <c r="O6" s="748"/>
      <c r="P6" s="748"/>
      <c r="Q6" s="181"/>
      <c r="R6" s="179"/>
      <c r="S6" s="182"/>
      <c r="T6" s="179"/>
      <c r="U6" s="179"/>
      <c r="V6" s="179"/>
      <c r="W6" s="179"/>
      <c r="X6" s="179"/>
      <c r="Y6" s="179"/>
      <c r="Z6" s="179"/>
      <c r="AA6" s="179"/>
      <c r="AB6" s="179"/>
      <c r="AC6" s="179"/>
      <c r="AD6" s="179"/>
      <c r="AE6" s="179"/>
    </row>
    <row r="7" spans="1:31" s="1091" customFormat="1" ht="15.75" thickBot="1" x14ac:dyDescent="0.3">
      <c r="D7" s="1114"/>
      <c r="G7" s="1108" t="s">
        <v>1278</v>
      </c>
      <c r="H7" s="1303">
        <f>IFERROR('PIM Ranges'!$AU$3,0)</f>
        <v>0</v>
      </c>
      <c r="I7" s="1304"/>
      <c r="J7" s="1090"/>
      <c r="K7" s="1108" t="s">
        <v>1279</v>
      </c>
      <c r="L7" s="1305" t="s">
        <v>206</v>
      </c>
      <c r="M7" s="1306"/>
      <c r="N7" s="1115"/>
      <c r="O7" s="1115"/>
      <c r="P7" s="1115"/>
      <c r="Q7" s="181"/>
      <c r="R7" s="179"/>
      <c r="S7" s="182"/>
      <c r="T7" s="179"/>
      <c r="U7" s="179"/>
      <c r="V7" s="179"/>
      <c r="W7" s="179"/>
      <c r="X7" s="179"/>
      <c r="Y7" s="179"/>
      <c r="Z7" s="179"/>
      <c r="AA7" s="179"/>
      <c r="AB7" s="179"/>
      <c r="AC7" s="179"/>
      <c r="AD7" s="179"/>
      <c r="AE7" s="179"/>
    </row>
    <row r="8" spans="1:31" s="1091" customFormat="1" ht="18" customHeight="1" thickBot="1" x14ac:dyDescent="0.3">
      <c r="D8" s="1114"/>
      <c r="F8" s="138"/>
      <c r="I8" s="179"/>
      <c r="J8" s="179"/>
      <c r="K8" s="179"/>
      <c r="L8" s="179"/>
      <c r="M8" s="179"/>
      <c r="N8" s="179"/>
      <c r="O8" s="179"/>
      <c r="P8" s="179"/>
      <c r="Q8" s="184"/>
      <c r="R8" s="179"/>
      <c r="S8" s="182"/>
      <c r="T8" s="179"/>
      <c r="U8" s="179"/>
      <c r="V8" s="179"/>
      <c r="W8" s="179"/>
      <c r="X8" s="179"/>
      <c r="Y8" s="179"/>
      <c r="Z8" s="179"/>
      <c r="AA8" s="179"/>
      <c r="AB8" s="179"/>
      <c r="AC8" s="179"/>
      <c r="AD8" s="179"/>
      <c r="AE8" s="179"/>
    </row>
    <row r="9" spans="1:31" s="1091" customFormat="1" ht="16.5" customHeight="1" x14ac:dyDescent="0.25">
      <c r="D9" s="1192"/>
      <c r="F9" s="138"/>
      <c r="G9" s="185" t="s">
        <v>899</v>
      </c>
      <c r="H9" s="1307">
        <f>IFERROR('PIM Model'!$G$31,0)</f>
        <v>0</v>
      </c>
      <c r="I9" s="1308"/>
      <c r="L9" s="179"/>
      <c r="M9" s="179"/>
      <c r="N9" s="179"/>
      <c r="O9" s="179"/>
      <c r="P9" s="179"/>
      <c r="Q9" s="184"/>
      <c r="R9" s="179"/>
      <c r="S9" s="182"/>
      <c r="T9" s="179"/>
      <c r="U9" s="179"/>
      <c r="V9" s="179"/>
      <c r="W9" s="179"/>
      <c r="X9" s="179"/>
      <c r="Y9" s="179"/>
      <c r="Z9" s="179"/>
      <c r="AA9" s="179"/>
      <c r="AB9" s="179"/>
      <c r="AC9" s="179"/>
      <c r="AD9" s="179"/>
      <c r="AE9" s="179"/>
    </row>
    <row r="10" spans="1:31" s="1091" customFormat="1" ht="18" customHeight="1" thickBot="1" x14ac:dyDescent="0.3">
      <c r="D10" s="1114"/>
      <c r="F10" s="138"/>
      <c r="G10" s="186" t="s">
        <v>900</v>
      </c>
      <c r="H10" s="1309">
        <f>IFERROR('PIM Model'!$G$32,0)</f>
        <v>0</v>
      </c>
      <c r="I10" s="1310"/>
      <c r="L10" s="179"/>
      <c r="M10" s="179"/>
      <c r="N10" s="179"/>
      <c r="O10" s="179"/>
      <c r="P10" s="179"/>
      <c r="Q10" s="184"/>
      <c r="R10" s="179"/>
      <c r="S10" s="182"/>
      <c r="T10" s="179"/>
      <c r="U10" s="179"/>
      <c r="V10" s="179"/>
      <c r="W10" s="179"/>
      <c r="X10" s="179"/>
      <c r="Y10" s="179"/>
      <c r="Z10" s="179"/>
      <c r="AA10" s="179"/>
      <c r="AB10" s="179"/>
      <c r="AC10" s="179"/>
      <c r="AD10" s="179"/>
      <c r="AE10" s="179"/>
    </row>
    <row r="11" spans="1:31" s="1091" customFormat="1" ht="18" customHeight="1" x14ac:dyDescent="0.25">
      <c r="D11" s="1114"/>
      <c r="F11" s="138"/>
      <c r="I11" s="179"/>
      <c r="J11" s="179"/>
      <c r="K11" s="179"/>
      <c r="L11" s="179"/>
      <c r="M11" s="179"/>
      <c r="N11" s="179"/>
      <c r="O11" s="179"/>
      <c r="P11" s="179"/>
      <c r="Q11" s="184"/>
      <c r="R11" s="179"/>
      <c r="S11" s="182"/>
      <c r="T11" s="179"/>
      <c r="U11" s="179"/>
      <c r="V11" s="179"/>
      <c r="W11" s="179"/>
      <c r="X11" s="179"/>
      <c r="Y11" s="179"/>
      <c r="Z11" s="179"/>
      <c r="AA11" s="179"/>
      <c r="AB11" s="179"/>
      <c r="AC11" s="179"/>
      <c r="AD11" s="179"/>
      <c r="AE11" s="179"/>
    </row>
    <row r="12" spans="1:31" s="1091" customFormat="1" ht="21.75" customHeight="1" thickBot="1" x14ac:dyDescent="0.3">
      <c r="A12" s="1116"/>
      <c r="B12" s="258"/>
      <c r="C12" s="188"/>
      <c r="D12" s="1295" t="s">
        <v>901</v>
      </c>
      <c r="E12" s="1295"/>
      <c r="F12" s="189"/>
      <c r="G12" s="1296"/>
      <c r="H12" s="1297"/>
      <c r="I12" s="190"/>
      <c r="J12" s="1298"/>
      <c r="K12" s="1298"/>
      <c r="L12" s="188"/>
      <c r="M12" s="188"/>
      <c r="N12" s="188"/>
      <c r="O12" s="188"/>
      <c r="P12" s="191"/>
      <c r="Q12" s="181"/>
      <c r="R12" s="179"/>
      <c r="S12" s="179"/>
      <c r="T12" s="179"/>
      <c r="U12" s="179"/>
      <c r="V12" s="179"/>
      <c r="W12" s="179"/>
      <c r="X12" s="179"/>
      <c r="Y12" s="179"/>
      <c r="Z12" s="179"/>
      <c r="AA12" s="179"/>
      <c r="AB12" s="179"/>
      <c r="AC12" s="179"/>
    </row>
    <row r="13" spans="1:31" s="1091" customFormat="1" ht="18" customHeight="1" thickBot="1" x14ac:dyDescent="0.3">
      <c r="A13" s="1116"/>
      <c r="B13" s="253"/>
      <c r="C13" s="147"/>
      <c r="D13" s="1117" t="s">
        <v>529</v>
      </c>
      <c r="E13" s="1191" t="s">
        <v>655</v>
      </c>
      <c r="F13" s="352"/>
      <c r="G13" s="238" t="s">
        <v>1574</v>
      </c>
      <c r="H13" s="659"/>
      <c r="I13" s="238" t="s">
        <v>1575</v>
      </c>
      <c r="J13" s="41"/>
      <c r="K13" s="238" t="s">
        <v>873</v>
      </c>
      <c r="L13" s="147"/>
      <c r="M13" s="199" t="s">
        <v>1576</v>
      </c>
      <c r="N13" s="147"/>
      <c r="O13" s="147"/>
      <c r="P13" s="194"/>
      <c r="Q13" s="181"/>
      <c r="R13" s="179"/>
      <c r="S13" s="179"/>
      <c r="T13" s="179"/>
      <c r="U13" s="179"/>
      <c r="V13" s="179"/>
      <c r="W13" s="179"/>
      <c r="X13" s="179"/>
      <c r="Y13" s="179"/>
      <c r="Z13" s="179"/>
      <c r="AA13" s="179"/>
      <c r="AB13" s="179"/>
      <c r="AC13" s="179"/>
    </row>
    <row r="14" spans="1:31" s="1091" customFormat="1" ht="18" customHeight="1" thickBot="1" x14ac:dyDescent="0.3">
      <c r="A14" s="1116"/>
      <c r="B14" s="253"/>
      <c r="C14" s="147"/>
      <c r="D14" s="1119" t="s">
        <v>1577</v>
      </c>
      <c r="E14" s="1195" t="s">
        <v>1578</v>
      </c>
      <c r="F14" s="193"/>
      <c r="G14" s="1194"/>
      <c r="H14" s="750"/>
      <c r="I14" s="1194"/>
      <c r="J14" s="147"/>
      <c r="K14" s="1194"/>
      <c r="L14" s="147"/>
      <c r="M14" s="1122"/>
      <c r="N14" s="147"/>
      <c r="O14" s="147"/>
      <c r="P14" s="194"/>
      <c r="Q14" s="181"/>
      <c r="R14" s="179"/>
      <c r="S14" s="705"/>
      <c r="T14" s="179"/>
      <c r="U14" s="179"/>
      <c r="V14" s="179"/>
      <c r="W14" s="179"/>
      <c r="X14" s="179"/>
      <c r="Y14" s="179"/>
      <c r="Z14" s="179"/>
      <c r="AA14" s="179"/>
      <c r="AB14" s="179"/>
      <c r="AC14" s="179"/>
    </row>
    <row r="15" spans="1:31" s="1091" customFormat="1" ht="15.75" thickBot="1" x14ac:dyDescent="0.3">
      <c r="A15" s="1116"/>
      <c r="B15" s="253"/>
      <c r="C15" s="147"/>
      <c r="D15" s="1123"/>
      <c r="E15" s="196"/>
      <c r="F15" s="196"/>
      <c r="G15" s="660"/>
      <c r="H15" s="659"/>
      <c r="I15" s="147"/>
      <c r="J15" s="147"/>
      <c r="K15" s="147"/>
      <c r="L15" s="147"/>
      <c r="M15" s="147"/>
      <c r="N15" s="147"/>
      <c r="O15" s="147"/>
      <c r="P15" s="194"/>
      <c r="Q15" s="181"/>
      <c r="R15" s="179"/>
      <c r="S15" s="705" t="str">
        <f>IF($E15="NO","",IF($I14="Select Payment Method","X",""))</f>
        <v/>
      </c>
      <c r="T15" s="179"/>
      <c r="U15" s="179"/>
      <c r="V15" s="179"/>
      <c r="W15" s="179"/>
      <c r="X15" s="179"/>
      <c r="Y15" s="179"/>
      <c r="Z15" s="179"/>
      <c r="AA15" s="179"/>
      <c r="AB15" s="179"/>
      <c r="AC15" s="179"/>
    </row>
    <row r="16" spans="1:31" s="1091" customFormat="1" ht="18" customHeight="1" thickBot="1" x14ac:dyDescent="0.3">
      <c r="A16" s="1116"/>
      <c r="B16" s="253"/>
      <c r="C16" s="147"/>
      <c r="D16" s="1124" t="s">
        <v>1579</v>
      </c>
      <c r="E16" s="1125" t="str">
        <f>IF(Welcome!$D$6="New",IF('Required Info to Submit'!F$14="","",'Required Info to Submit'!F$14),"")</f>
        <v/>
      </c>
      <c r="F16" s="196"/>
      <c r="G16" s="198" t="s">
        <v>521</v>
      </c>
      <c r="H16" s="659"/>
      <c r="I16" s="147"/>
      <c r="J16" s="147"/>
      <c r="K16" s="147"/>
      <c r="L16" s="147"/>
      <c r="M16" s="147"/>
      <c r="N16" s="147"/>
      <c r="O16" s="147"/>
      <c r="P16" s="194"/>
      <c r="Q16" s="181"/>
      <c r="R16" s="179"/>
      <c r="S16" s="705"/>
      <c r="T16" s="179"/>
      <c r="U16" s="179"/>
      <c r="V16" s="179"/>
      <c r="W16" s="179"/>
      <c r="X16" s="179"/>
      <c r="Y16" s="179"/>
      <c r="Z16" s="179"/>
      <c r="AA16" s="179"/>
      <c r="AB16" s="179"/>
      <c r="AC16" s="179"/>
    </row>
    <row r="17" spans="1:29" s="1091" customFormat="1" ht="18" customHeight="1" thickBot="1" x14ac:dyDescent="0.3">
      <c r="A17" s="1116"/>
      <c r="B17" s="253"/>
      <c r="C17" s="147"/>
      <c r="D17" s="1124" t="s">
        <v>1580</v>
      </c>
      <c r="E17" s="1126" t="str">
        <f>IF(Welcome!$D$6="New",IF('Required Info to Submit'!F$17="","",'Required Info to Submit'!F$17),"")</f>
        <v/>
      </c>
      <c r="F17" s="196"/>
      <c r="G17" s="1127">
        <f>$H$9/52</f>
        <v>0</v>
      </c>
      <c r="H17" s="659"/>
      <c r="I17" s="147"/>
      <c r="J17" s="147"/>
      <c r="K17" s="147"/>
      <c r="L17" s="147"/>
      <c r="M17" s="192"/>
      <c r="N17" s="889"/>
      <c r="O17" s="192"/>
      <c r="P17" s="194"/>
      <c r="Q17" s="181"/>
      <c r="R17" s="179"/>
      <c r="S17" s="705"/>
      <c r="T17" s="179"/>
      <c r="U17" s="179"/>
      <c r="V17" s="179"/>
      <c r="W17" s="179"/>
      <c r="X17" s="179"/>
      <c r="Y17" s="179"/>
      <c r="Z17" s="179"/>
      <c r="AA17" s="179"/>
      <c r="AB17" s="179"/>
      <c r="AC17" s="179"/>
    </row>
    <row r="18" spans="1:29" s="1091" customFormat="1" ht="15.75" customHeight="1" thickBot="1" x14ac:dyDescent="0.3">
      <c r="A18" s="1116"/>
      <c r="B18" s="253"/>
      <c r="C18" s="147"/>
      <c r="D18" s="1123"/>
      <c r="E18" s="196"/>
      <c r="F18" s="196"/>
      <c r="G18" s="199" t="s">
        <v>1581</v>
      </c>
      <c r="H18" s="659"/>
      <c r="I18" s="199" t="s">
        <v>1582</v>
      </c>
      <c r="J18" s="147"/>
      <c r="K18" s="199" t="s">
        <v>1583</v>
      </c>
      <c r="L18" s="147"/>
      <c r="M18" s="889"/>
      <c r="N18" s="889"/>
      <c r="O18" s="6" t="s">
        <v>494</v>
      </c>
      <c r="P18" s="194"/>
      <c r="Q18" s="181"/>
      <c r="R18" s="179"/>
      <c r="S18" s="705"/>
      <c r="T18" s="179"/>
      <c r="U18" s="179"/>
      <c r="V18" s="179"/>
      <c r="W18" s="179"/>
      <c r="X18" s="179"/>
      <c r="Y18" s="179"/>
      <c r="Z18" s="179"/>
      <c r="AA18" s="179"/>
      <c r="AB18" s="179"/>
      <c r="AC18" s="179"/>
    </row>
    <row r="19" spans="1:29" s="1091" customFormat="1" ht="18" customHeight="1" x14ac:dyDescent="0.25">
      <c r="A19" s="1116"/>
      <c r="B19" s="253"/>
      <c r="C19" s="147"/>
      <c r="D19" s="1128" t="s">
        <v>526</v>
      </c>
      <c r="E19" s="1129">
        <f>IF(G19="",0,(G19-$G$17)/$G$17)</f>
        <v>0</v>
      </c>
      <c r="F19" s="1130" t="s">
        <v>1051</v>
      </c>
      <c r="G19" s="1127"/>
      <c r="H19" s="659"/>
      <c r="I19" s="1131"/>
      <c r="J19" s="147"/>
      <c r="K19" s="799"/>
      <c r="L19" s="147"/>
      <c r="M19" s="889"/>
      <c r="N19" s="889"/>
      <c r="O19" s="1132" t="str">
        <f>IF(E13="Yes",IF(G20="",IF(G19="","",K19*H$10),IF(OR(G20&lt;G17,G20=G17),K20*H$10)),"")</f>
        <v/>
      </c>
      <c r="P19" s="194"/>
      <c r="Q19" s="181"/>
      <c r="R19" s="179"/>
      <c r="S19" s="705"/>
      <c r="T19" s="179"/>
      <c r="U19" s="179"/>
      <c r="V19" s="179"/>
      <c r="W19" s="179"/>
      <c r="X19" s="179"/>
      <c r="Y19" s="179"/>
      <c r="Z19" s="179"/>
      <c r="AA19" s="179"/>
      <c r="AB19" s="179"/>
      <c r="AC19" s="179"/>
    </row>
    <row r="20" spans="1:29" s="1091" customFormat="1" ht="18" customHeight="1" x14ac:dyDescent="0.25">
      <c r="A20" s="1116"/>
      <c r="B20" s="253"/>
      <c r="C20" s="147"/>
      <c r="D20" s="1133" t="s">
        <v>527</v>
      </c>
      <c r="E20" s="1134">
        <f t="shared" ref="E20:E23" si="0">IF(G20="",0,(G20-$G$17)/$G$17)</f>
        <v>0</v>
      </c>
      <c r="F20" s="1130" t="s">
        <v>1584</v>
      </c>
      <c r="G20" s="1127"/>
      <c r="H20" s="659"/>
      <c r="I20" s="1135"/>
      <c r="J20" s="1136" t="str">
        <f>IF($E$15="YES","**Tier 1 used for modeling purposes**","")</f>
        <v/>
      </c>
      <c r="K20" s="799"/>
      <c r="L20" s="1137"/>
      <c r="M20" s="1196" t="str">
        <f>IF($E13="Yes","**Tier 1 used for modeling purposes**","")</f>
        <v/>
      </c>
      <c r="N20" s="889"/>
      <c r="O20" s="889"/>
      <c r="P20" s="194"/>
      <c r="Q20" s="181"/>
      <c r="R20" s="179"/>
      <c r="S20" s="705"/>
      <c r="T20" s="179"/>
      <c r="U20" s="179"/>
      <c r="V20" s="179"/>
      <c r="W20" s="179"/>
      <c r="X20" s="179"/>
      <c r="Y20" s="179"/>
      <c r="Z20" s="179"/>
      <c r="AA20" s="179"/>
      <c r="AB20" s="179"/>
      <c r="AC20" s="179"/>
    </row>
    <row r="21" spans="1:29" s="1091" customFormat="1" ht="18" customHeight="1" x14ac:dyDescent="0.25">
      <c r="A21" s="1116"/>
      <c r="B21" s="253"/>
      <c r="C21" s="147"/>
      <c r="D21" s="1133" t="s">
        <v>528</v>
      </c>
      <c r="E21" s="1134">
        <f t="shared" si="0"/>
        <v>0</v>
      </c>
      <c r="F21" s="1130" t="s">
        <v>1585</v>
      </c>
      <c r="G21" s="1127"/>
      <c r="H21" s="659"/>
      <c r="I21" s="1135"/>
      <c r="J21" s="147"/>
      <c r="K21" s="799"/>
      <c r="L21" s="147"/>
      <c r="M21" s="1188" t="str">
        <f>IF($K$24&gt;0,"**Warning: You have entered an incentive payout above the recommended 5%**","")</f>
        <v/>
      </c>
      <c r="N21" s="889"/>
      <c r="O21" s="889"/>
      <c r="P21" s="194"/>
      <c r="Q21" s="181"/>
      <c r="R21" s="179"/>
      <c r="S21" s="705"/>
      <c r="T21" s="179"/>
      <c r="U21" s="179"/>
      <c r="V21" s="179"/>
      <c r="W21" s="179"/>
      <c r="X21" s="179"/>
      <c r="Y21" s="179"/>
      <c r="Z21" s="179"/>
      <c r="AA21" s="179"/>
      <c r="AB21" s="179"/>
      <c r="AC21" s="179"/>
    </row>
    <row r="22" spans="1:29" s="1091" customFormat="1" ht="18" hidden="1" customHeight="1" x14ac:dyDescent="0.25">
      <c r="A22" s="1116"/>
      <c r="B22" s="253"/>
      <c r="C22" s="147"/>
      <c r="D22" s="1133" t="s">
        <v>1586</v>
      </c>
      <c r="E22" s="1134">
        <f t="shared" si="0"/>
        <v>0</v>
      </c>
      <c r="F22" s="1130" t="s">
        <v>1587</v>
      </c>
      <c r="G22" s="1127"/>
      <c r="H22" s="659"/>
      <c r="I22" s="1135"/>
      <c r="J22" s="147"/>
      <c r="K22" s="799"/>
      <c r="L22" s="147"/>
      <c r="M22" s="889"/>
      <c r="N22" s="889"/>
      <c r="O22" s="889"/>
      <c r="P22" s="194"/>
      <c r="Q22" s="181"/>
      <c r="R22" s="179"/>
      <c r="S22" s="705"/>
      <c r="T22" s="179"/>
      <c r="U22" s="179"/>
      <c r="V22" s="179"/>
      <c r="W22" s="179"/>
      <c r="X22" s="179"/>
      <c r="Y22" s="179"/>
      <c r="Z22" s="179"/>
      <c r="AA22" s="179"/>
      <c r="AB22" s="179"/>
      <c r="AC22" s="179"/>
    </row>
    <row r="23" spans="1:29" s="1091" customFormat="1" ht="18" hidden="1" customHeight="1" thickBot="1" x14ac:dyDescent="0.3">
      <c r="A23" s="1116"/>
      <c r="B23" s="253"/>
      <c r="C23" s="147"/>
      <c r="D23" s="1138" t="s">
        <v>1588</v>
      </c>
      <c r="E23" s="1139">
        <f t="shared" si="0"/>
        <v>0</v>
      </c>
      <c r="F23" s="1130" t="s">
        <v>1589</v>
      </c>
      <c r="G23" s="1127"/>
      <c r="H23" s="659"/>
      <c r="I23" s="1135"/>
      <c r="J23" s="147"/>
      <c r="K23" s="799"/>
      <c r="L23" s="147"/>
      <c r="M23" s="889"/>
      <c r="N23" s="889"/>
      <c r="O23" s="889"/>
      <c r="P23" s="194"/>
      <c r="Q23" s="181"/>
      <c r="R23" s="179"/>
      <c r="S23" s="705"/>
      <c r="T23" s="179"/>
      <c r="U23" s="179"/>
      <c r="V23" s="179"/>
      <c r="W23" s="179"/>
      <c r="X23" s="179"/>
      <c r="Y23" s="179"/>
      <c r="Z23" s="179"/>
      <c r="AA23" s="179"/>
      <c r="AB23" s="179"/>
      <c r="AC23" s="179"/>
    </row>
    <row r="24" spans="1:29" s="1091" customFormat="1" ht="20.25" customHeight="1" x14ac:dyDescent="0.25">
      <c r="A24" s="1116"/>
      <c r="B24" s="255"/>
      <c r="C24" s="209"/>
      <c r="D24" s="204"/>
      <c r="E24" s="205"/>
      <c r="F24" s="206"/>
      <c r="G24" s="207"/>
      <c r="H24" s="208"/>
      <c r="I24" s="737">
        <f>COUNTIF($I$20:$I$23,"&gt;.03")</f>
        <v>0</v>
      </c>
      <c r="J24" s="209"/>
      <c r="K24" s="1187">
        <f>COUNTIF($K$19:$K$23,"&gt;.05")</f>
        <v>0</v>
      </c>
      <c r="L24" s="209"/>
      <c r="M24" s="211"/>
      <c r="N24" s="211"/>
      <c r="O24" s="211"/>
      <c r="P24" s="212"/>
      <c r="Q24" s="181"/>
      <c r="R24" s="179"/>
      <c r="S24" s="705"/>
      <c r="T24" s="179"/>
      <c r="U24" s="179"/>
      <c r="V24" s="179"/>
      <c r="W24" s="179"/>
      <c r="X24" s="179"/>
      <c r="Y24" s="179"/>
      <c r="Z24" s="179"/>
      <c r="AA24" s="179"/>
      <c r="AB24" s="179"/>
      <c r="AC24" s="179"/>
    </row>
    <row r="25" spans="1:29" s="1091" customFormat="1" ht="10.15" customHeight="1" x14ac:dyDescent="0.25">
      <c r="C25" s="182"/>
      <c r="D25" s="213"/>
      <c r="E25" s="214"/>
      <c r="F25" s="215"/>
      <c r="G25" s="216"/>
      <c r="H25" s="217"/>
      <c r="I25" s="218"/>
      <c r="J25" s="182"/>
      <c r="K25" s="219"/>
      <c r="L25" s="182"/>
      <c r="M25" s="220"/>
      <c r="N25" s="220"/>
      <c r="O25" s="220"/>
      <c r="P25" s="179"/>
      <c r="Q25" s="181"/>
      <c r="R25" s="179"/>
      <c r="S25" s="705"/>
      <c r="T25" s="179"/>
      <c r="U25" s="179"/>
      <c r="V25" s="179"/>
      <c r="W25" s="179"/>
      <c r="X25" s="179"/>
      <c r="Y25" s="179"/>
      <c r="Z25" s="179"/>
      <c r="AA25" s="179"/>
      <c r="AB25" s="179"/>
      <c r="AC25" s="179"/>
    </row>
    <row r="26" spans="1:29" s="1091" customFormat="1" ht="21.75" hidden="1" customHeight="1" thickBot="1" x14ac:dyDescent="0.3">
      <c r="A26" s="1116"/>
      <c r="B26" s="258"/>
      <c r="C26" s="188"/>
      <c r="D26" s="1295" t="s">
        <v>901</v>
      </c>
      <c r="E26" s="1295"/>
      <c r="F26" s="189"/>
      <c r="G26" s="1296"/>
      <c r="H26" s="1297"/>
      <c r="I26" s="190"/>
      <c r="J26" s="1298"/>
      <c r="K26" s="1298"/>
      <c r="L26" s="188"/>
      <c r="M26" s="188"/>
      <c r="N26" s="188"/>
      <c r="O26" s="188"/>
      <c r="P26" s="191"/>
      <c r="Q26" s="181"/>
      <c r="R26" s="179"/>
      <c r="S26" s="179"/>
      <c r="T26" s="179"/>
      <c r="U26" s="179"/>
      <c r="V26" s="179"/>
      <c r="W26" s="179"/>
      <c r="X26" s="179"/>
      <c r="Y26" s="179"/>
      <c r="Z26" s="179"/>
      <c r="AA26" s="179"/>
      <c r="AB26" s="179"/>
      <c r="AC26" s="179"/>
    </row>
    <row r="27" spans="1:29" s="1091" customFormat="1" ht="18" hidden="1" customHeight="1" thickBot="1" x14ac:dyDescent="0.3">
      <c r="A27" s="1116"/>
      <c r="B27" s="253"/>
      <c r="C27" s="147"/>
      <c r="D27" s="1140" t="s">
        <v>529</v>
      </c>
      <c r="E27" s="1141" t="s">
        <v>655</v>
      </c>
      <c r="F27" s="352"/>
      <c r="G27" s="238" t="s">
        <v>1574</v>
      </c>
      <c r="H27" s="659"/>
      <c r="I27" s="238" t="s">
        <v>1575</v>
      </c>
      <c r="J27" s="41"/>
      <c r="K27" s="238" t="s">
        <v>873</v>
      </c>
      <c r="L27" s="147"/>
      <c r="M27" s="199" t="s">
        <v>1576</v>
      </c>
      <c r="N27" s="147"/>
      <c r="O27" s="147"/>
      <c r="P27" s="194"/>
      <c r="Q27" s="181"/>
      <c r="R27" s="179"/>
      <c r="S27" s="179"/>
      <c r="T27" s="179"/>
      <c r="U27" s="179"/>
      <c r="V27" s="179"/>
      <c r="W27" s="179"/>
      <c r="X27" s="179"/>
      <c r="Y27" s="179"/>
      <c r="Z27" s="179"/>
      <c r="AA27" s="179"/>
      <c r="AB27" s="179"/>
      <c r="AC27" s="179"/>
    </row>
    <row r="28" spans="1:29" s="1091" customFormat="1" ht="18" hidden="1" customHeight="1" thickBot="1" x14ac:dyDescent="0.3">
      <c r="A28" s="1116"/>
      <c r="B28" s="253"/>
      <c r="C28" s="147"/>
      <c r="D28" s="1119" t="s">
        <v>1577</v>
      </c>
      <c r="E28" s="1142" t="s">
        <v>1578</v>
      </c>
      <c r="F28" s="193"/>
      <c r="G28" s="1121"/>
      <c r="H28" s="750"/>
      <c r="I28" s="1121"/>
      <c r="J28" s="147"/>
      <c r="K28" s="1121"/>
      <c r="L28" s="147"/>
      <c r="M28" s="1143"/>
      <c r="N28" s="147"/>
      <c r="O28" s="147"/>
      <c r="P28" s="194"/>
      <c r="Q28" s="181"/>
      <c r="R28" s="179"/>
      <c r="S28" s="705"/>
      <c r="T28" s="179"/>
      <c r="U28" s="179"/>
      <c r="V28" s="179"/>
      <c r="W28" s="179"/>
      <c r="X28" s="179"/>
      <c r="Y28" s="179"/>
      <c r="Z28" s="179"/>
      <c r="AA28" s="179"/>
      <c r="AB28" s="179"/>
      <c r="AC28" s="179"/>
    </row>
    <row r="29" spans="1:29" s="1091" customFormat="1" ht="15.75" hidden="1" thickBot="1" x14ac:dyDescent="0.3">
      <c r="A29" s="1116"/>
      <c r="B29" s="253"/>
      <c r="C29" s="147"/>
      <c r="D29" s="1123"/>
      <c r="E29" s="196"/>
      <c r="F29" s="196"/>
      <c r="G29" s="660"/>
      <c r="H29" s="659"/>
      <c r="I29" s="147"/>
      <c r="J29" s="147"/>
      <c r="K29" s="147"/>
      <c r="L29" s="147"/>
      <c r="M29" s="147"/>
      <c r="N29" s="147"/>
      <c r="O29" s="147"/>
      <c r="P29" s="194"/>
      <c r="Q29" s="181"/>
      <c r="R29" s="179"/>
      <c r="S29" s="705" t="str">
        <f>IF($E29="NO","",IF($I28="Select Payment Method","X",""))</f>
        <v/>
      </c>
      <c r="T29" s="179"/>
      <c r="U29" s="179"/>
      <c r="V29" s="179"/>
      <c r="W29" s="179"/>
      <c r="X29" s="179"/>
      <c r="Y29" s="179"/>
      <c r="Z29" s="179"/>
      <c r="AA29" s="179"/>
      <c r="AB29" s="179"/>
      <c r="AC29" s="179"/>
    </row>
    <row r="30" spans="1:29" s="1091" customFormat="1" ht="18" hidden="1" customHeight="1" thickBot="1" x14ac:dyDescent="0.3">
      <c r="A30" s="1116"/>
      <c r="B30" s="253"/>
      <c r="C30" s="147"/>
      <c r="D30" s="1124" t="s">
        <v>1579</v>
      </c>
      <c r="E30" s="1126" t="str">
        <f>IF(Welcome!$D$6="New",IF('Required Info to Submit'!F$14="","",'Required Info to Submit'!F$14),"")</f>
        <v/>
      </c>
      <c r="F30" s="196"/>
      <c r="G30" s="198" t="s">
        <v>521</v>
      </c>
      <c r="H30" s="659"/>
      <c r="I30" s="147"/>
      <c r="J30" s="147"/>
      <c r="K30" s="147"/>
      <c r="L30" s="147"/>
      <c r="M30" s="147"/>
      <c r="N30" s="147"/>
      <c r="O30" s="147"/>
      <c r="P30" s="194"/>
      <c r="Q30" s="181"/>
      <c r="R30" s="179"/>
      <c r="S30" s="705"/>
      <c r="T30" s="179"/>
      <c r="U30" s="179"/>
      <c r="V30" s="179"/>
      <c r="W30" s="179"/>
      <c r="X30" s="179"/>
      <c r="Y30" s="179"/>
      <c r="Z30" s="179"/>
      <c r="AA30" s="179"/>
      <c r="AB30" s="179"/>
      <c r="AC30" s="179"/>
    </row>
    <row r="31" spans="1:29" s="1091" customFormat="1" ht="18" hidden="1" customHeight="1" thickBot="1" x14ac:dyDescent="0.3">
      <c r="A31" s="1116"/>
      <c r="B31" s="253"/>
      <c r="C31" s="147"/>
      <c r="D31" s="1124" t="s">
        <v>1580</v>
      </c>
      <c r="E31" s="1126" t="str">
        <f>IF(Welcome!$D$6="New",IF('Required Info to Submit'!F$17="","",'Required Info to Submit'!F$17),"")</f>
        <v/>
      </c>
      <c r="F31" s="196"/>
      <c r="G31" s="1127">
        <f>$H$9/52</f>
        <v>0</v>
      </c>
      <c r="H31" s="659"/>
      <c r="I31" s="147"/>
      <c r="J31" s="147"/>
      <c r="K31" s="147"/>
      <c r="L31" s="147"/>
      <c r="M31" s="192"/>
      <c r="N31" s="889"/>
      <c r="O31" s="192"/>
      <c r="P31" s="194"/>
      <c r="Q31" s="181"/>
      <c r="R31" s="179"/>
      <c r="S31" s="705"/>
      <c r="T31" s="179"/>
      <c r="U31" s="179"/>
      <c r="V31" s="179"/>
      <c r="W31" s="179"/>
      <c r="X31" s="179"/>
      <c r="Y31" s="179"/>
      <c r="Z31" s="179"/>
      <c r="AA31" s="179"/>
      <c r="AB31" s="179"/>
      <c r="AC31" s="179"/>
    </row>
    <row r="32" spans="1:29" s="1091" customFormat="1" ht="15.75" hidden="1" customHeight="1" thickBot="1" x14ac:dyDescent="0.3">
      <c r="A32" s="1116"/>
      <c r="B32" s="253"/>
      <c r="C32" s="147"/>
      <c r="D32" s="1123"/>
      <c r="E32" s="196"/>
      <c r="F32" s="196"/>
      <c r="G32" s="199" t="s">
        <v>1581</v>
      </c>
      <c r="H32" s="659"/>
      <c r="I32" s="199" t="s">
        <v>1582</v>
      </c>
      <c r="J32" s="147"/>
      <c r="K32" s="199" t="s">
        <v>1583</v>
      </c>
      <c r="L32" s="147"/>
      <c r="M32" s="889"/>
      <c r="N32" s="889"/>
      <c r="O32" s="6" t="s">
        <v>494</v>
      </c>
      <c r="P32" s="194"/>
      <c r="Q32" s="181"/>
      <c r="R32" s="179"/>
      <c r="S32" s="705"/>
      <c r="T32" s="179"/>
      <c r="U32" s="179"/>
      <c r="V32" s="179"/>
      <c r="W32" s="179"/>
      <c r="X32" s="179"/>
      <c r="Y32" s="179"/>
      <c r="Z32" s="179"/>
      <c r="AA32" s="179"/>
      <c r="AB32" s="179"/>
      <c r="AC32" s="179"/>
    </row>
    <row r="33" spans="1:29" s="1091" customFormat="1" ht="18" hidden="1" customHeight="1" x14ac:dyDescent="0.25">
      <c r="A33" s="1116"/>
      <c r="B33" s="253"/>
      <c r="C33" s="147"/>
      <c r="D33" s="1128" t="s">
        <v>526</v>
      </c>
      <c r="E33" s="1129">
        <f>IF(G33="",0,(G33-$G$31)/$G$31)</f>
        <v>0</v>
      </c>
      <c r="F33" s="1130" t="s">
        <v>1051</v>
      </c>
      <c r="G33" s="1127"/>
      <c r="H33" s="659"/>
      <c r="I33" s="1131"/>
      <c r="J33" s="147"/>
      <c r="K33" s="799"/>
      <c r="L33" s="147"/>
      <c r="M33" s="889"/>
      <c r="N33" s="889"/>
      <c r="O33" s="1144">
        <f>IF(E27="Yes",IF(G34="",IF(G33="",0,K33*H$10),IF(OR(G34&lt;G31,G34=G31),K34*H$10)),0)</f>
        <v>0</v>
      </c>
      <c r="P33" s="194"/>
      <c r="Q33" s="181"/>
      <c r="R33" s="179"/>
      <c r="S33" s="705"/>
      <c r="T33" s="179"/>
      <c r="U33" s="179"/>
      <c r="V33" s="179"/>
      <c r="W33" s="179"/>
      <c r="X33" s="179"/>
      <c r="Y33" s="179"/>
      <c r="Z33" s="179"/>
      <c r="AA33" s="179"/>
      <c r="AB33" s="179"/>
      <c r="AC33" s="179"/>
    </row>
    <row r="34" spans="1:29" s="1091" customFormat="1" ht="18" hidden="1" customHeight="1" x14ac:dyDescent="0.25">
      <c r="A34" s="1116"/>
      <c r="B34" s="253"/>
      <c r="C34" s="147"/>
      <c r="D34" s="1133" t="s">
        <v>527</v>
      </c>
      <c r="E34" s="1134">
        <f t="shared" ref="E34:E37" si="1">IF(G34="",0,(G34-$G$31)/$G$31)</f>
        <v>0</v>
      </c>
      <c r="F34" s="1130" t="s">
        <v>1584</v>
      </c>
      <c r="G34" s="1127"/>
      <c r="H34" s="659"/>
      <c r="I34" s="1135"/>
      <c r="J34" s="1136" t="str">
        <f>IF($E$15="YES","**Tier 1 used for modeling purposes**","")</f>
        <v/>
      </c>
      <c r="K34" s="799"/>
      <c r="L34" s="1137"/>
      <c r="M34" s="889"/>
      <c r="N34" s="889"/>
      <c r="O34" s="889"/>
      <c r="P34" s="194"/>
      <c r="Q34" s="181"/>
      <c r="R34" s="179"/>
      <c r="S34" s="705"/>
      <c r="T34" s="179"/>
      <c r="U34" s="179"/>
      <c r="V34" s="179"/>
      <c r="W34" s="179"/>
      <c r="X34" s="179"/>
      <c r="Y34" s="179"/>
      <c r="Z34" s="179"/>
      <c r="AA34" s="179"/>
      <c r="AB34" s="179"/>
      <c r="AC34" s="179"/>
    </row>
    <row r="35" spans="1:29" s="1091" customFormat="1" ht="18" hidden="1" customHeight="1" x14ac:dyDescent="0.25">
      <c r="A35" s="1116"/>
      <c r="B35" s="253"/>
      <c r="C35" s="147"/>
      <c r="D35" s="1133" t="s">
        <v>528</v>
      </c>
      <c r="E35" s="1134">
        <f t="shared" si="1"/>
        <v>0</v>
      </c>
      <c r="F35" s="1130" t="s">
        <v>1585</v>
      </c>
      <c r="G35" s="1127"/>
      <c r="H35" s="659"/>
      <c r="I35" s="1135"/>
      <c r="J35" s="147"/>
      <c r="K35" s="799"/>
      <c r="L35" s="147"/>
      <c r="M35" s="889"/>
      <c r="N35" s="889"/>
      <c r="O35" s="889"/>
      <c r="P35" s="194"/>
      <c r="Q35" s="181"/>
      <c r="R35" s="179"/>
      <c r="S35" s="705"/>
      <c r="T35" s="179"/>
      <c r="U35" s="179"/>
      <c r="V35" s="179"/>
      <c r="W35" s="179"/>
      <c r="X35" s="179"/>
      <c r="Y35" s="179"/>
      <c r="Z35" s="179"/>
      <c r="AA35" s="179"/>
      <c r="AB35" s="179"/>
      <c r="AC35" s="179"/>
    </row>
    <row r="36" spans="1:29" s="1091" customFormat="1" ht="18" hidden="1" customHeight="1" x14ac:dyDescent="0.25">
      <c r="A36" s="1116"/>
      <c r="B36" s="253"/>
      <c r="C36" s="147"/>
      <c r="D36" s="1133" t="s">
        <v>1586</v>
      </c>
      <c r="E36" s="1134">
        <f t="shared" si="1"/>
        <v>0</v>
      </c>
      <c r="F36" s="1130" t="s">
        <v>1587</v>
      </c>
      <c r="G36" s="1127"/>
      <c r="H36" s="659"/>
      <c r="I36" s="1135"/>
      <c r="J36" s="147"/>
      <c r="K36" s="799"/>
      <c r="L36" s="147"/>
      <c r="M36" s="889"/>
      <c r="N36" s="889"/>
      <c r="O36" s="889"/>
      <c r="P36" s="194"/>
      <c r="Q36" s="181"/>
      <c r="R36" s="179"/>
      <c r="S36" s="705"/>
      <c r="T36" s="179"/>
      <c r="U36" s="179"/>
      <c r="V36" s="179"/>
      <c r="W36" s="179"/>
      <c r="X36" s="179"/>
      <c r="Y36" s="179"/>
      <c r="Z36" s="179"/>
      <c r="AA36" s="179"/>
      <c r="AB36" s="179"/>
      <c r="AC36" s="179"/>
    </row>
    <row r="37" spans="1:29" s="1091" customFormat="1" ht="18" hidden="1" customHeight="1" thickBot="1" x14ac:dyDescent="0.3">
      <c r="A37" s="1116"/>
      <c r="B37" s="253"/>
      <c r="C37" s="147"/>
      <c r="D37" s="1138" t="s">
        <v>1588</v>
      </c>
      <c r="E37" s="1139">
        <f t="shared" si="1"/>
        <v>0</v>
      </c>
      <c r="F37" s="1130" t="s">
        <v>1589</v>
      </c>
      <c r="G37" s="1127"/>
      <c r="H37" s="659"/>
      <c r="I37" s="1135"/>
      <c r="J37" s="147"/>
      <c r="K37" s="799"/>
      <c r="L37" s="147"/>
      <c r="M37" s="889"/>
      <c r="N37" s="889"/>
      <c r="O37" s="889"/>
      <c r="P37" s="194"/>
      <c r="Q37" s="181"/>
      <c r="R37" s="179"/>
      <c r="S37" s="705"/>
      <c r="T37" s="179"/>
      <c r="U37" s="179"/>
      <c r="V37" s="179"/>
      <c r="W37" s="179"/>
      <c r="X37" s="179"/>
      <c r="Y37" s="179"/>
      <c r="Z37" s="179"/>
      <c r="AA37" s="179"/>
      <c r="AB37" s="179"/>
      <c r="AC37" s="179"/>
    </row>
    <row r="38" spans="1:29" s="1091" customFormat="1" ht="20.25" hidden="1" customHeight="1" x14ac:dyDescent="0.25">
      <c r="A38" s="1116"/>
      <c r="B38" s="255"/>
      <c r="C38" s="209"/>
      <c r="D38" s="204"/>
      <c r="E38" s="205"/>
      <c r="F38" s="206"/>
      <c r="G38" s="207"/>
      <c r="H38" s="208"/>
      <c r="I38" s="737">
        <f>COUNTIF($I$20:$I$23,"&gt;.03")</f>
        <v>0</v>
      </c>
      <c r="J38" s="209"/>
      <c r="K38" s="210"/>
      <c r="L38" s="209"/>
      <c r="M38" s="211"/>
      <c r="N38" s="211"/>
      <c r="O38" s="211"/>
      <c r="P38" s="212"/>
      <c r="Q38" s="181"/>
      <c r="R38" s="179"/>
      <c r="S38" s="705"/>
      <c r="T38" s="179"/>
      <c r="U38" s="179"/>
      <c r="V38" s="179"/>
      <c r="W38" s="179"/>
      <c r="X38" s="179"/>
      <c r="Y38" s="179"/>
      <c r="Z38" s="179"/>
      <c r="AA38" s="179"/>
      <c r="AB38" s="179"/>
      <c r="AC38" s="179"/>
    </row>
    <row r="39" spans="1:29" s="1091" customFormat="1" ht="10.15" hidden="1" customHeight="1" x14ac:dyDescent="0.25">
      <c r="C39" s="182"/>
      <c r="D39" s="213"/>
      <c r="E39" s="214"/>
      <c r="F39" s="215"/>
      <c r="G39" s="216"/>
      <c r="H39" s="217"/>
      <c r="I39" s="218"/>
      <c r="J39" s="182"/>
      <c r="K39" s="219"/>
      <c r="L39" s="182"/>
      <c r="M39" s="220"/>
      <c r="N39" s="220"/>
      <c r="O39" s="220"/>
      <c r="P39" s="179"/>
      <c r="Q39" s="181"/>
      <c r="R39" s="179"/>
      <c r="S39" s="705"/>
      <c r="T39" s="179"/>
      <c r="U39" s="179"/>
      <c r="V39" s="179"/>
      <c r="W39" s="179"/>
      <c r="X39" s="179"/>
      <c r="Y39" s="179"/>
      <c r="Z39" s="179"/>
      <c r="AA39" s="179"/>
      <c r="AB39" s="179"/>
      <c r="AC39" s="179"/>
    </row>
    <row r="40" spans="1:29" s="1091" customFormat="1" ht="21.75" hidden="1" customHeight="1" thickBot="1" x14ac:dyDescent="0.3">
      <c r="A40" s="1116"/>
      <c r="B40" s="258"/>
      <c r="C40" s="188"/>
      <c r="D40" s="1295" t="s">
        <v>901</v>
      </c>
      <c r="E40" s="1295"/>
      <c r="F40" s="189"/>
      <c r="G40" s="1296"/>
      <c r="H40" s="1297"/>
      <c r="I40" s="190"/>
      <c r="J40" s="1298"/>
      <c r="K40" s="1298"/>
      <c r="L40" s="188"/>
      <c r="M40" s="188"/>
      <c r="N40" s="188"/>
      <c r="O40" s="188"/>
      <c r="P40" s="191"/>
      <c r="Q40" s="181"/>
      <c r="R40" s="179"/>
      <c r="S40" s="179"/>
      <c r="T40" s="179"/>
      <c r="U40" s="179"/>
      <c r="V40" s="179"/>
      <c r="W40" s="179"/>
      <c r="X40" s="179"/>
      <c r="Y40" s="179"/>
      <c r="Z40" s="179"/>
      <c r="AA40" s="179"/>
      <c r="AB40" s="179"/>
      <c r="AC40" s="179"/>
    </row>
    <row r="41" spans="1:29" s="1091" customFormat="1" ht="18" hidden="1" customHeight="1" thickBot="1" x14ac:dyDescent="0.3">
      <c r="A41" s="1116"/>
      <c r="B41" s="253"/>
      <c r="C41" s="147"/>
      <c r="D41" s="1140" t="s">
        <v>529</v>
      </c>
      <c r="E41" s="1141" t="s">
        <v>655</v>
      </c>
      <c r="F41" s="352"/>
      <c r="G41" s="238" t="s">
        <v>1574</v>
      </c>
      <c r="H41" s="659"/>
      <c r="I41" s="238" t="s">
        <v>1575</v>
      </c>
      <c r="J41" s="41"/>
      <c r="K41" s="238" t="s">
        <v>873</v>
      </c>
      <c r="L41" s="147"/>
      <c r="M41" s="199" t="s">
        <v>1576</v>
      </c>
      <c r="N41" s="147"/>
      <c r="O41" s="147"/>
      <c r="P41" s="194"/>
      <c r="Q41" s="181"/>
      <c r="R41" s="179"/>
      <c r="S41" s="179"/>
      <c r="T41" s="179"/>
      <c r="U41" s="179"/>
      <c r="V41" s="179"/>
      <c r="W41" s="179"/>
      <c r="X41" s="179"/>
      <c r="Y41" s="179"/>
      <c r="Z41" s="179"/>
      <c r="AA41" s="179"/>
      <c r="AB41" s="179"/>
      <c r="AC41" s="179"/>
    </row>
    <row r="42" spans="1:29" s="1091" customFormat="1" ht="18" hidden="1" customHeight="1" thickBot="1" x14ac:dyDescent="0.3">
      <c r="A42" s="1116"/>
      <c r="B42" s="253"/>
      <c r="C42" s="147"/>
      <c r="D42" s="1119" t="s">
        <v>1577</v>
      </c>
      <c r="E42" s="1142" t="s">
        <v>1578</v>
      </c>
      <c r="F42" s="193"/>
      <c r="G42" s="1121"/>
      <c r="H42" s="750"/>
      <c r="I42" s="1121"/>
      <c r="J42" s="147"/>
      <c r="K42" s="1121"/>
      <c r="L42" s="147"/>
      <c r="M42" s="1143"/>
      <c r="N42" s="147"/>
      <c r="O42" s="147"/>
      <c r="P42" s="194"/>
      <c r="Q42" s="181"/>
      <c r="R42" s="179"/>
      <c r="S42" s="705"/>
      <c r="T42" s="179"/>
      <c r="U42" s="179"/>
      <c r="V42" s="179"/>
      <c r="W42" s="179"/>
      <c r="X42" s="179"/>
      <c r="Y42" s="179"/>
      <c r="Z42" s="179"/>
      <c r="AA42" s="179"/>
      <c r="AB42" s="179"/>
      <c r="AC42" s="179"/>
    </row>
    <row r="43" spans="1:29" s="1091" customFormat="1" ht="15.75" hidden="1" thickBot="1" x14ac:dyDescent="0.3">
      <c r="A43" s="1116"/>
      <c r="B43" s="253"/>
      <c r="C43" s="147"/>
      <c r="D43" s="1123"/>
      <c r="E43" s="196"/>
      <c r="F43" s="196"/>
      <c r="G43" s="660"/>
      <c r="H43" s="659"/>
      <c r="I43" s="147"/>
      <c r="J43" s="147"/>
      <c r="K43" s="147"/>
      <c r="L43" s="147"/>
      <c r="M43" s="147"/>
      <c r="N43" s="147"/>
      <c r="O43" s="147"/>
      <c r="P43" s="194"/>
      <c r="Q43" s="181"/>
      <c r="R43" s="179"/>
      <c r="S43" s="705" t="str">
        <f>IF($E43="NO","",IF($I42="Select Payment Method","X",""))</f>
        <v/>
      </c>
      <c r="T43" s="179"/>
      <c r="U43" s="179"/>
      <c r="V43" s="179"/>
      <c r="W43" s="179"/>
      <c r="X43" s="179"/>
      <c r="Y43" s="179"/>
      <c r="Z43" s="179"/>
      <c r="AA43" s="179"/>
      <c r="AB43" s="179"/>
      <c r="AC43" s="179"/>
    </row>
    <row r="44" spans="1:29" s="1091" customFormat="1" ht="18" hidden="1" customHeight="1" thickBot="1" x14ac:dyDescent="0.3">
      <c r="A44" s="1116"/>
      <c r="B44" s="253"/>
      <c r="C44" s="147"/>
      <c r="D44" s="1124" t="s">
        <v>1579</v>
      </c>
      <c r="E44" s="1126" t="str">
        <f>IF(Welcome!$D$6="New",IF('Required Info to Submit'!F$14="","",'Required Info to Submit'!F$14),"")</f>
        <v/>
      </c>
      <c r="F44" s="196"/>
      <c r="G44" s="198" t="s">
        <v>521</v>
      </c>
      <c r="H44" s="659"/>
      <c r="I44" s="147"/>
      <c r="J44" s="147"/>
      <c r="K44" s="147"/>
      <c r="L44" s="147"/>
      <c r="M44" s="147"/>
      <c r="N44" s="147"/>
      <c r="O44" s="147"/>
      <c r="P44" s="194"/>
      <c r="Q44" s="181"/>
      <c r="R44" s="179"/>
      <c r="S44" s="705"/>
      <c r="T44" s="179"/>
      <c r="U44" s="179"/>
      <c r="V44" s="179"/>
      <c r="W44" s="179"/>
      <c r="X44" s="179"/>
      <c r="Y44" s="179"/>
      <c r="Z44" s="179"/>
      <c r="AA44" s="179"/>
      <c r="AB44" s="179"/>
      <c r="AC44" s="179"/>
    </row>
    <row r="45" spans="1:29" s="1091" customFormat="1" ht="18" hidden="1" customHeight="1" thickBot="1" x14ac:dyDescent="0.3">
      <c r="A45" s="1116"/>
      <c r="B45" s="253"/>
      <c r="C45" s="147"/>
      <c r="D45" s="1124" t="s">
        <v>1580</v>
      </c>
      <c r="E45" s="1126" t="str">
        <f>IF(Welcome!$D$6="New",IF('Required Info to Submit'!F$17="","",'Required Info to Submit'!F$17),"")</f>
        <v/>
      </c>
      <c r="F45" s="196"/>
      <c r="G45" s="1127">
        <f>$H$9/52</f>
        <v>0</v>
      </c>
      <c r="H45" s="659"/>
      <c r="I45" s="147"/>
      <c r="J45" s="147"/>
      <c r="K45" s="147"/>
      <c r="L45" s="147"/>
      <c r="M45" s="192"/>
      <c r="N45" s="889"/>
      <c r="O45" s="192"/>
      <c r="P45" s="194"/>
      <c r="Q45" s="181"/>
      <c r="R45" s="179"/>
      <c r="S45" s="705"/>
      <c r="T45" s="179"/>
      <c r="U45" s="179"/>
      <c r="V45" s="179"/>
      <c r="W45" s="179"/>
      <c r="X45" s="179"/>
      <c r="Y45" s="179"/>
      <c r="Z45" s="179"/>
      <c r="AA45" s="179"/>
      <c r="AB45" s="179"/>
      <c r="AC45" s="179"/>
    </row>
    <row r="46" spans="1:29" s="1091" customFormat="1" ht="15.75" hidden="1" customHeight="1" thickBot="1" x14ac:dyDescent="0.3">
      <c r="A46" s="1116"/>
      <c r="B46" s="253"/>
      <c r="C46" s="147"/>
      <c r="D46" s="1123"/>
      <c r="E46" s="196"/>
      <c r="F46" s="196"/>
      <c r="G46" s="199" t="s">
        <v>1581</v>
      </c>
      <c r="H46" s="659"/>
      <c r="I46" s="199" t="s">
        <v>1582</v>
      </c>
      <c r="J46" s="147"/>
      <c r="K46" s="199" t="s">
        <v>1583</v>
      </c>
      <c r="L46" s="147"/>
      <c r="M46" s="889"/>
      <c r="N46" s="889"/>
      <c r="O46" s="6" t="s">
        <v>494</v>
      </c>
      <c r="P46" s="194"/>
      <c r="Q46" s="181"/>
      <c r="R46" s="179"/>
      <c r="S46" s="705"/>
      <c r="T46" s="179"/>
      <c r="U46" s="179"/>
      <c r="V46" s="179"/>
      <c r="W46" s="179"/>
      <c r="X46" s="179"/>
      <c r="Y46" s="179"/>
      <c r="Z46" s="179"/>
      <c r="AA46" s="179"/>
      <c r="AB46" s="179"/>
      <c r="AC46" s="179"/>
    </row>
    <row r="47" spans="1:29" s="1091" customFormat="1" ht="18" hidden="1" customHeight="1" x14ac:dyDescent="0.25">
      <c r="A47" s="1116"/>
      <c r="B47" s="253"/>
      <c r="C47" s="147"/>
      <c r="D47" s="1128" t="s">
        <v>526</v>
      </c>
      <c r="E47" s="1129">
        <f>IF(G47="",0,(G47-$G$45)/$G$45)</f>
        <v>0</v>
      </c>
      <c r="F47" s="1130" t="s">
        <v>1051</v>
      </c>
      <c r="G47" s="1127"/>
      <c r="H47" s="659"/>
      <c r="I47" s="1131"/>
      <c r="J47" s="147"/>
      <c r="K47" s="799"/>
      <c r="L47" s="147"/>
      <c r="M47" s="889"/>
      <c r="N47" s="889"/>
      <c r="O47" s="1144">
        <f>IF(E41="Yes",IF(G48="",IF(G47="",0,K47*H$10),IF(OR(G48&lt;G45,G48=G45),K48*H$10)),0)</f>
        <v>0</v>
      </c>
      <c r="P47" s="194"/>
      <c r="Q47" s="181"/>
      <c r="R47" s="179"/>
      <c r="S47" s="705"/>
      <c r="T47" s="179"/>
      <c r="U47" s="179"/>
      <c r="V47" s="179"/>
      <c r="W47" s="179"/>
      <c r="X47" s="179"/>
      <c r="Y47" s="179"/>
      <c r="Z47" s="179"/>
      <c r="AA47" s="179"/>
      <c r="AB47" s="179"/>
      <c r="AC47" s="179"/>
    </row>
    <row r="48" spans="1:29" s="1091" customFormat="1" ht="18" hidden="1" customHeight="1" x14ac:dyDescent="0.25">
      <c r="A48" s="1116"/>
      <c r="B48" s="253"/>
      <c r="C48" s="147"/>
      <c r="D48" s="1133" t="s">
        <v>527</v>
      </c>
      <c r="E48" s="1134">
        <f t="shared" ref="E48:E51" si="2">IF(G48="",0,(G48-$G$45)/$G$45)</f>
        <v>0</v>
      </c>
      <c r="F48" s="1130" t="s">
        <v>1584</v>
      </c>
      <c r="G48" s="1127"/>
      <c r="H48" s="659"/>
      <c r="I48" s="1135"/>
      <c r="J48" s="1136" t="str">
        <f>IF($E$15="YES","**Tier 1 used for modeling purposes**","")</f>
        <v/>
      </c>
      <c r="K48" s="799"/>
      <c r="L48" s="1137"/>
      <c r="M48" s="889"/>
      <c r="N48" s="889"/>
      <c r="O48" s="889"/>
      <c r="P48" s="194"/>
      <c r="Q48" s="181"/>
      <c r="R48" s="179"/>
      <c r="S48" s="705"/>
      <c r="T48" s="179"/>
      <c r="U48" s="179"/>
      <c r="V48" s="179"/>
      <c r="W48" s="179"/>
      <c r="X48" s="179"/>
      <c r="Y48" s="179"/>
      <c r="Z48" s="179"/>
      <c r="AA48" s="179"/>
      <c r="AB48" s="179"/>
      <c r="AC48" s="179"/>
    </row>
    <row r="49" spans="1:29" s="1091" customFormat="1" ht="18" hidden="1" customHeight="1" x14ac:dyDescent="0.25">
      <c r="A49" s="1116"/>
      <c r="B49" s="253"/>
      <c r="C49" s="147"/>
      <c r="D49" s="1133" t="s">
        <v>528</v>
      </c>
      <c r="E49" s="1134">
        <f t="shared" si="2"/>
        <v>0</v>
      </c>
      <c r="F49" s="1130" t="s">
        <v>1585</v>
      </c>
      <c r="G49" s="1127"/>
      <c r="H49" s="659"/>
      <c r="I49" s="1135"/>
      <c r="J49" s="147"/>
      <c r="K49" s="799"/>
      <c r="L49" s="147"/>
      <c r="M49" s="889"/>
      <c r="N49" s="889"/>
      <c r="O49" s="889"/>
      <c r="P49" s="194"/>
      <c r="Q49" s="181"/>
      <c r="R49" s="179"/>
      <c r="S49" s="705"/>
      <c r="T49" s="179"/>
      <c r="U49" s="179"/>
      <c r="V49" s="179"/>
      <c r="W49" s="179"/>
      <c r="X49" s="179"/>
      <c r="Y49" s="179"/>
      <c r="Z49" s="179"/>
      <c r="AA49" s="179"/>
      <c r="AB49" s="179"/>
      <c r="AC49" s="179"/>
    </row>
    <row r="50" spans="1:29" s="1091" customFormat="1" ht="18" hidden="1" customHeight="1" x14ac:dyDescent="0.25">
      <c r="A50" s="1116"/>
      <c r="B50" s="253"/>
      <c r="C50" s="147"/>
      <c r="D50" s="1133" t="s">
        <v>1586</v>
      </c>
      <c r="E50" s="1134">
        <f t="shared" si="2"/>
        <v>0</v>
      </c>
      <c r="F50" s="1130" t="s">
        <v>1587</v>
      </c>
      <c r="G50" s="1127"/>
      <c r="H50" s="659"/>
      <c r="I50" s="1135"/>
      <c r="J50" s="147"/>
      <c r="K50" s="799"/>
      <c r="L50" s="147"/>
      <c r="M50" s="889"/>
      <c r="N50" s="889"/>
      <c r="O50" s="889"/>
      <c r="P50" s="194"/>
      <c r="Q50" s="181"/>
      <c r="R50" s="179"/>
      <c r="S50" s="705"/>
      <c r="T50" s="179"/>
      <c r="U50" s="179"/>
      <c r="V50" s="179"/>
      <c r="W50" s="179"/>
      <c r="X50" s="179"/>
      <c r="Y50" s="179"/>
      <c r="Z50" s="179"/>
      <c r="AA50" s="179"/>
      <c r="AB50" s="179"/>
      <c r="AC50" s="179"/>
    </row>
    <row r="51" spans="1:29" s="1091" customFormat="1" ht="18" hidden="1" customHeight="1" thickBot="1" x14ac:dyDescent="0.3">
      <c r="A51" s="1116"/>
      <c r="B51" s="253"/>
      <c r="C51" s="147"/>
      <c r="D51" s="1138" t="s">
        <v>1588</v>
      </c>
      <c r="E51" s="1139">
        <f t="shared" si="2"/>
        <v>0</v>
      </c>
      <c r="F51" s="1130" t="s">
        <v>1589</v>
      </c>
      <c r="G51" s="1127"/>
      <c r="H51" s="659"/>
      <c r="I51" s="1135"/>
      <c r="J51" s="147"/>
      <c r="K51" s="799"/>
      <c r="L51" s="147"/>
      <c r="M51" s="889"/>
      <c r="N51" s="889"/>
      <c r="O51" s="889"/>
      <c r="P51" s="194"/>
      <c r="Q51" s="181"/>
      <c r="R51" s="179"/>
      <c r="S51" s="705"/>
      <c r="T51" s="179"/>
      <c r="U51" s="179"/>
      <c r="V51" s="179"/>
      <c r="W51" s="179"/>
      <c r="X51" s="179"/>
      <c r="Y51" s="179"/>
      <c r="Z51" s="179"/>
      <c r="AA51" s="179"/>
      <c r="AB51" s="179"/>
      <c r="AC51" s="179"/>
    </row>
    <row r="52" spans="1:29" s="1091" customFormat="1" ht="20.25" hidden="1" customHeight="1" x14ac:dyDescent="0.25">
      <c r="A52" s="1116"/>
      <c r="B52" s="255"/>
      <c r="C52" s="209"/>
      <c r="D52" s="204"/>
      <c r="E52" s="205"/>
      <c r="F52" s="206"/>
      <c r="G52" s="207"/>
      <c r="H52" s="208"/>
      <c r="I52" s="737">
        <f>COUNTIF($I$20:$I$23,"&gt;.03")</f>
        <v>0</v>
      </c>
      <c r="J52" s="209"/>
      <c r="K52" s="210"/>
      <c r="L52" s="209"/>
      <c r="M52" s="211"/>
      <c r="N52" s="211"/>
      <c r="O52" s="211"/>
      <c r="P52" s="212"/>
      <c r="Q52" s="181"/>
      <c r="R52" s="179"/>
      <c r="S52" s="705"/>
      <c r="T52" s="179"/>
      <c r="U52" s="179"/>
      <c r="V52" s="179"/>
      <c r="W52" s="179"/>
      <c r="X52" s="179"/>
      <c r="Y52" s="179"/>
      <c r="Z52" s="179"/>
      <c r="AA52" s="179"/>
      <c r="AB52" s="179"/>
      <c r="AC52" s="179"/>
    </row>
    <row r="53" spans="1:29" s="1091" customFormat="1" ht="10.15" hidden="1" customHeight="1" x14ac:dyDescent="0.25">
      <c r="C53" s="182"/>
      <c r="D53" s="213"/>
      <c r="E53" s="214"/>
      <c r="F53" s="215"/>
      <c r="G53" s="216"/>
      <c r="H53" s="217"/>
      <c r="I53" s="218"/>
      <c r="J53" s="182"/>
      <c r="K53" s="219"/>
      <c r="L53" s="182"/>
      <c r="M53" s="220"/>
      <c r="N53" s="220"/>
      <c r="O53" s="220"/>
      <c r="P53" s="179"/>
      <c r="Q53" s="181"/>
      <c r="R53" s="179"/>
      <c r="S53" s="705"/>
      <c r="T53" s="179"/>
      <c r="U53" s="179"/>
      <c r="V53" s="179"/>
      <c r="W53" s="179"/>
      <c r="X53" s="179"/>
      <c r="Y53" s="179"/>
      <c r="Z53" s="179"/>
      <c r="AA53" s="179"/>
      <c r="AB53" s="179"/>
      <c r="AC53" s="179"/>
    </row>
    <row r="54" spans="1:29" s="1091" customFormat="1" ht="21.75" customHeight="1" thickBot="1" x14ac:dyDescent="0.3">
      <c r="A54" s="1116"/>
      <c r="B54" s="258"/>
      <c r="C54" s="188"/>
      <c r="D54" s="1286" t="s">
        <v>525</v>
      </c>
      <c r="E54" s="1286"/>
      <c r="F54" s="221"/>
      <c r="G54" s="222"/>
      <c r="H54" s="1092"/>
      <c r="I54" s="223"/>
      <c r="J54" s="188"/>
      <c r="K54" s="224"/>
      <c r="L54" s="188"/>
      <c r="M54" s="225"/>
      <c r="N54" s="225"/>
      <c r="O54" s="225"/>
      <c r="P54" s="191"/>
      <c r="Q54" s="181"/>
      <c r="R54" s="179"/>
      <c r="S54" s="705"/>
      <c r="T54" s="179"/>
      <c r="U54" s="179"/>
      <c r="V54" s="179"/>
      <c r="W54" s="179"/>
      <c r="X54" s="179"/>
      <c r="Y54" s="179"/>
      <c r="Z54" s="179"/>
      <c r="AA54" s="179"/>
      <c r="AB54" s="179"/>
      <c r="AC54" s="179"/>
    </row>
    <row r="55" spans="1:29" s="1091" customFormat="1" ht="18" customHeight="1" thickBot="1" x14ac:dyDescent="0.3">
      <c r="A55" s="1116"/>
      <c r="B55" s="253"/>
      <c r="C55" s="147"/>
      <c r="D55" s="1117" t="s">
        <v>529</v>
      </c>
      <c r="E55" s="1191" t="s">
        <v>655</v>
      </c>
      <c r="F55" s="201"/>
      <c r="G55" s="238" t="s">
        <v>1574</v>
      </c>
      <c r="H55" s="659"/>
      <c r="I55" s="238" t="s">
        <v>1575</v>
      </c>
      <c r="J55" s="41"/>
      <c r="K55" s="238" t="s">
        <v>873</v>
      </c>
      <c r="L55" s="147"/>
      <c r="M55" s="199" t="s">
        <v>1576</v>
      </c>
      <c r="N55" s="226"/>
      <c r="O55" s="226"/>
      <c r="P55" s="194"/>
      <c r="Q55" s="181"/>
      <c r="R55" s="179"/>
      <c r="S55" s="705"/>
      <c r="T55" s="179"/>
      <c r="U55" s="179"/>
      <c r="V55" s="179"/>
      <c r="W55" s="179"/>
      <c r="X55" s="179"/>
      <c r="Y55" s="179"/>
      <c r="Z55" s="179"/>
      <c r="AA55" s="179"/>
      <c r="AB55" s="179"/>
      <c r="AC55" s="179"/>
    </row>
    <row r="56" spans="1:29" s="1091" customFormat="1" ht="33" customHeight="1" thickBot="1" x14ac:dyDescent="0.3">
      <c r="A56" s="1116"/>
      <c r="B56" s="253"/>
      <c r="C56" s="147"/>
      <c r="D56" s="1119" t="s">
        <v>1577</v>
      </c>
      <c r="E56" s="1195" t="s">
        <v>1578</v>
      </c>
      <c r="F56" s="227"/>
      <c r="G56" s="1194"/>
      <c r="H56" s="659"/>
      <c r="I56" s="1194"/>
      <c r="J56" s="147"/>
      <c r="K56" s="1194"/>
      <c r="L56" s="147"/>
      <c r="M56" s="1122"/>
      <c r="N56" s="226"/>
      <c r="O56" s="226"/>
      <c r="P56" s="194"/>
      <c r="Q56" s="181"/>
      <c r="R56" s="179"/>
      <c r="S56" s="705"/>
      <c r="T56" s="179"/>
      <c r="U56" s="179"/>
      <c r="V56" s="179"/>
      <c r="W56" s="179"/>
      <c r="X56" s="179"/>
      <c r="Y56" s="179"/>
      <c r="Z56" s="179"/>
      <c r="AA56" s="179"/>
      <c r="AB56" s="179"/>
      <c r="AC56" s="179"/>
    </row>
    <row r="57" spans="1:29" s="1091" customFormat="1" ht="18" customHeight="1" thickBot="1" x14ac:dyDescent="0.3">
      <c r="A57" s="1116"/>
      <c r="B57" s="253"/>
      <c r="C57" s="147"/>
      <c r="D57" s="1145"/>
      <c r="E57" s="147"/>
      <c r="F57" s="227"/>
      <c r="G57" s="659"/>
      <c r="H57" s="659"/>
      <c r="I57" s="228"/>
      <c r="J57" s="147"/>
      <c r="K57" s="147"/>
      <c r="L57" s="147"/>
      <c r="M57" s="147"/>
      <c r="N57" s="147"/>
      <c r="O57" s="147"/>
      <c r="P57" s="194"/>
      <c r="Q57" s="181"/>
      <c r="R57" s="179"/>
      <c r="S57" s="705" t="str">
        <f>IF($E57="NO","",IF($I56="Select Payment Method","X",""))</f>
        <v/>
      </c>
      <c r="T57" s="179"/>
      <c r="U57" s="179"/>
      <c r="V57" s="179"/>
      <c r="W57" s="179"/>
      <c r="X57" s="179"/>
      <c r="Y57" s="179"/>
      <c r="Z57" s="179"/>
      <c r="AA57" s="179"/>
      <c r="AB57" s="179"/>
      <c r="AC57" s="179"/>
    </row>
    <row r="58" spans="1:29" s="1091" customFormat="1" ht="18" customHeight="1" thickBot="1" x14ac:dyDescent="0.3">
      <c r="A58" s="1116"/>
      <c r="B58" s="253"/>
      <c r="C58" s="147"/>
      <c r="D58" s="1146" t="s">
        <v>1579</v>
      </c>
      <c r="E58" s="1125" t="str">
        <f>IF(Welcome!$D$6="New",IF('Required Info to Submit'!F$14="","",'Required Info to Submit'!F$14),"")</f>
        <v/>
      </c>
      <c r="F58" s="197"/>
      <c r="G58" s="198" t="s">
        <v>725</v>
      </c>
      <c r="H58" s="659"/>
      <c r="I58" s="200"/>
      <c r="J58" s="147"/>
      <c r="K58" s="200"/>
      <c r="L58" s="147"/>
      <c r="M58" s="192"/>
      <c r="N58" s="192"/>
      <c r="O58" s="192"/>
      <c r="P58" s="194"/>
      <c r="Q58" s="181"/>
      <c r="R58" s="179"/>
      <c r="S58" s="705"/>
      <c r="T58" s="179"/>
      <c r="U58" s="179"/>
      <c r="V58" s="179"/>
      <c r="W58" s="179"/>
      <c r="X58" s="179"/>
      <c r="Y58" s="179"/>
      <c r="Z58" s="179"/>
      <c r="AA58" s="179"/>
      <c r="AB58" s="179"/>
      <c r="AC58" s="179"/>
    </row>
    <row r="59" spans="1:29" s="1091" customFormat="1" ht="18" customHeight="1" thickBot="1" x14ac:dyDescent="0.3">
      <c r="A59" s="1116"/>
      <c r="B59" s="253"/>
      <c r="C59" s="147"/>
      <c r="D59" s="1146" t="s">
        <v>1580</v>
      </c>
      <c r="E59" s="1126" t="str">
        <f>IF(Welcome!$D$6="New",IF('Required Info to Submit'!F$17="","",'Required Info to Submit'!F$17),"")</f>
        <v/>
      </c>
      <c r="F59" s="201"/>
      <c r="G59" s="229">
        <f>IFERROR($G$5/($G$6*52*Welcome!$D$14),0)</f>
        <v>0</v>
      </c>
      <c r="H59" s="659"/>
      <c r="I59" s="200"/>
      <c r="J59" s="147"/>
      <c r="K59" s="202"/>
      <c r="L59" s="202"/>
      <c r="M59" s="200"/>
      <c r="N59" s="200"/>
      <c r="O59" s="192"/>
      <c r="P59" s="194"/>
      <c r="Q59" s="181"/>
      <c r="R59" s="179"/>
      <c r="S59" s="705"/>
      <c r="T59" s="179"/>
      <c r="U59" s="179"/>
      <c r="V59" s="179"/>
      <c r="W59" s="179"/>
      <c r="X59" s="179"/>
      <c r="Y59" s="179"/>
      <c r="Z59" s="179"/>
      <c r="AA59" s="179"/>
      <c r="AB59" s="179"/>
      <c r="AC59" s="179"/>
    </row>
    <row r="60" spans="1:29" s="1091" customFormat="1" ht="18" customHeight="1" thickBot="1" x14ac:dyDescent="0.3">
      <c r="A60" s="1116"/>
      <c r="B60" s="253"/>
      <c r="C60" s="147"/>
      <c r="D60" s="1147"/>
      <c r="E60" s="202"/>
      <c r="F60" s="201"/>
      <c r="G60" s="199" t="s">
        <v>1581</v>
      </c>
      <c r="H60" s="659"/>
      <c r="I60" s="199" t="s">
        <v>1582</v>
      </c>
      <c r="J60" s="202"/>
      <c r="K60" s="199" t="s">
        <v>1583</v>
      </c>
      <c r="L60" s="202"/>
      <c r="M60" s="200"/>
      <c r="N60" s="200"/>
      <c r="O60" s="6" t="s">
        <v>494</v>
      </c>
      <c r="P60" s="194"/>
      <c r="Q60" s="181"/>
      <c r="R60" s="179"/>
      <c r="S60" s="705"/>
      <c r="T60" s="179"/>
      <c r="U60" s="179"/>
      <c r="V60" s="179"/>
      <c r="W60" s="179"/>
      <c r="X60" s="179"/>
      <c r="Y60" s="179"/>
      <c r="Z60" s="179"/>
      <c r="AA60" s="179"/>
      <c r="AB60" s="179"/>
      <c r="AC60" s="179"/>
    </row>
    <row r="61" spans="1:29" s="1091" customFormat="1" ht="18" customHeight="1" x14ac:dyDescent="0.25">
      <c r="A61" s="1116"/>
      <c r="B61" s="253"/>
      <c r="C61" s="147"/>
      <c r="D61" s="1148" t="s">
        <v>526</v>
      </c>
      <c r="E61" s="1129">
        <f>IF(G61="",0,(G61-$G$59)/$G$59)</f>
        <v>0</v>
      </c>
      <c r="F61" s="1130" t="s">
        <v>1051</v>
      </c>
      <c r="G61" s="1127"/>
      <c r="H61" s="659"/>
      <c r="I61" s="1135"/>
      <c r="J61" s="1136" t="str">
        <f>IF($E$57="YES","**Tier 1 used for modeling purposes**","")</f>
        <v/>
      </c>
      <c r="K61" s="799"/>
      <c r="L61" s="1137"/>
      <c r="M61" s="200"/>
      <c r="N61" s="202"/>
      <c r="O61" s="1144">
        <f>IF(E55="Yes",IF(G62="",IF(G61="",0,K61*H$10),IF(OR(G62&lt;G59,G62=G59),K62*H$10)),0)</f>
        <v>0</v>
      </c>
      <c r="P61" s="194"/>
      <c r="Q61" s="181"/>
      <c r="R61" s="179"/>
      <c r="S61" s="705"/>
      <c r="T61" s="179"/>
      <c r="U61" s="179"/>
      <c r="V61" s="179"/>
      <c r="W61" s="179"/>
      <c r="X61" s="179"/>
      <c r="Y61" s="179"/>
      <c r="Z61" s="179"/>
      <c r="AA61" s="179"/>
      <c r="AB61" s="179"/>
      <c r="AC61" s="179"/>
    </row>
    <row r="62" spans="1:29" s="1091" customFormat="1" ht="18" customHeight="1" x14ac:dyDescent="0.25">
      <c r="A62" s="1116"/>
      <c r="B62" s="253"/>
      <c r="C62" s="147"/>
      <c r="D62" s="1149" t="s">
        <v>527</v>
      </c>
      <c r="E62" s="1134">
        <f t="shared" ref="E62:E65" si="3">IF(G62="",0,(G62-$G$59)/$G$59)</f>
        <v>0</v>
      </c>
      <c r="F62" s="1130" t="s">
        <v>1584</v>
      </c>
      <c r="G62" s="1127"/>
      <c r="H62" s="659"/>
      <c r="I62" s="1135"/>
      <c r="J62" s="147"/>
      <c r="K62" s="799"/>
      <c r="L62" s="147"/>
      <c r="M62" s="202" t="str">
        <f>IF($E$55="Yes","**Tier 1 used for modeling purposes**","")</f>
        <v/>
      </c>
      <c r="N62" s="889"/>
      <c r="O62" s="889"/>
      <c r="P62" s="194"/>
      <c r="Q62" s="181"/>
      <c r="R62" s="179"/>
      <c r="S62" s="705"/>
      <c r="T62" s="179"/>
      <c r="U62" s="179"/>
      <c r="V62" s="179"/>
      <c r="W62" s="179"/>
      <c r="X62" s="179"/>
      <c r="Y62" s="179"/>
      <c r="Z62" s="179"/>
      <c r="AA62" s="179"/>
      <c r="AB62" s="179"/>
      <c r="AC62" s="179"/>
    </row>
    <row r="63" spans="1:29" s="1091" customFormat="1" ht="18" customHeight="1" x14ac:dyDescent="0.25">
      <c r="A63" s="1116"/>
      <c r="B63" s="253"/>
      <c r="C63" s="147"/>
      <c r="D63" s="1149" t="s">
        <v>528</v>
      </c>
      <c r="E63" s="1134">
        <f t="shared" si="3"/>
        <v>0</v>
      </c>
      <c r="F63" s="1130" t="s">
        <v>1585</v>
      </c>
      <c r="G63" s="1127"/>
      <c r="H63" s="659"/>
      <c r="I63" s="1135"/>
      <c r="J63" s="147"/>
      <c r="K63" s="799"/>
      <c r="L63" s="147"/>
      <c r="M63" s="1188" t="str">
        <f>IF($K$66&gt;0,"**Warning: You have entered an incentive payout above the recommended 5%**","")</f>
        <v/>
      </c>
      <c r="N63" s="889"/>
      <c r="O63" s="889"/>
      <c r="P63" s="194"/>
      <c r="Q63" s="181"/>
      <c r="R63" s="179"/>
      <c r="S63" s="705"/>
      <c r="T63" s="179"/>
      <c r="U63" s="179"/>
      <c r="V63" s="179"/>
      <c r="W63" s="179"/>
      <c r="X63" s="179"/>
      <c r="Y63" s="179"/>
      <c r="Z63" s="179"/>
      <c r="AA63" s="179"/>
      <c r="AB63" s="179"/>
      <c r="AC63" s="179"/>
    </row>
    <row r="64" spans="1:29" s="1091" customFormat="1" ht="18" hidden="1" customHeight="1" x14ac:dyDescent="0.25">
      <c r="A64" s="1116"/>
      <c r="B64" s="253"/>
      <c r="C64" s="147"/>
      <c r="D64" s="1149" t="s">
        <v>1586</v>
      </c>
      <c r="E64" s="1134">
        <f t="shared" si="3"/>
        <v>0</v>
      </c>
      <c r="F64" s="1130" t="s">
        <v>1587</v>
      </c>
      <c r="G64" s="1127"/>
      <c r="H64" s="659"/>
      <c r="I64" s="1135"/>
      <c r="J64" s="147"/>
      <c r="K64" s="799"/>
      <c r="L64" s="147"/>
      <c r="M64" s="889"/>
      <c r="N64" s="889"/>
      <c r="O64" s="889"/>
      <c r="P64" s="194"/>
      <c r="Q64" s="181"/>
      <c r="R64" s="179"/>
      <c r="S64" s="705"/>
      <c r="T64" s="179"/>
      <c r="U64" s="179"/>
      <c r="V64" s="179"/>
      <c r="W64" s="179"/>
      <c r="X64" s="179"/>
      <c r="Y64" s="179"/>
      <c r="Z64" s="179"/>
      <c r="AA64" s="179"/>
      <c r="AB64" s="179"/>
      <c r="AC64" s="179"/>
    </row>
    <row r="65" spans="1:29" ht="18" hidden="1" customHeight="1" thickBot="1" x14ac:dyDescent="0.3">
      <c r="A65" s="1150"/>
      <c r="B65" s="253"/>
      <c r="C65" s="41"/>
      <c r="D65" s="1151" t="s">
        <v>1588</v>
      </c>
      <c r="E65" s="1139">
        <f t="shared" si="3"/>
        <v>0</v>
      </c>
      <c r="F65" s="1130" t="s">
        <v>1589</v>
      </c>
      <c r="G65" s="1127"/>
      <c r="H65" s="659"/>
      <c r="I65" s="1135"/>
      <c r="J65" s="41"/>
      <c r="K65" s="799"/>
      <c r="L65" s="41"/>
      <c r="M65" s="889"/>
      <c r="N65" s="889"/>
      <c r="O65" s="889"/>
      <c r="P65" s="230"/>
      <c r="Q65" s="140"/>
      <c r="R65" s="136"/>
      <c r="S65" s="706"/>
      <c r="T65" s="136"/>
      <c r="U65" s="136"/>
      <c r="V65" s="136"/>
      <c r="W65" s="136"/>
      <c r="X65" s="136"/>
      <c r="Y65" s="136"/>
      <c r="Z65" s="136"/>
      <c r="AA65" s="136"/>
      <c r="AB65" s="136"/>
      <c r="AC65" s="136"/>
    </row>
    <row r="66" spans="1:29" ht="20.25" customHeight="1" x14ac:dyDescent="0.25">
      <c r="A66" s="1150"/>
      <c r="B66" s="255"/>
      <c r="C66" s="232"/>
      <c r="D66" s="204"/>
      <c r="E66" s="205"/>
      <c r="F66" s="206"/>
      <c r="G66" s="231"/>
      <c r="H66" s="208"/>
      <c r="I66" s="737">
        <f>COUNTIF($I$61:$I$65,"&gt;.03")</f>
        <v>0</v>
      </c>
      <c r="J66" s="232"/>
      <c r="K66" s="1187">
        <f>COUNTIF($K$61:$K$65,"&gt;.05")</f>
        <v>0</v>
      </c>
      <c r="L66" s="232"/>
      <c r="M66" s="211"/>
      <c r="N66" s="211"/>
      <c r="O66" s="211"/>
      <c r="P66" s="233"/>
      <c r="Q66" s="140"/>
      <c r="R66" s="136"/>
      <c r="S66" s="706"/>
      <c r="T66" s="136"/>
      <c r="U66" s="136"/>
      <c r="V66" s="136"/>
      <c r="W66" s="136"/>
      <c r="X66" s="136"/>
      <c r="Y66" s="136"/>
      <c r="Z66" s="136"/>
      <c r="AA66" s="136"/>
      <c r="AB66" s="136"/>
      <c r="AC66" s="136"/>
    </row>
    <row r="67" spans="1:29" s="136" customFormat="1" ht="9" customHeight="1" x14ac:dyDescent="0.25">
      <c r="B67" s="179"/>
      <c r="D67" s="213"/>
      <c r="E67" s="1152"/>
      <c r="F67" s="215"/>
      <c r="G67" s="1153"/>
      <c r="H67" s="217"/>
      <c r="I67" s="1154"/>
      <c r="K67" s="1155"/>
      <c r="M67" s="1156"/>
      <c r="N67" s="1156"/>
      <c r="O67" s="1156"/>
      <c r="P67" s="143"/>
      <c r="Q67" s="632"/>
      <c r="S67" s="706"/>
    </row>
    <row r="68" spans="1:29" s="1091" customFormat="1" ht="21.75" hidden="1" customHeight="1" thickBot="1" x14ac:dyDescent="0.3">
      <c r="A68" s="1116"/>
      <c r="B68" s="258"/>
      <c r="C68" s="188"/>
      <c r="D68" s="1286" t="s">
        <v>525</v>
      </c>
      <c r="E68" s="1286"/>
      <c r="F68" s="221"/>
      <c r="G68" s="222"/>
      <c r="H68" s="1092"/>
      <c r="I68" s="223"/>
      <c r="J68" s="188"/>
      <c r="K68" s="224"/>
      <c r="L68" s="188"/>
      <c r="M68" s="225"/>
      <c r="N68" s="225"/>
      <c r="O68" s="225"/>
      <c r="P68" s="191"/>
      <c r="Q68" s="181"/>
      <c r="R68" s="179"/>
      <c r="S68" s="705"/>
      <c r="T68" s="179"/>
      <c r="U68" s="179"/>
      <c r="V68" s="179"/>
      <c r="W68" s="179"/>
      <c r="X68" s="179"/>
      <c r="Y68" s="179"/>
      <c r="Z68" s="179"/>
      <c r="AA68" s="179"/>
      <c r="AB68" s="179"/>
      <c r="AC68" s="179"/>
    </row>
    <row r="69" spans="1:29" s="1091" customFormat="1" ht="18" hidden="1" customHeight="1" thickBot="1" x14ac:dyDescent="0.3">
      <c r="A69" s="1116"/>
      <c r="B69" s="253"/>
      <c r="C69" s="147"/>
      <c r="D69" s="1140" t="s">
        <v>529</v>
      </c>
      <c r="E69" s="1191" t="s">
        <v>655</v>
      </c>
      <c r="F69" s="201"/>
      <c r="G69" s="238" t="s">
        <v>1574</v>
      </c>
      <c r="H69" s="659"/>
      <c r="I69" s="238" t="s">
        <v>1575</v>
      </c>
      <c r="J69" s="41"/>
      <c r="K69" s="238" t="s">
        <v>873</v>
      </c>
      <c r="L69" s="147"/>
      <c r="M69" s="199" t="s">
        <v>1576</v>
      </c>
      <c r="N69" s="226"/>
      <c r="O69" s="226"/>
      <c r="P69" s="194"/>
      <c r="Q69" s="181"/>
      <c r="R69" s="179"/>
      <c r="S69" s="705"/>
      <c r="T69" s="179"/>
      <c r="U69" s="179"/>
      <c r="V69" s="179"/>
      <c r="W69" s="179"/>
      <c r="X69" s="179"/>
      <c r="Y69" s="179"/>
      <c r="Z69" s="179"/>
      <c r="AA69" s="179"/>
      <c r="AB69" s="179"/>
      <c r="AC69" s="179"/>
    </row>
    <row r="70" spans="1:29" s="1091" customFormat="1" ht="32.25" hidden="1" customHeight="1" thickBot="1" x14ac:dyDescent="0.3">
      <c r="A70" s="1116"/>
      <c r="B70" s="253"/>
      <c r="C70" s="147"/>
      <c r="D70" s="1119" t="s">
        <v>1577</v>
      </c>
      <c r="E70" s="1142" t="s">
        <v>1578</v>
      </c>
      <c r="F70" s="227"/>
      <c r="G70" s="1121"/>
      <c r="H70" s="659"/>
      <c r="I70" s="1121"/>
      <c r="J70" s="147"/>
      <c r="K70" s="1121"/>
      <c r="L70" s="147"/>
      <c r="M70" s="1157"/>
      <c r="N70" s="226"/>
      <c r="O70" s="226"/>
      <c r="P70" s="194"/>
      <c r="Q70" s="181"/>
      <c r="R70" s="179"/>
      <c r="S70" s="705"/>
      <c r="T70" s="179"/>
      <c r="U70" s="179"/>
      <c r="V70" s="179"/>
      <c r="W70" s="179"/>
      <c r="X70" s="179"/>
      <c r="Y70" s="179"/>
      <c r="Z70" s="179"/>
      <c r="AA70" s="179"/>
      <c r="AB70" s="179"/>
      <c r="AC70" s="179"/>
    </row>
    <row r="71" spans="1:29" s="1091" customFormat="1" ht="18" hidden="1" customHeight="1" thickBot="1" x14ac:dyDescent="0.3">
      <c r="A71" s="1116"/>
      <c r="B71" s="253"/>
      <c r="C71" s="147"/>
      <c r="D71" s="1145"/>
      <c r="E71" s="147"/>
      <c r="F71" s="227"/>
      <c r="G71" s="659"/>
      <c r="H71" s="659"/>
      <c r="I71" s="228"/>
      <c r="J71" s="147"/>
      <c r="K71" s="147"/>
      <c r="L71" s="147"/>
      <c r="M71" s="147"/>
      <c r="N71" s="147"/>
      <c r="O71" s="147"/>
      <c r="P71" s="194"/>
      <c r="Q71" s="181"/>
      <c r="R71" s="179"/>
      <c r="S71" s="705" t="str">
        <f>IF($E71="NO","",IF($I70="Select Payment Method","X",""))</f>
        <v/>
      </c>
      <c r="T71" s="179"/>
      <c r="U71" s="179"/>
      <c r="V71" s="179"/>
      <c r="W71" s="179"/>
      <c r="X71" s="179"/>
      <c r="Y71" s="179"/>
      <c r="Z71" s="179"/>
      <c r="AA71" s="179"/>
      <c r="AB71" s="179"/>
      <c r="AC71" s="179"/>
    </row>
    <row r="72" spans="1:29" s="1091" customFormat="1" ht="18" hidden="1" customHeight="1" thickBot="1" x14ac:dyDescent="0.3">
      <c r="A72" s="1116"/>
      <c r="B72" s="253"/>
      <c r="C72" s="147"/>
      <c r="D72" s="1146" t="s">
        <v>1579</v>
      </c>
      <c r="E72" s="1126" t="str">
        <f>IF(Welcome!$D$6="New",IF('Required Info to Submit'!F42="","",'Required Info to Submit'!F42),"")</f>
        <v/>
      </c>
      <c r="F72" s="197"/>
      <c r="G72" s="198" t="s">
        <v>725</v>
      </c>
      <c r="H72" s="659"/>
      <c r="I72" s="200"/>
      <c r="J72" s="147"/>
      <c r="K72" s="200"/>
      <c r="L72" s="147"/>
      <c r="M72" s="192"/>
      <c r="N72" s="192"/>
      <c r="O72" s="192"/>
      <c r="P72" s="194"/>
      <c r="Q72" s="181"/>
      <c r="R72" s="179"/>
      <c r="S72" s="705"/>
      <c r="T72" s="179"/>
      <c r="U72" s="179"/>
      <c r="V72" s="179"/>
      <c r="W72" s="179"/>
      <c r="X72" s="179"/>
      <c r="Y72" s="179"/>
      <c r="Z72" s="179"/>
      <c r="AA72" s="179"/>
      <c r="AB72" s="179"/>
      <c r="AC72" s="179"/>
    </row>
    <row r="73" spans="1:29" s="1091" customFormat="1" ht="18" hidden="1" customHeight="1" thickBot="1" x14ac:dyDescent="0.3">
      <c r="A73" s="1116"/>
      <c r="B73" s="253"/>
      <c r="C73" s="147"/>
      <c r="D73" s="1146" t="s">
        <v>1580</v>
      </c>
      <c r="E73" s="1126" t="str">
        <f>IF(Welcome!$D$6="New",IF('Required Info to Submit'!F45="","",'Required Info to Submit'!F45),"")</f>
        <v/>
      </c>
      <c r="F73" s="201"/>
      <c r="G73" s="229">
        <f>IFERROR($G$5/($G$6*52*Welcome!$D$14),0)</f>
        <v>0</v>
      </c>
      <c r="H73" s="659"/>
      <c r="I73" s="200"/>
      <c r="J73" s="147"/>
      <c r="K73" s="202"/>
      <c r="L73" s="202"/>
      <c r="M73" s="200"/>
      <c r="N73" s="200"/>
      <c r="O73" s="192"/>
      <c r="P73" s="194"/>
      <c r="Q73" s="181"/>
      <c r="R73" s="179"/>
      <c r="S73" s="705"/>
      <c r="T73" s="179"/>
      <c r="U73" s="179"/>
      <c r="V73" s="179"/>
      <c r="W73" s="179"/>
      <c r="X73" s="179"/>
      <c r="Y73" s="179"/>
      <c r="Z73" s="179"/>
      <c r="AA73" s="179"/>
      <c r="AB73" s="179"/>
      <c r="AC73" s="179"/>
    </row>
    <row r="74" spans="1:29" s="1091" customFormat="1" ht="18" hidden="1" customHeight="1" thickBot="1" x14ac:dyDescent="0.3">
      <c r="A74" s="1116"/>
      <c r="B74" s="253"/>
      <c r="C74" s="147"/>
      <c r="D74" s="1147"/>
      <c r="E74" s="202"/>
      <c r="F74" s="201"/>
      <c r="G74" s="199" t="s">
        <v>1581</v>
      </c>
      <c r="H74" s="659"/>
      <c r="I74" s="199" t="s">
        <v>1582</v>
      </c>
      <c r="J74" s="202"/>
      <c r="K74" s="199" t="s">
        <v>1583</v>
      </c>
      <c r="L74" s="202"/>
      <c r="M74" s="200"/>
      <c r="N74" s="200"/>
      <c r="O74" s="6" t="s">
        <v>494</v>
      </c>
      <c r="P74" s="194"/>
      <c r="Q74" s="181"/>
      <c r="R74" s="179"/>
      <c r="S74" s="705"/>
      <c r="T74" s="179"/>
      <c r="U74" s="179"/>
      <c r="V74" s="179"/>
      <c r="W74" s="179"/>
      <c r="X74" s="179"/>
      <c r="Y74" s="179"/>
      <c r="Z74" s="179"/>
      <c r="AA74" s="179"/>
      <c r="AB74" s="179"/>
      <c r="AC74" s="179"/>
    </row>
    <row r="75" spans="1:29" s="1091" customFormat="1" ht="18" hidden="1" customHeight="1" x14ac:dyDescent="0.25">
      <c r="A75" s="1116"/>
      <c r="B75" s="253"/>
      <c r="C75" s="147"/>
      <c r="D75" s="1148" t="s">
        <v>526</v>
      </c>
      <c r="E75" s="1158">
        <f>IF(G75="",0,(G75-$G$59)/$G$59)</f>
        <v>0</v>
      </c>
      <c r="F75" s="1130" t="s">
        <v>1051</v>
      </c>
      <c r="G75" s="1127"/>
      <c r="H75" s="659"/>
      <c r="I75" s="1135"/>
      <c r="J75" s="1136" t="str">
        <f>IF($E$57="YES","**Tier 1 used for modeling purposes**","")</f>
        <v/>
      </c>
      <c r="K75" s="799"/>
      <c r="L75" s="1137"/>
      <c r="M75" s="202"/>
      <c r="N75" s="202"/>
      <c r="O75" s="1144">
        <f>IF(E69="Yes",IF(G76="",IF(G75="",0,K75*H$10),IF(OR(G76&lt;G73,G76=G73),K76*H$10)),0)</f>
        <v>0</v>
      </c>
      <c r="P75" s="194"/>
      <c r="Q75" s="181"/>
      <c r="R75" s="179"/>
      <c r="S75" s="705"/>
      <c r="T75" s="179"/>
      <c r="U75" s="179"/>
      <c r="V75" s="179"/>
      <c r="W75" s="179"/>
      <c r="X75" s="179"/>
      <c r="Y75" s="179"/>
      <c r="Z75" s="179"/>
      <c r="AA75" s="179"/>
      <c r="AB75" s="179"/>
      <c r="AC75" s="179"/>
    </row>
    <row r="76" spans="1:29" s="1091" customFormat="1" ht="18" hidden="1" customHeight="1" x14ac:dyDescent="0.25">
      <c r="A76" s="1116"/>
      <c r="B76" s="253"/>
      <c r="C76" s="147"/>
      <c r="D76" s="1149" t="s">
        <v>527</v>
      </c>
      <c r="E76" s="1159">
        <f t="shared" ref="E76:E79" si="4">IF(G76="",0,(G76-$G$59)/$G$59)</f>
        <v>0</v>
      </c>
      <c r="F76" s="1130" t="s">
        <v>1584</v>
      </c>
      <c r="G76" s="1127"/>
      <c r="H76" s="659"/>
      <c r="I76" s="1135"/>
      <c r="J76" s="147"/>
      <c r="K76" s="799"/>
      <c r="L76" s="147"/>
      <c r="M76" s="889"/>
      <c r="N76" s="889"/>
      <c r="O76" s="889"/>
      <c r="P76" s="194"/>
      <c r="Q76" s="181"/>
      <c r="R76" s="179"/>
      <c r="S76" s="705"/>
      <c r="T76" s="179"/>
      <c r="U76" s="179"/>
      <c r="V76" s="179"/>
      <c r="W76" s="179"/>
      <c r="X76" s="179"/>
      <c r="Y76" s="179"/>
      <c r="Z76" s="179"/>
      <c r="AA76" s="179"/>
      <c r="AB76" s="179"/>
      <c r="AC76" s="179"/>
    </row>
    <row r="77" spans="1:29" s="1091" customFormat="1" ht="18" hidden="1" customHeight="1" x14ac:dyDescent="0.25">
      <c r="A77" s="1116"/>
      <c r="B77" s="253"/>
      <c r="C77" s="147"/>
      <c r="D77" s="1149" t="s">
        <v>528</v>
      </c>
      <c r="E77" s="1159">
        <f t="shared" si="4"/>
        <v>0</v>
      </c>
      <c r="F77" s="1130" t="s">
        <v>1585</v>
      </c>
      <c r="G77" s="1127"/>
      <c r="H77" s="659"/>
      <c r="I77" s="1135"/>
      <c r="J77" s="147"/>
      <c r="K77" s="799"/>
      <c r="L77" s="147"/>
      <c r="M77" s="889"/>
      <c r="N77" s="889"/>
      <c r="O77" s="889"/>
      <c r="P77" s="194"/>
      <c r="Q77" s="181"/>
      <c r="R77" s="179"/>
      <c r="S77" s="705"/>
      <c r="T77" s="179"/>
      <c r="U77" s="179"/>
      <c r="V77" s="179"/>
      <c r="W77" s="179"/>
      <c r="X77" s="179"/>
      <c r="Y77" s="179"/>
      <c r="Z77" s="179"/>
      <c r="AA77" s="179"/>
      <c r="AB77" s="179"/>
      <c r="AC77" s="179"/>
    </row>
    <row r="78" spans="1:29" s="1091" customFormat="1" ht="18" hidden="1" customHeight="1" x14ac:dyDescent="0.25">
      <c r="A78" s="1116"/>
      <c r="B78" s="253"/>
      <c r="C78" s="147"/>
      <c r="D78" s="1149" t="s">
        <v>1586</v>
      </c>
      <c r="E78" s="1159">
        <f t="shared" si="4"/>
        <v>0</v>
      </c>
      <c r="F78" s="1130" t="s">
        <v>1587</v>
      </c>
      <c r="G78" s="1127"/>
      <c r="H78" s="659"/>
      <c r="I78" s="1135"/>
      <c r="J78" s="147"/>
      <c r="K78" s="799"/>
      <c r="L78" s="147"/>
      <c r="M78" s="889"/>
      <c r="N78" s="889"/>
      <c r="O78" s="889"/>
      <c r="P78" s="194"/>
      <c r="Q78" s="181"/>
      <c r="R78" s="179"/>
      <c r="S78" s="705"/>
      <c r="T78" s="179"/>
      <c r="U78" s="179"/>
      <c r="V78" s="179"/>
      <c r="W78" s="179"/>
      <c r="X78" s="179"/>
      <c r="Y78" s="179"/>
      <c r="Z78" s="179"/>
      <c r="AA78" s="179"/>
      <c r="AB78" s="179"/>
      <c r="AC78" s="179"/>
    </row>
    <row r="79" spans="1:29" ht="18" hidden="1" customHeight="1" thickBot="1" x14ac:dyDescent="0.3">
      <c r="A79" s="1150"/>
      <c r="B79" s="253"/>
      <c r="C79" s="41"/>
      <c r="D79" s="1151" t="s">
        <v>1588</v>
      </c>
      <c r="E79" s="1160">
        <f t="shared" si="4"/>
        <v>0</v>
      </c>
      <c r="F79" s="1130" t="s">
        <v>1589</v>
      </c>
      <c r="G79" s="1127"/>
      <c r="H79" s="659"/>
      <c r="I79" s="1135"/>
      <c r="J79" s="41"/>
      <c r="K79" s="799"/>
      <c r="L79" s="41"/>
      <c r="M79" s="889"/>
      <c r="N79" s="889"/>
      <c r="O79" s="889"/>
      <c r="P79" s="230"/>
      <c r="Q79" s="140"/>
      <c r="R79" s="136"/>
      <c r="S79" s="706"/>
      <c r="T79" s="136"/>
      <c r="U79" s="136"/>
      <c r="V79" s="136"/>
      <c r="W79" s="136"/>
      <c r="X79" s="136"/>
      <c r="Y79" s="136"/>
      <c r="Z79" s="136"/>
      <c r="AA79" s="136"/>
      <c r="AB79" s="136"/>
      <c r="AC79" s="136"/>
    </row>
    <row r="80" spans="1:29" ht="20.25" hidden="1" customHeight="1" x14ac:dyDescent="0.25">
      <c r="A80" s="1150"/>
      <c r="B80" s="255"/>
      <c r="C80" s="232"/>
      <c r="D80" s="204"/>
      <c r="E80" s="205"/>
      <c r="F80" s="206"/>
      <c r="G80" s="231"/>
      <c r="H80" s="208"/>
      <c r="I80" s="737">
        <f>COUNTIF($I$61:$I$65,"&gt;.03")</f>
        <v>0</v>
      </c>
      <c r="J80" s="232"/>
      <c r="K80" s="210"/>
      <c r="L80" s="232"/>
      <c r="M80" s="211"/>
      <c r="N80" s="211"/>
      <c r="O80" s="211"/>
      <c r="P80" s="233"/>
      <c r="Q80" s="140"/>
      <c r="R80" s="136"/>
      <c r="S80" s="706"/>
      <c r="T80" s="136"/>
      <c r="U80" s="136"/>
      <c r="V80" s="136"/>
      <c r="W80" s="136"/>
      <c r="X80" s="136"/>
      <c r="Y80" s="136"/>
      <c r="Z80" s="136"/>
      <c r="AA80" s="136"/>
      <c r="AB80" s="136"/>
      <c r="AC80" s="136"/>
    </row>
    <row r="81" spans="1:29" s="136" customFormat="1" ht="9" hidden="1" customHeight="1" x14ac:dyDescent="0.25">
      <c r="B81" s="179"/>
      <c r="D81" s="213"/>
      <c r="E81" s="1152"/>
      <c r="F81" s="215"/>
      <c r="G81" s="1153"/>
      <c r="H81" s="217"/>
      <c r="I81" s="1154"/>
      <c r="K81" s="1155"/>
      <c r="M81" s="1156"/>
      <c r="N81" s="1156"/>
      <c r="O81" s="1156"/>
      <c r="P81" s="143"/>
      <c r="Q81" s="632"/>
      <c r="S81" s="706"/>
    </row>
    <row r="82" spans="1:29" ht="21" customHeight="1" thickBot="1" x14ac:dyDescent="0.3">
      <c r="A82" s="1150"/>
      <c r="B82" s="258"/>
      <c r="C82" s="235"/>
      <c r="D82" s="1286" t="s">
        <v>531</v>
      </c>
      <c r="E82" s="1286"/>
      <c r="F82" s="221"/>
      <c r="G82" s="234"/>
      <c r="H82" s="1092"/>
      <c r="I82" s="223"/>
      <c r="J82" s="235"/>
      <c r="K82" s="224"/>
      <c r="L82" s="235"/>
      <c r="M82" s="225"/>
      <c r="N82" s="225"/>
      <c r="O82" s="225"/>
      <c r="P82" s="236"/>
      <c r="Q82" s="140"/>
      <c r="R82" s="136"/>
      <c r="S82" s="706"/>
      <c r="T82" s="136"/>
      <c r="U82" s="136"/>
      <c r="V82" s="136"/>
      <c r="W82" s="136"/>
      <c r="X82" s="136"/>
      <c r="Y82" s="136"/>
      <c r="Z82" s="136"/>
      <c r="AA82" s="136"/>
      <c r="AB82" s="136"/>
      <c r="AC82" s="136"/>
    </row>
    <row r="83" spans="1:29" ht="18" customHeight="1" thickBot="1" x14ac:dyDescent="0.3">
      <c r="A83" s="1150"/>
      <c r="B83" s="253"/>
      <c r="C83" s="41"/>
      <c r="D83" s="1117" t="s">
        <v>529</v>
      </c>
      <c r="E83" s="1191" t="s">
        <v>655</v>
      </c>
      <c r="F83" s="41"/>
      <c r="G83" s="238" t="s">
        <v>1574</v>
      </c>
      <c r="H83" s="659"/>
      <c r="I83" s="238" t="s">
        <v>1575</v>
      </c>
      <c r="J83" s="41"/>
      <c r="K83" s="238" t="s">
        <v>873</v>
      </c>
      <c r="L83" s="147"/>
      <c r="M83" s="199" t="s">
        <v>1576</v>
      </c>
      <c r="N83" s="226"/>
      <c r="O83" s="226"/>
      <c r="P83" s="230"/>
      <c r="Q83" s="140"/>
      <c r="R83" s="136"/>
      <c r="S83" s="706"/>
      <c r="T83" s="136"/>
      <c r="U83" s="136"/>
      <c r="V83" s="136"/>
      <c r="W83" s="136"/>
      <c r="X83" s="136"/>
      <c r="Y83" s="136"/>
      <c r="Z83" s="136"/>
      <c r="AA83" s="136"/>
      <c r="AB83" s="136"/>
      <c r="AC83" s="136"/>
    </row>
    <row r="84" spans="1:29" ht="18" customHeight="1" thickBot="1" x14ac:dyDescent="0.3">
      <c r="A84" s="1150"/>
      <c r="B84" s="253"/>
      <c r="C84" s="41"/>
      <c r="D84" s="1119" t="s">
        <v>1577</v>
      </c>
      <c r="E84" s="1195" t="s">
        <v>1578</v>
      </c>
      <c r="F84" s="41"/>
      <c r="G84" s="1194"/>
      <c r="H84" s="659"/>
      <c r="I84" s="1194"/>
      <c r="J84" s="147"/>
      <c r="K84" s="1194"/>
      <c r="L84" s="147"/>
      <c r="M84" s="1157"/>
      <c r="N84" s="226"/>
      <c r="O84" s="226"/>
      <c r="P84" s="230"/>
      <c r="Q84" s="140"/>
      <c r="R84" s="136"/>
      <c r="S84" s="706"/>
      <c r="T84" s="136"/>
      <c r="U84" s="136"/>
      <c r="V84" s="136"/>
      <c r="W84" s="136"/>
      <c r="X84" s="136"/>
      <c r="Y84" s="136"/>
      <c r="Z84" s="136"/>
      <c r="AA84" s="136"/>
      <c r="AB84" s="136"/>
      <c r="AC84" s="136"/>
    </row>
    <row r="85" spans="1:29" ht="18" customHeight="1" thickBot="1" x14ac:dyDescent="0.3">
      <c r="A85" s="1150"/>
      <c r="B85" s="253"/>
      <c r="C85" s="41"/>
      <c r="D85" s="709"/>
      <c r="E85" s="710"/>
      <c r="F85" s="41"/>
      <c r="G85" s="41"/>
      <c r="H85" s="41"/>
      <c r="I85" s="237"/>
      <c r="J85" s="41"/>
      <c r="K85" s="41"/>
      <c r="L85" s="41"/>
      <c r="M85" s="41"/>
      <c r="N85" s="41"/>
      <c r="O85" s="41"/>
      <c r="P85" s="230"/>
      <c r="Q85" s="140"/>
      <c r="R85" s="136"/>
      <c r="S85" s="705" t="str">
        <f>IF($E85="NO","",IF($I84="Select Payment Method","X",""))</f>
        <v/>
      </c>
      <c r="T85" s="136"/>
      <c r="U85" s="136"/>
      <c r="V85" s="136"/>
      <c r="W85" s="136"/>
      <c r="X85" s="136"/>
      <c r="Y85" s="136"/>
      <c r="Z85" s="136"/>
      <c r="AA85" s="136"/>
      <c r="AB85" s="136"/>
      <c r="AC85" s="136"/>
    </row>
    <row r="86" spans="1:29" ht="18" customHeight="1" thickBot="1" x14ac:dyDescent="0.3">
      <c r="A86" s="1150"/>
      <c r="B86" s="253"/>
      <c r="C86" s="41"/>
      <c r="D86" s="1146" t="s">
        <v>1579</v>
      </c>
      <c r="E86" s="1125" t="str">
        <f>IF(Welcome!$D$6="New",IF('Required Info to Submit'!F$14="","",'Required Info to Submit'!F$14),"")</f>
        <v/>
      </c>
      <c r="F86" s="41"/>
      <c r="G86" s="198" t="s">
        <v>1049</v>
      </c>
      <c r="H86" s="41"/>
      <c r="I86" s="41"/>
      <c r="J86" s="41"/>
      <c r="K86" s="41"/>
      <c r="L86" s="41"/>
      <c r="M86" s="41"/>
      <c r="N86" s="41"/>
      <c r="O86" s="192"/>
      <c r="P86" s="230"/>
      <c r="Q86" s="140"/>
      <c r="R86" s="136"/>
      <c r="S86" s="705"/>
      <c r="T86" s="136"/>
      <c r="U86" s="136"/>
      <c r="V86" s="136"/>
      <c r="W86" s="136"/>
      <c r="X86" s="136"/>
      <c r="Y86" s="136"/>
      <c r="Z86" s="136"/>
      <c r="AA86" s="136"/>
      <c r="AB86" s="136"/>
      <c r="AC86" s="136"/>
    </row>
    <row r="87" spans="1:29" ht="17.25" customHeight="1" thickBot="1" x14ac:dyDescent="0.3">
      <c r="A87" s="1150"/>
      <c r="B87" s="253"/>
      <c r="C87" s="41"/>
      <c r="D87" s="1146" t="s">
        <v>1580</v>
      </c>
      <c r="E87" s="1126" t="str">
        <f>IF(Welcome!$D$6="New",IF('Required Info to Submit'!F$17="","",'Required Info to Submit'!F$17),"")</f>
        <v/>
      </c>
      <c r="F87" s="201"/>
      <c r="G87" s="70">
        <f>IFERROR('EB_CM (Back)'!$B$7,"")</f>
        <v>0</v>
      </c>
      <c r="H87" s="192"/>
      <c r="I87" s="41"/>
      <c r="J87" s="200"/>
      <c r="K87" s="41"/>
      <c r="L87" s="192"/>
      <c r="M87" s="200"/>
      <c r="N87" s="200"/>
      <c r="O87" s="192"/>
      <c r="P87" s="230"/>
      <c r="Q87" s="140"/>
      <c r="R87" s="136"/>
      <c r="S87" s="706"/>
      <c r="T87" s="136"/>
      <c r="U87" s="136"/>
      <c r="V87" s="136"/>
      <c r="W87" s="136"/>
      <c r="X87" s="136"/>
      <c r="Y87" s="136"/>
      <c r="Z87" s="136"/>
      <c r="AA87" s="136"/>
      <c r="AB87" s="136"/>
      <c r="AC87" s="136"/>
    </row>
    <row r="88" spans="1:29" ht="18" customHeight="1" x14ac:dyDescent="0.25">
      <c r="A88" s="1150"/>
      <c r="B88" s="253"/>
      <c r="C88" s="41"/>
      <c r="D88" s="353"/>
      <c r="E88" s="510"/>
      <c r="F88" s="201"/>
      <c r="G88" s="199" t="s">
        <v>1581</v>
      </c>
      <c r="H88" s="659"/>
      <c r="I88" s="199" t="s">
        <v>1582</v>
      </c>
      <c r="J88" s="200"/>
      <c r="K88" s="199" t="s">
        <v>1583</v>
      </c>
      <c r="L88" s="192"/>
      <c r="M88" s="200"/>
      <c r="N88" s="200"/>
      <c r="O88" s="6" t="s">
        <v>494</v>
      </c>
      <c r="P88" s="230"/>
      <c r="Q88" s="140"/>
      <c r="R88" s="136"/>
      <c r="S88" s="706"/>
      <c r="T88" s="136"/>
      <c r="U88" s="136"/>
      <c r="V88" s="136"/>
      <c r="W88" s="136"/>
      <c r="X88" s="136"/>
      <c r="Y88" s="136"/>
      <c r="Z88" s="136"/>
      <c r="AA88" s="136"/>
      <c r="AB88" s="136"/>
      <c r="AC88" s="136"/>
    </row>
    <row r="89" spans="1:29" ht="17.25" customHeight="1" x14ac:dyDescent="0.25">
      <c r="A89" s="1150"/>
      <c r="B89" s="253"/>
      <c r="C89" s="41"/>
      <c r="D89" s="353"/>
      <c r="E89" s="510"/>
      <c r="F89" s="1130" t="s">
        <v>1051</v>
      </c>
      <c r="G89" s="1161"/>
      <c r="H89" s="192"/>
      <c r="I89" s="800"/>
      <c r="J89" s="1136" t="str">
        <f>IF($E$85="YES","**Tier 1 payout used for modeling purposes**","")</f>
        <v/>
      </c>
      <c r="K89" s="799"/>
      <c r="L89" s="192"/>
      <c r="M89" s="200"/>
      <c r="N89" s="202"/>
      <c r="O89" s="1144">
        <f>IF(E83="Yes",IF(G93="",IF(G92="",IF(G91="",IF(G90="",IF(G89="",0,K89*H$10),IF(OR(G90&lt;G87,G90=G87),K90*H$10)),IF(OR(G91&lt;G87,G91=G87),K91*H$10)),IF(OR(G92&lt;G87,G92=G87),K92*H$10)),IF(OR(G93&lt;G87,G93=G87),K93*H$10)),0)</f>
        <v>0</v>
      </c>
      <c r="P89" s="230"/>
      <c r="Q89" s="140"/>
      <c r="R89" s="136"/>
      <c r="S89" s="706"/>
      <c r="T89" s="136"/>
      <c r="U89" s="136"/>
      <c r="V89" s="136"/>
      <c r="W89" s="136"/>
      <c r="X89" s="136"/>
      <c r="Y89" s="136"/>
      <c r="Z89" s="136"/>
      <c r="AA89" s="136"/>
      <c r="AB89" s="136"/>
      <c r="AC89" s="136"/>
    </row>
    <row r="90" spans="1:29" ht="17.25" customHeight="1" x14ac:dyDescent="0.25">
      <c r="A90" s="1150"/>
      <c r="B90" s="253"/>
      <c r="C90" s="41"/>
      <c r="D90" s="353"/>
      <c r="E90" s="510"/>
      <c r="F90" s="1130" t="s">
        <v>1584</v>
      </c>
      <c r="G90" s="1161"/>
      <c r="H90" s="192"/>
      <c r="I90" s="800"/>
      <c r="J90" s="239"/>
      <c r="K90" s="799"/>
      <c r="L90" s="192"/>
      <c r="M90" s="202" t="str">
        <f>IF($E$83="Yes","**Tier 1 used for modeling purposes**","")</f>
        <v/>
      </c>
      <c r="N90" s="889"/>
      <c r="O90" s="889"/>
      <c r="P90" s="230"/>
      <c r="Q90" s="140"/>
      <c r="R90" s="136"/>
      <c r="S90" s="706"/>
      <c r="T90" s="136"/>
      <c r="U90" s="136"/>
      <c r="V90" s="136"/>
      <c r="W90" s="136"/>
      <c r="X90" s="136"/>
      <c r="Y90" s="136"/>
      <c r="Z90" s="136"/>
      <c r="AA90" s="136"/>
      <c r="AB90" s="136"/>
      <c r="AC90" s="136"/>
    </row>
    <row r="91" spans="1:29" ht="17.25" customHeight="1" x14ac:dyDescent="0.25">
      <c r="A91" s="1150"/>
      <c r="B91" s="253"/>
      <c r="C91" s="41"/>
      <c r="D91" s="353"/>
      <c r="E91" s="510"/>
      <c r="F91" s="1130" t="s">
        <v>1585</v>
      </c>
      <c r="G91" s="1161"/>
      <c r="H91" s="192"/>
      <c r="I91" s="800"/>
      <c r="J91" s="239"/>
      <c r="K91" s="799"/>
      <c r="L91" s="192"/>
      <c r="M91" s="1188" t="str">
        <f>IF($K$94&gt;0,"**Warning: You have entered an incentive payout above the recommended 5%**","")</f>
        <v/>
      </c>
      <c r="N91" s="889"/>
      <c r="O91" s="889"/>
      <c r="P91" s="230"/>
      <c r="Q91" s="140"/>
      <c r="R91" s="136"/>
      <c r="S91" s="706"/>
      <c r="T91" s="136"/>
      <c r="U91" s="136"/>
      <c r="V91" s="136"/>
      <c r="W91" s="136"/>
      <c r="X91" s="136"/>
      <c r="Y91" s="136"/>
      <c r="Z91" s="136"/>
      <c r="AA91" s="136"/>
      <c r="AB91" s="136"/>
      <c r="AC91" s="136"/>
    </row>
    <row r="92" spans="1:29" ht="17.25" hidden="1" customHeight="1" x14ac:dyDescent="0.25">
      <c r="A92" s="1150"/>
      <c r="B92" s="253"/>
      <c r="C92" s="41"/>
      <c r="D92" s="353"/>
      <c r="E92" s="510"/>
      <c r="F92" s="1130" t="s">
        <v>1587</v>
      </c>
      <c r="G92" s="1161"/>
      <c r="H92" s="192"/>
      <c r="I92" s="800"/>
      <c r="J92" s="239"/>
      <c r="K92" s="799"/>
      <c r="L92" s="192"/>
      <c r="M92" s="889"/>
      <c r="N92" s="889"/>
      <c r="O92" s="889"/>
      <c r="P92" s="230"/>
      <c r="Q92" s="140"/>
      <c r="R92" s="136"/>
      <c r="S92" s="706"/>
      <c r="T92" s="136"/>
      <c r="U92" s="136"/>
      <c r="V92" s="136"/>
      <c r="W92" s="136"/>
      <c r="X92" s="136"/>
      <c r="Y92" s="136"/>
      <c r="Z92" s="136"/>
      <c r="AA92" s="136"/>
      <c r="AB92" s="136"/>
      <c r="AC92" s="136"/>
    </row>
    <row r="93" spans="1:29" ht="17.25" hidden="1" customHeight="1" x14ac:dyDescent="0.25">
      <c r="A93" s="1150"/>
      <c r="B93" s="253"/>
      <c r="C93" s="41"/>
      <c r="D93" s="353"/>
      <c r="E93" s="510"/>
      <c r="F93" s="1130" t="s">
        <v>1589</v>
      </c>
      <c r="G93" s="1161"/>
      <c r="H93" s="192"/>
      <c r="I93" s="800"/>
      <c r="J93" s="239"/>
      <c r="K93" s="799"/>
      <c r="L93" s="192"/>
      <c r="M93" s="889"/>
      <c r="N93" s="889"/>
      <c r="O93" s="889"/>
      <c r="P93" s="230"/>
      <c r="Q93" s="140"/>
      <c r="R93" s="136"/>
      <c r="S93" s="706"/>
      <c r="T93" s="136"/>
      <c r="U93" s="136"/>
      <c r="V93" s="136"/>
      <c r="W93" s="136"/>
      <c r="X93" s="136"/>
      <c r="Y93" s="136"/>
      <c r="Z93" s="136"/>
      <c r="AA93" s="136"/>
      <c r="AB93" s="136"/>
      <c r="AC93" s="136"/>
    </row>
    <row r="94" spans="1:29" ht="21" customHeight="1" x14ac:dyDescent="0.25">
      <c r="A94" s="1150"/>
      <c r="B94" s="255"/>
      <c r="C94" s="232"/>
      <c r="D94" s="1162"/>
      <c r="E94" s="232"/>
      <c r="F94" s="209"/>
      <c r="G94" s="240"/>
      <c r="H94" s="241"/>
      <c r="I94" s="242"/>
      <c r="J94" s="210"/>
      <c r="K94" s="1187">
        <f>COUNTIF($K$89:$K$93,"&gt;.05")</f>
        <v>0</v>
      </c>
      <c r="L94" s="241"/>
      <c r="M94" s="211"/>
      <c r="N94" s="211"/>
      <c r="O94" s="211"/>
      <c r="P94" s="233"/>
      <c r="Q94" s="140"/>
      <c r="R94" s="136"/>
      <c r="S94" s="706"/>
      <c r="T94" s="136"/>
      <c r="U94" s="136"/>
      <c r="V94" s="136"/>
      <c r="W94" s="136"/>
      <c r="X94" s="136"/>
      <c r="Y94" s="136"/>
      <c r="Z94" s="136"/>
      <c r="AA94" s="136"/>
      <c r="AB94" s="136"/>
      <c r="AC94" s="136"/>
    </row>
    <row r="95" spans="1:29" ht="10.15" customHeight="1" x14ac:dyDescent="0.25">
      <c r="C95" s="136"/>
      <c r="D95" s="1101"/>
      <c r="E95" s="136"/>
      <c r="F95" s="182"/>
      <c r="G95" s="243"/>
      <c r="H95" s="179"/>
      <c r="I95" s="244"/>
      <c r="J95" s="219"/>
      <c r="K95" s="220"/>
      <c r="L95" s="179"/>
      <c r="M95" s="220"/>
      <c r="N95" s="220"/>
      <c r="O95" s="220"/>
      <c r="P95" s="143"/>
      <c r="Q95" s="140"/>
      <c r="R95" s="136"/>
      <c r="S95" s="706"/>
      <c r="T95" s="136"/>
      <c r="U95" s="136"/>
      <c r="V95" s="136"/>
      <c r="W95" s="136"/>
      <c r="X95" s="136"/>
      <c r="Y95" s="136"/>
      <c r="Z95" s="136"/>
      <c r="AA95" s="136"/>
      <c r="AB95" s="136"/>
      <c r="AC95" s="136"/>
    </row>
    <row r="96" spans="1:29" ht="21" hidden="1" customHeight="1" thickBot="1" x14ac:dyDescent="0.3">
      <c r="A96" s="1150"/>
      <c r="B96" s="258"/>
      <c r="C96" s="235"/>
      <c r="D96" s="1286" t="s">
        <v>531</v>
      </c>
      <c r="E96" s="1286"/>
      <c r="F96" s="221"/>
      <c r="G96" s="234"/>
      <c r="H96" s="1092"/>
      <c r="I96" s="223"/>
      <c r="J96" s="235"/>
      <c r="K96" s="224"/>
      <c r="L96" s="235"/>
      <c r="M96" s="225"/>
      <c r="N96" s="225"/>
      <c r="O96" s="225"/>
      <c r="P96" s="236"/>
      <c r="Q96" s="140"/>
      <c r="R96" s="136"/>
      <c r="S96" s="706"/>
      <c r="T96" s="136"/>
      <c r="U96" s="136"/>
      <c r="V96" s="136"/>
      <c r="W96" s="136"/>
      <c r="X96" s="136"/>
      <c r="Y96" s="136"/>
      <c r="Z96" s="136"/>
      <c r="AA96" s="136"/>
      <c r="AB96" s="136"/>
      <c r="AC96" s="136"/>
    </row>
    <row r="97" spans="1:29" ht="18" hidden="1" customHeight="1" thickBot="1" x14ac:dyDescent="0.3">
      <c r="A97" s="1150"/>
      <c r="B97" s="253"/>
      <c r="C97" s="41"/>
      <c r="D97" s="1117" t="s">
        <v>529</v>
      </c>
      <c r="E97" s="1118" t="s">
        <v>655</v>
      </c>
      <c r="F97" s="41"/>
      <c r="G97" s="238" t="s">
        <v>1574</v>
      </c>
      <c r="H97" s="659"/>
      <c r="I97" s="238" t="s">
        <v>1575</v>
      </c>
      <c r="J97" s="41"/>
      <c r="K97" s="238" t="s">
        <v>873</v>
      </c>
      <c r="L97" s="147"/>
      <c r="M97" s="199" t="s">
        <v>1576</v>
      </c>
      <c r="N97" s="226"/>
      <c r="O97" s="226"/>
      <c r="P97" s="230"/>
      <c r="Q97" s="140"/>
      <c r="R97" s="136"/>
      <c r="S97" s="706"/>
      <c r="T97" s="136"/>
      <c r="U97" s="136"/>
      <c r="V97" s="136"/>
      <c r="W97" s="136"/>
      <c r="X97" s="136"/>
      <c r="Y97" s="136"/>
      <c r="Z97" s="136"/>
      <c r="AA97" s="136"/>
      <c r="AB97" s="136"/>
      <c r="AC97" s="136"/>
    </row>
    <row r="98" spans="1:29" ht="18" hidden="1" customHeight="1" thickBot="1" x14ac:dyDescent="0.3">
      <c r="A98" s="1150"/>
      <c r="B98" s="253"/>
      <c r="C98" s="41"/>
      <c r="D98" s="1119" t="s">
        <v>1577</v>
      </c>
      <c r="E98" s="1120" t="s">
        <v>1578</v>
      </c>
      <c r="F98" s="41"/>
      <c r="G98" s="1121"/>
      <c r="H98" s="659"/>
      <c r="I98" s="1121"/>
      <c r="J98" s="147"/>
      <c r="K98" s="1121"/>
      <c r="L98" s="147"/>
      <c r="M98" s="1122"/>
      <c r="N98" s="226"/>
      <c r="O98" s="226"/>
      <c r="P98" s="230"/>
      <c r="Q98" s="140"/>
      <c r="R98" s="136"/>
      <c r="S98" s="706"/>
      <c r="T98" s="136"/>
      <c r="U98" s="136"/>
      <c r="V98" s="136"/>
      <c r="W98" s="136"/>
      <c r="X98" s="136"/>
      <c r="Y98" s="136"/>
      <c r="Z98" s="136"/>
      <c r="AA98" s="136"/>
      <c r="AB98" s="136"/>
      <c r="AC98" s="136"/>
    </row>
    <row r="99" spans="1:29" ht="18" hidden="1" customHeight="1" thickBot="1" x14ac:dyDescent="0.3">
      <c r="A99" s="1150"/>
      <c r="B99" s="253"/>
      <c r="C99" s="41"/>
      <c r="D99" s="709"/>
      <c r="E99" s="710"/>
      <c r="F99" s="41"/>
      <c r="G99" s="41"/>
      <c r="H99" s="41"/>
      <c r="I99" s="237"/>
      <c r="J99" s="41"/>
      <c r="K99" s="41"/>
      <c r="L99" s="41"/>
      <c r="M99" s="41"/>
      <c r="N99" s="41"/>
      <c r="O99" s="41"/>
      <c r="P99" s="230"/>
      <c r="Q99" s="140"/>
      <c r="R99" s="136"/>
      <c r="S99" s="705" t="str">
        <f>IF($E99="NO","",IF($I98="Select Payment Method","X",""))</f>
        <v/>
      </c>
      <c r="T99" s="136"/>
      <c r="U99" s="136"/>
      <c r="V99" s="136"/>
      <c r="W99" s="136"/>
      <c r="X99" s="136"/>
      <c r="Y99" s="136"/>
      <c r="Z99" s="136"/>
      <c r="AA99" s="136"/>
      <c r="AB99" s="136"/>
      <c r="AC99" s="136"/>
    </row>
    <row r="100" spans="1:29" ht="18" hidden="1" customHeight="1" thickBot="1" x14ac:dyDescent="0.3">
      <c r="A100" s="1150"/>
      <c r="B100" s="253"/>
      <c r="C100" s="41"/>
      <c r="D100" s="1146" t="s">
        <v>1579</v>
      </c>
      <c r="E100" s="1125" t="str">
        <f>IF(Welcome!$D$6="New",IF('Required Info to Submit'!F$14="","",'Required Info to Submit'!F$14),"")</f>
        <v/>
      </c>
      <c r="F100" s="41"/>
      <c r="G100" s="198" t="s">
        <v>1049</v>
      </c>
      <c r="H100" s="41"/>
      <c r="I100" s="41"/>
      <c r="J100" s="41"/>
      <c r="K100" s="41"/>
      <c r="L100" s="41"/>
      <c r="M100" s="41"/>
      <c r="N100" s="41"/>
      <c r="O100" s="192"/>
      <c r="P100" s="230"/>
      <c r="Q100" s="140"/>
      <c r="R100" s="136"/>
      <c r="S100" s="705"/>
      <c r="T100" s="136"/>
      <c r="U100" s="136"/>
      <c r="V100" s="136"/>
      <c r="W100" s="136"/>
      <c r="X100" s="136"/>
      <c r="Y100" s="136"/>
      <c r="Z100" s="136"/>
      <c r="AA100" s="136"/>
      <c r="AB100" s="136"/>
      <c r="AC100" s="136"/>
    </row>
    <row r="101" spans="1:29" ht="18" hidden="1" customHeight="1" thickBot="1" x14ac:dyDescent="0.3">
      <c r="A101" s="1150"/>
      <c r="B101" s="253"/>
      <c r="C101" s="41"/>
      <c r="D101" s="1146" t="s">
        <v>1580</v>
      </c>
      <c r="E101" s="1126" t="str">
        <f>IF(Welcome!$D$6="New",IF('Required Info to Submit'!F$17="","",'Required Info to Submit'!F$17),"")</f>
        <v/>
      </c>
      <c r="F101" s="201"/>
      <c r="G101" s="70">
        <f>IFERROR('EB_CM (Back)'!$B$7,"")</f>
        <v>0</v>
      </c>
      <c r="H101" s="192"/>
      <c r="I101" s="41"/>
      <c r="J101" s="200"/>
      <c r="K101" s="41"/>
      <c r="L101" s="192"/>
      <c r="M101" s="200"/>
      <c r="N101" s="200"/>
      <c r="O101" s="192"/>
      <c r="P101" s="230"/>
      <c r="Q101" s="140"/>
      <c r="R101" s="136"/>
      <c r="S101" s="706"/>
      <c r="T101" s="136"/>
      <c r="U101" s="136"/>
      <c r="V101" s="136"/>
      <c r="W101" s="136"/>
      <c r="X101" s="136"/>
      <c r="Y101" s="136"/>
      <c r="Z101" s="136"/>
      <c r="AA101" s="136"/>
      <c r="AB101" s="136"/>
      <c r="AC101" s="136"/>
    </row>
    <row r="102" spans="1:29" ht="18" hidden="1" customHeight="1" x14ac:dyDescent="0.25">
      <c r="A102" s="1150"/>
      <c r="B102" s="253"/>
      <c r="C102" s="41"/>
      <c r="D102" s="353"/>
      <c r="E102" s="510"/>
      <c r="F102" s="201"/>
      <c r="G102" s="199" t="s">
        <v>1581</v>
      </c>
      <c r="H102" s="659"/>
      <c r="I102" s="199" t="s">
        <v>1582</v>
      </c>
      <c r="J102" s="200"/>
      <c r="K102" s="199" t="s">
        <v>1583</v>
      </c>
      <c r="L102" s="192"/>
      <c r="M102" s="200"/>
      <c r="N102" s="200"/>
      <c r="O102" s="6" t="s">
        <v>494</v>
      </c>
      <c r="P102" s="230"/>
      <c r="Q102" s="140"/>
      <c r="R102" s="136"/>
      <c r="S102" s="706"/>
      <c r="T102" s="136"/>
      <c r="U102" s="136"/>
      <c r="V102" s="136"/>
      <c r="W102" s="136"/>
      <c r="X102" s="136"/>
      <c r="Y102" s="136"/>
      <c r="Z102" s="136"/>
      <c r="AA102" s="136"/>
      <c r="AB102" s="136"/>
      <c r="AC102" s="136"/>
    </row>
    <row r="103" spans="1:29" ht="17.25" hidden="1" customHeight="1" x14ac:dyDescent="0.25">
      <c r="A103" s="1150"/>
      <c r="B103" s="253"/>
      <c r="C103" s="41"/>
      <c r="D103" s="353"/>
      <c r="E103" s="510"/>
      <c r="F103" s="1130" t="s">
        <v>1051</v>
      </c>
      <c r="G103" s="1161"/>
      <c r="H103" s="192"/>
      <c r="I103" s="800"/>
      <c r="J103" s="1136" t="str">
        <f>IF($E$85="YES","**Tier 1 payout used for modeling purposes**","")</f>
        <v/>
      </c>
      <c r="K103" s="799"/>
      <c r="L103" s="192"/>
      <c r="M103" s="200"/>
      <c r="N103" s="202"/>
      <c r="O103" s="1144">
        <f>IF(E97="Yes",IF(G107="",IF(G106="",IF(G105="",IF(G104="",IF(G103="",0,K103*H$10),IF(OR(G104&lt;G101,G104=G101),K104*H$10)),IF(OR(G105&lt;G101,G105=G101),K105*H$10)),IF(OR(G106&lt;G101,G106=G101),K106*H$10)),IF(OR(G107&lt;G101,G107=G101),K107*H$10)),0)</f>
        <v>0</v>
      </c>
      <c r="P103" s="230"/>
      <c r="Q103" s="140"/>
      <c r="R103" s="136"/>
      <c r="S103" s="706"/>
      <c r="T103" s="136"/>
      <c r="U103" s="136"/>
      <c r="V103" s="136"/>
      <c r="W103" s="136"/>
      <c r="X103" s="136"/>
      <c r="Y103" s="136"/>
      <c r="Z103" s="136"/>
      <c r="AA103" s="136"/>
      <c r="AB103" s="136"/>
      <c r="AC103" s="136"/>
    </row>
    <row r="104" spans="1:29" ht="17.25" hidden="1" customHeight="1" x14ac:dyDescent="0.25">
      <c r="A104" s="1150"/>
      <c r="B104" s="253"/>
      <c r="C104" s="41"/>
      <c r="D104" s="353"/>
      <c r="E104" s="510"/>
      <c r="F104" s="1130" t="s">
        <v>1584</v>
      </c>
      <c r="G104" s="1161"/>
      <c r="H104" s="192"/>
      <c r="I104" s="800"/>
      <c r="J104" s="239"/>
      <c r="K104" s="799"/>
      <c r="L104" s="192"/>
      <c r="M104" s="889"/>
      <c r="N104" s="889"/>
      <c r="O104" s="889"/>
      <c r="P104" s="230"/>
      <c r="Q104" s="140"/>
      <c r="R104" s="136"/>
      <c r="S104" s="706"/>
      <c r="T104" s="136"/>
      <c r="U104" s="136"/>
      <c r="V104" s="136"/>
      <c r="W104" s="136"/>
      <c r="X104" s="136"/>
      <c r="Y104" s="136"/>
      <c r="Z104" s="136"/>
      <c r="AA104" s="136"/>
      <c r="AB104" s="136"/>
      <c r="AC104" s="136"/>
    </row>
    <row r="105" spans="1:29" ht="17.25" hidden="1" customHeight="1" x14ac:dyDescent="0.25">
      <c r="A105" s="1150"/>
      <c r="B105" s="253"/>
      <c r="C105" s="41"/>
      <c r="D105" s="353"/>
      <c r="E105" s="510"/>
      <c r="F105" s="1130" t="s">
        <v>1585</v>
      </c>
      <c r="G105" s="1161"/>
      <c r="H105" s="192"/>
      <c r="I105" s="800"/>
      <c r="J105" s="239"/>
      <c r="K105" s="799"/>
      <c r="L105" s="192"/>
      <c r="M105" s="889"/>
      <c r="N105" s="889"/>
      <c r="O105" s="889"/>
      <c r="P105" s="230"/>
      <c r="Q105" s="140"/>
      <c r="R105" s="136"/>
      <c r="S105" s="706"/>
      <c r="T105" s="136"/>
      <c r="U105" s="136"/>
      <c r="V105" s="136"/>
      <c r="W105" s="136"/>
      <c r="X105" s="136"/>
      <c r="Y105" s="136"/>
      <c r="Z105" s="136"/>
      <c r="AA105" s="136"/>
      <c r="AB105" s="136"/>
      <c r="AC105" s="136"/>
    </row>
    <row r="106" spans="1:29" ht="17.25" hidden="1" customHeight="1" x14ac:dyDescent="0.25">
      <c r="A106" s="1150"/>
      <c r="B106" s="253"/>
      <c r="C106" s="41"/>
      <c r="D106" s="353"/>
      <c r="E106" s="510"/>
      <c r="F106" s="1130" t="s">
        <v>1587</v>
      </c>
      <c r="G106" s="1161"/>
      <c r="H106" s="192"/>
      <c r="I106" s="800"/>
      <c r="J106" s="239"/>
      <c r="K106" s="799"/>
      <c r="L106" s="192"/>
      <c r="M106" s="889"/>
      <c r="N106" s="889"/>
      <c r="O106" s="889"/>
      <c r="P106" s="230"/>
      <c r="Q106" s="140"/>
      <c r="R106" s="136"/>
      <c r="S106" s="706"/>
      <c r="T106" s="136"/>
      <c r="U106" s="136"/>
      <c r="V106" s="136"/>
      <c r="W106" s="136"/>
      <c r="X106" s="136"/>
      <c r="Y106" s="136"/>
      <c r="Z106" s="136"/>
      <c r="AA106" s="136"/>
      <c r="AB106" s="136"/>
      <c r="AC106" s="136"/>
    </row>
    <row r="107" spans="1:29" ht="17.25" hidden="1" customHeight="1" x14ac:dyDescent="0.25">
      <c r="A107" s="1150"/>
      <c r="B107" s="253"/>
      <c r="C107" s="41"/>
      <c r="D107" s="353"/>
      <c r="E107" s="510"/>
      <c r="F107" s="1130" t="s">
        <v>1589</v>
      </c>
      <c r="G107" s="1161"/>
      <c r="H107" s="192"/>
      <c r="I107" s="800"/>
      <c r="J107" s="239"/>
      <c r="K107" s="799"/>
      <c r="L107" s="192"/>
      <c r="M107" s="889"/>
      <c r="N107" s="889"/>
      <c r="O107" s="889"/>
      <c r="P107" s="230"/>
      <c r="Q107" s="140"/>
      <c r="R107" s="136"/>
      <c r="S107" s="706"/>
      <c r="T107" s="136"/>
      <c r="U107" s="136"/>
      <c r="V107" s="136"/>
      <c r="W107" s="136"/>
      <c r="X107" s="136"/>
      <c r="Y107" s="136"/>
      <c r="Z107" s="136"/>
      <c r="AA107" s="136"/>
      <c r="AB107" s="136"/>
      <c r="AC107" s="136"/>
    </row>
    <row r="108" spans="1:29" ht="21" hidden="1" customHeight="1" x14ac:dyDescent="0.25">
      <c r="A108" s="1150"/>
      <c r="B108" s="255"/>
      <c r="C108" s="232"/>
      <c r="D108" s="1162"/>
      <c r="E108" s="232"/>
      <c r="F108" s="209"/>
      <c r="G108" s="240"/>
      <c r="H108" s="241"/>
      <c r="I108" s="242"/>
      <c r="J108" s="210"/>
      <c r="K108" s="211"/>
      <c r="L108" s="241"/>
      <c r="M108" s="211"/>
      <c r="N108" s="211"/>
      <c r="O108" s="211"/>
      <c r="P108" s="233"/>
      <c r="Q108" s="140"/>
      <c r="R108" s="136"/>
      <c r="S108" s="706"/>
      <c r="T108" s="136"/>
      <c r="U108" s="136"/>
      <c r="V108" s="136"/>
      <c r="W108" s="136"/>
      <c r="X108" s="136"/>
      <c r="Y108" s="136"/>
      <c r="Z108" s="136"/>
      <c r="AA108" s="136"/>
      <c r="AB108" s="136"/>
      <c r="AC108" s="136"/>
    </row>
    <row r="109" spans="1:29" ht="10.15" hidden="1" customHeight="1" x14ac:dyDescent="0.25">
      <c r="C109" s="136"/>
      <c r="D109" s="1101"/>
      <c r="E109" s="136"/>
      <c r="F109" s="182"/>
      <c r="G109" s="243"/>
      <c r="H109" s="179"/>
      <c r="I109" s="244"/>
      <c r="J109" s="219"/>
      <c r="K109" s="220"/>
      <c r="L109" s="179"/>
      <c r="M109" s="220"/>
      <c r="N109" s="220"/>
      <c r="O109" s="220"/>
      <c r="P109" s="143"/>
      <c r="Q109" s="140"/>
      <c r="R109" s="136"/>
      <c r="S109" s="706"/>
      <c r="T109" s="136"/>
      <c r="U109" s="136"/>
      <c r="V109" s="136"/>
      <c r="W109" s="136"/>
      <c r="X109" s="136"/>
      <c r="Y109" s="136"/>
      <c r="Z109" s="136"/>
      <c r="AA109" s="136"/>
      <c r="AB109" s="136"/>
      <c r="AC109" s="136"/>
    </row>
    <row r="110" spans="1:29" ht="20.25" customHeight="1" thickBot="1" x14ac:dyDescent="0.3">
      <c r="B110" s="258"/>
      <c r="C110" s="235"/>
      <c r="D110" s="1286" t="s">
        <v>1187</v>
      </c>
      <c r="E110" s="1286"/>
      <c r="F110" s="221"/>
      <c r="G110" s="245"/>
      <c r="H110" s="187"/>
      <c r="I110" s="246"/>
      <c r="J110" s="224"/>
      <c r="K110" s="225"/>
      <c r="L110" s="187"/>
      <c r="M110" s="225"/>
      <c r="N110" s="225"/>
      <c r="O110" s="225"/>
      <c r="P110" s="236"/>
      <c r="Q110" s="140"/>
      <c r="R110" s="136"/>
      <c r="S110" s="706"/>
      <c r="T110" s="136"/>
      <c r="U110" s="136"/>
      <c r="V110" s="136"/>
      <c r="W110" s="136"/>
      <c r="X110" s="136"/>
      <c r="Y110" s="136"/>
      <c r="Z110" s="136"/>
      <c r="AA110" s="136"/>
      <c r="AB110" s="136"/>
      <c r="AC110" s="136"/>
    </row>
    <row r="111" spans="1:29" ht="18" customHeight="1" thickBot="1" x14ac:dyDescent="0.3">
      <c r="B111" s="253"/>
      <c r="C111" s="41"/>
      <c r="D111" s="1140" t="s">
        <v>529</v>
      </c>
      <c r="E111" s="1191" t="s">
        <v>655</v>
      </c>
      <c r="F111" s="249"/>
      <c r="G111" s="238" t="s">
        <v>1574</v>
      </c>
      <c r="H111" s="659"/>
      <c r="I111" s="238" t="s">
        <v>1575</v>
      </c>
      <c r="J111" s="41"/>
      <c r="K111" s="238" t="s">
        <v>873</v>
      </c>
      <c r="L111" s="147"/>
      <c r="M111" s="199" t="s">
        <v>1576</v>
      </c>
      <c r="N111" s="226"/>
      <c r="O111" s="226"/>
      <c r="P111" s="230"/>
      <c r="Q111" s="140"/>
      <c r="R111" s="136"/>
      <c r="S111" s="706"/>
      <c r="T111" s="136"/>
      <c r="U111" s="136"/>
      <c r="V111" s="136"/>
      <c r="W111" s="136"/>
      <c r="X111" s="136"/>
      <c r="Y111" s="136"/>
      <c r="Z111" s="136"/>
      <c r="AA111" s="136"/>
      <c r="AB111" s="136"/>
      <c r="AC111" s="136"/>
    </row>
    <row r="112" spans="1:29" ht="18" customHeight="1" thickBot="1" x14ac:dyDescent="0.3">
      <c r="B112" s="253"/>
      <c r="C112" s="41"/>
      <c r="D112" s="1119" t="s">
        <v>1577</v>
      </c>
      <c r="E112" s="1195" t="s">
        <v>1578</v>
      </c>
      <c r="F112" s="201"/>
      <c r="G112" s="1194"/>
      <c r="H112" s="659"/>
      <c r="I112" s="1194"/>
      <c r="J112" s="147"/>
      <c r="K112" s="1194"/>
      <c r="L112" s="147"/>
      <c r="M112" s="1122"/>
      <c r="N112" s="226"/>
      <c r="O112" s="226"/>
      <c r="P112" s="230"/>
      <c r="Q112" s="140"/>
      <c r="R112" s="136"/>
      <c r="S112" s="706"/>
      <c r="T112" s="1163"/>
      <c r="U112" s="136"/>
      <c r="V112" s="136"/>
      <c r="W112" s="136"/>
      <c r="X112" s="136"/>
      <c r="Y112" s="136"/>
      <c r="Z112" s="136"/>
      <c r="AA112" s="136"/>
      <c r="AB112" s="136"/>
      <c r="AC112" s="136"/>
    </row>
    <row r="113" spans="2:29" ht="18" customHeight="1" thickBot="1" x14ac:dyDescent="0.3">
      <c r="B113" s="253"/>
      <c r="C113" s="41"/>
      <c r="D113" s="1164"/>
      <c r="E113" s="41"/>
      <c r="F113" s="147"/>
      <c r="G113" s="247"/>
      <c r="H113" s="192"/>
      <c r="I113" s="248"/>
      <c r="J113" s="202"/>
      <c r="K113" s="226"/>
      <c r="L113" s="192"/>
      <c r="M113" s="226"/>
      <c r="N113" s="226"/>
      <c r="O113" s="226"/>
      <c r="P113" s="230"/>
      <c r="Q113" s="140"/>
      <c r="R113" s="136"/>
      <c r="S113" s="705" t="str">
        <f>IF($E113="NO","",IF($I112="Select Payment Method","X",""))</f>
        <v/>
      </c>
      <c r="T113" s="136"/>
      <c r="U113" s="136"/>
      <c r="V113" s="136"/>
      <c r="W113" s="136"/>
      <c r="X113" s="136"/>
      <c r="Y113" s="136"/>
      <c r="Z113" s="136"/>
      <c r="AA113" s="136"/>
      <c r="AB113" s="136"/>
      <c r="AC113" s="136"/>
    </row>
    <row r="114" spans="2:29" ht="17.25" customHeight="1" thickBot="1" x14ac:dyDescent="0.3">
      <c r="B114" s="253"/>
      <c r="C114" s="41"/>
      <c r="D114" s="1146" t="s">
        <v>1579</v>
      </c>
      <c r="E114" s="1125" t="str">
        <f>IF(Welcome!$D$6="New",IF('Required Info to Submit'!F$14="","",'Required Info to Submit'!F$14),"")</f>
        <v/>
      </c>
      <c r="F114" s="249"/>
      <c r="G114" s="199" t="s">
        <v>1581</v>
      </c>
      <c r="H114" s="192"/>
      <c r="I114" s="199" t="s">
        <v>1582</v>
      </c>
      <c r="J114" s="200"/>
      <c r="K114" s="199" t="s">
        <v>1583</v>
      </c>
      <c r="L114" s="192"/>
      <c r="M114" s="200"/>
      <c r="N114" s="200"/>
      <c r="O114" s="6" t="s">
        <v>494</v>
      </c>
      <c r="P114" s="230"/>
      <c r="Q114" s="140"/>
      <c r="R114" s="136"/>
      <c r="S114" s="706"/>
      <c r="T114" s="136"/>
      <c r="U114" s="136"/>
      <c r="V114" s="136"/>
      <c r="W114" s="136"/>
      <c r="X114" s="136"/>
      <c r="Y114" s="136"/>
      <c r="Z114" s="136"/>
      <c r="AA114" s="136"/>
      <c r="AB114" s="136"/>
      <c r="AC114" s="136"/>
    </row>
    <row r="115" spans="2:29" ht="17.25" customHeight="1" thickBot="1" x14ac:dyDescent="0.3">
      <c r="B115" s="253"/>
      <c r="C115" s="41"/>
      <c r="D115" s="1146" t="s">
        <v>1580</v>
      </c>
      <c r="E115" s="1126" t="str">
        <f>IF(Welcome!$D$6="New",IF('Required Info to Submit'!F$17="","",'Required Info to Submit'!F$17),"")</f>
        <v/>
      </c>
      <c r="F115" s="1130" t="s">
        <v>1051</v>
      </c>
      <c r="G115" s="1161"/>
      <c r="H115" s="192"/>
      <c r="I115" s="800"/>
      <c r="J115" s="239"/>
      <c r="K115" s="799"/>
      <c r="L115" s="192"/>
      <c r="M115" s="200"/>
      <c r="N115" s="202"/>
      <c r="O115" s="1144">
        <f>IF(E111="No",0,IF(((H10-(G115*52))*I115)&lt;0,0,((H10-(G115*52))*I115)))</f>
        <v>0</v>
      </c>
      <c r="P115" s="230"/>
      <c r="Q115" s="140"/>
      <c r="R115" s="1090"/>
      <c r="S115" s="707"/>
    </row>
    <row r="116" spans="2:29" ht="21" customHeight="1" x14ac:dyDescent="0.25">
      <c r="B116" s="255"/>
      <c r="C116" s="232"/>
      <c r="D116" s="1162"/>
      <c r="E116" s="232"/>
      <c r="F116" s="232"/>
      <c r="G116" s="806"/>
      <c r="H116" s="232"/>
      <c r="I116" s="250"/>
      <c r="J116" s="232"/>
      <c r="K116" s="232"/>
      <c r="L116" s="232"/>
      <c r="M116" s="232"/>
      <c r="N116" s="232"/>
      <c r="O116" s="232"/>
      <c r="P116" s="233"/>
      <c r="Q116" s="140"/>
      <c r="R116" s="1090"/>
      <c r="S116" s="707"/>
    </row>
    <row r="117" spans="2:29" ht="10.15" customHeight="1" x14ac:dyDescent="0.25">
      <c r="C117" s="136"/>
      <c r="D117" s="1101"/>
      <c r="E117" s="136"/>
      <c r="F117" s="182"/>
      <c r="G117" s="243"/>
      <c r="H117" s="179"/>
      <c r="I117" s="244"/>
      <c r="J117" s="219"/>
      <c r="K117" s="220"/>
      <c r="L117" s="179"/>
      <c r="M117" s="220"/>
      <c r="N117" s="220"/>
      <c r="O117" s="220"/>
      <c r="P117" s="143"/>
      <c r="Q117" s="140"/>
      <c r="R117" s="136"/>
      <c r="S117" s="706"/>
      <c r="T117" s="136"/>
      <c r="U117" s="136"/>
      <c r="V117" s="136"/>
      <c r="W117" s="136"/>
      <c r="X117" s="136"/>
      <c r="Y117" s="136"/>
      <c r="Z117" s="136"/>
      <c r="AA117" s="136"/>
      <c r="AB117" s="136"/>
      <c r="AC117" s="136"/>
    </row>
    <row r="118" spans="2:29" ht="19.5" customHeight="1" thickBot="1" x14ac:dyDescent="0.3">
      <c r="B118" s="258"/>
      <c r="C118" s="235"/>
      <c r="D118" s="1286" t="s">
        <v>726</v>
      </c>
      <c r="E118" s="1286"/>
      <c r="F118" s="188"/>
      <c r="G118" s="245"/>
      <c r="H118" s="187"/>
      <c r="I118" s="246"/>
      <c r="J118" s="224"/>
      <c r="K118" s="225"/>
      <c r="L118" s="187"/>
      <c r="M118" s="225"/>
      <c r="N118" s="225"/>
      <c r="O118" s="225"/>
      <c r="P118" s="236"/>
      <c r="Q118" s="140"/>
      <c r="R118" s="136"/>
      <c r="S118" s="706"/>
      <c r="T118" s="136"/>
      <c r="U118" s="136"/>
      <c r="V118" s="136"/>
      <c r="W118" s="136"/>
      <c r="X118" s="136"/>
      <c r="Y118" s="136"/>
      <c r="Z118" s="136"/>
      <c r="AA118" s="136"/>
      <c r="AB118" s="136"/>
      <c r="AC118" s="136"/>
    </row>
    <row r="119" spans="2:29" ht="18" customHeight="1" thickBot="1" x14ac:dyDescent="0.3">
      <c r="B119" s="253"/>
      <c r="C119" s="41"/>
      <c r="D119" s="1140" t="s">
        <v>529</v>
      </c>
      <c r="E119" s="1191" t="s">
        <v>655</v>
      </c>
      <c r="F119" s="249"/>
      <c r="G119" s="238" t="s">
        <v>1574</v>
      </c>
      <c r="H119" s="659"/>
      <c r="I119" s="238" t="s">
        <v>1575</v>
      </c>
      <c r="J119" s="41"/>
      <c r="K119" s="238" t="s">
        <v>873</v>
      </c>
      <c r="L119" s="147"/>
      <c r="M119" s="199" t="s">
        <v>1576</v>
      </c>
      <c r="N119" s="226"/>
      <c r="O119" s="226"/>
      <c r="P119" s="230"/>
      <c r="Q119" s="140"/>
      <c r="R119" s="136"/>
      <c r="S119" s="706"/>
      <c r="T119" s="136"/>
      <c r="U119" s="136"/>
      <c r="V119" s="136"/>
      <c r="W119" s="136"/>
      <c r="X119" s="136"/>
      <c r="Y119" s="136"/>
      <c r="Z119" s="136"/>
      <c r="AA119" s="136"/>
      <c r="AB119" s="136"/>
      <c r="AC119" s="136"/>
    </row>
    <row r="120" spans="2:29" ht="18" customHeight="1" thickBot="1" x14ac:dyDescent="0.3">
      <c r="B120" s="253"/>
      <c r="C120" s="41"/>
      <c r="D120" s="1165" t="s">
        <v>1577</v>
      </c>
      <c r="E120" s="1195" t="s">
        <v>1578</v>
      </c>
      <c r="F120" s="249"/>
      <c r="G120" s="1194"/>
      <c r="H120" s="659"/>
      <c r="I120" s="1194"/>
      <c r="J120" s="147"/>
      <c r="K120" s="1194"/>
      <c r="L120" s="147"/>
      <c r="M120" s="1122"/>
      <c r="N120" s="226"/>
      <c r="O120" s="226"/>
      <c r="P120" s="230"/>
      <c r="Q120" s="140"/>
      <c r="R120" s="136"/>
      <c r="S120" s="706"/>
      <c r="T120" s="1163"/>
      <c r="U120" s="136"/>
      <c r="V120" s="136"/>
      <c r="W120" s="136"/>
      <c r="X120" s="136"/>
      <c r="Y120" s="136"/>
      <c r="Z120" s="136"/>
      <c r="AA120" s="136"/>
      <c r="AB120" s="136"/>
      <c r="AC120" s="136"/>
    </row>
    <row r="121" spans="2:29" ht="18" customHeight="1" thickBot="1" x14ac:dyDescent="0.3">
      <c r="B121" s="253"/>
      <c r="C121" s="41"/>
      <c r="D121" s="1164"/>
      <c r="E121" s="41"/>
      <c r="F121" s="249"/>
      <c r="G121" s="247"/>
      <c r="H121" s="192"/>
      <c r="I121" s="248"/>
      <c r="J121" s="202"/>
      <c r="K121" s="226"/>
      <c r="L121" s="192"/>
      <c r="M121" s="226"/>
      <c r="N121" s="226"/>
      <c r="O121" s="226"/>
      <c r="P121" s="230"/>
      <c r="Q121" s="140"/>
      <c r="R121" s="136"/>
      <c r="S121" s="705" t="str">
        <f>IF($E121="NO","",IF($I120="Select Payment Method","X",""))</f>
        <v/>
      </c>
      <c r="T121" s="136"/>
      <c r="U121" s="136"/>
      <c r="V121" s="136"/>
      <c r="W121" s="136"/>
      <c r="X121" s="136"/>
      <c r="Y121" s="136"/>
      <c r="Z121" s="136"/>
      <c r="AA121" s="136"/>
      <c r="AB121" s="136"/>
      <c r="AC121" s="136"/>
    </row>
    <row r="122" spans="2:29" ht="16.5" customHeight="1" thickBot="1" x14ac:dyDescent="0.3">
      <c r="B122" s="253"/>
      <c r="C122" s="41"/>
      <c r="D122" s="1146" t="s">
        <v>1579</v>
      </c>
      <c r="E122" s="1125" t="str">
        <f>IF(Welcome!$D$6="New",IF('Required Info to Submit'!F$14="","",'Required Info to Submit'!F$14),"")</f>
        <v/>
      </c>
      <c r="F122" s="249"/>
      <c r="G122" s="199" t="s">
        <v>1581</v>
      </c>
      <c r="H122" s="192"/>
      <c r="I122" s="199" t="s">
        <v>1582</v>
      </c>
      <c r="J122" s="200"/>
      <c r="K122" s="199" t="s">
        <v>1583</v>
      </c>
      <c r="L122" s="192"/>
      <c r="M122" s="226"/>
      <c r="N122" s="226"/>
      <c r="O122" s="6" t="s">
        <v>494</v>
      </c>
      <c r="P122" s="230"/>
      <c r="Q122" s="140"/>
      <c r="R122" s="136"/>
      <c r="S122" s="706"/>
      <c r="T122" s="136"/>
      <c r="U122" s="136"/>
      <c r="V122" s="136"/>
      <c r="W122" s="136"/>
      <c r="X122" s="136"/>
      <c r="Y122" s="136"/>
      <c r="Z122" s="136"/>
      <c r="AA122" s="136"/>
      <c r="AB122" s="136"/>
      <c r="AC122" s="136"/>
    </row>
    <row r="123" spans="2:29" ht="16.5" customHeight="1" thickBot="1" x14ac:dyDescent="0.3">
      <c r="B123" s="253"/>
      <c r="C123" s="41"/>
      <c r="D123" s="1146" t="s">
        <v>1580</v>
      </c>
      <c r="E123" s="1126" t="str">
        <f>IF(Welcome!$D$6="New",IF('Required Info to Submit'!F$17="","",'Required Info to Submit'!F$17),"")</f>
        <v/>
      </c>
      <c r="F123" s="1130" t="s">
        <v>1051</v>
      </c>
      <c r="G123" s="1161"/>
      <c r="H123" s="192"/>
      <c r="I123" s="800"/>
      <c r="J123" s="239"/>
      <c r="K123" s="799"/>
      <c r="L123" s="192"/>
      <c r="M123" s="226"/>
      <c r="N123" s="226"/>
      <c r="O123" s="1144">
        <f>IF($E$119="Yes",K123*$H$10,0)</f>
        <v>0</v>
      </c>
      <c r="P123" s="230"/>
      <c r="Q123" s="140"/>
      <c r="R123" s="1090"/>
      <c r="S123" s="707"/>
    </row>
    <row r="124" spans="2:29" ht="20.25" customHeight="1" x14ac:dyDescent="0.25">
      <c r="B124" s="255"/>
      <c r="C124" s="232"/>
      <c r="D124" s="1162"/>
      <c r="E124" s="232"/>
      <c r="F124" s="232"/>
      <c r="G124" s="232"/>
      <c r="H124" s="232"/>
      <c r="I124" s="250"/>
      <c r="J124" s="232"/>
      <c r="K124" s="232"/>
      <c r="L124" s="232"/>
      <c r="M124" s="232"/>
      <c r="N124" s="232"/>
      <c r="O124" s="232"/>
      <c r="P124" s="233"/>
      <c r="Q124" s="140"/>
      <c r="R124" s="1090"/>
      <c r="S124" s="707"/>
    </row>
    <row r="125" spans="2:29" ht="10.15" customHeight="1" x14ac:dyDescent="0.25">
      <c r="I125" s="251"/>
      <c r="P125" s="252"/>
      <c r="Q125" s="140"/>
      <c r="R125" s="1090"/>
      <c r="S125" s="707"/>
    </row>
    <row r="126" spans="2:29" s="1091" customFormat="1" ht="20.25" customHeight="1" thickBot="1" x14ac:dyDescent="0.3">
      <c r="B126" s="258"/>
      <c r="C126" s="187"/>
      <c r="D126" s="1286" t="s">
        <v>1164</v>
      </c>
      <c r="E126" s="1286"/>
      <c r="F126" s="221"/>
      <c r="G126" s="245"/>
      <c r="H126" s="187"/>
      <c r="I126" s="246"/>
      <c r="J126" s="224"/>
      <c r="K126" s="225"/>
      <c r="L126" s="187"/>
      <c r="M126" s="225"/>
      <c r="N126" s="225"/>
      <c r="O126" s="225"/>
      <c r="P126" s="259"/>
      <c r="Q126" s="181"/>
      <c r="S126" s="708"/>
    </row>
    <row r="127" spans="2:29" s="1091" customFormat="1" ht="18" customHeight="1" thickBot="1" x14ac:dyDescent="0.3">
      <c r="B127" s="253"/>
      <c r="C127" s="192"/>
      <c r="D127" s="1140" t="s">
        <v>529</v>
      </c>
      <c r="E127" s="1191" t="s">
        <v>655</v>
      </c>
      <c r="F127" s="827"/>
      <c r="G127" s="238" t="s">
        <v>1574</v>
      </c>
      <c r="H127" s="659"/>
      <c r="I127" s="238" t="s">
        <v>1575</v>
      </c>
      <c r="J127" s="41"/>
      <c r="K127" s="238" t="s">
        <v>873</v>
      </c>
      <c r="L127" s="147"/>
      <c r="M127" s="199" t="s">
        <v>1576</v>
      </c>
      <c r="N127" s="226"/>
      <c r="O127" s="226"/>
      <c r="P127" s="254"/>
      <c r="Q127" s="181"/>
      <c r="S127" s="708"/>
    </row>
    <row r="128" spans="2:29" s="1091" customFormat="1" ht="18" customHeight="1" thickBot="1" x14ac:dyDescent="0.3">
      <c r="B128" s="253"/>
      <c r="C128" s="192"/>
      <c r="D128" s="1119" t="s">
        <v>1577</v>
      </c>
      <c r="E128" s="1195" t="s">
        <v>1578</v>
      </c>
      <c r="F128" s="828" t="s">
        <v>1164</v>
      </c>
      <c r="G128" s="1194"/>
      <c r="H128" s="659"/>
      <c r="I128" s="1194"/>
      <c r="J128" s="147"/>
      <c r="K128" s="1194"/>
      <c r="L128" s="147"/>
      <c r="M128" s="1122"/>
      <c r="N128" s="226"/>
      <c r="O128" s="226"/>
      <c r="P128" s="254"/>
      <c r="Q128" s="181"/>
      <c r="S128" s="708"/>
    </row>
    <row r="129" spans="2:19" s="1091" customFormat="1" ht="18" customHeight="1" thickBot="1" x14ac:dyDescent="0.3">
      <c r="B129" s="253"/>
      <c r="C129" s="192"/>
      <c r="D129" s="1145"/>
      <c r="E129" s="147"/>
      <c r="F129" s="147"/>
      <c r="G129" s="192"/>
      <c r="H129" s="192"/>
      <c r="I129" s="192"/>
      <c r="J129" s="192"/>
      <c r="K129" s="192"/>
      <c r="L129" s="192"/>
      <c r="M129" s="192"/>
      <c r="N129" s="192"/>
      <c r="O129" s="192"/>
      <c r="P129" s="254"/>
      <c r="Q129" s="181"/>
      <c r="S129" s="705" t="str">
        <f>IF($E129="NO","",IF($I128="Select Payment Method","X",""))</f>
        <v/>
      </c>
    </row>
    <row r="130" spans="2:19" s="1091" customFormat="1" ht="18" customHeight="1" thickBot="1" x14ac:dyDescent="0.3">
      <c r="B130" s="253"/>
      <c r="C130" s="192"/>
      <c r="D130" s="1146" t="s">
        <v>1579</v>
      </c>
      <c r="E130" s="1125" t="str">
        <f>IF(Welcome!$D$6="New",IF('Required Info to Submit'!F$14="","",'Required Info to Submit'!F$14),"")</f>
        <v/>
      </c>
      <c r="F130" s="827"/>
      <c r="G130" s="238" t="s">
        <v>1591</v>
      </c>
      <c r="H130" s="192"/>
      <c r="I130" s="489"/>
      <c r="J130" s="200"/>
      <c r="K130" s="489"/>
      <c r="L130" s="192"/>
      <c r="M130" s="489"/>
      <c r="N130" s="226"/>
      <c r="O130" s="6" t="s">
        <v>494</v>
      </c>
      <c r="P130" s="254"/>
      <c r="Q130" s="181"/>
      <c r="S130" s="708"/>
    </row>
    <row r="131" spans="2:19" s="1091" customFormat="1" ht="18" customHeight="1" thickBot="1" x14ac:dyDescent="0.3">
      <c r="B131" s="253"/>
      <c r="C131" s="192"/>
      <c r="D131" s="1146" t="s">
        <v>1580</v>
      </c>
      <c r="E131" s="1126" t="str">
        <f>IF(Welcome!$D$6="New",IF('Required Info to Submit'!F$17="","",'Required Info to Submit'!F$17),"")</f>
        <v/>
      </c>
      <c r="F131" s="828" t="s">
        <v>1164</v>
      </c>
      <c r="G131" s="1161"/>
      <c r="H131" s="192"/>
      <c r="I131" s="248"/>
      <c r="J131" s="202"/>
      <c r="K131" s="248"/>
      <c r="L131" s="192"/>
      <c r="M131" s="248"/>
      <c r="N131" s="226"/>
      <c r="O131" s="1144">
        <f>IFERROR(IF($E127="Yes",$G131/$G$4,0),0)</f>
        <v>0</v>
      </c>
      <c r="P131" s="254"/>
      <c r="Q131" s="181"/>
    </row>
    <row r="132" spans="2:19" s="178" customFormat="1" ht="21" customHeight="1" x14ac:dyDescent="0.25">
      <c r="B132" s="255"/>
      <c r="C132" s="209"/>
      <c r="D132" s="1166"/>
      <c r="E132" s="209"/>
      <c r="F132" s="829"/>
      <c r="G132" s="829"/>
      <c r="H132" s="209"/>
      <c r="I132" s="209"/>
      <c r="J132" s="209"/>
      <c r="K132" s="209"/>
      <c r="L132" s="209"/>
      <c r="M132" s="209"/>
      <c r="N132" s="209"/>
      <c r="O132" s="209"/>
      <c r="P132" s="260"/>
      <c r="Q132" s="261"/>
    </row>
    <row r="133" spans="2:19" s="178" customFormat="1" ht="9" customHeight="1" x14ac:dyDescent="0.25">
      <c r="C133" s="182"/>
      <c r="D133" s="1111"/>
      <c r="E133" s="182"/>
      <c r="F133" s="182"/>
      <c r="G133" s="182"/>
      <c r="H133" s="182"/>
      <c r="I133" s="182"/>
      <c r="J133" s="182"/>
      <c r="K133" s="182"/>
      <c r="L133" s="182"/>
      <c r="M133" s="182"/>
      <c r="N133" s="182"/>
      <c r="O133" s="182"/>
      <c r="P133" s="733"/>
      <c r="Q133" s="261"/>
    </row>
    <row r="134" spans="2:19" s="1091" customFormat="1" ht="20.25" hidden="1" customHeight="1" thickBot="1" x14ac:dyDescent="0.3">
      <c r="B134" s="258"/>
      <c r="C134" s="187"/>
      <c r="D134" s="1286" t="s">
        <v>1164</v>
      </c>
      <c r="E134" s="1286"/>
      <c r="F134" s="221"/>
      <c r="G134" s="245"/>
      <c r="H134" s="187"/>
      <c r="I134" s="246"/>
      <c r="J134" s="224"/>
      <c r="K134" s="225"/>
      <c r="L134" s="187"/>
      <c r="M134" s="225"/>
      <c r="N134" s="225"/>
      <c r="O134" s="225"/>
      <c r="P134" s="259"/>
      <c r="Q134" s="181"/>
      <c r="S134" s="708"/>
    </row>
    <row r="135" spans="2:19" s="1091" customFormat="1" ht="18" hidden="1" customHeight="1" thickBot="1" x14ac:dyDescent="0.3">
      <c r="B135" s="253"/>
      <c r="C135" s="192"/>
      <c r="D135" s="1140" t="s">
        <v>529</v>
      </c>
      <c r="E135" s="1118" t="s">
        <v>655</v>
      </c>
      <c r="F135" s="827"/>
      <c r="G135" s="238" t="s">
        <v>1574</v>
      </c>
      <c r="H135" s="659"/>
      <c r="I135" s="238" t="s">
        <v>1575</v>
      </c>
      <c r="J135" s="41"/>
      <c r="K135" s="238" t="s">
        <v>873</v>
      </c>
      <c r="L135" s="147"/>
      <c r="M135" s="199" t="s">
        <v>1576</v>
      </c>
      <c r="N135" s="226"/>
      <c r="O135" s="226"/>
      <c r="P135" s="254"/>
      <c r="Q135" s="181"/>
      <c r="S135" s="708"/>
    </row>
    <row r="136" spans="2:19" s="1091" customFormat="1" ht="18" hidden="1" customHeight="1" thickBot="1" x14ac:dyDescent="0.3">
      <c r="B136" s="253"/>
      <c r="C136" s="192"/>
      <c r="D136" s="1119" t="s">
        <v>1577</v>
      </c>
      <c r="E136" s="1120" t="s">
        <v>1578</v>
      </c>
      <c r="F136" s="828" t="s">
        <v>1164</v>
      </c>
      <c r="G136" s="1121" t="s">
        <v>1590</v>
      </c>
      <c r="H136" s="659"/>
      <c r="I136" s="1121"/>
      <c r="J136" s="147"/>
      <c r="K136" s="1121"/>
      <c r="L136" s="147"/>
      <c r="M136" s="1122"/>
      <c r="N136" s="226"/>
      <c r="O136" s="226"/>
      <c r="P136" s="254"/>
      <c r="Q136" s="181"/>
      <c r="S136" s="708"/>
    </row>
    <row r="137" spans="2:19" s="1091" customFormat="1" ht="18" hidden="1" customHeight="1" thickBot="1" x14ac:dyDescent="0.3">
      <c r="B137" s="253"/>
      <c r="C137" s="192"/>
      <c r="D137" s="1145"/>
      <c r="E137" s="147"/>
      <c r="F137" s="147"/>
      <c r="G137" s="192"/>
      <c r="H137" s="192"/>
      <c r="I137" s="192"/>
      <c r="J137" s="192"/>
      <c r="K137" s="192"/>
      <c r="L137" s="192"/>
      <c r="M137" s="192"/>
      <c r="N137" s="192"/>
      <c r="O137" s="192"/>
      <c r="P137" s="254"/>
      <c r="Q137" s="181"/>
      <c r="S137" s="705" t="str">
        <f>IF($E137="NO","",IF($I136="Select Payment Method","X",""))</f>
        <v/>
      </c>
    </row>
    <row r="138" spans="2:19" s="1091" customFormat="1" ht="18" hidden="1" customHeight="1" thickBot="1" x14ac:dyDescent="0.3">
      <c r="B138" s="253"/>
      <c r="C138" s="192"/>
      <c r="D138" s="1146" t="s">
        <v>1579</v>
      </c>
      <c r="E138" s="1125" t="str">
        <f>IF(Welcome!$D$6="New",IF('Required Info to Submit'!F$14="","",'Required Info to Submit'!F$14),"")</f>
        <v/>
      </c>
      <c r="F138" s="827"/>
      <c r="G138" s="238" t="s">
        <v>1591</v>
      </c>
      <c r="H138" s="192"/>
      <c r="I138" s="489"/>
      <c r="J138" s="200"/>
      <c r="K138" s="489"/>
      <c r="L138" s="192"/>
      <c r="M138" s="489"/>
      <c r="N138" s="226"/>
      <c r="O138" s="6" t="s">
        <v>494</v>
      </c>
      <c r="P138" s="254"/>
      <c r="Q138" s="181"/>
      <c r="S138" s="708"/>
    </row>
    <row r="139" spans="2:19" s="1091" customFormat="1" ht="18" hidden="1" customHeight="1" thickBot="1" x14ac:dyDescent="0.3">
      <c r="B139" s="253"/>
      <c r="C139" s="192"/>
      <c r="D139" s="1146" t="s">
        <v>1580</v>
      </c>
      <c r="E139" s="1126" t="str">
        <f>IF(Welcome!$D$6="New",IF('Required Info to Submit'!F$17="","",'Required Info to Submit'!F$17),"")</f>
        <v/>
      </c>
      <c r="F139" s="828" t="s">
        <v>1164</v>
      </c>
      <c r="G139" s="1161"/>
      <c r="H139" s="192"/>
      <c r="I139" s="248"/>
      <c r="J139" s="202"/>
      <c r="K139" s="248"/>
      <c r="L139" s="192"/>
      <c r="M139" s="248"/>
      <c r="N139" s="226"/>
      <c r="O139" s="1144">
        <f>IFERROR(IF($E135="Yes",$G139/$G$4,0),0)</f>
        <v>0</v>
      </c>
      <c r="P139" s="254"/>
      <c r="Q139" s="181"/>
    </row>
    <row r="140" spans="2:19" s="178" customFormat="1" ht="21" hidden="1" customHeight="1" x14ac:dyDescent="0.25">
      <c r="B140" s="255"/>
      <c r="C140" s="209"/>
      <c r="D140" s="1166"/>
      <c r="E140" s="209"/>
      <c r="F140" s="829"/>
      <c r="G140" s="829"/>
      <c r="H140" s="209"/>
      <c r="I140" s="209"/>
      <c r="J140" s="209"/>
      <c r="K140" s="209"/>
      <c r="L140" s="209"/>
      <c r="M140" s="209"/>
      <c r="N140" s="209"/>
      <c r="O140" s="209"/>
      <c r="P140" s="260"/>
      <c r="Q140" s="261"/>
    </row>
    <row r="141" spans="2:19" s="1091" customFormat="1" ht="10.15" hidden="1" customHeight="1" x14ac:dyDescent="0.25">
      <c r="C141" s="179"/>
      <c r="D141" s="1111"/>
      <c r="E141" s="179"/>
      <c r="F141" s="215"/>
      <c r="G141" s="243"/>
      <c r="H141" s="179"/>
      <c r="I141" s="244"/>
      <c r="J141" s="219"/>
      <c r="K141" s="220"/>
      <c r="L141" s="179"/>
      <c r="M141" s="220"/>
      <c r="N141" s="220"/>
      <c r="O141" s="220"/>
      <c r="P141" s="257"/>
      <c r="Q141" s="181"/>
      <c r="S141" s="708"/>
    </row>
    <row r="142" spans="2:19" s="178" customFormat="1" ht="20.25" customHeight="1" thickBot="1" x14ac:dyDescent="0.3">
      <c r="B142" s="258"/>
      <c r="C142" s="188"/>
      <c r="D142" s="1286" t="s">
        <v>1060</v>
      </c>
      <c r="E142" s="1286"/>
      <c r="F142" s="188"/>
      <c r="G142" s="188"/>
      <c r="H142" s="188"/>
      <c r="I142" s="188"/>
      <c r="J142" s="188"/>
      <c r="K142" s="188"/>
      <c r="L142" s="188"/>
      <c r="M142" s="188"/>
      <c r="N142" s="188"/>
      <c r="O142" s="188"/>
      <c r="P142" s="734"/>
      <c r="Q142" s="261"/>
    </row>
    <row r="143" spans="2:19" s="178" customFormat="1" ht="17.25" customHeight="1" thickBot="1" x14ac:dyDescent="0.3">
      <c r="B143" s="253"/>
      <c r="C143" s="147"/>
      <c r="D143" s="1140" t="s">
        <v>529</v>
      </c>
      <c r="E143" s="1191" t="s">
        <v>655</v>
      </c>
      <c r="F143" s="249"/>
      <c r="G143" s="238" t="s">
        <v>1574</v>
      </c>
      <c r="H143" s="659"/>
      <c r="I143" s="238" t="s">
        <v>1575</v>
      </c>
      <c r="J143" s="41"/>
      <c r="K143" s="238" t="s">
        <v>873</v>
      </c>
      <c r="L143" s="147"/>
      <c r="M143" s="199" t="s">
        <v>1576</v>
      </c>
      <c r="N143" s="147"/>
      <c r="O143" s="147"/>
      <c r="P143" s="735"/>
      <c r="Q143" s="261"/>
    </row>
    <row r="144" spans="2:19" s="178" customFormat="1" ht="18" customHeight="1" thickBot="1" x14ac:dyDescent="0.3">
      <c r="B144" s="253"/>
      <c r="C144" s="147"/>
      <c r="D144" s="1119" t="s">
        <v>1577</v>
      </c>
      <c r="E144" s="1195" t="s">
        <v>1578</v>
      </c>
      <c r="F144" s="201"/>
      <c r="G144" s="1194"/>
      <c r="H144" s="659"/>
      <c r="I144" s="1194"/>
      <c r="J144" s="147"/>
      <c r="K144" s="1194"/>
      <c r="L144" s="147"/>
      <c r="M144" s="1122"/>
      <c r="N144" s="147"/>
      <c r="O144" s="147"/>
      <c r="P144" s="735"/>
      <c r="Q144" s="261"/>
    </row>
    <row r="145" spans="2:19" s="178" customFormat="1" ht="18" customHeight="1" thickBot="1" x14ac:dyDescent="0.3">
      <c r="B145" s="253"/>
      <c r="C145" s="147"/>
      <c r="D145" s="1145"/>
      <c r="E145" s="710"/>
      <c r="F145" s="1167"/>
      <c r="G145" s="1167"/>
      <c r="H145" s="147"/>
      <c r="I145" s="147"/>
      <c r="J145" s="147"/>
      <c r="K145" s="147"/>
      <c r="L145" s="147"/>
      <c r="M145" s="147"/>
      <c r="N145" s="147"/>
      <c r="O145" s="147"/>
      <c r="P145" s="735"/>
      <c r="Q145" s="261"/>
      <c r="S145" s="705" t="str">
        <f>IF($D$175=0,"",IF($E145="NO","",IF($I144="Select Payment Method","X","")))</f>
        <v/>
      </c>
    </row>
    <row r="146" spans="2:19" s="178" customFormat="1" ht="18" customHeight="1" thickBot="1" x14ac:dyDescent="0.3">
      <c r="B146" s="253"/>
      <c r="C146" s="147"/>
      <c r="D146" s="1146" t="s">
        <v>1579</v>
      </c>
      <c r="E146" s="1125" t="str">
        <f>IF(Welcome!$D$6="New",IF('Required Info to Submit'!F$14="","",'Required Info to Submit'!F$14),"")</f>
        <v/>
      </c>
      <c r="F146" s="249"/>
      <c r="G146" s="147"/>
      <c r="H146" s="147"/>
      <c r="I146" s="147"/>
      <c r="J146" s="147"/>
      <c r="K146" s="199" t="s">
        <v>1583</v>
      </c>
      <c r="L146" s="192"/>
      <c r="M146" s="489"/>
      <c r="N146" s="147"/>
      <c r="O146" s="6" t="s">
        <v>494</v>
      </c>
      <c r="P146" s="735"/>
      <c r="Q146" s="261"/>
    </row>
    <row r="147" spans="2:19" s="178" customFormat="1" ht="18" customHeight="1" thickBot="1" x14ac:dyDescent="0.3">
      <c r="B147" s="253"/>
      <c r="C147" s="147"/>
      <c r="D147" s="1146" t="s">
        <v>1580</v>
      </c>
      <c r="E147" s="1126" t="str">
        <f>IF(Welcome!$D$6="New",IF('Required Info to Submit'!F$17="","",'Required Info to Submit'!F$17),"")</f>
        <v/>
      </c>
      <c r="F147" s="201"/>
      <c r="G147" s="1176"/>
      <c r="H147" s="147"/>
      <c r="I147" s="147"/>
      <c r="J147" s="147"/>
      <c r="K147" s="1161"/>
      <c r="L147" s="192"/>
      <c r="M147" s="226"/>
      <c r="N147" s="147"/>
      <c r="O147" s="1144">
        <f>IFERROR(IF($E143="Yes",$K$147*$H$10,0),0)</f>
        <v>0</v>
      </c>
      <c r="P147" s="735"/>
      <c r="Q147" s="261"/>
    </row>
    <row r="148" spans="2:19" s="178" customFormat="1" ht="21" customHeight="1" x14ac:dyDescent="0.25">
      <c r="B148" s="255"/>
      <c r="C148" s="209"/>
      <c r="D148" s="1166"/>
      <c r="E148" s="209"/>
      <c r="F148" s="209"/>
      <c r="G148" s="869" t="str">
        <f>IFERROR(_xlfn.CONCAT("Max ",ROUNDUP((((VLOOKUP('Variable Selling'!$A$2,'CC MARKET EXPENSE'!$A:$D,4,0))*100)*((VLOOKUP(D142,'Incentive Helper'!$A:$B,2,0))/100))/0.25,0)*0.25),"")</f>
        <v/>
      </c>
      <c r="H148" s="209"/>
      <c r="I148" s="209"/>
      <c r="J148" s="209"/>
      <c r="K148" s="209"/>
      <c r="L148" s="209"/>
      <c r="M148" s="209"/>
      <c r="N148" s="209"/>
      <c r="O148" s="209"/>
      <c r="P148" s="260"/>
      <c r="Q148" s="261"/>
    </row>
    <row r="149" spans="2:19" s="178" customFormat="1" ht="9" customHeight="1" x14ac:dyDescent="0.25">
      <c r="C149" s="182"/>
      <c r="D149" s="1111"/>
      <c r="E149" s="182"/>
      <c r="F149" s="182"/>
      <c r="G149" s="182"/>
      <c r="H149" s="182"/>
      <c r="I149" s="182"/>
      <c r="J149" s="182"/>
      <c r="K149" s="182"/>
      <c r="L149" s="182"/>
      <c r="M149" s="182"/>
      <c r="N149" s="182"/>
      <c r="O149" s="182"/>
      <c r="P149" s="733"/>
      <c r="Q149" s="261"/>
    </row>
    <row r="150" spans="2:19" s="1091" customFormat="1" ht="20.25" customHeight="1" thickBot="1" x14ac:dyDescent="0.3">
      <c r="B150" s="258"/>
      <c r="C150" s="187"/>
      <c r="D150" s="1286" t="s">
        <v>1223</v>
      </c>
      <c r="E150" s="1286"/>
      <c r="F150" s="221"/>
      <c r="G150" s="245"/>
      <c r="H150" s="187"/>
      <c r="I150" s="246"/>
      <c r="J150" s="224"/>
      <c r="K150" s="225"/>
      <c r="L150" s="187"/>
      <c r="M150" s="225"/>
      <c r="N150" s="225"/>
      <c r="O150" s="225"/>
      <c r="P150" s="259"/>
      <c r="Q150" s="181"/>
      <c r="S150" s="708"/>
    </row>
    <row r="151" spans="2:19" s="1091" customFormat="1" ht="18" customHeight="1" thickBot="1" x14ac:dyDescent="0.3">
      <c r="B151" s="253"/>
      <c r="C151" s="192"/>
      <c r="D151" s="1140" t="s">
        <v>529</v>
      </c>
      <c r="E151" s="1191" t="s">
        <v>655</v>
      </c>
      <c r="F151" s="827"/>
      <c r="G151" s="199" t="s">
        <v>1574</v>
      </c>
      <c r="H151" s="147"/>
      <c r="I151" s="199" t="s">
        <v>1575</v>
      </c>
      <c r="J151" s="41"/>
      <c r="K151" s="199" t="s">
        <v>1592</v>
      </c>
      <c r="L151" s="192"/>
      <c r="M151" s="192"/>
      <c r="N151" s="192"/>
      <c r="O151" s="192"/>
      <c r="P151" s="254"/>
      <c r="Q151" s="181"/>
      <c r="S151" s="708"/>
    </row>
    <row r="152" spans="2:19" s="1091" customFormat="1" ht="18" customHeight="1" thickBot="1" x14ac:dyDescent="0.3">
      <c r="B152" s="253"/>
      <c r="C152" s="192"/>
      <c r="D152" s="1119" t="s">
        <v>1577</v>
      </c>
      <c r="E152" s="1120" t="s">
        <v>1578</v>
      </c>
      <c r="F152" s="828" t="s">
        <v>927</v>
      </c>
      <c r="G152" s="1168" t="s">
        <v>1590</v>
      </c>
      <c r="H152" s="147"/>
      <c r="I152" s="1121"/>
      <c r="J152" s="147"/>
      <c r="K152" s="1168" t="s">
        <v>1593</v>
      </c>
      <c r="L152" s="192"/>
      <c r="M152" s="854"/>
      <c r="N152" s="854"/>
      <c r="O152" s="854"/>
      <c r="P152" s="254"/>
      <c r="Q152" s="181"/>
      <c r="S152" s="708"/>
    </row>
    <row r="153" spans="2:19" s="1091" customFormat="1" ht="17.25" customHeight="1" thickBot="1" x14ac:dyDescent="0.3">
      <c r="B153" s="253"/>
      <c r="C153" s="192"/>
      <c r="D153" s="1145"/>
      <c r="E153" s="192"/>
      <c r="F153" s="147"/>
      <c r="G153" s="192"/>
      <c r="H153" s="192"/>
      <c r="I153" s="1287" t="str">
        <f>IF($K$155+$K$160&gt;=10000,"The amount entered is $10,000 or above. This model can be submitted but will require additional approved before the agreement can be generated. Business Context will need to be provided","")</f>
        <v/>
      </c>
      <c r="J153" s="192"/>
      <c r="K153" s="192"/>
      <c r="L153" s="192"/>
      <c r="M153" s="192"/>
      <c r="N153" s="192"/>
      <c r="O153" s="192"/>
      <c r="P153" s="254"/>
      <c r="Q153" s="181"/>
      <c r="S153" s="705" t="str">
        <f>IF($E153="NO","",IF($I152="Select Payment Method","X",""))</f>
        <v/>
      </c>
    </row>
    <row r="154" spans="2:19" s="1091" customFormat="1" ht="18" customHeight="1" thickBot="1" x14ac:dyDescent="0.3">
      <c r="B154" s="253"/>
      <c r="C154" s="192"/>
      <c r="D154" s="1146" t="s">
        <v>1579</v>
      </c>
      <c r="E154" s="1125" t="str">
        <f>IF(Welcome!$D$6="New",IF('Required Info to Submit'!F$14="","",'Required Info to Submit'!F$14),"")</f>
        <v/>
      </c>
      <c r="F154" s="827"/>
      <c r="G154" s="528" t="s">
        <v>131</v>
      </c>
      <c r="H154" s="192"/>
      <c r="I154" s="1288"/>
      <c r="J154" s="200"/>
      <c r="K154" s="238" t="s">
        <v>533</v>
      </c>
      <c r="L154" s="192"/>
      <c r="M154" s="147"/>
      <c r="N154" s="147"/>
      <c r="O154" s="6" t="s">
        <v>494</v>
      </c>
      <c r="P154" s="254"/>
      <c r="Q154" s="181"/>
      <c r="S154" s="708"/>
    </row>
    <row r="155" spans="2:19" s="1091" customFormat="1" ht="18" customHeight="1" thickBot="1" x14ac:dyDescent="0.3">
      <c r="B155" s="253"/>
      <c r="C155" s="192"/>
      <c r="D155" s="1146" t="s">
        <v>1580</v>
      </c>
      <c r="E155" s="1126" t="str">
        <f>IF(Welcome!$D$6="New",IF('Required Info to Submit'!F$17="","",'Required Info to Submit'!F$17),"")</f>
        <v/>
      </c>
      <c r="F155" s="828" t="s">
        <v>927</v>
      </c>
      <c r="G155" s="830" t="str">
        <f>IF($E$153="YES","CASH","")</f>
        <v/>
      </c>
      <c r="H155" s="192"/>
      <c r="I155" s="1288"/>
      <c r="J155" s="202"/>
      <c r="K155" s="847"/>
      <c r="L155" s="192"/>
      <c r="M155" s="147"/>
      <c r="N155" s="147"/>
      <c r="O155" s="1144">
        <f>IFERROR(IF($E$153="YES",K155/$G$4,0),0)</f>
        <v>0</v>
      </c>
      <c r="P155" s="254"/>
      <c r="Q155" s="181"/>
      <c r="S155" s="820"/>
    </row>
    <row r="156" spans="2:19" s="178" customFormat="1" ht="21" customHeight="1" x14ac:dyDescent="0.25">
      <c r="B156" s="255"/>
      <c r="C156" s="209"/>
      <c r="D156" s="1166"/>
      <c r="E156" s="209"/>
      <c r="F156" s="829"/>
      <c r="G156" s="829"/>
      <c r="H156" s="209"/>
      <c r="I156" s="1289"/>
      <c r="J156" s="209"/>
      <c r="K156" s="209"/>
      <c r="L156" s="209"/>
      <c r="M156" s="209"/>
      <c r="N156" s="209"/>
      <c r="O156" s="209"/>
      <c r="P156" s="260"/>
      <c r="Q156" s="261"/>
    </row>
    <row r="157" spans="2:19" s="1091" customFormat="1" ht="10.15" customHeight="1" x14ac:dyDescent="0.25">
      <c r="C157" s="179"/>
      <c r="D157" s="1111"/>
      <c r="E157" s="179"/>
      <c r="F157" s="215"/>
      <c r="G157" s="243"/>
      <c r="H157" s="179"/>
      <c r="I157" s="244"/>
      <c r="J157" s="219"/>
      <c r="K157" s="220"/>
      <c r="L157" s="179"/>
      <c r="M157" s="220"/>
      <c r="N157" s="220"/>
      <c r="O157" s="220"/>
      <c r="P157" s="257"/>
      <c r="Q157" s="181"/>
      <c r="S157" s="708"/>
    </row>
    <row r="158" spans="2:19" s="1091" customFormat="1" ht="9" customHeight="1" x14ac:dyDescent="0.25">
      <c r="B158" s="258"/>
      <c r="C158" s="187"/>
      <c r="D158" s="1169"/>
      <c r="E158" s="187"/>
      <c r="F158" s="221"/>
      <c r="G158" s="245"/>
      <c r="H158" s="187"/>
      <c r="I158" s="246"/>
      <c r="J158" s="224"/>
      <c r="K158" s="225"/>
      <c r="L158" s="187"/>
      <c r="M158" s="225"/>
      <c r="N158" s="225"/>
      <c r="O158" s="225"/>
      <c r="P158" s="259"/>
      <c r="Q158" s="181"/>
      <c r="S158" s="708"/>
    </row>
    <row r="159" spans="2:19" s="1091" customFormat="1" ht="17.45" customHeight="1" x14ac:dyDescent="0.25">
      <c r="B159" s="253"/>
      <c r="C159" s="192"/>
      <c r="D159" s="1290" t="s">
        <v>1229</v>
      </c>
      <c r="E159" s="192"/>
      <c r="F159" s="201"/>
      <c r="G159" s="238" t="s">
        <v>1230</v>
      </c>
      <c r="H159" s="192"/>
      <c r="I159" s="238" t="s">
        <v>892</v>
      </c>
      <c r="J159" s="850"/>
      <c r="K159" s="238" t="s">
        <v>1228</v>
      </c>
      <c r="L159" s="192"/>
      <c r="M159" s="238" t="s">
        <v>1240</v>
      </c>
      <c r="N159" s="147"/>
      <c r="O159" s="147"/>
      <c r="P159" s="254"/>
      <c r="Q159" s="181"/>
      <c r="S159" s="708"/>
    </row>
    <row r="160" spans="2:19" s="1091" customFormat="1" ht="17.45" customHeight="1" x14ac:dyDescent="0.25">
      <c r="B160" s="253"/>
      <c r="C160" s="192"/>
      <c r="D160" s="1291"/>
      <c r="E160" s="192"/>
      <c r="F160" s="201"/>
      <c r="G160" s="1170"/>
      <c r="H160" s="192"/>
      <c r="I160" s="826" t="s">
        <v>1048</v>
      </c>
      <c r="J160" s="850"/>
      <c r="K160" s="1170"/>
      <c r="L160" s="192"/>
      <c r="M160" s="203">
        <f>G160+K160</f>
        <v>0</v>
      </c>
      <c r="N160" s="147"/>
      <c r="O160" s="147"/>
      <c r="P160" s="254"/>
      <c r="Q160" s="181"/>
      <c r="S160" s="708"/>
    </row>
    <row r="161" spans="2:22" s="1091" customFormat="1" ht="14.45" customHeight="1" x14ac:dyDescent="0.25">
      <c r="B161" s="253"/>
      <c r="C161" s="192"/>
      <c r="D161" s="195" t="s">
        <v>529</v>
      </c>
      <c r="E161" s="69" t="s">
        <v>532</v>
      </c>
      <c r="F161" s="201"/>
      <c r="G161" s="851"/>
      <c r="H161" s="192"/>
      <c r="I161" s="246"/>
      <c r="J161" s="850"/>
      <c r="K161" s="225"/>
      <c r="L161" s="192"/>
      <c r="M161" s="1288" t="str">
        <f>IF($M$160&gt;=10000,"The amount entered is $10,000 or above. This model can be submitted but will require additional approved before the agreement can be generated. Business Context will need to be provided","")</f>
        <v/>
      </c>
      <c r="N161" s="1288"/>
      <c r="O161" s="1288"/>
      <c r="P161" s="1292"/>
      <c r="Q161" s="181"/>
      <c r="S161" s="708"/>
    </row>
    <row r="162" spans="2:22" s="1091" customFormat="1" ht="34.5" customHeight="1" x14ac:dyDescent="0.25">
      <c r="B162" s="253"/>
      <c r="C162" s="192"/>
      <c r="D162" s="1293" t="s">
        <v>1257</v>
      </c>
      <c r="E162" s="1293"/>
      <c r="F162" s="201"/>
      <c r="G162" s="1294" t="s">
        <v>1258</v>
      </c>
      <c r="H162" s="1294"/>
      <c r="I162" s="1294"/>
      <c r="J162" s="1294"/>
      <c r="K162" s="1294"/>
      <c r="L162" s="192"/>
      <c r="M162" s="1288"/>
      <c r="N162" s="1288"/>
      <c r="O162" s="1288"/>
      <c r="P162" s="1292"/>
      <c r="Q162" s="181"/>
      <c r="S162" s="708"/>
    </row>
    <row r="163" spans="2:22" s="1091" customFormat="1" ht="16.5" customHeight="1" x14ac:dyDescent="0.25">
      <c r="B163" s="253"/>
      <c r="C163" s="192"/>
      <c r="D163" s="1145"/>
      <c r="E163" s="147"/>
      <c r="F163" s="827"/>
      <c r="G163" s="849" t="s">
        <v>1226</v>
      </c>
      <c r="H163" s="200"/>
      <c r="I163" s="6" t="s">
        <v>1227</v>
      </c>
      <c r="J163" s="192"/>
      <c r="K163" s="238" t="s">
        <v>1225</v>
      </c>
      <c r="L163" s="192"/>
      <c r="M163" s="147"/>
      <c r="N163" s="147"/>
      <c r="O163" s="6" t="s">
        <v>494</v>
      </c>
      <c r="P163" s="254"/>
      <c r="Q163" s="181"/>
      <c r="S163" s="708"/>
    </row>
    <row r="164" spans="2:22" s="1091" customFormat="1" ht="18" customHeight="1" x14ac:dyDescent="0.25">
      <c r="B164" s="253"/>
      <c r="C164" s="192"/>
      <c r="D164" s="1145"/>
      <c r="E164" s="192"/>
      <c r="F164" s="828" t="s">
        <v>1164</v>
      </c>
      <c r="G164" s="845"/>
      <c r="H164" s="202"/>
      <c r="I164" s="846"/>
      <c r="J164" s="192"/>
      <c r="K164" s="1171"/>
      <c r="L164" s="192"/>
      <c r="M164" s="147"/>
      <c r="N164" s="147"/>
      <c r="O164" s="1144">
        <f>IFERROR(IF($E161="YES",O160/$G$4,0),0)</f>
        <v>0</v>
      </c>
      <c r="P164" s="254"/>
      <c r="Q164" s="181"/>
    </row>
    <row r="165" spans="2:22" s="178" customFormat="1" ht="11.45" customHeight="1" x14ac:dyDescent="0.25">
      <c r="B165" s="255"/>
      <c r="C165" s="209"/>
      <c r="D165" s="1166"/>
      <c r="E165" s="209"/>
      <c r="F165" s="829"/>
      <c r="G165" s="829"/>
      <c r="H165" s="209"/>
      <c r="I165" s="209"/>
      <c r="J165" s="209"/>
      <c r="K165" s="209"/>
      <c r="L165" s="209"/>
      <c r="M165" s="209"/>
      <c r="N165" s="209"/>
      <c r="O165" s="209"/>
      <c r="P165" s="260"/>
      <c r="Q165" s="261"/>
    </row>
    <row r="166" spans="2:22" s="1091" customFormat="1" ht="10.15" customHeight="1" x14ac:dyDescent="0.25">
      <c r="C166" s="179"/>
      <c r="D166" s="1111"/>
      <c r="E166" s="179"/>
      <c r="F166" s="215"/>
      <c r="G166" s="243"/>
      <c r="H166" s="179"/>
      <c r="I166" s="244"/>
      <c r="J166" s="219"/>
      <c r="K166" s="220"/>
      <c r="L166" s="179"/>
      <c r="M166" s="220"/>
      <c r="N166" s="220"/>
      <c r="O166" s="220"/>
      <c r="P166" s="257"/>
      <c r="Q166" s="181"/>
      <c r="S166" s="708"/>
    </row>
    <row r="167" spans="2:22" s="178" customFormat="1" ht="13.15" customHeight="1" x14ac:dyDescent="0.25">
      <c r="B167" s="258"/>
      <c r="C167" s="188"/>
      <c r="D167" s="1169"/>
      <c r="E167" s="188"/>
      <c r="F167" s="188"/>
      <c r="G167" s="188"/>
      <c r="H167" s="188"/>
      <c r="I167" s="188"/>
      <c r="J167" s="188"/>
      <c r="K167" s="188"/>
      <c r="L167" s="188"/>
      <c r="M167" s="188"/>
      <c r="N167" s="188"/>
      <c r="O167" s="188"/>
      <c r="P167" s="734"/>
      <c r="Q167" s="261"/>
    </row>
    <row r="168" spans="2:22" s="178" customFormat="1" ht="13.15" customHeight="1" x14ac:dyDescent="0.25">
      <c r="B168" s="253"/>
      <c r="C168" s="147"/>
      <c r="D168" s="1145"/>
      <c r="E168" s="147"/>
      <c r="F168" s="1283" t="s">
        <v>1174</v>
      </c>
      <c r="G168" s="1283"/>
      <c r="H168" s="147"/>
      <c r="I168" s="238" t="s">
        <v>892</v>
      </c>
      <c r="J168" s="147"/>
      <c r="K168" s="238" t="s">
        <v>873</v>
      </c>
      <c r="L168" s="147"/>
      <c r="M168" s="147"/>
      <c r="N168" s="147"/>
      <c r="O168" s="147"/>
      <c r="P168" s="735"/>
      <c r="Q168" s="261"/>
    </row>
    <row r="169" spans="2:22" s="178" customFormat="1" ht="18" customHeight="1" x14ac:dyDescent="0.25">
      <c r="B169" s="253"/>
      <c r="C169" s="147"/>
      <c r="D169" s="1172" t="s">
        <v>1060</v>
      </c>
      <c r="E169" s="147"/>
      <c r="F169" s="1283"/>
      <c r="G169" s="1283"/>
      <c r="H169" s="147"/>
      <c r="I169" s="826" t="s">
        <v>1048</v>
      </c>
      <c r="J169" s="147"/>
      <c r="K169" s="1173" t="str">
        <f>IF(I169="Credit Memo","Individual Customers",IF(I169="Check","Corp Check | AP number needed",""))</f>
        <v/>
      </c>
      <c r="L169" s="147"/>
      <c r="M169" s="147"/>
      <c r="N169" s="147"/>
      <c r="O169" s="147"/>
      <c r="P169" s="735"/>
      <c r="Q169" s="261"/>
    </row>
    <row r="170" spans="2:22" s="178" customFormat="1" x14ac:dyDescent="0.25">
      <c r="B170" s="253"/>
      <c r="C170" s="147"/>
      <c r="D170" s="195" t="s">
        <v>529</v>
      </c>
      <c r="E170" s="69" t="s">
        <v>532</v>
      </c>
      <c r="F170" s="1283"/>
      <c r="G170" s="1283"/>
      <c r="H170" s="147"/>
      <c r="I170" s="147"/>
      <c r="J170" s="147"/>
      <c r="K170" s="147"/>
      <c r="L170" s="147"/>
      <c r="M170" s="147"/>
      <c r="N170" s="147"/>
      <c r="O170" s="147"/>
      <c r="P170" s="735"/>
      <c r="Q170" s="261"/>
      <c r="S170" s="705" t="str">
        <f>IF($D$175=0,"",IF($E170="NO","",IF($I169="Select Payment Method","X","")))</f>
        <v/>
      </c>
    </row>
    <row r="171" spans="2:22" s="178" customFormat="1" ht="15.75" x14ac:dyDescent="0.25">
      <c r="B171" s="253"/>
      <c r="C171" s="147"/>
      <c r="D171" s="709"/>
      <c r="E171" s="710"/>
      <c r="F171" s="249"/>
      <c r="G171" s="6" t="s">
        <v>1062</v>
      </c>
      <c r="H171" s="147"/>
      <c r="I171" s="147"/>
      <c r="J171" s="147"/>
      <c r="K171" s="489"/>
      <c r="L171" s="192"/>
      <c r="M171" s="147"/>
      <c r="N171" s="147"/>
      <c r="O171" s="6" t="s">
        <v>494</v>
      </c>
      <c r="P171" s="735"/>
      <c r="Q171" s="261"/>
    </row>
    <row r="172" spans="2:22" s="178" customFormat="1" ht="18" customHeight="1" x14ac:dyDescent="0.25">
      <c r="B172" s="253"/>
      <c r="C172" s="147"/>
      <c r="D172" s="1145"/>
      <c r="E172" s="710"/>
      <c r="F172" s="201" t="s">
        <v>1061</v>
      </c>
      <c r="G172" s="848"/>
      <c r="H172" s="147"/>
      <c r="I172" s="147"/>
      <c r="J172" s="147"/>
      <c r="K172" s="226"/>
      <c r="L172" s="192"/>
      <c r="M172" s="147"/>
      <c r="N172" s="147"/>
      <c r="O172" s="203">
        <f>IFERROR(IF($E170="YES",$G$172*$H$10,0),0)</f>
        <v>0</v>
      </c>
      <c r="P172" s="735"/>
      <c r="Q172" s="261"/>
    </row>
    <row r="173" spans="2:22" s="178" customFormat="1" ht="11.45" customHeight="1" x14ac:dyDescent="0.25">
      <c r="B173" s="255"/>
      <c r="C173" s="209"/>
      <c r="D173" s="1166"/>
      <c r="E173" s="209"/>
      <c r="F173" s="209"/>
      <c r="G173" s="869" t="str">
        <f>IFERROR(_xlfn.CONCAT("Max ",ROUNDUP((((VLOOKUP('Variable Selling'!$A$2,'CC MARKET EXPENSE'!$A:$D,4,0))*100)*((VLOOKUP(D169,'Incentive Helper'!$A:$B,2,0))/100))/0.25,0)*0.25),"")</f>
        <v/>
      </c>
      <c r="H173" s="209"/>
      <c r="I173" s="209"/>
      <c r="J173" s="209"/>
      <c r="K173" s="209"/>
      <c r="L173" s="209"/>
      <c r="M173" s="209"/>
      <c r="N173" s="209"/>
      <c r="O173" s="209"/>
      <c r="P173" s="260"/>
      <c r="Q173" s="261"/>
    </row>
    <row r="174" spans="2:22" s="178" customFormat="1" ht="24" customHeight="1" x14ac:dyDescent="0.25">
      <c r="C174" s="182"/>
      <c r="D174" s="1114"/>
      <c r="E174" s="182"/>
      <c r="F174" s="182"/>
      <c r="G174" s="182"/>
      <c r="H174" s="182"/>
      <c r="I174" s="182"/>
      <c r="J174" s="182"/>
      <c r="K174" s="182"/>
      <c r="L174" s="182"/>
      <c r="M174" s="1189"/>
      <c r="N174" s="182"/>
      <c r="O174" s="182"/>
      <c r="P174" s="182"/>
      <c r="Q174" s="261"/>
      <c r="R174" s="182"/>
      <c r="S174" s="182"/>
      <c r="T174" s="182"/>
    </row>
    <row r="175" spans="2:22" s="262" customFormat="1" ht="24" customHeight="1" x14ac:dyDescent="0.3">
      <c r="D175" s="736">
        <f>'Customer Inputs'!$K$17</f>
        <v>0</v>
      </c>
      <c r="M175" s="1190"/>
      <c r="N175" s="263" t="s">
        <v>226</v>
      </c>
      <c r="O175" s="264">
        <f>IFERROR(O172+O164+O155+Q147+Q131+Q123+Q115+Q89+Q61+Q19,0)</f>
        <v>0</v>
      </c>
      <c r="Q175" s="265"/>
      <c r="T175" s="402"/>
      <c r="U175" s="402"/>
      <c r="V175" s="403"/>
    </row>
    <row r="176" spans="2:22" s="262" customFormat="1" ht="27.6" customHeight="1" x14ac:dyDescent="0.3">
      <c r="D176" s="1174"/>
      <c r="L176" s="263"/>
      <c r="M176" s="703" t="str">
        <f>IF(M178&gt;0,"**Select Payment Method Above**","")</f>
        <v/>
      </c>
      <c r="N176" s="703"/>
      <c r="O176" s="703"/>
      <c r="P176" s="487" t="s">
        <v>202</v>
      </c>
      <c r="Q176" s="265"/>
    </row>
    <row r="177" spans="1:18" ht="24" customHeight="1" x14ac:dyDescent="0.25">
      <c r="N177" s="263" t="s">
        <v>227</v>
      </c>
      <c r="O177" s="266">
        <f>IFERROR($O$175/'PIM Model'!$G$31,0)</f>
        <v>0</v>
      </c>
      <c r="P177" s="488">
        <v>0.05</v>
      </c>
      <c r="Q177" s="140"/>
      <c r="R177" s="1090"/>
    </row>
    <row r="178" spans="1:18" ht="24" customHeight="1" thickBot="1" x14ac:dyDescent="0.3">
      <c r="A178" s="268"/>
      <c r="B178" s="268"/>
      <c r="C178" s="268"/>
      <c r="D178" s="1175"/>
      <c r="E178" s="268"/>
      <c r="F178" s="268"/>
      <c r="G178" s="268"/>
      <c r="H178" s="268"/>
      <c r="I178" s="268"/>
      <c r="J178" s="268"/>
      <c r="K178" s="268"/>
      <c r="L178" s="671"/>
      <c r="M178" s="704">
        <f>COUNTIF($S$14:$S$173,"X")</f>
        <v>0</v>
      </c>
      <c r="N178" s="704"/>
      <c r="O178" s="704"/>
      <c r="P178" s="672"/>
      <c r="Q178" s="269"/>
      <c r="R178" s="1090"/>
    </row>
    <row r="179" spans="1:18" ht="48.6" customHeight="1" x14ac:dyDescent="0.25">
      <c r="C179" s="1284"/>
      <c r="D179" s="1284"/>
      <c r="I179" s="670"/>
      <c r="L179" s="1091"/>
      <c r="M179" s="1285"/>
      <c r="N179" s="1285"/>
      <c r="O179" s="1285"/>
      <c r="P179" s="1285"/>
      <c r="R179" s="1090"/>
    </row>
  </sheetData>
  <sheetProtection algorithmName="SHA-512" hashValue="DBSn2AWtv7vQ9Th+2skStTqIKMe8Gnd4MVMAn5BT2d5/1XcMeYJ95N+IOBz+J8S+rX1k9WPCCBrQsCy/md+mYg==" saltValue="GVKx4oYJzZxGmB4z0ByKqQ==" spinCount="100000" sheet="1" objects="1" scenarios="1"/>
  <mergeCells count="39">
    <mergeCell ref="H10:I10"/>
    <mergeCell ref="H3:I3"/>
    <mergeCell ref="L3:M3"/>
    <mergeCell ref="H4:I4"/>
    <mergeCell ref="L4:M4"/>
    <mergeCell ref="H5:I5"/>
    <mergeCell ref="L5:M5"/>
    <mergeCell ref="H6:I6"/>
    <mergeCell ref="L6:M6"/>
    <mergeCell ref="H7:I7"/>
    <mergeCell ref="L7:M7"/>
    <mergeCell ref="H9:I9"/>
    <mergeCell ref="D12:E12"/>
    <mergeCell ref="G12:H12"/>
    <mergeCell ref="J12:K12"/>
    <mergeCell ref="D26:E26"/>
    <mergeCell ref="G26:H26"/>
    <mergeCell ref="J26:K26"/>
    <mergeCell ref="D142:E142"/>
    <mergeCell ref="D40:E40"/>
    <mergeCell ref="G40:H40"/>
    <mergeCell ref="J40:K40"/>
    <mergeCell ref="D54:E54"/>
    <mergeCell ref="D68:E68"/>
    <mergeCell ref="D82:E82"/>
    <mergeCell ref="D96:E96"/>
    <mergeCell ref="D110:E110"/>
    <mergeCell ref="D118:E118"/>
    <mergeCell ref="D126:E126"/>
    <mergeCell ref="D134:E134"/>
    <mergeCell ref="F168:G170"/>
    <mergeCell ref="C179:D179"/>
    <mergeCell ref="M179:P179"/>
    <mergeCell ref="D150:E150"/>
    <mergeCell ref="I153:I156"/>
    <mergeCell ref="D159:D160"/>
    <mergeCell ref="M161:P162"/>
    <mergeCell ref="D162:E162"/>
    <mergeCell ref="G162:K162"/>
  </mergeCells>
  <conditionalFormatting sqref="O177">
    <cfRule type="expression" dxfId="232" priority="127">
      <formula>$M$178&gt;0</formula>
    </cfRule>
    <cfRule type="cellIs" dxfId="231" priority="130" operator="lessThan">
      <formula>$P$177</formula>
    </cfRule>
    <cfRule type="cellIs" dxfId="230" priority="131" operator="greaterThan">
      <formula>$P$177</formula>
    </cfRule>
  </conditionalFormatting>
  <conditionalFormatting sqref="I14">
    <cfRule type="expression" dxfId="229" priority="129">
      <formula>$E$14&lt;&gt;"Please Select"</formula>
    </cfRule>
  </conditionalFormatting>
  <conditionalFormatting sqref="G61">
    <cfRule type="expression" dxfId="228" priority="128">
      <formula>OR($E56="DS Tiered Average Invoice Dollar Qualifier",$E56="DS Threshold Average Invoice Dollar Qualifier")</formula>
    </cfRule>
  </conditionalFormatting>
  <conditionalFormatting sqref="I169">
    <cfRule type="expression" dxfId="227" priority="126">
      <formula>$E$170="YES"</formula>
    </cfRule>
  </conditionalFormatting>
  <conditionalFormatting sqref="G14">
    <cfRule type="expression" dxfId="226" priority="125">
      <formula>$E$14&lt;&gt;"Please Select"</formula>
    </cfRule>
  </conditionalFormatting>
  <conditionalFormatting sqref="K155">
    <cfRule type="expression" dxfId="225" priority="124">
      <formula>$E$153="YES"</formula>
    </cfRule>
  </conditionalFormatting>
  <conditionalFormatting sqref="G172">
    <cfRule type="expression" dxfId="224" priority="123">
      <formula>$E$170="YES"</formula>
    </cfRule>
  </conditionalFormatting>
  <conditionalFormatting sqref="K160 I160 G164 K164 I164">
    <cfRule type="expression" dxfId="223" priority="132">
      <formula>$E$161="YES"</formula>
    </cfRule>
  </conditionalFormatting>
  <conditionalFormatting sqref="G160">
    <cfRule type="expression" dxfId="222" priority="122">
      <formula>$E$161="YES"</formula>
    </cfRule>
  </conditionalFormatting>
  <conditionalFormatting sqref="I153">
    <cfRule type="expression" dxfId="221" priority="133">
      <formula>$K$155+$K$160&gt;=10000</formula>
    </cfRule>
  </conditionalFormatting>
  <conditionalFormatting sqref="M161:O161">
    <cfRule type="expression" dxfId="220" priority="121">
      <formula>$M$160&gt;=10000</formula>
    </cfRule>
  </conditionalFormatting>
  <conditionalFormatting sqref="E4">
    <cfRule type="cellIs" dxfId="219" priority="119" operator="equal">
      <formula>"Yes"</formula>
    </cfRule>
    <cfRule type="cellIs" dxfId="218" priority="120" operator="equal">
      <formula>"No"</formula>
    </cfRule>
  </conditionalFormatting>
  <conditionalFormatting sqref="G17">
    <cfRule type="expression" dxfId="217" priority="118">
      <formula>$E$15="YES"</formula>
    </cfRule>
  </conditionalFormatting>
  <conditionalFormatting sqref="G31">
    <cfRule type="expression" dxfId="216" priority="117">
      <formula>$E$15="YES"</formula>
    </cfRule>
  </conditionalFormatting>
  <conditionalFormatting sqref="G49:G51 I48:I51">
    <cfRule type="expression" dxfId="215" priority="116">
      <formula>$E$15="YES"</formula>
    </cfRule>
  </conditionalFormatting>
  <conditionalFormatting sqref="G45">
    <cfRule type="expression" dxfId="214" priority="115">
      <formula>$E$15="YES"</formula>
    </cfRule>
  </conditionalFormatting>
  <conditionalFormatting sqref="E14">
    <cfRule type="expression" dxfId="213" priority="113">
      <formula>$E$13="No"</formula>
    </cfRule>
    <cfRule type="expression" dxfId="212" priority="114">
      <formula>$E$13="Yes"</formula>
    </cfRule>
  </conditionalFormatting>
  <conditionalFormatting sqref="E28">
    <cfRule type="expression" dxfId="211" priority="111">
      <formula>$E$27="No"</formula>
    </cfRule>
    <cfRule type="expression" dxfId="210" priority="112">
      <formula>$E$27="Yes"</formula>
    </cfRule>
  </conditionalFormatting>
  <conditionalFormatting sqref="E42">
    <cfRule type="expression" dxfId="209" priority="109">
      <formula>$E$41="No"</formula>
    </cfRule>
    <cfRule type="expression" dxfId="208" priority="110">
      <formula>$E$41="Yes"</formula>
    </cfRule>
  </conditionalFormatting>
  <conditionalFormatting sqref="M14">
    <cfRule type="expression" dxfId="207" priority="106">
      <formula>$K$14&lt;&gt;"Corporate Office"</formula>
    </cfRule>
    <cfRule type="expression" dxfId="206" priority="107">
      <formula>AND($K$14="Corporate Office",$I$14="Check")</formula>
    </cfRule>
    <cfRule type="expression" dxfId="205" priority="108">
      <formula>AND($I$14="Credit Memo",$K$14="Corporate Office")</formula>
    </cfRule>
  </conditionalFormatting>
  <conditionalFormatting sqref="M28">
    <cfRule type="expression" dxfId="204" priority="103">
      <formula>$K$28&lt;&gt;"Corporate Office"</formula>
    </cfRule>
    <cfRule type="expression" dxfId="203" priority="104">
      <formula>AND($K$28="Corporate Office",$I$28="Check")</formula>
    </cfRule>
    <cfRule type="expression" dxfId="202" priority="105">
      <formula>AND($I$28="Credit Memo",$K$28="Corporate Office")</formula>
    </cfRule>
  </conditionalFormatting>
  <conditionalFormatting sqref="M42">
    <cfRule type="expression" dxfId="201" priority="100">
      <formula>$K$42&lt;&gt;"Corporate Office"</formula>
    </cfRule>
    <cfRule type="expression" dxfId="200" priority="101">
      <formula>AND($K$42="Corporate Office",$I$42="Check")</formula>
    </cfRule>
    <cfRule type="expression" dxfId="199" priority="102">
      <formula>AND($I$42="Credit Memo",$K$42="Corporate Office")</formula>
    </cfRule>
  </conditionalFormatting>
  <conditionalFormatting sqref="I75:I79 G77:G79">
    <cfRule type="expression" dxfId="198" priority="99">
      <formula>$E$57="YES"</formula>
    </cfRule>
  </conditionalFormatting>
  <conditionalFormatting sqref="E56">
    <cfRule type="expression" dxfId="197" priority="97">
      <formula>$E$55="Yes"</formula>
    </cfRule>
    <cfRule type="expression" dxfId="196" priority="98">
      <formula>$E$55="No"</formula>
    </cfRule>
  </conditionalFormatting>
  <conditionalFormatting sqref="E70">
    <cfRule type="expression" dxfId="195" priority="95">
      <formula>$E$69="Yes"</formula>
    </cfRule>
    <cfRule type="expression" dxfId="194" priority="96">
      <formula>$E$69="No"</formula>
    </cfRule>
  </conditionalFormatting>
  <conditionalFormatting sqref="K14">
    <cfRule type="expression" dxfId="193" priority="94">
      <formula>$E$14&lt;&gt;"Please Select"</formula>
    </cfRule>
  </conditionalFormatting>
  <conditionalFormatting sqref="I56">
    <cfRule type="expression" dxfId="192" priority="93">
      <formula>$E$56&lt;&gt;"Please Select"</formula>
    </cfRule>
  </conditionalFormatting>
  <conditionalFormatting sqref="K56">
    <cfRule type="expression" dxfId="191" priority="92">
      <formula>$E$56&lt;&gt;"Please Select"</formula>
    </cfRule>
  </conditionalFormatting>
  <conditionalFormatting sqref="G56">
    <cfRule type="expression" dxfId="190" priority="91">
      <formula>$E$56&lt;&gt;"Please Select"</formula>
    </cfRule>
  </conditionalFormatting>
  <conditionalFormatting sqref="I28">
    <cfRule type="expression" dxfId="189" priority="90">
      <formula>$E$28&lt;&gt;"Please Select"</formula>
    </cfRule>
  </conditionalFormatting>
  <conditionalFormatting sqref="G28">
    <cfRule type="expression" dxfId="188" priority="89">
      <formula>$E$28&lt;&gt;"Please Select"</formula>
    </cfRule>
  </conditionalFormatting>
  <conditionalFormatting sqref="K28">
    <cfRule type="expression" dxfId="187" priority="88">
      <formula>$E$28&lt;&gt;"Please Select"</formula>
    </cfRule>
  </conditionalFormatting>
  <conditionalFormatting sqref="I42">
    <cfRule type="expression" dxfId="186" priority="87">
      <formula>$E$42&lt;&gt;"Please Select"</formula>
    </cfRule>
  </conditionalFormatting>
  <conditionalFormatting sqref="G42">
    <cfRule type="expression" dxfId="185" priority="86">
      <formula>$E$42&lt;&gt;"Please Select"</formula>
    </cfRule>
  </conditionalFormatting>
  <conditionalFormatting sqref="K42">
    <cfRule type="expression" dxfId="184" priority="85">
      <formula>$E$42&lt;&gt;"Please Select"</formula>
    </cfRule>
  </conditionalFormatting>
  <conditionalFormatting sqref="I70">
    <cfRule type="expression" dxfId="183" priority="84">
      <formula>$E$70&lt;&gt;"Please Select"</formula>
    </cfRule>
  </conditionalFormatting>
  <conditionalFormatting sqref="K70">
    <cfRule type="expression" dxfId="182" priority="83">
      <formula>$E$70&lt;&gt;"Please Select"</formula>
    </cfRule>
  </conditionalFormatting>
  <conditionalFormatting sqref="G70">
    <cfRule type="expression" dxfId="181" priority="82">
      <formula>$E$70&lt;&gt;"Please Select"</formula>
    </cfRule>
  </conditionalFormatting>
  <conditionalFormatting sqref="K75:K79">
    <cfRule type="expression" dxfId="180" priority="81">
      <formula>$E$70&lt;&gt;"Please Select"</formula>
    </cfRule>
  </conditionalFormatting>
  <conditionalFormatting sqref="K61:K65">
    <cfRule type="expression" dxfId="179" priority="80">
      <formula>$E$56&lt;&gt;"Please Select"</formula>
    </cfRule>
  </conditionalFormatting>
  <conditionalFormatting sqref="K47:K51">
    <cfRule type="expression" dxfId="178" priority="79">
      <formula>$E$42&lt;&gt;"Please Select"</formula>
    </cfRule>
  </conditionalFormatting>
  <conditionalFormatting sqref="K33:K37">
    <cfRule type="expression" dxfId="177" priority="78">
      <formula>$E$28&lt;&gt;"Please Select"</formula>
    </cfRule>
  </conditionalFormatting>
  <conditionalFormatting sqref="K19:K23">
    <cfRule type="expression" dxfId="176" priority="77">
      <formula>$E$14&lt;&gt;"Please Select"</formula>
    </cfRule>
  </conditionalFormatting>
  <conditionalFormatting sqref="M56">
    <cfRule type="expression" dxfId="175" priority="74">
      <formula>$K$56&lt;&gt;"Corporate Office"</formula>
    </cfRule>
    <cfRule type="expression" dxfId="174" priority="75">
      <formula>AND($K$56="Corporate Office",$I$56="Check")</formula>
    </cfRule>
    <cfRule type="expression" dxfId="173" priority="76">
      <formula>AND($I$56="Credit Memo",$K$56="Corporate Office")</formula>
    </cfRule>
  </conditionalFormatting>
  <conditionalFormatting sqref="M70">
    <cfRule type="expression" dxfId="172" priority="71">
      <formula>$K$70&lt;&gt;"Corporate Office"</formula>
    </cfRule>
    <cfRule type="expression" dxfId="171" priority="72">
      <formula>AND($K$70="Corporate Office",$I$70="Check")</formula>
    </cfRule>
    <cfRule type="expression" dxfId="170" priority="73">
      <formula>AND($I$70="Credit Memo",$K$70="Corporate Office")</formula>
    </cfRule>
  </conditionalFormatting>
  <conditionalFormatting sqref="I84">
    <cfRule type="expression" dxfId="169" priority="70">
      <formula>$E$84&lt;&gt;"Please Select"</formula>
    </cfRule>
  </conditionalFormatting>
  <conditionalFormatting sqref="K84">
    <cfRule type="expression" dxfId="168" priority="69">
      <formula>$E$84&lt;&gt;"Please Select"</formula>
    </cfRule>
  </conditionalFormatting>
  <conditionalFormatting sqref="G84">
    <cfRule type="expression" dxfId="167" priority="68">
      <formula>$E$84&lt;&gt;"Please Select"</formula>
    </cfRule>
  </conditionalFormatting>
  <conditionalFormatting sqref="M84">
    <cfRule type="expression" dxfId="166" priority="65">
      <formula>$K$84&lt;&gt;"Corporate Office"</formula>
    </cfRule>
    <cfRule type="expression" dxfId="165" priority="66">
      <formula>AND($K$84="Corporate Office",$I$84="Check")</formula>
    </cfRule>
    <cfRule type="expression" dxfId="164" priority="67">
      <formula>AND($I$84="Credit Memo",$K$84="Corporate Office")</formula>
    </cfRule>
  </conditionalFormatting>
  <conditionalFormatting sqref="I98">
    <cfRule type="expression" dxfId="163" priority="64">
      <formula>$E$98&lt;&gt;"Please Select"</formula>
    </cfRule>
  </conditionalFormatting>
  <conditionalFormatting sqref="K98">
    <cfRule type="expression" dxfId="162" priority="63">
      <formula>$E$98&lt;&gt;"Please Select"</formula>
    </cfRule>
  </conditionalFormatting>
  <conditionalFormatting sqref="G98">
    <cfRule type="expression" dxfId="161" priority="62">
      <formula>$E$98&lt;&gt;"Please Select"</formula>
    </cfRule>
  </conditionalFormatting>
  <conditionalFormatting sqref="M98">
    <cfRule type="expression" dxfId="160" priority="59">
      <formula>$K$98&lt;&gt;"Corporate Office"</formula>
    </cfRule>
    <cfRule type="expression" dxfId="159" priority="60">
      <formula>AND($K$98="Corporate Office",$I$98="Check")</formula>
    </cfRule>
    <cfRule type="expression" dxfId="158" priority="61">
      <formula>AND($I$98="Credit Memo",$K$98="Corporate Office")</formula>
    </cfRule>
  </conditionalFormatting>
  <conditionalFormatting sqref="E98">
    <cfRule type="expression" dxfId="157" priority="57">
      <formula>$E$97="Yes"</formula>
    </cfRule>
    <cfRule type="expression" dxfId="156" priority="58">
      <formula>$E$97="No"</formula>
    </cfRule>
  </conditionalFormatting>
  <conditionalFormatting sqref="E84">
    <cfRule type="expression" dxfId="155" priority="55">
      <formula>$E$83="Yes"</formula>
    </cfRule>
    <cfRule type="expression" dxfId="154" priority="56">
      <formula>$E$83="No"</formula>
    </cfRule>
  </conditionalFormatting>
  <conditionalFormatting sqref="G33">
    <cfRule type="expression" dxfId="153" priority="54">
      <formula>OR($E28="Volume Incentive Threshold",$E28="Volume Incentive Tiered")</formula>
    </cfRule>
  </conditionalFormatting>
  <conditionalFormatting sqref="G34">
    <cfRule type="expression" dxfId="152" priority="53">
      <formula>$E28="Volume Incentive Tiered"</formula>
    </cfRule>
  </conditionalFormatting>
  <conditionalFormatting sqref="G47">
    <cfRule type="expression" dxfId="151" priority="52">
      <formula>OR($E42="Volume Incentive Threshold",$E42="Volume Incentive Tiered")</formula>
    </cfRule>
  </conditionalFormatting>
  <conditionalFormatting sqref="G48">
    <cfRule type="expression" dxfId="150" priority="51">
      <formula>$E42="Volume Incentive Tiered"</formula>
    </cfRule>
  </conditionalFormatting>
  <conditionalFormatting sqref="G19">
    <cfRule type="expression" dxfId="149" priority="50">
      <formula>OR($E14="Volume Incentive Threshold",$E14="Volume Incentive Tiered")</formula>
    </cfRule>
  </conditionalFormatting>
  <conditionalFormatting sqref="G20">
    <cfRule type="expression" dxfId="148" priority="49">
      <formula>$E14="Volume Incentive Tiered"</formula>
    </cfRule>
  </conditionalFormatting>
  <conditionalFormatting sqref="G62">
    <cfRule type="expression" dxfId="147" priority="48">
      <formula>$E56="DS Tiered Average Invoice Dollar Qualifier"</formula>
    </cfRule>
  </conditionalFormatting>
  <conditionalFormatting sqref="G75">
    <cfRule type="expression" dxfId="146" priority="47">
      <formula>OR($E70="DS Tiered Average Invoice Dollar Qualifier",$E70="DS Threshold Average Invoice Dollar Qualifier")</formula>
    </cfRule>
  </conditionalFormatting>
  <conditionalFormatting sqref="G76">
    <cfRule type="expression" dxfId="145" priority="46">
      <formula>$E70="DS Tiered Average Invoice Dollar Qualifier"</formula>
    </cfRule>
  </conditionalFormatting>
  <conditionalFormatting sqref="G89">
    <cfRule type="expression" dxfId="144" priority="45">
      <formula>OR($E84="EB Threshold Percent Qualifier",$E84="EB Tiered Percent Qualifier")</formula>
    </cfRule>
  </conditionalFormatting>
  <conditionalFormatting sqref="G90">
    <cfRule type="expression" dxfId="143" priority="44">
      <formula>$E84="EB Tiered Percent Qualifier"</formula>
    </cfRule>
  </conditionalFormatting>
  <conditionalFormatting sqref="G103">
    <cfRule type="expression" dxfId="142" priority="43">
      <formula>OR($E98="EB Threshold Percent Qualifier",$E98="EB Tiered Percent Qualifier")</formula>
    </cfRule>
  </conditionalFormatting>
  <conditionalFormatting sqref="G104">
    <cfRule type="expression" dxfId="141" priority="42">
      <formula>$E98="EB Tiered Percent Qualifier"</formula>
    </cfRule>
  </conditionalFormatting>
  <conditionalFormatting sqref="K89:K93">
    <cfRule type="expression" dxfId="140" priority="41">
      <formula>$E$84&lt;&gt;"Please Select"</formula>
    </cfRule>
  </conditionalFormatting>
  <conditionalFormatting sqref="K103:K107">
    <cfRule type="expression" dxfId="139" priority="40">
      <formula>$E$98&lt;&gt;"Please Select"</formula>
    </cfRule>
  </conditionalFormatting>
  <conditionalFormatting sqref="I112">
    <cfRule type="expression" dxfId="138" priority="39">
      <formula>$E$112&lt;&gt;"Please Select"</formula>
    </cfRule>
  </conditionalFormatting>
  <conditionalFormatting sqref="K112">
    <cfRule type="expression" dxfId="137" priority="38">
      <formula>$E$112&lt;&gt;"Please Select"</formula>
    </cfRule>
  </conditionalFormatting>
  <conditionalFormatting sqref="G112">
    <cfRule type="expression" dxfId="136" priority="37">
      <formula>$E$112&lt;&gt;"Please Select"</formula>
    </cfRule>
  </conditionalFormatting>
  <conditionalFormatting sqref="M112">
    <cfRule type="expression" dxfId="135" priority="34">
      <formula>$K$112&lt;&gt;"Corporate Office"</formula>
    </cfRule>
    <cfRule type="expression" dxfId="134" priority="35">
      <formula>AND($K$112="Corporate Office",$I$112="Check")</formula>
    </cfRule>
    <cfRule type="expression" dxfId="133" priority="36">
      <formula>AND($I$112="Credit Memo",$K$112="Corporate Office")</formula>
    </cfRule>
  </conditionalFormatting>
  <conditionalFormatting sqref="E112">
    <cfRule type="expression" dxfId="132" priority="33">
      <formula>$E$111="Yes"</formula>
    </cfRule>
  </conditionalFormatting>
  <conditionalFormatting sqref="G115">
    <cfRule type="expression" dxfId="131" priority="32">
      <formula>$E$112="Growth Incentive Single Rate"</formula>
    </cfRule>
  </conditionalFormatting>
  <conditionalFormatting sqref="K115">
    <cfRule type="expression" dxfId="130" priority="31">
      <formula>$E$112&lt;&gt;"Please Select"</formula>
    </cfRule>
  </conditionalFormatting>
  <conditionalFormatting sqref="I120">
    <cfRule type="expression" dxfId="129" priority="30">
      <formula>$E$120&lt;&gt;"Please Select"</formula>
    </cfRule>
  </conditionalFormatting>
  <conditionalFormatting sqref="K120">
    <cfRule type="expression" dxfId="128" priority="29">
      <formula>$E$120&lt;&gt;"Please Select"</formula>
    </cfRule>
  </conditionalFormatting>
  <conditionalFormatting sqref="G120">
    <cfRule type="expression" dxfId="127" priority="28">
      <formula>$E$120&lt;&gt;"Please Select"</formula>
    </cfRule>
  </conditionalFormatting>
  <conditionalFormatting sqref="M120">
    <cfRule type="expression" dxfId="126" priority="25">
      <formula>$K$120&lt;&gt;"Corporate Office"</formula>
    </cfRule>
    <cfRule type="expression" dxfId="125" priority="26">
      <formula>AND($K$120="Corporate Office",$I$120="Check")</formula>
    </cfRule>
    <cfRule type="expression" dxfId="124" priority="27">
      <formula>AND($I$120="Credit Memo",$K$120="Corporate Office")</formula>
    </cfRule>
  </conditionalFormatting>
  <conditionalFormatting sqref="G123">
    <cfRule type="expression" dxfId="123" priority="24">
      <formula>$E$120="E-Commerce Incentive Threshold"</formula>
    </cfRule>
  </conditionalFormatting>
  <conditionalFormatting sqref="K123">
    <cfRule type="expression" dxfId="122" priority="23">
      <formula>$E$120&lt;&gt;"Please Select"</formula>
    </cfRule>
  </conditionalFormatting>
  <conditionalFormatting sqref="E120">
    <cfRule type="expression" dxfId="121" priority="22">
      <formula>$E$119="Yes"</formula>
    </cfRule>
  </conditionalFormatting>
  <conditionalFormatting sqref="I128">
    <cfRule type="expression" dxfId="120" priority="21">
      <formula>$E$128&lt;&gt;"Please Select"</formula>
    </cfRule>
  </conditionalFormatting>
  <conditionalFormatting sqref="M128">
    <cfRule type="expression" dxfId="119" priority="18">
      <formula>$K$128&lt;&gt;"Corporate Office"</formula>
    </cfRule>
    <cfRule type="expression" dxfId="118" priority="19">
      <formula>AND($K$128="Corporate Office",$I$128="Check")</formula>
    </cfRule>
    <cfRule type="expression" dxfId="117" priority="20">
      <formula>AND($I$128="Credit Memo",$K$128="Corporate Office")</formula>
    </cfRule>
  </conditionalFormatting>
  <conditionalFormatting sqref="E128">
    <cfRule type="expression" dxfId="116" priority="17">
      <formula>$E$127="Yes"</formula>
    </cfRule>
  </conditionalFormatting>
  <conditionalFormatting sqref="G131">
    <cfRule type="expression" dxfId="115" priority="16">
      <formula>$E$128&lt;&gt;"Please Select"</formula>
    </cfRule>
  </conditionalFormatting>
  <conditionalFormatting sqref="E136">
    <cfRule type="expression" dxfId="114" priority="15">
      <formula>$E$127="Yes"</formula>
    </cfRule>
  </conditionalFormatting>
  <conditionalFormatting sqref="I136">
    <cfRule type="expression" dxfId="113" priority="14">
      <formula>$E$136&lt;&gt;"Please Select"</formula>
    </cfRule>
  </conditionalFormatting>
  <conditionalFormatting sqref="M136">
    <cfRule type="expression" dxfId="112" priority="11">
      <formula>$K$136&lt;&gt;"Corporate Office"</formula>
    </cfRule>
    <cfRule type="expression" dxfId="111" priority="12">
      <formula>AND($K$136="Corporate Office",$I$136="Check")</formula>
    </cfRule>
    <cfRule type="expression" dxfId="110" priority="13">
      <formula>AND($I$136="Credit Memo",$K$136="Corporate Office")</formula>
    </cfRule>
  </conditionalFormatting>
  <conditionalFormatting sqref="G139">
    <cfRule type="expression" dxfId="109" priority="10">
      <formula>$E$136&lt;&gt;"Please Select"</formula>
    </cfRule>
  </conditionalFormatting>
  <conditionalFormatting sqref="K147">
    <cfRule type="expression" dxfId="108" priority="9">
      <formula>$E$144&lt;&gt;"Please Select"</formula>
    </cfRule>
  </conditionalFormatting>
  <conditionalFormatting sqref="I144">
    <cfRule type="expression" dxfId="107" priority="8">
      <formula>$E$144&lt;&gt;"Please Select"</formula>
    </cfRule>
  </conditionalFormatting>
  <conditionalFormatting sqref="K144">
    <cfRule type="expression" dxfId="106" priority="7">
      <formula>$E$144&lt;&gt;"Please Select"</formula>
    </cfRule>
  </conditionalFormatting>
  <conditionalFormatting sqref="G144">
    <cfRule type="expression" dxfId="105" priority="6">
      <formula>$E$144&lt;&gt;"Please Select"</formula>
    </cfRule>
  </conditionalFormatting>
  <conditionalFormatting sqref="M144">
    <cfRule type="expression" dxfId="104" priority="3">
      <formula>$K$144&lt;&gt;"Corporate Office"</formula>
    </cfRule>
    <cfRule type="expression" dxfId="103" priority="4">
      <formula>AND($K$144="Corporate Office",$I$144="Check")</formula>
    </cfRule>
    <cfRule type="expression" dxfId="102" priority="5">
      <formula>AND($I$144="Credit Memo",$K$144="Corporate Office")</formula>
    </cfRule>
  </conditionalFormatting>
  <conditionalFormatting sqref="E144">
    <cfRule type="expression" dxfId="101" priority="2">
      <formula>$E$143="Yes"</formula>
    </cfRule>
  </conditionalFormatting>
  <conditionalFormatting sqref="I152">
    <cfRule type="expression" dxfId="100" priority="1">
      <formula>$E$144&lt;&gt;"Please Select"</formula>
    </cfRule>
  </conditionalFormatting>
  <dataValidations count="31">
    <dataValidation type="list" allowBlank="1" showInputMessage="1" showErrorMessage="1" sqref="E152" xr:uid="{C8A73CB6-4058-46CD-8E97-36A76C8174E1}">
      <formula1>"Please Select, Prepaid Rollover, Prepaid Rollover No Payment"</formula1>
    </dataValidation>
    <dataValidation type="list" allowBlank="1" showInputMessage="1" showErrorMessage="1" sqref="E144" xr:uid="{6996FB38-1E0B-4BC0-BF6F-D578F21E1949}">
      <formula1>"Please Select, Payment Rewards Incentive"</formula1>
    </dataValidation>
    <dataValidation type="list" allowBlank="1" showInputMessage="1" showErrorMessage="1" sqref="E128 E136" xr:uid="{9272B3FF-1AFA-46ED-80CF-BC766F241F85}">
      <formula1>"Please Select, CHECK Business Tools Incentive, TOAST Incentive,"</formula1>
    </dataValidation>
    <dataValidation type="list" allowBlank="1" showInputMessage="1" showErrorMessage="1" sqref="E120" xr:uid="{380D476D-610E-43AB-B9B0-F2473723B89C}">
      <formula1>"Please Select, E-Commerce Incentive Threshold"</formula1>
    </dataValidation>
    <dataValidation type="list" allowBlank="1" showInputMessage="1" showErrorMessage="1" sqref="E112" xr:uid="{44EC1D5D-B949-4D43-B766-9868CC76EFE9}">
      <formula1>"Please Select, Growth Incentive Single Rate"</formula1>
    </dataValidation>
    <dataValidation type="list" allowBlank="1" showInputMessage="1" showErrorMessage="1" sqref="E27 E41" xr:uid="{53BF7FB3-F4EA-4689-A6D1-5AF58F69EDC4}">
      <formula1>"No,Yes"</formula1>
    </dataValidation>
    <dataValidation type="list" allowBlank="1" showInputMessage="1" showErrorMessage="1" sqref="E98 E84" xr:uid="{E0B96284-1988-4CCB-B255-455ED2726EC6}">
      <formula1>"Please Select, EB Single Rate,  EB Threshold Percent Qualifier, EB Tiered Percent Qualifier"</formula1>
    </dataValidation>
    <dataValidation type="decimal" operator="greaterThanOrEqual" allowBlank="1" showInputMessage="1" showErrorMessage="1" errorTitle="Invalid Tier Value" error="The values entered in Tier 3 must be greater than or equal to the current weekly drop-size. " sqref="G79" xr:uid="{17BA4964-AD9C-4B27-A16F-27BD70723D38}">
      <formula1>$G$73-1</formula1>
    </dataValidation>
    <dataValidation type="decimal" errorStyle="warning" operator="greaterThanOrEqual" allowBlank="1" showInputMessage="1" showErrorMessage="1" errorTitle="Invalid Tier Value" error="The value entered is less than the current weekly drop-size. " sqref="G77:G78" xr:uid="{296DFFC6-478C-4A4F-8BE2-92D38777EF56}">
      <formula1>$G$73-1</formula1>
    </dataValidation>
    <dataValidation type="list" allowBlank="1" showInputMessage="1" showErrorMessage="1" sqref="E56 E70" xr:uid="{8CE77625-1C19-4CCC-9BC4-5BFEC16852A2}">
      <formula1>"Please Select, DS Threshold Average Invoice Dollar Qualifier, DS Tiered Average Invoice Dollar Qualifier"</formula1>
    </dataValidation>
    <dataValidation type="decimal" operator="lessThanOrEqual" allowBlank="1" showInputMessage="1" showErrorMessage="1" errorTitle="Maximum Incentive Reached" error="Volume-based incentive payouts cannot exceed 3%" sqref="K19:K23 K33:K37 K47:K51 K61:K65 K75:K79 K89:K93 K103:K107 K115 K123" xr:uid="{988AAF96-2F8D-4DD9-9B6F-42D0135C1E18}">
      <formula1>0.05</formula1>
    </dataValidation>
    <dataValidation type="list" allowBlank="1" showInputMessage="1" showErrorMessage="1" sqref="K14 K56 K28 K42 K70 K84 K98 K112 K120 K128 K136 K144" xr:uid="{5D4FD8A2-3DF4-4EF4-8B34-78D14B88A4EB}">
      <formula1>"Customer Units, Corporate Office"</formula1>
    </dataValidation>
    <dataValidation type="decimal" errorStyle="warning" operator="greaterThanOrEqual" allowBlank="1" showErrorMessage="1" errorTitle="Invalid Tier Value" error="The values entered is less than the current weekly volume. " sqref="G49:G50" xr:uid="{2447917B-F8A4-48A7-A396-963F1CA7CB3F}">
      <formula1>$G$45-1</formula1>
    </dataValidation>
    <dataValidation type="decimal" operator="greaterThanOrEqual" allowBlank="1" showErrorMessage="1" errorTitle="Invalid Tier Value" error="The values entered in Tier 3 must be greater than or equal to the current weekly volume. " sqref="G37" xr:uid="{FAA5CB86-E812-4768-8426-CD6BD6B93AAB}">
      <formula1>$G$35-1</formula1>
    </dataValidation>
    <dataValidation type="decimal" errorStyle="warning" operator="greaterThanOrEqual" allowBlank="1" showErrorMessage="1" errorTitle="Invalid Tier Value" error="The values entered is less than the current weekly volume. " sqref="G35:G36" xr:uid="{207EBE0C-58CA-46FD-BFC3-C84AE045041B}">
      <formula1>$G$35-1</formula1>
    </dataValidation>
    <dataValidation type="decimal" operator="greaterThanOrEqual" allowBlank="1" showErrorMessage="1" errorTitle="Invalid Tier Value" error="The values entered in Tier 3 must be greater than or equal to the current weekly volume. " sqref="G23" xr:uid="{7BF87D79-078A-47F4-8824-1ACF2DBFB97A}">
      <formula1>$G$17-1</formula1>
    </dataValidation>
    <dataValidation type="decimal" errorStyle="warning" operator="greaterThanOrEqual" allowBlank="1" showErrorMessage="1" errorTitle="Invalid Tier Value" error="The values entered is less than the current weekly volume. " sqref="G21:G22" xr:uid="{BBD2A4FA-FDD9-47EE-B027-6D175931260A}">
      <formula1>$G$17-1</formula1>
    </dataValidation>
    <dataValidation type="decimal" allowBlank="1" showInputMessage="1" showErrorMessage="1" sqref="O178" xr:uid="{64F97019-0CD6-4672-9084-BC10D1EDAF73}">
      <formula1>0</formula1>
      <formula2>Q178</formula2>
    </dataValidation>
    <dataValidation type="decimal" allowBlank="1" showInputMessage="1" showErrorMessage="1" sqref="O177 M178:N178" xr:uid="{F64E2941-43EE-4891-8BF6-A2A60BC00D2F}">
      <formula1>0</formula1>
      <formula2>P177</formula2>
    </dataValidation>
    <dataValidation type="list" allowBlank="1" showInputMessage="1" showErrorMessage="1" sqref="E14 E28 E42" xr:uid="{45F8C414-030B-455B-ACD2-8768973FFDF4}">
      <formula1>"Please Select, Volume Incentive Single Rate,  Volume Incentive Threshold, Volume Incentive Tiered"</formula1>
    </dataValidation>
    <dataValidation type="list" allowBlank="1" showInputMessage="1" showErrorMessage="1" sqref="E4 E6 E83 E55 E13 E69 E97 E111 E119 E127 E135 E143 E151" xr:uid="{2729E39A-8ABF-4876-A59D-FCB4AD31FD0E}">
      <formula1>"Yes, No"</formula1>
    </dataValidation>
    <dataValidation operator="lessThan" allowBlank="1" showInputMessage="1" showErrorMessage="1" error="Cannot exceed 1.5%" sqref="G172" xr:uid="{0FB72176-D478-4B77-9102-6A8F1502230A}"/>
    <dataValidation type="list" allowBlank="1" showInputMessage="1" showErrorMessage="1" error="Select One" sqref="G164" xr:uid="{D078B576-F6FC-4193-802F-C21E7D8BB110}">
      <formula1>"MDA,CIA"</formula1>
    </dataValidation>
    <dataValidation type="decimal" operator="greaterThanOrEqual" allowBlank="1" showErrorMessage="1" errorTitle="Invalid Tier Value" error="The values entered in Tier 3 must be greater than or equal to the current weekly volume. " sqref="G51" xr:uid="{F73FA3D5-E856-42BD-9FFC-7FC5C70CCF0D}">
      <formula1>$G$45-1</formula1>
    </dataValidation>
    <dataValidation type="decimal" errorStyle="warning" operator="greaterThanOrEqual" allowBlank="1" showInputMessage="1" showErrorMessage="1" errorTitle="Invalid Tier Value" error="The value entered is less than the current weekly drop-size. " sqref="G62:G64 G76" xr:uid="{7BE51368-E777-4190-AB24-ABE47F282E01}">
      <formula1>$G$59-1</formula1>
    </dataValidation>
    <dataValidation type="decimal" operator="greaterThanOrEqual" allowBlank="1" showInputMessage="1" showErrorMessage="1" errorTitle="Invalid Tier Value" error="The values entered in Tier 3 must be greater than or equal to the current weekly drop-size. " sqref="G65" xr:uid="{D5B3E94C-ABD2-43E6-B80C-25B413A29606}">
      <formula1>$G$59-1</formula1>
    </dataValidation>
    <dataValidation type="whole" operator="lessThan" allowBlank="1" showInputMessage="1" showErrorMessage="1" sqref="S155" xr:uid="{ACCA5D28-89DC-4286-A8B8-E9E1B7673F79}">
      <formula1>10000</formula1>
    </dataValidation>
    <dataValidation type="list" allowBlank="1" showInputMessage="1" showErrorMessage="1" sqref="G14 G98 G56 G42 G112 G70 G28 G84 G120 G144" xr:uid="{122A09DD-5607-455B-979D-139136C33BB5}">
      <formula1>"Annually, Quarterly"</formula1>
    </dataValidation>
    <dataValidation type="decimal" errorStyle="warning" operator="greaterThanOrEqual" allowBlank="1" showErrorMessage="1" errorTitle="Invalid Tier Value" error="The values entered is less than the current weekly volume. " sqref="G45 G17 G31" xr:uid="{81E5F036-3ED1-4166-A370-E0342D72C7ED}">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55 G160" xr:uid="{FD14BB10-54B2-4762-97AB-44470708AE8F}">
      <formula1>100000</formula1>
    </dataValidation>
    <dataValidation type="decimal" operator="lessThanOrEqual" allowBlank="1" showInputMessage="1" showErrorMessage="1" errorTitle="Maximum Incentive Reached" error="Volume-based incentive payouts cannot exceed 3%" sqref="I19 I47 I33" xr:uid="{A42C3523-63F1-44A3-BD82-09E295A29BA1}">
      <formula1>0.03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A2" sqref="A2"/>
    </sheetView>
  </sheetViews>
  <sheetFormatPr defaultRowHeight="15" x14ac:dyDescent="0.25"/>
  <sheetData>
    <row r="1" spans="1:3" x14ac:dyDescent="0.25">
      <c r="A1" s="891" t="s">
        <v>1261</v>
      </c>
      <c r="B1" t="s">
        <v>1259</v>
      </c>
      <c r="C1" t="s">
        <v>131</v>
      </c>
    </row>
    <row r="2" spans="1:3" x14ac:dyDescent="0.25">
      <c r="A2" t="s">
        <v>1060</v>
      </c>
      <c r="B2">
        <v>50</v>
      </c>
      <c r="C2" t="s">
        <v>1260</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00"/>
      <c r="C2" s="1332" t="s">
        <v>210</v>
      </c>
      <c r="D2" s="1332"/>
      <c r="E2" s="1332"/>
      <c r="F2" s="513"/>
      <c r="G2" s="174"/>
      <c r="H2" s="174"/>
      <c r="I2" s="174"/>
      <c r="J2" s="174"/>
      <c r="K2" s="174"/>
      <c r="L2" s="177"/>
    </row>
    <row r="3" spans="2:23" x14ac:dyDescent="0.25">
      <c r="B3" s="180"/>
      <c r="C3" s="1337" t="s">
        <v>1268</v>
      </c>
      <c r="D3" s="1338"/>
      <c r="E3" s="396">
        <f>Welcome!$D$8</f>
        <v>0</v>
      </c>
      <c r="F3" s="399"/>
      <c r="G3" s="483" t="s">
        <v>110</v>
      </c>
      <c r="H3" s="1335" t="str">
        <f>IFERROR(VLOOKUP($H$4,'Market Geography'!$D:$G,4,FALSE),"Select Market")</f>
        <v>Select Market</v>
      </c>
      <c r="I3" s="1335"/>
      <c r="J3" s="1335"/>
      <c r="K3" s="1336"/>
      <c r="L3" s="181"/>
    </row>
    <row r="4" spans="2:23" x14ac:dyDescent="0.25">
      <c r="B4" s="180"/>
      <c r="C4" s="1324" t="s">
        <v>1269</v>
      </c>
      <c r="D4" s="1325"/>
      <c r="E4" s="365" t="str">
        <f>Welcome!$D$12</f>
        <v>Select Term</v>
      </c>
      <c r="F4" s="514"/>
      <c r="G4" s="484" t="s">
        <v>883</v>
      </c>
      <c r="H4" s="1320">
        <f>Welcome!$D$4</f>
        <v>0</v>
      </c>
      <c r="I4" s="1320"/>
      <c r="J4" s="1320"/>
      <c r="K4" s="1321"/>
      <c r="L4" s="181"/>
    </row>
    <row r="5" spans="2:23" x14ac:dyDescent="0.25">
      <c r="B5" s="180"/>
      <c r="C5" s="1324" t="s">
        <v>1276</v>
      </c>
      <c r="D5" s="1325"/>
      <c r="E5" s="145">
        <f>'PIM Model'!$G$31</f>
        <v>0</v>
      </c>
      <c r="F5" s="515"/>
      <c r="G5" s="484" t="s">
        <v>107</v>
      </c>
      <c r="H5" s="1320" t="str">
        <f>'Multi-Customer'!$S$49</f>
        <v>Enter Customer(s)</v>
      </c>
      <c r="I5" s="1320"/>
      <c r="J5" s="1320"/>
      <c r="K5" s="1321"/>
      <c r="L5" s="181"/>
    </row>
    <row r="6" spans="2:23" x14ac:dyDescent="0.25">
      <c r="B6" s="180"/>
      <c r="C6" s="1324" t="s">
        <v>1277</v>
      </c>
      <c r="D6" s="1325"/>
      <c r="E6" s="146">
        <f>'PIM Model'!$E$6</f>
        <v>0</v>
      </c>
      <c r="F6" s="399"/>
      <c r="G6" s="484" t="s">
        <v>1286</v>
      </c>
      <c r="H6" s="1320" t="str">
        <f>IF('Multi-Customer'!$AH$40 = "MULTIPLE MENU TYPES","MULTIPLE TYPES",'Multi-Customer'!$AH$40)</f>
        <v>MULTIPLE TYPES</v>
      </c>
      <c r="I6" s="1320"/>
      <c r="J6" s="1320"/>
      <c r="K6" s="1321"/>
      <c r="L6" s="181"/>
      <c r="R6" s="516"/>
    </row>
    <row r="7" spans="2:23" ht="15.75" thickBot="1" x14ac:dyDescent="0.3">
      <c r="B7" s="180"/>
      <c r="C7" s="1326" t="s">
        <v>1278</v>
      </c>
      <c r="D7" s="1327"/>
      <c r="E7" s="397">
        <f>IFERROR('PIM Ranges'!$AU$3,0)</f>
        <v>0</v>
      </c>
      <c r="F7" s="179"/>
      <c r="G7" s="485" t="s">
        <v>1279</v>
      </c>
      <c r="H7" s="1322" t="s">
        <v>206</v>
      </c>
      <c r="I7" s="1322"/>
      <c r="J7" s="1322"/>
      <c r="K7" s="1323"/>
      <c r="L7" s="181"/>
      <c r="P7" s="179"/>
      <c r="Q7" s="155"/>
      <c r="R7" s="517"/>
      <c r="S7" s="136"/>
      <c r="T7" s="155"/>
      <c r="U7" s="179"/>
      <c r="V7" s="155"/>
      <c r="W7" s="179"/>
    </row>
    <row r="8" spans="2:23" ht="13.9" customHeight="1" x14ac:dyDescent="0.25">
      <c r="B8" s="180"/>
      <c r="D8" s="138"/>
      <c r="E8" s="1270"/>
      <c r="F8" s="1270"/>
      <c r="G8"/>
      <c r="H8"/>
      <c r="I8" s="406"/>
      <c r="J8" s="27"/>
      <c r="K8" s="27"/>
      <c r="L8" s="181"/>
      <c r="P8" s="179"/>
      <c r="Q8" s="138"/>
      <c r="R8" s="518"/>
      <c r="S8" s="136"/>
      <c r="T8" s="219"/>
      <c r="U8" s="179"/>
      <c r="V8" s="220"/>
      <c r="W8" s="179"/>
    </row>
    <row r="9" spans="2:23" ht="13.9" customHeight="1" x14ac:dyDescent="0.25">
      <c r="B9" s="180"/>
      <c r="C9" s="258"/>
      <c r="D9" s="519"/>
      <c r="E9" s="188"/>
      <c r="F9" s="187"/>
      <c r="G9" s="187"/>
      <c r="H9" s="187"/>
      <c r="I9" s="520"/>
      <c r="J9" s="520"/>
      <c r="K9" s="521"/>
      <c r="L9" s="181"/>
      <c r="P9" s="179"/>
      <c r="Q9" s="138"/>
      <c r="R9" s="518"/>
      <c r="S9" s="136"/>
      <c r="T9" s="219"/>
      <c r="U9" s="179"/>
      <c r="V9" s="220"/>
      <c r="W9" s="179"/>
    </row>
    <row r="10" spans="2:23" ht="26.45" customHeight="1" x14ac:dyDescent="0.25">
      <c r="B10" s="180"/>
      <c r="C10" s="253"/>
      <c r="D10" s="6" t="s">
        <v>125</v>
      </c>
      <c r="E10" s="661" t="s">
        <v>1280</v>
      </c>
      <c r="F10" s="192"/>
      <c r="G10" s="661" t="s">
        <v>1281</v>
      </c>
      <c r="H10" s="192"/>
      <c r="I10" s="1328" t="s">
        <v>888</v>
      </c>
      <c r="J10" s="1328"/>
      <c r="K10" s="254"/>
      <c r="L10" s="181"/>
      <c r="P10" s="179"/>
      <c r="Q10" s="179"/>
      <c r="R10" s="522"/>
      <c r="S10" s="179"/>
      <c r="T10" s="179"/>
      <c r="U10" s="179"/>
      <c r="V10" s="179"/>
      <c r="W10" s="179"/>
    </row>
    <row r="11" spans="2:23" ht="23.45" customHeight="1" x14ac:dyDescent="0.25">
      <c r="B11" s="180"/>
      <c r="C11" s="253"/>
      <c r="D11" s="523" t="s">
        <v>1282</v>
      </c>
      <c r="E11" s="524">
        <f>'Variable Costs (Back)'!$AE$25</f>
        <v>0</v>
      </c>
      <c r="F11" s="192"/>
      <c r="G11" s="525">
        <f>IFERROR(E11/'PIM Model'!$H$31,0)</f>
        <v>0</v>
      </c>
      <c r="H11" s="192"/>
      <c r="I11" s="1329" t="str">
        <f>IFERROR($E11/$E$5,"")</f>
        <v/>
      </c>
      <c r="J11" s="1329"/>
      <c r="K11" s="254"/>
      <c r="L11" s="181"/>
      <c r="R11" s="516"/>
    </row>
    <row r="12" spans="2:23" ht="36" customHeight="1" x14ac:dyDescent="0.25">
      <c r="B12" s="180"/>
      <c r="C12" s="253"/>
      <c r="D12" s="1330" t="s">
        <v>686</v>
      </c>
      <c r="E12" s="1330"/>
      <c r="F12" s="526"/>
      <c r="G12" s="527"/>
      <c r="H12" s="192"/>
      <c r="I12" s="528"/>
      <c r="J12" s="529"/>
      <c r="K12" s="254"/>
      <c r="L12" s="181"/>
    </row>
    <row r="13" spans="2:23" s="794" customFormat="1" ht="23.45" customHeight="1" x14ac:dyDescent="0.25">
      <c r="B13" s="180"/>
      <c r="C13" s="253"/>
      <c r="D13" s="523" t="s">
        <v>1284</v>
      </c>
      <c r="E13" s="524" t="e">
        <f>'Tracking &amp; Profitability'!E26*-1</f>
        <v>#REF!</v>
      </c>
      <c r="F13" s="192"/>
      <c r="G13" s="525">
        <f>'Tracking &amp; Profitability'!G26*-1</f>
        <v>0</v>
      </c>
      <c r="H13" s="192"/>
      <c r="I13" s="1329" t="str">
        <f>IFERROR(E13/E5,"")</f>
        <v/>
      </c>
      <c r="J13" s="1329"/>
      <c r="K13" s="254"/>
      <c r="L13" s="181"/>
    </row>
    <row r="14" spans="2:23" s="794" customFormat="1" ht="36.6" customHeight="1" x14ac:dyDescent="0.25">
      <c r="B14" s="180"/>
      <c r="C14" s="253"/>
      <c r="D14" s="1330" t="s">
        <v>1175</v>
      </c>
      <c r="E14" s="1330"/>
      <c r="F14" s="526"/>
      <c r="G14" s="527"/>
      <c r="H14" s="192"/>
      <c r="I14" s="528"/>
      <c r="J14" s="529"/>
      <c r="K14" s="254"/>
      <c r="L14" s="181"/>
    </row>
    <row r="15" spans="2:23" ht="23.45" customHeight="1" x14ac:dyDescent="0.25">
      <c r="B15" s="180"/>
      <c r="C15" s="253"/>
      <c r="D15" s="523" t="s">
        <v>1283</v>
      </c>
      <c r="E15" s="524">
        <f>'Variable Costs (Back)'!$AF$25</f>
        <v>0</v>
      </c>
      <c r="F15" s="192"/>
      <c r="G15" s="525">
        <f>IFERROR(E15/'PIM Model'!$H$31,0)</f>
        <v>0</v>
      </c>
      <c r="H15" s="192"/>
      <c r="I15" s="1329" t="str">
        <f>IFERROR($E15/$E$5,"")</f>
        <v/>
      </c>
      <c r="J15" s="1329"/>
      <c r="K15" s="254"/>
      <c r="L15" s="181"/>
    </row>
    <row r="16" spans="2:23" ht="26.45" customHeight="1" x14ac:dyDescent="0.25">
      <c r="B16" s="180"/>
      <c r="C16" s="253"/>
      <c r="D16" s="1319" t="s">
        <v>688</v>
      </c>
      <c r="E16" s="1319"/>
      <c r="F16" s="526"/>
      <c r="G16" s="527"/>
      <c r="H16" s="192"/>
      <c r="I16" s="528"/>
      <c r="J16" s="529"/>
      <c r="K16" s="254"/>
      <c r="L16" s="181"/>
    </row>
    <row r="17" spans="2:12" ht="23.45" customHeight="1" x14ac:dyDescent="0.25">
      <c r="B17" s="180"/>
      <c r="C17" s="253"/>
      <c r="D17" s="523" t="s">
        <v>1285</v>
      </c>
      <c r="E17" s="524">
        <f>'Variable Costs (Back)'!$AD$25</f>
        <v>0</v>
      </c>
      <c r="F17" s="192"/>
      <c r="G17" s="525">
        <f>IFERROR(E17/'PIM Model'!$H$31,0)</f>
        <v>0</v>
      </c>
      <c r="H17" s="192"/>
      <c r="I17" s="1329" t="str">
        <f>IFERROR($E17/$E$5,"")</f>
        <v/>
      </c>
      <c r="J17" s="1329"/>
      <c r="K17" s="254"/>
      <c r="L17" s="181"/>
    </row>
    <row r="18" spans="2:12" ht="25.9" customHeight="1" x14ac:dyDescent="0.25">
      <c r="B18" s="180"/>
      <c r="C18" s="253"/>
      <c r="D18" s="1319" t="s">
        <v>687</v>
      </c>
      <c r="E18" s="1331"/>
      <c r="F18" s="526"/>
      <c r="G18" s="527"/>
      <c r="H18" s="192"/>
      <c r="I18" s="529"/>
      <c r="J18" s="529"/>
      <c r="K18" s="254"/>
      <c r="L18" s="181"/>
    </row>
    <row r="19" spans="2:12" ht="25.15" customHeight="1" x14ac:dyDescent="0.25">
      <c r="B19" s="180"/>
      <c r="C19" s="253"/>
      <c r="D19" s="530" t="s">
        <v>228</v>
      </c>
      <c r="E19" s="531" t="e">
        <f>E11+E15+E17+E13</f>
        <v>#REF!</v>
      </c>
      <c r="F19" s="192"/>
      <c r="G19" s="532">
        <f>IFERROR(E19/'PIM Model'!$H$31,0)</f>
        <v>0</v>
      </c>
      <c r="H19" s="533"/>
      <c r="I19" s="1333" t="str">
        <f>IFERROR($E19/$E$5,"")</f>
        <v/>
      </c>
      <c r="J19" s="1333"/>
      <c r="K19" s="254"/>
      <c r="L19" s="181"/>
    </row>
    <row r="20" spans="2:12" ht="13.9" customHeight="1" x14ac:dyDescent="0.25">
      <c r="B20" s="180"/>
      <c r="C20" s="255"/>
      <c r="D20" s="241"/>
      <c r="E20" s="241"/>
      <c r="F20" s="241"/>
      <c r="G20" s="241"/>
      <c r="H20" s="241"/>
      <c r="I20" s="534"/>
      <c r="J20" s="534"/>
      <c r="K20" s="256"/>
      <c r="L20" s="181"/>
    </row>
    <row r="21" spans="2:12" s="179" customFormat="1" ht="13.9" customHeight="1" x14ac:dyDescent="0.25">
      <c r="B21" s="535"/>
      <c r="L21" s="184"/>
    </row>
    <row r="22" spans="2:12" ht="13.9" customHeight="1" x14ac:dyDescent="0.25">
      <c r="B22" s="180"/>
      <c r="C22" s="258"/>
      <c r="D22" s="187"/>
      <c r="E22" s="187"/>
      <c r="F22" s="187"/>
      <c r="G22" s="187"/>
      <c r="H22" s="187"/>
      <c r="I22" s="536"/>
      <c r="J22" s="536"/>
      <c r="K22" s="259"/>
      <c r="L22" s="181"/>
    </row>
    <row r="23" spans="2:12" ht="16.149999999999999" customHeight="1" x14ac:dyDescent="0.25">
      <c r="B23" s="180"/>
      <c r="C23" s="253"/>
      <c r="D23" s="537" t="s">
        <v>948</v>
      </c>
      <c r="E23" s="538">
        <f>IFERROR('EB_CM (Back)'!$G$47,0)</f>
        <v>0</v>
      </c>
      <c r="F23" s="192"/>
      <c r="G23" s="539">
        <f>IFERROR(E23/'PIM Model'!$H$31,0)</f>
        <v>0</v>
      </c>
      <c r="H23" s="192"/>
      <c r="I23" s="1329" t="str">
        <f>IFERROR($E23/$E$5,"")</f>
        <v/>
      </c>
      <c r="J23" s="1329"/>
      <c r="K23" s="254"/>
      <c r="L23" s="181"/>
    </row>
    <row r="24" spans="2:12" ht="16.149999999999999" customHeight="1" x14ac:dyDescent="0.25">
      <c r="B24" s="180"/>
      <c r="C24" s="253"/>
      <c r="D24" s="1334" t="s">
        <v>931</v>
      </c>
      <c r="E24" s="1334"/>
      <c r="F24" s="526"/>
      <c r="G24" s="527"/>
      <c r="H24" s="192"/>
      <c r="I24" s="529"/>
      <c r="J24" s="529"/>
      <c r="K24" s="254"/>
      <c r="L24" s="181"/>
    </row>
    <row r="25" spans="2:12" ht="13.9" customHeight="1" x14ac:dyDescent="0.25">
      <c r="B25" s="180"/>
      <c r="C25" s="255"/>
      <c r="D25" s="540"/>
      <c r="E25" s="541"/>
      <c r="F25" s="241"/>
      <c r="G25" s="542"/>
      <c r="H25" s="241"/>
      <c r="I25" s="534"/>
      <c r="J25" s="534"/>
      <c r="K25" s="256"/>
      <c r="L25" s="181"/>
    </row>
    <row r="26" spans="2:12" ht="13.9" customHeight="1" x14ac:dyDescent="0.25">
      <c r="B26" s="180"/>
      <c r="C26" s="179"/>
      <c r="D26" s="179"/>
      <c r="E26" s="179"/>
      <c r="H26" s="179"/>
      <c r="I26" s="179"/>
      <c r="J26" s="179"/>
      <c r="K26" s="179"/>
      <c r="L26" s="181"/>
    </row>
    <row r="27" spans="2:12" ht="13.9" customHeight="1" x14ac:dyDescent="0.25">
      <c r="B27" s="180"/>
      <c r="C27" s="258"/>
      <c r="D27" s="187"/>
      <c r="E27" s="187"/>
      <c r="F27" s="187"/>
      <c r="G27" s="187"/>
      <c r="H27" s="187"/>
      <c r="I27" s="536"/>
      <c r="J27" s="536"/>
      <c r="K27" s="259"/>
      <c r="L27" s="181"/>
    </row>
    <row r="28" spans="2:12" ht="26.45" customHeight="1" x14ac:dyDescent="0.25">
      <c r="B28" s="180"/>
      <c r="C28" s="253"/>
      <c r="D28" s="6" t="s">
        <v>218</v>
      </c>
      <c r="E28" s="661" t="s">
        <v>1280</v>
      </c>
      <c r="F28" s="192"/>
      <c r="G28" s="661" t="s">
        <v>1281</v>
      </c>
      <c r="H28" s="192"/>
      <c r="I28" s="1328" t="s">
        <v>888</v>
      </c>
      <c r="J28" s="1328"/>
      <c r="K28" s="254"/>
      <c r="L28" s="181"/>
    </row>
    <row r="29" spans="2:12" ht="25.15" customHeight="1" x14ac:dyDescent="0.25">
      <c r="B29" s="180"/>
      <c r="C29" s="253"/>
      <c r="D29" s="537" t="s">
        <v>221</v>
      </c>
      <c r="E29" s="538">
        <f>IFERROR('EB_CM (Back)'!$F$47,0)</f>
        <v>0</v>
      </c>
      <c r="F29" s="192"/>
      <c r="G29" s="525">
        <f>IFERROR(E29/'PIM Model'!$H$31,0)</f>
        <v>0</v>
      </c>
      <c r="H29" s="192"/>
      <c r="I29" s="1329" t="str">
        <f>IFERROR($E29/$E$5,"")</f>
        <v/>
      </c>
      <c r="J29" s="1329"/>
      <c r="K29" s="254"/>
      <c r="L29" s="181"/>
    </row>
    <row r="30" spans="2:12" ht="17.45" customHeight="1" x14ac:dyDescent="0.25">
      <c r="B30" s="180"/>
      <c r="C30" s="253"/>
      <c r="D30" s="537" t="s">
        <v>220</v>
      </c>
      <c r="E30" s="538">
        <f>IFERROR(VLOOKUP($H$4,'Variable Div Avgs'!$D:$L,9,FALSE)*'PIM Model'!$H$31,0)</f>
        <v>0</v>
      </c>
      <c r="F30" s="192"/>
      <c r="G30" s="525">
        <f>IFERROR(E30/'PIM Model'!$H$31,0)</f>
        <v>0</v>
      </c>
      <c r="H30" s="192"/>
      <c r="I30" s="1329" t="str">
        <f>IFERROR($E30/$E$5,"")</f>
        <v/>
      </c>
      <c r="J30" s="1329"/>
      <c r="K30" s="254"/>
      <c r="L30" s="181"/>
    </row>
    <row r="31" spans="2:12" ht="27.6" customHeight="1" x14ac:dyDescent="0.25">
      <c r="B31" s="180"/>
      <c r="C31" s="543"/>
      <c r="D31" s="1319" t="s">
        <v>230</v>
      </c>
      <c r="E31" s="1319"/>
      <c r="F31" s="544"/>
      <c r="G31" s="544"/>
      <c r="H31" s="544"/>
      <c r="I31" s="534"/>
      <c r="J31" s="534"/>
      <c r="K31" s="256"/>
      <c r="L31" s="181"/>
    </row>
    <row r="32" spans="2:12" s="965" customFormat="1" ht="27.6" customHeight="1" x14ac:dyDescent="0.25">
      <c r="B32" s="180"/>
      <c r="C32" s="179"/>
      <c r="D32" s="179"/>
      <c r="E32" s="179"/>
      <c r="H32" s="179"/>
      <c r="I32" s="179"/>
      <c r="J32" s="179"/>
      <c r="K32" s="179"/>
      <c r="L32" s="181"/>
    </row>
    <row r="33" spans="2:12" s="965" customFormat="1" ht="27.6" customHeight="1" x14ac:dyDescent="0.25">
      <c r="B33" s="180"/>
      <c r="C33" s="258"/>
      <c r="D33" s="187"/>
      <c r="E33" s="187"/>
      <c r="F33" s="187"/>
      <c r="G33" s="187"/>
      <c r="H33" s="187"/>
      <c r="I33" s="536"/>
      <c r="J33" s="536"/>
      <c r="K33" s="259"/>
      <c r="L33" s="181"/>
    </row>
    <row r="34" spans="2:12" s="965" customFormat="1" ht="23.25" customHeight="1" x14ac:dyDescent="0.25">
      <c r="B34" s="180"/>
      <c r="C34" s="253"/>
      <c r="D34" s="6" t="s">
        <v>1377</v>
      </c>
      <c r="E34" s="966" t="s">
        <v>266</v>
      </c>
      <c r="F34" s="192"/>
      <c r="G34" s="966" t="s">
        <v>1281</v>
      </c>
      <c r="H34" s="192"/>
      <c r="I34" s="967"/>
      <c r="J34" s="967"/>
      <c r="K34" s="254"/>
      <c r="L34" s="181"/>
    </row>
    <row r="35" spans="2:12" s="965" customFormat="1" ht="23.25" customHeight="1" x14ac:dyDescent="0.25">
      <c r="B35" s="180"/>
      <c r="C35" s="253"/>
      <c r="D35" s="537" t="s">
        <v>1378</v>
      </c>
      <c r="E35" s="977">
        <f>IFERROR('Customer Inputs'!BA16,0)</f>
        <v>0</v>
      </c>
      <c r="F35" s="192"/>
      <c r="G35" s="967"/>
      <c r="H35" s="192"/>
      <c r="I35" s="967"/>
      <c r="J35" s="967"/>
      <c r="K35" s="254"/>
      <c r="L35" s="181"/>
    </row>
    <row r="36" spans="2:12" s="965" customFormat="1" ht="22.5" customHeight="1" x14ac:dyDescent="0.25">
      <c r="B36" s="180"/>
      <c r="C36" s="253"/>
      <c r="D36" s="537" t="s">
        <v>1379</v>
      </c>
      <c r="E36" s="977">
        <f>IFERROR('Customer Inputs'!BD16,0)</f>
        <v>0</v>
      </c>
      <c r="F36" s="192"/>
      <c r="G36" s="525">
        <f>IFERROR(E36*'Customer Inputs'!BC16/'PIM Model'!$H$31,0)</f>
        <v>0</v>
      </c>
      <c r="H36" s="192"/>
      <c r="I36" s="967"/>
      <c r="J36" s="967"/>
      <c r="K36" s="254"/>
      <c r="L36" s="181"/>
    </row>
    <row r="37" spans="2:12" s="965" customFormat="1" ht="27.6" customHeight="1" x14ac:dyDescent="0.25">
      <c r="B37" s="180"/>
      <c r="C37" s="543"/>
      <c r="D37" s="1319"/>
      <c r="E37" s="1319"/>
      <c r="F37" s="544"/>
      <c r="G37" s="544"/>
      <c r="H37" s="544"/>
      <c r="I37" s="534"/>
      <c r="J37" s="534"/>
      <c r="K37" s="256"/>
      <c r="L37" s="181"/>
    </row>
    <row r="38" spans="2:12" ht="21.6" customHeight="1" thickBot="1" x14ac:dyDescent="0.3">
      <c r="B38" s="664"/>
      <c r="C38" s="658"/>
      <c r="D38" s="658"/>
      <c r="E38" s="658"/>
      <c r="F38" s="658"/>
      <c r="G38" s="658"/>
      <c r="H38" s="658"/>
      <c r="I38" s="658"/>
      <c r="J38" s="658"/>
      <c r="K38" s="658"/>
      <c r="L38" s="665"/>
    </row>
    <row r="39" spans="2:12" ht="39" customHeight="1" x14ac:dyDescent="0.25"/>
  </sheetData>
  <sheetProtection algorithmName="SHA-512" hashValue="2JlRU5Q//51PJUeXKOSfjeljkASBuivDN8NocpT9qJQvNnWEDI9gRybWiphDsBKhRoAEqV0Hi4gy6V65J3rdFg==" saltValue="9clxfoGeTGz76E6dnB6Muw=="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5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E42"/>
  <sheetViews>
    <sheetView showGridLines="0" topLeftCell="A2" zoomScale="80" zoomScaleNormal="80" zoomScaleSheetLayoutView="100" workbookViewId="0">
      <selection activeCell="B2" sqref="B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45" customWidth="1"/>
    <col min="5" max="5" width="24.7109375" style="5" customWidth="1"/>
    <col min="6" max="6" width="2.140625" style="5" customWidth="1"/>
    <col min="7" max="7" width="27.140625" style="178" customWidth="1"/>
    <col min="8" max="8" width="2.85546875" style="178" customWidth="1"/>
    <col min="9" max="9" width="17.7109375" style="178" bestFit="1" customWidth="1"/>
    <col min="10" max="10" width="15.140625" style="178" customWidth="1"/>
    <col min="11" max="11" width="17.7109375" style="178" customWidth="1"/>
    <col min="12" max="12" width="2.5703125" style="178" customWidth="1"/>
    <col min="13" max="13" width="17" style="178" customWidth="1"/>
    <col min="14" max="14" width="18.28515625" style="5" customWidth="1"/>
    <col min="15" max="15" width="3.5703125" style="5" customWidth="1"/>
    <col min="16" max="16" width="2" style="817" customWidth="1"/>
    <col min="17" max="17" width="10.85546875" style="178" customWidth="1"/>
    <col min="18" max="18" width="11.5703125" style="817" bestFit="1" customWidth="1"/>
    <col min="19" max="19" width="2.42578125" style="178" customWidth="1"/>
    <col min="20" max="20" width="13.140625" style="178"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16384" width="8.85546875" style="5"/>
  </cols>
  <sheetData>
    <row r="1" spans="1:31" ht="15" customHeight="1" thickBot="1" x14ac:dyDescent="0.3">
      <c r="A1" s="5" t="s">
        <v>523</v>
      </c>
      <c r="U1" s="708" t="str">
        <f>N22</f>
        <v/>
      </c>
      <c r="X1" s="708" t="str">
        <f>IF(AND(NOT(ISBLANK(Welcome!D8)),Welcome!$D$8 &lt;&gt; "CIA"),IF(COUNTBLANK('PIM Model'!K10:K30)&gt;0,"TRUE","FALSE"),"FALSE")</f>
        <v>FALSE</v>
      </c>
    </row>
    <row r="2" spans="1:31" ht="21" x14ac:dyDescent="0.25">
      <c r="B2" s="700"/>
      <c r="C2" s="546" t="s">
        <v>129</v>
      </c>
      <c r="D2" s="174"/>
      <c r="E2" s="546"/>
      <c r="F2" s="547"/>
      <c r="G2" s="176"/>
      <c r="H2" s="176"/>
      <c r="I2" s="176"/>
      <c r="J2" s="176"/>
      <c r="K2" s="176"/>
      <c r="L2" s="176"/>
      <c r="M2" s="176"/>
      <c r="N2" s="174"/>
      <c r="O2" s="174"/>
      <c r="P2" s="818"/>
      <c r="Q2" s="176"/>
      <c r="R2" s="818"/>
      <c r="S2" s="548"/>
    </row>
    <row r="3" spans="1:31" ht="8.4499999999999993" customHeight="1" thickBot="1" x14ac:dyDescent="0.3">
      <c r="B3" s="180"/>
      <c r="D3" s="5"/>
      <c r="F3" s="179"/>
      <c r="G3" s="5"/>
      <c r="H3" s="5"/>
      <c r="I3" s="5"/>
      <c r="J3" s="957"/>
      <c r="K3" s="957"/>
      <c r="L3" s="957"/>
      <c r="M3" s="957"/>
      <c r="S3" s="261"/>
    </row>
    <row r="4" spans="1:31" ht="14.45" customHeight="1" x14ac:dyDescent="0.25">
      <c r="B4" s="180"/>
      <c r="C4" s="1337" t="s">
        <v>1268</v>
      </c>
      <c r="D4" s="1338"/>
      <c r="E4" s="663">
        <f>Welcome!$D$8</f>
        <v>0</v>
      </c>
      <c r="F4" s="141"/>
      <c r="G4" s="483" t="s">
        <v>110</v>
      </c>
      <c r="H4" s="1277" t="str">
        <f>IFERROR(VLOOKUP($H$5,'Market Geography'!$D:$G,4,FALSE),"Select Market")</f>
        <v>Select Market</v>
      </c>
      <c r="I4" s="1278"/>
      <c r="J4" s="1279"/>
      <c r="K4" s="957"/>
      <c r="L4" s="957"/>
      <c r="M4" s="957"/>
      <c r="N4" s="957"/>
      <c r="O4" s="957"/>
      <c r="P4" s="821"/>
      <c r="Q4" s="823"/>
      <c r="R4" s="757"/>
      <c r="S4" s="549"/>
    </row>
    <row r="5" spans="1:31" x14ac:dyDescent="0.25">
      <c r="B5" s="180"/>
      <c r="C5" s="1324" t="s">
        <v>1269</v>
      </c>
      <c r="D5" s="1325"/>
      <c r="E5" s="365" t="str">
        <f>Welcome!$D$12</f>
        <v>Select Term</v>
      </c>
      <c r="F5" s="141"/>
      <c r="G5" s="484" t="s">
        <v>883</v>
      </c>
      <c r="H5" s="1274">
        <f>Welcome!$D$4</f>
        <v>0</v>
      </c>
      <c r="I5" s="1275"/>
      <c r="J5" s="1276"/>
      <c r="K5" s="957"/>
      <c r="L5" s="957"/>
      <c r="M5" s="957"/>
      <c r="N5" s="957"/>
      <c r="O5" s="957"/>
      <c r="P5" s="821"/>
      <c r="Q5" s="823"/>
      <c r="R5" s="757"/>
      <c r="S5" s="549"/>
    </row>
    <row r="6" spans="1:31" x14ac:dyDescent="0.25">
      <c r="B6" s="180"/>
      <c r="C6" s="1324" t="s">
        <v>1276</v>
      </c>
      <c r="D6" s="1325"/>
      <c r="E6" s="366">
        <f>IFERROR('PIM Model'!$G$31,0)</f>
        <v>0</v>
      </c>
      <c r="F6" s="398"/>
      <c r="G6" s="484" t="s">
        <v>107</v>
      </c>
      <c r="H6" s="1274" t="str">
        <f>'Multi-Customer'!$S$49</f>
        <v>Enter Customer(s)</v>
      </c>
      <c r="I6" s="1275"/>
      <c r="J6" s="1276"/>
      <c r="K6" s="957"/>
      <c r="L6" s="957"/>
      <c r="M6" s="957"/>
      <c r="N6" s="957"/>
      <c r="O6" s="957"/>
      <c r="P6" s="821"/>
      <c r="Q6" s="823"/>
      <c r="R6" s="757"/>
      <c r="S6" s="549"/>
    </row>
    <row r="7" spans="1:31" x14ac:dyDescent="0.25">
      <c r="B7" s="180"/>
      <c r="C7" s="1324" t="s">
        <v>1277</v>
      </c>
      <c r="D7" s="1325"/>
      <c r="E7" s="550">
        <f>IFERROR('Variable Costs (Back)'!$K$26,0)</f>
        <v>0</v>
      </c>
      <c r="F7" s="179"/>
      <c r="G7" s="484" t="s">
        <v>1286</v>
      </c>
      <c r="H7" s="1274" t="str">
        <f>'Multi-Customer'!$AH$40</f>
        <v>MULTIPLE TYPES</v>
      </c>
      <c r="I7" s="1275"/>
      <c r="J7" s="1276"/>
      <c r="K7" s="957"/>
      <c r="L7" s="957"/>
      <c r="M7" s="957"/>
      <c r="N7" s="957"/>
      <c r="O7" s="957"/>
      <c r="P7" s="821"/>
      <c r="Q7" s="823"/>
      <c r="R7" s="757"/>
      <c r="S7" s="549"/>
    </row>
    <row r="8" spans="1:31" ht="15.75" thickBot="1" x14ac:dyDescent="0.3">
      <c r="B8" s="180"/>
      <c r="C8" s="1326" t="s">
        <v>1278</v>
      </c>
      <c r="D8" s="1327"/>
      <c r="E8" s="397">
        <f>IFERROR('PIM Ranges'!$AU$3,0)</f>
        <v>0</v>
      </c>
      <c r="F8" s="399"/>
      <c r="G8" s="485" t="s">
        <v>1279</v>
      </c>
      <c r="H8" s="1339" t="s">
        <v>206</v>
      </c>
      <c r="I8" s="1340"/>
      <c r="J8" s="1341"/>
      <c r="K8" s="957"/>
      <c r="L8" s="957"/>
      <c r="M8" s="957"/>
      <c r="N8" s="957"/>
      <c r="O8" s="957"/>
      <c r="P8" s="822"/>
      <c r="Q8" s="823"/>
      <c r="R8" s="757"/>
      <c r="S8" s="551"/>
    </row>
    <row r="9" spans="1:31" ht="8.4499999999999993" customHeight="1" x14ac:dyDescent="0.25">
      <c r="B9" s="180"/>
      <c r="D9" s="138"/>
      <c r="E9" s="662"/>
      <c r="F9" s="662"/>
      <c r="G9" s="662"/>
      <c r="H9" s="662"/>
      <c r="I9" s="662"/>
      <c r="J9" s="955"/>
      <c r="K9" s="955"/>
      <c r="L9" s="955"/>
      <c r="M9" s="955"/>
      <c r="S9" s="261"/>
    </row>
    <row r="10" spans="1:31" ht="7.9" customHeight="1" x14ac:dyDescent="0.25">
      <c r="B10" s="180"/>
      <c r="C10" s="258"/>
      <c r="D10" s="552"/>
      <c r="E10" s="187"/>
      <c r="F10" s="187"/>
      <c r="G10" s="187"/>
      <c r="H10" s="187"/>
      <c r="I10" s="187"/>
      <c r="J10" s="187"/>
      <c r="K10" s="187"/>
      <c r="L10" s="187"/>
      <c r="M10" s="187"/>
      <c r="N10" s="187"/>
      <c r="O10" s="191"/>
      <c r="P10"/>
      <c r="Q10" s="819"/>
      <c r="R10" s="816"/>
      <c r="S10" s="181"/>
      <c r="T10" s="5"/>
    </row>
    <row r="11" spans="1:31" ht="18.600000000000001" customHeight="1" x14ac:dyDescent="0.25">
      <c r="B11" s="180"/>
      <c r="C11" s="253"/>
      <c r="D11" s="7"/>
      <c r="E11" s="6" t="s">
        <v>1280</v>
      </c>
      <c r="F11" s="35"/>
      <c r="G11" s="198" t="s">
        <v>1281</v>
      </c>
      <c r="H11" s="200"/>
      <c r="I11" s="192"/>
      <c r="J11" s="192"/>
      <c r="K11" s="192"/>
      <c r="L11" s="192"/>
      <c r="M11" s="192"/>
      <c r="N11" s="192"/>
      <c r="O11" s="194"/>
      <c r="P11"/>
      <c r="Q11" s="1347" t="s">
        <v>1221</v>
      </c>
      <c r="R11" s="1347"/>
      <c r="S11" s="181"/>
      <c r="T11" s="5"/>
    </row>
    <row r="12" spans="1:31" ht="21" customHeight="1" x14ac:dyDescent="0.25">
      <c r="B12" s="180"/>
      <c r="C12" s="253"/>
      <c r="D12" s="723" t="s">
        <v>689</v>
      </c>
      <c r="E12" s="724">
        <f>IFERROR('PIM Model'!$G$31,0)</f>
        <v>0</v>
      </c>
      <c r="F12" s="36"/>
      <c r="G12" s="725">
        <f>IFERROR(E12/'PIM Model'!$H$31,0)</f>
        <v>0</v>
      </c>
      <c r="H12" s="554"/>
      <c r="I12" s="555"/>
      <c r="J12" s="555"/>
      <c r="K12" s="555"/>
      <c r="L12" s="555"/>
      <c r="M12" s="555"/>
      <c r="N12" s="556" t="str">
        <f>IF(AND(Welcome!D8="CIA",E12&lt;150000),"Spend",IF(AND(OR(Welcome!D8="MDA",Welcome!D8="PON Only",Welcome!D8="PON with Existing CIA",Welcome!D8="PON with New CIA"),E12&lt;250000),"Spend",IF(E12&gt;2500000,"Spend Maximum Exceeded. Go to Custom","Approve")))</f>
        <v>Approve</v>
      </c>
      <c r="O12" s="557"/>
      <c r="P12"/>
      <c r="Q12" s="886"/>
      <c r="R12" s="887"/>
      <c r="S12" s="181"/>
      <c r="T12" s="5"/>
    </row>
    <row r="13" spans="1:31" ht="21" customHeight="1" x14ac:dyDescent="0.25">
      <c r="B13" s="180"/>
      <c r="C13" s="253"/>
      <c r="D13" s="8" t="s">
        <v>491</v>
      </c>
      <c r="E13" s="12">
        <f>IFERROR('PIM Model'!$I$34,0)</f>
        <v>0</v>
      </c>
      <c r="F13" s="36"/>
      <c r="G13" s="553">
        <f>IFERROR(E13/'PIM Model'!$H$31,0)</f>
        <v>0</v>
      </c>
      <c r="H13" s="554"/>
      <c r="I13" s="555"/>
      <c r="J13" s="561"/>
      <c r="K13" s="555"/>
      <c r="L13" s="555"/>
      <c r="M13" s="555"/>
      <c r="N13" s="558" t="str">
        <f>IF(E13&gt;0,IF(N17=0,IF(X1="FALSE","Approve","Reject"),"Reject"),"")</f>
        <v/>
      </c>
      <c r="O13" s="557"/>
      <c r="P13"/>
      <c r="Q13" s="886"/>
      <c r="R13" s="887"/>
      <c r="S13" s="181"/>
      <c r="T13" s="5"/>
    </row>
    <row r="14" spans="1:31" ht="7.15" customHeight="1" x14ac:dyDescent="0.25">
      <c r="B14" s="180"/>
      <c r="C14" s="253"/>
      <c r="D14" s="726"/>
      <c r="E14" s="727"/>
      <c r="F14" s="727"/>
      <c r="G14" s="720"/>
      <c r="H14" s="720"/>
      <c r="I14" s="721"/>
      <c r="J14" s="561"/>
      <c r="K14" s="555"/>
      <c r="L14" s="555"/>
      <c r="M14" s="555"/>
      <c r="N14" s="722"/>
      <c r="O14" s="557"/>
      <c r="P14"/>
      <c r="Q14" s="819"/>
      <c r="R14" s="816"/>
      <c r="S14" s="181"/>
      <c r="T14" s="5"/>
    </row>
    <row r="15" spans="1:31" ht="21" customHeight="1" x14ac:dyDescent="0.25">
      <c r="B15" s="180"/>
      <c r="C15" s="253"/>
      <c r="D15" s="726"/>
      <c r="E15" s="6" t="s">
        <v>1280</v>
      </c>
      <c r="F15" s="35"/>
      <c r="G15" s="126" t="s">
        <v>1281</v>
      </c>
      <c r="H15" s="559"/>
      <c r="I15" s="198" t="s">
        <v>888</v>
      </c>
      <c r="J15" s="561"/>
      <c r="K15" s="555"/>
      <c r="L15" s="555"/>
      <c r="M15" s="555"/>
      <c r="N15" s="722"/>
      <c r="O15" s="557"/>
      <c r="P15"/>
      <c r="Q15" s="819"/>
      <c r="R15" s="816"/>
      <c r="S15" s="181"/>
      <c r="T15" s="5"/>
      <c r="AE15" s="5" t="e">
        <f>#REF!&gt;ROUNDUP((((VLOOKUP('Variable Selling'!$A$2,'CC MARKET EXPENSE'!$A:$D,4,0))*100)*50/100)/0.25,0)*0.25/100</f>
        <v>#REF!</v>
      </c>
    </row>
    <row r="16" spans="1:31" ht="24" customHeight="1" x14ac:dyDescent="0.25">
      <c r="B16" s="180"/>
      <c r="C16" s="253"/>
      <c r="D16" s="16" t="s">
        <v>1050</v>
      </c>
      <c r="E16" s="728">
        <v>0</v>
      </c>
      <c r="F16" s="125"/>
      <c r="G16" s="721"/>
      <c r="H16" s="720"/>
      <c r="I16" s="721"/>
      <c r="J16" s="561"/>
      <c r="K16" s="555"/>
      <c r="L16" s="555"/>
      <c r="M16" s="555"/>
      <c r="N16" s="722"/>
      <c r="O16" s="557"/>
      <c r="P16"/>
      <c r="Q16" s="819"/>
      <c r="R16" s="816"/>
      <c r="S16" s="181"/>
      <c r="T16" s="5"/>
    </row>
    <row r="17" spans="2:20" ht="24" customHeight="1" x14ac:dyDescent="0.25">
      <c r="B17" s="180"/>
      <c r="C17" s="253"/>
      <c r="D17" s="16" t="s">
        <v>1368</v>
      </c>
      <c r="E17" s="12">
        <f>IFERROR('EB_CM (Back)'!$G$47*-1,0)-E16</f>
        <v>0</v>
      </c>
      <c r="F17" s="36"/>
      <c r="G17" s="553">
        <f>IFERROR(E17/'PIM Model'!$H$31,0)</f>
        <v>0</v>
      </c>
      <c r="H17" s="559"/>
      <c r="I17" s="562">
        <f>IFERROR(E17/E12,0)</f>
        <v>0</v>
      </c>
      <c r="J17" s="561"/>
      <c r="K17" s="555"/>
      <c r="L17" s="555"/>
      <c r="M17" s="555"/>
      <c r="N17" s="888">
        <f>COUNTIF('PIM Model'!$AB$10:$AB$30,"ERROR")+COUNTIFS('PIM Model'!$AF$10:$AJ$30,"BELOW")</f>
        <v>0</v>
      </c>
      <c r="O17" s="560"/>
      <c r="P17"/>
      <c r="Q17" s="819"/>
      <c r="R17" s="816"/>
      <c r="S17" s="181"/>
      <c r="T17" s="5"/>
    </row>
    <row r="18" spans="2:20" ht="13.15" customHeight="1" x14ac:dyDescent="0.25">
      <c r="B18" s="180"/>
      <c r="C18" s="253"/>
      <c r="D18" s="192"/>
      <c r="E18" s="192"/>
      <c r="F18" s="192"/>
      <c r="G18" s="192"/>
      <c r="H18" s="559"/>
      <c r="I18" s="561"/>
      <c r="J18" s="561"/>
      <c r="K18" s="555"/>
      <c r="L18" s="555"/>
      <c r="M18" s="555"/>
      <c r="N18" s="561"/>
      <c r="O18" s="560"/>
      <c r="P18"/>
      <c r="Q18" s="819"/>
      <c r="R18" s="816"/>
      <c r="S18" s="181"/>
      <c r="T18" s="5"/>
    </row>
    <row r="19" spans="2:20" ht="21.6" customHeight="1" x14ac:dyDescent="0.25">
      <c r="B19" s="180"/>
      <c r="C19" s="253"/>
      <c r="D19" s="192"/>
      <c r="E19" s="6" t="s">
        <v>1280</v>
      </c>
      <c r="F19" s="35"/>
      <c r="G19" s="198" t="s">
        <v>1281</v>
      </c>
      <c r="H19" s="559"/>
      <c r="I19" s="198" t="s">
        <v>888</v>
      </c>
      <c r="J19" s="561"/>
      <c r="K19" s="555"/>
      <c r="L19" s="555"/>
      <c r="M19" s="555"/>
      <c r="N19" s="561"/>
      <c r="O19" s="560"/>
      <c r="P19"/>
      <c r="Q19" s="819"/>
      <c r="R19" s="816"/>
      <c r="S19" s="181"/>
      <c r="T19" s="5"/>
    </row>
    <row r="20" spans="2:20" ht="21.6" customHeight="1" x14ac:dyDescent="0.25">
      <c r="B20" s="180"/>
      <c r="C20" s="253"/>
      <c r="D20" s="8" t="s">
        <v>951</v>
      </c>
      <c r="E20" s="12">
        <f>E13+E17</f>
        <v>0</v>
      </c>
      <c r="F20" s="36"/>
      <c r="G20" s="553">
        <f>IFERROR(E20/'PIM Model'!$H$31,0)</f>
        <v>0</v>
      </c>
      <c r="H20" s="559"/>
      <c r="I20" s="562">
        <f>IFERROR(E20/E12,0)</f>
        <v>0</v>
      </c>
      <c r="J20" s="561"/>
      <c r="K20" s="555"/>
      <c r="L20" s="555"/>
      <c r="M20" s="555"/>
      <c r="N20" s="561"/>
      <c r="O20" s="560"/>
      <c r="P20"/>
      <c r="Q20" s="819"/>
      <c r="R20" s="816"/>
      <c r="S20" s="181"/>
      <c r="T20" s="5"/>
    </row>
    <row r="21" spans="2:20" x14ac:dyDescent="0.25">
      <c r="B21" s="180"/>
      <c r="C21" s="253"/>
      <c r="D21" s="7"/>
      <c r="E21" s="559"/>
      <c r="F21" s="559"/>
      <c r="G21" s="559"/>
      <c r="H21" s="559"/>
      <c r="I21" s="561"/>
      <c r="J21" s="561"/>
      <c r="K21" s="555"/>
      <c r="L21" s="555"/>
      <c r="M21" s="555"/>
      <c r="N21" s="561"/>
      <c r="O21" s="560"/>
      <c r="P21"/>
      <c r="Q21" s="1342" t="s">
        <v>1221</v>
      </c>
      <c r="R21" s="1343"/>
      <c r="S21" s="181"/>
      <c r="T21" s="5"/>
    </row>
    <row r="22" spans="2:20" ht="24" customHeight="1" x14ac:dyDescent="0.25">
      <c r="B22" s="180"/>
      <c r="C22" s="253"/>
      <c r="D22" s="16" t="s">
        <v>1369</v>
      </c>
      <c r="E22" s="12">
        <f>IFERROR(#REF!*-1,0)</f>
        <v>0</v>
      </c>
      <c r="F22" s="563" t="e">
        <f>#REF!</f>
        <v>#REF!</v>
      </c>
      <c r="G22" s="553">
        <f>IFERROR(E22/'PIM Model'!$H$31,0)</f>
        <v>0</v>
      </c>
      <c r="H22" s="554"/>
      <c r="I22" s="711" t="e">
        <f>IF(#REF!&gt;0,"**Missing Incentive Payment Method**","")</f>
        <v>#REF!</v>
      </c>
      <c r="J22" s="711"/>
      <c r="K22" s="711"/>
      <c r="L22" s="711"/>
      <c r="M22" s="711"/>
      <c r="N22" s="528" t="str">
        <f>IF(M22="Yes","Approve",IF(E22=0,"",IF(AND(#REF!="YES",Welcome!D14="NO"),"Reject",IF(F22&gt;0.05,"Reject",IF(#REF!&gt;ROUNDUP((((VLOOKUP('Variable Selling'!$A$2,'CC MARKET EXPENSE'!$A:$D,4,0))*100)*50/100)/0.25,0)*0.25/100,"Reject",IF(#REF!&gt;=10000,"Caution",IF(#REF!+O78&gt;=10000,"Caution","Approve")))))))</f>
        <v/>
      </c>
      <c r="O22" s="564"/>
      <c r="P22"/>
      <c r="Q22" s="824"/>
      <c r="R22" s="825"/>
      <c r="S22" s="181"/>
      <c r="T22" s="5"/>
    </row>
    <row r="23" spans="2:20" ht="21.6" customHeight="1" x14ac:dyDescent="0.25">
      <c r="B23" s="180"/>
      <c r="C23" s="253"/>
      <c r="D23" s="8" t="s">
        <v>1370</v>
      </c>
      <c r="E23" s="12">
        <f>E20+E22</f>
        <v>0</v>
      </c>
      <c r="F23" s="36"/>
      <c r="G23" s="553">
        <f>IFERROR(E23/'PIM Model'!$H$31,0)</f>
        <v>0</v>
      </c>
      <c r="H23" s="554"/>
      <c r="I23" s="192"/>
      <c r="J23" s="192"/>
      <c r="K23" s="192"/>
      <c r="L23" s="192"/>
      <c r="M23" s="192"/>
      <c r="N23" s="192"/>
      <c r="O23" s="194"/>
      <c r="P23"/>
      <c r="Q23" s="819"/>
      <c r="R23" s="816"/>
      <c r="S23" s="181"/>
      <c r="T23" s="5"/>
    </row>
    <row r="24" spans="2:20" ht="11.45" customHeight="1" x14ac:dyDescent="0.25">
      <c r="B24" s="180"/>
      <c r="C24" s="253"/>
      <c r="D24" s="7"/>
      <c r="E24" s="559"/>
      <c r="F24" s="559"/>
      <c r="G24" s="565"/>
      <c r="H24" s="565"/>
      <c r="I24" s="192"/>
      <c r="J24" s="192"/>
      <c r="K24" s="192"/>
      <c r="L24" s="192"/>
      <c r="M24" s="192"/>
      <c r="N24" s="192"/>
      <c r="O24" s="194"/>
      <c r="P24"/>
      <c r="Q24" s="819"/>
      <c r="R24" s="816"/>
      <c r="S24" s="181"/>
      <c r="T24" s="5"/>
    </row>
    <row r="25" spans="2:20" ht="21.6" customHeight="1" x14ac:dyDescent="0.25">
      <c r="B25" s="180"/>
      <c r="C25" s="253"/>
      <c r="D25" s="16" t="s">
        <v>1371</v>
      </c>
      <c r="E25" s="13">
        <f>IFERROR('Variable Costs &amp; Income'!$E$11*-1,0)</f>
        <v>0</v>
      </c>
      <c r="F25" s="37"/>
      <c r="G25" s="566">
        <f>IFERROR(E25/'PIM Model'!$H$31,0)</f>
        <v>0</v>
      </c>
      <c r="H25" s="64"/>
      <c r="I25" s="567"/>
      <c r="J25" s="567"/>
      <c r="K25" s="567"/>
      <c r="L25" s="567"/>
      <c r="M25" s="567"/>
      <c r="N25" s="567"/>
      <c r="O25" s="194"/>
      <c r="P25"/>
      <c r="Q25" s="819"/>
      <c r="R25" s="816"/>
      <c r="S25" s="181"/>
      <c r="T25" s="5"/>
    </row>
    <row r="26" spans="2:20" ht="21.6" customHeight="1" x14ac:dyDescent="0.25">
      <c r="B26" s="180"/>
      <c r="C26" s="253"/>
      <c r="D26" s="16" t="s">
        <v>1173</v>
      </c>
      <c r="E26" s="13" t="e">
        <f>IF(AND(Welcome!D16="YES",#REF!="YES"),0,IF(AND(Welcome!D16="YES",#REF!="No"),E12*(VLOOKUP('Variable Selling'!$A$2,'CC MARKET EXPENSE'!$A:$D,4,0)),0))*-1</f>
        <v>#REF!</v>
      </c>
      <c r="F26" s="37"/>
      <c r="G26" s="566">
        <f>IFERROR(E26/'PIM Model'!$H$31,0)</f>
        <v>0</v>
      </c>
      <c r="H26" s="64"/>
      <c r="I26" s="567"/>
      <c r="J26" s="567"/>
      <c r="K26" s="567"/>
      <c r="L26" s="567"/>
      <c r="M26" s="567"/>
      <c r="N26" s="567"/>
      <c r="O26" s="194"/>
      <c r="P26"/>
      <c r="Q26" s="819"/>
      <c r="R26" s="816"/>
      <c r="S26" s="181"/>
      <c r="T26" s="5"/>
    </row>
    <row r="27" spans="2:20" ht="21.6" customHeight="1" x14ac:dyDescent="0.25">
      <c r="B27" s="180"/>
      <c r="C27" s="253"/>
      <c r="D27" s="16" t="s">
        <v>1283</v>
      </c>
      <c r="E27" s="13">
        <f>IFERROR('Variable Costs &amp; Income'!$E$15*-1,0)</f>
        <v>0</v>
      </c>
      <c r="F27" s="37"/>
      <c r="G27" s="566">
        <f>IFERROR(E27/'PIM Model'!$H$31,0)</f>
        <v>0</v>
      </c>
      <c r="H27" s="64"/>
      <c r="I27" s="567"/>
      <c r="J27" s="567"/>
      <c r="K27" s="567"/>
      <c r="L27" s="567"/>
      <c r="M27" s="567"/>
      <c r="N27" s="567"/>
      <c r="O27" s="194"/>
      <c r="P27"/>
      <c r="Q27" s="819"/>
      <c r="R27" s="816"/>
      <c r="S27" s="181"/>
      <c r="T27" s="5"/>
    </row>
    <row r="28" spans="2:20" ht="21" customHeight="1" x14ac:dyDescent="0.25">
      <c r="B28" s="180"/>
      <c r="C28" s="253"/>
      <c r="D28" s="16" t="s">
        <v>1285</v>
      </c>
      <c r="E28" s="13">
        <f>IFERROR('Variable Costs &amp; Income'!$E$17*-1,0)</f>
        <v>0</v>
      </c>
      <c r="F28" s="37"/>
      <c r="G28" s="566">
        <f>IFERROR(E28/'PIM Model'!$H$31,0)</f>
        <v>0</v>
      </c>
      <c r="H28" s="64"/>
      <c r="I28" s="567"/>
      <c r="J28" s="567"/>
      <c r="K28" s="567"/>
      <c r="L28" s="567"/>
      <c r="M28" s="567"/>
      <c r="N28" s="567"/>
      <c r="O28" s="194"/>
      <c r="P28"/>
      <c r="Q28" s="819"/>
      <c r="R28" s="816"/>
      <c r="S28" s="181"/>
      <c r="T28" s="5"/>
    </row>
    <row r="29" spans="2:20" ht="23.45" customHeight="1" x14ac:dyDescent="0.25">
      <c r="B29" s="180"/>
      <c r="C29" s="253"/>
      <c r="D29" s="7"/>
      <c r="E29" s="559"/>
      <c r="F29" s="559"/>
      <c r="G29" s="565"/>
      <c r="H29" s="565"/>
      <c r="I29" s="192"/>
      <c r="J29" s="192"/>
      <c r="K29" s="192"/>
      <c r="L29" s="192"/>
      <c r="M29" s="192"/>
      <c r="N29" s="192"/>
      <c r="O29" s="194"/>
      <c r="P29"/>
      <c r="Q29" s="819"/>
      <c r="R29" s="816"/>
      <c r="S29" s="181"/>
      <c r="T29" s="5"/>
    </row>
    <row r="30" spans="2:20" ht="23.45" customHeight="1" x14ac:dyDescent="0.25">
      <c r="B30" s="180"/>
      <c r="C30" s="253"/>
      <c r="D30" s="17" t="s">
        <v>221</v>
      </c>
      <c r="E30" s="12">
        <f>IFERROR('Variable Costs &amp; Income'!$E$29,0)</f>
        <v>0</v>
      </c>
      <c r="F30" s="36"/>
      <c r="G30" s="553">
        <f>IFERROR(E30/'PIM Model'!$H$31,0)</f>
        <v>0</v>
      </c>
      <c r="H30" s="554"/>
      <c r="I30" s="192"/>
      <c r="J30" s="192"/>
      <c r="K30" s="192"/>
      <c r="L30" s="192"/>
      <c r="M30" s="192"/>
      <c r="N30" s="192"/>
      <c r="O30" s="194"/>
      <c r="P30"/>
      <c r="Q30" s="819"/>
      <c r="R30" s="816"/>
      <c r="S30" s="181"/>
      <c r="T30" s="5"/>
    </row>
    <row r="31" spans="2:20" ht="21" customHeight="1" x14ac:dyDescent="0.25">
      <c r="B31" s="180"/>
      <c r="C31" s="253"/>
      <c r="D31" s="17" t="s">
        <v>220</v>
      </c>
      <c r="E31" s="12">
        <f>'Variable Costs &amp; Income'!$E$30</f>
        <v>0</v>
      </c>
      <c r="F31" s="36"/>
      <c r="G31" s="553">
        <f>IFERROR(E31/'PIM Model'!$H$31,0)</f>
        <v>0</v>
      </c>
      <c r="H31" s="554"/>
      <c r="I31" s="192"/>
      <c r="J31" s="192"/>
      <c r="K31" s="192"/>
      <c r="L31" s="192"/>
      <c r="M31" s="192"/>
      <c r="N31" s="192"/>
      <c r="O31" s="194"/>
      <c r="P31"/>
      <c r="Q31" s="819"/>
      <c r="R31" s="816"/>
      <c r="S31" s="181"/>
      <c r="T31" s="5"/>
    </row>
    <row r="32" spans="2:20" ht="30.75" customHeight="1" x14ac:dyDescent="0.25">
      <c r="B32" s="180"/>
      <c r="C32" s="253"/>
      <c r="D32" s="1346" t="s">
        <v>230</v>
      </c>
      <c r="E32" s="1346"/>
      <c r="F32" s="1346"/>
      <c r="G32" s="1346"/>
      <c r="H32" s="568"/>
      <c r="I32" s="1345" t="str">
        <f>IF($I$33=0,IF($N$33=0,"","Customer EB % Missing"),IF($N$33=0,"Customer Drops/Wk Missing","Customer EB % &amp; Drops/Wk Missing"))</f>
        <v>Customer Drops/Wk Missing</v>
      </c>
      <c r="J32" s="1345"/>
      <c r="K32" s="1345"/>
      <c r="L32" s="1345"/>
      <c r="M32" s="1345"/>
      <c r="N32" s="1345"/>
      <c r="O32" s="194"/>
      <c r="P32"/>
      <c r="Q32" s="819"/>
      <c r="R32" s="816"/>
      <c r="S32" s="181"/>
      <c r="T32" s="5"/>
    </row>
    <row r="33" spans="2:20" ht="36.75" customHeight="1" x14ac:dyDescent="0.25">
      <c r="B33" s="180"/>
      <c r="C33" s="253"/>
      <c r="D33" s="7"/>
      <c r="E33" s="958" t="s">
        <v>1280</v>
      </c>
      <c r="F33" s="559"/>
      <c r="G33" s="959" t="s">
        <v>1281</v>
      </c>
      <c r="H33" s="732" t="e">
        <f>I33+N33</f>
        <v>#VALUE!</v>
      </c>
      <c r="I33" s="959" t="s">
        <v>888</v>
      </c>
      <c r="J33" s="192"/>
      <c r="K33" s="959" t="s">
        <v>1373</v>
      </c>
      <c r="L33" s="192"/>
      <c r="M33" s="960" t="s">
        <v>1374</v>
      </c>
      <c r="N33" s="529">
        <f>'Customer Inputs'!$AA$16</f>
        <v>0</v>
      </c>
      <c r="O33" s="194"/>
      <c r="P33"/>
      <c r="Q33" s="979"/>
      <c r="R33" s="978"/>
      <c r="S33" s="181"/>
      <c r="T33" s="5"/>
    </row>
    <row r="34" spans="2:20" ht="24" customHeight="1" x14ac:dyDescent="0.25">
      <c r="B34" s="180"/>
      <c r="C34" s="253"/>
      <c r="D34" s="8" t="s">
        <v>1372</v>
      </c>
      <c r="E34" s="12" t="str">
        <f>IFERROR(E23+E25+E27+E28+E30+E31+E26,"")</f>
        <v/>
      </c>
      <c r="F34" s="36"/>
      <c r="G34" s="553">
        <f>IFERROR(E34/'PIM Model'!$H$31,0)</f>
        <v>0</v>
      </c>
      <c r="H34" s="569">
        <f>'EB_CM (Back)'!$C$26-'EB_CM (Back)'!$C$27</f>
        <v>0.08</v>
      </c>
      <c r="I34" s="562">
        <f>IFERROR($E$34/'PIM Model'!$G$31,0)</f>
        <v>0</v>
      </c>
      <c r="J34" s="192"/>
      <c r="K34" s="1045">
        <f>IFERROR(E34/($E$7*Welcome!$D$14*52),0)</f>
        <v>0</v>
      </c>
      <c r="L34" s="192"/>
      <c r="M34" s="1045">
        <f>IFERROR(E34/(Welcome!$D$14*52),0)</f>
        <v>0</v>
      </c>
      <c r="N34" s="529">
        <f>'Customer Inputs'!$AA$16</f>
        <v>0</v>
      </c>
      <c r="O34" s="194"/>
      <c r="P34"/>
      <c r="Q34" s="979"/>
      <c r="R34" s="978"/>
      <c r="S34" s="181"/>
      <c r="T34" s="5"/>
    </row>
    <row r="35" spans="2:20" s="957" customFormat="1" ht="24" customHeight="1" x14ac:dyDescent="0.25">
      <c r="B35" s="180"/>
      <c r="C35" s="253"/>
      <c r="D35" s="7"/>
      <c r="E35" s="559"/>
      <c r="F35" s="559"/>
      <c r="G35" s="565"/>
      <c r="H35" s="565"/>
      <c r="I35" s="192"/>
      <c r="J35" s="192"/>
      <c r="K35" s="192"/>
      <c r="L35" s="192"/>
      <c r="M35" s="192"/>
      <c r="N35" s="192"/>
      <c r="O35" s="194"/>
      <c r="P35" s="956"/>
      <c r="Q35" s="962"/>
      <c r="R35" s="962"/>
      <c r="S35" s="181"/>
    </row>
    <row r="36" spans="2:20" s="957" customFormat="1" ht="24" customHeight="1" x14ac:dyDescent="0.25">
      <c r="B36" s="180"/>
      <c r="C36" s="253"/>
      <c r="D36" s="8" t="s">
        <v>1375</v>
      </c>
      <c r="E36" s="12">
        <f>IFERROR('Customer Inputs'!BC16,0)</f>
        <v>0</v>
      </c>
      <c r="F36" s="961"/>
      <c r="G36" s="553">
        <f>IFERROR(E36/'PIM Model'!$H$31,0)</f>
        <v>0</v>
      </c>
      <c r="H36" s="569"/>
      <c r="I36" s="192"/>
      <c r="J36" s="192"/>
      <c r="K36" s="192"/>
      <c r="L36" s="192"/>
      <c r="M36" s="192"/>
      <c r="N36" s="192"/>
      <c r="O36" s="194"/>
      <c r="P36" s="956"/>
      <c r="Q36" s="962"/>
      <c r="R36" s="962"/>
      <c r="S36" s="181"/>
    </row>
    <row r="37" spans="2:20" s="957" customFormat="1" ht="24" customHeight="1" x14ac:dyDescent="0.25">
      <c r="B37" s="180"/>
      <c r="C37" s="253"/>
      <c r="D37" s="7"/>
      <c r="E37" s="559"/>
      <c r="F37" s="559"/>
      <c r="G37" s="565"/>
      <c r="H37" s="565"/>
      <c r="I37" s="192"/>
      <c r="J37" s="192"/>
      <c r="K37" s="192"/>
      <c r="L37" s="192"/>
      <c r="M37" s="192"/>
      <c r="N37" s="192"/>
      <c r="O37" s="194"/>
      <c r="P37" s="956"/>
      <c r="Q37" s="1342" t="s">
        <v>1221</v>
      </c>
      <c r="R37" s="1343"/>
      <c r="S37" s="181"/>
    </row>
    <row r="38" spans="2:20" s="957" customFormat="1" ht="24" customHeight="1" x14ac:dyDescent="0.25">
      <c r="B38" s="180"/>
      <c r="C38" s="253"/>
      <c r="D38" s="8" t="s">
        <v>1376</v>
      </c>
      <c r="E38" s="12">
        <f>IFERROR(E34-E36,0)</f>
        <v>0</v>
      </c>
      <c r="F38" s="961"/>
      <c r="G38" s="553">
        <f>IFERROR(E38/'PIM Model'!$H$31,0)</f>
        <v>0</v>
      </c>
      <c r="H38" s="569">
        <f>'EB_CM (Back)'!$C$26-'EB_CM (Back)'!$C$27</f>
        <v>0.08</v>
      </c>
      <c r="I38" s="562">
        <f>IFERROR($E$38/'PIM Model'!$G$31,0)</f>
        <v>0</v>
      </c>
      <c r="J38" s="192"/>
      <c r="K38" s="1045">
        <f>IFERROR(E38/($E$7*Welcome!$D$14*52),0)</f>
        <v>0</v>
      </c>
      <c r="L38" s="192"/>
      <c r="M38" s="1045">
        <f>IFERROR(E38/(Welcome!$D$14*52),0)</f>
        <v>0</v>
      </c>
      <c r="N38" s="570" t="str">
        <f>IFERROR(IF($Q$38="Yes","Approve",IF(H38&gt;0,"Reject","Approve")),"Reject")</f>
        <v>Reject</v>
      </c>
      <c r="O38" s="194"/>
      <c r="P38" s="956"/>
      <c r="Q38" s="824"/>
      <c r="R38" s="825"/>
      <c r="S38" s="181"/>
    </row>
    <row r="39" spans="2:20" ht="24.6" customHeight="1" x14ac:dyDescent="0.25">
      <c r="B39" s="180"/>
      <c r="C39" s="255"/>
      <c r="D39" s="571"/>
      <c r="E39" s="572"/>
      <c r="F39" s="572"/>
      <c r="G39" s="209"/>
      <c r="H39" s="572"/>
      <c r="I39" s="241"/>
      <c r="J39" s="241"/>
      <c r="K39" s="241"/>
      <c r="L39" s="241"/>
      <c r="M39" s="241"/>
      <c r="N39" s="241"/>
      <c r="O39" s="212"/>
      <c r="P39"/>
      <c r="Q39" s="819"/>
      <c r="R39" s="816"/>
      <c r="S39" s="181"/>
      <c r="T39" s="5"/>
    </row>
    <row r="40" spans="2:20" ht="41.25" customHeight="1" thickBot="1" x14ac:dyDescent="0.3">
      <c r="B40" s="664"/>
      <c r="C40" s="673"/>
      <c r="D40" s="674"/>
      <c r="E40" s="675"/>
      <c r="F40" s="675"/>
      <c r="G40" s="676"/>
      <c r="H40" s="675"/>
      <c r="I40" s="673"/>
      <c r="J40" s="673"/>
      <c r="K40" s="673"/>
      <c r="L40" s="673"/>
      <c r="M40" s="673"/>
      <c r="N40" s="673"/>
      <c r="O40" s="673"/>
      <c r="P40" s="673"/>
      <c r="Q40" s="676"/>
      <c r="R40" s="673"/>
      <c r="S40" s="665"/>
    </row>
    <row r="41" spans="2:20" ht="40.5" customHeight="1" x14ac:dyDescent="0.25">
      <c r="B41" s="1344"/>
      <c r="C41" s="1344"/>
      <c r="D41" s="1344"/>
      <c r="N41" s="1285"/>
      <c r="O41" s="1285"/>
      <c r="P41" s="1285"/>
      <c r="Q41" s="1285"/>
      <c r="R41" s="1285"/>
      <c r="S41" s="1285"/>
    </row>
    <row r="42" spans="2:20" x14ac:dyDescent="0.25">
      <c r="S42" s="575"/>
    </row>
  </sheetData>
  <sheetProtection algorithmName="SHA-512" hashValue="NkTE8tYFdlJVEvbWAaKxJXVJsAMV0KW0ak9BxmnfwSsnnIMSMLWTHsVJTmsT/jVgS7VX8D5a75AOMET+o6gmkA==" saltValue="JAxudWtiU2MQ5xHgZ4SL+w==" spinCount="100000" sheet="1" selectLockedCells="1"/>
  <mergeCells count="17">
    <mergeCell ref="H4:J4"/>
    <mergeCell ref="H5:J5"/>
    <mergeCell ref="H6:J6"/>
    <mergeCell ref="H7:J7"/>
    <mergeCell ref="C4:D4"/>
    <mergeCell ref="C5:D5"/>
    <mergeCell ref="C6:D6"/>
    <mergeCell ref="H8:J8"/>
    <mergeCell ref="Q37:R37"/>
    <mergeCell ref="C7:D7"/>
    <mergeCell ref="C8:D8"/>
    <mergeCell ref="B41:D41"/>
    <mergeCell ref="N41:S41"/>
    <mergeCell ref="I32:N32"/>
    <mergeCell ref="D32:G32"/>
    <mergeCell ref="Q21:R21"/>
    <mergeCell ref="Q11:R11"/>
  </mergeCells>
  <conditionalFormatting sqref="I25:M28">
    <cfRule type="containsText" dxfId="99" priority="74" operator="containsText" text="Below Average">
      <formula>NOT(ISERROR(SEARCH("Below Average",I25)))</formula>
    </cfRule>
  </conditionalFormatting>
  <conditionalFormatting sqref="N12">
    <cfRule type="expression" dxfId="98" priority="49">
      <formula>$Q$12="yes"</formula>
    </cfRule>
    <cfRule type="containsText" dxfId="97" priority="65" operator="containsText" text="Spend">
      <formula>NOT(ISERROR(SEARCH("Spend",N12)))</formula>
    </cfRule>
    <cfRule type="containsText" dxfId="96" priority="69" operator="containsText" text="Approve">
      <formula>NOT(ISERROR(SEARCH("Approve",N12)))</formula>
    </cfRule>
  </conditionalFormatting>
  <conditionalFormatting sqref="N13:N16">
    <cfRule type="containsText" dxfId="95" priority="64" operator="containsText" text="Reject">
      <formula>NOT(ISERROR(SEARCH("Reject",N13)))</formula>
    </cfRule>
    <cfRule type="containsText" dxfId="94" priority="68" operator="containsText" text="Approve">
      <formula>NOT(ISERROR(SEARCH("Approve",N13)))</formula>
    </cfRule>
  </conditionalFormatting>
  <conditionalFormatting sqref="H34 H36 H38">
    <cfRule type="expression" dxfId="93" priority="130">
      <formula>#REF!="Approve"</formula>
    </cfRule>
  </conditionalFormatting>
  <conditionalFormatting sqref="E16">
    <cfRule type="cellIs" dxfId="92" priority="61" operator="notEqual">
      <formula>0</formula>
    </cfRule>
  </conditionalFormatting>
  <conditionalFormatting sqref="Q37:R38">
    <cfRule type="expression" dxfId="91" priority="55">
      <formula>H40&lt;0</formula>
    </cfRule>
  </conditionalFormatting>
  <conditionalFormatting sqref="N13">
    <cfRule type="expression" dxfId="90" priority="46">
      <formula>$Q$13="Yes"</formula>
    </cfRule>
  </conditionalFormatting>
  <conditionalFormatting sqref="Q11:R11">
    <cfRule type="expression" dxfId="89" priority="40">
      <formula>OR($N$13="Reject",$N$13="")</formula>
    </cfRule>
    <cfRule type="expression" dxfId="88" priority="43">
      <formula>$N$12="Spend"</formula>
    </cfRule>
  </conditionalFormatting>
  <conditionalFormatting sqref="Q12:R12">
    <cfRule type="expression" dxfId="87" priority="42">
      <formula>$N$12="spend"</formula>
    </cfRule>
  </conditionalFormatting>
  <conditionalFormatting sqref="Q13:R13">
    <cfRule type="expression" dxfId="86" priority="41">
      <formula>OR($N$13="Reject",$N$13="")</formula>
    </cfRule>
  </conditionalFormatting>
  <conditionalFormatting sqref="R22">
    <cfRule type="containsText" dxfId="85" priority="35" operator="containsText" text="Caution">
      <formula>NOT(ISERROR(SEARCH("Caution",R22)))</formula>
    </cfRule>
  </conditionalFormatting>
  <conditionalFormatting sqref="N22">
    <cfRule type="expression" dxfId="84" priority="24" stopIfTrue="1">
      <formula>$Q$22="Yes"</formula>
    </cfRule>
    <cfRule type="expression" dxfId="83" priority="26">
      <formula>$I$22="**Missing Incentive Payment Method**"</formula>
    </cfRule>
    <cfRule type="containsText" dxfId="82" priority="27" operator="containsText" text="Reject">
      <formula>NOT(ISERROR(SEARCH("Reject",N22)))</formula>
    </cfRule>
    <cfRule type="containsText" dxfId="81" priority="28" operator="containsText" text="Caution">
      <formula>NOT(ISERROR(SEARCH("Caution",N22)))</formula>
    </cfRule>
    <cfRule type="expression" dxfId="80" priority="29">
      <formula>$N$22="Approve"</formula>
    </cfRule>
  </conditionalFormatting>
  <conditionalFormatting sqref="Q21:R21">
    <cfRule type="expression" dxfId="79" priority="10">
      <formula>$U$1=""</formula>
    </cfRule>
    <cfRule type="expression" dxfId="78" priority="11">
      <formula>$U$1="Caution"</formula>
    </cfRule>
    <cfRule type="expression" dxfId="77" priority="12">
      <formula>$U$1="Reject"</formula>
    </cfRule>
    <cfRule type="expression" dxfId="76" priority="13">
      <formula>AND($Q$22&lt;&gt;"Yes",$U$1="Approve")</formula>
    </cfRule>
    <cfRule type="expression" dxfId="75" priority="14">
      <formula>AND($Q$22="Yes",$U$1="Approve")</formula>
    </cfRule>
  </conditionalFormatting>
  <conditionalFormatting sqref="Q22:R22">
    <cfRule type="expression" dxfId="74" priority="5">
      <formula>$U$1=""</formula>
    </cfRule>
    <cfRule type="expression" dxfId="73" priority="6">
      <formula>$U$1="Caution"</formula>
    </cfRule>
    <cfRule type="expression" dxfId="72" priority="7">
      <formula>$U$1="Reject"</formula>
    </cfRule>
    <cfRule type="expression" dxfId="71" priority="8">
      <formula>AND($Q$22&lt;&gt;"Yes",$U$1="Approve")</formula>
    </cfRule>
    <cfRule type="expression" dxfId="70" priority="9">
      <formula>AND($Q$22="Yes",$U$1="Approve")</formula>
    </cfRule>
  </conditionalFormatting>
  <conditionalFormatting sqref="N38">
    <cfRule type="expression" dxfId="69" priority="1">
      <formula>$H$38&gt;0</formula>
    </cfRule>
    <cfRule type="containsText" dxfId="68" priority="2" operator="containsText" text="Reject">
      <formula>NOT(ISERROR(SEARCH("Reject",N38)))</formula>
    </cfRule>
    <cfRule type="expression" dxfId="67" priority="3">
      <formula>$Q$38="Yes"</formula>
    </cfRule>
    <cfRule type="expression" dxfId="66" priority="4">
      <formula>N38="Approve"</formula>
    </cfRule>
  </conditionalFormatting>
  <conditionalFormatting sqref="R22">
    <cfRule type="expression" priority="20">
      <formula>#REF!+#REF!&lt;10000</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Q22 Q12:Q13 Q38" xr:uid="{54834AA0-7D33-4341-86A2-4543BF35C233}">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1" id="{6E15A17F-5820-4C0F-879D-AC506CB802D2}">
            <xm:f>#REF!&gt;ROUNDUP((((VLOOKUP('Variable Selling'!$A$2,'CC MARKET EXPENSE'!$A:$D,4,0))*100)*50/100)/0.25,0)*0.25/100</xm:f>
            <x14:dxf>
              <border>
                <left style="thin">
                  <color auto="1"/>
                </left>
                <right style="thin">
                  <color auto="1"/>
                </right>
                <top style="thin">
                  <color auto="1"/>
                </top>
                <bottom style="thin">
                  <color auto="1"/>
                </bottom>
                <vertical/>
                <horizontal/>
              </border>
            </x14:dxf>
          </x14:cfRule>
          <xm:sqref>R22</xm:sqref>
        </x14:conditionalFormatting>
        <x14:conditionalFormatting xmlns:xm="http://schemas.microsoft.com/office/excel/2006/main">
          <x14:cfRule type="expression" priority="25" id="{35364305-5EBF-4F8A-AD4C-CE98152733EC}">
            <xm:f>AND($N$22 &lt;&gt; "Caution",#REF!&gt;ROUNDUP((((VLOOKUP('Variable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W35"/>
  <sheetViews>
    <sheetView showGridLines="0" topLeftCell="B1" zoomScale="80" zoomScaleNormal="80" zoomScaleSheetLayoutView="70" workbookViewId="0">
      <selection activeCell="F11" sqref="F11:G11"/>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916" customWidth="1"/>
    <col min="13" max="13" width="26.42578125" style="916" customWidth="1"/>
    <col min="14" max="14" width="20.42578125" style="916" hidden="1" customWidth="1"/>
    <col min="15" max="15" width="20.42578125" style="978"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70" t="s">
        <v>648</v>
      </c>
      <c r="S1" s="270" t="s">
        <v>649</v>
      </c>
      <c r="T1" s="270" t="s">
        <v>650</v>
      </c>
      <c r="U1" s="136"/>
      <c r="W1" s="404" t="s">
        <v>933</v>
      </c>
    </row>
    <row r="2" spans="3:23" s="5" customFormat="1" ht="22.5" customHeight="1" x14ac:dyDescent="0.25">
      <c r="C2" s="1350" t="s">
        <v>651</v>
      </c>
      <c r="D2" s="1351"/>
      <c r="E2" s="1351"/>
      <c r="F2" s="1351"/>
      <c r="G2" s="1351"/>
      <c r="H2" s="1351"/>
      <c r="I2" s="1351"/>
      <c r="J2" s="1351"/>
      <c r="K2" s="1351"/>
      <c r="L2" s="1351"/>
      <c r="M2" s="1351"/>
      <c r="N2" s="1351"/>
      <c r="O2" s="1351"/>
      <c r="P2" s="1352"/>
      <c r="R2" s="271" t="s">
        <v>652</v>
      </c>
      <c r="S2" s="271" t="s">
        <v>653</v>
      </c>
      <c r="T2" s="271" t="s">
        <v>486</v>
      </c>
      <c r="V2" s="5" t="s">
        <v>934</v>
      </c>
      <c r="W2" s="5">
        <f>IF(Welcome!D14=W3,0,Welcome!D14)</f>
        <v>0</v>
      </c>
    </row>
    <row r="3" spans="3:23" x14ac:dyDescent="0.25">
      <c r="C3" s="624"/>
      <c r="D3" s="272"/>
      <c r="E3" s="272"/>
      <c r="F3" s="272"/>
      <c r="G3" s="272"/>
      <c r="H3" s="272"/>
      <c r="I3" s="272"/>
      <c r="J3" s="272"/>
      <c r="K3" s="272"/>
      <c r="L3" s="272"/>
      <c r="M3" s="272"/>
      <c r="N3" s="272"/>
      <c r="O3" s="272"/>
      <c r="P3" s="625"/>
      <c r="R3" s="1" t="s">
        <v>654</v>
      </c>
      <c r="S3" s="1" t="s">
        <v>655</v>
      </c>
      <c r="T3" s="1" t="s">
        <v>485</v>
      </c>
      <c r="W3" t="s">
        <v>458</v>
      </c>
    </row>
    <row r="4" spans="3:23" x14ac:dyDescent="0.25">
      <c r="C4" s="139"/>
      <c r="E4" s="406" t="s">
        <v>889</v>
      </c>
      <c r="F4" s="1353"/>
      <c r="G4" s="1353"/>
      <c r="P4" s="626"/>
      <c r="T4" s="1" t="s">
        <v>484</v>
      </c>
    </row>
    <row r="5" spans="3:23" x14ac:dyDescent="0.25">
      <c r="C5" s="139"/>
      <c r="E5" s="406"/>
      <c r="P5" s="140"/>
    </row>
    <row r="6" spans="3:23" x14ac:dyDescent="0.25">
      <c r="C6" s="139"/>
      <c r="E6" s="138" t="s">
        <v>1287</v>
      </c>
      <c r="F6" s="1353"/>
      <c r="G6" s="1353"/>
      <c r="P6" s="140"/>
    </row>
    <row r="7" spans="3:23" x14ac:dyDescent="0.25">
      <c r="C7" s="139"/>
      <c r="E7" s="138"/>
      <c r="P7" s="140"/>
    </row>
    <row r="8" spans="3:23" x14ac:dyDescent="0.25">
      <c r="C8" s="139"/>
      <c r="E8" s="138" t="s">
        <v>1288</v>
      </c>
      <c r="F8" s="1353"/>
      <c r="G8" s="1353"/>
      <c r="P8" s="140"/>
    </row>
    <row r="9" spans="3:23" x14ac:dyDescent="0.25">
      <c r="C9" s="139"/>
      <c r="E9" s="138" t="s">
        <v>1289</v>
      </c>
      <c r="F9" s="1353"/>
      <c r="G9" s="1353"/>
      <c r="P9" s="140"/>
    </row>
    <row r="10" spans="3:23" x14ac:dyDescent="0.25">
      <c r="C10" s="139"/>
      <c r="E10" s="138" t="s">
        <v>879</v>
      </c>
      <c r="F10" s="1353"/>
      <c r="G10" s="1353"/>
      <c r="P10" s="140"/>
    </row>
    <row r="11" spans="3:23" x14ac:dyDescent="0.25">
      <c r="C11" s="139"/>
      <c r="E11" s="138" t="s">
        <v>832</v>
      </c>
      <c r="F11" s="1353"/>
      <c r="G11" s="1353"/>
      <c r="P11" s="140"/>
    </row>
    <row r="12" spans="3:23" x14ac:dyDescent="0.25">
      <c r="C12" s="139"/>
      <c r="E12" s="138" t="s">
        <v>1290</v>
      </c>
      <c r="F12" s="1353"/>
      <c r="G12" s="1353"/>
      <c r="P12" s="140"/>
    </row>
    <row r="13" spans="3:23" x14ac:dyDescent="0.25">
      <c r="C13" s="139"/>
      <c r="E13" s="138"/>
      <c r="F13" s="1355"/>
      <c r="G13" s="1355"/>
      <c r="P13" s="140"/>
    </row>
    <row r="14" spans="3:23" x14ac:dyDescent="0.25">
      <c r="C14" s="139"/>
      <c r="E14" s="138" t="s">
        <v>1291</v>
      </c>
      <c r="F14" s="1354"/>
      <c r="G14" s="1354"/>
      <c r="H14" s="639"/>
      <c r="P14" s="140"/>
      <c r="Q14" s="802">
        <f>WEEKDAY(F14,2)</f>
        <v>6</v>
      </c>
    </row>
    <row r="15" spans="3:23" s="916" customFormat="1" ht="13.5" customHeight="1" x14ac:dyDescent="0.25">
      <c r="C15" s="139"/>
      <c r="F15" s="54" t="s">
        <v>1009</v>
      </c>
      <c r="G15" s="54" t="str">
        <f>IF(F14="","",TEXT(F14,"dddd"))</f>
        <v/>
      </c>
      <c r="O15" s="978"/>
      <c r="P15" s="140"/>
    </row>
    <row r="16" spans="3:23" s="916" customFormat="1" ht="13.5" customHeight="1" x14ac:dyDescent="0.25">
      <c r="C16" s="139"/>
      <c r="O16" s="978"/>
      <c r="P16" s="140"/>
    </row>
    <row r="17" spans="1:17" s="916" customFormat="1" ht="13.5" customHeight="1" x14ac:dyDescent="0.25">
      <c r="C17" s="139"/>
      <c r="E17" s="138" t="s">
        <v>1292</v>
      </c>
      <c r="F17" s="1356" t="str">
        <f>IF(F14="","",F14+(363*IF(OR(Welcome!D12="Select Term",Welcome!D12=""),0,Welcome!D12))+6)</f>
        <v/>
      </c>
      <c r="G17" s="1356"/>
      <c r="O17" s="978"/>
      <c r="P17" s="140"/>
    </row>
    <row r="18" spans="1:17" ht="13.5" customHeight="1" x14ac:dyDescent="0.25">
      <c r="C18" s="139"/>
      <c r="P18" s="140"/>
    </row>
    <row r="19" spans="1:17" s="798" customFormat="1" ht="14.25" customHeight="1" x14ac:dyDescent="0.25">
      <c r="C19" s="139"/>
      <c r="E19" s="138" t="s">
        <v>1293</v>
      </c>
      <c r="F19" s="1348">
        <f>Welcome!D8</f>
        <v>0</v>
      </c>
      <c r="G19" s="1349"/>
      <c r="K19" s="916"/>
      <c r="L19" s="916"/>
      <c r="M19" s="916"/>
      <c r="N19" s="916"/>
      <c r="O19" s="978"/>
      <c r="P19" s="140"/>
    </row>
    <row r="20" spans="1:17" s="798" customFormat="1" ht="26.45" customHeight="1" x14ac:dyDescent="0.25">
      <c r="C20" s="139"/>
      <c r="K20" s="916"/>
      <c r="L20" s="916"/>
      <c r="M20" s="916"/>
      <c r="N20" s="916"/>
      <c r="O20" s="978"/>
      <c r="P20" s="140"/>
    </row>
    <row r="21" spans="1:17" ht="24.6" customHeight="1" x14ac:dyDescent="0.25">
      <c r="C21" s="139"/>
      <c r="E21" s="405" t="s">
        <v>1129</v>
      </c>
      <c r="P21" s="140"/>
    </row>
    <row r="22" spans="1:17" ht="44.25" customHeight="1" thickBot="1" x14ac:dyDescent="0.3">
      <c r="C22" s="139"/>
      <c r="E22" s="917" t="s">
        <v>1294</v>
      </c>
      <c r="F22" s="407" t="s">
        <v>796</v>
      </c>
      <c r="G22" s="407" t="s">
        <v>797</v>
      </c>
      <c r="H22" s="407" t="s">
        <v>802</v>
      </c>
      <c r="I22" s="407" t="s">
        <v>803</v>
      </c>
      <c r="J22" s="407" t="s">
        <v>204</v>
      </c>
      <c r="K22" s="407" t="s">
        <v>795</v>
      </c>
      <c r="L22" s="407" t="s">
        <v>1295</v>
      </c>
      <c r="M22" s="917" t="s">
        <v>1296</v>
      </c>
      <c r="N22" s="917" t="s">
        <v>1297</v>
      </c>
      <c r="O22" s="917" t="s">
        <v>1416</v>
      </c>
      <c r="P22" s="140"/>
      <c r="Q22" s="677"/>
    </row>
    <row r="23" spans="1:17" x14ac:dyDescent="0.25">
      <c r="A23">
        <v>1</v>
      </c>
      <c r="C23" s="139"/>
      <c r="D23" s="653" t="str">
        <f t="shared" ref="D23:D32" si="0">IF($A23&lt;=$W$2,A23,"")</f>
        <v/>
      </c>
      <c r="E23" s="654">
        <f>'Customer Inputs'!G6</f>
        <v>0</v>
      </c>
      <c r="F23" s="742" t="str">
        <f>IFERROR(IFERROR(VLOOKUP(E23,'Customer Info'!A:B,2,0),VLOOKUP(""&amp;E23,'Customer Info'!A:B,2,0)),"")</f>
        <v/>
      </c>
      <c r="G23" s="743" t="str">
        <f>IFERROR(IFERROR(VLOOKUP(E23,'Customer Info'!A:C,3,0),VLOOKUP(""&amp;E23,'Customer Info'!A:C,3,0)),"")</f>
        <v/>
      </c>
      <c r="H23" s="743" t="str">
        <f>IFERROR(IFERROR(VLOOKUP(E23,'Customer Info'!A:D,4,0),VLOOKUP(""&amp;E23,'Customer Info'!A:D,4,0)),"")</f>
        <v/>
      </c>
      <c r="I23" s="744" t="str">
        <f>IFERROR(IFERROR(VLOOKUP(E23,'Customer Info'!A:E,5,0),VLOOKUP(""&amp;E23,'Customer Info'!A:E,5,0)),"")</f>
        <v/>
      </c>
      <c r="J23" s="744" t="str">
        <f>IFERROR(IFERROR(VLOOKUP(E23,'Customer Info'!A:F,6,0),VLOOKUP(""&amp;E23,'Customer Info'!A:F,6,0)),"")</f>
        <v/>
      </c>
      <c r="K23" s="918" t="str">
        <f>IF($F$14 = "","",$F$14)</f>
        <v/>
      </c>
      <c r="L23" s="918" t="str">
        <f t="shared" ref="L23:L31" si="1">IF($F$17 = "","",$F$17)</f>
        <v/>
      </c>
      <c r="M23" s="744"/>
      <c r="N23" s="744" t="s">
        <v>653</v>
      </c>
      <c r="O23" s="744" t="s">
        <v>653</v>
      </c>
      <c r="P23" s="140"/>
    </row>
    <row r="24" spans="1:17" x14ac:dyDescent="0.25">
      <c r="A24">
        <v>2</v>
      </c>
      <c r="C24" s="139"/>
      <c r="D24" s="653" t="str">
        <f t="shared" si="0"/>
        <v/>
      </c>
      <c r="E24" s="654">
        <f>'Customer Inputs'!G7</f>
        <v>0</v>
      </c>
      <c r="F24" s="742" t="str">
        <f>IFERROR(IFERROR(VLOOKUP(E24,'Customer Info'!A:B,2,0),VLOOKUP(""&amp;E24,'Customer Info'!A:B,2,0)),"")</f>
        <v/>
      </c>
      <c r="G24" s="743" t="str">
        <f>IFERROR(IFERROR(VLOOKUP(E24,'Customer Info'!A:C,3,0),VLOOKUP(""&amp;E24,'Customer Info'!A:C,3,0)),"")</f>
        <v/>
      </c>
      <c r="H24" s="743" t="str">
        <f>IFERROR(IFERROR(VLOOKUP(E24,'Customer Info'!A:D,4,0),VLOOKUP(""&amp;E24,'Customer Info'!A:D,4,0)),"")</f>
        <v/>
      </c>
      <c r="I24" s="744" t="str">
        <f>IFERROR(IFERROR(VLOOKUP(E24,'Customer Info'!A:E,5,0),VLOOKUP(""&amp;E24,'Customer Info'!A:E,5,0)),"")</f>
        <v/>
      </c>
      <c r="J24" s="744" t="str">
        <f>IFERROR(IFERROR(VLOOKUP(E24,'Customer Info'!A:F,6,0),VLOOKUP(""&amp;E24,'Customer Info'!A:F,6,0)),"")</f>
        <v/>
      </c>
      <c r="K24" s="919" t="str">
        <f t="shared" ref="K24:K32" si="2">IF($F$14 = "","",$F$14)</f>
        <v/>
      </c>
      <c r="L24" s="919" t="str">
        <f t="shared" si="1"/>
        <v/>
      </c>
      <c r="M24" s="744"/>
      <c r="N24" s="744" t="s">
        <v>653</v>
      </c>
      <c r="O24" s="1020" t="s">
        <v>653</v>
      </c>
      <c r="P24" s="140"/>
    </row>
    <row r="25" spans="1:17" x14ac:dyDescent="0.25">
      <c r="A25">
        <v>3</v>
      </c>
      <c r="C25" s="139"/>
      <c r="D25" s="653" t="str">
        <f t="shared" si="0"/>
        <v/>
      </c>
      <c r="E25" s="654">
        <f>'Customer Inputs'!G8</f>
        <v>0</v>
      </c>
      <c r="F25" s="742" t="str">
        <f>IFERROR(IFERROR(VLOOKUP(E25,'Customer Info'!A:B,2,0),VLOOKUP(""&amp;E25,'Customer Info'!A:B,2,0)),"")</f>
        <v/>
      </c>
      <c r="G25" s="743" t="str">
        <f>IFERROR(IFERROR(VLOOKUP(E25,'Customer Info'!A:C,3,0),VLOOKUP(""&amp;E25,'Customer Info'!A:C,3,0)),"")</f>
        <v/>
      </c>
      <c r="H25" s="743" t="str">
        <f>IFERROR(IFERROR(VLOOKUP(E25,'Customer Info'!A:D,4,0),VLOOKUP(""&amp;E25,'Customer Info'!A:D,4,0)),"")</f>
        <v/>
      </c>
      <c r="I25" s="744" t="str">
        <f>IFERROR(IFERROR(VLOOKUP(E25,'Customer Info'!A:E,5,0),VLOOKUP(""&amp;E25,'Customer Info'!A:E,5,0)),"")</f>
        <v/>
      </c>
      <c r="J25" s="744" t="str">
        <f>IFERROR(IFERROR(VLOOKUP(E25,'Customer Info'!A:F,6,0),VLOOKUP(""&amp;E25,'Customer Info'!A:F,6,0)),"")</f>
        <v/>
      </c>
      <c r="K25" s="919" t="str">
        <f t="shared" si="2"/>
        <v/>
      </c>
      <c r="L25" s="919" t="str">
        <f t="shared" si="1"/>
        <v/>
      </c>
      <c r="M25" s="744"/>
      <c r="N25" s="744" t="s">
        <v>653</v>
      </c>
      <c r="O25" s="1020" t="s">
        <v>653</v>
      </c>
      <c r="P25" s="140"/>
    </row>
    <row r="26" spans="1:17" x14ac:dyDescent="0.25">
      <c r="A26">
        <v>4</v>
      </c>
      <c r="C26" s="139"/>
      <c r="D26" s="653" t="str">
        <f t="shared" si="0"/>
        <v/>
      </c>
      <c r="E26" s="654">
        <f>'Customer Inputs'!G9</f>
        <v>0</v>
      </c>
      <c r="F26" s="742" t="str">
        <f>IFERROR(IFERROR(VLOOKUP(E26,'Customer Info'!A:B,2,0),VLOOKUP(""&amp;E26,'Customer Info'!A:B,2,0)),"")</f>
        <v/>
      </c>
      <c r="G26" s="743" t="str">
        <f>IFERROR(IFERROR(VLOOKUP(E26,'Customer Info'!A:C,3,0),VLOOKUP(""&amp;E26,'Customer Info'!A:C,3,0)),"")</f>
        <v/>
      </c>
      <c r="H26" s="743" t="str">
        <f>IFERROR(IFERROR(VLOOKUP(E26,'Customer Info'!A:D,4,0),VLOOKUP(""&amp;E26,'Customer Info'!A:D,4,0)),"")</f>
        <v/>
      </c>
      <c r="I26" s="744" t="str">
        <f>IFERROR(IFERROR(VLOOKUP(E26,'Customer Info'!A:E,5,0),VLOOKUP(""&amp;E26,'Customer Info'!A:E,5,0)),"")</f>
        <v/>
      </c>
      <c r="J26" s="744" t="str">
        <f>IFERROR(IFERROR(VLOOKUP(E26,'Customer Info'!A:F,6,0),VLOOKUP(""&amp;E26,'Customer Info'!A:F,6,0)),"")</f>
        <v/>
      </c>
      <c r="K26" s="919" t="str">
        <f t="shared" si="2"/>
        <v/>
      </c>
      <c r="L26" s="919" t="str">
        <f t="shared" si="1"/>
        <v/>
      </c>
      <c r="M26" s="744"/>
      <c r="N26" s="744" t="s">
        <v>653</v>
      </c>
      <c r="O26" s="1020" t="s">
        <v>653</v>
      </c>
      <c r="P26" s="140"/>
    </row>
    <row r="27" spans="1:17" x14ac:dyDescent="0.25">
      <c r="A27">
        <v>5</v>
      </c>
      <c r="C27" s="139"/>
      <c r="D27" s="653" t="str">
        <f t="shared" si="0"/>
        <v/>
      </c>
      <c r="E27" s="654">
        <f>'Customer Inputs'!G10</f>
        <v>0</v>
      </c>
      <c r="F27" s="742" t="str">
        <f>IFERROR(IFERROR(VLOOKUP(E27,'Customer Info'!A:B,2,0),VLOOKUP(""&amp;E27,'Customer Info'!A:B,2,0)),"")</f>
        <v/>
      </c>
      <c r="G27" s="743" t="str">
        <f>IFERROR(IFERROR(VLOOKUP(E27,'Customer Info'!A:C,3,0),VLOOKUP(""&amp;E27,'Customer Info'!A:C,3,0)),"")</f>
        <v/>
      </c>
      <c r="H27" s="743" t="str">
        <f>IFERROR(IFERROR(VLOOKUP(E27,'Customer Info'!A:D,4,0),VLOOKUP(""&amp;E27,'Customer Info'!A:D,4,0)),"")</f>
        <v/>
      </c>
      <c r="I27" s="744" t="str">
        <f>IFERROR(IFERROR(VLOOKUP(E27,'Customer Info'!A:E,5,0),VLOOKUP(""&amp;E27,'Customer Info'!A:E,5,0)),"")</f>
        <v/>
      </c>
      <c r="J27" s="744" t="str">
        <f>IFERROR(IFERROR(VLOOKUP(E27,'Customer Info'!A:F,6,0),VLOOKUP(""&amp;E27,'Customer Info'!A:F,6,0)),"")</f>
        <v/>
      </c>
      <c r="K27" s="919" t="str">
        <f t="shared" si="2"/>
        <v/>
      </c>
      <c r="L27" s="919" t="str">
        <f t="shared" si="1"/>
        <v/>
      </c>
      <c r="M27" s="744"/>
      <c r="N27" s="744" t="s">
        <v>653</v>
      </c>
      <c r="O27" s="1020" t="s">
        <v>653</v>
      </c>
      <c r="P27" s="140"/>
    </row>
    <row r="28" spans="1:17" x14ac:dyDescent="0.25">
      <c r="A28">
        <v>6</v>
      </c>
      <c r="C28" s="139"/>
      <c r="D28" s="653" t="str">
        <f t="shared" si="0"/>
        <v/>
      </c>
      <c r="E28" s="654">
        <f>'Customer Inputs'!G11</f>
        <v>0</v>
      </c>
      <c r="F28" s="742" t="str">
        <f>IFERROR(IFERROR(VLOOKUP(E28,'Customer Info'!A:B,2,0),VLOOKUP(""&amp;E28,'Customer Info'!A:B,2,0)),"")</f>
        <v/>
      </c>
      <c r="G28" s="743" t="str">
        <f>IFERROR(IFERROR(VLOOKUP(E28,'Customer Info'!A:C,3,0),VLOOKUP(""&amp;E28,'Customer Info'!A:C,3,0)),"")</f>
        <v/>
      </c>
      <c r="H28" s="743" t="str">
        <f>IFERROR(IFERROR(VLOOKUP(E28,'Customer Info'!A:D,4,0),VLOOKUP(""&amp;E28,'Customer Info'!A:D,4,0)),"")</f>
        <v/>
      </c>
      <c r="I28" s="744" t="str">
        <f>IFERROR(IFERROR(VLOOKUP(E28,'Customer Info'!A:E,5,0),VLOOKUP(""&amp;E28,'Customer Info'!A:E,5,0)),"")</f>
        <v/>
      </c>
      <c r="J28" s="744" t="str">
        <f>IFERROR(IFERROR(VLOOKUP(E28,'Customer Info'!A:F,6,0),VLOOKUP(""&amp;E28,'Customer Info'!A:F,6,0)),"")</f>
        <v/>
      </c>
      <c r="K28" s="919" t="str">
        <f t="shared" si="2"/>
        <v/>
      </c>
      <c r="L28" s="919" t="str">
        <f t="shared" si="1"/>
        <v/>
      </c>
      <c r="M28" s="744"/>
      <c r="N28" s="744" t="s">
        <v>653</v>
      </c>
      <c r="O28" s="1020" t="s">
        <v>653</v>
      </c>
      <c r="P28" s="140"/>
    </row>
    <row r="29" spans="1:17" x14ac:dyDescent="0.25">
      <c r="A29">
        <v>7</v>
      </c>
      <c r="C29" s="139"/>
      <c r="D29" s="653" t="str">
        <f t="shared" si="0"/>
        <v/>
      </c>
      <c r="E29" s="654">
        <f>'Customer Inputs'!G12</f>
        <v>0</v>
      </c>
      <c r="F29" s="742" t="str">
        <f>IFERROR(IFERROR(VLOOKUP(E29,'Customer Info'!A:B,2,0),VLOOKUP(""&amp;E29,'Customer Info'!A:B,2,0)),"")</f>
        <v/>
      </c>
      <c r="G29" s="743" t="str">
        <f>IFERROR(IFERROR(VLOOKUP(E29,'Customer Info'!A:C,3,0),VLOOKUP(""&amp;E29,'Customer Info'!A:C,3,0)),"")</f>
        <v/>
      </c>
      <c r="H29" s="743" t="str">
        <f>IFERROR(IFERROR(VLOOKUP(E29,'Customer Info'!A:D,4,0),VLOOKUP(""&amp;E29,'Customer Info'!A:D,4,0)),"")</f>
        <v/>
      </c>
      <c r="I29" s="744" t="str">
        <f>IFERROR(IFERROR(VLOOKUP(E29,'Customer Info'!A:E,5,0),VLOOKUP(""&amp;E29,'Customer Info'!A:E,5,0)),"")</f>
        <v/>
      </c>
      <c r="J29" s="744" t="str">
        <f>IFERROR(IFERROR(VLOOKUP(E29,'Customer Info'!A:F,6,0),VLOOKUP(""&amp;E29,'Customer Info'!A:F,6,0)),"")</f>
        <v/>
      </c>
      <c r="K29" s="919" t="str">
        <f t="shared" si="2"/>
        <v/>
      </c>
      <c r="L29" s="919" t="str">
        <f t="shared" si="1"/>
        <v/>
      </c>
      <c r="M29" s="744"/>
      <c r="N29" s="744" t="s">
        <v>653</v>
      </c>
      <c r="O29" s="1020" t="s">
        <v>653</v>
      </c>
      <c r="P29" s="140"/>
    </row>
    <row r="30" spans="1:17" x14ac:dyDescent="0.25">
      <c r="A30">
        <v>8</v>
      </c>
      <c r="C30" s="139"/>
      <c r="D30" s="653" t="str">
        <f t="shared" si="0"/>
        <v/>
      </c>
      <c r="E30" s="654">
        <f>'Customer Inputs'!G13</f>
        <v>0</v>
      </c>
      <c r="F30" s="742" t="str">
        <f>IFERROR(IFERROR(VLOOKUP(E30,'Customer Info'!A:B,2,0),VLOOKUP(""&amp;E30,'Customer Info'!A:B,2,0)),"")</f>
        <v/>
      </c>
      <c r="G30" s="743" t="str">
        <f>IFERROR(IFERROR(VLOOKUP(E30,'Customer Info'!A:C,3,0),VLOOKUP(""&amp;E30,'Customer Info'!A:C,3,0)),"")</f>
        <v/>
      </c>
      <c r="H30" s="743" t="str">
        <f>IFERROR(IFERROR(VLOOKUP(E30,'Customer Info'!A:D,4,0),VLOOKUP(""&amp;E30,'Customer Info'!A:D,4,0)),"")</f>
        <v/>
      </c>
      <c r="I30" s="744" t="str">
        <f>IFERROR(IFERROR(VLOOKUP(E30,'Customer Info'!A:E,5,0),VLOOKUP(""&amp;E30,'Customer Info'!A:E,5,0)),"")</f>
        <v/>
      </c>
      <c r="J30" s="744" t="str">
        <f>IFERROR(IFERROR(VLOOKUP(E30,'Customer Info'!A:F,6,0),VLOOKUP(""&amp;E30,'Customer Info'!A:F,6,0)),"")</f>
        <v/>
      </c>
      <c r="K30" s="919" t="str">
        <f t="shared" si="2"/>
        <v/>
      </c>
      <c r="L30" s="919" t="str">
        <f t="shared" si="1"/>
        <v/>
      </c>
      <c r="M30" s="744"/>
      <c r="N30" s="744" t="s">
        <v>653</v>
      </c>
      <c r="O30" s="1020" t="s">
        <v>653</v>
      </c>
      <c r="P30" s="140"/>
    </row>
    <row r="31" spans="1:17" x14ac:dyDescent="0.25">
      <c r="A31">
        <v>9</v>
      </c>
      <c r="C31" s="139"/>
      <c r="D31" s="653" t="str">
        <f t="shared" si="0"/>
        <v/>
      </c>
      <c r="E31" s="654">
        <f>'Customer Inputs'!G14</f>
        <v>0</v>
      </c>
      <c r="F31" s="742" t="str">
        <f>IFERROR(IFERROR(VLOOKUP(E31,'Customer Info'!A:B,2,0),VLOOKUP(""&amp;E31,'Customer Info'!A:B,2,0)),"")</f>
        <v/>
      </c>
      <c r="G31" s="743" t="str">
        <f>IFERROR(IFERROR(VLOOKUP(E31,'Customer Info'!A:C,3,0),VLOOKUP(""&amp;E31,'Customer Info'!A:C,3,0)),"")</f>
        <v/>
      </c>
      <c r="H31" s="743" t="str">
        <f>IFERROR(IFERROR(VLOOKUP(E31,'Customer Info'!A:D,4,0),VLOOKUP(""&amp;E31,'Customer Info'!A:D,4,0)),"")</f>
        <v/>
      </c>
      <c r="I31" s="744" t="str">
        <f>IFERROR(IFERROR(VLOOKUP(E31,'Customer Info'!A:E,5,0),VLOOKUP(""&amp;E31,'Customer Info'!A:E,5,0)),"")</f>
        <v/>
      </c>
      <c r="J31" s="744" t="str">
        <f>IFERROR(IFERROR(VLOOKUP(E31,'Customer Info'!A:F,6,0),VLOOKUP(""&amp;E31,'Customer Info'!A:F,6,0)),"")</f>
        <v/>
      </c>
      <c r="K31" s="919" t="str">
        <f t="shared" si="2"/>
        <v/>
      </c>
      <c r="L31" s="919" t="str">
        <f t="shared" si="1"/>
        <v/>
      </c>
      <c r="M31" s="744"/>
      <c r="N31" s="744" t="s">
        <v>653</v>
      </c>
      <c r="O31" s="1020" t="s">
        <v>653</v>
      </c>
      <c r="P31" s="140"/>
    </row>
    <row r="32" spans="1:17" x14ac:dyDescent="0.25">
      <c r="A32">
        <v>10</v>
      </c>
      <c r="C32" s="139"/>
      <c r="D32" s="653" t="str">
        <f t="shared" si="0"/>
        <v/>
      </c>
      <c r="E32" s="654">
        <f>'Customer Inputs'!G15</f>
        <v>0</v>
      </c>
      <c r="F32" s="742" t="str">
        <f>IFERROR(IFERROR(VLOOKUP(E32,'Customer Info'!A:B,2,0),VLOOKUP(""&amp;E32,'Customer Info'!A:B,2,0)),"")</f>
        <v/>
      </c>
      <c r="G32" s="743" t="str">
        <f>IFERROR(IFERROR(VLOOKUP(E32,'Customer Info'!A:C,3,0),VLOOKUP(""&amp;E32,'Customer Info'!A:C,3,0)),"")</f>
        <v/>
      </c>
      <c r="H32" s="743" t="str">
        <f>IFERROR(IFERROR(VLOOKUP(E32,'Customer Info'!A:D,4,0),VLOOKUP(""&amp;E32,'Customer Info'!A:D,4,0)),"")</f>
        <v/>
      </c>
      <c r="I32" s="744" t="str">
        <f>IFERROR(IFERROR(VLOOKUP(E32,'Customer Info'!A:E,5,0),VLOOKUP(""&amp;E32,'Customer Info'!A:E,5,0)),"")</f>
        <v/>
      </c>
      <c r="J32" s="744" t="str">
        <f>IFERROR(IFERROR(VLOOKUP(E32,'Customer Info'!A:F,6,0),VLOOKUP(""&amp;E32,'Customer Info'!A:F,6,0)),"")</f>
        <v/>
      </c>
      <c r="K32" s="919" t="str">
        <f t="shared" si="2"/>
        <v/>
      </c>
      <c r="L32" s="919" t="str">
        <f>IF($F$17 = "","",$F$17)</f>
        <v/>
      </c>
      <c r="M32" s="744"/>
      <c r="N32" s="744" t="s">
        <v>653</v>
      </c>
      <c r="O32" s="1020" t="s">
        <v>653</v>
      </c>
      <c r="P32" s="140"/>
    </row>
    <row r="33" spans="3:16" ht="15.75" thickBot="1" x14ac:dyDescent="0.3">
      <c r="C33" s="267"/>
      <c r="D33" s="678"/>
      <c r="E33" s="679"/>
      <c r="F33" s="680"/>
      <c r="G33" s="681"/>
      <c r="H33" s="681"/>
      <c r="I33" s="681"/>
      <c r="J33" s="681"/>
      <c r="K33" s="681"/>
      <c r="L33" s="681"/>
      <c r="M33" s="681"/>
      <c r="N33" s="681"/>
      <c r="O33" s="681"/>
      <c r="P33" s="635"/>
    </row>
    <row r="35" spans="3:16" ht="19.899999999999999" customHeight="1" x14ac:dyDescent="0.25"/>
  </sheetData>
  <sheetProtection algorithmName="SHA-512" hashValue="/M1dk9X7olWa8eIUXFC+Kp1OH4X7+zdTOjIt4rYpn2wOWDg1iyO0F5FE9/k6sxHORig0BAw3L186KSotv5dJnQ==" saltValue="C5hIobNtLrfqtxiQElu4EA==" spinCount="100000" sheet="1" objects="1" scenarios="1" selectLockedCells="1"/>
  <mergeCells count="12">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9" priority="13">
      <formula>$A23&gt;$W$2</formula>
    </cfRule>
  </conditionalFormatting>
  <conditionalFormatting sqref="E23:O32">
    <cfRule type="expression" dxfId="58" priority="9">
      <formula>$D23=$W$2</formula>
    </cfRule>
  </conditionalFormatting>
  <conditionalFormatting sqref="E21:O21 F22:L22">
    <cfRule type="expression" dxfId="57" priority="10">
      <formula>$W$2=0</formula>
    </cfRule>
  </conditionalFormatting>
  <conditionalFormatting sqref="F14:G14">
    <cfRule type="expression" dxfId="56" priority="6">
      <formula>$F$14&lt;NOW()</formula>
    </cfRule>
    <cfRule type="expression" dxfId="55" priority="7">
      <formula>$Q$14&lt;&gt;7</formula>
    </cfRule>
  </conditionalFormatting>
  <conditionalFormatting sqref="E22">
    <cfRule type="expression" dxfId="54" priority="5">
      <formula>$W$2=0</formula>
    </cfRule>
  </conditionalFormatting>
  <conditionalFormatting sqref="M22">
    <cfRule type="expression" dxfId="53" priority="4">
      <formula>$W$2=0</formula>
    </cfRule>
  </conditionalFormatting>
  <conditionalFormatting sqref="N22:O22">
    <cfRule type="expression" dxfId="52" priority="3">
      <formula>$W$2=0</formula>
    </cfRule>
  </conditionalFormatting>
  <conditionalFormatting sqref="M23:M32">
    <cfRule type="expression" dxfId="51" priority="2">
      <formula>$A23&gt;$W$2</formula>
    </cfRule>
  </conditionalFormatting>
  <conditionalFormatting sqref="M23:M32">
    <cfRule type="expression" dxfId="50" priority="1">
      <formula>$D23=$W$2</formula>
    </cfRule>
  </conditionalFormatting>
  <conditionalFormatting sqref="F23:J32 M23:O32">
    <cfRule type="containsBlanks" dxfId="49" priority="14" stopIfTrue="1">
      <formula>LEN(TRIM(F23))=0</formula>
    </cfRule>
    <cfRule type="notContainsBlanks" dxfId="48"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553FE2E9-44E0-4610-9903-D7AD8B443BFD}">
      <formula1>33922</formula1>
    </dataValidation>
    <dataValidation type="list" allowBlank="1" showInputMessage="1" showErrorMessage="1" sqref="M23:M32" xr:uid="{DD899AB3-A072-40E1-A258-60041A01723B}">
      <formula1>"Blank, Secondary, Internal"</formula1>
    </dataValidation>
    <dataValidation type="list" allowBlank="1" showInputMessage="1" showErrorMessage="1" sqref="N23:O32" xr:uid="{F62803CD-63CA-4C8D-A154-452552C8E724}">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3: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61AA61-26DA-4EC7-8CDC-0E93794914A0}">
  <sheetPr codeName="Sheet20"/>
  <dimension ref="A1:N38"/>
  <sheetViews>
    <sheetView showGridLines="0" workbookViewId="0">
      <selection activeCell="F12" sqref="F12"/>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customWidth="1"/>
    <col min="7" max="7" width="12.85546875" customWidth="1"/>
    <col min="8" max="8" width="31.42578125" customWidth="1"/>
    <col min="9" max="9" width="35.28515625" customWidth="1"/>
    <col min="10" max="11" width="15.5703125" customWidth="1"/>
    <col min="12" max="12" width="37.42578125" customWidth="1"/>
    <col min="13" max="13" width="15.42578125" customWidth="1"/>
    <col min="14" max="14" width="19" customWidth="1"/>
  </cols>
  <sheetData>
    <row r="1" spans="1:14" ht="18.75" x14ac:dyDescent="0.3">
      <c r="A1" s="1357" t="s">
        <v>1473</v>
      </c>
      <c r="B1" s="1357"/>
      <c r="C1" s="1357"/>
      <c r="D1" s="1357"/>
      <c r="E1" s="1357"/>
      <c r="F1" s="1357" t="s">
        <v>1474</v>
      </c>
      <c r="G1" s="1357"/>
      <c r="H1" s="1357"/>
      <c r="I1" s="1357" t="s">
        <v>1475</v>
      </c>
      <c r="J1" s="1357"/>
      <c r="K1" s="1357"/>
      <c r="L1" s="1357" t="s">
        <v>1476</v>
      </c>
      <c r="M1" s="1357"/>
      <c r="N1" s="1357"/>
    </row>
    <row r="2" spans="1:14" x14ac:dyDescent="0.25">
      <c r="A2" s="1079" t="s">
        <v>1477</v>
      </c>
      <c r="B2" s="1079" t="s">
        <v>1478</v>
      </c>
      <c r="C2" s="1079" t="s">
        <v>1479</v>
      </c>
      <c r="D2" s="1079" t="s">
        <v>131</v>
      </c>
      <c r="E2" s="1079" t="s">
        <v>1480</v>
      </c>
      <c r="F2" s="1079" t="s">
        <v>1477</v>
      </c>
      <c r="G2" s="1079" t="s">
        <v>1481</v>
      </c>
      <c r="H2" s="1079" t="s">
        <v>1480</v>
      </c>
      <c r="I2" s="1080" t="s">
        <v>1477</v>
      </c>
      <c r="J2" s="1080" t="s">
        <v>1481</v>
      </c>
      <c r="K2" s="1080" t="s">
        <v>1480</v>
      </c>
      <c r="L2" s="1080" t="s">
        <v>1477</v>
      </c>
      <c r="M2" s="1080" t="s">
        <v>1481</v>
      </c>
      <c r="N2" s="1080" t="s">
        <v>1480</v>
      </c>
    </row>
    <row r="3" spans="1:14" x14ac:dyDescent="0.25">
      <c r="A3" s="1081" t="s">
        <v>377</v>
      </c>
      <c r="B3" s="1081" t="s">
        <v>1482</v>
      </c>
      <c r="C3" s="1081" t="s">
        <v>1483</v>
      </c>
      <c r="D3" s="1081" t="s">
        <v>1484</v>
      </c>
      <c r="E3" s="1081" t="s">
        <v>1485</v>
      </c>
      <c r="F3" s="1081" t="s">
        <v>1486</v>
      </c>
      <c r="G3" s="1081" t="s">
        <v>1487</v>
      </c>
      <c r="H3" s="1081" t="s">
        <v>1488</v>
      </c>
      <c r="I3" s="1086"/>
      <c r="J3" s="1086"/>
      <c r="K3" s="1086"/>
      <c r="L3" s="1086"/>
      <c r="M3" s="1086"/>
      <c r="N3" s="1086"/>
    </row>
    <row r="4" spans="1:14" x14ac:dyDescent="0.25">
      <c r="A4" s="1081" t="s">
        <v>1316</v>
      </c>
      <c r="B4" s="1081" t="s">
        <v>1039</v>
      </c>
      <c r="C4" s="1081" t="s">
        <v>1040</v>
      </c>
      <c r="D4" s="1081" t="s">
        <v>1484</v>
      </c>
      <c r="E4" s="1081" t="s">
        <v>1485</v>
      </c>
      <c r="F4" s="1082" t="s">
        <v>1316</v>
      </c>
      <c r="G4" s="1081" t="s">
        <v>1489</v>
      </c>
      <c r="H4" s="1081" t="s">
        <v>1488</v>
      </c>
      <c r="I4" s="1086"/>
      <c r="J4" s="1086"/>
      <c r="K4" s="1086"/>
      <c r="L4" s="1086"/>
      <c r="M4" s="1086"/>
      <c r="N4" s="1086"/>
    </row>
    <row r="5" spans="1:14" x14ac:dyDescent="0.25">
      <c r="A5" s="1083" t="s">
        <v>1294</v>
      </c>
      <c r="B5" s="1081" t="s">
        <v>1490</v>
      </c>
      <c r="C5" s="1081" t="s">
        <v>1491</v>
      </c>
      <c r="D5" s="1081" t="s">
        <v>1492</v>
      </c>
      <c r="E5" s="1081" t="s">
        <v>1493</v>
      </c>
      <c r="F5" s="1083" t="s">
        <v>1294</v>
      </c>
      <c r="G5" s="1081" t="s">
        <v>1491</v>
      </c>
      <c r="H5" s="1081" t="s">
        <v>1494</v>
      </c>
      <c r="I5" s="1086"/>
      <c r="J5" s="1086"/>
      <c r="K5" s="1086"/>
      <c r="L5" s="1086"/>
      <c r="M5" s="1086"/>
      <c r="N5" s="1086"/>
    </row>
    <row r="6" spans="1:14" x14ac:dyDescent="0.25">
      <c r="A6" s="1083" t="s">
        <v>795</v>
      </c>
      <c r="B6" s="1081" t="s">
        <v>1495</v>
      </c>
      <c r="C6" s="1081" t="s">
        <v>1496</v>
      </c>
      <c r="D6" s="1081" t="s">
        <v>1492</v>
      </c>
      <c r="E6" s="1081" t="s">
        <v>1493</v>
      </c>
      <c r="F6" s="1083" t="s">
        <v>795</v>
      </c>
      <c r="G6" s="1081" t="s">
        <v>1497</v>
      </c>
      <c r="H6" s="1081" t="s">
        <v>1494</v>
      </c>
      <c r="I6" s="1086"/>
      <c r="J6" s="1086"/>
      <c r="K6" s="1086"/>
      <c r="L6" s="1086"/>
      <c r="M6" s="1086"/>
      <c r="N6" s="1086"/>
    </row>
    <row r="7" spans="1:14" x14ac:dyDescent="0.25">
      <c r="A7" s="1083" t="s">
        <v>1295</v>
      </c>
      <c r="B7" s="1081" t="s">
        <v>1498</v>
      </c>
      <c r="C7" s="1081" t="s">
        <v>134</v>
      </c>
      <c r="D7" s="1081" t="s">
        <v>1492</v>
      </c>
      <c r="E7" s="1081" t="s">
        <v>1493</v>
      </c>
      <c r="F7" s="1083" t="s">
        <v>1295</v>
      </c>
      <c r="G7" s="1081" t="s">
        <v>1499</v>
      </c>
      <c r="H7" s="1081" t="s">
        <v>1494</v>
      </c>
      <c r="I7" s="1086"/>
      <c r="J7" s="1086"/>
      <c r="K7" s="1086"/>
      <c r="L7" s="1086"/>
      <c r="M7" s="1086"/>
      <c r="N7" s="1086"/>
    </row>
    <row r="8" spans="1:14" x14ac:dyDescent="0.25">
      <c r="A8" s="1083" t="s">
        <v>1296</v>
      </c>
      <c r="B8" s="1081" t="s">
        <v>1500</v>
      </c>
      <c r="C8" s="1081" t="s">
        <v>665</v>
      </c>
      <c r="D8" s="1081" t="s">
        <v>1492</v>
      </c>
      <c r="E8" s="1081" t="s">
        <v>1493</v>
      </c>
      <c r="F8" s="1083" t="s">
        <v>1296</v>
      </c>
      <c r="G8" s="1081" t="s">
        <v>1501</v>
      </c>
      <c r="H8" s="1081" t="s">
        <v>1494</v>
      </c>
      <c r="I8" s="1086"/>
      <c r="J8" s="1086"/>
      <c r="K8" s="1086"/>
      <c r="L8" s="1086"/>
      <c r="M8" s="1086"/>
      <c r="N8" s="1086"/>
    </row>
    <row r="9" spans="1:14" x14ac:dyDescent="0.25">
      <c r="A9" s="1083" t="s">
        <v>1383</v>
      </c>
      <c r="B9" s="1081" t="s">
        <v>1482</v>
      </c>
      <c r="C9" s="1081" t="s">
        <v>1483</v>
      </c>
      <c r="D9" s="1081" t="s">
        <v>1484</v>
      </c>
      <c r="E9" s="1081" t="s">
        <v>1398</v>
      </c>
      <c r="F9" s="1083" t="s">
        <v>1383</v>
      </c>
      <c r="G9" s="1081" t="s">
        <v>1502</v>
      </c>
      <c r="H9" s="1081" t="s">
        <v>1494</v>
      </c>
      <c r="I9" s="1086"/>
      <c r="J9" s="1086"/>
      <c r="K9" s="1086"/>
      <c r="L9" s="1086"/>
      <c r="M9" s="1086"/>
      <c r="N9" s="1086"/>
    </row>
    <row r="10" spans="1:14" x14ac:dyDescent="0.25">
      <c r="A10" s="1083" t="s">
        <v>1416</v>
      </c>
      <c r="B10" s="1081" t="s">
        <v>1503</v>
      </c>
      <c r="C10" s="1081" t="s">
        <v>1504</v>
      </c>
      <c r="D10" s="1081" t="s">
        <v>1492</v>
      </c>
      <c r="E10" s="1081" t="s">
        <v>1493</v>
      </c>
      <c r="F10" s="1083" t="s">
        <v>1416</v>
      </c>
      <c r="G10" s="1081" t="s">
        <v>1505</v>
      </c>
      <c r="H10" s="1081" t="s">
        <v>1494</v>
      </c>
      <c r="I10" s="1086"/>
      <c r="J10" s="1086"/>
      <c r="K10" s="1086"/>
      <c r="L10" s="1086"/>
      <c r="M10" s="1086"/>
      <c r="N10" s="1086"/>
    </row>
    <row r="11" spans="1:14" x14ac:dyDescent="0.25">
      <c r="A11" s="1083" t="s">
        <v>1506</v>
      </c>
      <c r="B11" s="1081" t="s">
        <v>1507</v>
      </c>
      <c r="C11" s="1081" t="s">
        <v>242</v>
      </c>
      <c r="D11" s="1081" t="s">
        <v>1492</v>
      </c>
      <c r="E11" s="1081" t="s">
        <v>1493</v>
      </c>
      <c r="F11" s="1083" t="s">
        <v>1506</v>
      </c>
      <c r="G11" s="1081" t="s">
        <v>1496</v>
      </c>
      <c r="H11" s="1081" t="s">
        <v>1494</v>
      </c>
      <c r="I11" s="1086"/>
      <c r="J11" s="1086"/>
      <c r="K11" s="1086"/>
      <c r="L11" s="1086"/>
      <c r="M11" s="1086"/>
      <c r="N11" s="1086"/>
    </row>
    <row r="12" spans="1:14" ht="30" x14ac:dyDescent="0.25">
      <c r="A12" s="1084" t="s">
        <v>1330</v>
      </c>
      <c r="B12" s="1084" t="s">
        <v>1508</v>
      </c>
      <c r="C12" s="1084" t="s">
        <v>1509</v>
      </c>
      <c r="D12" s="1084" t="s">
        <v>1484</v>
      </c>
      <c r="E12" s="1084" t="s">
        <v>1485</v>
      </c>
      <c r="F12" s="1084" t="s">
        <v>1330</v>
      </c>
      <c r="G12" s="1084" t="s">
        <v>1487</v>
      </c>
      <c r="H12" s="1084" t="s">
        <v>1510</v>
      </c>
      <c r="I12" s="1086"/>
      <c r="J12" s="1086"/>
      <c r="K12" s="1086"/>
      <c r="L12" s="1086"/>
      <c r="M12" s="1086"/>
      <c r="N12" s="1086"/>
    </row>
    <row r="13" spans="1:14" x14ac:dyDescent="0.25">
      <c r="A13" s="1084" t="s">
        <v>1304</v>
      </c>
      <c r="B13" s="1084" t="s">
        <v>1511</v>
      </c>
      <c r="C13" s="1084" t="s">
        <v>1512</v>
      </c>
      <c r="D13" s="1084" t="s">
        <v>1484</v>
      </c>
      <c r="E13" s="1084" t="s">
        <v>129</v>
      </c>
      <c r="F13" s="1084" t="s">
        <v>1513</v>
      </c>
      <c r="G13" s="1084" t="s">
        <v>1489</v>
      </c>
      <c r="H13" s="1084" t="s">
        <v>1510</v>
      </c>
      <c r="I13" s="1086"/>
      <c r="J13" s="1086"/>
      <c r="K13" s="1086"/>
      <c r="L13" s="1086"/>
      <c r="M13" s="1086"/>
      <c r="N13" s="1086"/>
    </row>
    <row r="14" spans="1:14" x14ac:dyDescent="0.25">
      <c r="A14" s="1084" t="s">
        <v>1320</v>
      </c>
      <c r="B14" s="1084" t="s">
        <v>1514</v>
      </c>
      <c r="C14" s="1084" t="s">
        <v>1515</v>
      </c>
      <c r="D14" s="1084" t="s">
        <v>1484</v>
      </c>
      <c r="E14" s="1084" t="s">
        <v>1485</v>
      </c>
      <c r="F14" s="1084" t="s">
        <v>1320</v>
      </c>
      <c r="G14" s="1084" t="s">
        <v>1516</v>
      </c>
      <c r="H14" s="1084" t="s">
        <v>1510</v>
      </c>
      <c r="I14" s="1086"/>
      <c r="J14" s="1086"/>
      <c r="K14" s="1086"/>
      <c r="L14" s="1086"/>
      <c r="M14" s="1086"/>
      <c r="N14" s="1086"/>
    </row>
    <row r="15" spans="1:14" x14ac:dyDescent="0.25">
      <c r="A15" s="1084" t="s">
        <v>1321</v>
      </c>
      <c r="B15" s="1084" t="s">
        <v>1517</v>
      </c>
      <c r="C15" s="1084" t="s">
        <v>1518</v>
      </c>
      <c r="D15" s="1084" t="s">
        <v>1484</v>
      </c>
      <c r="E15" s="1084" t="s">
        <v>1485</v>
      </c>
      <c r="F15" s="1084" t="s">
        <v>1321</v>
      </c>
      <c r="G15" s="1085" t="s">
        <v>664</v>
      </c>
      <c r="H15" s="1084" t="s">
        <v>1510</v>
      </c>
      <c r="I15" s="1086"/>
      <c r="J15" s="1086"/>
      <c r="K15" s="1086"/>
      <c r="L15" s="1086"/>
      <c r="M15" s="1086"/>
      <c r="N15" s="1086"/>
    </row>
    <row r="16" spans="1:14" x14ac:dyDescent="0.25">
      <c r="A16" s="1084" t="s">
        <v>1322</v>
      </c>
      <c r="B16" s="1084" t="s">
        <v>1519</v>
      </c>
      <c r="C16" s="1084" t="s">
        <v>1520</v>
      </c>
      <c r="D16" s="1084" t="s">
        <v>1484</v>
      </c>
      <c r="E16" s="1084" t="s">
        <v>1485</v>
      </c>
      <c r="F16" s="1084" t="s">
        <v>1322</v>
      </c>
      <c r="G16" s="1084" t="s">
        <v>1491</v>
      </c>
      <c r="H16" s="1084" t="s">
        <v>1510</v>
      </c>
      <c r="I16" s="1086"/>
      <c r="J16" s="1086"/>
      <c r="K16" s="1086"/>
      <c r="L16" s="1086"/>
      <c r="M16" s="1086"/>
      <c r="N16" s="1086"/>
    </row>
    <row r="17" spans="1:14" x14ac:dyDescent="0.25">
      <c r="A17" s="1084" t="s">
        <v>1302</v>
      </c>
      <c r="B17" s="1084" t="s">
        <v>1521</v>
      </c>
      <c r="C17" s="1084" t="s">
        <v>1522</v>
      </c>
      <c r="D17" s="1084" t="s">
        <v>1484</v>
      </c>
      <c r="E17" s="1084" t="s">
        <v>129</v>
      </c>
      <c r="F17" s="1084" t="s">
        <v>1302</v>
      </c>
      <c r="G17" s="1084" t="s">
        <v>1497</v>
      </c>
      <c r="H17" s="1084" t="s">
        <v>1510</v>
      </c>
      <c r="I17" s="1086"/>
      <c r="J17" s="1086"/>
      <c r="K17" s="1086"/>
      <c r="L17" s="1086"/>
      <c r="M17" s="1086"/>
      <c r="N17" s="1086"/>
    </row>
    <row r="18" spans="1:14" ht="30" x14ac:dyDescent="0.25">
      <c r="A18" s="1084" t="s">
        <v>1331</v>
      </c>
      <c r="B18" s="1084" t="s">
        <v>1523</v>
      </c>
      <c r="C18" s="1084" t="s">
        <v>1524</v>
      </c>
      <c r="D18" s="1084" t="s">
        <v>1484</v>
      </c>
      <c r="E18" s="1084" t="s">
        <v>1485</v>
      </c>
      <c r="F18" s="1084" t="s">
        <v>1331</v>
      </c>
      <c r="G18" s="1084" t="s">
        <v>1499</v>
      </c>
      <c r="H18" s="1084" t="s">
        <v>1510</v>
      </c>
      <c r="I18" s="1086"/>
      <c r="J18" s="1086"/>
      <c r="K18" s="1086"/>
      <c r="L18" s="1086"/>
      <c r="M18" s="1086"/>
      <c r="N18" s="1086"/>
    </row>
    <row r="19" spans="1:14" x14ac:dyDescent="0.25">
      <c r="A19" s="1084" t="s">
        <v>1333</v>
      </c>
      <c r="B19" s="1084" t="s">
        <v>1525</v>
      </c>
      <c r="C19" s="1084" t="s">
        <v>1526</v>
      </c>
      <c r="D19" s="1084" t="s">
        <v>1484</v>
      </c>
      <c r="E19" s="1084" t="s">
        <v>1485</v>
      </c>
      <c r="F19" s="1084" t="s">
        <v>1333</v>
      </c>
      <c r="G19" s="1084" t="s">
        <v>1501</v>
      </c>
      <c r="H19" s="1084" t="s">
        <v>1510</v>
      </c>
      <c r="I19" s="1086"/>
      <c r="J19" s="1086"/>
      <c r="K19" s="1086"/>
      <c r="L19" s="1086"/>
      <c r="M19" s="1086"/>
      <c r="N19" s="1086"/>
    </row>
    <row r="20" spans="1:14" x14ac:dyDescent="0.25">
      <c r="A20" s="1084" t="s">
        <v>1334</v>
      </c>
      <c r="B20" s="1084" t="s">
        <v>1527</v>
      </c>
      <c r="C20" s="1084" t="s">
        <v>1528</v>
      </c>
      <c r="D20" s="1084" t="s">
        <v>1484</v>
      </c>
      <c r="E20" s="1084" t="s">
        <v>1485</v>
      </c>
      <c r="F20" s="1084" t="s">
        <v>1334</v>
      </c>
      <c r="G20" s="1084" t="s">
        <v>1502</v>
      </c>
      <c r="H20" s="1084" t="s">
        <v>1510</v>
      </c>
      <c r="I20" s="1086"/>
      <c r="J20" s="1086"/>
      <c r="K20" s="1086"/>
      <c r="L20" s="1086"/>
      <c r="M20" s="1086"/>
      <c r="N20" s="1086"/>
    </row>
    <row r="21" spans="1:14" x14ac:dyDescent="0.25">
      <c r="A21" s="1084" t="s">
        <v>1343</v>
      </c>
      <c r="B21" s="1084" t="s">
        <v>1529</v>
      </c>
      <c r="C21" s="1084" t="s">
        <v>1530</v>
      </c>
      <c r="D21" s="1084" t="s">
        <v>1484</v>
      </c>
      <c r="E21" s="1084" t="s">
        <v>1485</v>
      </c>
      <c r="F21" s="1084" t="s">
        <v>1343</v>
      </c>
      <c r="G21" s="1084" t="s">
        <v>1505</v>
      </c>
      <c r="H21" s="1084" t="s">
        <v>1510</v>
      </c>
      <c r="I21" s="1086"/>
      <c r="J21" s="1086"/>
      <c r="K21" s="1086"/>
      <c r="L21" s="1086"/>
      <c r="M21" s="1086"/>
      <c r="N21" s="1086"/>
    </row>
    <row r="22" spans="1:14" x14ac:dyDescent="0.25">
      <c r="A22" s="1084" t="s">
        <v>1344</v>
      </c>
      <c r="B22" s="1084" t="s">
        <v>1531</v>
      </c>
      <c r="C22" s="1084" t="s">
        <v>1532</v>
      </c>
      <c r="D22" s="1084" t="s">
        <v>1484</v>
      </c>
      <c r="E22" s="1084" t="s">
        <v>1485</v>
      </c>
      <c r="F22" s="1084" t="s">
        <v>1344</v>
      </c>
      <c r="G22" s="1084" t="s">
        <v>1496</v>
      </c>
      <c r="H22" s="1084" t="s">
        <v>1510</v>
      </c>
      <c r="I22" s="1086"/>
      <c r="J22" s="1086"/>
      <c r="K22" s="1086"/>
      <c r="L22" s="1086"/>
      <c r="M22" s="1086"/>
      <c r="N22" s="1086"/>
    </row>
    <row r="23" spans="1:14" x14ac:dyDescent="0.25">
      <c r="A23" s="1084" t="s">
        <v>1533</v>
      </c>
      <c r="B23" s="1084" t="s">
        <v>1534</v>
      </c>
      <c r="C23" s="1084" t="s">
        <v>1535</v>
      </c>
      <c r="D23" s="1084" t="s">
        <v>1484</v>
      </c>
      <c r="E23" s="1084" t="s">
        <v>1485</v>
      </c>
      <c r="F23" s="1084" t="s">
        <v>1533</v>
      </c>
      <c r="G23" s="1084" t="s">
        <v>134</v>
      </c>
      <c r="H23" s="1084" t="s">
        <v>1510</v>
      </c>
      <c r="I23" s="1086"/>
      <c r="J23" s="1086"/>
      <c r="K23" s="1086"/>
      <c r="L23" s="1086"/>
      <c r="M23" s="1086"/>
      <c r="N23" s="1086"/>
    </row>
    <row r="24" spans="1:14" ht="30" x14ac:dyDescent="0.25">
      <c r="A24" s="1084" t="s">
        <v>1536</v>
      </c>
      <c r="B24" s="1084" t="s">
        <v>1537</v>
      </c>
      <c r="C24" s="1084" t="s">
        <v>1538</v>
      </c>
      <c r="D24" s="1084" t="s">
        <v>1484</v>
      </c>
      <c r="E24" s="1084" t="s">
        <v>1485</v>
      </c>
      <c r="F24" s="1084" t="s">
        <v>1539</v>
      </c>
      <c r="G24" s="1084" t="s">
        <v>665</v>
      </c>
      <c r="H24" s="1084" t="s">
        <v>1510</v>
      </c>
      <c r="I24" s="1086"/>
      <c r="J24" s="1086"/>
      <c r="K24" s="1086"/>
      <c r="L24" s="1086"/>
      <c r="M24" s="1086"/>
      <c r="N24" s="1086"/>
    </row>
    <row r="25" spans="1:14" ht="30" x14ac:dyDescent="0.25">
      <c r="A25" s="1084" t="s">
        <v>1348</v>
      </c>
      <c r="B25" s="1084" t="s">
        <v>1540</v>
      </c>
      <c r="C25" s="1084" t="s">
        <v>1540</v>
      </c>
      <c r="D25" s="1084" t="s">
        <v>1484</v>
      </c>
      <c r="E25" s="1084" t="s">
        <v>1485</v>
      </c>
      <c r="F25" s="1084" t="s">
        <v>1348</v>
      </c>
      <c r="G25" s="1084" t="s">
        <v>242</v>
      </c>
      <c r="H25" s="1084" t="s">
        <v>1510</v>
      </c>
      <c r="I25" s="1086"/>
      <c r="J25" s="1086"/>
      <c r="K25" s="1086"/>
      <c r="L25" s="1086"/>
      <c r="M25" s="1086"/>
      <c r="N25" s="1086"/>
    </row>
    <row r="26" spans="1:14" x14ac:dyDescent="0.25">
      <c r="A26" s="1084" t="s">
        <v>1335</v>
      </c>
      <c r="B26" s="1084" t="s">
        <v>1541</v>
      </c>
      <c r="C26" s="1084" t="s">
        <v>1542</v>
      </c>
      <c r="D26" s="1084" t="s">
        <v>1484</v>
      </c>
      <c r="E26" s="1084" t="s">
        <v>1485</v>
      </c>
      <c r="F26" s="1084" t="s">
        <v>1335</v>
      </c>
      <c r="G26" s="1084" t="s">
        <v>1504</v>
      </c>
      <c r="H26" s="1084" t="s">
        <v>1510</v>
      </c>
      <c r="I26" s="1086"/>
      <c r="J26" s="1086"/>
      <c r="K26" s="1086"/>
      <c r="L26" s="1086"/>
      <c r="M26" s="1086"/>
      <c r="N26" s="1086"/>
    </row>
    <row r="27" spans="1:14" x14ac:dyDescent="0.25">
      <c r="A27" s="1084" t="s">
        <v>1349</v>
      </c>
      <c r="B27" s="1084" t="s">
        <v>1543</v>
      </c>
      <c r="C27" s="1084" t="s">
        <v>1544</v>
      </c>
      <c r="D27" s="1084" t="s">
        <v>1484</v>
      </c>
      <c r="E27" s="1084" t="s">
        <v>1485</v>
      </c>
      <c r="F27" s="1084" t="s">
        <v>1349</v>
      </c>
      <c r="G27" s="1084" t="s">
        <v>1545</v>
      </c>
      <c r="H27" s="1084" t="s">
        <v>1510</v>
      </c>
      <c r="I27" s="1086"/>
      <c r="J27" s="1086"/>
      <c r="K27" s="1086"/>
      <c r="L27" s="1086"/>
      <c r="M27" s="1086"/>
      <c r="N27" s="1086"/>
    </row>
    <row r="28" spans="1:14" x14ac:dyDescent="0.25">
      <c r="A28" s="1084" t="s">
        <v>1546</v>
      </c>
      <c r="B28" s="1084" t="s">
        <v>1547</v>
      </c>
      <c r="C28" s="1084" t="s">
        <v>1548</v>
      </c>
      <c r="D28" s="1084" t="s">
        <v>1484</v>
      </c>
      <c r="E28" s="1084" t="s">
        <v>1549</v>
      </c>
      <c r="F28" s="1084" t="s">
        <v>1550</v>
      </c>
      <c r="G28" s="1084" t="s">
        <v>1551</v>
      </c>
      <c r="H28" s="1084" t="s">
        <v>1510</v>
      </c>
      <c r="I28" s="1086"/>
      <c r="J28" s="1086"/>
      <c r="K28" s="1086"/>
      <c r="L28" s="1086"/>
      <c r="M28" s="1086"/>
      <c r="N28" s="1086"/>
    </row>
    <row r="29" spans="1:14" x14ac:dyDescent="0.25">
      <c r="A29" s="1084" t="s">
        <v>245</v>
      </c>
      <c r="B29" s="1084" t="s">
        <v>1552</v>
      </c>
      <c r="C29" s="1084" t="s">
        <v>1553</v>
      </c>
      <c r="D29" s="1084" t="s">
        <v>1484</v>
      </c>
      <c r="E29" s="1084" t="s">
        <v>1549</v>
      </c>
      <c r="F29" s="1084" t="s">
        <v>84</v>
      </c>
      <c r="G29" s="1084" t="s">
        <v>1487</v>
      </c>
      <c r="H29" s="1084" t="s">
        <v>1554</v>
      </c>
      <c r="I29" s="1086"/>
      <c r="J29" s="1086"/>
      <c r="K29" s="1086"/>
      <c r="L29" s="1086"/>
      <c r="M29" s="1086"/>
      <c r="N29" s="1086"/>
    </row>
    <row r="30" spans="1:14" x14ac:dyDescent="0.25">
      <c r="A30" s="1084" t="s">
        <v>266</v>
      </c>
      <c r="B30" s="1084" t="s">
        <v>1555</v>
      </c>
      <c r="C30" s="1084" t="s">
        <v>1556</v>
      </c>
      <c r="D30" s="1084" t="s">
        <v>1484</v>
      </c>
      <c r="E30" s="1084" t="s">
        <v>1549</v>
      </c>
      <c r="F30" s="1084" t="s">
        <v>266</v>
      </c>
      <c r="G30" s="1084" t="s">
        <v>1489</v>
      </c>
      <c r="H30" s="1084" t="s">
        <v>1554</v>
      </c>
      <c r="I30" s="1086"/>
      <c r="J30" s="1086"/>
      <c r="K30" s="1086"/>
      <c r="L30" s="1086"/>
      <c r="M30" s="1086"/>
      <c r="N30" s="1086"/>
    </row>
    <row r="31" spans="1:14" x14ac:dyDescent="0.25">
      <c r="A31" s="1084" t="s">
        <v>659</v>
      </c>
      <c r="B31" s="1084" t="s">
        <v>1557</v>
      </c>
      <c r="C31" s="1084" t="s">
        <v>1558</v>
      </c>
      <c r="D31" s="1084" t="s">
        <v>1484</v>
      </c>
      <c r="E31" s="1084" t="s">
        <v>1549</v>
      </c>
      <c r="F31" s="1084" t="s">
        <v>659</v>
      </c>
      <c r="G31" s="1084" t="s">
        <v>1516</v>
      </c>
      <c r="H31" s="1084" t="s">
        <v>1554</v>
      </c>
      <c r="I31" s="1086"/>
      <c r="J31" s="1086"/>
      <c r="K31" s="1086"/>
      <c r="L31" s="1086"/>
      <c r="M31" s="1086"/>
      <c r="N31" s="1086"/>
    </row>
    <row r="32" spans="1:14" x14ac:dyDescent="0.25">
      <c r="A32" s="1084" t="s">
        <v>1272</v>
      </c>
      <c r="B32" s="1084" t="s">
        <v>1559</v>
      </c>
      <c r="C32" s="1084" t="s">
        <v>1560</v>
      </c>
      <c r="D32" s="1084" t="s">
        <v>1484</v>
      </c>
      <c r="E32" s="1084" t="s">
        <v>1549</v>
      </c>
      <c r="F32" s="1084" t="s">
        <v>1272</v>
      </c>
      <c r="G32" s="1084" t="s">
        <v>664</v>
      </c>
      <c r="H32" s="1084" t="s">
        <v>1554</v>
      </c>
      <c r="I32" s="1086"/>
      <c r="J32" s="1086"/>
      <c r="K32" s="1086"/>
      <c r="L32" s="1086"/>
      <c r="M32" s="1086"/>
      <c r="N32" s="1086"/>
    </row>
    <row r="33" spans="1:14" x14ac:dyDescent="0.25">
      <c r="A33" s="1084" t="s">
        <v>1273</v>
      </c>
      <c r="B33" s="1084" t="s">
        <v>1561</v>
      </c>
      <c r="C33" s="1084" t="s">
        <v>1562</v>
      </c>
      <c r="D33" s="1084" t="s">
        <v>1484</v>
      </c>
      <c r="E33" s="1084" t="s">
        <v>1549</v>
      </c>
      <c r="F33" s="1084" t="s">
        <v>1273</v>
      </c>
      <c r="G33" s="1084" t="s">
        <v>1491</v>
      </c>
      <c r="H33" s="1084" t="s">
        <v>1554</v>
      </c>
      <c r="I33" s="1086"/>
      <c r="J33" s="1086"/>
      <c r="K33" s="1086"/>
      <c r="L33" s="1086"/>
      <c r="M33" s="1086"/>
      <c r="N33" s="1086"/>
    </row>
    <row r="34" spans="1:14" x14ac:dyDescent="0.25">
      <c r="A34" s="1084" t="s">
        <v>1274</v>
      </c>
      <c r="B34" s="1084" t="s">
        <v>1563</v>
      </c>
      <c r="C34" s="1084" t="s">
        <v>1564</v>
      </c>
      <c r="D34" s="1084" t="s">
        <v>1484</v>
      </c>
      <c r="E34" s="1084" t="s">
        <v>1549</v>
      </c>
      <c r="F34" s="1084" t="s">
        <v>1274</v>
      </c>
      <c r="G34" s="1084" t="s">
        <v>1497</v>
      </c>
      <c r="H34" s="1084" t="s">
        <v>1554</v>
      </c>
      <c r="I34" s="1086"/>
      <c r="J34" s="1086"/>
      <c r="K34" s="1086"/>
      <c r="L34" s="1086"/>
      <c r="M34" s="1086"/>
      <c r="N34" s="1086"/>
    </row>
    <row r="35" spans="1:14" x14ac:dyDescent="0.25">
      <c r="A35" s="1084" t="s">
        <v>1384</v>
      </c>
      <c r="B35" s="1084" t="s">
        <v>1039</v>
      </c>
      <c r="C35" s="1084" t="s">
        <v>1040</v>
      </c>
      <c r="D35" s="1084" t="s">
        <v>1484</v>
      </c>
      <c r="E35" s="1084" t="s">
        <v>1398</v>
      </c>
      <c r="F35" s="1084" t="s">
        <v>1384</v>
      </c>
      <c r="G35" s="1084" t="s">
        <v>1487</v>
      </c>
      <c r="H35" s="1084" t="s">
        <v>1382</v>
      </c>
      <c r="I35" s="1086"/>
      <c r="J35" s="1086"/>
      <c r="K35" s="1086"/>
      <c r="L35" s="1086"/>
      <c r="M35" s="1086"/>
      <c r="N35" s="1086"/>
    </row>
    <row r="36" spans="1:14" x14ac:dyDescent="0.25">
      <c r="A36" s="1084" t="s">
        <v>1565</v>
      </c>
      <c r="B36" s="1084" t="s">
        <v>1566</v>
      </c>
      <c r="C36" s="1084" t="s">
        <v>1567</v>
      </c>
      <c r="D36" s="1084" t="s">
        <v>1484</v>
      </c>
      <c r="E36" s="1084" t="s">
        <v>1398</v>
      </c>
      <c r="F36" s="1084" t="s">
        <v>1565</v>
      </c>
      <c r="G36" s="1084" t="s">
        <v>1489</v>
      </c>
      <c r="H36" s="1084" t="s">
        <v>1382</v>
      </c>
      <c r="I36" s="1086"/>
      <c r="J36" s="1086"/>
      <c r="K36" s="1086"/>
      <c r="L36" s="1086"/>
      <c r="M36" s="1086"/>
      <c r="N36" s="1086"/>
    </row>
    <row r="37" spans="1:14" x14ac:dyDescent="0.25">
      <c r="A37" s="1084" t="s">
        <v>1386</v>
      </c>
      <c r="B37" s="1081" t="s">
        <v>1568</v>
      </c>
      <c r="C37" s="1081" t="s">
        <v>1569</v>
      </c>
      <c r="D37" s="1084" t="s">
        <v>1484</v>
      </c>
      <c r="E37" s="1084" t="s">
        <v>1398</v>
      </c>
      <c r="F37" s="1084" t="s">
        <v>1386</v>
      </c>
      <c r="G37" s="1084" t="s">
        <v>1516</v>
      </c>
      <c r="H37" s="1084" t="s">
        <v>1382</v>
      </c>
      <c r="I37" s="1086"/>
      <c r="J37" s="1086"/>
      <c r="K37" s="1086"/>
      <c r="L37" s="1086"/>
      <c r="M37" s="1086"/>
      <c r="N37" s="1086"/>
    </row>
    <row r="38" spans="1:14" x14ac:dyDescent="0.25">
      <c r="A38" s="897"/>
      <c r="B38" s="897"/>
      <c r="C38" s="897"/>
      <c r="D38" s="897"/>
      <c r="E38" s="897"/>
      <c r="F38" s="897"/>
      <c r="G38" s="897"/>
      <c r="H38" s="897"/>
      <c r="I38" s="897"/>
      <c r="J38" s="897"/>
      <c r="K38" s="897"/>
      <c r="L38" s="897"/>
      <c r="M38" s="897"/>
      <c r="N38" s="897"/>
    </row>
  </sheetData>
  <mergeCells count="4">
    <mergeCell ref="A1:E1"/>
    <mergeCell ref="F1:H1"/>
    <mergeCell ref="I1:K1"/>
    <mergeCell ref="L1:N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CF531-FA1F-4A54-8391-2481CA142EA7}">
  <sheetPr codeName="Sheet24"/>
  <dimension ref="A1"/>
  <sheetViews>
    <sheetView showGridLines="0" workbookViewId="0">
      <selection activeCell="M14" sqref="M14"/>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F255A7-5C58-49A8-805A-DD07EC3F8AC4}">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670"/>
      <c r="B1" s="670"/>
      <c r="C1" s="670"/>
      <c r="D1" s="670"/>
      <c r="E1" s="670"/>
      <c r="F1" s="670"/>
      <c r="G1" s="670"/>
      <c r="H1" s="670"/>
      <c r="I1" s="670"/>
      <c r="J1" s="940"/>
      <c r="K1" s="940"/>
      <c r="L1" s="940"/>
      <c r="M1" s="940"/>
      <c r="N1" s="940"/>
      <c r="O1" s="940"/>
      <c r="P1" s="940"/>
      <c r="Q1" s="940"/>
      <c r="R1" s="940"/>
      <c r="S1" s="932"/>
    </row>
    <row r="2" spans="1:19" ht="15.75" thickBot="1" x14ac:dyDescent="0.3">
      <c r="A2" s="940"/>
      <c r="B2" s="1358" t="s">
        <v>1313</v>
      </c>
      <c r="C2" s="1359"/>
      <c r="D2" s="1359"/>
      <c r="E2" s="1359"/>
      <c r="F2" s="1359"/>
      <c r="G2" s="1359"/>
      <c r="H2" s="1359"/>
      <c r="I2" s="1360"/>
      <c r="J2" s="940"/>
      <c r="K2" s="940"/>
      <c r="L2" s="940"/>
      <c r="M2" s="1361" t="s">
        <v>1314</v>
      </c>
      <c r="N2" s="1361"/>
      <c r="O2" s="1361"/>
      <c r="P2" s="940"/>
      <c r="Q2" s="940"/>
      <c r="R2" s="940"/>
      <c r="S2" s="932"/>
    </row>
    <row r="3" spans="1:19" x14ac:dyDescent="0.25">
      <c r="A3" s="940"/>
      <c r="B3" s="1021"/>
      <c r="C3" s="980"/>
      <c r="D3" s="980"/>
      <c r="E3" s="980"/>
      <c r="F3" s="980"/>
      <c r="G3" s="980"/>
      <c r="H3" s="980"/>
      <c r="I3" s="1022"/>
      <c r="J3" s="940"/>
      <c r="K3" s="940"/>
      <c r="L3" s="940"/>
      <c r="M3" s="941" t="s">
        <v>1315</v>
      </c>
      <c r="N3" s="941">
        <v>500</v>
      </c>
      <c r="O3" s="941">
        <v>25</v>
      </c>
      <c r="P3" s="940"/>
      <c r="Q3" s="940" t="s">
        <v>1315</v>
      </c>
      <c r="R3" s="940"/>
      <c r="S3" s="932"/>
    </row>
    <row r="4" spans="1:19" ht="25.5" x14ac:dyDescent="0.25">
      <c r="A4" s="940"/>
      <c r="B4" s="1023" t="s">
        <v>377</v>
      </c>
      <c r="C4" s="1024" t="s">
        <v>1316</v>
      </c>
      <c r="D4" s="1024" t="s">
        <v>1317</v>
      </c>
      <c r="E4" s="1024" t="s">
        <v>1318</v>
      </c>
      <c r="F4" s="1024" t="s">
        <v>1319</v>
      </c>
      <c r="G4" s="1025" t="s">
        <v>1320</v>
      </c>
      <c r="H4" s="1025" t="s">
        <v>1321</v>
      </c>
      <c r="I4" s="1026" t="s">
        <v>1322</v>
      </c>
      <c r="J4" s="940"/>
      <c r="K4" s="940"/>
      <c r="L4" s="940"/>
      <c r="M4" s="941" t="s">
        <v>1323</v>
      </c>
      <c r="N4" s="941">
        <v>500</v>
      </c>
      <c r="O4" s="941">
        <v>35</v>
      </c>
      <c r="P4" s="940"/>
      <c r="Q4" s="940" t="s">
        <v>1323</v>
      </c>
      <c r="R4" s="940"/>
      <c r="S4" s="932"/>
    </row>
    <row r="5" spans="1:19" ht="15.75" thickBot="1" x14ac:dyDescent="0.3">
      <c r="A5" s="940"/>
      <c r="B5" s="942">
        <f>'Existing Customers'!$AB$2</f>
        <v>0</v>
      </c>
      <c r="C5" s="934" t="s">
        <v>653</v>
      </c>
      <c r="D5" s="934" t="s">
        <v>1324</v>
      </c>
      <c r="E5" s="934" t="s">
        <v>655</v>
      </c>
      <c r="F5" s="934" t="s">
        <v>653</v>
      </c>
      <c r="G5" s="943" t="str">
        <f>IFERROR('PIM Model'!H31/('PIM Model'!E6*52*Welcome!D14),"")</f>
        <v/>
      </c>
      <c r="H5" s="943" t="str">
        <f>IFERROR('PIM Model'!G31/('PIM Model'!E6*52*Welcome!D14),"")</f>
        <v/>
      </c>
      <c r="I5" s="944" t="str">
        <f>IFERROR('PIM Model'!G31/'PIM Model'!H31,"")</f>
        <v/>
      </c>
      <c r="J5" s="940"/>
      <c r="K5" s="940"/>
      <c r="L5" s="940"/>
      <c r="M5" s="941" t="s">
        <v>1325</v>
      </c>
      <c r="N5" s="941">
        <v>500</v>
      </c>
      <c r="O5" s="941">
        <v>50</v>
      </c>
      <c r="P5" s="940"/>
      <c r="Q5" s="940" t="s">
        <v>1325</v>
      </c>
      <c r="R5" s="940"/>
      <c r="S5" s="932"/>
    </row>
    <row r="6" spans="1:19" ht="15.75" thickBot="1" x14ac:dyDescent="0.3">
      <c r="A6" s="940"/>
      <c r="B6" s="670"/>
      <c r="C6" s="670"/>
      <c r="D6" s="670"/>
      <c r="E6" s="670"/>
      <c r="F6" s="670"/>
      <c r="G6" s="670"/>
      <c r="H6" s="670"/>
      <c r="I6" s="670"/>
      <c r="J6" s="940"/>
      <c r="K6" s="940"/>
      <c r="L6" s="940"/>
      <c r="M6" s="941"/>
      <c r="N6" s="941"/>
      <c r="O6" s="941"/>
      <c r="P6" s="940"/>
      <c r="Q6" s="940" t="s">
        <v>1326</v>
      </c>
      <c r="R6" s="940"/>
      <c r="S6" s="932"/>
    </row>
    <row r="7" spans="1:19" ht="15.75" thickBot="1" x14ac:dyDescent="0.3">
      <c r="A7" s="940"/>
      <c r="B7" s="1358" t="s">
        <v>1327</v>
      </c>
      <c r="C7" s="1359"/>
      <c r="D7" s="1359"/>
      <c r="E7" s="1359"/>
      <c r="F7" s="1359"/>
      <c r="G7" s="1359"/>
      <c r="H7" s="1359"/>
      <c r="I7" s="1360"/>
      <c r="J7" s="940"/>
      <c r="K7" s="940"/>
      <c r="L7" s="940"/>
      <c r="M7" s="941" t="s">
        <v>1326</v>
      </c>
      <c r="N7" s="941">
        <v>600</v>
      </c>
      <c r="O7" s="941">
        <v>35</v>
      </c>
      <c r="P7" s="940"/>
      <c r="Q7" s="940" t="s">
        <v>1328</v>
      </c>
      <c r="R7" s="940"/>
      <c r="S7" s="932"/>
    </row>
    <row r="8" spans="1:19" x14ac:dyDescent="0.25">
      <c r="A8" s="940"/>
      <c r="B8" s="1027"/>
      <c r="C8" s="1028"/>
      <c r="D8" s="1028"/>
      <c r="E8" s="1028"/>
      <c r="F8" s="1028"/>
      <c r="G8" s="1028"/>
      <c r="H8" s="1028"/>
      <c r="I8" s="1029"/>
      <c r="J8" s="940"/>
      <c r="K8" s="940"/>
      <c r="L8" s="940"/>
      <c r="M8" s="941" t="s">
        <v>1328</v>
      </c>
      <c r="N8" s="941">
        <v>600</v>
      </c>
      <c r="O8" s="941">
        <v>50</v>
      </c>
      <c r="P8" s="940"/>
      <c r="Q8" s="940" t="s">
        <v>1329</v>
      </c>
      <c r="R8" s="940"/>
      <c r="S8" s="932"/>
    </row>
    <row r="9" spans="1:19" ht="65.25" customHeight="1" x14ac:dyDescent="0.25">
      <c r="A9" s="940"/>
      <c r="B9" s="1030" t="s">
        <v>1330</v>
      </c>
      <c r="C9" s="1024" t="s">
        <v>1331</v>
      </c>
      <c r="D9" s="1024" t="s">
        <v>1332</v>
      </c>
      <c r="E9" s="1024" t="s">
        <v>1333</v>
      </c>
      <c r="F9" s="1024" t="s">
        <v>1334</v>
      </c>
      <c r="G9" s="1024" t="s">
        <v>1335</v>
      </c>
      <c r="H9" s="1024" t="s">
        <v>1336</v>
      </c>
      <c r="I9" s="1031" t="s">
        <v>1337</v>
      </c>
      <c r="J9" s="940"/>
      <c r="K9" s="940"/>
      <c r="L9" s="940"/>
      <c r="M9" s="941" t="s">
        <v>1329</v>
      </c>
      <c r="N9" s="941">
        <v>750</v>
      </c>
      <c r="O9" s="941">
        <v>35</v>
      </c>
      <c r="P9" s="940"/>
      <c r="Q9" s="940" t="s">
        <v>1329</v>
      </c>
      <c r="R9" s="940"/>
      <c r="S9" s="932"/>
    </row>
    <row r="10" spans="1:19" x14ac:dyDescent="0.25">
      <c r="A10" s="940"/>
      <c r="B10" s="947">
        <v>85</v>
      </c>
      <c r="C10" s="948">
        <v>500</v>
      </c>
      <c r="D10" s="949" t="s">
        <v>1323</v>
      </c>
      <c r="E10" s="945">
        <f>VLOOKUP($D$10,$M$3:$O$17,2,FALSE)</f>
        <v>500</v>
      </c>
      <c r="F10" s="945">
        <f>VLOOKUP($D$10,$M$3:$O$17,3,FALSE)</f>
        <v>35</v>
      </c>
      <c r="G10" s="949"/>
      <c r="H10" s="949" t="s">
        <v>653</v>
      </c>
      <c r="I10" s="950" t="s">
        <v>1338</v>
      </c>
      <c r="J10" s="940"/>
      <c r="K10" s="940"/>
      <c r="L10" s="940"/>
      <c r="M10" s="941" t="s">
        <v>1339</v>
      </c>
      <c r="N10" s="941">
        <v>750</v>
      </c>
      <c r="O10" s="941">
        <v>50</v>
      </c>
      <c r="P10" s="940"/>
      <c r="Q10" s="940" t="s">
        <v>1340</v>
      </c>
      <c r="R10" s="940"/>
      <c r="S10" s="932"/>
    </row>
    <row r="11" spans="1:19" x14ac:dyDescent="0.25">
      <c r="A11" s="940"/>
      <c r="B11" s="1032"/>
      <c r="C11" s="980"/>
      <c r="D11" s="980"/>
      <c r="E11" s="1033"/>
      <c r="F11" s="1033"/>
      <c r="G11" s="980"/>
      <c r="H11" s="1033"/>
      <c r="I11" s="1022"/>
      <c r="J11" s="940"/>
      <c r="K11" s="940"/>
      <c r="L11" s="940"/>
      <c r="M11" s="941"/>
      <c r="N11" s="941"/>
      <c r="O11" s="941"/>
      <c r="P11" s="940"/>
      <c r="Q11" s="940" t="s">
        <v>1341</v>
      </c>
      <c r="R11" s="940"/>
      <c r="S11" s="932"/>
    </row>
    <row r="12" spans="1:19" ht="48.75" customHeight="1" x14ac:dyDescent="0.25">
      <c r="A12" s="940"/>
      <c r="B12" s="1030" t="s">
        <v>1342</v>
      </c>
      <c r="C12" s="1024" t="s">
        <v>1343</v>
      </c>
      <c r="D12" s="1024" t="s">
        <v>1344</v>
      </c>
      <c r="E12" s="1024" t="s">
        <v>1345</v>
      </c>
      <c r="F12" s="1024" t="s">
        <v>1346</v>
      </c>
      <c r="G12" s="1024" t="s">
        <v>1347</v>
      </c>
      <c r="H12" s="1024" t="s">
        <v>1348</v>
      </c>
      <c r="I12" s="1031" t="s">
        <v>1349</v>
      </c>
      <c r="J12" s="940"/>
      <c r="K12" s="940"/>
      <c r="L12" s="940"/>
      <c r="M12" s="941" t="s">
        <v>1340</v>
      </c>
      <c r="N12" s="941">
        <v>1000</v>
      </c>
      <c r="O12" s="941">
        <v>35</v>
      </c>
      <c r="P12" s="940"/>
      <c r="Q12" s="940" t="s">
        <v>1350</v>
      </c>
      <c r="R12" s="940"/>
      <c r="S12" s="932"/>
    </row>
    <row r="13" spans="1:19" ht="51" customHeight="1" thickBot="1" x14ac:dyDescent="0.3">
      <c r="A13" s="940"/>
      <c r="B13" s="942" t="s">
        <v>653</v>
      </c>
      <c r="C13" s="935">
        <v>30</v>
      </c>
      <c r="D13" s="934" t="s">
        <v>483</v>
      </c>
      <c r="E13" s="946" t="s">
        <v>653</v>
      </c>
      <c r="F13" s="935">
        <v>2.25</v>
      </c>
      <c r="G13" s="935">
        <v>30</v>
      </c>
      <c r="H13" s="934" t="s">
        <v>483</v>
      </c>
      <c r="I13" s="951" t="s">
        <v>1351</v>
      </c>
      <c r="J13" s="940"/>
      <c r="K13" s="940"/>
      <c r="L13" s="940"/>
      <c r="M13" s="941" t="s">
        <v>1341</v>
      </c>
      <c r="N13" s="941">
        <v>1000</v>
      </c>
      <c r="O13" s="941">
        <v>50</v>
      </c>
      <c r="P13" s="940"/>
      <c r="Q13" s="940" t="s">
        <v>1352</v>
      </c>
      <c r="R13" s="940"/>
      <c r="S13" s="932"/>
    </row>
    <row r="14" spans="1:19" ht="15.75" thickBot="1" x14ac:dyDescent="0.3">
      <c r="A14" s="940"/>
      <c r="B14" s="670"/>
      <c r="C14" s="670"/>
      <c r="D14" s="670"/>
      <c r="E14" s="670"/>
      <c r="F14" s="670"/>
      <c r="G14" s="670"/>
      <c r="H14" s="670"/>
      <c r="I14" s="670"/>
      <c r="J14" s="940"/>
      <c r="K14" s="940"/>
      <c r="L14" s="940"/>
      <c r="M14" s="941"/>
      <c r="N14" s="941"/>
      <c r="O14" s="941"/>
      <c r="P14" s="940"/>
      <c r="Q14" s="940" t="s">
        <v>1353</v>
      </c>
      <c r="R14" s="940"/>
      <c r="S14" s="932"/>
    </row>
    <row r="15" spans="1:19" ht="15.75" thickBot="1" x14ac:dyDescent="0.3">
      <c r="A15" s="940"/>
      <c r="B15" s="1362" t="s">
        <v>1354</v>
      </c>
      <c r="C15" s="1363"/>
      <c r="D15" s="1363"/>
      <c r="E15" s="1363"/>
      <c r="F15" s="1363"/>
      <c r="G15" s="1364"/>
      <c r="H15" s="670"/>
      <c r="I15" s="670"/>
      <c r="J15" s="940"/>
      <c r="K15" s="940"/>
      <c r="L15" s="940"/>
      <c r="M15" s="941" t="s">
        <v>1355</v>
      </c>
      <c r="N15" s="941">
        <v>1500</v>
      </c>
      <c r="O15" s="941">
        <v>35</v>
      </c>
      <c r="P15" s="940"/>
      <c r="Q15" s="940"/>
      <c r="R15" s="940"/>
      <c r="S15" s="932"/>
    </row>
    <row r="16" spans="1:19" x14ac:dyDescent="0.25">
      <c r="A16" s="940"/>
      <c r="B16" s="1021"/>
      <c r="C16" s="980"/>
      <c r="D16" s="980"/>
      <c r="E16" s="980"/>
      <c r="F16" s="980"/>
      <c r="G16" s="1022"/>
      <c r="H16" s="670"/>
      <c r="I16" s="670"/>
      <c r="J16" s="940"/>
      <c r="K16" s="940"/>
      <c r="L16" s="940"/>
      <c r="M16" s="941" t="s">
        <v>1352</v>
      </c>
      <c r="N16" s="941">
        <v>1500</v>
      </c>
      <c r="O16" s="941">
        <v>50</v>
      </c>
      <c r="P16" s="940"/>
      <c r="Q16" s="940"/>
      <c r="R16" s="940"/>
      <c r="S16" s="932"/>
    </row>
    <row r="17" spans="1:19" ht="51" customHeight="1" x14ac:dyDescent="0.25">
      <c r="A17" s="940"/>
      <c r="B17" s="1034" t="s">
        <v>1360</v>
      </c>
      <c r="C17" s="1035" t="s">
        <v>1356</v>
      </c>
      <c r="D17" s="1035" t="s">
        <v>1357</v>
      </c>
      <c r="E17" s="1035" t="s">
        <v>1361</v>
      </c>
      <c r="F17" s="1036" t="s">
        <v>1358</v>
      </c>
      <c r="G17" s="1026" t="s">
        <v>1362</v>
      </c>
      <c r="H17" s="670"/>
      <c r="I17" s="670"/>
      <c r="J17" s="940"/>
      <c r="K17" s="940"/>
      <c r="L17" s="940"/>
      <c r="M17" s="941" t="s">
        <v>1353</v>
      </c>
      <c r="N17" s="941">
        <v>5000</v>
      </c>
      <c r="O17" s="941">
        <v>100</v>
      </c>
      <c r="P17" s="940"/>
      <c r="Q17" s="940"/>
      <c r="R17" s="940"/>
      <c r="S17" s="932"/>
    </row>
    <row r="18" spans="1:19" ht="19.5" customHeight="1" thickBot="1" x14ac:dyDescent="0.3">
      <c r="A18" s="940"/>
      <c r="B18" s="937">
        <v>13</v>
      </c>
      <c r="C18" s="936" t="s">
        <v>669</v>
      </c>
      <c r="D18" s="938">
        <v>25</v>
      </c>
      <c r="E18" s="936" t="s">
        <v>1359</v>
      </c>
      <c r="F18" s="939">
        <v>2</v>
      </c>
      <c r="G18" s="954" t="str">
        <f>IF('Pricing Schedule'!E5="PB","before","after")</f>
        <v>before</v>
      </c>
      <c r="H18" s="670"/>
      <c r="I18" s="670"/>
      <c r="J18" s="940"/>
      <c r="K18" s="940"/>
      <c r="L18" s="940"/>
      <c r="M18" s="940"/>
      <c r="N18" s="940"/>
      <c r="O18" s="940"/>
      <c r="P18" s="940"/>
      <c r="Q18" s="940"/>
      <c r="R18" s="940"/>
      <c r="S18" s="932"/>
    </row>
    <row r="19" spans="1:19" x14ac:dyDescent="0.25">
      <c r="A19" s="940"/>
      <c r="B19" s="980"/>
      <c r="C19" s="980"/>
      <c r="D19" s="980"/>
      <c r="E19" s="980"/>
      <c r="F19" s="980"/>
      <c r="G19" s="980"/>
      <c r="H19" s="670"/>
      <c r="I19" s="670"/>
      <c r="J19" s="940"/>
      <c r="K19" s="940"/>
      <c r="L19" s="940"/>
      <c r="M19" s="940"/>
      <c r="N19" s="940"/>
      <c r="O19" s="940"/>
      <c r="P19" s="940"/>
      <c r="Q19" s="940"/>
      <c r="R19" s="940"/>
      <c r="S19" s="932"/>
    </row>
    <row r="20" spans="1:19" x14ac:dyDescent="0.25">
      <c r="A20" s="940"/>
      <c r="B20" s="670"/>
      <c r="C20" s="670"/>
      <c r="D20" s="670"/>
      <c r="E20" s="670"/>
      <c r="F20" s="670"/>
      <c r="G20" s="670"/>
      <c r="H20" s="670"/>
      <c r="I20" s="670"/>
      <c r="J20" s="940"/>
      <c r="K20" s="940"/>
      <c r="L20" s="940"/>
      <c r="M20" s="940"/>
      <c r="N20" s="940"/>
      <c r="O20" s="940"/>
      <c r="P20" s="940"/>
      <c r="Q20" s="940"/>
      <c r="R20" s="940"/>
      <c r="S20" s="932"/>
    </row>
    <row r="21" spans="1:19" x14ac:dyDescent="0.25">
      <c r="A21" s="940"/>
      <c r="B21" s="940"/>
      <c r="C21" s="940"/>
      <c r="D21" s="940"/>
      <c r="E21" s="940"/>
      <c r="F21" s="940"/>
      <c r="G21" s="940"/>
      <c r="H21" s="940"/>
      <c r="I21" s="940"/>
      <c r="J21" s="940"/>
      <c r="K21" s="940"/>
      <c r="L21" s="940"/>
      <c r="M21" s="940"/>
      <c r="N21" s="940"/>
      <c r="O21" s="940"/>
      <c r="P21" s="940"/>
      <c r="Q21" s="940"/>
      <c r="R21" s="940"/>
      <c r="S21" s="932"/>
    </row>
    <row r="22" spans="1:19" x14ac:dyDescent="0.25">
      <c r="A22" s="932"/>
      <c r="B22" s="932"/>
      <c r="C22" s="932"/>
      <c r="D22" s="932"/>
      <c r="E22" s="932"/>
      <c r="F22" s="932"/>
      <c r="G22" s="932"/>
      <c r="H22" s="932"/>
      <c r="I22" s="932"/>
      <c r="J22" s="932"/>
      <c r="K22" s="932"/>
      <c r="L22" s="932"/>
      <c r="M22" s="932"/>
      <c r="N22" s="932"/>
      <c r="O22" s="932"/>
      <c r="P22" s="932"/>
      <c r="Q22" s="932"/>
      <c r="R22" s="932"/>
      <c r="S22" s="932"/>
    </row>
    <row r="23" spans="1:19" x14ac:dyDescent="0.25">
      <c r="A23" s="932"/>
      <c r="B23" s="932"/>
      <c r="C23" s="932"/>
      <c r="D23" s="932"/>
      <c r="E23" s="932"/>
      <c r="F23" s="932"/>
      <c r="G23" s="932"/>
      <c r="H23" s="932"/>
      <c r="I23" s="932"/>
      <c r="J23" s="932"/>
      <c r="K23" s="932"/>
      <c r="L23" s="932"/>
      <c r="M23" s="932"/>
      <c r="N23" s="932"/>
      <c r="O23" s="932"/>
      <c r="P23" s="932"/>
      <c r="Q23" s="932"/>
      <c r="R23" s="932"/>
      <c r="S23" s="932"/>
    </row>
    <row r="24" spans="1:19" x14ac:dyDescent="0.25">
      <c r="A24" s="932"/>
      <c r="B24" s="932"/>
      <c r="C24" s="932"/>
      <c r="D24" s="932"/>
      <c r="E24" s="932"/>
      <c r="F24" s="932"/>
      <c r="G24" s="932"/>
      <c r="H24" s="932"/>
      <c r="I24" s="932"/>
      <c r="J24" s="932"/>
      <c r="K24" s="932"/>
      <c r="L24" s="932"/>
      <c r="M24" s="932"/>
      <c r="N24" s="932"/>
      <c r="O24" s="932"/>
      <c r="P24" s="932"/>
      <c r="Q24" s="932"/>
      <c r="R24" s="932"/>
      <c r="S24" s="932"/>
    </row>
    <row r="25" spans="1:19" x14ac:dyDescent="0.25">
      <c r="A25" s="932"/>
      <c r="B25" s="932"/>
      <c r="C25" s="932"/>
      <c r="D25" s="932"/>
      <c r="E25" s="932"/>
      <c r="F25" s="932"/>
      <c r="G25" s="932"/>
      <c r="H25" s="932"/>
      <c r="I25" s="932"/>
      <c r="J25" s="932"/>
      <c r="K25" s="932"/>
      <c r="L25" s="932"/>
      <c r="M25" s="932"/>
      <c r="N25" s="932"/>
      <c r="O25" s="932"/>
      <c r="P25" s="932"/>
      <c r="Q25" s="932"/>
      <c r="R25" s="932"/>
      <c r="S25" s="932"/>
    </row>
    <row r="26" spans="1:19" x14ac:dyDescent="0.25">
      <c r="A26" s="932"/>
      <c r="B26" s="932"/>
      <c r="C26" s="932"/>
      <c r="D26" s="932"/>
      <c r="E26" s="932"/>
      <c r="F26" s="932"/>
      <c r="G26" s="932"/>
      <c r="H26" s="932"/>
      <c r="I26" s="932"/>
      <c r="J26" s="932"/>
      <c r="K26" s="932"/>
      <c r="L26" s="932"/>
      <c r="M26" s="932"/>
      <c r="N26" s="932"/>
      <c r="O26" s="932"/>
      <c r="P26" s="932"/>
      <c r="Q26" s="932"/>
      <c r="R26" s="932"/>
      <c r="S26" s="932"/>
    </row>
    <row r="27" spans="1:19" x14ac:dyDescent="0.25">
      <c r="A27" s="932"/>
      <c r="B27" s="932"/>
      <c r="C27" s="932"/>
      <c r="D27" s="932"/>
      <c r="E27" s="932"/>
      <c r="F27" s="932"/>
      <c r="G27" s="932"/>
      <c r="H27" s="932"/>
      <c r="I27" s="932"/>
      <c r="J27" s="932"/>
      <c r="K27" s="932"/>
      <c r="L27" s="932"/>
      <c r="M27" s="932"/>
      <c r="N27" s="932"/>
      <c r="O27" s="932"/>
      <c r="P27" s="932"/>
      <c r="Q27" s="932"/>
      <c r="R27" s="932"/>
      <c r="S27" s="932"/>
    </row>
    <row r="28" spans="1:19" x14ac:dyDescent="0.25">
      <c r="A28" s="932"/>
      <c r="B28" s="932"/>
      <c r="C28" s="932"/>
      <c r="D28" s="932"/>
      <c r="E28" s="932"/>
      <c r="F28" s="932"/>
      <c r="G28" s="932"/>
      <c r="H28" s="932"/>
      <c r="I28" s="932"/>
      <c r="J28" s="932"/>
      <c r="K28" s="932"/>
      <c r="L28" s="932"/>
      <c r="M28" s="932"/>
      <c r="N28" s="932"/>
      <c r="O28" s="932"/>
      <c r="P28" s="932"/>
      <c r="Q28" s="932"/>
      <c r="R28" s="932"/>
      <c r="S28" s="932"/>
    </row>
    <row r="29" spans="1:19" x14ac:dyDescent="0.25">
      <c r="A29" s="932"/>
      <c r="B29" s="932"/>
      <c r="C29" s="932"/>
      <c r="D29" s="932"/>
      <c r="E29" s="932"/>
      <c r="F29" s="932"/>
      <c r="G29" s="932"/>
      <c r="H29" s="932"/>
      <c r="I29" s="932"/>
      <c r="J29" s="932"/>
      <c r="K29" s="932"/>
      <c r="L29" s="932"/>
      <c r="M29" s="932"/>
      <c r="N29" s="932"/>
      <c r="O29" s="932"/>
      <c r="P29" s="932"/>
      <c r="Q29" s="932"/>
      <c r="R29" s="932"/>
      <c r="S29" s="932"/>
    </row>
    <row r="30" spans="1:19" x14ac:dyDescent="0.25">
      <c r="A30" s="932"/>
      <c r="B30" s="932"/>
      <c r="C30" s="932"/>
      <c r="D30" s="932"/>
      <c r="E30" s="932"/>
      <c r="F30" s="932"/>
      <c r="G30" s="932"/>
      <c r="H30" s="932"/>
      <c r="I30" s="932"/>
      <c r="J30" s="932"/>
      <c r="K30" s="932"/>
      <c r="L30" s="932"/>
      <c r="M30" s="932"/>
      <c r="N30" s="932"/>
      <c r="O30" s="932"/>
      <c r="P30" s="932"/>
      <c r="Q30" s="932"/>
      <c r="R30" s="932"/>
      <c r="S30" s="932"/>
    </row>
    <row r="31" spans="1:19" x14ac:dyDescent="0.25">
      <c r="A31" s="932"/>
      <c r="B31" s="932"/>
      <c r="C31" s="932"/>
      <c r="D31" s="932"/>
      <c r="E31" s="932"/>
      <c r="F31" s="932"/>
      <c r="G31" s="932"/>
      <c r="H31" s="932"/>
      <c r="I31" s="932"/>
      <c r="J31" s="932"/>
      <c r="K31" s="932"/>
      <c r="L31" s="932"/>
      <c r="M31" s="932"/>
      <c r="N31" s="932"/>
      <c r="O31" s="932"/>
      <c r="P31" s="932"/>
      <c r="Q31" s="932"/>
      <c r="R31" s="932"/>
      <c r="S31" s="932"/>
    </row>
    <row r="32" spans="1:19" x14ac:dyDescent="0.25">
      <c r="A32" s="932"/>
      <c r="B32" s="932"/>
      <c r="C32" s="932"/>
      <c r="D32" s="932"/>
      <c r="E32" s="932"/>
      <c r="F32" s="932"/>
      <c r="G32" s="932"/>
      <c r="H32" s="932"/>
      <c r="I32" s="932"/>
      <c r="J32" s="932"/>
      <c r="K32" s="932"/>
      <c r="L32" s="932"/>
      <c r="M32" s="932"/>
      <c r="N32" s="932"/>
      <c r="O32" s="932"/>
      <c r="P32" s="932"/>
      <c r="Q32" s="932"/>
      <c r="R32" s="932"/>
      <c r="S32" s="932"/>
    </row>
    <row r="33" spans="1:19" x14ac:dyDescent="0.25">
      <c r="A33" s="932"/>
      <c r="B33" s="932"/>
      <c r="C33" s="932"/>
      <c r="D33" s="932"/>
      <c r="E33" s="932"/>
      <c r="F33" s="932"/>
      <c r="G33" s="932"/>
      <c r="H33" s="932"/>
      <c r="I33" s="932"/>
      <c r="J33" s="932"/>
      <c r="K33" s="932"/>
      <c r="L33" s="932"/>
      <c r="M33" s="932"/>
      <c r="N33" s="932"/>
      <c r="O33" s="932"/>
      <c r="P33" s="932"/>
      <c r="Q33" s="932"/>
      <c r="R33" s="932"/>
      <c r="S33" s="932"/>
    </row>
    <row r="34" spans="1:19" x14ac:dyDescent="0.25">
      <c r="A34" s="932"/>
      <c r="B34" s="932"/>
      <c r="C34" s="932"/>
      <c r="D34" s="932"/>
      <c r="E34" s="932"/>
      <c r="F34" s="932"/>
      <c r="G34" s="932"/>
      <c r="H34" s="932"/>
      <c r="I34" s="932"/>
      <c r="J34" s="932"/>
      <c r="K34" s="932"/>
      <c r="L34" s="932"/>
      <c r="M34" s="932"/>
      <c r="N34" s="932"/>
      <c r="O34" s="932"/>
      <c r="P34" s="932"/>
      <c r="Q34" s="932"/>
      <c r="R34" s="932"/>
      <c r="S34" s="932"/>
    </row>
    <row r="35" spans="1:19" x14ac:dyDescent="0.25">
      <c r="A35" s="932"/>
      <c r="B35" s="932"/>
      <c r="C35" s="932"/>
      <c r="D35" s="932"/>
      <c r="E35" s="932"/>
      <c r="F35" s="932"/>
      <c r="G35" s="932"/>
      <c r="H35" s="932"/>
      <c r="I35" s="932"/>
      <c r="J35" s="932"/>
      <c r="K35" s="932"/>
      <c r="L35" s="932"/>
      <c r="M35" s="932"/>
      <c r="N35" s="932"/>
      <c r="O35" s="932"/>
      <c r="P35" s="932"/>
      <c r="Q35" s="932"/>
      <c r="R35" s="932"/>
      <c r="S35" s="932"/>
    </row>
    <row r="36" spans="1:19" x14ac:dyDescent="0.25">
      <c r="A36" s="932"/>
      <c r="B36" s="932"/>
      <c r="C36" s="932"/>
      <c r="D36" s="932"/>
      <c r="E36" s="932"/>
      <c r="F36" s="932"/>
      <c r="G36" s="932"/>
      <c r="H36" s="932"/>
      <c r="I36" s="932"/>
      <c r="J36" s="932"/>
      <c r="K36" s="932"/>
      <c r="L36" s="932"/>
      <c r="M36" s="932"/>
      <c r="N36" s="932"/>
      <c r="O36" s="932"/>
      <c r="P36" s="932"/>
      <c r="Q36" s="932"/>
      <c r="R36" s="932"/>
      <c r="S36" s="932"/>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47" priority="2" operator="equal">
      <formula>"No"</formula>
    </cfRule>
  </conditionalFormatting>
  <conditionalFormatting sqref="E13">
    <cfRule type="cellIs" dxfId="46" priority="1" operator="equal">
      <formula>"No"</formula>
    </cfRule>
  </conditionalFormatting>
  <dataValidations count="10">
    <dataValidation type="list" allowBlank="1" showInputMessage="1" showErrorMessage="1" sqref="C18" xr:uid="{46D98C57-AE1C-44DC-88C7-342F4ECC1AB2}">
      <formula1>"A, S, Q, M, R"</formula1>
    </dataValidation>
    <dataValidation type="list" allowBlank="1" showInputMessage="1" showErrorMessage="1" sqref="E18" xr:uid="{7C8E0D4C-E74B-4AB4-816C-E8856FD98216}">
      <formula1>"No, CPI Standard, CPI Capped, ECI Standard, ECI Capped"</formula1>
    </dataValidation>
    <dataValidation type="list" allowBlank="1" showInputMessage="1" showErrorMessage="1" sqref="I10" xr:uid="{D6146AF6-1CE9-4CCD-ADC0-DBD05766DC52}">
      <formula1>"Invoice, Case"</formula1>
    </dataValidation>
    <dataValidation type="list" allowBlank="1" showInputMessage="1" showErrorMessage="1" sqref="D13" xr:uid="{5B728C72-BF39-4D7B-BAC2-FF63B22E2878}">
      <formula1>"%, $, N, D"</formula1>
    </dataValidation>
    <dataValidation type="list" allowBlank="1" showInputMessage="1" showErrorMessage="1" sqref="H13" xr:uid="{C9938A30-E14E-4809-AA01-3E0D398FB7B8}">
      <formula1>"%, $"</formula1>
    </dataValidation>
    <dataValidation type="list" allowBlank="1" showInputMessage="1" showErrorMessage="1" sqref="G10" xr:uid="{2448160D-83D4-4CE7-8609-A9080796072D}">
      <formula1>"ACH, Credit, Cash, Credit Card"</formula1>
    </dataValidation>
    <dataValidation type="list" allowBlank="1" showInputMessage="1" showErrorMessage="1" sqref="D10" xr:uid="{5F72896C-4436-46E9-A9FF-94523EE6CEA6}">
      <formula1>$Q$3:$Q$14</formula1>
    </dataValidation>
    <dataValidation type="list" allowBlank="1" showInputMessage="1" showErrorMessage="1" sqref="C5 B13 E13 E5:F5 H10" xr:uid="{4E4A2DFB-10EB-46FB-82F3-CD938B1A62FA}">
      <formula1>"Yes, No"</formula1>
    </dataValidation>
    <dataValidation type="list" allowBlank="1" showInputMessage="1" showErrorMessage="1" sqref="D5" xr:uid="{51A2E3D1-962A-4A9F-8CEC-BFE5E7284684}">
      <formula1>"Corporate, Franchisor, GPO"</formula1>
    </dataValidation>
    <dataValidation type="list" allowBlank="1" showInputMessage="1" showErrorMessage="1" sqref="G18" xr:uid="{778A24C6-969E-495F-83F6-9C0CA34D577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89B32-F361-4FB2-ADEA-8EF0D1891B65}">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70"/>
      <c r="B1" s="670"/>
      <c r="C1" s="670"/>
      <c r="D1" s="670"/>
      <c r="E1" s="670"/>
      <c r="F1" s="670"/>
      <c r="G1" s="670"/>
      <c r="H1" s="670"/>
      <c r="I1" s="670"/>
      <c r="J1" s="670"/>
      <c r="K1" s="670"/>
      <c r="L1" s="670"/>
      <c r="M1" s="670"/>
      <c r="N1" s="670"/>
      <c r="O1" s="670"/>
    </row>
    <row r="2" spans="1:21" ht="15.75" thickBot="1" x14ac:dyDescent="0.3">
      <c r="A2" s="670"/>
      <c r="B2" s="1365" t="s">
        <v>1382</v>
      </c>
      <c r="C2" s="1359"/>
      <c r="D2" s="1359"/>
      <c r="E2" s="1359"/>
      <c r="F2" s="1359"/>
      <c r="G2" s="1359"/>
      <c r="H2" s="1359"/>
      <c r="I2" s="1359"/>
      <c r="J2" s="1359"/>
      <c r="K2" s="1359"/>
      <c r="L2" s="1359"/>
      <c r="M2" s="1359"/>
      <c r="N2" s="1360"/>
      <c r="O2" s="670"/>
      <c r="U2" s="1013">
        <f>IF(ISNA(U4),0,1)</f>
        <v>0</v>
      </c>
    </row>
    <row r="3" spans="1:21" ht="15.75" thickBot="1" x14ac:dyDescent="0.3">
      <c r="A3" s="670"/>
      <c r="B3" s="980"/>
      <c r="C3" s="980"/>
      <c r="D3" s="980"/>
      <c r="E3" s="980"/>
      <c r="F3" s="980"/>
      <c r="G3" s="980"/>
      <c r="H3" s="980"/>
      <c r="I3" s="980"/>
      <c r="J3" s="980"/>
      <c r="K3" s="980"/>
      <c r="L3" s="980"/>
      <c r="M3" s="980"/>
      <c r="N3" s="980"/>
      <c r="O3" s="670"/>
      <c r="U3" s="1013">
        <f>IF(ISNA(U5),0,1)</f>
        <v>0</v>
      </c>
    </row>
    <row r="4" spans="1:21" ht="54" customHeight="1" x14ac:dyDescent="0.25">
      <c r="A4" s="670"/>
      <c r="B4" s="981" t="s">
        <v>1383</v>
      </c>
      <c r="C4" s="982" t="s">
        <v>1384</v>
      </c>
      <c r="D4" s="982" t="s">
        <v>1385</v>
      </c>
      <c r="E4" s="982" t="s">
        <v>1386</v>
      </c>
      <c r="F4" s="982" t="s">
        <v>1387</v>
      </c>
      <c r="G4" s="982" t="s">
        <v>1388</v>
      </c>
      <c r="H4" s="982" t="s">
        <v>1389</v>
      </c>
      <c r="I4" s="982" t="s">
        <v>1390</v>
      </c>
      <c r="J4" s="982" t="s">
        <v>1391</v>
      </c>
      <c r="K4" s="982" t="s">
        <v>1392</v>
      </c>
      <c r="L4" s="982" t="s">
        <v>1393</v>
      </c>
      <c r="M4" s="983" t="s">
        <v>1394</v>
      </c>
      <c r="N4" s="984" t="s">
        <v>1395</v>
      </c>
      <c r="O4" s="670"/>
      <c r="U4" s="1013" t="e">
        <f>MATCH("Yes",K11:K30,0)</f>
        <v>#N/A</v>
      </c>
    </row>
    <row r="5" spans="1:21" ht="15.75" thickBot="1" x14ac:dyDescent="0.3">
      <c r="A5" s="670"/>
      <c r="B5" s="942">
        <v>1</v>
      </c>
      <c r="C5" s="934"/>
      <c r="D5" s="934" t="s">
        <v>669</v>
      </c>
      <c r="E5" s="934" t="s">
        <v>1396</v>
      </c>
      <c r="F5" s="934" t="s">
        <v>1397</v>
      </c>
      <c r="G5" s="934" t="s">
        <v>653</v>
      </c>
      <c r="H5" s="934" t="s">
        <v>655</v>
      </c>
      <c r="I5" s="934" t="s">
        <v>655</v>
      </c>
      <c r="J5" s="934" t="s">
        <v>653</v>
      </c>
      <c r="K5" s="934" t="s">
        <v>655</v>
      </c>
      <c r="L5" s="934" t="s">
        <v>655</v>
      </c>
      <c r="M5" s="986" t="str">
        <f>'Required Info to Submit'!F17</f>
        <v/>
      </c>
      <c r="N5" s="985" t="s">
        <v>655</v>
      </c>
      <c r="O5" s="670"/>
      <c r="U5" s="1014" t="e">
        <f>MATCH("Yes",I11:I30,0)</f>
        <v>#N/A</v>
      </c>
    </row>
    <row r="6" spans="1:21" x14ac:dyDescent="0.25">
      <c r="A6" s="670"/>
      <c r="B6" s="980"/>
      <c r="C6" s="980"/>
      <c r="D6" s="980"/>
      <c r="E6" s="980"/>
      <c r="F6" s="980"/>
      <c r="G6" s="980"/>
      <c r="H6" s="980"/>
      <c r="I6" s="980"/>
      <c r="J6" s="980"/>
      <c r="K6" s="980"/>
      <c r="L6" s="980"/>
      <c r="M6" s="980"/>
      <c r="N6" s="980"/>
      <c r="O6" s="670"/>
    </row>
    <row r="7" spans="1:21" ht="15.75" thickBot="1" x14ac:dyDescent="0.3">
      <c r="A7" s="670"/>
      <c r="B7" s="670"/>
      <c r="C7" s="670"/>
      <c r="D7" s="670"/>
      <c r="E7" s="670"/>
      <c r="F7" s="670"/>
      <c r="G7" s="670"/>
      <c r="H7" s="670"/>
      <c r="I7" s="670"/>
      <c r="J7" s="670"/>
      <c r="K7" s="670"/>
      <c r="L7" s="670"/>
      <c r="M7" s="670"/>
      <c r="N7" s="670"/>
      <c r="O7" s="670"/>
    </row>
    <row r="8" spans="1:21" ht="15.75" thickBot="1" x14ac:dyDescent="0.3">
      <c r="A8" s="670"/>
      <c r="B8" s="1366" t="s">
        <v>1398</v>
      </c>
      <c r="C8" s="1359"/>
      <c r="D8" s="1359"/>
      <c r="E8" s="1359"/>
      <c r="F8" s="1359"/>
      <c r="G8" s="1359"/>
      <c r="H8" s="1359"/>
      <c r="I8" s="1359"/>
      <c r="J8" s="1359"/>
      <c r="K8" s="1359"/>
      <c r="L8" s="1359"/>
      <c r="M8" s="1359"/>
      <c r="N8" s="1360"/>
      <c r="O8" s="670"/>
    </row>
    <row r="9" spans="1:21" ht="15.75" thickBot="1" x14ac:dyDescent="0.3">
      <c r="A9" s="670"/>
      <c r="B9" s="980"/>
      <c r="C9" s="980"/>
      <c r="D9" s="980"/>
      <c r="E9" s="980"/>
      <c r="F9" s="980"/>
      <c r="G9" s="980"/>
      <c r="H9" s="980"/>
      <c r="I9" s="980"/>
      <c r="J9" s="980"/>
      <c r="K9" s="980"/>
      <c r="L9" s="980"/>
      <c r="M9" s="980"/>
      <c r="N9" s="980"/>
      <c r="O9" s="670"/>
    </row>
    <row r="10" spans="1:21" ht="33" customHeight="1" x14ac:dyDescent="0.25">
      <c r="A10" s="670"/>
      <c r="B10" s="989" t="s">
        <v>1383</v>
      </c>
      <c r="C10" s="983" t="s">
        <v>1399</v>
      </c>
      <c r="D10" s="983" t="s">
        <v>1400</v>
      </c>
      <c r="E10" s="983" t="s">
        <v>1401</v>
      </c>
      <c r="F10" s="990" t="s">
        <v>1402</v>
      </c>
      <c r="G10" s="990" t="s">
        <v>1403</v>
      </c>
      <c r="H10" s="983" t="s">
        <v>1363</v>
      </c>
      <c r="I10" s="983" t="s">
        <v>1404</v>
      </c>
      <c r="J10" s="983" t="s">
        <v>1405</v>
      </c>
      <c r="K10" s="983" t="s">
        <v>1406</v>
      </c>
      <c r="L10" s="983" t="s">
        <v>1407</v>
      </c>
      <c r="M10" s="983" t="s">
        <v>1344</v>
      </c>
      <c r="N10" s="984" t="s">
        <v>1408</v>
      </c>
      <c r="O10" s="670"/>
    </row>
    <row r="11" spans="1:21" x14ac:dyDescent="0.25">
      <c r="A11" s="670"/>
      <c r="B11" s="991">
        <v>1</v>
      </c>
      <c r="C11" s="992">
        <v>15</v>
      </c>
      <c r="D11" s="993"/>
      <c r="E11" s="949"/>
      <c r="F11" s="1002"/>
      <c r="G11" s="949"/>
      <c r="H11" s="993" t="s">
        <v>483</v>
      </c>
      <c r="I11" s="1039" t="s">
        <v>655</v>
      </c>
      <c r="J11" s="1003">
        <v>2.25</v>
      </c>
      <c r="K11" s="949" t="s">
        <v>655</v>
      </c>
      <c r="L11" s="1003">
        <v>30</v>
      </c>
      <c r="M11" s="1005" t="s">
        <v>483</v>
      </c>
      <c r="N11" s="1007" t="s">
        <v>103</v>
      </c>
      <c r="O11" s="670"/>
      <c r="P11">
        <f>'Agreement Worksheet'!$F$13</f>
        <v>2.25</v>
      </c>
    </row>
    <row r="12" spans="1:21" x14ac:dyDescent="0.25">
      <c r="A12" s="670"/>
      <c r="B12" s="994">
        <v>1</v>
      </c>
      <c r="C12" s="992">
        <v>16</v>
      </c>
      <c r="D12" s="995"/>
      <c r="E12" s="949"/>
      <c r="F12" s="999"/>
      <c r="G12" s="949"/>
      <c r="H12" s="993" t="s">
        <v>483</v>
      </c>
      <c r="I12" s="1039" t="s">
        <v>655</v>
      </c>
      <c r="J12" s="1003">
        <v>2.25</v>
      </c>
      <c r="K12" s="949" t="s">
        <v>655</v>
      </c>
      <c r="L12" s="1003">
        <v>30</v>
      </c>
      <c r="M12" s="1005" t="s">
        <v>483</v>
      </c>
      <c r="N12" s="1008" t="s">
        <v>102</v>
      </c>
      <c r="O12" s="670"/>
      <c r="P12" s="978">
        <f>'Agreement Worksheet'!$C$13</f>
        <v>30</v>
      </c>
    </row>
    <row r="13" spans="1:21" ht="26.25" x14ac:dyDescent="0.25">
      <c r="A13" s="670"/>
      <c r="B13" s="991">
        <v>1</v>
      </c>
      <c r="C13" s="992">
        <v>17</v>
      </c>
      <c r="D13" s="993"/>
      <c r="E13" s="949"/>
      <c r="F13" s="999"/>
      <c r="G13" s="949"/>
      <c r="H13" s="993" t="s">
        <v>483</v>
      </c>
      <c r="I13" s="1039" t="s">
        <v>655</v>
      </c>
      <c r="J13" s="1003">
        <v>2.25</v>
      </c>
      <c r="K13" s="949" t="s">
        <v>655</v>
      </c>
      <c r="L13" s="1003">
        <v>30</v>
      </c>
      <c r="M13" s="1005" t="s">
        <v>483</v>
      </c>
      <c r="N13" s="1008" t="s">
        <v>101</v>
      </c>
      <c r="O13" s="670"/>
      <c r="P13" s="978" t="str">
        <f>'Agreement Worksheet'!$D$13</f>
        <v>%</v>
      </c>
    </row>
    <row r="14" spans="1:21" x14ac:dyDescent="0.25">
      <c r="A14" s="670"/>
      <c r="B14" s="991">
        <v>1</v>
      </c>
      <c r="C14" s="992">
        <v>18</v>
      </c>
      <c r="D14" s="996"/>
      <c r="E14" s="949"/>
      <c r="F14" s="999"/>
      <c r="G14" s="987"/>
      <c r="H14" s="993" t="s">
        <v>483</v>
      </c>
      <c r="I14" s="1039" t="s">
        <v>655</v>
      </c>
      <c r="J14" s="1003">
        <v>2.25</v>
      </c>
      <c r="K14" s="949" t="s">
        <v>655</v>
      </c>
      <c r="L14" s="1003">
        <v>30</v>
      </c>
      <c r="M14" s="1005" t="s">
        <v>483</v>
      </c>
      <c r="N14" s="1008" t="s">
        <v>100</v>
      </c>
      <c r="O14" s="670"/>
    </row>
    <row r="15" spans="1:21" ht="26.25" x14ac:dyDescent="0.25">
      <c r="A15" s="670"/>
      <c r="B15" s="991">
        <v>1</v>
      </c>
      <c r="C15" s="992">
        <v>19</v>
      </c>
      <c r="D15" s="996"/>
      <c r="E15" s="949"/>
      <c r="F15" s="999"/>
      <c r="G15" s="987"/>
      <c r="H15" s="993" t="s">
        <v>483</v>
      </c>
      <c r="I15" s="1039" t="s">
        <v>655</v>
      </c>
      <c r="J15" s="1003">
        <v>2.25</v>
      </c>
      <c r="K15" s="949" t="s">
        <v>655</v>
      </c>
      <c r="L15" s="1003">
        <v>30</v>
      </c>
      <c r="M15" s="1005" t="s">
        <v>483</v>
      </c>
      <c r="N15" s="1008" t="s">
        <v>104</v>
      </c>
      <c r="O15" s="670"/>
    </row>
    <row r="16" spans="1:21" ht="26.25" x14ac:dyDescent="0.25">
      <c r="A16" s="670"/>
      <c r="B16" s="991">
        <v>1</v>
      </c>
      <c r="C16" s="992">
        <v>20</v>
      </c>
      <c r="D16" s="996"/>
      <c r="E16" s="949"/>
      <c r="F16" s="999"/>
      <c r="G16" s="987"/>
      <c r="H16" s="993" t="s">
        <v>483</v>
      </c>
      <c r="I16" s="1039" t="s">
        <v>655</v>
      </c>
      <c r="J16" s="1003">
        <v>2.25</v>
      </c>
      <c r="K16" s="949" t="s">
        <v>655</v>
      </c>
      <c r="L16" s="1003">
        <v>30</v>
      </c>
      <c r="M16" s="1005" t="s">
        <v>483</v>
      </c>
      <c r="N16" s="1008" t="s">
        <v>99</v>
      </c>
      <c r="O16" s="670"/>
    </row>
    <row r="17" spans="1:15" x14ac:dyDescent="0.25">
      <c r="A17" s="670"/>
      <c r="B17" s="991">
        <v>1</v>
      </c>
      <c r="C17" s="992">
        <v>21</v>
      </c>
      <c r="D17" s="996"/>
      <c r="E17" s="949"/>
      <c r="F17" s="999"/>
      <c r="G17" s="987"/>
      <c r="H17" s="993" t="s">
        <v>483</v>
      </c>
      <c r="I17" s="1039" t="s">
        <v>655</v>
      </c>
      <c r="J17" s="1003">
        <v>2.25</v>
      </c>
      <c r="K17" s="949" t="s">
        <v>655</v>
      </c>
      <c r="L17" s="1003">
        <v>30</v>
      </c>
      <c r="M17" s="1005" t="s">
        <v>483</v>
      </c>
      <c r="N17" s="1008" t="s">
        <v>98</v>
      </c>
      <c r="O17" s="670"/>
    </row>
    <row r="18" spans="1:15" x14ac:dyDescent="0.25">
      <c r="A18" s="670"/>
      <c r="B18" s="991">
        <v>1</v>
      </c>
      <c r="C18" s="992">
        <v>22</v>
      </c>
      <c r="D18" s="996"/>
      <c r="E18" s="949"/>
      <c r="F18" s="999"/>
      <c r="G18" s="987"/>
      <c r="H18" s="993" t="s">
        <v>483</v>
      </c>
      <c r="I18" s="1039" t="s">
        <v>655</v>
      </c>
      <c r="J18" s="1003">
        <v>2.25</v>
      </c>
      <c r="K18" s="949" t="s">
        <v>655</v>
      </c>
      <c r="L18" s="1003">
        <v>30</v>
      </c>
      <c r="M18" s="1005" t="s">
        <v>483</v>
      </c>
      <c r="N18" s="1008" t="s">
        <v>97</v>
      </c>
      <c r="O18" s="670"/>
    </row>
    <row r="19" spans="1:15" x14ac:dyDescent="0.25">
      <c r="A19" s="670"/>
      <c r="B19" s="991">
        <v>1</v>
      </c>
      <c r="C19" s="992">
        <v>23</v>
      </c>
      <c r="D19" s="996"/>
      <c r="E19" s="949"/>
      <c r="F19" s="999"/>
      <c r="G19" s="987"/>
      <c r="H19" s="993" t="s">
        <v>483</v>
      </c>
      <c r="I19" s="1039" t="s">
        <v>655</v>
      </c>
      <c r="J19" s="1003">
        <v>2.25</v>
      </c>
      <c r="K19" s="949" t="s">
        <v>655</v>
      </c>
      <c r="L19" s="1003">
        <v>30</v>
      </c>
      <c r="M19" s="1005" t="s">
        <v>483</v>
      </c>
      <c r="N19" s="1008" t="s">
        <v>96</v>
      </c>
      <c r="O19" s="670"/>
    </row>
    <row r="20" spans="1:15" x14ac:dyDescent="0.25">
      <c r="A20" s="670"/>
      <c r="B20" s="991">
        <v>1</v>
      </c>
      <c r="C20" s="992">
        <v>24</v>
      </c>
      <c r="D20" s="996"/>
      <c r="E20" s="949"/>
      <c r="F20" s="999"/>
      <c r="G20" s="987"/>
      <c r="H20" s="993" t="s">
        <v>483</v>
      </c>
      <c r="I20" s="1039" t="s">
        <v>655</v>
      </c>
      <c r="J20" s="1003">
        <v>2.25</v>
      </c>
      <c r="K20" s="949" t="s">
        <v>655</v>
      </c>
      <c r="L20" s="1003">
        <v>30</v>
      </c>
      <c r="M20" s="1005" t="s">
        <v>483</v>
      </c>
      <c r="N20" s="1008" t="s">
        <v>95</v>
      </c>
      <c r="O20" s="670"/>
    </row>
    <row r="21" spans="1:15" x14ac:dyDescent="0.25">
      <c r="A21" s="670"/>
      <c r="B21" s="991">
        <v>1</v>
      </c>
      <c r="C21" s="992">
        <v>25</v>
      </c>
      <c r="D21" s="996"/>
      <c r="E21" s="949" t="s">
        <v>1409</v>
      </c>
      <c r="F21" s="999"/>
      <c r="G21" s="987"/>
      <c r="H21" s="993" t="s">
        <v>483</v>
      </c>
      <c r="I21" s="1039" t="s">
        <v>655</v>
      </c>
      <c r="J21" s="1003">
        <v>2.25</v>
      </c>
      <c r="K21" s="949" t="s">
        <v>655</v>
      </c>
      <c r="L21" s="1003">
        <v>30</v>
      </c>
      <c r="M21" s="1005" t="s">
        <v>483</v>
      </c>
      <c r="N21" s="1008" t="s">
        <v>94</v>
      </c>
      <c r="O21" s="670"/>
    </row>
    <row r="22" spans="1:15" x14ac:dyDescent="0.25">
      <c r="A22" s="670"/>
      <c r="B22" s="991">
        <v>1</v>
      </c>
      <c r="C22" s="992">
        <v>26</v>
      </c>
      <c r="D22" s="996"/>
      <c r="E22" s="949"/>
      <c r="F22" s="999"/>
      <c r="G22" s="987"/>
      <c r="H22" s="993" t="s">
        <v>483</v>
      </c>
      <c r="I22" s="1039" t="s">
        <v>655</v>
      </c>
      <c r="J22" s="1003">
        <v>2.25</v>
      </c>
      <c r="K22" s="949" t="s">
        <v>655</v>
      </c>
      <c r="L22" s="1003">
        <v>30</v>
      </c>
      <c r="M22" s="1005" t="s">
        <v>483</v>
      </c>
      <c r="N22" s="1008" t="s">
        <v>93</v>
      </c>
      <c r="O22" s="670"/>
    </row>
    <row r="23" spans="1:15" x14ac:dyDescent="0.25">
      <c r="A23" s="670"/>
      <c r="B23" s="991">
        <v>1</v>
      </c>
      <c r="C23" s="992">
        <v>29</v>
      </c>
      <c r="D23" s="996"/>
      <c r="E23" s="949"/>
      <c r="F23" s="999"/>
      <c r="G23" s="987"/>
      <c r="H23" s="993" t="s">
        <v>483</v>
      </c>
      <c r="I23" s="1039" t="s">
        <v>655</v>
      </c>
      <c r="J23" s="1003">
        <v>2.25</v>
      </c>
      <c r="K23" s="949" t="s">
        <v>655</v>
      </c>
      <c r="L23" s="1003">
        <v>30</v>
      </c>
      <c r="M23" s="1005" t="s">
        <v>483</v>
      </c>
      <c r="N23" s="1008" t="s">
        <v>92</v>
      </c>
      <c r="O23" s="670"/>
    </row>
    <row r="24" spans="1:15" x14ac:dyDescent="0.25">
      <c r="A24" s="670"/>
      <c r="B24" s="991">
        <v>1</v>
      </c>
      <c r="C24" s="992">
        <v>30</v>
      </c>
      <c r="D24" s="996"/>
      <c r="E24" s="949"/>
      <c r="F24" s="999"/>
      <c r="G24" s="987"/>
      <c r="H24" s="993" t="s">
        <v>483</v>
      </c>
      <c r="I24" s="1039" t="s">
        <v>655</v>
      </c>
      <c r="J24" s="1003">
        <v>2.25</v>
      </c>
      <c r="K24" s="949" t="s">
        <v>655</v>
      </c>
      <c r="L24" s="1003">
        <v>30</v>
      </c>
      <c r="M24" s="1005" t="s">
        <v>483</v>
      </c>
      <c r="N24" s="1008" t="s">
        <v>91</v>
      </c>
      <c r="O24" s="670"/>
    </row>
    <row r="25" spans="1:15" x14ac:dyDescent="0.25">
      <c r="A25" s="670"/>
      <c r="B25" s="991">
        <v>1</v>
      </c>
      <c r="C25" s="992">
        <v>31</v>
      </c>
      <c r="D25" s="996"/>
      <c r="E25" s="949"/>
      <c r="F25" s="999"/>
      <c r="G25" s="987"/>
      <c r="H25" s="993" t="s">
        <v>483</v>
      </c>
      <c r="I25" s="1039" t="s">
        <v>655</v>
      </c>
      <c r="J25" s="1003">
        <v>2.25</v>
      </c>
      <c r="K25" s="949" t="s">
        <v>655</v>
      </c>
      <c r="L25" s="1003">
        <v>30</v>
      </c>
      <c r="M25" s="1005" t="s">
        <v>483</v>
      </c>
      <c r="N25" s="1008" t="s">
        <v>90</v>
      </c>
      <c r="O25" s="670"/>
    </row>
    <row r="26" spans="1:15" x14ac:dyDescent="0.25">
      <c r="A26" s="670"/>
      <c r="B26" s="991">
        <v>1</v>
      </c>
      <c r="C26" s="992">
        <v>32</v>
      </c>
      <c r="D26" s="996"/>
      <c r="E26" s="949"/>
      <c r="F26" s="999"/>
      <c r="G26" s="987"/>
      <c r="H26" s="993" t="s">
        <v>483</v>
      </c>
      <c r="I26" s="1039" t="s">
        <v>655</v>
      </c>
      <c r="J26" s="1003">
        <v>2.25</v>
      </c>
      <c r="K26" s="949" t="s">
        <v>655</v>
      </c>
      <c r="L26" s="1003">
        <v>30</v>
      </c>
      <c r="M26" s="1005" t="s">
        <v>483</v>
      </c>
      <c r="N26" s="1008" t="s">
        <v>89</v>
      </c>
      <c r="O26" s="670"/>
    </row>
    <row r="27" spans="1:15" x14ac:dyDescent="0.25">
      <c r="A27" s="670"/>
      <c r="B27" s="991">
        <v>1</v>
      </c>
      <c r="C27" s="992">
        <v>33</v>
      </c>
      <c r="D27" s="996"/>
      <c r="E27" s="949"/>
      <c r="F27" s="999"/>
      <c r="G27" s="987"/>
      <c r="H27" s="993" t="s">
        <v>483</v>
      </c>
      <c r="I27" s="1039" t="s">
        <v>655</v>
      </c>
      <c r="J27" s="1003">
        <v>2.25</v>
      </c>
      <c r="K27" s="949" t="s">
        <v>655</v>
      </c>
      <c r="L27" s="1003">
        <v>30</v>
      </c>
      <c r="M27" s="1005" t="s">
        <v>483</v>
      </c>
      <c r="N27" s="1008" t="s">
        <v>88</v>
      </c>
      <c r="O27" s="670"/>
    </row>
    <row r="28" spans="1:15" x14ac:dyDescent="0.25">
      <c r="A28" s="670"/>
      <c r="B28" s="991">
        <v>1</v>
      </c>
      <c r="C28" s="992">
        <v>34</v>
      </c>
      <c r="D28" s="996"/>
      <c r="E28" s="949"/>
      <c r="F28" s="999"/>
      <c r="G28" s="987"/>
      <c r="H28" s="993" t="s">
        <v>483</v>
      </c>
      <c r="I28" s="1039" t="s">
        <v>655</v>
      </c>
      <c r="J28" s="1003">
        <v>2.25</v>
      </c>
      <c r="K28" s="949" t="s">
        <v>655</v>
      </c>
      <c r="L28" s="1003">
        <v>30</v>
      </c>
      <c r="M28" s="1005" t="s">
        <v>483</v>
      </c>
      <c r="N28" s="1008" t="s">
        <v>87</v>
      </c>
      <c r="O28" s="670"/>
    </row>
    <row r="29" spans="1:15" x14ac:dyDescent="0.25">
      <c r="A29" s="670"/>
      <c r="B29" s="991">
        <v>1</v>
      </c>
      <c r="C29" s="992">
        <v>35</v>
      </c>
      <c r="D29" s="996"/>
      <c r="E29" s="949"/>
      <c r="F29" s="999"/>
      <c r="G29" s="987"/>
      <c r="H29" s="993" t="s">
        <v>483</v>
      </c>
      <c r="I29" s="1039" t="s">
        <v>655</v>
      </c>
      <c r="J29" s="1003">
        <v>2.25</v>
      </c>
      <c r="K29" s="949" t="s">
        <v>655</v>
      </c>
      <c r="L29" s="1003">
        <v>30</v>
      </c>
      <c r="M29" s="1005" t="s">
        <v>483</v>
      </c>
      <c r="N29" s="1008" t="s">
        <v>86</v>
      </c>
      <c r="O29" s="670"/>
    </row>
    <row r="30" spans="1:15" ht="15.75" thickBot="1" x14ac:dyDescent="0.3">
      <c r="A30" s="670"/>
      <c r="B30" s="942">
        <v>1</v>
      </c>
      <c r="C30" s="997">
        <v>37</v>
      </c>
      <c r="D30" s="998"/>
      <c r="E30" s="934"/>
      <c r="F30" s="1000"/>
      <c r="G30" s="988"/>
      <c r="H30" s="946" t="s">
        <v>483</v>
      </c>
      <c r="I30" s="1040" t="s">
        <v>655</v>
      </c>
      <c r="J30" s="1004">
        <v>2.25</v>
      </c>
      <c r="K30" s="934" t="s">
        <v>655</v>
      </c>
      <c r="L30" s="1004">
        <v>30</v>
      </c>
      <c r="M30" s="1006" t="s">
        <v>483</v>
      </c>
      <c r="N30" s="1009" t="s">
        <v>105</v>
      </c>
      <c r="O30" s="670"/>
    </row>
    <row r="31" spans="1:15" ht="15.75" hidden="1" thickBot="1" x14ac:dyDescent="0.3">
      <c r="A31" s="670"/>
      <c r="B31" s="980"/>
      <c r="C31" s="980"/>
      <c r="D31" s="980"/>
      <c r="E31" s="980"/>
      <c r="F31" s="980"/>
      <c r="G31" s="980"/>
      <c r="H31" s="980"/>
      <c r="I31" s="980"/>
      <c r="J31" s="980"/>
      <c r="K31" s="980"/>
      <c r="L31" s="980"/>
      <c r="M31" s="980"/>
      <c r="N31" s="980"/>
      <c r="O31" s="670"/>
    </row>
    <row r="32" spans="1:15" ht="15.75" hidden="1" thickBot="1" x14ac:dyDescent="0.3">
      <c r="A32" s="670"/>
      <c r="B32" s="1366" t="s">
        <v>1410</v>
      </c>
      <c r="C32" s="1367"/>
      <c r="D32" s="1367"/>
      <c r="E32" s="1367"/>
      <c r="F32" s="1367"/>
      <c r="G32" s="1367"/>
      <c r="H32" s="1367"/>
      <c r="I32" s="1367"/>
      <c r="J32" s="1367"/>
      <c r="K32" s="1367"/>
      <c r="L32" s="1367"/>
      <c r="M32" s="1367"/>
      <c r="N32" s="1368"/>
      <c r="O32" s="670"/>
    </row>
    <row r="33" spans="1:15" ht="15.75" hidden="1" thickBot="1" x14ac:dyDescent="0.3">
      <c r="A33" s="670"/>
      <c r="B33" s="980"/>
      <c r="C33" s="980"/>
      <c r="D33" s="980"/>
      <c r="E33" s="980"/>
      <c r="F33" s="980"/>
      <c r="G33" s="980"/>
      <c r="H33" s="980"/>
      <c r="I33" s="980"/>
      <c r="J33" s="980"/>
      <c r="K33" s="980"/>
      <c r="L33" s="980"/>
      <c r="M33" s="980"/>
      <c r="N33" s="980"/>
      <c r="O33" s="670"/>
    </row>
    <row r="34" spans="1:15" ht="36.75" hidden="1" customHeight="1" x14ac:dyDescent="0.25">
      <c r="A34" s="670"/>
      <c r="B34" s="989" t="s">
        <v>1383</v>
      </c>
      <c r="C34" s="983" t="s">
        <v>1399</v>
      </c>
      <c r="D34" s="983" t="s">
        <v>1400</v>
      </c>
      <c r="E34" s="983" t="s">
        <v>1401</v>
      </c>
      <c r="F34" s="990" t="s">
        <v>1402</v>
      </c>
      <c r="G34" s="990" t="s">
        <v>1403</v>
      </c>
      <c r="H34" s="983" t="s">
        <v>1363</v>
      </c>
      <c r="I34" s="983" t="s">
        <v>1404</v>
      </c>
      <c r="J34" s="983" t="s">
        <v>1405</v>
      </c>
      <c r="K34" s="983" t="s">
        <v>1406</v>
      </c>
      <c r="L34" s="983" t="s">
        <v>1407</v>
      </c>
      <c r="M34" s="983" t="s">
        <v>1344</v>
      </c>
      <c r="N34" s="984" t="s">
        <v>1408</v>
      </c>
      <c r="O34" s="670"/>
    </row>
    <row r="35" spans="1:15" hidden="1" x14ac:dyDescent="0.25">
      <c r="A35" s="670"/>
      <c r="B35" s="994">
        <v>1</v>
      </c>
      <c r="C35" s="992">
        <v>15</v>
      </c>
      <c r="D35" s="993"/>
      <c r="E35" s="949"/>
      <c r="F35" s="999"/>
      <c r="G35" s="949"/>
      <c r="H35" s="993" t="s">
        <v>483</v>
      </c>
      <c r="I35" s="949" t="s">
        <v>655</v>
      </c>
      <c r="J35" s="993">
        <v>2.25</v>
      </c>
      <c r="K35" s="949" t="s">
        <v>655</v>
      </c>
      <c r="L35" s="993">
        <v>30</v>
      </c>
      <c r="M35" s="993" t="s">
        <v>483</v>
      </c>
      <c r="N35" s="1015" t="s">
        <v>103</v>
      </c>
      <c r="O35" s="670"/>
    </row>
    <row r="36" spans="1:15" hidden="1" x14ac:dyDescent="0.25">
      <c r="A36" s="670"/>
      <c r="B36" s="994">
        <v>1</v>
      </c>
      <c r="C36" s="992">
        <v>15</v>
      </c>
      <c r="D36" s="1010">
        <v>131</v>
      </c>
      <c r="E36" s="949"/>
      <c r="F36" s="999"/>
      <c r="G36" s="949"/>
      <c r="H36" s="993" t="s">
        <v>483</v>
      </c>
      <c r="I36" s="949" t="s">
        <v>655</v>
      </c>
      <c r="J36" s="993">
        <v>2.25</v>
      </c>
      <c r="K36" s="949" t="s">
        <v>655</v>
      </c>
      <c r="L36" s="993">
        <v>30</v>
      </c>
      <c r="M36" s="993" t="s">
        <v>483</v>
      </c>
      <c r="N36" s="1007" t="s">
        <v>1415</v>
      </c>
      <c r="O36" s="670"/>
    </row>
    <row r="37" spans="1:15" hidden="1" x14ac:dyDescent="0.25">
      <c r="A37" s="670"/>
      <c r="B37" s="994">
        <v>1</v>
      </c>
      <c r="C37" s="992">
        <v>15</v>
      </c>
      <c r="D37" s="1010">
        <v>254</v>
      </c>
      <c r="E37" s="949"/>
      <c r="F37" s="999"/>
      <c r="G37" s="949"/>
      <c r="H37" s="993" t="s">
        <v>483</v>
      </c>
      <c r="I37" s="949" t="s">
        <v>655</v>
      </c>
      <c r="J37" s="993">
        <v>2.25</v>
      </c>
      <c r="K37" s="949" t="s">
        <v>655</v>
      </c>
      <c r="L37" s="993">
        <v>30</v>
      </c>
      <c r="M37" s="993" t="s">
        <v>483</v>
      </c>
      <c r="N37" s="1007" t="s">
        <v>1415</v>
      </c>
      <c r="O37" s="670"/>
    </row>
    <row r="38" spans="1:15" hidden="1" x14ac:dyDescent="0.25">
      <c r="A38" s="670"/>
      <c r="B38" s="994">
        <v>1</v>
      </c>
      <c r="C38" s="992">
        <v>15</v>
      </c>
      <c r="D38" s="1010">
        <v>373</v>
      </c>
      <c r="E38" s="949"/>
      <c r="F38" s="999"/>
      <c r="G38" s="949"/>
      <c r="H38" s="993" t="s">
        <v>483</v>
      </c>
      <c r="I38" s="949" t="s">
        <v>655</v>
      </c>
      <c r="J38" s="993">
        <v>2.25</v>
      </c>
      <c r="K38" s="949" t="s">
        <v>655</v>
      </c>
      <c r="L38" s="993">
        <v>30</v>
      </c>
      <c r="M38" s="993" t="s">
        <v>483</v>
      </c>
      <c r="N38" s="1007" t="s">
        <v>1415</v>
      </c>
      <c r="O38" s="670"/>
    </row>
    <row r="39" spans="1:15" hidden="1" x14ac:dyDescent="0.25">
      <c r="A39" s="670"/>
      <c r="B39" s="994">
        <v>1</v>
      </c>
      <c r="C39" s="992">
        <v>15</v>
      </c>
      <c r="D39" s="1010">
        <v>132</v>
      </c>
      <c r="E39" s="949"/>
      <c r="F39" s="999"/>
      <c r="G39" s="949"/>
      <c r="H39" s="993" t="s">
        <v>483</v>
      </c>
      <c r="I39" s="949" t="s">
        <v>655</v>
      </c>
      <c r="J39" s="993">
        <v>2.25</v>
      </c>
      <c r="K39" s="949" t="s">
        <v>655</v>
      </c>
      <c r="L39" s="993">
        <v>30</v>
      </c>
      <c r="M39" s="993" t="s">
        <v>483</v>
      </c>
      <c r="N39" s="1007" t="s">
        <v>1415</v>
      </c>
      <c r="O39" s="670"/>
    </row>
    <row r="40" spans="1:15" hidden="1" x14ac:dyDescent="0.25">
      <c r="A40" s="670"/>
      <c r="B40" s="994">
        <v>1</v>
      </c>
      <c r="C40" s="992">
        <v>15</v>
      </c>
      <c r="D40" s="1010">
        <v>368</v>
      </c>
      <c r="E40" s="949"/>
      <c r="F40" s="999"/>
      <c r="G40" s="949"/>
      <c r="H40" s="993" t="s">
        <v>483</v>
      </c>
      <c r="I40" s="949" t="s">
        <v>655</v>
      </c>
      <c r="J40" s="993">
        <v>2.25</v>
      </c>
      <c r="K40" s="949" t="s">
        <v>655</v>
      </c>
      <c r="L40" s="993">
        <v>30</v>
      </c>
      <c r="M40" s="993" t="s">
        <v>483</v>
      </c>
      <c r="N40" s="1007" t="s">
        <v>1415</v>
      </c>
      <c r="O40" s="670"/>
    </row>
    <row r="41" spans="1:15" hidden="1" x14ac:dyDescent="0.25">
      <c r="A41" s="670"/>
      <c r="B41" s="994">
        <v>1</v>
      </c>
      <c r="C41" s="992">
        <v>15</v>
      </c>
      <c r="D41" s="1010">
        <v>369</v>
      </c>
      <c r="E41" s="949"/>
      <c r="F41" s="999"/>
      <c r="G41" s="949"/>
      <c r="H41" s="993" t="s">
        <v>483</v>
      </c>
      <c r="I41" s="949" t="s">
        <v>655</v>
      </c>
      <c r="J41" s="993">
        <v>2.25</v>
      </c>
      <c r="K41" s="949" t="s">
        <v>655</v>
      </c>
      <c r="L41" s="993">
        <v>30</v>
      </c>
      <c r="M41" s="993" t="s">
        <v>483</v>
      </c>
      <c r="N41" s="1007" t="s">
        <v>1415</v>
      </c>
      <c r="O41" s="670"/>
    </row>
    <row r="42" spans="1:15" hidden="1" x14ac:dyDescent="0.25">
      <c r="A42" s="670"/>
      <c r="B42" s="994">
        <v>1</v>
      </c>
      <c r="C42" s="992">
        <v>15</v>
      </c>
      <c r="D42" s="1010">
        <v>384</v>
      </c>
      <c r="E42" s="949"/>
      <c r="F42" s="999"/>
      <c r="G42" s="949"/>
      <c r="H42" s="993" t="s">
        <v>483</v>
      </c>
      <c r="I42" s="949" t="s">
        <v>655</v>
      </c>
      <c r="J42" s="993">
        <v>2.25</v>
      </c>
      <c r="K42" s="949" t="s">
        <v>655</v>
      </c>
      <c r="L42" s="993">
        <v>30</v>
      </c>
      <c r="M42" s="993" t="s">
        <v>483</v>
      </c>
      <c r="N42" s="1007" t="s">
        <v>1415</v>
      </c>
      <c r="O42" s="670"/>
    </row>
    <row r="43" spans="1:15" hidden="1" x14ac:dyDescent="0.25">
      <c r="A43" s="670"/>
      <c r="B43" s="994">
        <v>1</v>
      </c>
      <c r="C43" s="992">
        <v>15</v>
      </c>
      <c r="D43" s="1010">
        <v>381</v>
      </c>
      <c r="E43" s="949"/>
      <c r="F43" s="999"/>
      <c r="G43" s="949"/>
      <c r="H43" s="993" t="s">
        <v>483</v>
      </c>
      <c r="I43" s="949" t="s">
        <v>655</v>
      </c>
      <c r="J43" s="993">
        <v>2.25</v>
      </c>
      <c r="K43" s="949" t="s">
        <v>655</v>
      </c>
      <c r="L43" s="993">
        <v>30</v>
      </c>
      <c r="M43" s="993" t="s">
        <v>483</v>
      </c>
      <c r="N43" s="1007" t="s">
        <v>1415</v>
      </c>
      <c r="O43" s="670"/>
    </row>
    <row r="44" spans="1:15" hidden="1" x14ac:dyDescent="0.25">
      <c r="A44" s="670"/>
      <c r="B44" s="994">
        <v>1</v>
      </c>
      <c r="C44" s="992">
        <v>15</v>
      </c>
      <c r="D44" s="1010">
        <v>377</v>
      </c>
      <c r="E44" s="949"/>
      <c r="F44" s="999"/>
      <c r="G44" s="949"/>
      <c r="H44" s="993" t="s">
        <v>483</v>
      </c>
      <c r="I44" s="949" t="s">
        <v>655</v>
      </c>
      <c r="J44" s="993">
        <v>2.25</v>
      </c>
      <c r="K44" s="949" t="s">
        <v>655</v>
      </c>
      <c r="L44" s="993">
        <v>30</v>
      </c>
      <c r="M44" s="993" t="s">
        <v>483</v>
      </c>
      <c r="N44" s="1007" t="s">
        <v>1415</v>
      </c>
      <c r="O44" s="670"/>
    </row>
    <row r="45" spans="1:15" hidden="1" x14ac:dyDescent="0.25">
      <c r="A45" s="670"/>
      <c r="B45" s="994">
        <v>1</v>
      </c>
      <c r="C45" s="992">
        <v>15</v>
      </c>
      <c r="D45" s="1010">
        <v>388</v>
      </c>
      <c r="E45" s="949"/>
      <c r="F45" s="999"/>
      <c r="G45" s="949"/>
      <c r="H45" s="993" t="s">
        <v>483</v>
      </c>
      <c r="I45" s="949" t="s">
        <v>655</v>
      </c>
      <c r="J45" s="993">
        <v>2.25</v>
      </c>
      <c r="K45" s="949" t="s">
        <v>655</v>
      </c>
      <c r="L45" s="993">
        <v>30</v>
      </c>
      <c r="M45" s="993" t="s">
        <v>483</v>
      </c>
      <c r="N45" s="1007" t="s">
        <v>1415</v>
      </c>
      <c r="O45" s="670"/>
    </row>
    <row r="46" spans="1:15" hidden="1" x14ac:dyDescent="0.25">
      <c r="A46" s="670"/>
      <c r="B46" s="994">
        <v>1</v>
      </c>
      <c r="C46" s="992">
        <v>16</v>
      </c>
      <c r="D46" s="995"/>
      <c r="E46" s="949"/>
      <c r="F46" s="999"/>
      <c r="G46" s="949"/>
      <c r="H46" s="993" t="s">
        <v>483</v>
      </c>
      <c r="I46" s="949" t="s">
        <v>655</v>
      </c>
      <c r="J46" s="993">
        <v>2.25</v>
      </c>
      <c r="K46" s="949" t="s">
        <v>655</v>
      </c>
      <c r="L46" s="993">
        <v>30</v>
      </c>
      <c r="M46" s="993" t="s">
        <v>483</v>
      </c>
      <c r="N46" s="1008" t="s">
        <v>102</v>
      </c>
      <c r="O46" s="670"/>
    </row>
    <row r="47" spans="1:15" ht="26.25" hidden="1" x14ac:dyDescent="0.25">
      <c r="A47" s="670"/>
      <c r="B47" s="991">
        <v>1</v>
      </c>
      <c r="C47" s="992">
        <v>17</v>
      </c>
      <c r="D47" s="993"/>
      <c r="E47" s="949"/>
      <c r="F47" s="999"/>
      <c r="G47" s="949"/>
      <c r="H47" s="993" t="s">
        <v>483</v>
      </c>
      <c r="I47" s="949" t="s">
        <v>655</v>
      </c>
      <c r="J47" s="993">
        <v>2.25</v>
      </c>
      <c r="K47" s="949" t="s">
        <v>655</v>
      </c>
      <c r="L47" s="993">
        <v>30</v>
      </c>
      <c r="M47" s="993" t="s">
        <v>483</v>
      </c>
      <c r="N47" s="1008" t="s">
        <v>101</v>
      </c>
      <c r="O47" s="670"/>
    </row>
    <row r="48" spans="1:15" hidden="1" x14ac:dyDescent="0.25">
      <c r="A48" s="670"/>
      <c r="B48" s="991">
        <v>1</v>
      </c>
      <c r="C48" s="992">
        <v>18</v>
      </c>
      <c r="D48" s="996"/>
      <c r="E48" s="949"/>
      <c r="F48" s="999"/>
      <c r="G48" s="987"/>
      <c r="H48" s="993" t="s">
        <v>483</v>
      </c>
      <c r="I48" s="949" t="s">
        <v>655</v>
      </c>
      <c r="J48" s="993">
        <v>2.25</v>
      </c>
      <c r="K48" s="949" t="s">
        <v>655</v>
      </c>
      <c r="L48" s="993">
        <v>30</v>
      </c>
      <c r="M48" s="993" t="s">
        <v>483</v>
      </c>
      <c r="N48" s="1008" t="s">
        <v>100</v>
      </c>
      <c r="O48" s="670"/>
    </row>
    <row r="49" spans="1:15" ht="26.25" hidden="1" x14ac:dyDescent="0.25">
      <c r="A49" s="670"/>
      <c r="B49" s="991">
        <v>1</v>
      </c>
      <c r="C49" s="992">
        <v>19</v>
      </c>
      <c r="D49" s="996"/>
      <c r="E49" s="949"/>
      <c r="F49" s="999"/>
      <c r="G49" s="987"/>
      <c r="H49" s="993" t="s">
        <v>483</v>
      </c>
      <c r="I49" s="949" t="s">
        <v>655</v>
      </c>
      <c r="J49" s="993">
        <v>2.25</v>
      </c>
      <c r="K49" s="949" t="s">
        <v>655</v>
      </c>
      <c r="L49" s="993">
        <v>30</v>
      </c>
      <c r="M49" s="993" t="s">
        <v>483</v>
      </c>
      <c r="N49" s="1008" t="s">
        <v>104</v>
      </c>
      <c r="O49" s="670"/>
    </row>
    <row r="50" spans="1:15" ht="26.25" hidden="1" x14ac:dyDescent="0.25">
      <c r="A50" s="670"/>
      <c r="B50" s="991">
        <v>1</v>
      </c>
      <c r="C50" s="992">
        <v>20</v>
      </c>
      <c r="D50" s="996"/>
      <c r="E50" s="949"/>
      <c r="F50" s="999"/>
      <c r="G50" s="987"/>
      <c r="H50" s="993" t="s">
        <v>483</v>
      </c>
      <c r="I50" s="949" t="s">
        <v>655</v>
      </c>
      <c r="J50" s="993">
        <v>2.25</v>
      </c>
      <c r="K50" s="949" t="s">
        <v>655</v>
      </c>
      <c r="L50" s="993">
        <v>30</v>
      </c>
      <c r="M50" s="993" t="s">
        <v>483</v>
      </c>
      <c r="N50" s="1008" t="s">
        <v>99</v>
      </c>
      <c r="O50" s="670"/>
    </row>
    <row r="51" spans="1:15" hidden="1" x14ac:dyDescent="0.25">
      <c r="A51" s="670"/>
      <c r="B51" s="991">
        <v>1</v>
      </c>
      <c r="C51" s="992">
        <v>21</v>
      </c>
      <c r="D51" s="996"/>
      <c r="E51" s="949"/>
      <c r="F51" s="999"/>
      <c r="G51" s="987"/>
      <c r="H51" s="993" t="s">
        <v>483</v>
      </c>
      <c r="I51" s="949" t="s">
        <v>655</v>
      </c>
      <c r="J51" s="993">
        <v>2.25</v>
      </c>
      <c r="K51" s="949" t="s">
        <v>655</v>
      </c>
      <c r="L51" s="993">
        <v>30</v>
      </c>
      <c r="M51" s="993" t="s">
        <v>483</v>
      </c>
      <c r="N51" s="1008" t="s">
        <v>98</v>
      </c>
      <c r="O51" s="670"/>
    </row>
    <row r="52" spans="1:15" hidden="1" x14ac:dyDescent="0.25">
      <c r="A52" s="670"/>
      <c r="B52" s="991">
        <v>1</v>
      </c>
      <c r="C52" s="992">
        <v>22</v>
      </c>
      <c r="D52" s="996"/>
      <c r="E52" s="949"/>
      <c r="F52" s="999"/>
      <c r="G52" s="987"/>
      <c r="H52" s="993" t="s">
        <v>483</v>
      </c>
      <c r="I52" s="949" t="s">
        <v>655</v>
      </c>
      <c r="J52" s="993">
        <v>2.25</v>
      </c>
      <c r="K52" s="949" t="s">
        <v>655</v>
      </c>
      <c r="L52" s="993">
        <v>30</v>
      </c>
      <c r="M52" s="993" t="s">
        <v>483</v>
      </c>
      <c r="N52" s="1008" t="s">
        <v>97</v>
      </c>
      <c r="O52" s="670"/>
    </row>
    <row r="53" spans="1:15" hidden="1" x14ac:dyDescent="0.25">
      <c r="A53" s="670"/>
      <c r="B53" s="991">
        <v>1</v>
      </c>
      <c r="C53" s="992">
        <v>23</v>
      </c>
      <c r="D53" s="996"/>
      <c r="E53" s="949"/>
      <c r="F53" s="999"/>
      <c r="G53" s="987"/>
      <c r="H53" s="993" t="s">
        <v>483</v>
      </c>
      <c r="I53" s="949" t="s">
        <v>655</v>
      </c>
      <c r="J53" s="993">
        <v>2.25</v>
      </c>
      <c r="K53" s="949" t="s">
        <v>655</v>
      </c>
      <c r="L53" s="993">
        <v>30</v>
      </c>
      <c r="M53" s="993" t="s">
        <v>483</v>
      </c>
      <c r="N53" s="1008" t="s">
        <v>96</v>
      </c>
      <c r="O53" s="670"/>
    </row>
    <row r="54" spans="1:15" hidden="1" x14ac:dyDescent="0.25">
      <c r="A54" s="670"/>
      <c r="B54" s="991">
        <v>1</v>
      </c>
      <c r="C54" s="992">
        <v>24</v>
      </c>
      <c r="D54" s="996"/>
      <c r="E54" s="949"/>
      <c r="F54" s="999"/>
      <c r="G54" s="987"/>
      <c r="H54" s="993" t="s">
        <v>483</v>
      </c>
      <c r="I54" s="949" t="s">
        <v>655</v>
      </c>
      <c r="J54" s="993">
        <v>2.25</v>
      </c>
      <c r="K54" s="949" t="s">
        <v>655</v>
      </c>
      <c r="L54" s="993">
        <v>30</v>
      </c>
      <c r="M54" s="993" t="s">
        <v>483</v>
      </c>
      <c r="N54" s="1008" t="s">
        <v>95</v>
      </c>
      <c r="O54" s="670"/>
    </row>
    <row r="55" spans="1:15" hidden="1" x14ac:dyDescent="0.25">
      <c r="A55" s="670"/>
      <c r="B55" s="991">
        <v>1</v>
      </c>
      <c r="C55" s="992">
        <v>25</v>
      </c>
      <c r="D55" s="996"/>
      <c r="E55" s="949" t="s">
        <v>1409</v>
      </c>
      <c r="F55" s="999"/>
      <c r="G55" s="987"/>
      <c r="H55" s="993" t="s">
        <v>483</v>
      </c>
      <c r="I55" s="949" t="s">
        <v>653</v>
      </c>
      <c r="J55" s="1016">
        <v>2.25</v>
      </c>
      <c r="K55" s="949" t="s">
        <v>655</v>
      </c>
      <c r="L55" s="993">
        <v>30</v>
      </c>
      <c r="M55" s="993" t="s">
        <v>483</v>
      </c>
      <c r="N55" s="1008" t="s">
        <v>94</v>
      </c>
      <c r="O55" s="670"/>
    </row>
    <row r="56" spans="1:15" hidden="1" x14ac:dyDescent="0.25">
      <c r="A56" s="670"/>
      <c r="B56" s="991">
        <v>1</v>
      </c>
      <c r="C56" s="992">
        <v>26</v>
      </c>
      <c r="D56" s="996"/>
      <c r="E56" s="949"/>
      <c r="F56" s="999"/>
      <c r="G56" s="987"/>
      <c r="H56" s="993" t="s">
        <v>483</v>
      </c>
      <c r="I56" s="949" t="s">
        <v>655</v>
      </c>
      <c r="J56" s="993">
        <v>2.25</v>
      </c>
      <c r="K56" s="949" t="s">
        <v>655</v>
      </c>
      <c r="L56" s="993">
        <v>30</v>
      </c>
      <c r="M56" s="993" t="s">
        <v>483</v>
      </c>
      <c r="N56" s="1008" t="s">
        <v>93</v>
      </c>
      <c r="O56" s="670"/>
    </row>
    <row r="57" spans="1:15" hidden="1" x14ac:dyDescent="0.25">
      <c r="A57" s="670"/>
      <c r="B57" s="991">
        <v>1</v>
      </c>
      <c r="C57" s="992">
        <v>29</v>
      </c>
      <c r="D57" s="996"/>
      <c r="E57" s="949"/>
      <c r="F57" s="999"/>
      <c r="G57" s="987"/>
      <c r="H57" s="993" t="s">
        <v>483</v>
      </c>
      <c r="I57" s="949" t="s">
        <v>655</v>
      </c>
      <c r="J57" s="993">
        <v>2.25</v>
      </c>
      <c r="K57" s="949" t="s">
        <v>655</v>
      </c>
      <c r="L57" s="993">
        <v>30</v>
      </c>
      <c r="M57" s="993" t="s">
        <v>483</v>
      </c>
      <c r="N57" s="1008" t="s">
        <v>92</v>
      </c>
      <c r="O57" s="670"/>
    </row>
    <row r="58" spans="1:15" hidden="1" x14ac:dyDescent="0.25">
      <c r="A58" s="670"/>
      <c r="B58" s="991">
        <v>1</v>
      </c>
      <c r="C58" s="992">
        <v>30</v>
      </c>
      <c r="D58" s="996"/>
      <c r="E58" s="949"/>
      <c r="F58" s="999"/>
      <c r="G58" s="987"/>
      <c r="H58" s="993" t="s">
        <v>483</v>
      </c>
      <c r="I58" s="949" t="s">
        <v>655</v>
      </c>
      <c r="J58" s="993">
        <v>2.25</v>
      </c>
      <c r="K58" s="949" t="s">
        <v>655</v>
      </c>
      <c r="L58" s="993">
        <v>30</v>
      </c>
      <c r="M58" s="993" t="s">
        <v>483</v>
      </c>
      <c r="N58" s="1008" t="s">
        <v>91</v>
      </c>
      <c r="O58" s="670"/>
    </row>
    <row r="59" spans="1:15" hidden="1" x14ac:dyDescent="0.25">
      <c r="A59" s="670"/>
      <c r="B59" s="991">
        <v>1</v>
      </c>
      <c r="C59" s="992">
        <v>31</v>
      </c>
      <c r="D59" s="996"/>
      <c r="E59" s="949"/>
      <c r="F59" s="999"/>
      <c r="G59" s="987"/>
      <c r="H59" s="993" t="s">
        <v>483</v>
      </c>
      <c r="I59" s="949" t="s">
        <v>655</v>
      </c>
      <c r="J59" s="993">
        <v>2.25</v>
      </c>
      <c r="K59" s="949" t="s">
        <v>655</v>
      </c>
      <c r="L59" s="993">
        <v>30</v>
      </c>
      <c r="M59" s="993" t="s">
        <v>483</v>
      </c>
      <c r="N59" s="1008" t="s">
        <v>90</v>
      </c>
      <c r="O59" s="670"/>
    </row>
    <row r="60" spans="1:15" hidden="1" x14ac:dyDescent="0.25">
      <c r="A60" s="670"/>
      <c r="B60" s="991">
        <v>1</v>
      </c>
      <c r="C60" s="992">
        <v>32</v>
      </c>
      <c r="D60" s="996"/>
      <c r="E60" s="949"/>
      <c r="F60" s="999"/>
      <c r="G60" s="987"/>
      <c r="H60" s="993" t="s">
        <v>483</v>
      </c>
      <c r="I60" s="949" t="s">
        <v>655</v>
      </c>
      <c r="J60" s="993">
        <v>2.25</v>
      </c>
      <c r="K60" s="949" t="s">
        <v>655</v>
      </c>
      <c r="L60" s="993">
        <v>30</v>
      </c>
      <c r="M60" s="993" t="s">
        <v>483</v>
      </c>
      <c r="N60" s="1008" t="s">
        <v>89</v>
      </c>
      <c r="O60" s="670"/>
    </row>
    <row r="61" spans="1:15" hidden="1" x14ac:dyDescent="0.25">
      <c r="A61" s="670"/>
      <c r="B61" s="991">
        <v>1</v>
      </c>
      <c r="C61" s="992">
        <v>33</v>
      </c>
      <c r="D61" s="996"/>
      <c r="E61" s="949"/>
      <c r="F61" s="999"/>
      <c r="G61" s="987"/>
      <c r="H61" s="993" t="s">
        <v>483</v>
      </c>
      <c r="I61" s="949" t="s">
        <v>655</v>
      </c>
      <c r="J61" s="993">
        <v>2.25</v>
      </c>
      <c r="K61" s="949" t="s">
        <v>655</v>
      </c>
      <c r="L61" s="993">
        <v>30</v>
      </c>
      <c r="M61" s="993" t="s">
        <v>483</v>
      </c>
      <c r="N61" s="1008" t="s">
        <v>88</v>
      </c>
      <c r="O61" s="670"/>
    </row>
    <row r="62" spans="1:15" hidden="1" x14ac:dyDescent="0.25">
      <c r="A62" s="670"/>
      <c r="B62" s="991">
        <v>1</v>
      </c>
      <c r="C62" s="992">
        <v>34</v>
      </c>
      <c r="D62" s="996"/>
      <c r="E62" s="949"/>
      <c r="F62" s="999"/>
      <c r="G62" s="987"/>
      <c r="H62" s="993" t="s">
        <v>483</v>
      </c>
      <c r="I62" s="949" t="s">
        <v>655</v>
      </c>
      <c r="J62" s="993">
        <v>2.25</v>
      </c>
      <c r="K62" s="949" t="s">
        <v>655</v>
      </c>
      <c r="L62" s="993">
        <v>30</v>
      </c>
      <c r="M62" s="993" t="s">
        <v>483</v>
      </c>
      <c r="N62" s="1008" t="s">
        <v>87</v>
      </c>
      <c r="O62" s="670"/>
    </row>
    <row r="63" spans="1:15" hidden="1" x14ac:dyDescent="0.25">
      <c r="A63" s="670"/>
      <c r="B63" s="991">
        <v>1</v>
      </c>
      <c r="C63" s="992">
        <v>35</v>
      </c>
      <c r="D63" s="996"/>
      <c r="E63" s="949"/>
      <c r="F63" s="999"/>
      <c r="G63" s="987"/>
      <c r="H63" s="993" t="s">
        <v>483</v>
      </c>
      <c r="I63" s="949" t="s">
        <v>655</v>
      </c>
      <c r="J63" s="993">
        <v>2.25</v>
      </c>
      <c r="K63" s="949" t="s">
        <v>655</v>
      </c>
      <c r="L63" s="993">
        <v>30</v>
      </c>
      <c r="M63" s="993" t="s">
        <v>483</v>
      </c>
      <c r="N63" s="1008" t="s">
        <v>86</v>
      </c>
      <c r="O63" s="670"/>
    </row>
    <row r="64" spans="1:15" ht="15.75" hidden="1" thickBot="1" x14ac:dyDescent="0.3">
      <c r="A64" s="670"/>
      <c r="B64" s="942">
        <v>1</v>
      </c>
      <c r="C64" s="997">
        <v>37</v>
      </c>
      <c r="D64" s="998"/>
      <c r="E64" s="934"/>
      <c r="F64" s="1000"/>
      <c r="G64" s="988"/>
      <c r="H64" s="946" t="s">
        <v>483</v>
      </c>
      <c r="I64" s="934" t="s">
        <v>655</v>
      </c>
      <c r="J64" s="946">
        <v>2.25</v>
      </c>
      <c r="K64" s="934" t="s">
        <v>655</v>
      </c>
      <c r="L64" s="946">
        <v>30</v>
      </c>
      <c r="M64" s="946" t="s">
        <v>483</v>
      </c>
      <c r="N64" s="1009" t="s">
        <v>105</v>
      </c>
      <c r="O64" s="670"/>
    </row>
    <row r="65" spans="1:15" hidden="1" x14ac:dyDescent="0.25">
      <c r="A65" s="670"/>
      <c r="B65" s="980"/>
      <c r="C65" s="980"/>
      <c r="D65" s="980"/>
      <c r="E65" s="980"/>
      <c r="F65" s="980"/>
      <c r="G65" s="980"/>
      <c r="H65" s="980"/>
      <c r="I65" s="980"/>
      <c r="J65" s="980"/>
      <c r="K65" s="980"/>
      <c r="L65" s="980"/>
      <c r="M65" s="980"/>
      <c r="N65" s="980"/>
      <c r="O65" s="670"/>
    </row>
    <row r="66" spans="1:15" x14ac:dyDescent="0.25">
      <c r="A66" s="670"/>
      <c r="B66" s="670"/>
      <c r="C66" s="670"/>
      <c r="D66" s="670"/>
      <c r="E66" s="670"/>
      <c r="F66" s="670"/>
      <c r="G66" s="670"/>
      <c r="H66" s="670"/>
      <c r="I66" s="670"/>
      <c r="J66" s="670"/>
      <c r="K66" s="670"/>
      <c r="L66" s="670"/>
      <c r="M66" s="670"/>
      <c r="N66" s="670"/>
      <c r="O66" s="670"/>
    </row>
    <row r="67" spans="1:15" x14ac:dyDescent="0.25">
      <c r="A67" s="670"/>
      <c r="B67" s="670"/>
      <c r="C67" s="670"/>
      <c r="D67" s="670"/>
      <c r="E67" s="670"/>
      <c r="F67" s="670"/>
      <c r="G67" s="670"/>
      <c r="H67" s="670"/>
      <c r="I67" s="670"/>
      <c r="J67" s="670"/>
      <c r="K67" s="670"/>
      <c r="L67" s="670"/>
      <c r="M67" s="670"/>
      <c r="N67" s="670"/>
      <c r="O67" s="670"/>
    </row>
    <row r="68" spans="1:15" x14ac:dyDescent="0.25">
      <c r="A68" s="670"/>
      <c r="B68" s="670"/>
      <c r="C68" s="670"/>
      <c r="D68" s="670"/>
      <c r="E68" s="670"/>
      <c r="F68" s="670"/>
      <c r="G68" s="670"/>
      <c r="H68" s="670"/>
      <c r="I68" s="670"/>
      <c r="J68" s="670"/>
      <c r="K68" s="670"/>
      <c r="L68" s="670"/>
      <c r="M68" s="670"/>
      <c r="N68" s="670"/>
      <c r="O68" s="670"/>
    </row>
    <row r="69" spans="1:15" x14ac:dyDescent="0.25">
      <c r="A69" s="670"/>
      <c r="B69" s="670"/>
      <c r="C69" s="670"/>
      <c r="D69" s="670"/>
      <c r="E69" s="670"/>
      <c r="F69" s="670"/>
      <c r="G69" s="670"/>
      <c r="H69" s="670"/>
      <c r="I69" s="670"/>
      <c r="J69" s="670"/>
      <c r="K69" s="670"/>
      <c r="L69" s="670"/>
      <c r="M69" s="670"/>
      <c r="N69" s="670"/>
      <c r="O69" s="670"/>
    </row>
    <row r="70" spans="1:15" x14ac:dyDescent="0.25">
      <c r="A70" s="670"/>
      <c r="B70" s="670"/>
      <c r="C70" s="670"/>
      <c r="D70" s="670"/>
      <c r="E70" s="670"/>
      <c r="F70" s="670"/>
      <c r="G70" s="670"/>
      <c r="H70" s="670"/>
      <c r="I70" s="670"/>
      <c r="J70" s="670"/>
      <c r="K70" s="670"/>
      <c r="L70" s="670"/>
      <c r="M70" s="670"/>
      <c r="N70" s="670"/>
      <c r="O70" s="670"/>
    </row>
    <row r="71" spans="1:15" x14ac:dyDescent="0.25">
      <c r="A71" s="670"/>
      <c r="B71" s="670"/>
      <c r="C71" s="670"/>
      <c r="D71" s="670"/>
      <c r="E71" s="670"/>
      <c r="F71" s="670"/>
      <c r="G71" s="670"/>
      <c r="H71" s="670"/>
      <c r="I71" s="670"/>
      <c r="J71" s="670"/>
      <c r="K71" s="670"/>
      <c r="L71" s="670"/>
      <c r="M71" s="670"/>
      <c r="N71" s="670"/>
      <c r="O71" s="670"/>
    </row>
    <row r="72" spans="1:15" x14ac:dyDescent="0.25">
      <c r="A72" s="670"/>
      <c r="B72" s="670"/>
      <c r="C72" s="670"/>
      <c r="D72" s="670"/>
      <c r="E72" s="670"/>
      <c r="F72" s="670"/>
      <c r="G72" s="670"/>
      <c r="H72" s="670"/>
      <c r="I72" s="670"/>
      <c r="J72" s="670"/>
      <c r="K72" s="670"/>
      <c r="L72" s="670"/>
      <c r="M72" s="670"/>
      <c r="N72" s="670"/>
      <c r="O72" s="670"/>
    </row>
    <row r="73" spans="1:15" x14ac:dyDescent="0.25">
      <c r="A73" s="670"/>
      <c r="B73" s="670"/>
      <c r="C73" s="670"/>
      <c r="D73" s="670"/>
      <c r="E73" s="670"/>
      <c r="F73" s="670"/>
      <c r="G73" s="670"/>
      <c r="H73" s="670"/>
      <c r="I73" s="670"/>
      <c r="J73" s="670"/>
      <c r="K73" s="670"/>
      <c r="L73" s="670"/>
      <c r="M73" s="670"/>
      <c r="N73" s="670"/>
      <c r="O73" s="670"/>
    </row>
    <row r="74" spans="1:15" x14ac:dyDescent="0.25">
      <c r="A74" s="670"/>
      <c r="B74" s="670"/>
      <c r="C74" s="670"/>
      <c r="D74" s="670"/>
      <c r="E74" s="670"/>
      <c r="F74" s="670"/>
      <c r="G74" s="670"/>
      <c r="H74" s="670"/>
      <c r="I74" s="670"/>
      <c r="J74" s="670"/>
      <c r="K74" s="670"/>
      <c r="L74" s="670"/>
      <c r="M74" s="670"/>
      <c r="N74" s="670"/>
      <c r="O74" s="670"/>
    </row>
    <row r="75" spans="1:15" x14ac:dyDescent="0.25">
      <c r="A75" s="670"/>
      <c r="B75" s="670"/>
      <c r="C75" s="670"/>
      <c r="D75" s="670"/>
      <c r="E75" s="670"/>
      <c r="F75" s="670"/>
      <c r="G75" s="670"/>
      <c r="H75" s="670"/>
      <c r="I75" s="670"/>
      <c r="J75" s="670"/>
      <c r="K75" s="670"/>
      <c r="L75" s="670"/>
      <c r="M75" s="670"/>
      <c r="N75" s="670"/>
      <c r="O75" s="670"/>
    </row>
    <row r="76" spans="1:15" x14ac:dyDescent="0.25">
      <c r="A76" s="670"/>
      <c r="B76" s="670"/>
      <c r="C76" s="670"/>
      <c r="D76" s="670"/>
      <c r="E76" s="670"/>
      <c r="F76" s="670"/>
      <c r="G76" s="670"/>
      <c r="H76" s="670"/>
      <c r="I76" s="670"/>
      <c r="J76" s="670"/>
      <c r="K76" s="670"/>
      <c r="L76" s="670"/>
      <c r="M76" s="670"/>
      <c r="N76" s="670"/>
      <c r="O76" s="670"/>
    </row>
    <row r="77" spans="1:15" x14ac:dyDescent="0.25">
      <c r="A77" s="670"/>
      <c r="B77" s="670"/>
      <c r="C77" s="670"/>
      <c r="D77" s="670"/>
      <c r="E77" s="670"/>
      <c r="F77" s="670"/>
      <c r="G77" s="670"/>
      <c r="H77" s="670"/>
      <c r="I77" s="670"/>
      <c r="J77" s="670"/>
      <c r="K77" s="670"/>
      <c r="L77" s="670"/>
      <c r="M77" s="670"/>
      <c r="N77" s="670"/>
      <c r="O77" s="670"/>
    </row>
    <row r="78" spans="1:15" x14ac:dyDescent="0.25">
      <c r="A78" s="670"/>
      <c r="B78" s="670"/>
      <c r="C78" s="670"/>
      <c r="D78" s="670"/>
      <c r="E78" s="670"/>
      <c r="F78" s="670"/>
      <c r="G78" s="670"/>
      <c r="H78" s="670"/>
      <c r="I78" s="670"/>
      <c r="J78" s="670"/>
      <c r="K78" s="670"/>
      <c r="L78" s="670"/>
      <c r="M78" s="670"/>
      <c r="N78" s="670"/>
      <c r="O78" s="670"/>
    </row>
    <row r="79" spans="1:15" x14ac:dyDescent="0.25">
      <c r="A79" s="670"/>
      <c r="B79" s="670"/>
      <c r="C79" s="670"/>
      <c r="D79" s="670"/>
      <c r="E79" s="670"/>
      <c r="F79" s="670"/>
      <c r="G79" s="670"/>
      <c r="H79" s="670"/>
      <c r="I79" s="670"/>
      <c r="J79" s="670"/>
      <c r="K79" s="670"/>
      <c r="L79" s="670"/>
      <c r="M79" s="670"/>
      <c r="N79" s="670"/>
      <c r="O79" s="670"/>
    </row>
    <row r="80" spans="1:15" x14ac:dyDescent="0.25">
      <c r="A80" s="670"/>
      <c r="B80" s="670"/>
      <c r="C80" s="670"/>
      <c r="D80" s="670"/>
      <c r="E80" s="670"/>
      <c r="F80" s="670"/>
      <c r="G80" s="670"/>
      <c r="H80" s="670"/>
      <c r="I80" s="670"/>
      <c r="J80" s="670"/>
      <c r="K80" s="670"/>
      <c r="L80" s="670"/>
      <c r="M80" s="670"/>
      <c r="N80" s="670"/>
      <c r="O80" s="670"/>
    </row>
    <row r="81" spans="1:15" x14ac:dyDescent="0.25">
      <c r="A81" s="670"/>
      <c r="B81" s="670"/>
      <c r="C81" s="670"/>
      <c r="D81" s="670"/>
      <c r="E81" s="670"/>
      <c r="F81" s="670"/>
      <c r="G81" s="670"/>
      <c r="H81" s="670"/>
      <c r="I81" s="670"/>
      <c r="J81" s="670"/>
      <c r="K81" s="670"/>
      <c r="L81" s="670"/>
      <c r="M81" s="670"/>
      <c r="N81" s="670"/>
      <c r="O81" s="670"/>
    </row>
    <row r="82" spans="1:15" x14ac:dyDescent="0.25">
      <c r="A82" s="670"/>
      <c r="B82" s="670"/>
      <c r="C82" s="670"/>
      <c r="D82" s="670"/>
      <c r="E82" s="670"/>
      <c r="F82" s="670"/>
      <c r="G82" s="670"/>
      <c r="H82" s="670"/>
      <c r="I82" s="670"/>
      <c r="J82" s="670"/>
      <c r="K82" s="670"/>
      <c r="L82" s="670"/>
      <c r="M82" s="670"/>
      <c r="N82" s="670"/>
      <c r="O82" s="670"/>
    </row>
    <row r="83" spans="1:15" x14ac:dyDescent="0.25">
      <c r="A83" s="670"/>
      <c r="B83" s="670"/>
      <c r="C83" s="670"/>
      <c r="D83" s="670"/>
      <c r="E83" s="670"/>
      <c r="F83" s="670"/>
      <c r="G83" s="670"/>
      <c r="H83" s="670"/>
      <c r="I83" s="670"/>
      <c r="J83" s="670"/>
      <c r="K83" s="670"/>
      <c r="L83" s="670"/>
      <c r="M83" s="670"/>
      <c r="N83" s="670"/>
      <c r="O83" s="670"/>
    </row>
    <row r="84" spans="1:15" x14ac:dyDescent="0.25">
      <c r="A84" s="670"/>
      <c r="B84" s="670"/>
      <c r="C84" s="670"/>
      <c r="D84" s="670"/>
      <c r="E84" s="670"/>
      <c r="F84" s="670"/>
      <c r="G84" s="670"/>
      <c r="H84" s="670"/>
      <c r="I84" s="670"/>
      <c r="J84" s="670"/>
      <c r="K84" s="670"/>
      <c r="L84" s="670"/>
      <c r="M84" s="670"/>
      <c r="N84" s="670"/>
      <c r="O84" s="670"/>
    </row>
    <row r="85" spans="1:15" x14ac:dyDescent="0.25">
      <c r="A85" s="670"/>
      <c r="B85" s="670"/>
      <c r="C85" s="670"/>
      <c r="D85" s="670"/>
      <c r="E85" s="670"/>
      <c r="F85" s="670"/>
      <c r="G85" s="670"/>
      <c r="H85" s="670"/>
      <c r="I85" s="670"/>
      <c r="J85" s="670"/>
      <c r="K85" s="670"/>
      <c r="L85" s="670"/>
      <c r="M85" s="670"/>
      <c r="N85" s="670"/>
      <c r="O85" s="670"/>
    </row>
    <row r="86" spans="1:15" x14ac:dyDescent="0.25">
      <c r="A86" s="670"/>
      <c r="B86" s="670"/>
      <c r="C86" s="670"/>
      <c r="D86" s="670"/>
      <c r="E86" s="670"/>
      <c r="F86" s="670"/>
      <c r="G86" s="670"/>
      <c r="H86" s="670"/>
      <c r="I86" s="670"/>
      <c r="J86" s="670"/>
      <c r="K86" s="670"/>
      <c r="L86" s="670"/>
      <c r="M86" s="670"/>
      <c r="N86" s="670"/>
      <c r="O86" s="670"/>
    </row>
    <row r="87" spans="1:15" x14ac:dyDescent="0.25">
      <c r="A87" s="670"/>
      <c r="B87" s="670"/>
      <c r="C87" s="670"/>
      <c r="D87" s="670"/>
      <c r="E87" s="670"/>
      <c r="F87" s="670"/>
      <c r="G87" s="670"/>
      <c r="H87" s="670"/>
      <c r="I87" s="670"/>
      <c r="J87" s="670"/>
      <c r="K87" s="670"/>
      <c r="L87" s="670"/>
      <c r="M87" s="670"/>
      <c r="N87" s="670"/>
      <c r="O87" s="670"/>
    </row>
    <row r="88" spans="1:15" x14ac:dyDescent="0.25">
      <c r="A88" s="670"/>
      <c r="B88" s="670"/>
      <c r="C88" s="670"/>
      <c r="D88" s="670"/>
      <c r="E88" s="670"/>
      <c r="F88" s="670"/>
      <c r="G88" s="670"/>
      <c r="H88" s="670"/>
      <c r="I88" s="670"/>
      <c r="J88" s="670"/>
      <c r="K88" s="670"/>
      <c r="L88" s="670"/>
      <c r="M88" s="670"/>
      <c r="N88" s="670"/>
      <c r="O88" s="670"/>
    </row>
    <row r="89" spans="1:15" x14ac:dyDescent="0.25">
      <c r="A89" s="670"/>
      <c r="B89" s="670"/>
      <c r="C89" s="670"/>
      <c r="D89" s="670"/>
      <c r="E89" s="670"/>
      <c r="F89" s="670"/>
      <c r="G89" s="670"/>
      <c r="H89" s="670"/>
      <c r="I89" s="670"/>
      <c r="J89" s="670"/>
      <c r="K89" s="670"/>
      <c r="L89" s="670"/>
      <c r="M89" s="670"/>
      <c r="N89" s="670"/>
      <c r="O89" s="670"/>
    </row>
    <row r="90" spans="1:15" x14ac:dyDescent="0.25">
      <c r="A90" s="670"/>
      <c r="B90" s="670"/>
      <c r="C90" s="670"/>
      <c r="D90" s="670"/>
      <c r="E90" s="670"/>
      <c r="F90" s="670"/>
      <c r="G90" s="670"/>
      <c r="H90" s="670"/>
      <c r="I90" s="670"/>
      <c r="J90" s="670"/>
      <c r="K90" s="670"/>
      <c r="L90" s="670"/>
      <c r="M90" s="670"/>
      <c r="N90" s="670"/>
    </row>
    <row r="91" spans="1:15" x14ac:dyDescent="0.25">
      <c r="A91" s="670"/>
      <c r="B91" s="670"/>
      <c r="C91" s="670"/>
      <c r="D91" s="670"/>
      <c r="E91" s="670"/>
      <c r="F91" s="670"/>
      <c r="G91" s="670"/>
      <c r="H91" s="670"/>
      <c r="I91" s="670"/>
      <c r="J91" s="670"/>
      <c r="K91" s="670"/>
      <c r="L91" s="670"/>
      <c r="M91" s="670"/>
      <c r="N91" s="670"/>
    </row>
    <row r="92" spans="1:15" x14ac:dyDescent="0.25">
      <c r="A92" s="670"/>
      <c r="B92" s="670"/>
      <c r="C92" s="670"/>
      <c r="D92" s="670"/>
      <c r="E92" s="670"/>
      <c r="F92" s="670"/>
      <c r="G92" s="670"/>
      <c r="H92" s="670"/>
      <c r="I92" s="670"/>
      <c r="J92" s="670"/>
      <c r="K92" s="670"/>
      <c r="L92" s="670"/>
      <c r="M92" s="670"/>
      <c r="N92" s="670"/>
    </row>
    <row r="93" spans="1:15" x14ac:dyDescent="0.25">
      <c r="A93" s="670"/>
      <c r="B93" s="670"/>
      <c r="C93" s="670"/>
      <c r="D93" s="670"/>
      <c r="E93" s="670"/>
      <c r="F93" s="670"/>
      <c r="G93" s="670"/>
      <c r="H93" s="670"/>
      <c r="I93" s="670"/>
      <c r="J93" s="670"/>
      <c r="K93" s="670"/>
      <c r="L93" s="670"/>
      <c r="M93" s="670"/>
      <c r="N93" s="670"/>
    </row>
    <row r="94" spans="1:15" x14ac:dyDescent="0.25">
      <c r="A94" s="670"/>
      <c r="B94" s="670"/>
      <c r="C94" s="670"/>
      <c r="D94" s="670"/>
      <c r="E94" s="670"/>
      <c r="F94" s="670"/>
      <c r="G94" s="670"/>
      <c r="H94" s="670"/>
      <c r="I94" s="670"/>
      <c r="J94" s="670"/>
      <c r="K94" s="670"/>
      <c r="L94" s="670"/>
      <c r="M94" s="670"/>
      <c r="N94" s="670"/>
    </row>
    <row r="95" spans="1:15" x14ac:dyDescent="0.25">
      <c r="A95" s="670"/>
      <c r="B95" s="670"/>
      <c r="C95" s="670"/>
      <c r="D95" s="670"/>
      <c r="E95" s="670"/>
      <c r="F95" s="670"/>
      <c r="G95" s="670"/>
      <c r="H95" s="670"/>
      <c r="I95" s="670"/>
      <c r="J95" s="670"/>
      <c r="K95" s="670"/>
      <c r="L95" s="670"/>
      <c r="M95" s="670"/>
      <c r="N95" s="670"/>
    </row>
    <row r="96" spans="1:15" x14ac:dyDescent="0.25">
      <c r="A96" s="670"/>
      <c r="B96" s="670"/>
      <c r="C96" s="670"/>
      <c r="D96" s="670"/>
      <c r="E96" s="670"/>
      <c r="F96" s="670"/>
      <c r="G96" s="670"/>
      <c r="H96" s="670"/>
      <c r="I96" s="670"/>
      <c r="J96" s="670"/>
      <c r="K96" s="670"/>
      <c r="L96" s="670"/>
      <c r="M96" s="670"/>
      <c r="N96" s="670"/>
    </row>
    <row r="97" spans="1:14" x14ac:dyDescent="0.25">
      <c r="A97" s="670"/>
      <c r="B97" s="670"/>
      <c r="C97" s="670"/>
      <c r="D97" s="670"/>
      <c r="E97" s="670"/>
      <c r="F97" s="670"/>
      <c r="G97" s="670"/>
      <c r="H97" s="670"/>
      <c r="I97" s="670"/>
      <c r="J97" s="670"/>
      <c r="K97" s="670"/>
      <c r="L97" s="670"/>
      <c r="M97" s="670"/>
      <c r="N97" s="670"/>
    </row>
    <row r="98" spans="1:14" x14ac:dyDescent="0.25">
      <c r="A98" s="670"/>
      <c r="B98" s="670"/>
      <c r="C98" s="670"/>
      <c r="D98" s="670"/>
      <c r="E98" s="670"/>
      <c r="F98" s="670"/>
      <c r="G98" s="670"/>
      <c r="H98" s="670"/>
      <c r="I98" s="670"/>
      <c r="J98" s="670"/>
      <c r="K98" s="670"/>
      <c r="L98" s="670"/>
      <c r="M98" s="670"/>
      <c r="N98" s="670"/>
    </row>
    <row r="99" spans="1:14" x14ac:dyDescent="0.25">
      <c r="A99" s="670"/>
      <c r="B99" s="670"/>
      <c r="C99" s="670"/>
      <c r="D99" s="670"/>
      <c r="E99" s="670"/>
      <c r="F99" s="670"/>
      <c r="G99" s="670"/>
      <c r="H99" s="670"/>
      <c r="I99" s="670"/>
      <c r="J99" s="670"/>
      <c r="K99" s="670"/>
      <c r="L99" s="670"/>
      <c r="M99" s="670"/>
      <c r="N99" s="670"/>
    </row>
    <row r="100" spans="1:14" x14ac:dyDescent="0.25">
      <c r="A100" s="670"/>
      <c r="B100" s="670"/>
      <c r="C100" s="670"/>
      <c r="D100" s="670"/>
      <c r="E100" s="670"/>
      <c r="F100" s="670"/>
      <c r="G100" s="670"/>
      <c r="H100" s="670"/>
      <c r="I100" s="670"/>
      <c r="J100" s="670"/>
      <c r="K100" s="670"/>
      <c r="L100" s="670"/>
      <c r="M100" s="670"/>
      <c r="N100" s="670"/>
    </row>
    <row r="101" spans="1:14" x14ac:dyDescent="0.25">
      <c r="A101" s="670"/>
      <c r="B101" s="670"/>
      <c r="C101" s="670"/>
      <c r="D101" s="670"/>
      <c r="E101" s="670"/>
      <c r="F101" s="670"/>
      <c r="G101" s="670"/>
      <c r="H101" s="670"/>
      <c r="I101" s="670"/>
      <c r="J101" s="670"/>
      <c r="K101" s="670"/>
      <c r="L101" s="670"/>
      <c r="M101" s="670"/>
      <c r="N101" s="670"/>
    </row>
    <row r="102" spans="1:14" x14ac:dyDescent="0.25">
      <c r="A102" s="670"/>
      <c r="B102" s="670"/>
      <c r="C102" s="670"/>
      <c r="D102" s="670"/>
      <c r="E102" s="670"/>
      <c r="F102" s="670"/>
      <c r="G102" s="670"/>
      <c r="H102" s="670"/>
      <c r="I102" s="670"/>
      <c r="J102" s="670"/>
      <c r="K102" s="670"/>
      <c r="L102" s="670"/>
      <c r="M102" s="670"/>
      <c r="N102" s="670"/>
    </row>
    <row r="103" spans="1:14" x14ac:dyDescent="0.25">
      <c r="A103" s="670"/>
      <c r="B103" s="670"/>
      <c r="C103" s="670"/>
      <c r="D103" s="670"/>
      <c r="E103" s="670"/>
      <c r="F103" s="670"/>
      <c r="G103" s="670"/>
      <c r="H103" s="670"/>
      <c r="I103" s="670"/>
      <c r="J103" s="670"/>
      <c r="K103" s="670"/>
      <c r="L103" s="670"/>
      <c r="M103" s="670"/>
      <c r="N103" s="670"/>
    </row>
    <row r="104" spans="1:14" x14ac:dyDescent="0.25">
      <c r="A104" s="670"/>
      <c r="B104" s="670"/>
      <c r="C104" s="670"/>
      <c r="D104" s="670"/>
      <c r="E104" s="670"/>
      <c r="F104" s="670"/>
      <c r="G104" s="670"/>
      <c r="H104" s="670"/>
      <c r="I104" s="670"/>
      <c r="J104" s="670"/>
      <c r="K104" s="670"/>
      <c r="L104" s="670"/>
      <c r="M104" s="670"/>
      <c r="N104" s="670"/>
    </row>
    <row r="105" spans="1:14" x14ac:dyDescent="0.25">
      <c r="A105" s="670"/>
      <c r="B105" s="670"/>
      <c r="C105" s="670"/>
      <c r="D105" s="670"/>
      <c r="E105" s="670"/>
      <c r="F105" s="670"/>
      <c r="G105" s="670"/>
      <c r="H105" s="670"/>
      <c r="I105" s="670"/>
      <c r="J105" s="670"/>
      <c r="K105" s="670"/>
      <c r="L105" s="670"/>
      <c r="M105" s="670"/>
      <c r="N105" s="670"/>
    </row>
    <row r="106" spans="1:14" x14ac:dyDescent="0.25">
      <c r="A106" s="670"/>
      <c r="B106" s="670"/>
      <c r="C106" s="670"/>
      <c r="D106" s="670"/>
      <c r="E106" s="670"/>
      <c r="F106" s="670"/>
      <c r="G106" s="670"/>
      <c r="H106" s="670"/>
      <c r="I106" s="670"/>
      <c r="J106" s="670"/>
      <c r="K106" s="670"/>
      <c r="L106" s="670"/>
      <c r="M106" s="670"/>
      <c r="N106" s="670"/>
    </row>
    <row r="107" spans="1:14" x14ac:dyDescent="0.25">
      <c r="A107" s="670"/>
      <c r="B107" s="670"/>
      <c r="C107" s="670"/>
      <c r="D107" s="670"/>
      <c r="E107" s="670"/>
      <c r="F107" s="670"/>
      <c r="G107" s="670"/>
      <c r="H107" s="670"/>
      <c r="I107" s="670"/>
      <c r="J107" s="670"/>
      <c r="K107" s="670"/>
      <c r="L107" s="670"/>
      <c r="M107" s="670"/>
      <c r="N107" s="670"/>
    </row>
    <row r="108" spans="1:14" x14ac:dyDescent="0.25">
      <c r="A108" s="670"/>
      <c r="B108" s="670"/>
      <c r="C108" s="670"/>
      <c r="D108" s="670"/>
      <c r="E108" s="670"/>
      <c r="F108" s="670"/>
      <c r="G108" s="670"/>
      <c r="H108" s="670"/>
      <c r="I108" s="670"/>
      <c r="J108" s="670"/>
      <c r="K108" s="670"/>
      <c r="L108" s="670"/>
      <c r="M108" s="670"/>
      <c r="N108" s="670"/>
    </row>
    <row r="109" spans="1:14" x14ac:dyDescent="0.25">
      <c r="A109" s="670"/>
      <c r="B109" s="670"/>
      <c r="C109" s="670"/>
      <c r="D109" s="670"/>
      <c r="E109" s="670"/>
      <c r="F109" s="670"/>
      <c r="G109" s="670"/>
      <c r="H109" s="670"/>
      <c r="I109" s="670"/>
      <c r="J109" s="670"/>
      <c r="K109" s="670"/>
      <c r="L109" s="670"/>
      <c r="M109" s="670"/>
      <c r="N109" s="670"/>
    </row>
    <row r="110" spans="1:14" x14ac:dyDescent="0.25">
      <c r="A110" s="670"/>
      <c r="B110" s="670"/>
      <c r="C110" s="670"/>
      <c r="D110" s="670"/>
      <c r="E110" s="670"/>
      <c r="F110" s="670"/>
      <c r="G110" s="670"/>
      <c r="H110" s="670"/>
      <c r="I110" s="670"/>
      <c r="J110" s="670"/>
      <c r="K110" s="670"/>
      <c r="L110" s="670"/>
      <c r="M110" s="670"/>
      <c r="N110" s="670"/>
    </row>
    <row r="111" spans="1:14" x14ac:dyDescent="0.25">
      <c r="A111" s="670"/>
      <c r="B111" s="670"/>
      <c r="C111" s="670"/>
      <c r="D111" s="670"/>
      <c r="E111" s="670"/>
      <c r="F111" s="670"/>
      <c r="G111" s="670"/>
      <c r="H111" s="670"/>
      <c r="I111" s="670"/>
      <c r="J111" s="670"/>
      <c r="K111" s="670"/>
      <c r="L111" s="670"/>
      <c r="M111" s="670"/>
      <c r="N111" s="670"/>
    </row>
    <row r="112" spans="1:14" x14ac:dyDescent="0.25">
      <c r="A112" s="670"/>
      <c r="B112" s="670"/>
      <c r="C112" s="670"/>
      <c r="D112" s="670"/>
      <c r="E112" s="670"/>
      <c r="F112" s="670"/>
      <c r="G112" s="670"/>
      <c r="H112" s="670"/>
      <c r="I112" s="670"/>
      <c r="J112" s="670"/>
      <c r="K112" s="670"/>
      <c r="L112" s="670"/>
      <c r="M112" s="670"/>
      <c r="N112" s="670"/>
    </row>
    <row r="113" spans="1:14" x14ac:dyDescent="0.25">
      <c r="A113" s="670"/>
      <c r="B113" s="670"/>
      <c r="C113" s="670"/>
      <c r="D113" s="670"/>
      <c r="E113" s="670"/>
      <c r="F113" s="670"/>
      <c r="G113" s="670"/>
      <c r="H113" s="670"/>
      <c r="I113" s="670"/>
      <c r="J113" s="670"/>
      <c r="K113" s="670"/>
      <c r="L113" s="670"/>
      <c r="M113" s="670"/>
      <c r="N113" s="670"/>
    </row>
    <row r="114" spans="1:14" x14ac:dyDescent="0.25">
      <c r="A114" s="670"/>
      <c r="B114" s="670"/>
      <c r="C114" s="670"/>
      <c r="D114" s="670"/>
      <c r="E114" s="670"/>
      <c r="F114" s="670"/>
      <c r="G114" s="670"/>
      <c r="H114" s="670"/>
      <c r="I114" s="670"/>
      <c r="J114" s="670"/>
      <c r="K114" s="670"/>
      <c r="L114" s="670"/>
      <c r="M114" s="670"/>
      <c r="N114" s="670"/>
    </row>
    <row r="115" spans="1:14" x14ac:dyDescent="0.25">
      <c r="A115" s="670"/>
      <c r="B115" s="670"/>
      <c r="C115" s="670"/>
      <c r="D115" s="670"/>
      <c r="E115" s="670"/>
      <c r="F115" s="670"/>
      <c r="G115" s="670"/>
      <c r="H115" s="670"/>
      <c r="I115" s="670"/>
      <c r="J115" s="670"/>
      <c r="K115" s="670"/>
      <c r="L115" s="670"/>
      <c r="M115" s="670"/>
      <c r="N115" s="670"/>
    </row>
    <row r="116" spans="1:14" x14ac:dyDescent="0.25">
      <c r="A116" s="670"/>
      <c r="B116" s="670"/>
      <c r="C116" s="670"/>
      <c r="D116" s="670"/>
      <c r="E116" s="670"/>
      <c r="F116" s="670"/>
      <c r="G116" s="670"/>
      <c r="H116" s="670"/>
      <c r="I116" s="670"/>
      <c r="J116" s="670"/>
      <c r="K116" s="670"/>
      <c r="L116" s="670"/>
      <c r="M116" s="670"/>
      <c r="N116" s="670"/>
    </row>
    <row r="117" spans="1:14" x14ac:dyDescent="0.25">
      <c r="A117" s="670"/>
      <c r="B117" s="670"/>
      <c r="C117" s="670"/>
      <c r="D117" s="670"/>
      <c r="E117" s="670"/>
      <c r="F117" s="670"/>
      <c r="G117" s="670"/>
      <c r="H117" s="670"/>
      <c r="I117" s="670"/>
      <c r="J117" s="670"/>
      <c r="K117" s="670"/>
      <c r="L117" s="670"/>
      <c r="M117" s="670"/>
      <c r="N117" s="670"/>
    </row>
    <row r="118" spans="1:14" x14ac:dyDescent="0.25">
      <c r="A118" s="670"/>
      <c r="B118" s="670"/>
      <c r="C118" s="670"/>
      <c r="D118" s="670"/>
      <c r="E118" s="670"/>
      <c r="F118" s="670"/>
      <c r="G118" s="670"/>
      <c r="H118" s="670"/>
      <c r="I118" s="670"/>
      <c r="J118" s="670"/>
      <c r="K118" s="670"/>
      <c r="L118" s="670"/>
      <c r="M118" s="670"/>
      <c r="N118" s="670"/>
    </row>
    <row r="119" spans="1:14" x14ac:dyDescent="0.25">
      <c r="A119" s="670"/>
      <c r="B119" s="670"/>
      <c r="C119" s="670"/>
      <c r="D119" s="670"/>
      <c r="E119" s="670"/>
      <c r="F119" s="670"/>
      <c r="G119" s="670"/>
      <c r="H119" s="670"/>
      <c r="I119" s="670"/>
      <c r="J119" s="670"/>
      <c r="K119" s="670"/>
      <c r="L119" s="670"/>
      <c r="M119" s="670"/>
      <c r="N119" s="670"/>
    </row>
    <row r="120" spans="1:14" x14ac:dyDescent="0.25">
      <c r="A120" s="670"/>
      <c r="B120" s="670"/>
      <c r="C120" s="670"/>
      <c r="D120" s="670"/>
      <c r="E120" s="670"/>
      <c r="F120" s="670"/>
      <c r="G120" s="670"/>
      <c r="H120" s="670"/>
      <c r="I120" s="670"/>
      <c r="J120" s="670"/>
      <c r="K120" s="670"/>
      <c r="L120" s="670"/>
      <c r="M120" s="670"/>
      <c r="N120" s="670"/>
    </row>
    <row r="121" spans="1:14" x14ac:dyDescent="0.25">
      <c r="A121" s="670"/>
      <c r="B121" s="670"/>
      <c r="C121" s="670"/>
      <c r="D121" s="670"/>
      <c r="E121" s="670"/>
      <c r="F121" s="670"/>
      <c r="G121" s="670"/>
      <c r="H121" s="670"/>
      <c r="I121" s="670"/>
      <c r="J121" s="670"/>
      <c r="K121" s="670"/>
      <c r="L121" s="670"/>
      <c r="M121" s="670"/>
      <c r="N121" s="670"/>
    </row>
    <row r="122" spans="1:14" x14ac:dyDescent="0.25">
      <c r="A122" s="670"/>
      <c r="B122" s="670"/>
      <c r="C122" s="670"/>
      <c r="D122" s="670"/>
      <c r="E122" s="670"/>
      <c r="F122" s="670"/>
      <c r="G122" s="670"/>
      <c r="H122" s="670"/>
      <c r="I122" s="670"/>
      <c r="J122" s="670"/>
      <c r="K122" s="670"/>
      <c r="L122" s="670"/>
      <c r="M122" s="670"/>
      <c r="N122" s="670"/>
    </row>
    <row r="123" spans="1:14" x14ac:dyDescent="0.25">
      <c r="A123" s="670"/>
      <c r="B123" s="670"/>
      <c r="C123" s="670"/>
      <c r="D123" s="670"/>
      <c r="E123" s="670"/>
      <c r="F123" s="670"/>
      <c r="G123" s="670"/>
      <c r="H123" s="670"/>
      <c r="I123" s="670"/>
      <c r="J123" s="670"/>
      <c r="K123" s="670"/>
      <c r="L123" s="670"/>
      <c r="M123" s="670"/>
      <c r="N123" s="670"/>
    </row>
    <row r="124" spans="1:14" x14ac:dyDescent="0.25">
      <c r="A124" s="670"/>
      <c r="B124" s="670"/>
      <c r="C124" s="670"/>
      <c r="D124" s="670"/>
      <c r="E124" s="670"/>
      <c r="F124" s="670"/>
      <c r="G124" s="670"/>
      <c r="H124" s="670"/>
      <c r="I124" s="670"/>
      <c r="J124" s="670"/>
      <c r="K124" s="670"/>
      <c r="L124" s="670"/>
      <c r="M124" s="670"/>
      <c r="N124" s="670"/>
    </row>
    <row r="125" spans="1:14" x14ac:dyDescent="0.25">
      <c r="A125" s="670"/>
      <c r="B125" s="670"/>
      <c r="C125" s="670"/>
      <c r="D125" s="670"/>
      <c r="E125" s="670"/>
      <c r="F125" s="670"/>
      <c r="G125" s="670"/>
      <c r="H125" s="670"/>
      <c r="I125" s="670"/>
      <c r="J125" s="670"/>
      <c r="K125" s="670"/>
      <c r="L125" s="670"/>
      <c r="M125" s="670"/>
      <c r="N125" s="670"/>
    </row>
    <row r="126" spans="1:14" x14ac:dyDescent="0.25">
      <c r="A126" s="670"/>
      <c r="B126" s="670"/>
      <c r="C126" s="670"/>
      <c r="D126" s="670"/>
      <c r="E126" s="670"/>
      <c r="F126" s="670"/>
      <c r="G126" s="670"/>
      <c r="H126" s="670"/>
      <c r="I126" s="670"/>
      <c r="J126" s="670"/>
      <c r="K126" s="670"/>
      <c r="L126" s="670"/>
      <c r="M126" s="670"/>
      <c r="N126" s="670"/>
    </row>
    <row r="127" spans="1:14" x14ac:dyDescent="0.25">
      <c r="A127" s="670"/>
      <c r="B127" s="670"/>
      <c r="C127" s="670"/>
      <c r="D127" s="670"/>
      <c r="E127" s="670"/>
      <c r="F127" s="670"/>
      <c r="G127" s="670"/>
      <c r="H127" s="670"/>
      <c r="I127" s="670"/>
      <c r="J127" s="670"/>
      <c r="K127" s="670"/>
      <c r="L127" s="670"/>
      <c r="M127" s="670"/>
      <c r="N127" s="670"/>
    </row>
    <row r="128" spans="1:14" x14ac:dyDescent="0.25">
      <c r="A128" s="670"/>
      <c r="B128" s="670"/>
      <c r="C128" s="670"/>
      <c r="D128" s="670"/>
      <c r="E128" s="670"/>
      <c r="F128" s="670"/>
      <c r="G128" s="670"/>
      <c r="H128" s="670"/>
      <c r="I128" s="670"/>
      <c r="J128" s="670"/>
      <c r="K128" s="670"/>
      <c r="L128" s="670"/>
      <c r="M128" s="670"/>
      <c r="N128" s="670"/>
    </row>
    <row r="129" spans="1:14" x14ac:dyDescent="0.25">
      <c r="A129" s="670"/>
      <c r="B129" s="670"/>
      <c r="C129" s="670"/>
      <c r="D129" s="670"/>
      <c r="E129" s="670"/>
      <c r="F129" s="670"/>
      <c r="G129" s="670"/>
      <c r="H129" s="670"/>
      <c r="I129" s="670"/>
      <c r="J129" s="670"/>
      <c r="K129" s="670"/>
      <c r="L129" s="670"/>
      <c r="M129" s="670"/>
      <c r="N129" s="670"/>
    </row>
    <row r="130" spans="1:14" x14ac:dyDescent="0.25">
      <c r="A130" s="670"/>
      <c r="B130" s="670"/>
      <c r="C130" s="670"/>
      <c r="D130" s="670"/>
      <c r="E130" s="670"/>
      <c r="F130" s="670"/>
      <c r="G130" s="670"/>
      <c r="H130" s="670"/>
      <c r="I130" s="670"/>
      <c r="J130" s="670"/>
      <c r="K130" s="670"/>
      <c r="L130" s="670"/>
      <c r="M130" s="670"/>
      <c r="N130" s="670"/>
    </row>
    <row r="131" spans="1:14" x14ac:dyDescent="0.25">
      <c r="A131" s="670"/>
      <c r="B131" s="670"/>
      <c r="C131" s="670"/>
      <c r="D131" s="670"/>
      <c r="E131" s="670"/>
      <c r="F131" s="670"/>
      <c r="G131" s="670"/>
      <c r="H131" s="670"/>
      <c r="I131" s="670"/>
      <c r="J131" s="670"/>
      <c r="K131" s="670"/>
      <c r="L131" s="670"/>
      <c r="M131" s="670"/>
      <c r="N131" s="670"/>
    </row>
    <row r="132" spans="1:14" x14ac:dyDescent="0.25">
      <c r="A132" s="670"/>
      <c r="B132" s="670"/>
      <c r="C132" s="670"/>
      <c r="D132" s="670"/>
      <c r="E132" s="670"/>
      <c r="F132" s="670"/>
      <c r="G132" s="670"/>
      <c r="H132" s="670"/>
      <c r="I132" s="670"/>
      <c r="J132" s="670"/>
      <c r="K132" s="670"/>
      <c r="L132" s="670"/>
      <c r="M132" s="670"/>
      <c r="N132" s="670"/>
    </row>
    <row r="133" spans="1:14" x14ac:dyDescent="0.25">
      <c r="A133" s="670"/>
      <c r="B133" s="670"/>
      <c r="C133" s="670"/>
      <c r="D133" s="670"/>
      <c r="E133" s="670"/>
      <c r="F133" s="670"/>
      <c r="G133" s="670"/>
      <c r="H133" s="670"/>
      <c r="I133" s="670"/>
      <c r="J133" s="670"/>
      <c r="K133" s="670"/>
      <c r="L133" s="670"/>
      <c r="M133" s="670"/>
      <c r="N133" s="670"/>
    </row>
    <row r="134" spans="1:14" x14ac:dyDescent="0.25">
      <c r="A134" s="670"/>
      <c r="B134" s="670"/>
      <c r="C134" s="670"/>
      <c r="D134" s="670"/>
      <c r="E134" s="670"/>
      <c r="F134" s="670"/>
      <c r="G134" s="670"/>
      <c r="H134" s="670"/>
      <c r="I134" s="670"/>
      <c r="J134" s="670"/>
      <c r="K134" s="670"/>
      <c r="L134" s="670"/>
      <c r="M134" s="670"/>
      <c r="N134" s="670"/>
    </row>
    <row r="135" spans="1:14" x14ac:dyDescent="0.25">
      <c r="A135" s="670"/>
      <c r="B135" s="670"/>
      <c r="C135" s="670"/>
      <c r="D135" s="670"/>
      <c r="E135" s="670"/>
      <c r="F135" s="670"/>
      <c r="G135" s="670"/>
      <c r="H135" s="670"/>
      <c r="I135" s="670"/>
      <c r="J135" s="670"/>
      <c r="K135" s="670"/>
      <c r="L135" s="670"/>
      <c r="M135" s="670"/>
      <c r="N135" s="670"/>
    </row>
    <row r="136" spans="1:14" x14ac:dyDescent="0.25">
      <c r="A136" s="670"/>
      <c r="B136" s="670"/>
      <c r="C136" s="670"/>
      <c r="D136" s="670"/>
      <c r="E136" s="670"/>
      <c r="F136" s="670"/>
      <c r="G136" s="670"/>
      <c r="H136" s="670"/>
      <c r="I136" s="670"/>
      <c r="J136" s="670"/>
      <c r="K136" s="670"/>
      <c r="L136" s="670"/>
      <c r="M136" s="670"/>
      <c r="N136" s="670"/>
    </row>
    <row r="137" spans="1:14" x14ac:dyDescent="0.25">
      <c r="A137" s="670"/>
      <c r="B137" s="670"/>
      <c r="C137" s="670"/>
      <c r="D137" s="670"/>
      <c r="E137" s="670"/>
      <c r="F137" s="670"/>
      <c r="G137" s="670"/>
      <c r="H137" s="670"/>
      <c r="I137" s="670"/>
      <c r="J137" s="670"/>
      <c r="K137" s="670"/>
      <c r="L137" s="670"/>
      <c r="M137" s="670"/>
      <c r="N137" s="670"/>
    </row>
    <row r="138" spans="1:14" x14ac:dyDescent="0.25">
      <c r="A138" s="670"/>
      <c r="B138" s="670"/>
      <c r="C138" s="670"/>
      <c r="D138" s="670"/>
      <c r="E138" s="670"/>
      <c r="F138" s="670"/>
      <c r="G138" s="670"/>
      <c r="H138" s="670"/>
      <c r="I138" s="670"/>
      <c r="J138" s="670"/>
      <c r="K138" s="670"/>
      <c r="L138" s="670"/>
      <c r="M138" s="670"/>
      <c r="N138" s="670"/>
    </row>
    <row r="139" spans="1:14" x14ac:dyDescent="0.25">
      <c r="A139" s="670"/>
      <c r="B139" s="670"/>
      <c r="C139" s="670"/>
      <c r="D139" s="670"/>
      <c r="E139" s="670"/>
      <c r="F139" s="670"/>
      <c r="G139" s="670"/>
      <c r="H139" s="670"/>
      <c r="I139" s="670"/>
      <c r="J139" s="670"/>
      <c r="K139" s="670"/>
      <c r="L139" s="670"/>
      <c r="M139" s="670"/>
      <c r="N139" s="670"/>
    </row>
    <row r="140" spans="1:14" x14ac:dyDescent="0.25">
      <c r="A140" s="670"/>
      <c r="B140" s="670"/>
      <c r="C140" s="670"/>
      <c r="D140" s="670"/>
      <c r="E140" s="670"/>
      <c r="F140" s="670"/>
      <c r="G140" s="670"/>
      <c r="H140" s="670"/>
      <c r="I140" s="670"/>
      <c r="J140" s="670"/>
      <c r="K140" s="670"/>
      <c r="L140" s="670"/>
      <c r="M140" s="670"/>
      <c r="N140" s="670"/>
    </row>
    <row r="141" spans="1:14" x14ac:dyDescent="0.25">
      <c r="A141" s="670"/>
      <c r="B141" s="670"/>
      <c r="C141" s="670"/>
      <c r="D141" s="670"/>
      <c r="E141" s="670"/>
      <c r="F141" s="670"/>
      <c r="G141" s="670"/>
      <c r="H141" s="670"/>
      <c r="I141" s="670"/>
      <c r="J141" s="670"/>
      <c r="K141" s="670"/>
      <c r="L141" s="670"/>
      <c r="M141" s="670"/>
      <c r="N141" s="670"/>
    </row>
    <row r="142" spans="1:14" x14ac:dyDescent="0.25">
      <c r="A142" s="670"/>
      <c r="B142" s="670"/>
      <c r="C142" s="670"/>
      <c r="D142" s="670"/>
      <c r="E142" s="670"/>
      <c r="F142" s="670"/>
      <c r="G142" s="670"/>
      <c r="H142" s="670"/>
      <c r="I142" s="670"/>
      <c r="J142" s="670"/>
      <c r="K142" s="670"/>
      <c r="L142" s="670"/>
      <c r="M142" s="670"/>
      <c r="N142" s="670"/>
    </row>
    <row r="143" spans="1:14" x14ac:dyDescent="0.25">
      <c r="A143" s="670"/>
      <c r="B143" s="670"/>
      <c r="C143" s="670"/>
      <c r="D143" s="670"/>
      <c r="E143" s="670"/>
      <c r="F143" s="670"/>
      <c r="G143" s="670"/>
      <c r="H143" s="670"/>
      <c r="I143" s="670"/>
      <c r="J143" s="670"/>
      <c r="K143" s="670"/>
      <c r="L143" s="670"/>
      <c r="M143" s="670"/>
      <c r="N143" s="670"/>
    </row>
    <row r="144" spans="1:14" x14ac:dyDescent="0.25">
      <c r="A144" s="670"/>
      <c r="B144" s="670"/>
      <c r="C144" s="670"/>
      <c r="D144" s="670"/>
      <c r="E144" s="670"/>
      <c r="F144" s="670"/>
      <c r="G144" s="670"/>
      <c r="H144" s="670"/>
      <c r="I144" s="670"/>
      <c r="J144" s="670"/>
      <c r="K144" s="670"/>
      <c r="L144" s="670"/>
      <c r="M144" s="670"/>
      <c r="N144" s="670"/>
    </row>
    <row r="145" spans="1:14" x14ac:dyDescent="0.25">
      <c r="A145" s="670"/>
      <c r="B145" s="670"/>
      <c r="C145" s="670"/>
      <c r="D145" s="670"/>
      <c r="E145" s="670"/>
      <c r="F145" s="670"/>
      <c r="G145" s="670"/>
      <c r="H145" s="670"/>
      <c r="I145" s="670"/>
      <c r="J145" s="670"/>
      <c r="K145" s="670"/>
      <c r="L145" s="670"/>
      <c r="M145" s="670"/>
      <c r="N145" s="670"/>
    </row>
    <row r="146" spans="1:14" x14ac:dyDescent="0.25">
      <c r="A146" s="670"/>
      <c r="B146" s="670"/>
      <c r="C146" s="670"/>
      <c r="D146" s="670"/>
      <c r="E146" s="670"/>
      <c r="F146" s="670"/>
      <c r="G146" s="670"/>
      <c r="H146" s="670"/>
      <c r="I146" s="670"/>
      <c r="J146" s="670"/>
      <c r="K146" s="670"/>
      <c r="L146" s="670"/>
      <c r="M146" s="670"/>
      <c r="N146" s="670"/>
    </row>
    <row r="147" spans="1:14" x14ac:dyDescent="0.25">
      <c r="A147" s="670"/>
      <c r="B147" s="670"/>
      <c r="C147" s="670"/>
      <c r="D147" s="670"/>
      <c r="E147" s="670"/>
      <c r="F147" s="670"/>
      <c r="G147" s="670"/>
      <c r="H147" s="670"/>
      <c r="I147" s="670"/>
      <c r="J147" s="670"/>
      <c r="K147" s="670"/>
      <c r="L147" s="670"/>
      <c r="M147" s="670"/>
      <c r="N147" s="670"/>
    </row>
    <row r="148" spans="1:14" x14ac:dyDescent="0.25">
      <c r="A148" s="670"/>
      <c r="B148" s="670"/>
      <c r="C148" s="670"/>
      <c r="D148" s="670"/>
      <c r="E148" s="670"/>
      <c r="F148" s="670"/>
      <c r="G148" s="670"/>
      <c r="H148" s="670"/>
      <c r="I148" s="670"/>
      <c r="J148" s="670"/>
      <c r="K148" s="670"/>
      <c r="L148" s="670"/>
      <c r="M148" s="670"/>
      <c r="N148" s="670"/>
    </row>
    <row r="149" spans="1:14" x14ac:dyDescent="0.25">
      <c r="A149" s="670"/>
      <c r="B149" s="670"/>
      <c r="C149" s="670"/>
      <c r="D149" s="670"/>
      <c r="E149" s="670"/>
      <c r="F149" s="670"/>
      <c r="G149" s="670"/>
      <c r="H149" s="670"/>
      <c r="I149" s="670"/>
      <c r="J149" s="670"/>
      <c r="K149" s="670"/>
      <c r="L149" s="670"/>
      <c r="M149" s="670"/>
      <c r="N149" s="670"/>
    </row>
    <row r="150" spans="1:14" x14ac:dyDescent="0.25">
      <c r="A150" s="670"/>
      <c r="B150" s="670"/>
      <c r="C150" s="670"/>
      <c r="D150" s="670"/>
      <c r="E150" s="670"/>
      <c r="F150" s="670"/>
      <c r="G150" s="670"/>
      <c r="H150" s="670"/>
      <c r="I150" s="670"/>
      <c r="J150" s="670"/>
      <c r="K150" s="670"/>
      <c r="L150" s="670"/>
      <c r="M150" s="670"/>
      <c r="N150" s="670"/>
    </row>
    <row r="151" spans="1:14" x14ac:dyDescent="0.25">
      <c r="A151" s="670"/>
      <c r="B151" s="670"/>
      <c r="C151" s="670"/>
      <c r="D151" s="670"/>
      <c r="E151" s="670"/>
      <c r="F151" s="670"/>
      <c r="G151" s="670"/>
      <c r="H151" s="670"/>
      <c r="I151" s="670"/>
      <c r="J151" s="670"/>
      <c r="K151" s="670"/>
      <c r="L151" s="670"/>
      <c r="M151" s="670"/>
      <c r="N151" s="670"/>
    </row>
  </sheetData>
  <mergeCells count="3">
    <mergeCell ref="B2:N2"/>
    <mergeCell ref="B8:N8"/>
    <mergeCell ref="B32:N32"/>
  </mergeCells>
  <conditionalFormatting sqref="N16">
    <cfRule type="expression" dxfId="45" priority="14">
      <formula>$E11="EXCLUDE"</formula>
    </cfRule>
  </conditionalFormatting>
  <conditionalFormatting sqref="N24:N26">
    <cfRule type="expression" dxfId="44" priority="15">
      <formula>$E25="EXCLUDE"</formula>
    </cfRule>
  </conditionalFormatting>
  <conditionalFormatting sqref="N11 N14:N15 N23">
    <cfRule type="expression" dxfId="43" priority="16">
      <formula>$E12="EXCLUDE"</formula>
    </cfRule>
  </conditionalFormatting>
  <conditionalFormatting sqref="N12">
    <cfRule type="expression" dxfId="42" priority="17">
      <formula>$E14="EXCLUDE"</formula>
    </cfRule>
  </conditionalFormatting>
  <conditionalFormatting sqref="N13 N21">
    <cfRule type="expression" dxfId="41" priority="18">
      <formula>$E20="EXCLUDE"</formula>
    </cfRule>
  </conditionalFormatting>
  <conditionalFormatting sqref="N27:N28 N18">
    <cfRule type="expression" dxfId="40" priority="19">
      <formula>$E21="EXCLUDE"</formula>
    </cfRule>
  </conditionalFormatting>
  <conditionalFormatting sqref="N30">
    <cfRule type="expression" dxfId="39" priority="20">
      <formula>$E23="EXCLUDE"</formula>
    </cfRule>
  </conditionalFormatting>
  <conditionalFormatting sqref="N17 N29 N19 N22">
    <cfRule type="expression" dxfId="38" priority="21">
      <formula>$E17="EXCLUDE"</formula>
    </cfRule>
  </conditionalFormatting>
  <conditionalFormatting sqref="N20">
    <cfRule type="expression" dxfId="37" priority="22">
      <formula>$E18="EXCLUDE"</formula>
    </cfRule>
  </conditionalFormatting>
  <conditionalFormatting sqref="N50">
    <cfRule type="expression" dxfId="36" priority="5">
      <formula>$E45="EXCLUDE"</formula>
    </cfRule>
  </conditionalFormatting>
  <conditionalFormatting sqref="N58:N60">
    <cfRule type="expression" dxfId="35" priority="6">
      <formula>$E59="EXCLUDE"</formula>
    </cfRule>
  </conditionalFormatting>
  <conditionalFormatting sqref="N48:N49 N57">
    <cfRule type="expression" dxfId="34" priority="7">
      <formula>$E49="EXCLUDE"</formula>
    </cfRule>
  </conditionalFormatting>
  <conditionalFormatting sqref="N46">
    <cfRule type="expression" dxfId="33" priority="8">
      <formula>$E48="EXCLUDE"</formula>
    </cfRule>
  </conditionalFormatting>
  <conditionalFormatting sqref="N47 N55">
    <cfRule type="expression" dxfId="32" priority="9">
      <formula>$E54="EXCLUDE"</formula>
    </cfRule>
  </conditionalFormatting>
  <conditionalFormatting sqref="N61:N62 N52">
    <cfRule type="expression" dxfId="31" priority="10">
      <formula>$E55="EXCLUDE"</formula>
    </cfRule>
  </conditionalFormatting>
  <conditionalFormatting sqref="N64">
    <cfRule type="expression" dxfId="30" priority="11">
      <formula>$E57="EXCLUDE"</formula>
    </cfRule>
  </conditionalFormatting>
  <conditionalFormatting sqref="N51 N63 N53 N56">
    <cfRule type="expression" dxfId="29" priority="12">
      <formula>$E51="EXCLUDE"</formula>
    </cfRule>
  </conditionalFormatting>
  <conditionalFormatting sqref="N54">
    <cfRule type="expression" dxfId="28" priority="13">
      <formula>$E52="EXCLUDE"</formula>
    </cfRule>
  </conditionalFormatting>
  <conditionalFormatting sqref="N36:N45">
    <cfRule type="expression" dxfId="27" priority="4">
      <formula>$E36="EXCLUDE"</formula>
    </cfRule>
  </conditionalFormatting>
  <dataValidations count="8">
    <dataValidation type="list" allowBlank="1" showInputMessage="1" showErrorMessage="1" sqref="C5" xr:uid="{97B8692D-5343-449A-A07B-60EC1293EAD7}">
      <formula1>"PWW/P07, PWW"</formula1>
    </dataValidation>
    <dataValidation type="list" allowBlank="1" showInputMessage="1" showErrorMessage="1" sqref="D5" xr:uid="{3E29D858-D9DB-43E3-9F38-424EDA268D7B}">
      <formula1>"C, S"</formula1>
    </dataValidation>
    <dataValidation type="list" allowBlank="1" showInputMessage="1" showErrorMessage="1" sqref="E5" xr:uid="{F2BB808E-F165-425A-8B2B-77B88F9114E8}">
      <formula1>"PB, DC"</formula1>
    </dataValidation>
    <dataValidation type="list" allowBlank="1" showInputMessage="1" showErrorMessage="1" sqref="N5 G5:L5 I11:I30 K11:K30 I35:I64 K35:K64" xr:uid="{ECC5EC29-A2B6-4575-9044-FE737468399E}">
      <formula1>"Yes, No"</formula1>
    </dataValidation>
    <dataValidation type="list" allowBlank="1" showInputMessage="1" showErrorMessage="1" sqref="F5" xr:uid="{3D0FF78A-CEBC-4475-BC60-A298AC814F45}">
      <formula1>"EBP"</formula1>
    </dataValidation>
    <dataValidation type="list" allowBlank="1" showInputMessage="1" showErrorMessage="1" sqref="M11:M30 M35:M64" xr:uid="{8A564DAC-451E-43D9-8E92-C7757A001C9A}">
      <formula1>"%, $, N, D"</formula1>
    </dataValidation>
    <dataValidation type="list" allowBlank="1" showInputMessage="1" showErrorMessage="1" sqref="H35:H64 H11:H30" xr:uid="{CA83192E-55EE-4B74-8C94-3C7FC6838763}">
      <formula1>"%, $, #"</formula1>
    </dataValidation>
    <dataValidation type="list" allowBlank="1" showInputMessage="1" showErrorMessage="1" sqref="E35:E64 E11:E30" xr:uid="{17E988C0-349F-4297-BE8A-F86EED574F5B}">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topLeftCell="X14" workbookViewId="0">
      <selection activeCell="AA18" sqref="AA18"/>
    </sheetView>
  </sheetViews>
  <sheetFormatPr defaultColWidth="8.85546875" defaultRowHeight="12.75" x14ac:dyDescent="0.2"/>
  <cols>
    <col min="1" max="1" width="18.140625" style="142" bestFit="1" customWidth="1"/>
    <col min="2" max="2" width="35.85546875" style="142" bestFit="1" customWidth="1"/>
    <col min="3" max="3" width="25.7109375" style="142" bestFit="1" customWidth="1"/>
    <col min="4" max="4" width="9.28515625" style="142" bestFit="1" customWidth="1"/>
    <col min="5" max="5" width="9.5703125" style="142" bestFit="1" customWidth="1"/>
    <col min="6" max="6" width="15.28515625" style="142" bestFit="1" customWidth="1"/>
    <col min="7" max="8" width="8.85546875" style="142"/>
    <col min="9" max="9" width="17.28515625" style="142" bestFit="1" customWidth="1"/>
    <col min="10" max="10" width="13.7109375" style="142" bestFit="1" customWidth="1"/>
    <col min="11" max="11" width="12.5703125" style="142" bestFit="1" customWidth="1"/>
    <col min="12" max="12" width="17.7109375" style="142" bestFit="1" customWidth="1"/>
    <col min="13" max="13" width="17.7109375" style="142" customWidth="1"/>
    <col min="14" max="16" width="14.7109375" style="142" bestFit="1" customWidth="1"/>
    <col min="17" max="17" width="12.42578125" style="142" bestFit="1" customWidth="1"/>
    <col min="18" max="18" width="10" style="142" bestFit="1" customWidth="1"/>
    <col min="19" max="19" width="14" style="142" customWidth="1"/>
    <col min="20" max="22" width="10.85546875" style="142" bestFit="1" customWidth="1"/>
    <col min="23" max="23" width="13.85546875" style="142" customWidth="1"/>
    <col min="24" max="24" width="13.140625" style="142" customWidth="1"/>
    <col min="25" max="25" width="15.7109375" style="142" customWidth="1"/>
    <col min="26" max="27" width="10.85546875" style="142" customWidth="1"/>
    <col min="28" max="28" width="12" style="142" bestFit="1" customWidth="1"/>
    <col min="29" max="29" width="11.42578125" style="142" customWidth="1"/>
    <col min="30" max="32" width="10.140625" style="142" customWidth="1"/>
    <col min="33" max="33" width="9.5703125" style="142" bestFit="1" customWidth="1"/>
    <col min="34" max="34" width="49.7109375" style="142" bestFit="1" customWidth="1"/>
    <col min="35" max="35" width="27.85546875" style="142" bestFit="1" customWidth="1"/>
    <col min="36" max="36" width="46.5703125" style="142" bestFit="1" customWidth="1"/>
    <col min="37" max="37" width="25" style="142" bestFit="1" customWidth="1"/>
    <col min="38" max="16384" width="8.85546875" style="142"/>
  </cols>
  <sheetData>
    <row r="1" spans="1:37" x14ac:dyDescent="0.2">
      <c r="AH1" s="142" t="s">
        <v>14</v>
      </c>
      <c r="AI1" s="142" t="s">
        <v>1</v>
      </c>
      <c r="AJ1" s="142" t="s">
        <v>14</v>
      </c>
      <c r="AK1" s="748" t="s">
        <v>113</v>
      </c>
    </row>
    <row r="2" spans="1:37" x14ac:dyDescent="0.2">
      <c r="I2" s="588"/>
      <c r="J2" s="1372"/>
      <c r="K2" s="1372"/>
      <c r="O2" s="588"/>
      <c r="P2" s="588"/>
      <c r="Q2" s="588"/>
      <c r="R2" s="588"/>
      <c r="S2" s="588"/>
      <c r="T2" s="588"/>
      <c r="U2" s="588"/>
      <c r="V2" s="588"/>
      <c r="W2" s="588"/>
      <c r="X2" s="588"/>
      <c r="Y2" s="588"/>
      <c r="Z2" s="588"/>
      <c r="AA2" s="588"/>
      <c r="AH2" s="142" t="s">
        <v>62</v>
      </c>
      <c r="AI2" s="142" t="s">
        <v>1</v>
      </c>
      <c r="AJ2" s="142" t="s">
        <v>62</v>
      </c>
      <c r="AK2" s="748" t="s">
        <v>113</v>
      </c>
    </row>
    <row r="3" spans="1:37" x14ac:dyDescent="0.2">
      <c r="I3" s="589" t="s">
        <v>922</v>
      </c>
      <c r="J3" s="1320" t="e">
        <f>VLOOKUP($J$4,'Market Geography'!$D:$G,4,FALSE)</f>
        <v>#N/A</v>
      </c>
      <c r="K3" s="1320"/>
      <c r="O3" s="588"/>
      <c r="P3" s="588"/>
      <c r="Q3" s="588"/>
      <c r="R3" s="588"/>
      <c r="S3" s="588"/>
      <c r="T3" s="588"/>
      <c r="U3" s="588"/>
      <c r="V3" s="588"/>
      <c r="W3" s="588"/>
      <c r="X3" s="588"/>
      <c r="Y3" s="588"/>
      <c r="Z3" s="588"/>
      <c r="AA3" s="588"/>
      <c r="AH3" s="142" t="s">
        <v>74</v>
      </c>
      <c r="AI3" s="142" t="s">
        <v>1</v>
      </c>
      <c r="AJ3" s="142" t="s">
        <v>74</v>
      </c>
      <c r="AK3" s="748" t="s">
        <v>113</v>
      </c>
    </row>
    <row r="4" spans="1:37" x14ac:dyDescent="0.2">
      <c r="I4" s="589" t="s">
        <v>923</v>
      </c>
      <c r="J4" s="1320">
        <f>Welcome!$D$4</f>
        <v>0</v>
      </c>
      <c r="K4" s="1320"/>
      <c r="L4" s="590"/>
      <c r="M4" s="590"/>
      <c r="O4" s="588"/>
      <c r="P4" s="588"/>
      <c r="Q4" s="588"/>
      <c r="R4" s="588"/>
      <c r="S4" s="588"/>
      <c r="T4" s="588"/>
      <c r="U4" s="588"/>
      <c r="V4" s="588"/>
      <c r="W4" s="588"/>
      <c r="X4" s="588"/>
      <c r="Y4" s="588"/>
      <c r="Z4" s="588"/>
      <c r="AA4" s="588"/>
      <c r="AC4" s="27"/>
      <c r="AH4" s="142" t="s">
        <v>34</v>
      </c>
      <c r="AI4" s="142" t="s">
        <v>1</v>
      </c>
      <c r="AJ4" s="142" t="s">
        <v>34</v>
      </c>
      <c r="AK4" s="748" t="s">
        <v>113</v>
      </c>
    </row>
    <row r="5" spans="1:37" x14ac:dyDescent="0.2">
      <c r="I5" s="589" t="s">
        <v>924</v>
      </c>
      <c r="J5" s="1373" t="e">
        <f>VLOOKUP($J$4,'Market Geography'!$D:$F,3,FALSE)</f>
        <v>#N/A</v>
      </c>
      <c r="K5" s="1373"/>
      <c r="O5" s="588"/>
      <c r="P5" s="588"/>
      <c r="Q5" s="588"/>
      <c r="R5" s="588"/>
      <c r="S5" s="588"/>
      <c r="T5" s="588"/>
      <c r="U5" s="588"/>
      <c r="V5" s="588"/>
      <c r="W5" s="588"/>
      <c r="X5" s="588"/>
      <c r="Y5" s="588"/>
      <c r="Z5" s="588"/>
      <c r="AA5" s="588"/>
      <c r="AH5" s="142" t="s">
        <v>0</v>
      </c>
      <c r="AI5" s="142" t="s">
        <v>1</v>
      </c>
      <c r="AJ5" s="142" t="s">
        <v>0</v>
      </c>
      <c r="AK5" s="748" t="s">
        <v>113</v>
      </c>
    </row>
    <row r="6" spans="1:37" x14ac:dyDescent="0.2">
      <c r="I6" s="591" t="s">
        <v>925</v>
      </c>
      <c r="J6" s="1320" t="s">
        <v>134</v>
      </c>
      <c r="K6" s="1320" t="s">
        <v>206</v>
      </c>
      <c r="O6" s="588"/>
      <c r="P6" s="588"/>
      <c r="Q6" s="588"/>
      <c r="R6" s="588"/>
      <c r="S6" s="588"/>
      <c r="T6" s="588"/>
      <c r="U6" s="588"/>
      <c r="V6" s="588"/>
      <c r="W6" s="588"/>
      <c r="X6" s="588"/>
      <c r="Y6" s="588"/>
      <c r="Z6" s="588"/>
      <c r="AA6" s="588"/>
      <c r="AH6" s="142" t="s">
        <v>69</v>
      </c>
      <c r="AI6" s="142" t="s">
        <v>1</v>
      </c>
      <c r="AJ6" s="142" t="s">
        <v>69</v>
      </c>
      <c r="AK6" s="748" t="s">
        <v>113</v>
      </c>
    </row>
    <row r="7" spans="1:37" x14ac:dyDescent="0.2">
      <c r="I7" s="591" t="s">
        <v>926</v>
      </c>
      <c r="J7" s="1320" t="str">
        <f>IF(Welcome!$D$8="MDA","C","N")</f>
        <v>N</v>
      </c>
      <c r="K7" s="1320" t="e">
        <f>IF(#REF!="MDA","C","N")</f>
        <v>#REF!</v>
      </c>
      <c r="O7" s="588"/>
      <c r="P7" s="588"/>
      <c r="Q7" s="588"/>
      <c r="R7" s="588"/>
      <c r="S7" s="588"/>
      <c r="T7" s="588"/>
      <c r="U7" s="588"/>
      <c r="V7" s="588"/>
      <c r="W7" s="588"/>
      <c r="X7" s="588"/>
      <c r="Y7" s="588"/>
      <c r="Z7" s="588"/>
      <c r="AA7" s="588"/>
      <c r="AB7" s="27"/>
      <c r="AC7" s="27"/>
      <c r="AH7" s="142" t="s">
        <v>4</v>
      </c>
      <c r="AI7" s="142" t="s">
        <v>1</v>
      </c>
      <c r="AJ7" s="142" t="s">
        <v>4</v>
      </c>
      <c r="AK7" s="748" t="s">
        <v>113</v>
      </c>
    </row>
    <row r="8" spans="1:37" x14ac:dyDescent="0.2">
      <c r="AH8" s="142" t="s">
        <v>35</v>
      </c>
      <c r="AI8" s="142" t="s">
        <v>1</v>
      </c>
      <c r="AJ8" s="142" t="s">
        <v>35</v>
      </c>
      <c r="AK8" s="748" t="s">
        <v>113</v>
      </c>
    </row>
    <row r="9" spans="1:37" x14ac:dyDescent="0.2">
      <c r="I9" s="592"/>
      <c r="AH9" s="142" t="s">
        <v>6</v>
      </c>
      <c r="AI9" s="142" t="s">
        <v>1</v>
      </c>
      <c r="AJ9" s="142" t="s">
        <v>6</v>
      </c>
      <c r="AK9" s="748" t="s">
        <v>113</v>
      </c>
    </row>
    <row r="10" spans="1:37" x14ac:dyDescent="0.2">
      <c r="I10" s="592"/>
      <c r="J10" s="592"/>
      <c r="N10" s="578"/>
      <c r="O10" s="578"/>
      <c r="P10" s="578"/>
      <c r="Q10" s="578"/>
      <c r="R10" s="578"/>
      <c r="S10" s="578"/>
      <c r="T10" s="578"/>
      <c r="U10" s="578"/>
      <c r="V10" s="578"/>
      <c r="W10" s="578"/>
      <c r="X10" s="578"/>
      <c r="Y10" s="578"/>
      <c r="Z10" s="578"/>
      <c r="AA10" s="578"/>
      <c r="AB10" s="578"/>
      <c r="AC10" s="593"/>
      <c r="AH10" s="142" t="s">
        <v>15</v>
      </c>
      <c r="AI10" s="142" t="s">
        <v>1</v>
      </c>
      <c r="AJ10" s="142" t="s">
        <v>15</v>
      </c>
      <c r="AK10" s="748" t="s">
        <v>113</v>
      </c>
    </row>
    <row r="11" spans="1:37" x14ac:dyDescent="0.2">
      <c r="I11" s="576"/>
      <c r="N11" s="578"/>
      <c r="O11" s="578"/>
      <c r="P11" s="578"/>
      <c r="Q11" s="578"/>
      <c r="R11" s="578"/>
      <c r="S11" s="578"/>
      <c r="T11" s="578"/>
      <c r="U11" s="578"/>
      <c r="V11" s="578"/>
      <c r="W11" s="578"/>
      <c r="X11" s="578"/>
      <c r="Y11" s="578"/>
      <c r="Z11" s="578"/>
      <c r="AA11" s="578"/>
      <c r="AB11" s="578"/>
      <c r="AC11" s="593"/>
      <c r="AH11" s="142" t="s">
        <v>45</v>
      </c>
      <c r="AI11" s="142" t="s">
        <v>1</v>
      </c>
      <c r="AJ11" s="142" t="s">
        <v>45</v>
      </c>
      <c r="AK11" s="748" t="s">
        <v>113</v>
      </c>
    </row>
    <row r="12" spans="1:37" x14ac:dyDescent="0.2">
      <c r="I12" s="576"/>
      <c r="N12" s="578"/>
      <c r="O12" s="578"/>
      <c r="P12" s="578"/>
      <c r="Q12" s="578"/>
      <c r="R12" s="578"/>
      <c r="S12" s="578"/>
      <c r="T12" s="578"/>
      <c r="U12" s="578"/>
      <c r="V12" s="578"/>
      <c r="W12" s="578"/>
      <c r="X12" s="578"/>
      <c r="Y12" s="578"/>
      <c r="Z12" s="578"/>
      <c r="AA12" s="578"/>
      <c r="AB12" s="578"/>
      <c r="AH12" s="142" t="s">
        <v>48</v>
      </c>
      <c r="AI12" s="142" t="s">
        <v>1</v>
      </c>
      <c r="AJ12" s="142" t="s">
        <v>48</v>
      </c>
      <c r="AK12" s="748" t="s">
        <v>113</v>
      </c>
    </row>
    <row r="13" spans="1:37" x14ac:dyDescent="0.2">
      <c r="J13" s="577"/>
      <c r="N13" s="578"/>
      <c r="AD13" s="1369" t="s">
        <v>978</v>
      </c>
      <c r="AE13" s="1370"/>
      <c r="AF13" s="1371"/>
      <c r="AH13" s="142" t="s">
        <v>60</v>
      </c>
      <c r="AI13" s="142" t="s">
        <v>1</v>
      </c>
      <c r="AJ13" s="142" t="s">
        <v>60</v>
      </c>
      <c r="AK13" s="748" t="s">
        <v>113</v>
      </c>
    </row>
    <row r="14" spans="1:37" ht="38.25" x14ac:dyDescent="0.2">
      <c r="A14" s="142" t="s">
        <v>1043</v>
      </c>
      <c r="B14" s="583" t="s">
        <v>903</v>
      </c>
      <c r="C14" s="583" t="s">
        <v>921</v>
      </c>
      <c r="D14" s="584" t="s">
        <v>969</v>
      </c>
      <c r="E14" s="584" t="s">
        <v>977</v>
      </c>
      <c r="F14" s="586" t="s">
        <v>984</v>
      </c>
      <c r="G14" s="585" t="s">
        <v>979</v>
      </c>
      <c r="H14" s="585" t="s">
        <v>980</v>
      </c>
      <c r="I14" s="585" t="s">
        <v>204</v>
      </c>
      <c r="J14" s="585" t="s">
        <v>398</v>
      </c>
      <c r="K14" s="585" t="s">
        <v>205</v>
      </c>
      <c r="L14" s="585" t="s">
        <v>981</v>
      </c>
      <c r="M14" s="585" t="s">
        <v>1042</v>
      </c>
      <c r="N14" s="587" t="s">
        <v>987</v>
      </c>
      <c r="O14" s="586" t="s">
        <v>988</v>
      </c>
      <c r="P14" s="586" t="s">
        <v>989</v>
      </c>
      <c r="Q14" s="584" t="s">
        <v>982</v>
      </c>
      <c r="R14" s="584" t="s">
        <v>983</v>
      </c>
      <c r="S14" s="584" t="s">
        <v>992</v>
      </c>
      <c r="T14" s="584" t="s">
        <v>970</v>
      </c>
      <c r="U14" s="584" t="s">
        <v>971</v>
      </c>
      <c r="V14" s="584" t="s">
        <v>972</v>
      </c>
      <c r="W14" s="595" t="s">
        <v>990</v>
      </c>
      <c r="X14" s="595" t="s">
        <v>991</v>
      </c>
      <c r="Y14" s="595" t="s">
        <v>993</v>
      </c>
      <c r="Z14" s="585" t="s">
        <v>985</v>
      </c>
      <c r="AA14" s="585" t="s">
        <v>986</v>
      </c>
      <c r="AB14" s="585"/>
      <c r="AC14" s="597" t="s">
        <v>833</v>
      </c>
      <c r="AD14" s="598" t="s">
        <v>834</v>
      </c>
      <c r="AE14" s="598" t="s">
        <v>835</v>
      </c>
      <c r="AF14" s="598" t="s">
        <v>836</v>
      </c>
      <c r="AG14" s="598" t="s">
        <v>1017</v>
      </c>
      <c r="AH14" s="142" t="s">
        <v>20</v>
      </c>
      <c r="AI14" s="142" t="s">
        <v>1</v>
      </c>
      <c r="AJ14" s="142" t="s">
        <v>20</v>
      </c>
      <c r="AK14" s="748" t="s">
        <v>113</v>
      </c>
    </row>
    <row r="15" spans="1:37" x14ac:dyDescent="0.2">
      <c r="A15" s="142" t="str">
        <f>IF('Customer Inputs'!$S6="","",IF('Variable Costs (Back)'!$M15="Zip Code Not Serviced","Zip Code Not Serviced",""))</f>
        <v/>
      </c>
      <c r="B15" s="142" t="str">
        <f>'Customer Inputs'!Y6</f>
        <v/>
      </c>
      <c r="C15" s="142" t="str">
        <f>IF('Customer Inputs'!H6="HOSPITALITY",IFERROR(VLOOKUP(B15,$AJ:$AK,2,FALSE),""),IFERROR(VLOOKUP(B15,$AH:$AI,2,FALSE),""))</f>
        <v/>
      </c>
      <c r="D15" s="576">
        <f>ROUND('Multi-Customer'!$BB$51,0)</f>
        <v>0</v>
      </c>
      <c r="E15" s="576">
        <f>ROUND('Multi-Customer'!$BB$52,0)</f>
        <v>0</v>
      </c>
      <c r="F15" s="576">
        <f>ROUND('Multi-Customer'!$BC$35,0)</f>
        <v>0</v>
      </c>
      <c r="G15" s="576" t="str">
        <f>LEFT($I15,3)</f>
        <v/>
      </c>
      <c r="H15" s="576" t="str">
        <f>LEFT($I15,4)</f>
        <v/>
      </c>
      <c r="I15" s="576" t="str">
        <f>IF('Customer Inputs'!Z6="","",'Customer Inputs'!Z6)</f>
        <v/>
      </c>
      <c r="J15" s="594" t="str">
        <f>IF('Customer Inputs'!$F6="","",'Customer Inputs'!$P6)</f>
        <v/>
      </c>
      <c r="K15" s="142" t="str">
        <f>'Customer Inputs'!X6</f>
        <v/>
      </c>
      <c r="L15" s="577">
        <f>IFERROR(IFERROR(IFERROR(VLOOKUP($J$5&amp;$I15,'5zip'!$A:$F,6,FALSE),VLOOKUP($J$5&amp;$H15,'4zip'!$A:$F,6,FALSE)),VLOOKUP($J$5&amp;$G15,'3zip'!$A:$F,6,FALSE)),0)</f>
        <v>0</v>
      </c>
      <c r="M15" s="577" t="str">
        <f>IFERROR(IFERROR(IFERROR(VLOOKUP($J$5&amp;$I15,'5zip'!$A:$F,6,FALSE),VLOOKUP($J$5&amp;$H15,'4zip'!$A:$F,6,FALSE)),VLOOKUP($J$5&amp;$G15,'3zip'!$A:$F,6,FALSE)),"Zip Code Not Serviced")</f>
        <v>Zip Code Not Serviced</v>
      </c>
      <c r="N15" s="578">
        <f>IFERROR(52*K15*L15,0)</f>
        <v>0</v>
      </c>
      <c r="O15" s="579">
        <f>IFERROR((VLOOKUP($J$4&amp;$C15&amp;$J$6&amp;$J$7,'Variable Selling'!$B:$O,11,FALSE))*F15,0)</f>
        <v>0</v>
      </c>
      <c r="P15" s="579">
        <f>IFERROR(VLOOKUP($J$4,'Variable Div Avgs'!$D:$I,6,FALSE)*'Variable Costs (Back)'!$F15,0)</f>
        <v>0</v>
      </c>
      <c r="Q15" s="579">
        <f t="shared" ref="Q15:Q24" si="0">IFERROR(T15/E15,0)</f>
        <v>0</v>
      </c>
      <c r="R15" s="579">
        <f t="shared" ref="R15:R24" si="1">IFERROR(U15/D15,0)</f>
        <v>0</v>
      </c>
      <c r="S15" s="579">
        <f>IFERROR(V15/D15,0)</f>
        <v>0</v>
      </c>
      <c r="T15" s="579">
        <f>IFERROR(VLOOKUP($AC15,'Existing Customer Variable Exp'!$B:$E,2,FALSE),0)</f>
        <v>0</v>
      </c>
      <c r="U15" s="579">
        <f>IFERROR(VLOOKUP($AC15,'Existing Customer Variable Exp'!$B:$E,3,FALSE),0)</f>
        <v>0</v>
      </c>
      <c r="V15" s="579">
        <f>IFERROR(VLOOKUP($AC15,'Existing Customer Variable Exp'!$B:$E,4,FALSE),0)</f>
        <v>0</v>
      </c>
      <c r="W15" s="578">
        <f>IFERROR(Q15*K15*52,0)</f>
        <v>0</v>
      </c>
      <c r="X15" s="579">
        <f>R15*F15</f>
        <v>0</v>
      </c>
      <c r="Y15" s="579">
        <f>S15*F15</f>
        <v>0</v>
      </c>
      <c r="Z15" s="579" t="str">
        <f>IF('Customer Inputs'!L6&lt;&gt;'Customer Inputs'!X6,"Modelled",IF(D15=F15,"BASE","Modelled"))</f>
        <v>BASE</v>
      </c>
      <c r="AA15" s="579" t="str">
        <f>IF(AND(SUMIF('Existing Customers'!$A:$A,'Variable Costs (Back)'!$AC15,'Existing Customers'!$Q:$Q)&gt;0,'Customer Inputs'!$U6&lt;&gt;"Prospect"),IF('Customer Inputs'!$V6&lt;&gt;"Yes","Existing","New"),"New")</f>
        <v>New</v>
      </c>
      <c r="AB15" s="596" t="s">
        <v>814</v>
      </c>
      <c r="AC15" s="580" t="str">
        <f>IF('Customer Inputs'!$F6="","",'Customer Inputs'!$G6)</f>
        <v/>
      </c>
      <c r="AD15" s="599">
        <f>IF($AA15="Existing",IF($Z15="BASE",$T15,$W15),$N15)</f>
        <v>0</v>
      </c>
      <c r="AE15" s="599">
        <f>IF($AA15="Existing",IF($Z15="BASE",$U15,$X15),$O15)</f>
        <v>0</v>
      </c>
      <c r="AF15" s="599">
        <f>IF($AA15="Existing",IF($Z15="BASE",$V15,$Y15),$P15)</f>
        <v>0</v>
      </c>
      <c r="AG15" s="695">
        <f>SUM(AD15:AF15)</f>
        <v>0</v>
      </c>
      <c r="AH15" s="142" t="s">
        <v>36</v>
      </c>
      <c r="AI15" s="142" t="s">
        <v>1</v>
      </c>
      <c r="AJ15" s="142" t="s">
        <v>36</v>
      </c>
      <c r="AK15" s="748" t="s">
        <v>113</v>
      </c>
    </row>
    <row r="16" spans="1:37" x14ac:dyDescent="0.2">
      <c r="A16" s="142" t="str">
        <f>IF('Customer Inputs'!$S7="","",IF('Variable Costs (Back)'!$M16="Zip Code Not Serviced","Zip Code Not Serviced",""))</f>
        <v/>
      </c>
      <c r="B16" s="142" t="str">
        <f>'Customer Inputs'!Y7</f>
        <v/>
      </c>
      <c r="C16" s="142" t="str">
        <f>IF('Customer Inputs'!H7="HOSPITALITY",IFERROR(VLOOKUP(B16,$AJ:$AK,2,FALSE),""),IFERROR(VLOOKUP(B16,$AH:$AI,2,FALSE),""))</f>
        <v/>
      </c>
      <c r="D16" s="576">
        <f>ROUND('Multi-Customer'!$BY$51,0)</f>
        <v>0</v>
      </c>
      <c r="E16" s="576">
        <f>ROUND('Multi-Customer'!$BY$52,0)</f>
        <v>0</v>
      </c>
      <c r="F16" s="576">
        <f>ROUND('Multi-Customer'!$BZ$35,0)</f>
        <v>0</v>
      </c>
      <c r="G16" s="576" t="str">
        <f t="shared" ref="G16:G24" si="2">LEFT($I16,3)</f>
        <v/>
      </c>
      <c r="H16" s="576" t="str">
        <f t="shared" ref="H16:H24" si="3">LEFT($I16,4)</f>
        <v/>
      </c>
      <c r="I16" s="576" t="str">
        <f>IF('Customer Inputs'!Z7="","",'Customer Inputs'!Z7)</f>
        <v/>
      </c>
      <c r="J16" s="594" t="str">
        <f>IF('Customer Inputs'!$F7="","",'Customer Inputs'!$P7)</f>
        <v/>
      </c>
      <c r="K16" s="142" t="str">
        <f>'Customer Inputs'!X7</f>
        <v/>
      </c>
      <c r="L16" s="577">
        <f>IFERROR(IFERROR(IFERROR(VLOOKUP($J$5&amp;$I16,'5zip'!$A:$F,6,FALSE),VLOOKUP($J$5&amp;$H16,'4zip'!$A:$F,6,FALSE)),VLOOKUP($J$5&amp;$G16,'3zip'!$A:$F,6,FALSE)),0)</f>
        <v>0</v>
      </c>
      <c r="M16" s="577" t="str">
        <f>IFERROR(IFERROR(IFERROR(VLOOKUP($J$5&amp;$I16,'5zip'!$A:$F,6,FALSE),VLOOKUP($J$5&amp;$H16,'4zip'!$A:$F,6,FALSE)),VLOOKUP($J$5&amp;$G16,'3zip'!$A:$F,6,FALSE)),"Zip Code Not Serviced")</f>
        <v>Zip Code Not Serviced</v>
      </c>
      <c r="N16" s="578">
        <f t="shared" ref="N16:N24" si="4">IFERROR(52*K16*L16,0)</f>
        <v>0</v>
      </c>
      <c r="O16" s="579">
        <f>IFERROR((VLOOKUP($J$4&amp;$C16&amp;$J$6&amp;$J$7,'Variable Selling'!$B:$O,11,FALSE))*F16,0)</f>
        <v>0</v>
      </c>
      <c r="P16" s="579">
        <f>IFERROR(VLOOKUP($J$4,'Variable Div Avgs'!$D:$I,6,FALSE)*'Variable Costs (Back)'!$F16,0)</f>
        <v>0</v>
      </c>
      <c r="Q16" s="579">
        <f t="shared" si="0"/>
        <v>0</v>
      </c>
      <c r="R16" s="579">
        <f t="shared" si="1"/>
        <v>0</v>
      </c>
      <c r="S16" s="579">
        <f t="shared" ref="S16:S24" si="5">IFERROR(V16/D16,0)</f>
        <v>0</v>
      </c>
      <c r="T16" s="579">
        <f>IFERROR(VLOOKUP($AC16,'Existing Customer Variable Exp'!$B:$E,2,FALSE),0)</f>
        <v>0</v>
      </c>
      <c r="U16" s="579">
        <f>IFERROR(VLOOKUP($AC16,'Existing Customer Variable Exp'!$B:$E,3,FALSE),0)</f>
        <v>0</v>
      </c>
      <c r="V16" s="579">
        <f>IFERROR(VLOOKUP($AC16,'Existing Customer Variable Exp'!$B:$E,4,FALSE),0)</f>
        <v>0</v>
      </c>
      <c r="W16" s="578">
        <f t="shared" ref="W16:W24" si="6">IFERROR(Q16*K16*52,0)</f>
        <v>0</v>
      </c>
      <c r="X16" s="579">
        <f t="shared" ref="X16:X24" si="7">R16*F16</f>
        <v>0</v>
      </c>
      <c r="Y16" s="579">
        <f t="shared" ref="Y16:Y24" si="8">S16*F16</f>
        <v>0</v>
      </c>
      <c r="Z16" s="579" t="str">
        <f>IF('Customer Inputs'!L7&lt;&gt;'Customer Inputs'!X7,"Modelled",IF(D16=F16,"BASE","Modelled"))</f>
        <v>BASE</v>
      </c>
      <c r="AA16" s="579" t="str">
        <f>IF(AND(SUMIF('Existing Customers'!$A:$A,'Variable Costs (Back)'!$AC16,'Existing Customers'!$Q:$Q)&gt;0,'Customer Inputs'!$U7&lt;&gt;"Prospect"),IF('Customer Inputs'!$V7&lt;&gt;"Yes","Existing","New"),"New")</f>
        <v>New</v>
      </c>
      <c r="AB16" s="596" t="s">
        <v>815</v>
      </c>
      <c r="AC16" s="580" t="str">
        <f>IF('Customer Inputs'!$F7="","",'Customer Inputs'!$G7)</f>
        <v/>
      </c>
      <c r="AD16" s="599">
        <f t="shared" ref="AD16:AD22" si="9">IF($AA16="Existing",IF($Z16="BASE",$T16,$W16),$N16)</f>
        <v>0</v>
      </c>
      <c r="AE16" s="599">
        <f t="shared" ref="AE16:AE22" si="10">IF($AA16="Existing",IF($Z16="BASE",$U16,$X16),$O16)</f>
        <v>0</v>
      </c>
      <c r="AF16" s="599">
        <f t="shared" ref="AF16:AF24" si="11">IF($AA16="Existing",IF($Z16="BASE",$V16,$Y16),$P16)</f>
        <v>0</v>
      </c>
      <c r="AG16" s="695">
        <f t="shared" ref="AG16:AG24" si="12">SUM(AD16:AF16)</f>
        <v>0</v>
      </c>
      <c r="AH16" s="142" t="s">
        <v>71</v>
      </c>
      <c r="AI16" s="142" t="s">
        <v>1</v>
      </c>
      <c r="AJ16" s="142" t="s">
        <v>71</v>
      </c>
      <c r="AK16" s="748" t="s">
        <v>113</v>
      </c>
    </row>
    <row r="17" spans="1:37" x14ac:dyDescent="0.2">
      <c r="A17" s="142" t="str">
        <f>IF('Customer Inputs'!$S8="","",IF('Variable Costs (Back)'!$M17="Zip Code Not Serviced","Zip Code Not Serviced",""))</f>
        <v/>
      </c>
      <c r="B17" s="142" t="str">
        <f>'Customer Inputs'!Y8</f>
        <v/>
      </c>
      <c r="C17" s="142" t="str">
        <f>IF('Customer Inputs'!H8="HOSPITALITY",IFERROR(VLOOKUP(B17,$AJ:$AK,2,FALSE),""),IFERROR(VLOOKUP(B17,$AH:$AI,2,FALSE),""))</f>
        <v/>
      </c>
      <c r="D17" s="576">
        <f>ROUND('Multi-Customer'!$CV$51,0)</f>
        <v>0</v>
      </c>
      <c r="E17" s="576">
        <f>ROUND('Multi-Customer'!$CV$52,0)</f>
        <v>0</v>
      </c>
      <c r="F17" s="576">
        <f>ROUND('Multi-Customer'!$CW$35,0)</f>
        <v>0</v>
      </c>
      <c r="G17" s="576" t="str">
        <f t="shared" si="2"/>
        <v/>
      </c>
      <c r="H17" s="576" t="str">
        <f t="shared" si="3"/>
        <v/>
      </c>
      <c r="I17" s="576" t="str">
        <f>IF('Customer Inputs'!Z8="","",'Customer Inputs'!Z8)</f>
        <v/>
      </c>
      <c r="J17" s="594" t="str">
        <f>IF('Customer Inputs'!$F8="","",'Customer Inputs'!$P8)</f>
        <v/>
      </c>
      <c r="K17" s="142" t="str">
        <f>'Customer Inputs'!X8</f>
        <v/>
      </c>
      <c r="L17" s="577">
        <f>IFERROR(IFERROR(IFERROR(VLOOKUP($J$5&amp;$I17,'5zip'!$A:$F,6,FALSE),VLOOKUP($J$5&amp;$H17,'4zip'!$A:$F,6,FALSE)),VLOOKUP($J$5&amp;$G17,'3zip'!$A:$F,6,FALSE)),0)</f>
        <v>0</v>
      </c>
      <c r="M17" s="577" t="str">
        <f>IFERROR(IFERROR(IFERROR(VLOOKUP($J$5&amp;$I17,'5zip'!$A:$F,6,FALSE),VLOOKUP($J$5&amp;$H17,'4zip'!$A:$F,6,FALSE)),VLOOKUP($J$5&amp;$G17,'3zip'!$A:$F,6,FALSE)),"Zip Code Not Serviced")</f>
        <v>Zip Code Not Serviced</v>
      </c>
      <c r="N17" s="578">
        <f t="shared" si="4"/>
        <v>0</v>
      </c>
      <c r="O17" s="579">
        <f>IFERROR((VLOOKUP($J$4&amp;$C17&amp;$J$6&amp;$J$7,'Variable Selling'!$B:$O,11,FALSE))*F17,0)</f>
        <v>0</v>
      </c>
      <c r="P17" s="579">
        <f>IFERROR(VLOOKUP($J$4,'Variable Div Avgs'!$D:$I,6,FALSE)*'Variable Costs (Back)'!$F17,0)</f>
        <v>0</v>
      </c>
      <c r="Q17" s="579">
        <f t="shared" si="0"/>
        <v>0</v>
      </c>
      <c r="R17" s="579">
        <f t="shared" si="1"/>
        <v>0</v>
      </c>
      <c r="S17" s="579">
        <f t="shared" si="5"/>
        <v>0</v>
      </c>
      <c r="T17" s="579">
        <f>IFERROR(VLOOKUP($AC17,'Existing Customer Variable Exp'!$B:$E,2,FALSE),0)</f>
        <v>0</v>
      </c>
      <c r="U17" s="579">
        <f>IFERROR(VLOOKUP($AC17,'Existing Customer Variable Exp'!$B:$E,3,FALSE),0)</f>
        <v>0</v>
      </c>
      <c r="V17" s="579">
        <f>IFERROR(VLOOKUP($AC17,'Existing Customer Variable Exp'!$B:$E,4,FALSE),0)</f>
        <v>0</v>
      </c>
      <c r="W17" s="578">
        <f t="shared" si="6"/>
        <v>0</v>
      </c>
      <c r="X17" s="579">
        <f t="shared" si="7"/>
        <v>0</v>
      </c>
      <c r="Y17" s="579">
        <f t="shared" si="8"/>
        <v>0</v>
      </c>
      <c r="Z17" s="579" t="str">
        <f>IF('Customer Inputs'!L8&lt;&gt;'Customer Inputs'!X8,"Modelled",IF(D17=F17,"BASE","Modelled"))</f>
        <v>BASE</v>
      </c>
      <c r="AA17" s="579" t="str">
        <f>IF(AND(SUMIF('Existing Customers'!$A:$A,'Variable Costs (Back)'!$AC17,'Existing Customers'!$Q:$Q)&gt;0,'Customer Inputs'!$U8&lt;&gt;"Prospect"),IF('Customer Inputs'!$V8&lt;&gt;"Yes","Existing","New"),"New")</f>
        <v>New</v>
      </c>
      <c r="AB17" s="596" t="s">
        <v>816</v>
      </c>
      <c r="AC17" s="580" t="str">
        <f>IF('Customer Inputs'!$F8="","",'Customer Inputs'!$G8)</f>
        <v/>
      </c>
      <c r="AD17" s="599">
        <f t="shared" si="9"/>
        <v>0</v>
      </c>
      <c r="AE17" s="599">
        <f t="shared" si="10"/>
        <v>0</v>
      </c>
      <c r="AF17" s="599">
        <f t="shared" si="11"/>
        <v>0</v>
      </c>
      <c r="AG17" s="695">
        <f t="shared" si="12"/>
        <v>0</v>
      </c>
      <c r="AH17" s="142" t="s">
        <v>11</v>
      </c>
      <c r="AI17" s="142" t="s">
        <v>1</v>
      </c>
      <c r="AJ17" s="142" t="s">
        <v>11</v>
      </c>
      <c r="AK17" s="748" t="s">
        <v>113</v>
      </c>
    </row>
    <row r="18" spans="1:37" x14ac:dyDescent="0.2">
      <c r="A18" s="142" t="str">
        <f>IF('Customer Inputs'!$S9="","",IF('Variable Costs (Back)'!$M18="Zip Code Not Serviced","Zip Code Not Serviced",""))</f>
        <v/>
      </c>
      <c r="B18" s="142" t="str">
        <f>'Customer Inputs'!Y9</f>
        <v/>
      </c>
      <c r="C18" s="142" t="str">
        <f>IF('Customer Inputs'!H9="HOSPITALITY",IFERROR(VLOOKUP(B18,$AJ:$AK,2,FALSE),""),IFERROR(VLOOKUP(B18,$AH:$AI,2,FALSE),""))</f>
        <v/>
      </c>
      <c r="D18" s="576">
        <f>ROUND('Multi-Customer'!$DS$51,0)</f>
        <v>0</v>
      </c>
      <c r="E18" s="576">
        <f>ROUND('Multi-Customer'!$DS$52,0)</f>
        <v>0</v>
      </c>
      <c r="F18" s="576">
        <f>ROUND('Multi-Customer'!$DT$35,0)</f>
        <v>0</v>
      </c>
      <c r="G18" s="576" t="str">
        <f t="shared" si="2"/>
        <v/>
      </c>
      <c r="H18" s="576" t="str">
        <f t="shared" si="3"/>
        <v/>
      </c>
      <c r="I18" s="576" t="str">
        <f>IF('Customer Inputs'!Z9="","",'Customer Inputs'!Z9)</f>
        <v/>
      </c>
      <c r="J18" s="594" t="str">
        <f>IF('Customer Inputs'!$F9="","",'Customer Inputs'!$P9)</f>
        <v/>
      </c>
      <c r="K18" s="142" t="str">
        <f>'Customer Inputs'!X9</f>
        <v/>
      </c>
      <c r="L18" s="577">
        <f>IFERROR(IFERROR(IFERROR(VLOOKUP($J$5&amp;$I18,'5zip'!$A:$F,6,FALSE),VLOOKUP($J$5&amp;$H18,'4zip'!$A:$F,6,FALSE)),VLOOKUP($J$5&amp;$G18,'3zip'!$A:$F,6,FALSE)),0)</f>
        <v>0</v>
      </c>
      <c r="M18" s="577" t="str">
        <f>IFERROR(IFERROR(IFERROR(VLOOKUP($J$5&amp;$I18,'5zip'!$A:$F,6,FALSE),VLOOKUP($J$5&amp;$H18,'4zip'!$A:$F,6,FALSE)),VLOOKUP($J$5&amp;$G18,'3zip'!$A:$F,6,FALSE)),"Zip Code Not Serviced")</f>
        <v>Zip Code Not Serviced</v>
      </c>
      <c r="N18" s="578">
        <f t="shared" si="4"/>
        <v>0</v>
      </c>
      <c r="O18" s="579">
        <f>IFERROR((VLOOKUP($J$4&amp;$C18&amp;$J$6&amp;$J$7,'Variable Selling'!$B:$O,11,FALSE))*F18,0)</f>
        <v>0</v>
      </c>
      <c r="P18" s="579">
        <f>IFERROR(VLOOKUP($J$4,'Variable Div Avgs'!$D:$I,6,FALSE)*'Variable Costs (Back)'!$F18,0)</f>
        <v>0</v>
      </c>
      <c r="Q18" s="579">
        <f t="shared" si="0"/>
        <v>0</v>
      </c>
      <c r="R18" s="579">
        <f t="shared" si="1"/>
        <v>0</v>
      </c>
      <c r="S18" s="579">
        <f t="shared" si="5"/>
        <v>0</v>
      </c>
      <c r="T18" s="579">
        <f>IFERROR(VLOOKUP($AC18,'Existing Customer Variable Exp'!$B:$E,2,FALSE),0)</f>
        <v>0</v>
      </c>
      <c r="U18" s="579">
        <f>IFERROR(VLOOKUP($AC18,'Existing Customer Variable Exp'!$B:$E,3,FALSE),0)</f>
        <v>0</v>
      </c>
      <c r="V18" s="579">
        <f>IFERROR(VLOOKUP($AC18,'Existing Customer Variable Exp'!$B:$E,4,FALSE),0)</f>
        <v>0</v>
      </c>
      <c r="W18" s="578">
        <f t="shared" si="6"/>
        <v>0</v>
      </c>
      <c r="X18" s="579">
        <f t="shared" si="7"/>
        <v>0</v>
      </c>
      <c r="Y18" s="579">
        <f t="shared" si="8"/>
        <v>0</v>
      </c>
      <c r="Z18" s="579" t="str">
        <f>IF('Customer Inputs'!L9&lt;&gt;'Customer Inputs'!X9,"Modelled",IF(D18=F18,"BASE","Modelled"))</f>
        <v>BASE</v>
      </c>
      <c r="AA18" s="579" t="str">
        <f>IF(AND(SUMIF('Existing Customers'!$A:$A,'Variable Costs (Back)'!$AC18,'Existing Customers'!$Q:$Q)&gt;0,'Customer Inputs'!$U9&lt;&gt;"Prospect"),IF('Customer Inputs'!$V9&lt;&gt;"Yes","Existing","New"),"New")</f>
        <v>New</v>
      </c>
      <c r="AB18" s="596" t="s">
        <v>817</v>
      </c>
      <c r="AC18" s="580" t="str">
        <f>IF('Customer Inputs'!$F9="","",'Customer Inputs'!$G9)</f>
        <v/>
      </c>
      <c r="AD18" s="599">
        <f t="shared" si="9"/>
        <v>0</v>
      </c>
      <c r="AE18" s="599">
        <f t="shared" si="10"/>
        <v>0</v>
      </c>
      <c r="AF18" s="599">
        <f t="shared" si="11"/>
        <v>0</v>
      </c>
      <c r="AG18" s="695">
        <f t="shared" si="12"/>
        <v>0</v>
      </c>
      <c r="AH18" s="142" t="s">
        <v>9</v>
      </c>
      <c r="AI18" s="142" t="s">
        <v>1</v>
      </c>
      <c r="AJ18" s="142" t="s">
        <v>9</v>
      </c>
      <c r="AK18" s="748" t="s">
        <v>113</v>
      </c>
    </row>
    <row r="19" spans="1:37" x14ac:dyDescent="0.2">
      <c r="A19" s="142" t="str">
        <f>IF('Customer Inputs'!$S10="","",IF('Variable Costs (Back)'!$M19="Zip Code Not Serviced","Zip Code Not Serviced",""))</f>
        <v/>
      </c>
      <c r="B19" s="142" t="str">
        <f>'Customer Inputs'!Y10</f>
        <v/>
      </c>
      <c r="C19" s="142" t="str">
        <f>IF('Customer Inputs'!H10="HOSPITALITY",IFERROR(VLOOKUP(B19,$AJ:$AK,2,FALSE),""),IFERROR(VLOOKUP(B19,$AH:$AI,2,FALSE),""))</f>
        <v/>
      </c>
      <c r="D19" s="576">
        <f>ROUND('Multi-Customer'!$EP$51,0)</f>
        <v>0</v>
      </c>
      <c r="E19" s="576">
        <f>ROUND('Multi-Customer'!$EP$52,0)</f>
        <v>0</v>
      </c>
      <c r="F19" s="576">
        <f>ROUND('Multi-Customer'!$EQ$35,0)</f>
        <v>0</v>
      </c>
      <c r="G19" s="576" t="str">
        <f t="shared" si="2"/>
        <v/>
      </c>
      <c r="H19" s="576" t="str">
        <f t="shared" si="3"/>
        <v/>
      </c>
      <c r="I19" s="576" t="str">
        <f>IF('Customer Inputs'!Z10="","",'Customer Inputs'!Z10)</f>
        <v/>
      </c>
      <c r="J19" s="594" t="str">
        <f>IF('Customer Inputs'!$F10="","",'Customer Inputs'!$P10)</f>
        <v/>
      </c>
      <c r="K19" s="142" t="str">
        <f>'Customer Inputs'!X10</f>
        <v/>
      </c>
      <c r="L19" s="577">
        <f>IFERROR(IFERROR(IFERROR(VLOOKUP($J$5&amp;$I19,'5zip'!$A:$F,6,FALSE),VLOOKUP($J$5&amp;$H19,'4zip'!$A:$F,6,FALSE)),VLOOKUP($J$5&amp;$G19,'3zip'!$A:$F,6,FALSE)),0)</f>
        <v>0</v>
      </c>
      <c r="M19" s="577" t="str">
        <f>IFERROR(IFERROR(IFERROR(VLOOKUP($J$5&amp;$I19,'5zip'!$A:$F,6,FALSE),VLOOKUP($J$5&amp;$H19,'4zip'!$A:$F,6,FALSE)),VLOOKUP($J$5&amp;$G19,'3zip'!$A:$F,6,FALSE)),"Zip Code Not Serviced")</f>
        <v>Zip Code Not Serviced</v>
      </c>
      <c r="N19" s="578">
        <f t="shared" si="4"/>
        <v>0</v>
      </c>
      <c r="O19" s="579">
        <f>IFERROR((VLOOKUP($J$4&amp;$C19&amp;$J$6&amp;$J$7,'Variable Selling'!$B:$O,11,FALSE))*F19,0)</f>
        <v>0</v>
      </c>
      <c r="P19" s="579">
        <f>IFERROR(VLOOKUP($J$4,'Variable Div Avgs'!$D:$I,6,FALSE)*'Variable Costs (Back)'!$F19,0)</f>
        <v>0</v>
      </c>
      <c r="Q19" s="579">
        <f t="shared" si="0"/>
        <v>0</v>
      </c>
      <c r="R19" s="579">
        <f t="shared" si="1"/>
        <v>0</v>
      </c>
      <c r="S19" s="579">
        <f t="shared" si="5"/>
        <v>0</v>
      </c>
      <c r="T19" s="579">
        <f>IFERROR(VLOOKUP($AC19,'Existing Customer Variable Exp'!$B:$E,2,FALSE),0)</f>
        <v>0</v>
      </c>
      <c r="U19" s="579">
        <f>IFERROR(VLOOKUP($AC19,'Existing Customer Variable Exp'!$B:$E,3,FALSE),0)</f>
        <v>0</v>
      </c>
      <c r="V19" s="579">
        <f>IFERROR(VLOOKUP($AC19,'Existing Customer Variable Exp'!$B:$E,4,FALSE),0)</f>
        <v>0</v>
      </c>
      <c r="W19" s="578">
        <f t="shared" si="6"/>
        <v>0</v>
      </c>
      <c r="X19" s="579">
        <f t="shared" si="7"/>
        <v>0</v>
      </c>
      <c r="Y19" s="579">
        <f t="shared" si="8"/>
        <v>0</v>
      </c>
      <c r="Z19" s="579" t="str">
        <f>IF('Customer Inputs'!L10&lt;&gt;'Customer Inputs'!X10,"Modelled",IF(D19=F19,"BASE","Modelled"))</f>
        <v>BASE</v>
      </c>
      <c r="AA19" s="579" t="str">
        <f>IF(AND(SUMIF('Existing Customers'!$A:$A,'Variable Costs (Back)'!$AC19,'Existing Customers'!$Q:$Q)&gt;0,'Customer Inputs'!$U10&lt;&gt;"Prospect"),IF('Customer Inputs'!$V10&lt;&gt;"Yes","Existing","New"),"New")</f>
        <v>New</v>
      </c>
      <c r="AB19" s="596" t="s">
        <v>818</v>
      </c>
      <c r="AC19" s="580" t="str">
        <f>IF('Customer Inputs'!$F10="","",'Customer Inputs'!$G10)</f>
        <v/>
      </c>
      <c r="AD19" s="599">
        <f t="shared" si="9"/>
        <v>0</v>
      </c>
      <c r="AE19" s="599">
        <f t="shared" si="10"/>
        <v>0</v>
      </c>
      <c r="AF19" s="599">
        <f t="shared" si="11"/>
        <v>0</v>
      </c>
      <c r="AG19" s="695">
        <f t="shared" si="12"/>
        <v>0</v>
      </c>
      <c r="AH19" s="142" t="s">
        <v>38</v>
      </c>
      <c r="AI19" s="142" t="s">
        <v>1</v>
      </c>
      <c r="AJ19" s="142" t="s">
        <v>38</v>
      </c>
      <c r="AK19" s="748" t="s">
        <v>113</v>
      </c>
    </row>
    <row r="20" spans="1:37" x14ac:dyDescent="0.2">
      <c r="A20" s="142" t="str">
        <f>IF('Customer Inputs'!$S11="","",IF('Variable Costs (Back)'!$M20="Zip Code Not Serviced","Zip Code Not Serviced",""))</f>
        <v/>
      </c>
      <c r="B20" s="142" t="str">
        <f>'Customer Inputs'!Y11</f>
        <v/>
      </c>
      <c r="C20" s="142" t="str">
        <f>IF('Customer Inputs'!H11="HOSPITALITY",IFERROR(VLOOKUP(B20,$AJ:$AK,2,FALSE),""),IFERROR(VLOOKUP(B20,$AH:$AI,2,FALSE),""))</f>
        <v/>
      </c>
      <c r="D20" s="576">
        <f>ROUND('Multi-Customer'!$FM$51,0)</f>
        <v>0</v>
      </c>
      <c r="E20" s="576">
        <f>ROUND('Multi-Customer'!$FM$52,0)</f>
        <v>0</v>
      </c>
      <c r="F20" s="576">
        <f>ROUND('Multi-Customer'!$FN$35,0)</f>
        <v>0</v>
      </c>
      <c r="G20" s="576" t="str">
        <f t="shared" si="2"/>
        <v/>
      </c>
      <c r="H20" s="576" t="str">
        <f t="shared" si="3"/>
        <v/>
      </c>
      <c r="I20" s="576" t="str">
        <f>IF('Customer Inputs'!Z11="","",'Customer Inputs'!Z11)</f>
        <v/>
      </c>
      <c r="J20" s="594" t="str">
        <f>IF('Customer Inputs'!$F11="","",'Customer Inputs'!$P11)</f>
        <v/>
      </c>
      <c r="K20" s="142" t="str">
        <f>'Customer Inputs'!X11</f>
        <v/>
      </c>
      <c r="L20" s="577">
        <f>IFERROR(IFERROR(IFERROR(VLOOKUP($J$5&amp;$I20,'5zip'!$A:$F,6,FALSE),VLOOKUP($J$5&amp;$H20,'4zip'!$A:$F,6,FALSE)),VLOOKUP($J$5&amp;$G20,'3zip'!$A:$F,6,FALSE)),0)</f>
        <v>0</v>
      </c>
      <c r="M20" s="577" t="str">
        <f>IFERROR(IFERROR(IFERROR(VLOOKUP($J$5&amp;$I20,'5zip'!$A:$F,6,FALSE),VLOOKUP($J$5&amp;$H20,'4zip'!$A:$F,6,FALSE)),VLOOKUP($J$5&amp;$G20,'3zip'!$A:$F,6,FALSE)),"Zip Code Not Serviced")</f>
        <v>Zip Code Not Serviced</v>
      </c>
      <c r="N20" s="578">
        <f t="shared" si="4"/>
        <v>0</v>
      </c>
      <c r="O20" s="579">
        <f>IFERROR((VLOOKUP($J$4&amp;$C20&amp;$J$6&amp;$J$7,'Variable Selling'!$B:$O,11,FALSE))*F20,0)</f>
        <v>0</v>
      </c>
      <c r="P20" s="579">
        <f>IFERROR(VLOOKUP($J$4,'Variable Div Avgs'!$D:$I,6,FALSE)*'Variable Costs (Back)'!$F20,0)</f>
        <v>0</v>
      </c>
      <c r="Q20" s="579">
        <f t="shared" si="0"/>
        <v>0</v>
      </c>
      <c r="R20" s="579">
        <f t="shared" si="1"/>
        <v>0</v>
      </c>
      <c r="S20" s="579">
        <f t="shared" si="5"/>
        <v>0</v>
      </c>
      <c r="T20" s="579">
        <f>IFERROR(VLOOKUP($AC20,'Existing Customer Variable Exp'!$B:$E,2,FALSE),0)</f>
        <v>0</v>
      </c>
      <c r="U20" s="579">
        <f>IFERROR(VLOOKUP($AC20,'Existing Customer Variable Exp'!$B:$E,3,FALSE),0)</f>
        <v>0</v>
      </c>
      <c r="V20" s="579">
        <f>IFERROR(VLOOKUP($AC20,'Existing Customer Variable Exp'!$B:$E,4,FALSE),0)</f>
        <v>0</v>
      </c>
      <c r="W20" s="578">
        <f t="shared" si="6"/>
        <v>0</v>
      </c>
      <c r="X20" s="579">
        <f t="shared" si="7"/>
        <v>0</v>
      </c>
      <c r="Y20" s="579">
        <f t="shared" si="8"/>
        <v>0</v>
      </c>
      <c r="Z20" s="579" t="str">
        <f>IF('Customer Inputs'!L11&lt;&gt;'Customer Inputs'!X11,"Modelled",IF(D20=F20,"BASE","Modelled"))</f>
        <v>BASE</v>
      </c>
      <c r="AA20" s="579" t="str">
        <f>IF(AND(SUMIF('Existing Customers'!$A:$A,'Variable Costs (Back)'!$AC20,'Existing Customers'!$Q:$Q)&gt;0,'Customer Inputs'!$U11&lt;&gt;"Prospect"),IF('Customer Inputs'!$V11&lt;&gt;"Yes","Existing","New"),"New")</f>
        <v>New</v>
      </c>
      <c r="AB20" s="596" t="s">
        <v>819</v>
      </c>
      <c r="AC20" s="580" t="str">
        <f>IF('Customer Inputs'!$F11="","",'Customer Inputs'!$G11)</f>
        <v/>
      </c>
      <c r="AD20" s="599">
        <f t="shared" si="9"/>
        <v>0</v>
      </c>
      <c r="AE20" s="599">
        <f t="shared" si="10"/>
        <v>0</v>
      </c>
      <c r="AF20" s="599">
        <f t="shared" si="11"/>
        <v>0</v>
      </c>
      <c r="AG20" s="695">
        <f t="shared" si="12"/>
        <v>0</v>
      </c>
      <c r="AH20" s="142" t="s">
        <v>261</v>
      </c>
      <c r="AI20" s="142" t="s">
        <v>1</v>
      </c>
      <c r="AJ20" s="142" t="s">
        <v>261</v>
      </c>
      <c r="AK20" s="748" t="s">
        <v>113</v>
      </c>
    </row>
    <row r="21" spans="1:37" x14ac:dyDescent="0.2">
      <c r="A21" s="142" t="str">
        <f>IF('Customer Inputs'!$S12="","",IF('Variable Costs (Back)'!$M21="Zip Code Not Serviced","Zip Code Not Serviced",""))</f>
        <v/>
      </c>
      <c r="B21" s="142" t="str">
        <f>'Customer Inputs'!Y12</f>
        <v/>
      </c>
      <c r="C21" s="142" t="str">
        <f>IF('Customer Inputs'!H12="HOSPITALITY",IFERROR(VLOOKUP(B21,$AJ:$AK,2,FALSE),""),IFERROR(VLOOKUP(B21,$AH:$AI,2,FALSE),""))</f>
        <v/>
      </c>
      <c r="D21" s="576">
        <f>ROUND('Multi-Customer'!$GJ$51,0)</f>
        <v>0</v>
      </c>
      <c r="E21" s="576">
        <f>ROUND('Multi-Customer'!$GJ$52,0)</f>
        <v>0</v>
      </c>
      <c r="F21" s="576">
        <f>ROUND('Multi-Customer'!$GK$35,0)</f>
        <v>0</v>
      </c>
      <c r="G21" s="576" t="str">
        <f t="shared" si="2"/>
        <v/>
      </c>
      <c r="H21" s="576" t="str">
        <f t="shared" si="3"/>
        <v/>
      </c>
      <c r="I21" s="576" t="str">
        <f>IF('Customer Inputs'!Z12="","",'Customer Inputs'!Z12)</f>
        <v/>
      </c>
      <c r="J21" s="594" t="str">
        <f>IF('Customer Inputs'!$F12="","",'Customer Inputs'!$P12)</f>
        <v/>
      </c>
      <c r="K21" s="142" t="str">
        <f>'Customer Inputs'!X12</f>
        <v/>
      </c>
      <c r="L21" s="577">
        <f>IFERROR(IFERROR(IFERROR(VLOOKUP($J$5&amp;$I21,'5zip'!$A:$F,6,FALSE),VLOOKUP($J$5&amp;$H21,'4zip'!$A:$F,6,FALSE)),VLOOKUP($J$5&amp;$G21,'3zip'!$A:$F,6,FALSE)),0)</f>
        <v>0</v>
      </c>
      <c r="M21" s="577" t="str">
        <f>IFERROR(IFERROR(IFERROR(VLOOKUP($J$5&amp;$I21,'5zip'!$A:$F,6,FALSE),VLOOKUP($J$5&amp;$H21,'4zip'!$A:$F,6,FALSE)),VLOOKUP($J$5&amp;$G21,'3zip'!$A:$F,6,FALSE)),"Zip Code Not Serviced")</f>
        <v>Zip Code Not Serviced</v>
      </c>
      <c r="N21" s="578">
        <f t="shared" si="4"/>
        <v>0</v>
      </c>
      <c r="O21" s="579">
        <f>IFERROR((VLOOKUP($J$4&amp;$C21&amp;$J$6&amp;$J$7,'Variable Selling'!$B:$O,11,FALSE))*F21,0)</f>
        <v>0</v>
      </c>
      <c r="P21" s="579">
        <f>IFERROR(VLOOKUP($J$4,'Variable Div Avgs'!$D:$I,6,FALSE)*'Variable Costs (Back)'!$F21,0)</f>
        <v>0</v>
      </c>
      <c r="Q21" s="579">
        <f t="shared" si="0"/>
        <v>0</v>
      </c>
      <c r="R21" s="579">
        <f t="shared" si="1"/>
        <v>0</v>
      </c>
      <c r="S21" s="579">
        <f t="shared" si="5"/>
        <v>0</v>
      </c>
      <c r="T21" s="579">
        <f>IFERROR(VLOOKUP($AC21,'Existing Customer Variable Exp'!$B:$E,2,FALSE),0)</f>
        <v>0</v>
      </c>
      <c r="U21" s="579">
        <f>IFERROR(VLOOKUP($AC21,'Existing Customer Variable Exp'!$B:$E,3,FALSE),0)</f>
        <v>0</v>
      </c>
      <c r="V21" s="579">
        <f>IFERROR(VLOOKUP($AC21,'Existing Customer Variable Exp'!$B:$E,4,FALSE),0)</f>
        <v>0</v>
      </c>
      <c r="W21" s="578">
        <f t="shared" si="6"/>
        <v>0</v>
      </c>
      <c r="X21" s="579">
        <f t="shared" si="7"/>
        <v>0</v>
      </c>
      <c r="Y21" s="579">
        <f t="shared" si="8"/>
        <v>0</v>
      </c>
      <c r="Z21" s="579" t="str">
        <f>IF('Customer Inputs'!L12&lt;&gt;'Customer Inputs'!X12,"Modelled",IF(D21=F21,"BASE","Modelled"))</f>
        <v>BASE</v>
      </c>
      <c r="AA21" s="579" t="str">
        <f>IF(AND(SUMIF('Existing Customers'!$A:$A,'Variable Costs (Back)'!$AC21,'Existing Customers'!$Q:$Q)&gt;0,'Customer Inputs'!$U12&lt;&gt;"Prospect"),IF('Customer Inputs'!$V12&lt;&gt;"Yes","Existing","New"),"New")</f>
        <v>New</v>
      </c>
      <c r="AB21" s="596" t="s">
        <v>820</v>
      </c>
      <c r="AC21" s="580" t="str">
        <f>IF('Customer Inputs'!$F12="","",'Customer Inputs'!$G12)</f>
        <v/>
      </c>
      <c r="AD21" s="599">
        <f t="shared" si="9"/>
        <v>0</v>
      </c>
      <c r="AE21" s="599">
        <f t="shared" si="10"/>
        <v>0</v>
      </c>
      <c r="AF21" s="599">
        <f t="shared" si="11"/>
        <v>0</v>
      </c>
      <c r="AG21" s="695">
        <f t="shared" si="12"/>
        <v>0</v>
      </c>
      <c r="AH21" s="142" t="s">
        <v>257</v>
      </c>
      <c r="AI21" s="142" t="s">
        <v>114</v>
      </c>
      <c r="AJ21" s="142" t="s">
        <v>257</v>
      </c>
      <c r="AK21" s="142" t="s">
        <v>114</v>
      </c>
    </row>
    <row r="22" spans="1:37" x14ac:dyDescent="0.2">
      <c r="A22" s="142" t="str">
        <f>IF('Customer Inputs'!$S13="","",IF('Variable Costs (Back)'!$M22="Zip Code Not Serviced","Zip Code Not Serviced",""))</f>
        <v/>
      </c>
      <c r="B22" s="142" t="str">
        <f>'Customer Inputs'!Y13</f>
        <v/>
      </c>
      <c r="C22" s="142" t="str">
        <f>IF('Customer Inputs'!H13="HOSPITALITY",IFERROR(VLOOKUP(B22,$AJ:$AK,2,FALSE),""),IFERROR(VLOOKUP(B22,$AH:$AI,2,FALSE),""))</f>
        <v/>
      </c>
      <c r="D22" s="576">
        <f>ROUND('Multi-Customer'!$HG$51,0)</f>
        <v>0</v>
      </c>
      <c r="E22" s="576">
        <f>ROUND('Multi-Customer'!$HG$52,0)</f>
        <v>0</v>
      </c>
      <c r="F22" s="576">
        <f>ROUND('Multi-Customer'!$HH$35,0)</f>
        <v>0</v>
      </c>
      <c r="G22" s="576" t="str">
        <f t="shared" si="2"/>
        <v/>
      </c>
      <c r="H22" s="576" t="str">
        <f t="shared" si="3"/>
        <v/>
      </c>
      <c r="I22" s="576" t="str">
        <f>IF('Customer Inputs'!Z13="","",'Customer Inputs'!Z13)</f>
        <v/>
      </c>
      <c r="J22" s="594" t="str">
        <f>IF('Customer Inputs'!$F13="","",'Customer Inputs'!$P13)</f>
        <v/>
      </c>
      <c r="K22" s="142" t="str">
        <f>'Customer Inputs'!X13</f>
        <v/>
      </c>
      <c r="L22" s="577">
        <f>IFERROR(IFERROR(IFERROR(VLOOKUP($J$5&amp;$I22,'5zip'!$A:$F,6,FALSE),VLOOKUP($J$5&amp;$H22,'4zip'!$A:$F,6,FALSE)),VLOOKUP($J$5&amp;$G22,'3zip'!$A:$F,6,FALSE)),0)</f>
        <v>0</v>
      </c>
      <c r="M22" s="577" t="str">
        <f>IFERROR(IFERROR(IFERROR(VLOOKUP($J$5&amp;$I22,'5zip'!$A:$F,6,FALSE),VLOOKUP($J$5&amp;$H22,'4zip'!$A:$F,6,FALSE)),VLOOKUP($J$5&amp;$G22,'3zip'!$A:$F,6,FALSE)),"Zip Code Not Serviced")</f>
        <v>Zip Code Not Serviced</v>
      </c>
      <c r="N22" s="578">
        <f t="shared" si="4"/>
        <v>0</v>
      </c>
      <c r="O22" s="579">
        <f>IFERROR((VLOOKUP($J$4&amp;$C22&amp;$J$6&amp;$J$7,'Variable Selling'!$B:$O,11,FALSE))*F22,0)</f>
        <v>0</v>
      </c>
      <c r="P22" s="579">
        <f>IFERROR(VLOOKUP($J$4,'Variable Div Avgs'!$D:$I,6,FALSE)*'Variable Costs (Back)'!$F22,0)</f>
        <v>0</v>
      </c>
      <c r="Q22" s="579">
        <f t="shared" si="0"/>
        <v>0</v>
      </c>
      <c r="R22" s="579">
        <f t="shared" si="1"/>
        <v>0</v>
      </c>
      <c r="S22" s="579">
        <f t="shared" si="5"/>
        <v>0</v>
      </c>
      <c r="T22" s="579">
        <f>IFERROR(VLOOKUP($AC22,'Existing Customer Variable Exp'!$B:$E,2,FALSE),0)</f>
        <v>0</v>
      </c>
      <c r="U22" s="579">
        <f>IFERROR(VLOOKUP($AC22,'Existing Customer Variable Exp'!$B:$E,3,FALSE),0)</f>
        <v>0</v>
      </c>
      <c r="V22" s="579">
        <f>IFERROR(VLOOKUP($AC22,'Existing Customer Variable Exp'!$B:$E,4,FALSE),0)</f>
        <v>0</v>
      </c>
      <c r="W22" s="578">
        <f t="shared" si="6"/>
        <v>0</v>
      </c>
      <c r="X22" s="579">
        <f t="shared" si="7"/>
        <v>0</v>
      </c>
      <c r="Y22" s="579">
        <f t="shared" si="8"/>
        <v>0</v>
      </c>
      <c r="Z22" s="579" t="str">
        <f>IF('Customer Inputs'!L13&lt;&gt;'Customer Inputs'!X13,"Modelled",IF(D22=F22,"BASE","Modelled"))</f>
        <v>BASE</v>
      </c>
      <c r="AA22" s="579" t="str">
        <f>IF(AND(SUMIF('Existing Customers'!$A:$A,'Variable Costs (Back)'!$AC22,'Existing Customers'!$Q:$Q)&gt;0,'Customer Inputs'!$U13&lt;&gt;"Prospect"),IF('Customer Inputs'!$V13&lt;&gt;"Yes","Existing","New"),"New")</f>
        <v>New</v>
      </c>
      <c r="AB22" s="596" t="s">
        <v>821</v>
      </c>
      <c r="AC22" s="580" t="str">
        <f>IF('Customer Inputs'!$F13="","",'Customer Inputs'!$G13)</f>
        <v/>
      </c>
      <c r="AD22" s="599">
        <f t="shared" si="9"/>
        <v>0</v>
      </c>
      <c r="AE22" s="599">
        <f t="shared" si="10"/>
        <v>0</v>
      </c>
      <c r="AF22" s="599">
        <f t="shared" si="11"/>
        <v>0</v>
      </c>
      <c r="AG22" s="695">
        <f t="shared" si="12"/>
        <v>0</v>
      </c>
      <c r="AH22" s="142" t="s">
        <v>258</v>
      </c>
      <c r="AI22" s="142" t="s">
        <v>116</v>
      </c>
      <c r="AJ22" s="142" t="s">
        <v>258</v>
      </c>
      <c r="AK22" s="142" t="s">
        <v>116</v>
      </c>
    </row>
    <row r="23" spans="1:37" x14ac:dyDescent="0.2">
      <c r="A23" s="142" t="str">
        <f>IF('Customer Inputs'!$S14="","",IF('Variable Costs (Back)'!$M23="Zip Code Not Serviced","Zip Code Not Serviced",""))</f>
        <v/>
      </c>
      <c r="B23" s="142" t="str">
        <f>'Customer Inputs'!Y14</f>
        <v/>
      </c>
      <c r="C23" s="142" t="str">
        <f>IF('Customer Inputs'!H14="HOSPITALITY",IFERROR(VLOOKUP(B23,$AJ:$AK,2,FALSE),""),IFERROR(VLOOKUP(B23,$AH:$AI,2,FALSE),""))</f>
        <v/>
      </c>
      <c r="D23" s="576">
        <f>ROUND('Multi-Customer'!$ID$51,0)</f>
        <v>0</v>
      </c>
      <c r="E23" s="576">
        <f>ROUND('Multi-Customer'!$ID$52,0)</f>
        <v>0</v>
      </c>
      <c r="F23" s="576">
        <f>ROUND('Multi-Customer'!$IE$35,0)</f>
        <v>0</v>
      </c>
      <c r="G23" s="576" t="str">
        <f t="shared" si="2"/>
        <v/>
      </c>
      <c r="H23" s="576" t="str">
        <f t="shared" si="3"/>
        <v/>
      </c>
      <c r="I23" s="576" t="str">
        <f>IF('Customer Inputs'!Z14="","",'Customer Inputs'!Z14)</f>
        <v/>
      </c>
      <c r="J23" s="594" t="str">
        <f>IF('Customer Inputs'!$F14="","",'Customer Inputs'!$P14)</f>
        <v/>
      </c>
      <c r="K23" s="142" t="str">
        <f>'Customer Inputs'!X14</f>
        <v/>
      </c>
      <c r="L23" s="577">
        <f>IFERROR(IFERROR(IFERROR(VLOOKUP($J$5&amp;$I23,'5zip'!$A:$F,6,FALSE),VLOOKUP($J$5&amp;$H23,'4zip'!$A:$F,6,FALSE)),VLOOKUP($J$5&amp;$G23,'3zip'!$A:$F,6,FALSE)),0)</f>
        <v>0</v>
      </c>
      <c r="M23" s="577" t="str">
        <f>IFERROR(IFERROR(IFERROR(VLOOKUP($J$5&amp;$I23,'5zip'!$A:$F,6,FALSE),VLOOKUP($J$5&amp;$H23,'4zip'!$A:$F,6,FALSE)),VLOOKUP($J$5&amp;$G23,'3zip'!$A:$F,6,FALSE)),"Zip Code Not Serviced")</f>
        <v>Zip Code Not Serviced</v>
      </c>
      <c r="N23" s="578">
        <f t="shared" si="4"/>
        <v>0</v>
      </c>
      <c r="O23" s="579">
        <f>IFERROR((VLOOKUP($J$4&amp;$C23&amp;$J$6&amp;$J$7,'Variable Selling'!$B:$O,11,FALSE))*F23,0)</f>
        <v>0</v>
      </c>
      <c r="P23" s="579">
        <f>IFERROR(VLOOKUP($J$4,'Variable Div Avgs'!$D:$I,6,FALSE)*'Variable Costs (Back)'!$F23,0)</f>
        <v>0</v>
      </c>
      <c r="Q23" s="579">
        <f t="shared" si="0"/>
        <v>0</v>
      </c>
      <c r="R23" s="579">
        <f t="shared" si="1"/>
        <v>0</v>
      </c>
      <c r="S23" s="579">
        <f t="shared" si="5"/>
        <v>0</v>
      </c>
      <c r="T23" s="579">
        <f>IFERROR(VLOOKUP($AC23,'Existing Customer Variable Exp'!$B:$E,2,FALSE),0)</f>
        <v>0</v>
      </c>
      <c r="U23" s="579">
        <f>IFERROR(VLOOKUP($AC23,'Existing Customer Variable Exp'!$B:$E,3,FALSE),0)</f>
        <v>0</v>
      </c>
      <c r="V23" s="579">
        <f>IFERROR(VLOOKUP($AC23,'Existing Customer Variable Exp'!$B:$E,4,FALSE),0)</f>
        <v>0</v>
      </c>
      <c r="W23" s="578">
        <f t="shared" si="6"/>
        <v>0</v>
      </c>
      <c r="X23" s="579">
        <f t="shared" si="7"/>
        <v>0</v>
      </c>
      <c r="Y23" s="579">
        <f t="shared" si="8"/>
        <v>0</v>
      </c>
      <c r="Z23" s="579" t="str">
        <f>IF('Customer Inputs'!L14&lt;&gt;'Customer Inputs'!X14,"Modelled",IF(D23=F23,"BASE","Modelled"))</f>
        <v>BASE</v>
      </c>
      <c r="AA23" s="579" t="str">
        <f>IF(AND(SUMIF('Existing Customers'!$A:$A,'Variable Costs (Back)'!$AC23,'Existing Customers'!$Q:$Q)&gt;0,'Customer Inputs'!$U14&lt;&gt;"Prospect"),IF('Customer Inputs'!$V14&lt;&gt;"Yes","Existing","New"),"New")</f>
        <v>New</v>
      </c>
      <c r="AB23" s="596" t="s">
        <v>822</v>
      </c>
      <c r="AC23" s="580" t="str">
        <f>IF('Customer Inputs'!$F14="","",'Customer Inputs'!$G14)</f>
        <v/>
      </c>
      <c r="AD23" s="599">
        <f>IF($AA23="Existing",IF($Z23="BASE",$T23,$W23),$N23)</f>
        <v>0</v>
      </c>
      <c r="AE23" s="599">
        <f>IF($AA23="Existing",IF($Z23="BASE",$U23,$X23),$O23)</f>
        <v>0</v>
      </c>
      <c r="AF23" s="599">
        <f t="shared" si="11"/>
        <v>0</v>
      </c>
      <c r="AG23" s="695">
        <f t="shared" si="12"/>
        <v>0</v>
      </c>
      <c r="AH23" s="142" t="s">
        <v>259</v>
      </c>
      <c r="AI23" s="142" t="s">
        <v>112</v>
      </c>
      <c r="AJ23" s="142" t="s">
        <v>259</v>
      </c>
      <c r="AK23" s="142" t="s">
        <v>112</v>
      </c>
    </row>
    <row r="24" spans="1:37" ht="13.5" thickBot="1" x14ac:dyDescent="0.25">
      <c r="A24" s="142" t="str">
        <f>IF('Customer Inputs'!$S15="","",IF('Variable Costs (Back)'!$M24="Zip Code Not Serviced","Zip Code Not Serviced",""))</f>
        <v/>
      </c>
      <c r="B24" s="142" t="str">
        <f>'Customer Inputs'!Y15</f>
        <v/>
      </c>
      <c r="C24" s="142" t="str">
        <f>IF('Customer Inputs'!H15="HOSPITALITY",IFERROR(VLOOKUP(B24,$AJ:$AK,2,FALSE),""),IFERROR(VLOOKUP(B24,$AH:$AI,2,FALSE),""))</f>
        <v/>
      </c>
      <c r="D24" s="576">
        <f>ROUND('Multi-Customer'!$JA$51,0)</f>
        <v>0</v>
      </c>
      <c r="E24" s="576">
        <f>ROUND('Multi-Customer'!$JA$52,0)</f>
        <v>0</v>
      </c>
      <c r="F24" s="576">
        <f>ROUND('Multi-Customer'!$JB$35,0)</f>
        <v>0</v>
      </c>
      <c r="G24" s="576" t="str">
        <f t="shared" si="2"/>
        <v/>
      </c>
      <c r="H24" s="576" t="str">
        <f t="shared" si="3"/>
        <v/>
      </c>
      <c r="I24" s="576" t="str">
        <f>IF('Customer Inputs'!Z15="","",'Customer Inputs'!Z15)</f>
        <v/>
      </c>
      <c r="J24" s="594" t="str">
        <f>IF('Customer Inputs'!$F15="","",'Customer Inputs'!$P15)</f>
        <v/>
      </c>
      <c r="K24" s="142" t="str">
        <f>'Customer Inputs'!X15</f>
        <v/>
      </c>
      <c r="L24" s="577">
        <f>IFERROR(IFERROR(IFERROR(VLOOKUP($J$5&amp;$I24,'5zip'!$A:$F,6,FALSE),VLOOKUP($J$5&amp;$H24,'4zip'!$A:$F,6,FALSE)),VLOOKUP($J$5&amp;$G24,'3zip'!$A:$F,6,FALSE)),0)</f>
        <v>0</v>
      </c>
      <c r="M24" s="577" t="str">
        <f>IFERROR(IFERROR(IFERROR(VLOOKUP($J$5&amp;$I24,'5zip'!$A:$F,6,FALSE),VLOOKUP($J$5&amp;$H24,'4zip'!$A:$F,6,FALSE)),VLOOKUP($J$5&amp;$G24,'3zip'!$A:$F,6,FALSE)),"Zip Code Not Serviced")</f>
        <v>Zip Code Not Serviced</v>
      </c>
      <c r="N24" s="578">
        <f t="shared" si="4"/>
        <v>0</v>
      </c>
      <c r="O24" s="579">
        <f>IFERROR((VLOOKUP($J$4&amp;$C24&amp;$J$6&amp;$J$7,'Variable Selling'!$B:$O,11,FALSE))*F24,0)</f>
        <v>0</v>
      </c>
      <c r="P24" s="579">
        <f>IFERROR(VLOOKUP($J$4,'Variable Div Avgs'!$D:$I,6,FALSE)*'Variable Costs (Back)'!$F24,0)</f>
        <v>0</v>
      </c>
      <c r="Q24" s="579">
        <f t="shared" si="0"/>
        <v>0</v>
      </c>
      <c r="R24" s="579">
        <f t="shared" si="1"/>
        <v>0</v>
      </c>
      <c r="S24" s="579">
        <f t="shared" si="5"/>
        <v>0</v>
      </c>
      <c r="T24" s="579">
        <f>IFERROR(VLOOKUP($AC24,'Existing Customer Variable Exp'!$B:$E,2,FALSE),0)</f>
        <v>0</v>
      </c>
      <c r="U24" s="579">
        <f>IFERROR(VLOOKUP($AC24,'Existing Customer Variable Exp'!$B:$E,3,FALSE),0)</f>
        <v>0</v>
      </c>
      <c r="V24" s="579">
        <f>IFERROR(VLOOKUP($AC24,'Existing Customer Variable Exp'!$B:$E,4,FALSE),0)</f>
        <v>0</v>
      </c>
      <c r="W24" s="578">
        <f t="shared" si="6"/>
        <v>0</v>
      </c>
      <c r="X24" s="579">
        <f t="shared" si="7"/>
        <v>0</v>
      </c>
      <c r="Y24" s="579">
        <f t="shared" si="8"/>
        <v>0</v>
      </c>
      <c r="Z24" s="579" t="str">
        <f>IF('Customer Inputs'!L15&lt;&gt;'Customer Inputs'!X15,"Modelled",IF(D24=F24,"BASE","Modelled"))</f>
        <v>BASE</v>
      </c>
      <c r="AA24" s="579" t="str">
        <f>IF(AND(SUMIF('Existing Customers'!$A:$A,'Variable Costs (Back)'!$AC24,'Existing Customers'!$Q:$Q)&gt;0,'Customer Inputs'!$U15&lt;&gt;"Prospect"),IF('Customer Inputs'!$V15&lt;&gt;"Yes","Existing","New"),"New")</f>
        <v>New</v>
      </c>
      <c r="AB24" s="596" t="s">
        <v>823</v>
      </c>
      <c r="AC24" s="603" t="str">
        <f>IF('Customer Inputs'!$F15="","",'Customer Inputs'!$G15)</f>
        <v/>
      </c>
      <c r="AD24" s="601">
        <f>IF($AA24="Existing",IF($Z24="BASE",$T24,$W24),$N24)</f>
        <v>0</v>
      </c>
      <c r="AE24" s="601">
        <f>IF($AA24="Existing",IF($Z24="BASE",$U24,$X24),$O24)</f>
        <v>0</v>
      </c>
      <c r="AF24" s="601">
        <f t="shared" si="11"/>
        <v>0</v>
      </c>
      <c r="AG24" s="696">
        <f t="shared" si="12"/>
        <v>0</v>
      </c>
      <c r="AH24" s="142" t="s">
        <v>260</v>
      </c>
      <c r="AI24" s="142" t="s">
        <v>113</v>
      </c>
      <c r="AJ24" s="142" t="s">
        <v>260</v>
      </c>
      <c r="AK24" s="142" t="s">
        <v>113</v>
      </c>
    </row>
    <row r="25" spans="1:37" ht="13.5" thickTop="1" x14ac:dyDescent="0.2">
      <c r="K25" s="581">
        <f>SUM(K15:K24)</f>
        <v>0</v>
      </c>
      <c r="W25" s="579"/>
      <c r="Y25" s="579"/>
      <c r="Z25" s="579"/>
      <c r="AA25" s="579"/>
      <c r="AC25" s="602" t="s">
        <v>952</v>
      </c>
      <c r="AD25" s="600">
        <f>SUM(AD15:AD24)</f>
        <v>0</v>
      </c>
      <c r="AE25" s="600">
        <f>SUM(AE15:AE24)</f>
        <v>0</v>
      </c>
      <c r="AF25" s="600">
        <f>SUM(AF15:AF24)</f>
        <v>0</v>
      </c>
      <c r="AG25" s="600">
        <f>SUM(AD25:AF25)</f>
        <v>0</v>
      </c>
      <c r="AH25" s="142" t="s">
        <v>262</v>
      </c>
      <c r="AI25" s="142" t="s">
        <v>111</v>
      </c>
      <c r="AJ25" s="142" t="s">
        <v>262</v>
      </c>
      <c r="AK25" s="142" t="s">
        <v>111</v>
      </c>
    </row>
    <row r="26" spans="1:37" x14ac:dyDescent="0.2">
      <c r="J26" s="582" t="s">
        <v>915</v>
      </c>
      <c r="K26" s="581">
        <f>IFERROR(SUM($K$15:$K$24)/COUNTIF($K$15:$K$24,"&gt;0"),0)</f>
        <v>0</v>
      </c>
      <c r="AB26" s="582"/>
      <c r="AH26" s="142" t="s">
        <v>263</v>
      </c>
      <c r="AI26" s="142" t="s">
        <v>118</v>
      </c>
      <c r="AJ26" s="142" t="s">
        <v>263</v>
      </c>
      <c r="AK26" s="142" t="s">
        <v>118</v>
      </c>
    </row>
    <row r="27" spans="1:37" x14ac:dyDescent="0.2">
      <c r="AB27" s="582"/>
      <c r="AH27" s="142" t="s">
        <v>264</v>
      </c>
      <c r="AI27" s="142" t="s">
        <v>115</v>
      </c>
      <c r="AJ27" s="142" t="s">
        <v>264</v>
      </c>
      <c r="AK27" s="142" t="s">
        <v>115</v>
      </c>
    </row>
    <row r="28" spans="1:37" x14ac:dyDescent="0.2">
      <c r="AH28" s="142" t="s">
        <v>265</v>
      </c>
      <c r="AI28" s="142" t="s">
        <v>117</v>
      </c>
      <c r="AJ28" s="142" t="s">
        <v>265</v>
      </c>
      <c r="AK28" s="142"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375" t="s">
        <v>1023</v>
      </c>
      <c r="F1" s="1376"/>
      <c r="G1" s="1376"/>
      <c r="H1" s="1376"/>
      <c r="I1" s="1376"/>
      <c r="J1" s="1377"/>
      <c r="L1" s="1375" t="s">
        <v>1022</v>
      </c>
      <c r="M1" s="1377"/>
      <c r="Q1" s="1" t="s">
        <v>535</v>
      </c>
      <c r="R1" s="1" t="s">
        <v>534</v>
      </c>
    </row>
    <row r="2" spans="1:18" x14ac:dyDescent="0.25">
      <c r="E2" s="1">
        <v>0.1</v>
      </c>
      <c r="F2" s="50">
        <v>1.0999999999999999E-2</v>
      </c>
      <c r="G2" s="50">
        <v>2.7E-2</v>
      </c>
      <c r="H2" s="50">
        <v>3.2000000000000001E-2</v>
      </c>
      <c r="I2" s="50">
        <v>4.9000000000000002E-2</v>
      </c>
      <c r="J2" s="50">
        <v>6.4000000000000001E-2</v>
      </c>
      <c r="L2" s="796" t="s">
        <v>1143</v>
      </c>
      <c r="M2" s="45">
        <v>5.0000000000000001E-4</v>
      </c>
      <c r="O2" s="1" t="s">
        <v>536</v>
      </c>
      <c r="P2" s="1" t="s">
        <v>212</v>
      </c>
      <c r="Q2" s="1" t="s">
        <v>14</v>
      </c>
      <c r="R2" s="50">
        <v>6.0999999999999999E-2</v>
      </c>
    </row>
    <row r="3" spans="1:18" x14ac:dyDescent="0.25">
      <c r="E3" s="1">
        <v>0.15</v>
      </c>
      <c r="F3" s="50">
        <v>5.0000000000000001E-3</v>
      </c>
      <c r="G3" s="50">
        <v>3.9E-2</v>
      </c>
      <c r="H3" s="50">
        <v>0.05</v>
      </c>
      <c r="I3" s="50">
        <v>6.5000000000000002E-2</v>
      </c>
      <c r="J3" s="50">
        <v>8.5999999999999993E-2</v>
      </c>
      <c r="L3" s="796" t="s">
        <v>1144</v>
      </c>
      <c r="M3" s="45">
        <v>1E-3</v>
      </c>
      <c r="O3" s="1" t="s">
        <v>537</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96" t="s">
        <v>1145</v>
      </c>
      <c r="M4" s="45">
        <v>1.5E-3</v>
      </c>
      <c r="O4" s="1" t="s">
        <v>538</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96" t="s">
        <v>1146</v>
      </c>
      <c r="M5" s="45">
        <v>2E-3</v>
      </c>
      <c r="O5" s="1" t="s">
        <v>539</v>
      </c>
      <c r="P5" s="1" t="s">
        <v>267</v>
      </c>
      <c r="Q5" s="1" t="s">
        <v>14</v>
      </c>
      <c r="R5" s="50">
        <v>0.14499999999999999</v>
      </c>
    </row>
    <row r="6" spans="1:18" x14ac:dyDescent="0.25">
      <c r="A6" s="84" t="s">
        <v>940</v>
      </c>
      <c r="B6" t="str">
        <f>IF(B7&lt;0.25,"Q1",IF(B7&lt;0.5,"Q2",IF(B7&lt;0.75,"Q3","Q4")))</f>
        <v>Q1</v>
      </c>
      <c r="E6" s="1">
        <v>0.3</v>
      </c>
      <c r="F6" s="50">
        <v>3.2000000000000001E-2</v>
      </c>
      <c r="G6" s="50">
        <v>6.5000000000000002E-2</v>
      </c>
      <c r="H6" s="50">
        <v>7.6999999999999999E-2</v>
      </c>
      <c r="I6" s="50">
        <v>9.5000000000000001E-2</v>
      </c>
      <c r="J6" s="50">
        <v>0.12</v>
      </c>
      <c r="L6" s="796" t="s">
        <v>1147</v>
      </c>
      <c r="M6" s="45">
        <v>2.5000000000000001E-3</v>
      </c>
      <c r="O6" s="1" t="s">
        <v>540</v>
      </c>
      <c r="P6" s="1" t="s">
        <v>212</v>
      </c>
      <c r="Q6" s="1" t="s">
        <v>62</v>
      </c>
      <c r="R6" s="50">
        <v>4.5999999999999999E-2</v>
      </c>
    </row>
    <row r="7" spans="1:18" x14ac:dyDescent="0.25">
      <c r="A7" s="84" t="s">
        <v>468</v>
      </c>
      <c r="B7">
        <f>'PIM Ranges'!$AU$3</f>
        <v>0</v>
      </c>
      <c r="E7" s="1">
        <v>0.35</v>
      </c>
      <c r="F7" s="50">
        <v>4.8000000000000001E-2</v>
      </c>
      <c r="G7" s="50">
        <v>7.9000000000000001E-2</v>
      </c>
      <c r="H7" s="50">
        <v>9.4E-2</v>
      </c>
      <c r="I7" s="50">
        <v>0.11</v>
      </c>
      <c r="J7" s="50">
        <v>0.14499999999999999</v>
      </c>
      <c r="L7" s="796" t="s">
        <v>1148</v>
      </c>
      <c r="M7" s="45">
        <v>3.0000000000000001E-3</v>
      </c>
      <c r="O7" s="1" t="s">
        <v>541</v>
      </c>
      <c r="P7" s="1" t="s">
        <v>213</v>
      </c>
      <c r="Q7" s="1" t="s">
        <v>62</v>
      </c>
      <c r="R7" s="50">
        <v>8.5000000000000006E-2</v>
      </c>
    </row>
    <row r="8" spans="1:18" x14ac:dyDescent="0.25">
      <c r="A8" s="84" t="s">
        <v>470</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96" t="s">
        <v>1149</v>
      </c>
      <c r="M8" s="45">
        <v>3.5000000000000001E-3</v>
      </c>
      <c r="O8" s="1" t="s">
        <v>542</v>
      </c>
      <c r="P8" s="1" t="s">
        <v>214</v>
      </c>
      <c r="Q8" s="1" t="s">
        <v>62</v>
      </c>
      <c r="R8" s="50">
        <v>0.106</v>
      </c>
    </row>
    <row r="9" spans="1:18" x14ac:dyDescent="0.25">
      <c r="A9" s="84" t="s">
        <v>941</v>
      </c>
      <c r="B9" t="str">
        <f>IF($B$4="Multiple Menu Types",B6&amp;B5,B6&amp;B4)</f>
        <v>Q1Enter Customer(s)</v>
      </c>
      <c r="E9" s="1">
        <v>0.45</v>
      </c>
      <c r="F9" s="50">
        <v>5.6000000000000001E-2</v>
      </c>
      <c r="G9" s="50">
        <v>8.6999999999999994E-2</v>
      </c>
      <c r="H9" s="50">
        <v>0.10100000000000001</v>
      </c>
      <c r="I9" s="50">
        <v>0.12</v>
      </c>
      <c r="J9" s="50">
        <v>0.16700000000000001</v>
      </c>
      <c r="L9" s="796" t="s">
        <v>1150</v>
      </c>
      <c r="M9" s="45">
        <v>4.0000000000000001E-3</v>
      </c>
      <c r="O9" s="1" t="s">
        <v>543</v>
      </c>
      <c r="P9" s="1" t="s">
        <v>267</v>
      </c>
      <c r="Q9" s="1" t="s">
        <v>62</v>
      </c>
      <c r="R9" s="50">
        <v>0.106</v>
      </c>
    </row>
    <row r="10" spans="1:18" x14ac:dyDescent="0.25">
      <c r="A10" s="84"/>
      <c r="E10" s="1">
        <v>0.5</v>
      </c>
      <c r="F10" s="50">
        <v>0.05</v>
      </c>
      <c r="G10" s="50">
        <v>9.1999999999999998E-2</v>
      </c>
      <c r="H10" s="50">
        <v>0.108</v>
      </c>
      <c r="I10" s="50">
        <v>0.124</v>
      </c>
      <c r="J10" s="50">
        <v>0.16600000000000001</v>
      </c>
      <c r="L10" s="796" t="s">
        <v>1151</v>
      </c>
      <c r="M10" s="45">
        <v>4.4999999999999997E-3</v>
      </c>
      <c r="O10" s="1" t="s">
        <v>544</v>
      </c>
      <c r="P10" s="1" t="s">
        <v>212</v>
      </c>
      <c r="Q10" s="1" t="s">
        <v>74</v>
      </c>
      <c r="R10" s="50">
        <v>7.1999999999999995E-2</v>
      </c>
    </row>
    <row r="11" spans="1:18" x14ac:dyDescent="0.25">
      <c r="A11" s="84" t="s">
        <v>942</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96" t="s">
        <v>1152</v>
      </c>
      <c r="M11" s="45">
        <v>5.0000000000000001E-3</v>
      </c>
      <c r="O11" s="1" t="s">
        <v>545</v>
      </c>
      <c r="P11" s="1" t="s">
        <v>213</v>
      </c>
      <c r="Q11" s="1" t="s">
        <v>74</v>
      </c>
      <c r="R11" s="50">
        <v>0.109</v>
      </c>
    </row>
    <row r="12" spans="1:18" x14ac:dyDescent="0.25">
      <c r="A12" s="84" t="s">
        <v>943</v>
      </c>
      <c r="B12">
        <f>IFERROR(VLOOKUP($B$9,$O:$R,4,FALSE),0)</f>
        <v>0</v>
      </c>
      <c r="E12" s="1">
        <v>0.6</v>
      </c>
      <c r="F12" s="50">
        <v>6.6000000000000003E-2</v>
      </c>
      <c r="G12" s="50">
        <v>0.10299999999999999</v>
      </c>
      <c r="H12" s="50">
        <v>0.11899999999999999</v>
      </c>
      <c r="I12" s="50">
        <v>0.13700000000000001</v>
      </c>
      <c r="J12" s="50">
        <v>0.184</v>
      </c>
      <c r="L12" s="796" t="s">
        <v>1153</v>
      </c>
      <c r="M12" s="45">
        <v>5.4999999999999997E-3</v>
      </c>
      <c r="O12" s="1" t="s">
        <v>546</v>
      </c>
      <c r="P12" s="1" t="s">
        <v>214</v>
      </c>
      <c r="Q12" s="1" t="s">
        <v>74</v>
      </c>
      <c r="R12" s="50">
        <v>0.14299999999999999</v>
      </c>
    </row>
    <row r="13" spans="1:18" x14ac:dyDescent="0.25">
      <c r="A13" s="84"/>
      <c r="E13" s="1">
        <v>0.65</v>
      </c>
      <c r="F13" s="50">
        <v>7.4999999999999997E-2</v>
      </c>
      <c r="G13" s="50">
        <v>0.111</v>
      </c>
      <c r="H13" s="50">
        <v>0.123</v>
      </c>
      <c r="I13" s="50">
        <v>0.13600000000000001</v>
      </c>
      <c r="J13" s="50">
        <v>0.17299999999999999</v>
      </c>
      <c r="L13" s="796" t="s">
        <v>1154</v>
      </c>
      <c r="M13" s="45">
        <v>6.0000000000000001E-3</v>
      </c>
      <c r="O13" s="1" t="s">
        <v>547</v>
      </c>
      <c r="P13" s="1" t="s">
        <v>267</v>
      </c>
      <c r="Q13" s="1" t="s">
        <v>74</v>
      </c>
      <c r="R13" s="50">
        <v>0.14299999999999999</v>
      </c>
    </row>
    <row r="14" spans="1:18" x14ac:dyDescent="0.25">
      <c r="A14" s="84" t="s">
        <v>904</v>
      </c>
      <c r="B14" s="38">
        <f>'PIM Model'!$G$31</f>
        <v>0</v>
      </c>
      <c r="E14" s="1">
        <v>0.7</v>
      </c>
      <c r="F14" s="50">
        <v>0.08</v>
      </c>
      <c r="G14" s="50">
        <v>0.113</v>
      </c>
      <c r="H14" s="50">
        <v>0.126</v>
      </c>
      <c r="I14" s="50">
        <v>0.15</v>
      </c>
      <c r="J14" s="50">
        <v>0.20200000000000001</v>
      </c>
      <c r="L14" s="796" t="s">
        <v>1155</v>
      </c>
      <c r="M14" s="45">
        <v>6.4999999999999997E-3</v>
      </c>
      <c r="O14" s="1" t="s">
        <v>548</v>
      </c>
      <c r="P14" s="1" t="s">
        <v>212</v>
      </c>
      <c r="Q14" s="1" t="s">
        <v>34</v>
      </c>
      <c r="R14" s="50">
        <v>6.2E-2</v>
      </c>
    </row>
    <row r="15" spans="1:18" x14ac:dyDescent="0.25">
      <c r="A15" s="84" t="s">
        <v>944</v>
      </c>
      <c r="B15" s="38">
        <f>B12*B14</f>
        <v>0</v>
      </c>
      <c r="E15" s="1">
        <v>0.75</v>
      </c>
      <c r="F15" s="50">
        <v>7.8E-2</v>
      </c>
      <c r="G15" s="50">
        <v>0.108</v>
      </c>
      <c r="H15" s="50">
        <v>0.128</v>
      </c>
      <c r="I15" s="50">
        <v>0.154</v>
      </c>
      <c r="J15" s="50">
        <v>0.21</v>
      </c>
      <c r="L15" s="796" t="s">
        <v>1156</v>
      </c>
      <c r="M15" s="45">
        <v>7.0000000000000001E-3</v>
      </c>
      <c r="O15" s="1" t="s">
        <v>549</v>
      </c>
      <c r="P15" s="1" t="s">
        <v>213</v>
      </c>
      <c r="Q15" s="1" t="s">
        <v>34</v>
      </c>
      <c r="R15" s="50">
        <v>0.10199999999999999</v>
      </c>
    </row>
    <row r="16" spans="1:18" x14ac:dyDescent="0.25">
      <c r="A16" s="84" t="s">
        <v>942</v>
      </c>
      <c r="B16">
        <f>B14*B11</f>
        <v>0</v>
      </c>
      <c r="E16" s="1">
        <v>0.8</v>
      </c>
      <c r="F16" s="50">
        <v>9.7000000000000003E-2</v>
      </c>
      <c r="G16" s="50">
        <v>0.13200000000000001</v>
      </c>
      <c r="H16" s="50">
        <v>0.129</v>
      </c>
      <c r="I16" s="50">
        <v>0.156</v>
      </c>
      <c r="J16" s="50">
        <v>0.17</v>
      </c>
      <c r="L16" s="796" t="s">
        <v>1157</v>
      </c>
      <c r="M16" s="45">
        <v>7.4999999999999997E-3</v>
      </c>
      <c r="O16" s="1" t="s">
        <v>550</v>
      </c>
      <c r="P16" s="1" t="s">
        <v>214</v>
      </c>
      <c r="Q16" s="1" t="s">
        <v>34</v>
      </c>
      <c r="R16" s="50">
        <v>0.11700000000000001</v>
      </c>
    </row>
    <row r="17" spans="2:18" x14ac:dyDescent="0.25">
      <c r="E17" s="1" t="s">
        <v>469</v>
      </c>
      <c r="F17" s="50">
        <v>9.9000000000000005E-2</v>
      </c>
      <c r="G17" s="50">
        <v>0.10800000000000001</v>
      </c>
      <c r="H17" s="50">
        <v>0.129</v>
      </c>
      <c r="I17" s="50">
        <v>0.151</v>
      </c>
      <c r="J17" s="50">
        <v>0.155</v>
      </c>
      <c r="L17" s="797" t="s">
        <v>1158</v>
      </c>
      <c r="M17" s="45">
        <v>8.0000000000000002E-3</v>
      </c>
      <c r="O17" s="1" t="s">
        <v>551</v>
      </c>
      <c r="P17" s="1" t="s">
        <v>267</v>
      </c>
      <c r="Q17" s="1" t="s">
        <v>34</v>
      </c>
      <c r="R17" s="50">
        <v>0.11700000000000001</v>
      </c>
    </row>
    <row r="18" spans="2:18" x14ac:dyDescent="0.25">
      <c r="L18" s="796" t="s">
        <v>1159</v>
      </c>
      <c r="M18" s="45">
        <v>8.5000000000000006E-3</v>
      </c>
      <c r="O18" s="1" t="s">
        <v>552</v>
      </c>
      <c r="P18" s="1" t="s">
        <v>212</v>
      </c>
      <c r="Q18" s="1" t="s">
        <v>0</v>
      </c>
      <c r="R18" s="50">
        <v>5.3999999999999999E-2</v>
      </c>
    </row>
    <row r="19" spans="2:18" x14ac:dyDescent="0.25">
      <c r="B19" t="s">
        <v>1029</v>
      </c>
      <c r="C19">
        <f>IF(Welcome!$D$14="Select # of Locations",0,Welcome!$D$14)</f>
        <v>0</v>
      </c>
      <c r="L19" s="796" t="s">
        <v>1160</v>
      </c>
      <c r="M19" s="45">
        <v>8.9999999999999993E-3</v>
      </c>
      <c r="O19" s="1" t="s">
        <v>553</v>
      </c>
      <c r="P19" s="1" t="s">
        <v>213</v>
      </c>
      <c r="Q19" s="1" t="s">
        <v>0</v>
      </c>
      <c r="R19" s="50">
        <v>8.7999999999999995E-2</v>
      </c>
    </row>
    <row r="20" spans="2:18" x14ac:dyDescent="0.25">
      <c r="B20">
        <f>'PIM Model'!$E$3</f>
        <v>0</v>
      </c>
      <c r="E20" s="1375" t="s">
        <v>1024</v>
      </c>
      <c r="F20" s="1376"/>
      <c r="G20" s="1377"/>
      <c r="L20" s="1"/>
      <c r="M20" s="45">
        <v>9.4999999999999998E-3</v>
      </c>
      <c r="O20" s="1" t="s">
        <v>554</v>
      </c>
      <c r="P20" s="1" t="s">
        <v>214</v>
      </c>
      <c r="Q20" s="1" t="s">
        <v>0</v>
      </c>
      <c r="R20" s="50">
        <v>0.112</v>
      </c>
    </row>
    <row r="21" spans="2:18" x14ac:dyDescent="0.25">
      <c r="B21" t="s">
        <v>489</v>
      </c>
      <c r="C21" s="38">
        <f>'PIM Model'!$G$31</f>
        <v>0</v>
      </c>
      <c r="E21" s="86" t="s">
        <v>1031</v>
      </c>
      <c r="F21" s="668">
        <v>2600</v>
      </c>
      <c r="G21" s="50">
        <v>5.6000000000000001E-2</v>
      </c>
      <c r="H21" s="24"/>
      <c r="O21" s="1" t="s">
        <v>555</v>
      </c>
      <c r="P21" s="1" t="s">
        <v>267</v>
      </c>
      <c r="Q21" s="1" t="s">
        <v>0</v>
      </c>
      <c r="R21" s="50">
        <v>0.112</v>
      </c>
    </row>
    <row r="22" spans="2:18" x14ac:dyDescent="0.25">
      <c r="B22" t="s">
        <v>490</v>
      </c>
      <c r="C22" s="38">
        <f>$C$21/52</f>
        <v>0</v>
      </c>
      <c r="D22" t="s">
        <v>1046</v>
      </c>
      <c r="E22" s="86" t="s">
        <v>1032</v>
      </c>
      <c r="F22" s="668">
        <v>4600</v>
      </c>
      <c r="G22" s="50">
        <v>6.3E-2</v>
      </c>
      <c r="H22" s="24"/>
      <c r="L22" s="1374" t="s">
        <v>113</v>
      </c>
      <c r="M22" s="1374"/>
      <c r="O22" s="1" t="s">
        <v>556</v>
      </c>
      <c r="P22" s="1" t="s">
        <v>212</v>
      </c>
      <c r="Q22" s="1" t="s">
        <v>69</v>
      </c>
      <c r="R22" s="50">
        <v>7.6999999999999999E-2</v>
      </c>
    </row>
    <row r="23" spans="2:18" x14ac:dyDescent="0.25">
      <c r="B23" t="s">
        <v>1030</v>
      </c>
      <c r="C23" s="38" t="e">
        <f>$C$22/C19</f>
        <v>#DIV/0!</v>
      </c>
      <c r="E23" s="86" t="s">
        <v>1033</v>
      </c>
      <c r="F23" s="668">
        <v>8300</v>
      </c>
      <c r="G23" s="50">
        <v>5.2999999999999999E-2</v>
      </c>
      <c r="H23" s="24"/>
      <c r="L23" s="1375" t="s">
        <v>1022</v>
      </c>
      <c r="M23" s="1377"/>
      <c r="O23" s="1" t="s">
        <v>557</v>
      </c>
      <c r="P23" s="1" t="s">
        <v>213</v>
      </c>
      <c r="Q23" s="1" t="s">
        <v>69</v>
      </c>
      <c r="R23" s="50">
        <v>0.122</v>
      </c>
    </row>
    <row r="24" spans="2:18" x14ac:dyDescent="0.25">
      <c r="B24" t="s">
        <v>1026</v>
      </c>
      <c r="C24" s="24">
        <v>0.08</v>
      </c>
      <c r="D24" s="24" t="e">
        <f>IF($C$23&lt;$F$21,$G$21,IF($C$23&lt;$F$22,$G$22,IF($C$23&lt;$F$23,$G$23,IF($C$23&lt;$F$24,$G$24,$G$25))))</f>
        <v>#DIV/0!</v>
      </c>
      <c r="E24" s="86" t="s">
        <v>1034</v>
      </c>
      <c r="F24" s="668">
        <v>17000</v>
      </c>
      <c r="G24" s="50">
        <v>7.2999999999999995E-2</v>
      </c>
      <c r="H24" s="24"/>
      <c r="L24" s="400" t="s">
        <v>1143</v>
      </c>
      <c r="M24" s="45">
        <f t="shared" ref="M24:M29" si="0">M25-0.0005</f>
        <v>4.9999999999999975E-3</v>
      </c>
      <c r="O24" s="1" t="s">
        <v>558</v>
      </c>
      <c r="P24" s="1" t="s">
        <v>214</v>
      </c>
      <c r="Q24" s="1" t="s">
        <v>69</v>
      </c>
      <c r="R24" s="50">
        <v>0.151</v>
      </c>
    </row>
    <row r="25" spans="2:18" x14ac:dyDescent="0.25">
      <c r="B25" t="s">
        <v>1027</v>
      </c>
      <c r="C25" s="24">
        <v>0.08</v>
      </c>
      <c r="D25" s="24" t="e">
        <f>IF($C$23&lt;$F$29,$G$29,IF($C$23&lt;$F$30,$G$30,IF($C$23&lt;$F$31,$G$31,IF($C$23&lt;$F$32,$G$32,$G$33))))</f>
        <v>#DIV/0!</v>
      </c>
      <c r="E25" s="86" t="s">
        <v>1035</v>
      </c>
      <c r="F25" s="668"/>
      <c r="G25" s="50">
        <v>6.0999999999999999E-2</v>
      </c>
      <c r="H25" s="24"/>
      <c r="K25" s="762"/>
      <c r="L25" s="400" t="s">
        <v>1144</v>
      </c>
      <c r="M25" s="45">
        <f t="shared" si="0"/>
        <v>5.4999999999999979E-3</v>
      </c>
      <c r="O25" s="1" t="s">
        <v>559</v>
      </c>
      <c r="P25" s="1" t="s">
        <v>267</v>
      </c>
      <c r="Q25" s="1" t="s">
        <v>69</v>
      </c>
      <c r="R25" s="50">
        <v>0.151</v>
      </c>
    </row>
    <row r="26" spans="2:18" x14ac:dyDescent="0.25">
      <c r="B26" t="s">
        <v>1028</v>
      </c>
      <c r="C26" s="24">
        <f>IF($B$20="MDA",$C$24,$C$25)</f>
        <v>0.08</v>
      </c>
      <c r="E26" s="84"/>
      <c r="G26" s="24"/>
      <c r="H26" s="24"/>
      <c r="K26" s="762"/>
      <c r="L26" s="400" t="s">
        <v>1145</v>
      </c>
      <c r="M26" s="45">
        <f t="shared" si="0"/>
        <v>5.9999999999999984E-3</v>
      </c>
      <c r="O26" s="1" t="s">
        <v>560</v>
      </c>
      <c r="P26" s="1" t="s">
        <v>212</v>
      </c>
      <c r="Q26" s="1" t="s">
        <v>4</v>
      </c>
      <c r="R26" s="50">
        <v>6.5000000000000002E-2</v>
      </c>
    </row>
    <row r="27" spans="2:18" x14ac:dyDescent="0.25">
      <c r="B27" t="s">
        <v>488</v>
      </c>
      <c r="C27" s="24">
        <f>'Tracking &amp; Profitability'!$I$34</f>
        <v>0</v>
      </c>
      <c r="E27" s="84"/>
      <c r="K27" s="762"/>
      <c r="L27" s="400" t="s">
        <v>1146</v>
      </c>
      <c r="M27" s="45">
        <f t="shared" si="0"/>
        <v>6.4999999999999988E-3</v>
      </c>
      <c r="O27" s="1" t="s">
        <v>561</v>
      </c>
      <c r="P27" s="1" t="s">
        <v>213</v>
      </c>
      <c r="Q27" s="1" t="s">
        <v>4</v>
      </c>
      <c r="R27" s="50">
        <v>9.2999999999999999E-2</v>
      </c>
    </row>
    <row r="28" spans="2:18" x14ac:dyDescent="0.25">
      <c r="C28" s="24">
        <f>IFERROR(IF($C$27&gt;$C$26,"Approved",C26-C27),0)</f>
        <v>0.08</v>
      </c>
      <c r="E28" s="1374" t="s">
        <v>1025</v>
      </c>
      <c r="F28" s="1374"/>
      <c r="G28" s="1374"/>
      <c r="K28" s="762"/>
      <c r="L28" s="400" t="s">
        <v>1147</v>
      </c>
      <c r="M28" s="45">
        <f t="shared" si="0"/>
        <v>6.9999999999999993E-3</v>
      </c>
      <c r="O28" s="1" t="s">
        <v>562</v>
      </c>
      <c r="P28" s="1" t="s">
        <v>214</v>
      </c>
      <c r="Q28" s="1" t="s">
        <v>4</v>
      </c>
      <c r="R28" s="50">
        <v>0.11600000000000001</v>
      </c>
    </row>
    <row r="29" spans="2:18" x14ac:dyDescent="0.25">
      <c r="E29" s="86" t="s">
        <v>1036</v>
      </c>
      <c r="F29" s="668">
        <v>1500</v>
      </c>
      <c r="G29" s="50">
        <v>8.3000000000000004E-2</v>
      </c>
      <c r="H29" s="24"/>
      <c r="K29" s="762"/>
      <c r="L29" s="400" t="s">
        <v>1148</v>
      </c>
      <c r="M29" s="45">
        <f t="shared" si="0"/>
        <v>7.4999999999999997E-3</v>
      </c>
      <c r="O29" s="1" t="s">
        <v>563</v>
      </c>
      <c r="P29" s="1" t="s">
        <v>267</v>
      </c>
      <c r="Q29" s="1" t="s">
        <v>4</v>
      </c>
      <c r="R29" s="50">
        <v>0.11600000000000001</v>
      </c>
    </row>
    <row r="30" spans="2:18" x14ac:dyDescent="0.25">
      <c r="E30" s="86" t="s">
        <v>1037</v>
      </c>
      <c r="F30" s="668">
        <v>2400</v>
      </c>
      <c r="G30" s="50">
        <v>8.3000000000000004E-2</v>
      </c>
      <c r="H30" s="24"/>
      <c r="K30" s="762"/>
      <c r="L30" s="778" t="s">
        <v>1149</v>
      </c>
      <c r="M30" s="779">
        <v>8.0000000000000002E-3</v>
      </c>
      <c r="O30" s="1" t="s">
        <v>564</v>
      </c>
      <c r="P30" s="1" t="s">
        <v>212</v>
      </c>
      <c r="Q30" s="1" t="s">
        <v>35</v>
      </c>
      <c r="R30" s="50">
        <v>8.6999999999999994E-2</v>
      </c>
    </row>
    <row r="31" spans="2:18" x14ac:dyDescent="0.25">
      <c r="E31" s="86" t="s">
        <v>1038</v>
      </c>
      <c r="F31" s="668">
        <v>4100</v>
      </c>
      <c r="G31" s="50">
        <v>8.3000000000000004E-2</v>
      </c>
      <c r="H31" s="24"/>
      <c r="K31" s="762"/>
      <c r="L31" s="400" t="s">
        <v>1150</v>
      </c>
      <c r="M31" s="45">
        <f>M30+0.0005</f>
        <v>8.5000000000000006E-3</v>
      </c>
      <c r="O31" s="1" t="s">
        <v>565</v>
      </c>
      <c r="P31" s="1" t="s">
        <v>213</v>
      </c>
      <c r="Q31" s="1" t="s">
        <v>35</v>
      </c>
      <c r="R31" s="50">
        <v>8.6999999999999994E-2</v>
      </c>
    </row>
    <row r="32" spans="2:18" x14ac:dyDescent="0.25">
      <c r="E32" s="86" t="s">
        <v>1039</v>
      </c>
      <c r="F32" s="668">
        <v>8000</v>
      </c>
      <c r="G32" s="50">
        <v>8.2000000000000003E-2</v>
      </c>
      <c r="H32" s="24"/>
      <c r="K32" s="762"/>
      <c r="L32" s="400" t="s">
        <v>1151</v>
      </c>
      <c r="M32" s="45">
        <f>M31+0.0005</f>
        <v>9.0000000000000011E-3</v>
      </c>
      <c r="O32" s="1" t="s">
        <v>566</v>
      </c>
      <c r="P32" s="1" t="s">
        <v>214</v>
      </c>
      <c r="Q32" s="1" t="s">
        <v>35</v>
      </c>
      <c r="R32" s="50">
        <v>0.11700000000000001</v>
      </c>
    </row>
    <row r="33" spans="1:18" x14ac:dyDescent="0.25">
      <c r="E33" s="86" t="s">
        <v>1040</v>
      </c>
      <c r="F33" s="668"/>
      <c r="G33" s="50">
        <v>7.9000000000000001E-2</v>
      </c>
      <c r="H33" s="24"/>
      <c r="K33" s="762"/>
      <c r="L33" s="400" t="s">
        <v>1152</v>
      </c>
      <c r="M33" s="45">
        <f t="shared" ref="J33:M42" si="1">M32+0.0005</f>
        <v>9.5000000000000015E-3</v>
      </c>
      <c r="O33" s="1" t="s">
        <v>567</v>
      </c>
      <c r="P33" s="1" t="s">
        <v>267</v>
      </c>
      <c r="Q33" s="1" t="s">
        <v>35</v>
      </c>
      <c r="R33" s="50">
        <v>0.11700000000000001</v>
      </c>
    </row>
    <row r="34" spans="1:18" ht="15.75" thickBot="1" x14ac:dyDescent="0.3">
      <c r="G34" s="24"/>
      <c r="H34" s="24"/>
      <c r="K34" s="762"/>
      <c r="L34" s="400" t="s">
        <v>1153</v>
      </c>
      <c r="M34" s="45">
        <f t="shared" si="1"/>
        <v>1.0000000000000002E-2</v>
      </c>
      <c r="O34" s="1" t="s">
        <v>568</v>
      </c>
      <c r="P34" s="1" t="s">
        <v>212</v>
      </c>
      <c r="Q34" s="1" t="s">
        <v>6</v>
      </c>
      <c r="R34" s="50">
        <v>0.06</v>
      </c>
    </row>
    <row r="35" spans="1:18" ht="15.75" thickBot="1" x14ac:dyDescent="0.3">
      <c r="A35" s="427" t="s">
        <v>947</v>
      </c>
      <c r="K35" s="762"/>
      <c r="L35" s="400" t="s">
        <v>1154</v>
      </c>
      <c r="M35" s="45">
        <f t="shared" si="1"/>
        <v>1.0500000000000002E-2</v>
      </c>
      <c r="O35" s="1" t="s">
        <v>569</v>
      </c>
      <c r="P35" s="1" t="s">
        <v>213</v>
      </c>
      <c r="Q35" s="1" t="s">
        <v>6</v>
      </c>
      <c r="R35" s="50">
        <v>0.106</v>
      </c>
    </row>
    <row r="36" spans="1:18" ht="15.75" thickBot="1" x14ac:dyDescent="0.3">
      <c r="A36" s="423" t="s">
        <v>937</v>
      </c>
      <c r="B36" s="420" t="s">
        <v>903</v>
      </c>
      <c r="C36" s="417" t="s">
        <v>461</v>
      </c>
      <c r="D36" s="417" t="s">
        <v>939</v>
      </c>
      <c r="E36" s="418" t="s">
        <v>945</v>
      </c>
      <c r="F36" s="419" t="s">
        <v>938</v>
      </c>
      <c r="G36" s="418" t="s">
        <v>946</v>
      </c>
      <c r="H36" s="762"/>
      <c r="I36" s="400" t="s">
        <v>1155</v>
      </c>
      <c r="J36" s="45">
        <f>M35+0.0005</f>
        <v>1.1000000000000003E-2</v>
      </c>
      <c r="L36" s="1" t="s">
        <v>570</v>
      </c>
      <c r="M36" s="1" t="s">
        <v>214</v>
      </c>
      <c r="N36" s="1" t="s">
        <v>6</v>
      </c>
      <c r="O36" s="50">
        <v>0.12</v>
      </c>
    </row>
    <row r="37" spans="1:18" x14ac:dyDescent="0.25">
      <c r="A37" s="424">
        <v>1</v>
      </c>
      <c r="B37" s="421" t="str">
        <f>'Customer Inputs'!Y6</f>
        <v/>
      </c>
      <c r="C37" s="30">
        <f>'Customer Inputs'!P6</f>
        <v>0</v>
      </c>
      <c r="D37" s="414">
        <f>'Multi-Customer'!$BB$9</f>
        <v>0</v>
      </c>
      <c r="E37" s="1074">
        <f>'Multi-Customer'!$BB$10</f>
        <v>0</v>
      </c>
      <c r="F37" s="415">
        <f t="shared" ref="F37:F46" si="2">D37*C37</f>
        <v>0</v>
      </c>
      <c r="G37" s="416">
        <f t="shared" ref="G37:G46" si="3">E37*C37</f>
        <v>0</v>
      </c>
      <c r="H37" s="762"/>
      <c r="I37" s="400" t="s">
        <v>1156</v>
      </c>
      <c r="J37" s="45">
        <f t="shared" si="1"/>
        <v>1.1500000000000003E-2</v>
      </c>
      <c r="L37" s="1" t="s">
        <v>571</v>
      </c>
      <c r="M37" s="1" t="s">
        <v>267</v>
      </c>
      <c r="N37" s="1" t="s">
        <v>6</v>
      </c>
      <c r="O37" s="50">
        <v>0.17</v>
      </c>
    </row>
    <row r="38" spans="1:18" x14ac:dyDescent="0.25">
      <c r="A38" s="425">
        <v>2</v>
      </c>
      <c r="B38" s="293" t="str">
        <f>'Customer Inputs'!Y7</f>
        <v/>
      </c>
      <c r="C38" s="1">
        <f>'Customer Inputs'!P7</f>
        <v>0</v>
      </c>
      <c r="D38" s="409">
        <f>'Multi-Customer'!$BY$9</f>
        <v>0</v>
      </c>
      <c r="E38" s="409">
        <f>'Multi-Customer'!$BY$10</f>
        <v>0</v>
      </c>
      <c r="F38" s="410">
        <f t="shared" si="2"/>
        <v>0</v>
      </c>
      <c r="G38" s="411">
        <f t="shared" si="3"/>
        <v>0</v>
      </c>
      <c r="H38" s="762"/>
      <c r="I38" s="400" t="s">
        <v>1157</v>
      </c>
      <c r="J38" s="45">
        <f t="shared" si="1"/>
        <v>1.2000000000000004E-2</v>
      </c>
      <c r="L38" s="1" t="s">
        <v>572</v>
      </c>
      <c r="M38" s="1" t="s">
        <v>212</v>
      </c>
      <c r="N38" s="1" t="s">
        <v>257</v>
      </c>
      <c r="O38" s="50">
        <v>5.9000000000000004E-2</v>
      </c>
    </row>
    <row r="39" spans="1:18" x14ac:dyDescent="0.25">
      <c r="A39" s="425">
        <v>3</v>
      </c>
      <c r="B39" s="293" t="str">
        <f>'Customer Inputs'!Y8</f>
        <v/>
      </c>
      <c r="C39" s="1">
        <f>'Customer Inputs'!P8</f>
        <v>0</v>
      </c>
      <c r="D39" s="409">
        <f>'Multi-Customer'!$CV$9</f>
        <v>0</v>
      </c>
      <c r="E39" s="1074">
        <f>'Multi-Customer'!$CV$10</f>
        <v>0</v>
      </c>
      <c r="F39" s="410">
        <f t="shared" si="2"/>
        <v>0</v>
      </c>
      <c r="G39" s="411">
        <f t="shared" si="3"/>
        <v>0</v>
      </c>
      <c r="H39" s="762"/>
      <c r="I39" s="401" t="s">
        <v>1158</v>
      </c>
      <c r="J39" s="45">
        <f t="shared" si="1"/>
        <v>1.2500000000000004E-2</v>
      </c>
      <c r="L39" s="1" t="s">
        <v>573</v>
      </c>
      <c r="M39" s="1" t="s">
        <v>213</v>
      </c>
      <c r="N39" s="1" t="s">
        <v>257</v>
      </c>
      <c r="O39" s="50">
        <v>9.9000000000000005E-2</v>
      </c>
    </row>
    <row r="40" spans="1:18" x14ac:dyDescent="0.25">
      <c r="A40" s="425">
        <v>4</v>
      </c>
      <c r="B40" s="293" t="str">
        <f>'Customer Inputs'!Y9</f>
        <v/>
      </c>
      <c r="C40" s="1">
        <f>'Customer Inputs'!P9</f>
        <v>0</v>
      </c>
      <c r="D40" s="409">
        <f>'Multi-Customer'!$DS$9</f>
        <v>0</v>
      </c>
      <c r="E40" s="1074">
        <f>'Multi-Customer'!$DS$10</f>
        <v>0</v>
      </c>
      <c r="F40" s="410">
        <f t="shared" si="2"/>
        <v>0</v>
      </c>
      <c r="G40" s="411">
        <f t="shared" si="3"/>
        <v>0</v>
      </c>
      <c r="H40" s="762"/>
      <c r="I40" s="400" t="s">
        <v>1159</v>
      </c>
      <c r="J40" s="45">
        <f t="shared" si="1"/>
        <v>1.3000000000000005E-2</v>
      </c>
      <c r="L40" s="1" t="s">
        <v>574</v>
      </c>
      <c r="M40" s="1" t="s">
        <v>214</v>
      </c>
      <c r="N40" s="1" t="s">
        <v>257</v>
      </c>
      <c r="O40" s="50">
        <v>0.11900000000000001</v>
      </c>
    </row>
    <row r="41" spans="1:18" x14ac:dyDescent="0.25">
      <c r="A41" s="425">
        <v>5</v>
      </c>
      <c r="B41" s="293" t="str">
        <f>'Customer Inputs'!Y10</f>
        <v/>
      </c>
      <c r="C41" s="1">
        <f>'Customer Inputs'!P10</f>
        <v>0</v>
      </c>
      <c r="D41" s="409">
        <f>'Multi-Customer'!$EP$9</f>
        <v>0</v>
      </c>
      <c r="E41" s="1074">
        <f>'Multi-Customer'!$EP$10</f>
        <v>0</v>
      </c>
      <c r="F41" s="410">
        <f t="shared" si="2"/>
        <v>0</v>
      </c>
      <c r="G41" s="411">
        <f t="shared" si="3"/>
        <v>0</v>
      </c>
      <c r="H41" s="762"/>
      <c r="I41" s="400" t="s">
        <v>1160</v>
      </c>
      <c r="J41" s="45">
        <f t="shared" si="1"/>
        <v>1.3500000000000005E-2</v>
      </c>
      <c r="L41" s="1" t="s">
        <v>575</v>
      </c>
      <c r="M41" s="1" t="s">
        <v>267</v>
      </c>
      <c r="N41" s="1" t="s">
        <v>257</v>
      </c>
      <c r="O41" s="50">
        <v>0.15</v>
      </c>
    </row>
    <row r="42" spans="1:18" x14ac:dyDescent="0.25">
      <c r="A42" s="425">
        <v>6</v>
      </c>
      <c r="B42" s="293" t="str">
        <f>'Customer Inputs'!Y11</f>
        <v/>
      </c>
      <c r="C42" s="1">
        <f>'Customer Inputs'!P11</f>
        <v>0</v>
      </c>
      <c r="D42" s="409">
        <f>'Multi-Customer'!$FM$9</f>
        <v>0</v>
      </c>
      <c r="E42" s="1074">
        <f>'Multi-Customer'!$FM$10</f>
        <v>0</v>
      </c>
      <c r="F42" s="410">
        <f t="shared" si="2"/>
        <v>0</v>
      </c>
      <c r="G42" s="411">
        <f t="shared" si="3"/>
        <v>0</v>
      </c>
      <c r="H42" s="762"/>
      <c r="I42" s="763" t="s">
        <v>1161</v>
      </c>
      <c r="J42" s="45">
        <f t="shared" si="1"/>
        <v>1.4000000000000005E-2</v>
      </c>
      <c r="L42" s="1" t="s">
        <v>576</v>
      </c>
      <c r="M42" s="1" t="s">
        <v>212</v>
      </c>
      <c r="N42" s="1" t="s">
        <v>15</v>
      </c>
      <c r="O42" s="50">
        <v>4.5999999999999999E-2</v>
      </c>
    </row>
    <row r="43" spans="1:18" x14ac:dyDescent="0.25">
      <c r="A43" s="425">
        <v>7</v>
      </c>
      <c r="B43" s="293" t="str">
        <f>'Customer Inputs'!Y12</f>
        <v/>
      </c>
      <c r="C43" s="1">
        <f>'Customer Inputs'!P12</f>
        <v>0</v>
      </c>
      <c r="D43" s="409">
        <f>'Multi-Customer'!$GJ$9</f>
        <v>0</v>
      </c>
      <c r="E43" s="1074">
        <f>'Multi-Customer'!$GJ$10</f>
        <v>0</v>
      </c>
      <c r="F43" s="410">
        <f t="shared" si="2"/>
        <v>0</v>
      </c>
      <c r="G43" s="411">
        <f t="shared" si="3"/>
        <v>0</v>
      </c>
      <c r="L43" s="1" t="s">
        <v>577</v>
      </c>
      <c r="M43" s="1" t="s">
        <v>213</v>
      </c>
      <c r="N43" s="1" t="s">
        <v>15</v>
      </c>
      <c r="O43" s="50">
        <v>0.109</v>
      </c>
    </row>
    <row r="44" spans="1:18" x14ac:dyDescent="0.25">
      <c r="A44" s="425">
        <v>8</v>
      </c>
      <c r="B44" s="293" t="str">
        <f>'Customer Inputs'!Y13</f>
        <v/>
      </c>
      <c r="C44" s="1">
        <f>'Customer Inputs'!P13</f>
        <v>0</v>
      </c>
      <c r="D44" s="409">
        <f>'Multi-Customer'!$HG$9</f>
        <v>0</v>
      </c>
      <c r="E44" s="1074">
        <f>'Multi-Customer'!$HG$10</f>
        <v>0</v>
      </c>
      <c r="F44" s="410">
        <f t="shared" si="2"/>
        <v>0</v>
      </c>
      <c r="G44" s="411">
        <f t="shared" si="3"/>
        <v>0</v>
      </c>
      <c r="L44" s="1" t="s">
        <v>578</v>
      </c>
      <c r="M44" s="1" t="s">
        <v>214</v>
      </c>
      <c r="N44" s="1" t="s">
        <v>15</v>
      </c>
      <c r="O44" s="50">
        <v>0.11600000000000001</v>
      </c>
    </row>
    <row r="45" spans="1:18" x14ac:dyDescent="0.25">
      <c r="A45" s="425">
        <v>9</v>
      </c>
      <c r="B45" s="293" t="str">
        <f>'Customer Inputs'!Y14</f>
        <v/>
      </c>
      <c r="C45" s="1">
        <f>'Customer Inputs'!P14</f>
        <v>0</v>
      </c>
      <c r="D45" s="409">
        <f>'Multi-Customer'!$ID$9</f>
        <v>0</v>
      </c>
      <c r="E45" s="1074">
        <f>'Multi-Customer'!$ID$10</f>
        <v>0</v>
      </c>
      <c r="F45" s="410">
        <f t="shared" si="2"/>
        <v>0</v>
      </c>
      <c r="G45" s="411">
        <f t="shared" si="3"/>
        <v>0</v>
      </c>
      <c r="L45" s="1" t="s">
        <v>579</v>
      </c>
      <c r="M45" s="1" t="s">
        <v>267</v>
      </c>
      <c r="N45" s="1" t="s">
        <v>15</v>
      </c>
      <c r="O45" s="50">
        <v>0.11600000000000001</v>
      </c>
    </row>
    <row r="46" spans="1:18" ht="15.75" thickBot="1" x14ac:dyDescent="0.3">
      <c r="A46" s="426">
        <v>10</v>
      </c>
      <c r="B46" s="422" t="str">
        <f>'Customer Inputs'!Y15</f>
        <v/>
      </c>
      <c r="C46" s="33">
        <f>'Customer Inputs'!P15</f>
        <v>0</v>
      </c>
      <c r="D46" s="331">
        <f>'Multi-Customer'!$JA$9</f>
        <v>0</v>
      </c>
      <c r="E46" s="1074">
        <f>'Multi-Customer'!$JA$10</f>
        <v>0</v>
      </c>
      <c r="F46" s="412">
        <f t="shared" si="2"/>
        <v>0</v>
      </c>
      <c r="G46" s="413">
        <f t="shared" si="3"/>
        <v>0</v>
      </c>
      <c r="L46" s="1" t="s">
        <v>580</v>
      </c>
      <c r="M46" s="1" t="s">
        <v>212</v>
      </c>
      <c r="N46" s="1" t="s">
        <v>45</v>
      </c>
      <c r="O46" s="50">
        <v>5.1999999999999998E-2</v>
      </c>
    </row>
    <row r="47" spans="1:18" ht="15.75" thickBot="1" x14ac:dyDescent="0.3">
      <c r="F47" s="428">
        <f>SUM(F37:F46)</f>
        <v>0</v>
      </c>
      <c r="G47" s="429">
        <f>SUM(G37:G46)</f>
        <v>0</v>
      </c>
      <c r="O47" s="1" t="s">
        <v>581</v>
      </c>
      <c r="P47" s="1" t="s">
        <v>213</v>
      </c>
      <c r="Q47" s="1" t="s">
        <v>45</v>
      </c>
      <c r="R47" s="50">
        <v>6.3E-2</v>
      </c>
    </row>
    <row r="48" spans="1:18" x14ac:dyDescent="0.25">
      <c r="O48" s="1" t="s">
        <v>582</v>
      </c>
      <c r="P48" s="1" t="s">
        <v>214</v>
      </c>
      <c r="Q48" s="1" t="s">
        <v>45</v>
      </c>
      <c r="R48" s="50">
        <v>0.115</v>
      </c>
    </row>
    <row r="49" spans="4:18" x14ac:dyDescent="0.25">
      <c r="O49" s="1" t="s">
        <v>583</v>
      </c>
      <c r="P49" s="1" t="s">
        <v>267</v>
      </c>
      <c r="Q49" s="1" t="s">
        <v>45</v>
      </c>
      <c r="R49" s="50">
        <v>0.115</v>
      </c>
    </row>
    <row r="50" spans="4:18" x14ac:dyDescent="0.25">
      <c r="O50" s="1" t="s">
        <v>584</v>
      </c>
      <c r="P50" s="1" t="s">
        <v>212</v>
      </c>
      <c r="Q50" s="1" t="s">
        <v>258</v>
      </c>
      <c r="R50" s="50">
        <v>5.9000000000000004E-2</v>
      </c>
    </row>
    <row r="51" spans="4:18" x14ac:dyDescent="0.25">
      <c r="O51" s="1" t="s">
        <v>585</v>
      </c>
      <c r="P51" s="1" t="s">
        <v>213</v>
      </c>
      <c r="Q51" s="1" t="s">
        <v>258</v>
      </c>
      <c r="R51" s="50">
        <v>9.9000000000000005E-2</v>
      </c>
    </row>
    <row r="52" spans="4:18" x14ac:dyDescent="0.25">
      <c r="O52" s="1" t="s">
        <v>586</v>
      </c>
      <c r="P52" s="1" t="s">
        <v>214</v>
      </c>
      <c r="Q52" s="1" t="s">
        <v>258</v>
      </c>
      <c r="R52" s="50">
        <v>0.11900000000000001</v>
      </c>
    </row>
    <row r="53" spans="4:18" x14ac:dyDescent="0.25">
      <c r="O53" s="1" t="s">
        <v>587</v>
      </c>
      <c r="P53" s="1" t="s">
        <v>267</v>
      </c>
      <c r="Q53" s="1" t="s">
        <v>258</v>
      </c>
      <c r="R53" s="50">
        <v>0.15</v>
      </c>
    </row>
    <row r="54" spans="4:18" x14ac:dyDescent="0.25">
      <c r="D54" s="58"/>
      <c r="H54" s="777"/>
      <c r="O54" s="1" t="s">
        <v>588</v>
      </c>
      <c r="P54" s="1" t="s">
        <v>212</v>
      </c>
      <c r="Q54" s="1" t="s">
        <v>48</v>
      </c>
      <c r="R54" s="50">
        <v>5.8999999999999997E-2</v>
      </c>
    </row>
    <row r="55" spans="4:18" x14ac:dyDescent="0.25">
      <c r="E55" s="39"/>
      <c r="G55" s="58"/>
      <c r="O55" s="1" t="s">
        <v>589</v>
      </c>
      <c r="P55" s="1" t="s">
        <v>213</v>
      </c>
      <c r="Q55" s="1" t="s">
        <v>48</v>
      </c>
      <c r="R55" s="50">
        <v>9.9000000000000005E-2</v>
      </c>
    </row>
    <row r="56" spans="4:18" x14ac:dyDescent="0.25">
      <c r="D56" s="39"/>
      <c r="O56" s="1" t="s">
        <v>590</v>
      </c>
      <c r="P56" s="1" t="s">
        <v>214</v>
      </c>
      <c r="Q56" s="1" t="s">
        <v>48</v>
      </c>
      <c r="R56" s="50">
        <v>0.13900000000000001</v>
      </c>
    </row>
    <row r="57" spans="4:18" x14ac:dyDescent="0.25">
      <c r="O57" s="1" t="s">
        <v>591</v>
      </c>
      <c r="P57" s="1" t="s">
        <v>267</v>
      </c>
      <c r="Q57" s="1" t="s">
        <v>48</v>
      </c>
      <c r="R57" s="50">
        <v>0.13900000000000001</v>
      </c>
    </row>
    <row r="58" spans="4:18" x14ac:dyDescent="0.25">
      <c r="O58" s="1" t="s">
        <v>592</v>
      </c>
      <c r="P58" s="1" t="s">
        <v>212</v>
      </c>
      <c r="Q58" s="1" t="s">
        <v>259</v>
      </c>
      <c r="R58" s="50">
        <v>5.9000000000000004E-2</v>
      </c>
    </row>
    <row r="59" spans="4:18" x14ac:dyDescent="0.25">
      <c r="O59" s="1" t="s">
        <v>593</v>
      </c>
      <c r="P59" s="1" t="s">
        <v>213</v>
      </c>
      <c r="Q59" s="1" t="s">
        <v>259</v>
      </c>
      <c r="R59" s="50">
        <v>9.9000000000000005E-2</v>
      </c>
    </row>
    <row r="60" spans="4:18" x14ac:dyDescent="0.25">
      <c r="O60" s="1" t="s">
        <v>594</v>
      </c>
      <c r="P60" s="1" t="s">
        <v>214</v>
      </c>
      <c r="Q60" s="1" t="s">
        <v>259</v>
      </c>
      <c r="R60" s="50">
        <v>0.11900000000000001</v>
      </c>
    </row>
    <row r="61" spans="4:18" x14ac:dyDescent="0.25">
      <c r="O61" s="1" t="s">
        <v>595</v>
      </c>
      <c r="P61" s="1" t="s">
        <v>267</v>
      </c>
      <c r="Q61" s="1" t="s">
        <v>259</v>
      </c>
      <c r="R61" s="50">
        <v>0.15</v>
      </c>
    </row>
    <row r="62" spans="4:18" x14ac:dyDescent="0.25">
      <c r="O62" s="1" t="s">
        <v>596</v>
      </c>
      <c r="P62" s="1" t="s">
        <v>212</v>
      </c>
      <c r="Q62" s="1" t="s">
        <v>260</v>
      </c>
      <c r="R62" s="50">
        <v>5.9000000000000004E-2</v>
      </c>
    </row>
    <row r="63" spans="4:18" x14ac:dyDescent="0.25">
      <c r="O63" s="1" t="s">
        <v>597</v>
      </c>
      <c r="P63" s="1" t="s">
        <v>213</v>
      </c>
      <c r="Q63" s="1" t="s">
        <v>260</v>
      </c>
      <c r="R63" s="50">
        <v>9.9000000000000005E-2</v>
      </c>
    </row>
    <row r="64" spans="4:18" x14ac:dyDescent="0.25">
      <c r="O64" s="1" t="s">
        <v>598</v>
      </c>
      <c r="P64" s="1" t="s">
        <v>214</v>
      </c>
      <c r="Q64" s="1" t="s">
        <v>260</v>
      </c>
      <c r="R64" s="50">
        <v>0.11900000000000001</v>
      </c>
    </row>
    <row r="65" spans="15:18" x14ac:dyDescent="0.25">
      <c r="O65" s="1" t="s">
        <v>599</v>
      </c>
      <c r="P65" s="1" t="s">
        <v>267</v>
      </c>
      <c r="Q65" s="1" t="s">
        <v>260</v>
      </c>
      <c r="R65" s="50">
        <v>0.15</v>
      </c>
    </row>
    <row r="66" spans="15:18" x14ac:dyDescent="0.25">
      <c r="O66" s="1" t="s">
        <v>600</v>
      </c>
      <c r="P66" s="1" t="s">
        <v>212</v>
      </c>
      <c r="Q66" s="1" t="s">
        <v>261</v>
      </c>
      <c r="R66" s="50">
        <v>5.0999999999999997E-2</v>
      </c>
    </row>
    <row r="67" spans="15:18" x14ac:dyDescent="0.25">
      <c r="O67" s="1" t="s">
        <v>601</v>
      </c>
      <c r="P67" s="1" t="s">
        <v>213</v>
      </c>
      <c r="Q67" s="1" t="s">
        <v>261</v>
      </c>
      <c r="R67" s="50">
        <v>0.108</v>
      </c>
    </row>
    <row r="68" spans="15:18" x14ac:dyDescent="0.25">
      <c r="O68" s="1" t="s">
        <v>602</v>
      </c>
      <c r="P68" s="1" t="s">
        <v>214</v>
      </c>
      <c r="Q68" s="1" t="s">
        <v>261</v>
      </c>
      <c r="R68" s="50">
        <v>0.121</v>
      </c>
    </row>
    <row r="69" spans="15:18" x14ac:dyDescent="0.25">
      <c r="O69" s="1" t="s">
        <v>603</v>
      </c>
      <c r="P69" s="1" t="s">
        <v>267</v>
      </c>
      <c r="Q69" s="1" t="s">
        <v>261</v>
      </c>
      <c r="R69" s="50">
        <v>0.155</v>
      </c>
    </row>
    <row r="70" spans="15:18" x14ac:dyDescent="0.25">
      <c r="O70" s="1" t="s">
        <v>604</v>
      </c>
      <c r="P70" s="1" t="s">
        <v>212</v>
      </c>
      <c r="Q70" s="1" t="s">
        <v>60</v>
      </c>
      <c r="R70" s="50">
        <v>5.0999999999999997E-2</v>
      </c>
    </row>
    <row r="71" spans="15:18" x14ac:dyDescent="0.25">
      <c r="O71" s="1" t="s">
        <v>605</v>
      </c>
      <c r="P71" s="1" t="s">
        <v>213</v>
      </c>
      <c r="Q71" s="1" t="s">
        <v>60</v>
      </c>
      <c r="R71" s="50">
        <v>0.108</v>
      </c>
    </row>
    <row r="72" spans="15:18" x14ac:dyDescent="0.25">
      <c r="O72" s="1" t="s">
        <v>606</v>
      </c>
      <c r="P72" s="1" t="s">
        <v>214</v>
      </c>
      <c r="Q72" s="1" t="s">
        <v>60</v>
      </c>
      <c r="R72" s="50">
        <v>0.121</v>
      </c>
    </row>
    <row r="73" spans="15:18" x14ac:dyDescent="0.25">
      <c r="O73" s="1" t="s">
        <v>607</v>
      </c>
      <c r="P73" s="1" t="s">
        <v>267</v>
      </c>
      <c r="Q73" s="1" t="s">
        <v>60</v>
      </c>
      <c r="R73" s="50">
        <v>0.155</v>
      </c>
    </row>
    <row r="74" spans="15:18" x14ac:dyDescent="0.25">
      <c r="O74" s="1" t="s">
        <v>608</v>
      </c>
      <c r="P74" s="1" t="s">
        <v>212</v>
      </c>
      <c r="Q74" s="1" t="s">
        <v>20</v>
      </c>
      <c r="R74" s="50">
        <v>7.0999999999999994E-2</v>
      </c>
    </row>
    <row r="75" spans="15:18" x14ac:dyDescent="0.25">
      <c r="O75" s="1" t="s">
        <v>609</v>
      </c>
      <c r="P75" s="1" t="s">
        <v>213</v>
      </c>
      <c r="Q75" s="1" t="s">
        <v>20</v>
      </c>
      <c r="R75" s="50">
        <v>8.7999999999999995E-2</v>
      </c>
    </row>
    <row r="76" spans="15:18" x14ac:dyDescent="0.25">
      <c r="O76" s="1" t="s">
        <v>610</v>
      </c>
      <c r="P76" s="1" t="s">
        <v>214</v>
      </c>
      <c r="Q76" s="1" t="s">
        <v>20</v>
      </c>
      <c r="R76" s="50">
        <v>0.107</v>
      </c>
    </row>
    <row r="77" spans="15:18" x14ac:dyDescent="0.25">
      <c r="O77" s="1" t="s">
        <v>611</v>
      </c>
      <c r="P77" s="1" t="s">
        <v>267</v>
      </c>
      <c r="Q77" s="1" t="s">
        <v>20</v>
      </c>
      <c r="R77" s="50">
        <v>0.107</v>
      </c>
    </row>
    <row r="78" spans="15:18" x14ac:dyDescent="0.25">
      <c r="O78" s="1" t="s">
        <v>612</v>
      </c>
      <c r="P78" s="1" t="s">
        <v>212</v>
      </c>
      <c r="Q78" s="1" t="s">
        <v>262</v>
      </c>
      <c r="R78" s="50">
        <v>5.9000000000000004E-2</v>
      </c>
    </row>
    <row r="79" spans="15:18" x14ac:dyDescent="0.25">
      <c r="O79" s="1" t="s">
        <v>613</v>
      </c>
      <c r="P79" s="1" t="s">
        <v>213</v>
      </c>
      <c r="Q79" s="1" t="s">
        <v>262</v>
      </c>
      <c r="R79" s="50">
        <v>9.9000000000000005E-2</v>
      </c>
    </row>
    <row r="80" spans="15:18" x14ac:dyDescent="0.25">
      <c r="O80" s="1" t="s">
        <v>614</v>
      </c>
      <c r="P80" s="1" t="s">
        <v>214</v>
      </c>
      <c r="Q80" s="1" t="s">
        <v>262</v>
      </c>
      <c r="R80" s="50">
        <v>0.11900000000000001</v>
      </c>
    </row>
    <row r="81" spans="15:18" x14ac:dyDescent="0.25">
      <c r="O81" s="1" t="s">
        <v>615</v>
      </c>
      <c r="P81" s="1" t="s">
        <v>267</v>
      </c>
      <c r="Q81" s="1" t="s">
        <v>262</v>
      </c>
      <c r="R81" s="50">
        <v>0.15</v>
      </c>
    </row>
    <row r="82" spans="15:18" x14ac:dyDescent="0.25">
      <c r="O82" s="1" t="s">
        <v>616</v>
      </c>
      <c r="P82" s="1" t="s">
        <v>212</v>
      </c>
      <c r="Q82" s="1" t="s">
        <v>263</v>
      </c>
      <c r="R82" s="50">
        <v>5.9000000000000004E-2</v>
      </c>
    </row>
    <row r="83" spans="15:18" x14ac:dyDescent="0.25">
      <c r="O83" s="1" t="s">
        <v>617</v>
      </c>
      <c r="P83" s="1" t="s">
        <v>213</v>
      </c>
      <c r="Q83" s="1" t="s">
        <v>263</v>
      </c>
      <c r="R83" s="50">
        <v>9.9000000000000005E-2</v>
      </c>
    </row>
    <row r="84" spans="15:18" x14ac:dyDescent="0.25">
      <c r="O84" s="1" t="s">
        <v>618</v>
      </c>
      <c r="P84" s="1" t="s">
        <v>214</v>
      </c>
      <c r="Q84" s="1" t="s">
        <v>263</v>
      </c>
      <c r="R84" s="50">
        <v>0.11900000000000001</v>
      </c>
    </row>
    <row r="85" spans="15:18" x14ac:dyDescent="0.25">
      <c r="O85" s="1" t="s">
        <v>619</v>
      </c>
      <c r="P85" s="1" t="s">
        <v>267</v>
      </c>
      <c r="Q85" s="1" t="s">
        <v>263</v>
      </c>
      <c r="R85" s="50">
        <v>0.15</v>
      </c>
    </row>
    <row r="86" spans="15:18" x14ac:dyDescent="0.25">
      <c r="O86" s="1" t="s">
        <v>620</v>
      </c>
      <c r="P86" s="1" t="s">
        <v>212</v>
      </c>
      <c r="Q86" s="1" t="s">
        <v>36</v>
      </c>
      <c r="R86" s="50">
        <v>4.3999999999999997E-2</v>
      </c>
    </row>
    <row r="87" spans="15:18" x14ac:dyDescent="0.25">
      <c r="O87" s="1" t="s">
        <v>621</v>
      </c>
      <c r="P87" s="1" t="s">
        <v>213</v>
      </c>
      <c r="Q87" s="1" t="s">
        <v>36</v>
      </c>
      <c r="R87" s="50">
        <v>8.6999999999999994E-2</v>
      </c>
    </row>
    <row r="88" spans="15:18" x14ac:dyDescent="0.25">
      <c r="O88" s="1" t="s">
        <v>622</v>
      </c>
      <c r="P88" s="1" t="s">
        <v>214</v>
      </c>
      <c r="Q88" s="1" t="s">
        <v>36</v>
      </c>
      <c r="R88" s="50">
        <v>9.2999999999999999E-2</v>
      </c>
    </row>
    <row r="89" spans="15:18" x14ac:dyDescent="0.25">
      <c r="O89" s="1" t="s">
        <v>623</v>
      </c>
      <c r="P89" s="1" t="s">
        <v>267</v>
      </c>
      <c r="Q89" s="1" t="s">
        <v>36</v>
      </c>
      <c r="R89" s="50">
        <v>0.14899999999999999</v>
      </c>
    </row>
    <row r="90" spans="15:18" x14ac:dyDescent="0.25">
      <c r="O90" s="1" t="s">
        <v>624</v>
      </c>
      <c r="P90" s="1" t="s">
        <v>212</v>
      </c>
      <c r="Q90" s="1" t="s">
        <v>71</v>
      </c>
      <c r="R90" s="50">
        <v>5.9000000000000004E-2</v>
      </c>
    </row>
    <row r="91" spans="15:18" x14ac:dyDescent="0.25">
      <c r="O91" s="1" t="s">
        <v>625</v>
      </c>
      <c r="P91" s="1" t="s">
        <v>213</v>
      </c>
      <c r="Q91" s="1" t="s">
        <v>71</v>
      </c>
      <c r="R91" s="50">
        <v>9.9000000000000005E-2</v>
      </c>
    </row>
    <row r="92" spans="15:18" x14ac:dyDescent="0.25">
      <c r="O92" s="1" t="s">
        <v>626</v>
      </c>
      <c r="P92" s="1" t="s">
        <v>214</v>
      </c>
      <c r="Q92" s="1" t="s">
        <v>71</v>
      </c>
      <c r="R92" s="50">
        <v>0.11900000000000001</v>
      </c>
    </row>
    <row r="93" spans="15:18" x14ac:dyDescent="0.25">
      <c r="O93" s="1" t="s">
        <v>627</v>
      </c>
      <c r="P93" s="1" t="s">
        <v>267</v>
      </c>
      <c r="Q93" s="1" t="s">
        <v>71</v>
      </c>
      <c r="R93" s="50">
        <v>0.15</v>
      </c>
    </row>
    <row r="94" spans="15:18" x14ac:dyDescent="0.25">
      <c r="O94" s="1" t="s">
        <v>628</v>
      </c>
      <c r="P94" s="1" t="s">
        <v>212</v>
      </c>
      <c r="Q94" s="1" t="s">
        <v>11</v>
      </c>
      <c r="R94" s="50">
        <v>6.2E-2</v>
      </c>
    </row>
    <row r="95" spans="15:18" x14ac:dyDescent="0.25">
      <c r="O95" s="1" t="s">
        <v>629</v>
      </c>
      <c r="P95" s="1" t="s">
        <v>213</v>
      </c>
      <c r="Q95" s="1" t="s">
        <v>11</v>
      </c>
      <c r="R95" s="50">
        <v>9.4E-2</v>
      </c>
    </row>
    <row r="96" spans="15:18" x14ac:dyDescent="0.25">
      <c r="O96" s="1" t="s">
        <v>630</v>
      </c>
      <c r="P96" s="1" t="s">
        <v>214</v>
      </c>
      <c r="Q96" s="1" t="s">
        <v>11</v>
      </c>
      <c r="R96" s="50">
        <v>0.112</v>
      </c>
    </row>
    <row r="97" spans="15:18" x14ac:dyDescent="0.25">
      <c r="O97" s="1" t="s">
        <v>631</v>
      </c>
      <c r="P97" s="1" t="s">
        <v>267</v>
      </c>
      <c r="Q97" s="1" t="s">
        <v>11</v>
      </c>
      <c r="R97" s="50">
        <v>0.112</v>
      </c>
    </row>
    <row r="98" spans="15:18" x14ac:dyDescent="0.25">
      <c r="O98" s="1" t="s">
        <v>632</v>
      </c>
      <c r="P98" s="1" t="s">
        <v>212</v>
      </c>
      <c r="Q98" s="1" t="s">
        <v>264</v>
      </c>
      <c r="R98" s="50">
        <v>5.9000000000000004E-2</v>
      </c>
    </row>
    <row r="99" spans="15:18" x14ac:dyDescent="0.25">
      <c r="O99" s="1" t="s">
        <v>633</v>
      </c>
      <c r="P99" s="1" t="s">
        <v>213</v>
      </c>
      <c r="Q99" s="1" t="s">
        <v>264</v>
      </c>
      <c r="R99" s="50">
        <v>9.9000000000000005E-2</v>
      </c>
    </row>
    <row r="100" spans="15:18" x14ac:dyDescent="0.25">
      <c r="O100" s="1" t="s">
        <v>634</v>
      </c>
      <c r="P100" s="1" t="s">
        <v>214</v>
      </c>
      <c r="Q100" s="1" t="s">
        <v>264</v>
      </c>
      <c r="R100" s="50">
        <v>0.11900000000000001</v>
      </c>
    </row>
    <row r="101" spans="15:18" x14ac:dyDescent="0.25">
      <c r="O101" s="1" t="s">
        <v>635</v>
      </c>
      <c r="P101" s="1" t="s">
        <v>267</v>
      </c>
      <c r="Q101" s="1" t="s">
        <v>264</v>
      </c>
      <c r="R101" s="50">
        <v>0.15</v>
      </c>
    </row>
    <row r="102" spans="15:18" x14ac:dyDescent="0.25">
      <c r="O102" s="1" t="s">
        <v>636</v>
      </c>
      <c r="P102" s="1" t="s">
        <v>212</v>
      </c>
      <c r="Q102" s="1" t="s">
        <v>265</v>
      </c>
      <c r="R102" s="50">
        <v>5.9000000000000004E-2</v>
      </c>
    </row>
    <row r="103" spans="15:18" x14ac:dyDescent="0.25">
      <c r="O103" s="1" t="s">
        <v>637</v>
      </c>
      <c r="P103" s="1" t="s">
        <v>213</v>
      </c>
      <c r="Q103" s="1" t="s">
        <v>265</v>
      </c>
      <c r="R103" s="50">
        <v>9.9000000000000005E-2</v>
      </c>
    </row>
    <row r="104" spans="15:18" x14ac:dyDescent="0.25">
      <c r="O104" s="1" t="s">
        <v>638</v>
      </c>
      <c r="P104" s="1" t="s">
        <v>214</v>
      </c>
      <c r="Q104" s="1" t="s">
        <v>265</v>
      </c>
      <c r="R104" s="50">
        <v>0.11900000000000001</v>
      </c>
    </row>
    <row r="105" spans="15:18" x14ac:dyDescent="0.25">
      <c r="O105" s="1" t="s">
        <v>639</v>
      </c>
      <c r="P105" s="1" t="s">
        <v>267</v>
      </c>
      <c r="Q105" s="1" t="s">
        <v>265</v>
      </c>
      <c r="R105" s="50">
        <v>0.15</v>
      </c>
    </row>
    <row r="106" spans="15:18" x14ac:dyDescent="0.25">
      <c r="O106" s="1" t="s">
        <v>640</v>
      </c>
      <c r="P106" s="1" t="s">
        <v>212</v>
      </c>
      <c r="Q106" s="1" t="s">
        <v>9</v>
      </c>
      <c r="R106" s="50">
        <v>5.0999999999999997E-2</v>
      </c>
    </row>
    <row r="107" spans="15:18" x14ac:dyDescent="0.25">
      <c r="O107" s="1" t="s">
        <v>641</v>
      </c>
      <c r="P107" s="1" t="s">
        <v>213</v>
      </c>
      <c r="Q107" s="1" t="s">
        <v>9</v>
      </c>
      <c r="R107" s="50">
        <v>0.10100000000000001</v>
      </c>
    </row>
    <row r="108" spans="15:18" x14ac:dyDescent="0.25">
      <c r="O108" s="1" t="s">
        <v>642</v>
      </c>
      <c r="P108" s="1" t="s">
        <v>214</v>
      </c>
      <c r="Q108" s="1" t="s">
        <v>9</v>
      </c>
      <c r="R108" s="50">
        <v>0.14199999999999999</v>
      </c>
    </row>
    <row r="109" spans="15:18" x14ac:dyDescent="0.25">
      <c r="O109" s="1" t="s">
        <v>643</v>
      </c>
      <c r="P109" s="1" t="s">
        <v>267</v>
      </c>
      <c r="Q109" s="1" t="s">
        <v>9</v>
      </c>
      <c r="R109" s="50">
        <v>0.14199999999999999</v>
      </c>
    </row>
    <row r="110" spans="15:18" x14ac:dyDescent="0.25">
      <c r="O110" s="1" t="s">
        <v>644</v>
      </c>
      <c r="P110" s="1" t="s">
        <v>212</v>
      </c>
      <c r="Q110" s="1" t="s">
        <v>38</v>
      </c>
      <c r="R110" s="50">
        <v>6.5000000000000002E-2</v>
      </c>
    </row>
    <row r="111" spans="15:18" x14ac:dyDescent="0.25">
      <c r="O111" s="1" t="s">
        <v>645</v>
      </c>
      <c r="P111" s="1" t="s">
        <v>213</v>
      </c>
      <c r="Q111" s="1" t="s">
        <v>38</v>
      </c>
      <c r="R111" s="50">
        <v>0.09</v>
      </c>
    </row>
    <row r="112" spans="15:18" x14ac:dyDescent="0.25">
      <c r="O112" s="1" t="s">
        <v>646</v>
      </c>
      <c r="P112" s="1" t="s">
        <v>214</v>
      </c>
      <c r="Q112" s="1" t="s">
        <v>38</v>
      </c>
      <c r="R112" s="50">
        <v>0.09</v>
      </c>
    </row>
    <row r="113" spans="15:18" x14ac:dyDescent="0.25">
      <c r="O113" s="1" t="s">
        <v>647</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KJ87"/>
  <sheetViews>
    <sheetView topLeftCell="AN1" zoomScale="90" zoomScaleNormal="90" workbookViewId="0">
      <selection activeCell="AY14" sqref="AY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53" customWidth="1"/>
    <col min="9" max="11" width="9.140625" style="1053"/>
    <col min="12" max="12" width="12.85546875" style="1053" customWidth="1"/>
    <col min="13" max="13" width="17.42578125" style="1053" customWidth="1"/>
    <col min="14" max="14" width="11.7109375" style="1053"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89"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53" customWidth="1"/>
    <col min="61" max="61" width="11.85546875" style="1053" customWidth="1"/>
    <col min="62" max="62" width="21" style="1053" customWidth="1"/>
    <col min="63" max="63" width="11.140625" style="1053" customWidth="1"/>
    <col min="64" max="64" width="11.28515625" style="1053" customWidth="1"/>
    <col min="65" max="65" width="12.140625" style="1053" customWidth="1"/>
    <col min="66" max="66" width="10.28515625" style="1053" customWidth="1"/>
    <col min="67" max="69" width="8.5703125" style="1053" customWidth="1"/>
    <col min="70" max="70" width="10.28515625" style="1053" customWidth="1"/>
    <col min="71" max="71" width="10.85546875" style="1053" customWidth="1"/>
    <col min="72" max="72" width="10.7109375" style="1053" customWidth="1"/>
    <col min="75" max="75" width="10.5703125" style="1089" customWidth="1"/>
    <col min="76" max="76" width="28.28515625" bestFit="1" customWidth="1"/>
    <col min="77" max="77" width="17.5703125" bestFit="1" customWidth="1"/>
    <col min="79" max="79" width="12.140625" customWidth="1"/>
    <col min="80" max="80" width="11.7109375" customWidth="1"/>
    <col min="83" max="85" width="9.140625" style="1053"/>
    <col min="86" max="86" width="11.85546875" style="1053" customWidth="1"/>
    <col min="87" max="87" width="11.7109375" style="1053" customWidth="1"/>
    <col min="88" max="88" width="10.140625" style="1053" customWidth="1"/>
    <col min="89" max="89" width="9.85546875" style="1053" customWidth="1"/>
    <col min="90" max="92" width="9.140625" style="1053"/>
    <col min="93" max="93" width="10.28515625" style="1053" customWidth="1"/>
    <col min="94" max="94" width="10.140625" style="1053" customWidth="1"/>
    <col min="95" max="95" width="10" style="1053" customWidth="1"/>
    <col min="98" max="98" width="10.42578125" style="1089" customWidth="1"/>
    <col min="99" max="99" width="28.28515625" bestFit="1" customWidth="1"/>
    <col min="100" max="100" width="17.5703125" bestFit="1" customWidth="1"/>
    <col min="102" max="102" width="11.140625" customWidth="1"/>
    <col min="103" max="103" width="10.42578125" customWidth="1"/>
    <col min="106" max="109" width="9.140625" style="1053"/>
    <col min="110" max="110" width="11" style="1053" customWidth="1"/>
    <col min="111" max="111" width="9" style="1053" customWidth="1"/>
    <col min="112" max="112" width="9.42578125" style="1053" customWidth="1"/>
    <col min="113" max="115" width="9.140625" style="1053"/>
    <col min="116" max="116" width="9.28515625" style="1053" customWidth="1"/>
    <col min="117" max="117" width="10.5703125" style="1053" customWidth="1"/>
    <col min="118" max="118" width="9.42578125" style="1053" customWidth="1"/>
    <col min="121" max="121" width="10.85546875" style="1089" customWidth="1"/>
    <col min="122" max="122" width="28.28515625" bestFit="1" customWidth="1"/>
    <col min="123" max="123" width="17.5703125" bestFit="1" customWidth="1"/>
    <col min="125" max="125" width="11.7109375" customWidth="1"/>
    <col min="126" max="126" width="10.28515625" customWidth="1"/>
    <col min="129" max="131" width="9.140625" style="1053"/>
    <col min="132" max="132" width="10.140625" style="1053" customWidth="1"/>
    <col min="133" max="133" width="10.7109375" style="1053" customWidth="1"/>
    <col min="134" max="134" width="10" style="1053" customWidth="1"/>
    <col min="135" max="135" width="10.140625" style="1053" customWidth="1"/>
    <col min="136" max="138" width="9.140625" style="1053"/>
    <col min="139" max="139" width="10" style="1053" customWidth="1"/>
    <col min="140" max="141" width="9.140625" style="1053"/>
    <col min="144" max="144" width="10.5703125" style="1089" customWidth="1"/>
    <col min="145" max="145" width="28.28515625" bestFit="1" customWidth="1"/>
    <col min="146" max="146" width="17.5703125" bestFit="1" customWidth="1"/>
    <col min="148" max="148" width="10.140625" customWidth="1"/>
    <col min="149" max="149" width="10.28515625" customWidth="1"/>
    <col min="152" max="155" width="9.140625" style="1053"/>
    <col min="156" max="156" width="11.7109375" style="1053" customWidth="1"/>
    <col min="157" max="164" width="9.140625" style="1053"/>
    <col min="167" max="167" width="10.140625" style="1089" customWidth="1"/>
    <col min="168" max="168" width="28.28515625" bestFit="1" customWidth="1"/>
    <col min="169" max="169" width="17.5703125" bestFit="1" customWidth="1"/>
    <col min="171" max="171" width="10.140625" customWidth="1"/>
    <col min="175" max="177" width="9.140625" style="1053"/>
    <col min="178" max="178" width="10.7109375" style="1053" customWidth="1"/>
    <col min="179" max="179" width="11.5703125" style="1053" customWidth="1"/>
    <col min="180" max="187" width="9.140625" style="1053"/>
    <col min="190" max="190" width="11.7109375" style="1089" customWidth="1"/>
    <col min="191" max="191" width="28.28515625" bestFit="1" customWidth="1"/>
    <col min="192" max="192" width="17.5703125" bestFit="1" customWidth="1"/>
    <col min="194" max="194" width="10.140625" customWidth="1"/>
    <col min="195" max="195" width="10.85546875" customWidth="1"/>
    <col min="198" max="201" width="9.140625" style="1053"/>
    <col min="202" max="202" width="11.5703125" style="1053" customWidth="1"/>
    <col min="203" max="210" width="9.140625" style="1053"/>
    <col min="213" max="213" width="11.5703125" style="1089" customWidth="1"/>
    <col min="214" max="214" width="28.28515625" bestFit="1" customWidth="1"/>
    <col min="215" max="215" width="17.5703125" bestFit="1" customWidth="1"/>
    <col min="217" max="217" width="11.5703125" customWidth="1"/>
    <col min="218" max="218" width="10.42578125" customWidth="1"/>
    <col min="221" max="224" width="9.140625" style="1053"/>
    <col min="225" max="225" width="11.42578125" style="1053" customWidth="1"/>
    <col min="226" max="233" width="9.140625" style="1053"/>
    <col min="236" max="236" width="10.85546875" style="1089" customWidth="1"/>
    <col min="237" max="237" width="28.28515625" bestFit="1" customWidth="1"/>
    <col min="238" max="238" width="17.5703125" bestFit="1" customWidth="1"/>
    <col min="240" max="241" width="10.42578125" customWidth="1"/>
    <col min="244" max="247" width="9.140625" style="1053"/>
    <col min="248" max="248" width="11.42578125" style="1053" customWidth="1"/>
    <col min="249" max="256" width="9.140625" style="1053"/>
    <col min="258" max="258" width="15" customWidth="1"/>
    <col min="259" max="259" width="10.5703125" style="1089"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53" customWidth="1"/>
    <col min="268" max="268" width="9.42578125" style="1053" customWidth="1"/>
    <col min="269" max="270" width="7.7109375" style="1053" customWidth="1"/>
    <col min="271" max="271" width="12.5703125" style="1053" customWidth="1"/>
    <col min="272" max="272" width="10.85546875" style="1053" customWidth="1"/>
    <col min="273" max="273" width="10.42578125" style="1053" customWidth="1"/>
    <col min="274" max="276" width="7.7109375" style="1053" customWidth="1"/>
    <col min="277" max="277" width="8.5703125" style="1053" customWidth="1"/>
    <col min="278" max="278" width="9.28515625" style="1053" customWidth="1"/>
    <col min="279" max="279" width="11" style="1053"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378" t="s">
        <v>839</v>
      </c>
      <c r="U1" s="1378"/>
      <c r="V1">
        <f>COUNTIF($BA$1:$JA$1,"New Location")</f>
        <v>0</v>
      </c>
      <c r="AW1" s="707" t="e">
        <f>VLOOKUP('Existing Customers'!AB2,'Market Geography'!A:B,2,0)</f>
        <v>#N/A</v>
      </c>
      <c r="BA1" s="86" t="s">
        <v>804</v>
      </c>
      <c r="BB1" s="87">
        <f>'Customer Inputs'!$G$6</f>
        <v>0</v>
      </c>
      <c r="BC1" s="707"/>
      <c r="BX1" s="86" t="s">
        <v>805</v>
      </c>
      <c r="BY1" s="87">
        <f>'Customer Inputs'!$G$7</f>
        <v>0</v>
      </c>
      <c r="BZ1" s="707"/>
      <c r="CU1" s="86" t="s">
        <v>806</v>
      </c>
      <c r="CV1" s="87">
        <f>'Customer Inputs'!$G$8</f>
        <v>0</v>
      </c>
      <c r="CW1" s="707"/>
      <c r="DR1" s="86" t="s">
        <v>807</v>
      </c>
      <c r="DS1" s="368">
        <f>'Customer Inputs'!$G$9</f>
        <v>0</v>
      </c>
      <c r="DT1" s="707"/>
      <c r="EO1" s="86" t="s">
        <v>808</v>
      </c>
      <c r="EP1" s="87">
        <f>'Customer Inputs'!$G$10</f>
        <v>0</v>
      </c>
      <c r="EQ1" s="707"/>
      <c r="FL1" s="86" t="s">
        <v>809</v>
      </c>
      <c r="FM1" s="87">
        <f>'Customer Inputs'!$G$11</f>
        <v>0</v>
      </c>
      <c r="FN1" s="707"/>
      <c r="GI1" s="86" t="s">
        <v>810</v>
      </c>
      <c r="GJ1" s="87">
        <f>'Customer Inputs'!$G$12</f>
        <v>0</v>
      </c>
      <c r="GK1" s="707"/>
      <c r="HF1" s="86" t="s">
        <v>811</v>
      </c>
      <c r="HG1" s="87">
        <f>'Customer Inputs'!$G$13</f>
        <v>0</v>
      </c>
      <c r="HH1" s="707"/>
      <c r="IC1" s="86" t="s">
        <v>812</v>
      </c>
      <c r="ID1" s="87">
        <f>'Customer Inputs'!$G$14</f>
        <v>0</v>
      </c>
      <c r="IE1" s="707"/>
      <c r="IZ1" s="86" t="s">
        <v>813</v>
      </c>
      <c r="JA1" s="87">
        <f>'Customer Inputs'!$G$15</f>
        <v>0</v>
      </c>
      <c r="JB1" s="707"/>
    </row>
    <row r="2" spans="2:296" x14ac:dyDescent="0.25">
      <c r="T2" s="84"/>
      <c r="U2" s="84"/>
      <c r="BA2" s="84" t="s">
        <v>905</v>
      </c>
      <c r="BB2" s="87" t="str">
        <f>'Customer Inputs'!$K$6</f>
        <v/>
      </c>
      <c r="BC2" s="1087">
        <f>'Customer Inputs'!$U$6</f>
        <v>0</v>
      </c>
      <c r="BX2" s="84" t="s">
        <v>905</v>
      </c>
      <c r="BY2" s="87" t="str">
        <f>'Customer Inputs'!$K$7</f>
        <v/>
      </c>
      <c r="BZ2" s="1088">
        <f>'Customer Inputs'!$U$7</f>
        <v>0</v>
      </c>
      <c r="CU2" s="84" t="s">
        <v>905</v>
      </c>
      <c r="CV2" s="87" t="str">
        <f>'Customer Inputs'!$K$8</f>
        <v/>
      </c>
      <c r="CW2" s="1088">
        <f>'Customer Inputs'!$U$8</f>
        <v>0</v>
      </c>
      <c r="DR2" s="84" t="s">
        <v>905</v>
      </c>
      <c r="DS2" s="87" t="str">
        <f>'Customer Inputs'!$K$9</f>
        <v/>
      </c>
      <c r="DT2" s="1088">
        <f>'Customer Inputs'!$U$9</f>
        <v>0</v>
      </c>
      <c r="EO2" s="84" t="s">
        <v>905</v>
      </c>
      <c r="EP2" s="87" t="str">
        <f>'Customer Inputs'!$K$10</f>
        <v/>
      </c>
      <c r="EQ2" s="1088">
        <f>'Customer Inputs'!$U$10</f>
        <v>0</v>
      </c>
      <c r="FL2" s="84" t="s">
        <v>905</v>
      </c>
      <c r="FM2" s="87" t="str">
        <f>'Customer Inputs'!$K$11</f>
        <v/>
      </c>
      <c r="FN2" s="1088">
        <f>'Customer Inputs'!$U$11</f>
        <v>0</v>
      </c>
      <c r="GI2" s="84" t="s">
        <v>905</v>
      </c>
      <c r="GJ2" s="87" t="str">
        <f>'Customer Inputs'!$K$12</f>
        <v/>
      </c>
      <c r="GK2" s="1088">
        <f>'Customer Inputs'!$U$12</f>
        <v>0</v>
      </c>
      <c r="HF2" s="84" t="s">
        <v>905</v>
      </c>
      <c r="HG2" s="87" t="str">
        <f>'Customer Inputs'!$K$13</f>
        <v/>
      </c>
      <c r="HH2" s="1088">
        <f>'Customer Inputs'!$U$13</f>
        <v>0</v>
      </c>
      <c r="IC2" s="84" t="s">
        <v>905</v>
      </c>
      <c r="ID2" s="87" t="str">
        <f>'Customer Inputs'!$K$14</f>
        <v/>
      </c>
      <c r="IE2" s="1088">
        <f>'Customer Inputs'!$U$14</f>
        <v>0</v>
      </c>
      <c r="IZ2" s="84" t="s">
        <v>905</v>
      </c>
      <c r="JA2" s="87" t="str">
        <f>'Customer Inputs'!$K$15</f>
        <v/>
      </c>
      <c r="JB2" s="1087">
        <f>'Customer Inputs'!$U$15</f>
        <v>0</v>
      </c>
    </row>
    <row r="3" spans="2:296" x14ac:dyDescent="0.25">
      <c r="T3" s="84"/>
      <c r="U3" s="84"/>
      <c r="BA3" s="84" t="s">
        <v>906</v>
      </c>
      <c r="BB3" s="87">
        <f>'Customer Inputs'!$P$6</f>
        <v>0</v>
      </c>
      <c r="BX3" s="84" t="s">
        <v>906</v>
      </c>
      <c r="BY3" s="87">
        <f>'Customer Inputs'!$P$7</f>
        <v>0</v>
      </c>
      <c r="CU3" s="84" t="s">
        <v>906</v>
      </c>
      <c r="CV3" s="87">
        <f>'Customer Inputs'!$P$8</f>
        <v>0</v>
      </c>
      <c r="DR3" s="84" t="s">
        <v>906</v>
      </c>
      <c r="DS3" s="87">
        <f>'Customer Inputs'!$P$9</f>
        <v>0</v>
      </c>
      <c r="EO3" s="84" t="s">
        <v>906</v>
      </c>
      <c r="EP3" s="87">
        <f>'Customer Inputs'!$P$10</f>
        <v>0</v>
      </c>
      <c r="FL3" s="84" t="s">
        <v>906</v>
      </c>
      <c r="FM3" s="87">
        <f>'Customer Inputs'!$P$11</f>
        <v>0</v>
      </c>
      <c r="GI3" s="84" t="s">
        <v>906</v>
      </c>
      <c r="GJ3" s="87">
        <f>'Customer Inputs'!$P$12</f>
        <v>0</v>
      </c>
      <c r="HF3" s="84" t="s">
        <v>906</v>
      </c>
      <c r="HG3" s="87">
        <f>'Customer Inputs'!$P$13</f>
        <v>0</v>
      </c>
      <c r="IC3" s="84" t="s">
        <v>906</v>
      </c>
      <c r="ID3" s="87">
        <f>'Customer Inputs'!$P$14</f>
        <v>0</v>
      </c>
      <c r="IZ3" s="84" t="s">
        <v>906</v>
      </c>
      <c r="JA3" s="87">
        <f>'Customer Inputs'!$P$15</f>
        <v>0</v>
      </c>
    </row>
    <row r="4" spans="2:296" x14ac:dyDescent="0.25">
      <c r="T4" s="84"/>
      <c r="U4" s="84"/>
      <c r="BA4" s="84" t="s">
        <v>909</v>
      </c>
      <c r="BB4" s="369" t="e">
        <f>BB3/BB2</f>
        <v>#VALUE!</v>
      </c>
      <c r="BX4" s="84" t="s">
        <v>909</v>
      </c>
      <c r="BY4" s="369" t="e">
        <f>BY3/BY2</f>
        <v>#VALUE!</v>
      </c>
      <c r="CU4" s="84" t="s">
        <v>909</v>
      </c>
      <c r="CV4" s="369" t="e">
        <f>CV3/CV2</f>
        <v>#VALUE!</v>
      </c>
      <c r="DR4" s="84" t="s">
        <v>909</v>
      </c>
      <c r="DS4" s="369" t="e">
        <f>DS3/DS2</f>
        <v>#VALUE!</v>
      </c>
      <c r="EO4" s="84" t="s">
        <v>909</v>
      </c>
      <c r="EP4" s="369" t="e">
        <f>EP3/EP2</f>
        <v>#VALUE!</v>
      </c>
      <c r="FL4" s="84" t="s">
        <v>909</v>
      </c>
      <c r="FM4" s="369" t="e">
        <f>FM3/FM2</f>
        <v>#VALUE!</v>
      </c>
      <c r="GI4" s="84" t="s">
        <v>909</v>
      </c>
      <c r="GJ4" s="369" t="e">
        <f>GJ3/GJ2</f>
        <v>#VALUE!</v>
      </c>
      <c r="HF4" s="84" t="s">
        <v>909</v>
      </c>
      <c r="HG4" s="369" t="e">
        <f>HG3/HG2</f>
        <v>#VALUE!</v>
      </c>
      <c r="IC4" s="84" t="s">
        <v>909</v>
      </c>
      <c r="ID4" s="369" t="e">
        <f>ID3/ID2</f>
        <v>#VALUE!</v>
      </c>
      <c r="IZ4" s="84" t="s">
        <v>909</v>
      </c>
      <c r="JA4" s="369" t="e">
        <f>JA3/JA2</f>
        <v>#VALUE!</v>
      </c>
    </row>
    <row r="5" spans="2:296" x14ac:dyDescent="0.25">
      <c r="T5" s="1378" t="s">
        <v>840</v>
      </c>
      <c r="U5" s="1378"/>
      <c r="V5">
        <f>COUNT(BB1,BY1,CV1,DS1,EP1,FM1,GJ1,HG1,ID1,JA1)</f>
        <v>10</v>
      </c>
      <c r="BA5" s="84" t="s">
        <v>936</v>
      </c>
      <c r="BB5">
        <f>IFERROR(VLOOKUP(BB$1,'Existing Customers'!$A:$AD,30,FALSE),BB6)</f>
        <v>0</v>
      </c>
      <c r="BX5" s="84" t="s">
        <v>936</v>
      </c>
      <c r="BY5">
        <f>IFERROR(VLOOKUP(BY$1,'Existing Customers'!$A:$AD,30,FALSE),BY6)</f>
        <v>0</v>
      </c>
      <c r="CU5" s="84" t="s">
        <v>936</v>
      </c>
      <c r="CV5">
        <f>IFERROR(VLOOKUP(CV$1,'Existing Customers'!$A:$AD,30,FALSE),CV6)</f>
        <v>0</v>
      </c>
      <c r="DR5" s="84" t="s">
        <v>936</v>
      </c>
      <c r="DS5">
        <f>IFERROR(VLOOKUP(DS$1,'Existing Customers'!$A:$AD,30,FALSE),DS6)</f>
        <v>0</v>
      </c>
      <c r="EO5" s="84" t="s">
        <v>936</v>
      </c>
      <c r="EP5">
        <f>IFERROR(VLOOKUP(EP$1,'Existing Customers'!$A:$AD,30,FALSE),EP6)</f>
        <v>0</v>
      </c>
      <c r="FL5" s="84" t="s">
        <v>936</v>
      </c>
      <c r="FM5">
        <f>IFERROR(VLOOKUP(FM$1,'Existing Customers'!$A:$AD,30,FALSE),FM6)</f>
        <v>0</v>
      </c>
      <c r="GI5" s="84" t="s">
        <v>936</v>
      </c>
      <c r="GJ5">
        <f>IFERROR(VLOOKUP(GJ$1,'Existing Customers'!$A:$AD,30,FALSE),GJ6)</f>
        <v>0</v>
      </c>
      <c r="HF5" s="84" t="s">
        <v>936</v>
      </c>
      <c r="HG5">
        <f>IFERROR(VLOOKUP(HG$1,'Existing Customers'!$A:$AD,30,FALSE),HG6)</f>
        <v>0</v>
      </c>
      <c r="IC5" s="84" t="s">
        <v>936</v>
      </c>
      <c r="ID5">
        <f>IFERROR(VLOOKUP(ID$1,'Existing Customers'!$A:$AD,30,FALSE),ID6)</f>
        <v>0</v>
      </c>
      <c r="IZ5" s="84" t="s">
        <v>936</v>
      </c>
      <c r="JA5">
        <f>IFERROR(VLOOKUP(JA$1,'Existing Customers'!$A:$AD,30,FALSE),JA6)</f>
        <v>0</v>
      </c>
    </row>
    <row r="6" spans="2:296" x14ac:dyDescent="0.25">
      <c r="T6" s="1378"/>
      <c r="U6" s="1378"/>
      <c r="BA6" s="84" t="s">
        <v>907</v>
      </c>
      <c r="BB6" s="408">
        <f>'Customer Inputs'!$R$6</f>
        <v>0</v>
      </c>
      <c r="BX6" s="84" t="s">
        <v>907</v>
      </c>
      <c r="BY6" s="87">
        <f>'Customer Inputs'!$R$7</f>
        <v>0</v>
      </c>
      <c r="CU6" s="84" t="s">
        <v>907</v>
      </c>
      <c r="CV6" s="87">
        <f>'Customer Inputs'!$R$8</f>
        <v>0</v>
      </c>
      <c r="DR6" s="84" t="s">
        <v>907</v>
      </c>
      <c r="DS6" s="87">
        <f>'Customer Inputs'!$R$9</f>
        <v>0</v>
      </c>
      <c r="EO6" s="84" t="s">
        <v>907</v>
      </c>
      <c r="EP6" s="87">
        <f>'Customer Inputs'!$R$10</f>
        <v>0</v>
      </c>
      <c r="FL6" s="84" t="s">
        <v>907</v>
      </c>
      <c r="FM6" s="87">
        <f>'Customer Inputs'!$R$11</f>
        <v>0</v>
      </c>
      <c r="GI6" s="84" t="s">
        <v>907</v>
      </c>
      <c r="GJ6" s="87">
        <f>'Customer Inputs'!$R$12</f>
        <v>0</v>
      </c>
      <c r="HF6" s="84" t="s">
        <v>907</v>
      </c>
      <c r="HG6" s="87">
        <f>'Customer Inputs'!$R$13</f>
        <v>0</v>
      </c>
      <c r="IC6" s="84" t="s">
        <v>907</v>
      </c>
      <c r="ID6" s="87">
        <f>'Customer Inputs'!$R$14</f>
        <v>0</v>
      </c>
      <c r="IZ6" s="84" t="s">
        <v>907</v>
      </c>
      <c r="JA6" s="87">
        <f>'Customer Inputs'!$R$15</f>
        <v>0</v>
      </c>
    </row>
    <row r="7" spans="2:296" x14ac:dyDescent="0.25">
      <c r="T7" s="84"/>
      <c r="U7" s="84"/>
      <c r="BA7" s="84" t="s">
        <v>917</v>
      </c>
      <c r="BB7" s="391">
        <f>IFERROR(SUMIFS('Existing Customers'!$AC:$AC,'Existing Customers'!$A:$A,'Multi-Customer'!BB$1)/SUMIFS('Existing Customers'!$Q:$Q,'Existing Customers'!$A:$A,'Multi-Customer'!BB$1),0)</f>
        <v>0</v>
      </c>
      <c r="BX7" s="84" t="s">
        <v>917</v>
      </c>
      <c r="BY7" s="391">
        <f>IFERROR(SUMIFS('Existing Customers'!$AC:$AC,'Existing Customers'!$A:$A,'Multi-Customer'!BY$1)/SUMIFS('Existing Customers'!$Q:$Q,'Existing Customers'!$A:$A,'Multi-Customer'!BY$1),0)</f>
        <v>0</v>
      </c>
      <c r="CU7" s="84" t="s">
        <v>917</v>
      </c>
      <c r="CV7" s="391">
        <f>IFERROR(SUMIFS('Existing Customers'!$AC:$AC,'Existing Customers'!$A:$A,'Multi-Customer'!CV$1)/SUMIFS('Existing Customers'!$Q:$Q,'Existing Customers'!$A:$A,'Multi-Customer'!CV$1),0)</f>
        <v>0</v>
      </c>
      <c r="DR7" s="84" t="s">
        <v>917</v>
      </c>
      <c r="DS7" s="391">
        <f>IFERROR(SUMIFS('Existing Customers'!$AC:$AC,'Existing Customers'!$A:$A,'Multi-Customer'!DS$1)/SUMIFS('Existing Customers'!$Q:$Q,'Existing Customers'!$A:$A,'Multi-Customer'!DS$1),0)</f>
        <v>0</v>
      </c>
      <c r="EO7" s="84" t="s">
        <v>917</v>
      </c>
      <c r="EP7" s="391">
        <f>IFERROR(SUMIFS('Existing Customers'!$AC:$AC,'Existing Customers'!$A:$A,'Multi-Customer'!EP$1)/SUMIFS('Existing Customers'!$Q:$Q,'Existing Customers'!$A:$A,'Multi-Customer'!EP$1),0)</f>
        <v>0</v>
      </c>
      <c r="FL7" s="84" t="s">
        <v>917</v>
      </c>
      <c r="FM7" s="391">
        <f>IFERROR(SUMIFS('Existing Customers'!$AC:$AC,'Existing Customers'!$A:$A,'Multi-Customer'!FM$1)/SUMIFS('Existing Customers'!$Q:$Q,'Existing Customers'!$A:$A,'Multi-Customer'!FM$1),0)</f>
        <v>0</v>
      </c>
      <c r="GI7" s="84" t="s">
        <v>917</v>
      </c>
      <c r="GJ7" s="391">
        <f>IFERROR(SUMIFS('Existing Customers'!$AC:$AC,'Existing Customers'!$A:$A,'Multi-Customer'!GJ$1)/SUMIFS('Existing Customers'!$Q:$Q,'Existing Customers'!$A:$A,'Multi-Customer'!GJ$1),0)</f>
        <v>0</v>
      </c>
      <c r="HF7" s="84" t="s">
        <v>917</v>
      </c>
      <c r="HG7" s="391">
        <f>IFERROR(SUMIFS('Existing Customers'!$AC:$AC,'Existing Customers'!$A:$A,'Multi-Customer'!HG$1)/SUMIFS('Existing Customers'!$Q:$Q,'Existing Customers'!$A:$A,'Multi-Customer'!HG$1),0)</f>
        <v>0</v>
      </c>
      <c r="IC7" s="84" t="s">
        <v>917</v>
      </c>
      <c r="ID7" s="391">
        <f>IFERROR(SUMIFS('Existing Customers'!$AC:$AC,'Existing Customers'!$A:$A,'Multi-Customer'!ID$1)/SUMIFS('Existing Customers'!$Q:$Q,'Existing Customers'!$A:$A,'Multi-Customer'!ID$1),0)</f>
        <v>0</v>
      </c>
      <c r="IZ7" s="84" t="s">
        <v>917</v>
      </c>
      <c r="JA7" s="391">
        <f>IFERROR(SUMIFS('Existing Customers'!$AC:$AC,'Existing Customers'!$A:$A,'Multi-Customer'!JA$1)/SUMIFS('Existing Customers'!$Q:$Q,'Existing Customers'!$A:$A,'Multi-Customer'!JA$1),0)</f>
        <v>0</v>
      </c>
    </row>
    <row r="8" spans="2:296" x14ac:dyDescent="0.25">
      <c r="BA8" s="84" t="s">
        <v>910</v>
      </c>
      <c r="BB8" s="371">
        <f>'Customer Inputs'!$T$6</f>
        <v>0</v>
      </c>
      <c r="BX8" s="84" t="s">
        <v>910</v>
      </c>
      <c r="BY8" s="371">
        <f>'Customer Inputs'!$T$7</f>
        <v>0</v>
      </c>
      <c r="CU8" s="84" t="s">
        <v>910</v>
      </c>
      <c r="CV8" s="371">
        <f>'Customer Inputs'!$T$8</f>
        <v>0</v>
      </c>
      <c r="DR8" s="84" t="s">
        <v>910</v>
      </c>
      <c r="DS8" s="371">
        <f>'Customer Inputs'!$T$9</f>
        <v>0</v>
      </c>
      <c r="EO8" s="84" t="s">
        <v>910</v>
      </c>
      <c r="EP8" s="371">
        <f>'Customer Inputs'!$T$10</f>
        <v>0</v>
      </c>
      <c r="FL8" s="84" t="s">
        <v>910</v>
      </c>
      <c r="FM8" s="371">
        <f>'Customer Inputs'!$T$11</f>
        <v>0</v>
      </c>
      <c r="GI8" s="84" t="s">
        <v>910</v>
      </c>
      <c r="GJ8" s="371">
        <f>'Customer Inputs'!$T$12</f>
        <v>0</v>
      </c>
      <c r="HF8" s="84" t="s">
        <v>910</v>
      </c>
      <c r="HG8" s="371">
        <f>'Customer Inputs'!$T$13</f>
        <v>0</v>
      </c>
      <c r="IC8" s="84" t="s">
        <v>910</v>
      </c>
      <c r="ID8" s="371">
        <f>'Customer Inputs'!$T$14</f>
        <v>0</v>
      </c>
      <c r="IZ8" s="84" t="s">
        <v>910</v>
      </c>
      <c r="JA8" s="371">
        <f>'Customer Inputs'!$T$15</f>
        <v>0</v>
      </c>
    </row>
    <row r="9" spans="2:296" s="1053" customFormat="1" x14ac:dyDescent="0.25">
      <c r="AZ9" s="1089"/>
      <c r="BA9" s="1055" t="s">
        <v>534</v>
      </c>
      <c r="BB9" s="371">
        <f>IFERROR($BH$35/$BB$35,0)</f>
        <v>0</v>
      </c>
      <c r="BW9" s="1089"/>
      <c r="BX9" s="1055" t="s">
        <v>534</v>
      </c>
      <c r="BY9" s="371">
        <f>IFERROR($CE$35/$BY$35,0)</f>
        <v>0</v>
      </c>
      <c r="CT9" s="1089"/>
      <c r="CU9" s="1055" t="s">
        <v>534</v>
      </c>
      <c r="CV9" s="371">
        <f>IFERROR($DB$35/$CV$35,0)</f>
        <v>0</v>
      </c>
      <c r="DQ9" s="1089"/>
      <c r="DR9" s="1055" t="s">
        <v>534</v>
      </c>
      <c r="DS9" s="371">
        <f>IFERROR($DY$35/$DS$35,0)</f>
        <v>0</v>
      </c>
      <c r="EN9" s="1089"/>
      <c r="EO9" s="1055" t="s">
        <v>534</v>
      </c>
      <c r="EP9" s="371">
        <f>IFERROR($EV$35/$EP$35,0)</f>
        <v>0</v>
      </c>
      <c r="FK9" s="1089"/>
      <c r="FL9" s="1055" t="s">
        <v>534</v>
      </c>
      <c r="FM9" s="371">
        <f>IFERROR($FS$35/$FM$35,0)</f>
        <v>0</v>
      </c>
      <c r="GH9" s="1089"/>
      <c r="GI9" s="1055" t="s">
        <v>534</v>
      </c>
      <c r="GJ9" s="371">
        <f>IFERROR($GP$35/$GJ$35,0)</f>
        <v>0</v>
      </c>
      <c r="HE9" s="1089"/>
      <c r="HF9" s="1055" t="s">
        <v>534</v>
      </c>
      <c r="HG9" s="371">
        <f>IFERROR($HM$35/$HG$35,0)</f>
        <v>0</v>
      </c>
      <c r="IB9" s="1089"/>
      <c r="IC9" s="1055" t="s">
        <v>534</v>
      </c>
      <c r="ID9" s="371">
        <f>IFERROR($IJ$35/$ID$35,0)</f>
        <v>0</v>
      </c>
      <c r="IY9" s="1089"/>
      <c r="IZ9" s="1055" t="s">
        <v>534</v>
      </c>
      <c r="JA9" s="371">
        <f>IFERROR($JG$35/$JA$35,0)</f>
        <v>0</v>
      </c>
    </row>
    <row r="10" spans="2:296" s="1053" customFormat="1" x14ac:dyDescent="0.25">
      <c r="AZ10" s="1089"/>
      <c r="BA10" s="1055" t="s">
        <v>1451</v>
      </c>
      <c r="BB10" s="371">
        <f>IFERROR($BI$35/$BB$35,0)</f>
        <v>0</v>
      </c>
      <c r="BW10" s="1089"/>
      <c r="BX10" s="1055" t="s">
        <v>1451</v>
      </c>
      <c r="BY10" s="371">
        <f>IFERROR($CF$35/$BY$35,0)</f>
        <v>0</v>
      </c>
      <c r="CT10" s="1089"/>
      <c r="CU10" s="1055" t="s">
        <v>1451</v>
      </c>
      <c r="CV10" s="371">
        <f>IFERROR($DC$35/$CV$35,0)</f>
        <v>0</v>
      </c>
      <c r="DQ10" s="1089"/>
      <c r="DR10" s="1055" t="s">
        <v>1451</v>
      </c>
      <c r="DS10" s="371">
        <f>IFERROR($DZ$35/$DS$35,0)</f>
        <v>0</v>
      </c>
      <c r="EN10" s="1089"/>
      <c r="EO10" s="1055" t="s">
        <v>1451</v>
      </c>
      <c r="EP10" s="371">
        <f>IFERROR($EW$35/$EP$35,0)</f>
        <v>0</v>
      </c>
      <c r="FK10" s="1089"/>
      <c r="FL10" s="1055" t="s">
        <v>1451</v>
      </c>
      <c r="FM10" s="371">
        <f>IFERROR($FT$35/$FM$35,0)</f>
        <v>0</v>
      </c>
      <c r="GH10" s="1089"/>
      <c r="GI10" s="1055" t="s">
        <v>1451</v>
      </c>
      <c r="GJ10" s="371">
        <f>IFERROR($GQ$35/$GJ$35,0)</f>
        <v>0</v>
      </c>
      <c r="HE10" s="1089"/>
      <c r="HF10" s="1055" t="s">
        <v>1451</v>
      </c>
      <c r="HG10" s="371">
        <f>IFERROR($HN$35/$HG$35,0)</f>
        <v>0</v>
      </c>
      <c r="IB10" s="1089"/>
      <c r="IC10" s="1055" t="s">
        <v>1451</v>
      </c>
      <c r="ID10" s="371">
        <f>IFERROR($IK$35/$ID$35,0)</f>
        <v>0</v>
      </c>
      <c r="IY10" s="1089"/>
      <c r="IZ10" s="1055" t="s">
        <v>1451</v>
      </c>
      <c r="JA10" s="371">
        <f>IFERROR($JH$35/$JA$35,0)</f>
        <v>0</v>
      </c>
    </row>
    <row r="11" spans="2:296" ht="15.75" thickBot="1" x14ac:dyDescent="0.3">
      <c r="S11" s="84" t="s">
        <v>824</v>
      </c>
      <c r="U11" t="s">
        <v>950</v>
      </c>
      <c r="V11" s="24">
        <f>IFERROR(V35/U35,0)</f>
        <v>0</v>
      </c>
      <c r="AC11" t="s">
        <v>953</v>
      </c>
      <c r="AH11" t="s">
        <v>1006</v>
      </c>
      <c r="AU11" s="1379" t="s">
        <v>1007</v>
      </c>
      <c r="JU11" t="s">
        <v>1003</v>
      </c>
      <c r="KD11" t="s">
        <v>1004</v>
      </c>
    </row>
    <row r="12" spans="2:296" ht="13.9" customHeight="1" thickBot="1" x14ac:dyDescent="0.3">
      <c r="C12" t="s">
        <v>954</v>
      </c>
      <c r="S12" s="84"/>
      <c r="AB12" s="444" t="s">
        <v>912</v>
      </c>
      <c r="AC12" s="445" t="s">
        <v>913</v>
      </c>
      <c r="AD12" s="446" t="s">
        <v>914</v>
      </c>
      <c r="AE12" s="447"/>
      <c r="AF12" s="447"/>
      <c r="AI12" s="444" t="s">
        <v>1005</v>
      </c>
      <c r="AJ12" s="447"/>
      <c r="AK12" s="447"/>
      <c r="AU12" s="1379"/>
      <c r="BA12" s="84"/>
      <c r="BB12" s="1070" t="str">
        <f>IF(AND($BB$2="Enter Spend&gt;&gt;&gt;",BC2="PROSPECT"),"Spec"&amp;"Sales","Exist"&amp;"Sales")</f>
        <v>ExistSales</v>
      </c>
      <c r="BC12" s="386" t="str">
        <f>IF(AND($BB$2="Enter Spend&gt;&gt;&gt;",BC2="PROSPECT"),"Spec"&amp;"Cases","Exist"&amp;"Cases")</f>
        <v>ExistCases</v>
      </c>
      <c r="BD12" s="386" t="str">
        <f>IF(AND($BB$2="Enter Spend&gt;&gt;&gt;",BC2="PROSPECT"),"Spec"&amp;"Ebcases","Exist"&amp;"Ebcases")</f>
        <v>ExistEbcases</v>
      </c>
      <c r="BE12" s="386" t="str">
        <f>IF(AND($BB$2="Enter Spend&gt;&gt;&gt;",BC2="PROSPECT"),"Spec"&amp;"Weight","Exist"&amp;"Weight")</f>
        <v>ExistWeight</v>
      </c>
      <c r="BF12" s="386" t="str">
        <f>IF(AND($BB$2="Enter Spend&gt;&gt;&gt;",BC2="PROSPECT"),"Spec"&amp;"TAGP","Exist"&amp;"TAGP")</f>
        <v>ExistTAGP</v>
      </c>
      <c r="BG12" s="387" t="str">
        <f>IF(AND($BB$2="Enter Spend&gt;&gt;&gt;",BC2="PROSPECT"),"Spec"&amp;"TGP","Exist"&amp;"TGP")</f>
        <v>ExistTGP</v>
      </c>
      <c r="BH12" s="387" t="str">
        <f>IF(AND($BB$2="Enter Spend&gt;&gt;&gt;",BC2="PROSPECT"),"Spec"&amp;"PA $","Exist"&amp;"PA $")</f>
        <v>ExistPA $</v>
      </c>
      <c r="BI12" s="387" t="str">
        <f>IF(AND($BB$2="Enter Spend&gt;&gt;&gt;",BC2="PROSPECT"),"Spec"&amp;"SFD $","Exist"&amp;"SFD $")</f>
        <v>ExistSFD $</v>
      </c>
      <c r="BJ12" s="380"/>
      <c r="BK12" s="380"/>
      <c r="BL12" s="380"/>
      <c r="BM12" s="380"/>
      <c r="BN12" s="380"/>
      <c r="BO12" s="380"/>
      <c r="BP12" s="380"/>
      <c r="BQ12" s="380"/>
      <c r="BR12" s="380"/>
      <c r="BS12" s="380"/>
      <c r="BT12" s="380"/>
      <c r="BU12" s="380"/>
      <c r="BV12" s="380"/>
      <c r="BW12" s="380"/>
      <c r="BX12" s="380"/>
      <c r="BY12" s="386" t="str">
        <f>IF(AND($BY$2="Enter Spend&gt;&gt;&gt;",BZ2="PROSPECT"),"Spec"&amp;"Sales","Exist"&amp;"Sales")</f>
        <v>ExistSales</v>
      </c>
      <c r="BZ12" s="386" t="str">
        <f>IF(AND($BY$2="Enter Spend&gt;&gt;&gt;",BZ2="PROSPECT"),"Spec"&amp;"Cases","Exist"&amp;"Cases")</f>
        <v>ExistCases</v>
      </c>
      <c r="CA12" s="386" t="str">
        <f>IF(AND($BY$2="Enter Spend&gt;&gt;&gt;",BZ2="PROSPECT"),"Spec"&amp;"Ebcases","Exist"&amp;"Ebcases")</f>
        <v>ExistEbcases</v>
      </c>
      <c r="CB12" s="386" t="str">
        <f>IF(AND($BY$2="Enter Spend&gt;&gt;&gt;",BZ2="PROSPECT"),"Spec"&amp;"Weight","Exist"&amp;"Weight")</f>
        <v>ExistWeight</v>
      </c>
      <c r="CC12" s="386" t="str">
        <f>IF(AND($BY$2="Enter Spend&gt;&gt;&gt;",BZ2="PROSPECT"),"Spec"&amp;"TAGP","Exist"&amp;"TAGP")</f>
        <v>ExistTAGP</v>
      </c>
      <c r="CD12" s="386" t="str">
        <f>IF(AND($BY$2="Enter Spend&gt;&gt;&gt;",BZ2="PROSPECT"),"Spec"&amp;"TGP","Exist"&amp;"TGP")</f>
        <v>ExistTGP</v>
      </c>
      <c r="CE12" s="386" t="str">
        <f>IF(AND($BY$2="Enter Spend&gt;&gt;&gt;",BZ2="PROSPECT"),"Spec"&amp;"PA $","Exist"&amp;"PA $")</f>
        <v>ExistPA $</v>
      </c>
      <c r="CF12" s="386" t="str">
        <f>IF(AND($BY$2="Enter Spend&gt;&gt;&gt;",BZ2="PROSPECT"),"Spec"&amp;"SFD $","Exist"&amp;"SFD $")</f>
        <v>ExistSFD $</v>
      </c>
      <c r="CG12" s="380"/>
      <c r="CH12" s="380"/>
      <c r="CI12" s="380"/>
      <c r="CJ12" s="380"/>
      <c r="CK12" s="380"/>
      <c r="CL12" s="380"/>
      <c r="CM12" s="380"/>
      <c r="CN12" s="380"/>
      <c r="CO12" s="380"/>
      <c r="CP12" s="380"/>
      <c r="CQ12" s="380"/>
      <c r="CR12" s="380"/>
      <c r="CS12" s="380"/>
      <c r="CT12" s="380"/>
      <c r="CU12" s="380"/>
      <c r="CV12" s="385" t="str">
        <f>IF(AND($CV$2="Enter Spend&gt;&gt;&gt;",CW2="PROSPECT"),"Spec"&amp;"Sales","Exist"&amp;"Sales")</f>
        <v>ExistSales</v>
      </c>
      <c r="CW12" s="386" t="str">
        <f>IF(AND($CV$2="Enter Spend&gt;&gt;&gt;",CW2="PROSPECT"),"Spec"&amp;"Cases","Exist"&amp;"Cases")</f>
        <v>ExistCases</v>
      </c>
      <c r="CX12" s="386" t="str">
        <f>IF(AND($CV$2="Enter Spend&gt;&gt;&gt;",CW2="PROSPECT"),"Spec"&amp;"Ebcases","Exist"&amp;"Ebcases")</f>
        <v>ExistEbcases</v>
      </c>
      <c r="CY12" s="386" t="str">
        <f>IF(AND($CV$2="Enter Spend&gt;&gt;&gt;",CW2="PROSPECT"),"Spec"&amp;"Weight","Exist"&amp;"Weight")</f>
        <v>ExistWeight</v>
      </c>
      <c r="CZ12" s="386" t="str">
        <f>IF(AND($CV$2="Enter Spend&gt;&gt;&gt;",CW2="PROSPECT"),"Spec"&amp;"TAGP","Exist"&amp;"TAGP")</f>
        <v>ExistTAGP</v>
      </c>
      <c r="DA12" s="387" t="str">
        <f>IF(AND($CV$2="Enter Spend&gt;&gt;&gt;",CW2="PROSPECT"),"Spec"&amp;"TGP","Exist"&amp;"TGP")</f>
        <v>ExistTGP</v>
      </c>
      <c r="DB12" s="387" t="str">
        <f>IF(AND($CV$2="Enter Spend&gt;&gt;&gt;",CW2="PROSPECT"),"Spec"&amp;"PA $","Exist"&amp;"PA $")</f>
        <v>ExistPA $</v>
      </c>
      <c r="DC12" s="387" t="str">
        <f>IF(AND($CV$2="Enter Spend&gt;&gt;&gt;",CW2="PROSPECT"),"Spec"&amp;"SFD $","Exist"&amp;"SFD $")</f>
        <v>ExistSFD $</v>
      </c>
      <c r="DD12" s="380"/>
      <c r="DE12" s="380"/>
      <c r="DF12" s="380"/>
      <c r="DG12" s="380"/>
      <c r="DH12" s="380"/>
      <c r="DI12" s="380"/>
      <c r="DJ12" s="380"/>
      <c r="DK12" s="380"/>
      <c r="DL12" s="380"/>
      <c r="DM12" s="380"/>
      <c r="DN12" s="380"/>
      <c r="DO12" s="380"/>
      <c r="DP12" s="380"/>
      <c r="DQ12" s="380"/>
      <c r="DR12" s="380"/>
      <c r="DS12" s="385" t="str">
        <f>IF(AND($DS$2="Enter Spend&gt;&gt;&gt;",DT2="PROSPECT"),"Spec"&amp;"Sales","Exist"&amp;"Sales")</f>
        <v>ExistSales</v>
      </c>
      <c r="DT12" s="386" t="str">
        <f>IF(AND($DS$2="Enter Spend&gt;&gt;&gt;",DT2="PROSPECT"),"Spec"&amp;"Cases","Exist"&amp;"Cases")</f>
        <v>ExistCases</v>
      </c>
      <c r="DU12" s="386" t="str">
        <f>IF(AND($DS$2="Enter Spend&gt;&gt;&gt;",DT2="PROSPECT"),"Spec"&amp;"Ebcases","Exist"&amp;"Ebcases")</f>
        <v>ExistEbcases</v>
      </c>
      <c r="DV12" s="386" t="str">
        <f>IF(AND($DS$2="Enter Spend&gt;&gt;&gt;",DT2="PROSPECT"),"Spec"&amp;"Weight","Exist"&amp;"Weight")</f>
        <v>ExistWeight</v>
      </c>
      <c r="DW12" s="386" t="str">
        <f>IF(AND($DS$2="Enter Spend&gt;&gt;&gt;",DT2="PROSPECT"),"Spec"&amp;"TAGP","Exist"&amp;"TAGP")</f>
        <v>ExistTAGP</v>
      </c>
      <c r="DX12" s="387" t="str">
        <f>IF(AND($DS$2="Enter Spend&gt;&gt;&gt;",DT2="PROSPECT"),"Spec"&amp;"TGP","Exist"&amp;"TGP")</f>
        <v>ExistTGP</v>
      </c>
      <c r="DY12" s="387" t="str">
        <f>IF(AND($DS$2="Enter Spend&gt;&gt;&gt;",DT2="PROSPECT"),"Spec"&amp;"PA $","Exist"&amp;"PA $")</f>
        <v>ExistPA $</v>
      </c>
      <c r="DZ12" s="387" t="str">
        <f>IF(AND($DS$2="Enter Spend&gt;&gt;&gt;",DT2="PROSPECT"),"Spec"&amp;"SFD $","Exist"&amp;"SFD $")</f>
        <v>ExistSFD $</v>
      </c>
      <c r="EA12" s="380"/>
      <c r="EB12" s="380"/>
      <c r="EC12" s="380"/>
      <c r="ED12" s="380"/>
      <c r="EE12" s="380"/>
      <c r="EF12" s="380"/>
      <c r="EG12" s="380"/>
      <c r="EH12" s="380"/>
      <c r="EI12" s="380"/>
      <c r="EJ12" s="380"/>
      <c r="EK12" s="380"/>
      <c r="EL12" s="380"/>
      <c r="EM12" s="380"/>
      <c r="EN12" s="380"/>
      <c r="EO12" s="380"/>
      <c r="EP12" s="385" t="str">
        <f>IF(AND($EP$2="Enter Spend&gt;&gt;&gt;",EQ2="PROSPECT"),"Spec"&amp;"Sales","Exist"&amp;"Sales")</f>
        <v>ExistSales</v>
      </c>
      <c r="EQ12" s="386" t="str">
        <f>IF(AND($EP$2="Enter Spend&gt;&gt;&gt;",EQ2="PROSPECT"),"Spec"&amp;"Cases","Exist"&amp;"Cases")</f>
        <v>ExistCases</v>
      </c>
      <c r="ER12" s="386" t="str">
        <f>IF(AND($EP$2="Enter Spend&gt;&gt;&gt;",EQ2="PROSPECT"),"Spec"&amp;"Ebcases","Exist"&amp;"Ebcases")</f>
        <v>ExistEbcases</v>
      </c>
      <c r="ES12" s="386" t="str">
        <f>IF(AND($EP$2="Enter Spend&gt;&gt;&gt;",EQ2="PROSPECT"),"Spec"&amp;"Weight","Exist"&amp;"Weight")</f>
        <v>ExistWeight</v>
      </c>
      <c r="ET12" s="386" t="str">
        <f>IF(AND($EP$2="Enter Spend&gt;&gt;&gt;",EQ2="PROSPECT"),"Spec"&amp;"TAGP","Exist"&amp;"TAGP")</f>
        <v>ExistTAGP</v>
      </c>
      <c r="EU12" s="387" t="str">
        <f>IF(AND($EP$2="Enter Spend&gt;&gt;&gt;",EQ2="PROSPECT"),"Spec"&amp;"TGP","Exist"&amp;"TGP")</f>
        <v>ExistTGP</v>
      </c>
      <c r="EV12" s="387" t="str">
        <f>IF(AND($EP$2="Enter Spend&gt;&gt;&gt;",EQ2="PROSPECT"),"Spec"&amp;"PA $","Exist"&amp;"PA $")</f>
        <v>ExistPA $</v>
      </c>
      <c r="EW12" s="387" t="str">
        <f>IF(AND($EP$2="Enter Spend&gt;&gt;&gt;",EQ2="PROSPECT"),"Spec"&amp;"SFD $","Exist"&amp;"SFD $")</f>
        <v>ExistSFD $</v>
      </c>
      <c r="EX12" s="380"/>
      <c r="EY12" s="380"/>
      <c r="EZ12" s="380"/>
      <c r="FA12" s="380"/>
      <c r="FB12" s="380"/>
      <c r="FC12" s="380"/>
      <c r="FD12" s="380"/>
      <c r="FE12" s="380"/>
      <c r="FF12" s="380"/>
      <c r="FG12" s="380"/>
      <c r="FH12" s="380"/>
      <c r="FI12" s="380"/>
      <c r="FJ12" s="380"/>
      <c r="FK12" s="380"/>
      <c r="FL12" s="380"/>
      <c r="FM12" s="385" t="str">
        <f>IF(AND($FM$2="Enter Spend&gt;&gt;&gt;",FN2="PROSPECT"),"Spec"&amp;"Sales","Exist"&amp;"Sales")</f>
        <v>ExistSales</v>
      </c>
      <c r="FN12" s="386" t="str">
        <f>IF(AND($FM$2="Enter Spend&gt;&gt;&gt;",FN2="PROSPECT"),"Spec"&amp;"Cases","Exist"&amp;"Cases")</f>
        <v>ExistCases</v>
      </c>
      <c r="FO12" s="386" t="str">
        <f>IF(AND($FM$2="Enter Spend&gt;&gt;&gt;",FN2="PROSPECT"),"Spec"&amp;"Ebcases","Exist"&amp;"Ebcases")</f>
        <v>ExistEbcases</v>
      </c>
      <c r="FP12" s="386" t="str">
        <f>IF(AND($FM$2="Enter Spend&gt;&gt;&gt;",FN2="PROSPECT"),"Spec"&amp;"Weight","Exist"&amp;"Weight")</f>
        <v>ExistWeight</v>
      </c>
      <c r="FQ12" s="386" t="str">
        <f>IF(AND($FM$2="Enter Spend&gt;&gt;&gt;",FN2="PROSPECT"),"Spec"&amp;"TAGP","Exist"&amp;"TAGP")</f>
        <v>ExistTAGP</v>
      </c>
      <c r="FR12" s="387" t="str">
        <f>IF(AND($FM$2="Enter Spend&gt;&gt;&gt;",FN2="PROSPECT"),"Spec"&amp;"TGP","Exist"&amp;"TGP")</f>
        <v>ExistTGP</v>
      </c>
      <c r="FS12" s="387" t="str">
        <f>IF(AND($FM$2="Enter Spend&gt;&gt;&gt;",FN2="PROSPECT"),"Spec"&amp;"PA $","Exist"&amp;"PA $")</f>
        <v>ExistPA $</v>
      </c>
      <c r="FT12" s="387" t="str">
        <f>IF(AND($FM$2="Enter Spend&gt;&gt;&gt;",FN2="PROSPECT"),"Spec"&amp;"SFD $","Exist"&amp;"SFD $")</f>
        <v>ExistSFD $</v>
      </c>
      <c r="FU12" s="380"/>
      <c r="FV12" s="380"/>
      <c r="FW12" s="380"/>
      <c r="FX12" s="380"/>
      <c r="FY12" s="380"/>
      <c r="FZ12" s="380"/>
      <c r="GA12" s="380"/>
      <c r="GB12" s="380"/>
      <c r="GC12" s="380"/>
      <c r="GD12" s="380"/>
      <c r="GE12" s="380"/>
      <c r="GF12" s="380"/>
      <c r="GG12" s="380"/>
      <c r="GH12" s="380"/>
      <c r="GI12" s="380"/>
      <c r="GJ12" s="385" t="str">
        <f>IF(AND($GJ$2="Enter Spend&gt;&gt;&gt;",GK2="PROSPECT"),"Spec"&amp;"Sales","Exist"&amp;"Sales")</f>
        <v>ExistSales</v>
      </c>
      <c r="GK12" s="386" t="str">
        <f>IF(AND($GJ$2="Enter Spend&gt;&gt;&gt;",GK2="PROSPECT"),"Spec"&amp;"Cases","Exist"&amp;"Cases")</f>
        <v>ExistCases</v>
      </c>
      <c r="GL12" s="386" t="str">
        <f>IF(AND($GJ$2="Enter Spend&gt;&gt;&gt;",GK2="PROSPECT"),"Spec"&amp;"Ebcases","Exist"&amp;"Ebcases")</f>
        <v>ExistEbcases</v>
      </c>
      <c r="GM12" s="386" t="str">
        <f>IF(AND($GJ$2="Enter Spend&gt;&gt;&gt;",GK2="PROSPECT"),"Spec"&amp;"Weight","Exist"&amp;"Weight")</f>
        <v>ExistWeight</v>
      </c>
      <c r="GN12" s="386" t="str">
        <f>IF(AND($GJ$2="Enter Spend&gt;&gt;&gt;",GK2="PROSPECT"),"Spec"&amp;"TAGP","Exist"&amp;"TAGP")</f>
        <v>ExistTAGP</v>
      </c>
      <c r="GO12" s="387" t="str">
        <f>IF(AND($GJ$2="Enter Spend&gt;&gt;&gt;",GK2="PROSPECT"),"Spec"&amp;"TGP","Exist"&amp;"TGP")</f>
        <v>ExistTGP</v>
      </c>
      <c r="GP12" s="387" t="str">
        <f>IF(AND($GJ$2="Enter Spend&gt;&gt;&gt;",GK2="PROSPECT"),"Spec"&amp;"PA $","Exist"&amp;"PA $")</f>
        <v>ExistPA $</v>
      </c>
      <c r="GQ12" s="387" t="str">
        <f>IF(AND($GJ$2="Enter Spend&gt;&gt;&gt;",GK2="PROSPECT"),"Spec"&amp;"SFD $","Exist"&amp;"SFD $")</f>
        <v>ExistSFD $</v>
      </c>
      <c r="GR12" s="380"/>
      <c r="GS12" s="380"/>
      <c r="GT12" s="380"/>
      <c r="GU12" s="380"/>
      <c r="GV12" s="380"/>
      <c r="GW12" s="380"/>
      <c r="GX12" s="380"/>
      <c r="GY12" s="380"/>
      <c r="GZ12" s="380"/>
      <c r="HA12" s="380"/>
      <c r="HB12" s="380"/>
      <c r="HC12" s="380"/>
      <c r="HD12" s="380"/>
      <c r="HE12" s="380"/>
      <c r="HF12" s="380"/>
      <c r="HG12" s="385" t="str">
        <f>IF(AND($HG$2="Enter Spend&gt;&gt;&gt;",HH2="PROSPECT"),"Spec"&amp;"Sales","Exist"&amp;"Sales")</f>
        <v>ExistSales</v>
      </c>
      <c r="HH12" s="386" t="str">
        <f>IF(AND($HG$2="Enter Spend&gt;&gt;&gt;",HH2="PROSPECT"),"Spec"&amp;"Cases","Exist"&amp;"Cases")</f>
        <v>ExistCases</v>
      </c>
      <c r="HI12" s="386" t="str">
        <f>IF(AND($HG$2="Enter Spend&gt;&gt;&gt;",HH2="PROSPECT"),"Spec"&amp;"Ebcases","Exist"&amp;"Ebcases")</f>
        <v>ExistEbcases</v>
      </c>
      <c r="HJ12" s="386" t="str">
        <f>IF(AND($HG$2="Enter Spend&gt;&gt;&gt;",HH2="PROSPECT"),"Spec"&amp;"Weight","Exist"&amp;"Weight")</f>
        <v>ExistWeight</v>
      </c>
      <c r="HK12" s="386" t="str">
        <f>IF(AND($HG$2="Enter Spend&gt;&gt;&gt;",HH2="PROSPECT"),"Spec"&amp;"TAGP","Exist"&amp;"TAGP")</f>
        <v>ExistTAGP</v>
      </c>
      <c r="HL12" s="387" t="str">
        <f>IF(AND($HG$2="Enter Spend&gt;&gt;&gt;",HH2="PROSPECT"),"Spec"&amp;"TGP","Exist"&amp;"TGP")</f>
        <v>ExistTGP</v>
      </c>
      <c r="HM12" s="387" t="str">
        <f>IF(AND($HG$2="Enter Spend&gt;&gt;&gt;",HH2="PROSPECT"),"Spec"&amp;"PA $","Exist"&amp;"PA $")</f>
        <v>ExistPA $</v>
      </c>
      <c r="HN12" s="387" t="str">
        <f>IF(AND($HG$2="Enter Spend&gt;&gt;&gt;",HH2="PROSPECT"),"Spec"&amp;"SFD $","Exist"&amp;"SFD $")</f>
        <v>ExistSFD $</v>
      </c>
      <c r="HO12" s="380"/>
      <c r="HP12" s="380"/>
      <c r="HQ12" s="380"/>
      <c r="HR12" s="380"/>
      <c r="HS12" s="380"/>
      <c r="HT12" s="380"/>
      <c r="HU12" s="380"/>
      <c r="HV12" s="380"/>
      <c r="HW12" s="380"/>
      <c r="HX12" s="380"/>
      <c r="HY12" s="380"/>
      <c r="HZ12" s="380"/>
      <c r="IA12" s="380"/>
      <c r="IB12" s="380"/>
      <c r="IC12" s="380"/>
      <c r="ID12" s="385" t="str">
        <f>IF(AND($ID$2="Enter Spend&gt;&gt;&gt;",IE2="PROSPECT"),"Spec"&amp;"Sales","Exist"&amp;"Sales")</f>
        <v>ExistSales</v>
      </c>
      <c r="IE12" s="386" t="str">
        <f>IF(AND($ID$2="Enter Spend&gt;&gt;&gt;",IE2="PROSPECT"),"Spec"&amp;"Cases","Exist"&amp;"Cases")</f>
        <v>ExistCases</v>
      </c>
      <c r="IF12" s="386" t="str">
        <f>IF(AND($ID$2="Enter Spend&gt;&gt;&gt;",IE2="PROSPECT"),"Spec"&amp;"Ebcases","Exist"&amp;"Ebcases")</f>
        <v>ExistEbcases</v>
      </c>
      <c r="IG12" s="386" t="str">
        <f>IF(AND($ID$2="Enter Spend&gt;&gt;&gt;",IE2="PROSPECT"),"Spec"&amp;"Weight","Exist"&amp;"Weight")</f>
        <v>ExistWeight</v>
      </c>
      <c r="IH12" s="386" t="str">
        <f>IF(AND($ID$2="Enter Spend&gt;&gt;&gt;",IE2="PROSPECT"),"Spec"&amp;"TAGP","Exist"&amp;"TAGP")</f>
        <v>ExistTAGP</v>
      </c>
      <c r="II12" s="387" t="str">
        <f>IF(AND($ID$2="Enter Spend&gt;&gt;&gt;",IE2="PROSPECT"),"Spec"&amp;"TGP","Exist"&amp;"TGP")</f>
        <v>ExistTGP</v>
      </c>
      <c r="IJ12" s="387" t="str">
        <f>IF(AND($ID$2="Enter Spend&gt;&gt;&gt;",IE2="PROSPECT"),"Spec"&amp;"PA $","Exist"&amp;"PA $")</f>
        <v>ExistPA $</v>
      </c>
      <c r="IK12" s="387" t="str">
        <f>IF(AND($ID$2="Enter Spend&gt;&gt;&gt;",IE2="PROSPECT"),"Spec"&amp;"SFD $","Exist"&amp;"SFD $")</f>
        <v>ExistSFD $</v>
      </c>
      <c r="IL12" s="380"/>
      <c r="IM12" s="380"/>
      <c r="IN12" s="380"/>
      <c r="IO12" s="380"/>
      <c r="IP12" s="380"/>
      <c r="IQ12" s="380"/>
      <c r="IR12" s="380"/>
      <c r="IS12" s="380"/>
      <c r="IT12" s="380"/>
      <c r="IU12" s="380"/>
      <c r="IV12" s="380"/>
      <c r="IW12" s="380"/>
      <c r="IX12" s="380"/>
      <c r="IY12" s="380"/>
      <c r="IZ12" s="380"/>
      <c r="JA12" s="385" t="str">
        <f>IF(AND($JA$2="Enter Spend&gt;&gt;&gt;",JB2="PROSPECT"),"Spec"&amp;"Sales","Exist"&amp;"Sales")</f>
        <v>ExistSales</v>
      </c>
      <c r="JB12" s="386" t="str">
        <f>IF(AND($JA$2="Enter Spend&gt;&gt;&gt;",JB2="PROSPECT"),"Spec"&amp;"Cases","Exist"&amp;"Cases")</f>
        <v>ExistCases</v>
      </c>
      <c r="JC12" s="386" t="str">
        <f>IF(AND($JA$2="Enter Spend&gt;&gt;&gt;",JB2="PROSPECT"),"Spec"&amp;"Ebcases","Exist"&amp;"Ebcases")</f>
        <v>ExistEbcases</v>
      </c>
      <c r="JD12" s="386" t="str">
        <f>IF(AND($JA$2="Enter Spend&gt;&gt;&gt;",JB2="PROSPECT"),"Spec"&amp;"Weight","Exist"&amp;"Weight")</f>
        <v>ExistWeight</v>
      </c>
      <c r="JE12" s="386" t="str">
        <f>IF(AND($JA$2="Enter Spend&gt;&gt;&gt;",JB2="PROSPECT"),"Spec"&amp;"TAGP","Exist"&amp;"TAGP")</f>
        <v>ExistTAGP</v>
      </c>
      <c r="JF12" s="387" t="str">
        <f>IF(AND($JA$2="Enter Spend&gt;&gt;&gt;",JB2="PROSPECT"),"Spec"&amp;"TGP","Exist"&amp;"TGP")</f>
        <v>ExistTGP</v>
      </c>
      <c r="JG12" s="387" t="str">
        <f>IF(AND($JA$2="Enter Spend&gt;&gt;&gt;",JB2="PROSPECT"),"Spec"&amp;"PA $","Exist"&amp;"PA $")</f>
        <v>ExistPA $</v>
      </c>
      <c r="JH12" s="387" t="str">
        <f>IF(AND($JA$2="Enter Spend&gt;&gt;&gt;",JB2="PROSPECT"),"Spec"&amp;"SFD $","Exist"&amp;"SFD $")</f>
        <v>ExistSFD $</v>
      </c>
      <c r="JI12" s="380"/>
      <c r="JJ12" s="380"/>
      <c r="JK12" s="380"/>
      <c r="JL12" s="380"/>
      <c r="JM12" s="380"/>
      <c r="JN12" s="380"/>
      <c r="JO12" s="380"/>
      <c r="JP12" s="380"/>
      <c r="JQ12" s="380"/>
      <c r="JR12" s="380"/>
      <c r="JS12" s="380"/>
      <c r="JU12" s="380"/>
      <c r="JV12" s="385" t="str">
        <f>IF(JV2="Enter Spend&gt;&gt;&gt;","Spec"&amp;"Sales","Exist"&amp;"Sales")</f>
        <v>ExistSales</v>
      </c>
      <c r="JW12" s="386" t="str">
        <f>IF(JV2="Enter Spend&gt;&gt;&gt;","Spec"&amp;"Cases","Exist"&amp;"Cases")</f>
        <v>ExistCases</v>
      </c>
      <c r="JX12" s="386" t="str">
        <f>IF(JV2="Enter Spend&gt;&gt;&gt;","Spec"&amp;"Ebcases","Exist"&amp;"Ebcases")</f>
        <v>ExistEbcases</v>
      </c>
      <c r="JY12" s="386" t="str">
        <f>IF(JV2="Enter Spend&gt;&gt;&gt;","Spec"&amp;"Weight","Exist"&amp;"Weight")</f>
        <v>ExistWeight</v>
      </c>
      <c r="JZ12" s="386" t="str">
        <f>IF(JV2="Enter Spend&gt;&gt;&gt;","Spec"&amp;"TAGP","Exist"&amp;"TAGP")</f>
        <v>ExistTAGP</v>
      </c>
      <c r="KA12" s="387" t="str">
        <f>IF(JV2="Enter Spend&gt;&gt;&gt;","Spec"&amp;"TGP","Exist"&amp;"TGP")</f>
        <v>ExistTGP</v>
      </c>
      <c r="KB12" s="380"/>
      <c r="KC12" s="380"/>
      <c r="KD12" s="380"/>
      <c r="KE12" s="385" t="str">
        <f>IF(KE2="Enter Spend&gt;&gt;&gt;","Spec"&amp;"Sales","Exist"&amp;"Sales")</f>
        <v>ExistSales</v>
      </c>
      <c r="KF12" s="386" t="str">
        <f>IF(KE2="Enter Spend&gt;&gt;&gt;","Spec"&amp;"Cases","Exist"&amp;"Cases")</f>
        <v>ExistCases</v>
      </c>
      <c r="KG12" s="386" t="str">
        <f>IF(KE2="Enter Spend&gt;&gt;&gt;","Spec"&amp;"Ebcases","Exist"&amp;"Ebcases")</f>
        <v>ExistEbcases</v>
      </c>
      <c r="KH12" s="386" t="str">
        <f>IF(KE2="Enter Spend&gt;&gt;&gt;","Spec"&amp;"Weight","Exist"&amp;"Weight")</f>
        <v>ExistWeight</v>
      </c>
      <c r="KI12" s="386" t="str">
        <f>IF(KE2="Enter Spend&gt;&gt;&gt;","Spec"&amp;"TAGP","Exist"&amp;"TAGP")</f>
        <v>ExistTAGP</v>
      </c>
      <c r="KJ12" s="387" t="str">
        <f>IF(KE2="Enter Spend&gt;&gt;&gt;","Spec"&amp;"TGP","Exist"&amp;"TGP")</f>
        <v>ExistTGP</v>
      </c>
    </row>
    <row r="13" spans="2:296" ht="34.5" thickBot="1" x14ac:dyDescent="0.3">
      <c r="B13" s="89" t="s">
        <v>108</v>
      </c>
      <c r="C13" s="448" t="s">
        <v>82</v>
      </c>
      <c r="D13" s="449" t="s">
        <v>83</v>
      </c>
      <c r="E13" s="449" t="s">
        <v>399</v>
      </c>
      <c r="F13" s="449" t="s">
        <v>502</v>
      </c>
      <c r="G13" s="450" t="s">
        <v>400</v>
      </c>
      <c r="H13" s="450" t="s">
        <v>200</v>
      </c>
      <c r="I13" s="448" t="s">
        <v>216</v>
      </c>
      <c r="J13" s="448" t="s">
        <v>1439</v>
      </c>
      <c r="K13" s="448" t="s">
        <v>202</v>
      </c>
      <c r="L13" s="448" t="s">
        <v>1440</v>
      </c>
      <c r="M13" s="448" t="s">
        <v>1441</v>
      </c>
      <c r="N13" s="1060" t="s">
        <v>1442</v>
      </c>
      <c r="S13" s="89" t="s">
        <v>108</v>
      </c>
      <c r="T13" s="111" t="s">
        <v>82</v>
      </c>
      <c r="U13" s="91" t="s">
        <v>83</v>
      </c>
      <c r="V13" s="91" t="s">
        <v>399</v>
      </c>
      <c r="W13" s="91" t="s">
        <v>502</v>
      </c>
      <c r="X13" s="92" t="s">
        <v>400</v>
      </c>
      <c r="Y13" s="108" t="s">
        <v>524</v>
      </c>
      <c r="Z13" s="370"/>
      <c r="AA13" s="370"/>
      <c r="AB13" s="448" t="s">
        <v>398</v>
      </c>
      <c r="AC13" s="449" t="s">
        <v>400</v>
      </c>
      <c r="AD13" s="449" t="s">
        <v>200</v>
      </c>
      <c r="AE13" s="449" t="s">
        <v>524</v>
      </c>
      <c r="AF13" s="450" t="s">
        <v>911</v>
      </c>
      <c r="AG13" s="370"/>
      <c r="AH13" s="370"/>
      <c r="AI13" s="448" t="s">
        <v>398</v>
      </c>
      <c r="AJ13" s="449" t="s">
        <v>400</v>
      </c>
      <c r="AK13" s="450" t="s">
        <v>911</v>
      </c>
      <c r="AL13" s="370"/>
      <c r="AM13" s="370"/>
      <c r="AN13" s="370"/>
      <c r="AO13" s="370"/>
      <c r="AP13" s="482" t="s">
        <v>994</v>
      </c>
      <c r="AQ13" s="482"/>
      <c r="AR13" s="482" t="s">
        <v>1045</v>
      </c>
      <c r="AS13" s="370"/>
      <c r="AT13" s="370"/>
      <c r="AU13" s="1379"/>
      <c r="AV13" s="370"/>
      <c r="AW13" s="370"/>
      <c r="AX13" s="370"/>
      <c r="AY13" s="63" t="s">
        <v>908</v>
      </c>
      <c r="AZ13" s="1105" t="s">
        <v>1570</v>
      </c>
      <c r="BA13" s="89" t="s">
        <v>108</v>
      </c>
      <c r="BB13" s="90" t="s">
        <v>82</v>
      </c>
      <c r="BC13" s="91" t="s">
        <v>83</v>
      </c>
      <c r="BD13" s="91" t="s">
        <v>399</v>
      </c>
      <c r="BE13" s="91" t="s">
        <v>502</v>
      </c>
      <c r="BF13" s="377" t="s">
        <v>400</v>
      </c>
      <c r="BG13" s="92" t="s">
        <v>200</v>
      </c>
      <c r="BH13" s="92" t="s">
        <v>938</v>
      </c>
      <c r="BI13" s="1066" t="s">
        <v>1443</v>
      </c>
      <c r="BJ13" s="92" t="s">
        <v>1444</v>
      </c>
      <c r="BK13" s="92" t="s">
        <v>1445</v>
      </c>
      <c r="BL13" s="92" t="s">
        <v>1446</v>
      </c>
      <c r="BM13" s="92" t="s">
        <v>1447</v>
      </c>
      <c r="BN13" s="1071" t="s">
        <v>1448</v>
      </c>
      <c r="BO13" s="1071" t="s">
        <v>216</v>
      </c>
      <c r="BP13" s="92" t="s">
        <v>1439</v>
      </c>
      <c r="BQ13" s="92" t="s">
        <v>202</v>
      </c>
      <c r="BR13" s="1071" t="s">
        <v>1449</v>
      </c>
      <c r="BS13" s="1071" t="s">
        <v>1450</v>
      </c>
      <c r="BT13" s="1071" t="s">
        <v>1442</v>
      </c>
      <c r="BU13" s="370"/>
      <c r="BV13" s="63" t="s">
        <v>908</v>
      </c>
      <c r="BW13" s="1105" t="s">
        <v>1570</v>
      </c>
      <c r="BX13" s="89" t="s">
        <v>108</v>
      </c>
      <c r="BY13" s="90" t="s">
        <v>82</v>
      </c>
      <c r="BZ13" s="91" t="s">
        <v>83</v>
      </c>
      <c r="CA13" s="91" t="s">
        <v>399</v>
      </c>
      <c r="CB13" s="91" t="s">
        <v>502</v>
      </c>
      <c r="CC13" s="92" t="s">
        <v>400</v>
      </c>
      <c r="CD13" s="92" t="s">
        <v>200</v>
      </c>
      <c r="CE13" s="92" t="s">
        <v>938</v>
      </c>
      <c r="CF13" s="1066" t="s">
        <v>1443</v>
      </c>
      <c r="CG13" s="92" t="s">
        <v>1444</v>
      </c>
      <c r="CH13" s="92" t="s">
        <v>1445</v>
      </c>
      <c r="CI13" s="92" t="s">
        <v>1446</v>
      </c>
      <c r="CJ13" s="1071" t="s">
        <v>1447</v>
      </c>
      <c r="CK13" s="1071" t="s">
        <v>1448</v>
      </c>
      <c r="CL13" s="92" t="s">
        <v>216</v>
      </c>
      <c r="CM13" s="92" t="s">
        <v>1439</v>
      </c>
      <c r="CN13" s="92" t="s">
        <v>202</v>
      </c>
      <c r="CO13" s="1071" t="s">
        <v>1449</v>
      </c>
      <c r="CP13" s="1071" t="s">
        <v>1450</v>
      </c>
      <c r="CQ13" s="1071" t="s">
        <v>1442</v>
      </c>
      <c r="CR13" s="370"/>
      <c r="CS13" s="63" t="s">
        <v>908</v>
      </c>
      <c r="CT13" s="1105" t="s">
        <v>1570</v>
      </c>
      <c r="CU13" s="89" t="s">
        <v>108</v>
      </c>
      <c r="CV13" s="90" t="s">
        <v>82</v>
      </c>
      <c r="CW13" s="91" t="s">
        <v>83</v>
      </c>
      <c r="CX13" s="91" t="s">
        <v>399</v>
      </c>
      <c r="CY13" s="91" t="s">
        <v>502</v>
      </c>
      <c r="CZ13" s="92" t="s">
        <v>400</v>
      </c>
      <c r="DA13" s="92" t="s">
        <v>200</v>
      </c>
      <c r="DB13" s="92" t="s">
        <v>938</v>
      </c>
      <c r="DC13" s="92" t="s">
        <v>1443</v>
      </c>
      <c r="DD13" s="92" t="s">
        <v>1444</v>
      </c>
      <c r="DE13" s="92" t="s">
        <v>1445</v>
      </c>
      <c r="DF13" s="92" t="s">
        <v>1446</v>
      </c>
      <c r="DG13" s="1071" t="s">
        <v>1447</v>
      </c>
      <c r="DH13" s="1071" t="s">
        <v>1448</v>
      </c>
      <c r="DI13" s="92" t="s">
        <v>216</v>
      </c>
      <c r="DJ13" s="92" t="s">
        <v>1439</v>
      </c>
      <c r="DK13" s="92" t="s">
        <v>202</v>
      </c>
      <c r="DL13" s="1071" t="s">
        <v>1449</v>
      </c>
      <c r="DM13" s="1071" t="s">
        <v>1450</v>
      </c>
      <c r="DN13" s="1071" t="s">
        <v>1442</v>
      </c>
      <c r="DO13" s="370"/>
      <c r="DP13" s="63" t="s">
        <v>908</v>
      </c>
      <c r="DQ13" s="1105" t="s">
        <v>1570</v>
      </c>
      <c r="DR13" s="89" t="s">
        <v>108</v>
      </c>
      <c r="DS13" s="90" t="s">
        <v>82</v>
      </c>
      <c r="DT13" s="91" t="s">
        <v>83</v>
      </c>
      <c r="DU13" s="91" t="s">
        <v>399</v>
      </c>
      <c r="DV13" s="91" t="s">
        <v>502</v>
      </c>
      <c r="DW13" s="92" t="s">
        <v>400</v>
      </c>
      <c r="DX13" s="92" t="s">
        <v>200</v>
      </c>
      <c r="DY13" s="92" t="s">
        <v>938</v>
      </c>
      <c r="DZ13" s="92" t="s">
        <v>1443</v>
      </c>
      <c r="EA13" s="92" t="s">
        <v>1444</v>
      </c>
      <c r="EB13" s="92" t="s">
        <v>1445</v>
      </c>
      <c r="EC13" s="92" t="s">
        <v>1446</v>
      </c>
      <c r="ED13" s="1071" t="s">
        <v>1447</v>
      </c>
      <c r="EE13" s="1071" t="s">
        <v>1448</v>
      </c>
      <c r="EF13" s="92" t="s">
        <v>216</v>
      </c>
      <c r="EG13" s="92" t="s">
        <v>1439</v>
      </c>
      <c r="EH13" s="92" t="s">
        <v>202</v>
      </c>
      <c r="EI13" s="1071" t="s">
        <v>1449</v>
      </c>
      <c r="EJ13" s="1071" t="s">
        <v>1450</v>
      </c>
      <c r="EK13" s="1071" t="s">
        <v>1442</v>
      </c>
      <c r="EL13" s="370"/>
      <c r="EM13" s="63" t="s">
        <v>908</v>
      </c>
      <c r="EN13" s="1105" t="s">
        <v>1570</v>
      </c>
      <c r="EO13" s="89" t="s">
        <v>108</v>
      </c>
      <c r="EP13" s="90" t="s">
        <v>82</v>
      </c>
      <c r="EQ13" s="91" t="s">
        <v>83</v>
      </c>
      <c r="ER13" s="91" t="s">
        <v>399</v>
      </c>
      <c r="ES13" s="91" t="s">
        <v>502</v>
      </c>
      <c r="ET13" s="92" t="s">
        <v>400</v>
      </c>
      <c r="EU13" s="92" t="s">
        <v>200</v>
      </c>
      <c r="EV13" s="92" t="s">
        <v>938</v>
      </c>
      <c r="EW13" s="92" t="s">
        <v>1443</v>
      </c>
      <c r="EX13" s="92" t="s">
        <v>1444</v>
      </c>
      <c r="EY13" s="92" t="s">
        <v>1445</v>
      </c>
      <c r="EZ13" s="92" t="s">
        <v>1446</v>
      </c>
      <c r="FA13" s="1071" t="s">
        <v>1447</v>
      </c>
      <c r="FB13" s="1071" t="s">
        <v>1448</v>
      </c>
      <c r="FC13" s="92" t="s">
        <v>216</v>
      </c>
      <c r="FD13" s="92" t="s">
        <v>1439</v>
      </c>
      <c r="FE13" s="92" t="s">
        <v>202</v>
      </c>
      <c r="FF13" s="1071" t="s">
        <v>1449</v>
      </c>
      <c r="FG13" s="1071" t="s">
        <v>1450</v>
      </c>
      <c r="FH13" s="1071" t="s">
        <v>1442</v>
      </c>
      <c r="FI13" s="370"/>
      <c r="FJ13" s="63" t="s">
        <v>908</v>
      </c>
      <c r="FK13" s="1105" t="s">
        <v>1570</v>
      </c>
      <c r="FL13" s="89" t="s">
        <v>108</v>
      </c>
      <c r="FM13" s="90" t="s">
        <v>82</v>
      </c>
      <c r="FN13" s="91" t="s">
        <v>83</v>
      </c>
      <c r="FO13" s="91" t="s">
        <v>399</v>
      </c>
      <c r="FP13" s="91" t="s">
        <v>502</v>
      </c>
      <c r="FQ13" s="92" t="s">
        <v>400</v>
      </c>
      <c r="FR13" s="92" t="s">
        <v>200</v>
      </c>
      <c r="FS13" s="92" t="s">
        <v>938</v>
      </c>
      <c r="FT13" s="92" t="s">
        <v>1443</v>
      </c>
      <c r="FU13" s="92" t="s">
        <v>1444</v>
      </c>
      <c r="FV13" s="92" t="s">
        <v>1445</v>
      </c>
      <c r="FW13" s="92" t="s">
        <v>1446</v>
      </c>
      <c r="FX13" s="1071" t="s">
        <v>1447</v>
      </c>
      <c r="FY13" s="1071" t="s">
        <v>1448</v>
      </c>
      <c r="FZ13" s="92" t="s">
        <v>216</v>
      </c>
      <c r="GA13" s="92" t="s">
        <v>1439</v>
      </c>
      <c r="GB13" s="92" t="s">
        <v>202</v>
      </c>
      <c r="GC13" s="1071" t="s">
        <v>1449</v>
      </c>
      <c r="GD13" s="1071" t="s">
        <v>1450</v>
      </c>
      <c r="GE13" s="1071" t="s">
        <v>1442</v>
      </c>
      <c r="GF13" s="370"/>
      <c r="GG13" s="63" t="s">
        <v>908</v>
      </c>
      <c r="GH13" s="1105" t="s">
        <v>1570</v>
      </c>
      <c r="GI13" s="89" t="s">
        <v>108</v>
      </c>
      <c r="GJ13" s="90" t="s">
        <v>82</v>
      </c>
      <c r="GK13" s="91" t="s">
        <v>83</v>
      </c>
      <c r="GL13" s="91" t="s">
        <v>399</v>
      </c>
      <c r="GM13" s="91" t="s">
        <v>502</v>
      </c>
      <c r="GN13" s="92" t="s">
        <v>400</v>
      </c>
      <c r="GO13" s="92" t="s">
        <v>200</v>
      </c>
      <c r="GP13" s="92" t="s">
        <v>938</v>
      </c>
      <c r="GQ13" s="92" t="s">
        <v>1443</v>
      </c>
      <c r="GR13" s="92" t="s">
        <v>1444</v>
      </c>
      <c r="GS13" s="92" t="s">
        <v>1445</v>
      </c>
      <c r="GT13" s="92" t="s">
        <v>1446</v>
      </c>
      <c r="GU13" s="1071" t="s">
        <v>1447</v>
      </c>
      <c r="GV13" s="1071" t="s">
        <v>1448</v>
      </c>
      <c r="GW13" s="92" t="s">
        <v>216</v>
      </c>
      <c r="GX13" s="92" t="s">
        <v>1439</v>
      </c>
      <c r="GY13" s="92" t="s">
        <v>202</v>
      </c>
      <c r="GZ13" s="1071" t="s">
        <v>1449</v>
      </c>
      <c r="HA13" s="1071" t="s">
        <v>1450</v>
      </c>
      <c r="HB13" s="1071" t="s">
        <v>1442</v>
      </c>
      <c r="HC13" s="370"/>
      <c r="HD13" s="63" t="s">
        <v>908</v>
      </c>
      <c r="HE13" s="1105" t="s">
        <v>1570</v>
      </c>
      <c r="HF13" s="89" t="s">
        <v>108</v>
      </c>
      <c r="HG13" s="90" t="s">
        <v>82</v>
      </c>
      <c r="HH13" s="91" t="s">
        <v>83</v>
      </c>
      <c r="HI13" s="91" t="s">
        <v>399</v>
      </c>
      <c r="HJ13" s="91" t="s">
        <v>502</v>
      </c>
      <c r="HK13" s="92" t="s">
        <v>400</v>
      </c>
      <c r="HL13" s="92" t="s">
        <v>200</v>
      </c>
      <c r="HM13" s="92" t="s">
        <v>938</v>
      </c>
      <c r="HN13" s="92" t="s">
        <v>1443</v>
      </c>
      <c r="HO13" s="92" t="s">
        <v>1444</v>
      </c>
      <c r="HP13" s="92" t="s">
        <v>1445</v>
      </c>
      <c r="HQ13" s="92" t="s">
        <v>1446</v>
      </c>
      <c r="HR13" s="1071" t="s">
        <v>1447</v>
      </c>
      <c r="HS13" s="1071" t="s">
        <v>1448</v>
      </c>
      <c r="HT13" s="92" t="s">
        <v>216</v>
      </c>
      <c r="HU13" s="92" t="s">
        <v>1439</v>
      </c>
      <c r="HV13" s="92" t="s">
        <v>202</v>
      </c>
      <c r="HW13" s="1071" t="s">
        <v>1449</v>
      </c>
      <c r="HX13" s="1071" t="s">
        <v>1450</v>
      </c>
      <c r="HY13" s="1071" t="s">
        <v>1442</v>
      </c>
      <c r="HZ13" s="370"/>
      <c r="IA13" s="63" t="s">
        <v>908</v>
      </c>
      <c r="IB13" s="1105" t="s">
        <v>1570</v>
      </c>
      <c r="IC13" s="89" t="s">
        <v>108</v>
      </c>
      <c r="ID13" s="90" t="s">
        <v>82</v>
      </c>
      <c r="IE13" s="91" t="s">
        <v>83</v>
      </c>
      <c r="IF13" s="91" t="s">
        <v>399</v>
      </c>
      <c r="IG13" s="91" t="s">
        <v>502</v>
      </c>
      <c r="IH13" s="377" t="s">
        <v>400</v>
      </c>
      <c r="II13" s="92" t="s">
        <v>200</v>
      </c>
      <c r="IJ13" s="92" t="s">
        <v>938</v>
      </c>
      <c r="IK13" s="92" t="s">
        <v>1443</v>
      </c>
      <c r="IL13" s="92" t="s">
        <v>1444</v>
      </c>
      <c r="IM13" s="92" t="s">
        <v>1445</v>
      </c>
      <c r="IN13" s="92" t="s">
        <v>1446</v>
      </c>
      <c r="IO13" s="1071" t="s">
        <v>1447</v>
      </c>
      <c r="IP13" s="1071" t="s">
        <v>1448</v>
      </c>
      <c r="IQ13" s="92" t="s">
        <v>216</v>
      </c>
      <c r="IR13" s="92" t="s">
        <v>1439</v>
      </c>
      <c r="IS13" s="92" t="s">
        <v>202</v>
      </c>
      <c r="IT13" s="1071" t="s">
        <v>1449</v>
      </c>
      <c r="IU13" s="1071" t="s">
        <v>1450</v>
      </c>
      <c r="IV13" s="1071" t="s">
        <v>1442</v>
      </c>
      <c r="IW13" s="370"/>
      <c r="IX13" s="63" t="s">
        <v>908</v>
      </c>
      <c r="IY13" s="1105" t="s">
        <v>1570</v>
      </c>
      <c r="IZ13" s="89" t="s">
        <v>108</v>
      </c>
      <c r="JA13" s="381" t="s">
        <v>82</v>
      </c>
      <c r="JB13" s="382" t="s">
        <v>83</v>
      </c>
      <c r="JC13" s="382" t="s">
        <v>399</v>
      </c>
      <c r="JD13" s="382" t="s">
        <v>502</v>
      </c>
      <c r="JE13" s="383" t="s">
        <v>400</v>
      </c>
      <c r="JF13" s="384" t="s">
        <v>200</v>
      </c>
      <c r="JG13" s="92" t="s">
        <v>938</v>
      </c>
      <c r="JH13" s="92" t="s">
        <v>1443</v>
      </c>
      <c r="JI13" s="92" t="s">
        <v>1444</v>
      </c>
      <c r="JJ13" s="92" t="s">
        <v>1445</v>
      </c>
      <c r="JK13" s="92" t="s">
        <v>1446</v>
      </c>
      <c r="JL13" s="1071" t="s">
        <v>1447</v>
      </c>
      <c r="JM13" s="1071" t="s">
        <v>1448</v>
      </c>
      <c r="JN13" s="92" t="s">
        <v>216</v>
      </c>
      <c r="JO13" s="92" t="s">
        <v>1439</v>
      </c>
      <c r="JP13" s="92" t="s">
        <v>202</v>
      </c>
      <c r="JQ13" s="1071" t="s">
        <v>1449</v>
      </c>
      <c r="JR13" s="1071" t="s">
        <v>1450</v>
      </c>
      <c r="JS13" s="1071" t="s">
        <v>1442</v>
      </c>
      <c r="JU13" s="89" t="s">
        <v>108</v>
      </c>
      <c r="JV13" s="90" t="s">
        <v>82</v>
      </c>
      <c r="JW13" s="91" t="s">
        <v>83</v>
      </c>
      <c r="JX13" s="91" t="s">
        <v>399</v>
      </c>
      <c r="JY13" s="91" t="s">
        <v>502</v>
      </c>
      <c r="JZ13" s="377" t="s">
        <v>400</v>
      </c>
      <c r="KA13" s="92" t="s">
        <v>200</v>
      </c>
      <c r="KB13" s="370"/>
      <c r="KC13" s="63" t="s">
        <v>908</v>
      </c>
      <c r="KD13" s="89" t="s">
        <v>108</v>
      </c>
      <c r="KE13" s="381" t="s">
        <v>82</v>
      </c>
      <c r="KF13" s="382" t="s">
        <v>83</v>
      </c>
      <c r="KG13" s="382" t="s">
        <v>399</v>
      </c>
      <c r="KH13" s="382" t="s">
        <v>502</v>
      </c>
      <c r="KI13" s="383" t="s">
        <v>400</v>
      </c>
      <c r="KJ13" s="384" t="s">
        <v>200</v>
      </c>
    </row>
    <row r="14" spans="2:296" ht="15.75" thickBot="1" x14ac:dyDescent="0.3">
      <c r="B14" s="101" t="s">
        <v>99</v>
      </c>
      <c r="C14" s="451">
        <f>(BB14+BY14+CV14+DS14+EP14+FM14+GJ14+HG14+ID14+JA14)</f>
        <v>0</v>
      </c>
      <c r="D14" s="467">
        <f>($BC14+$BZ14+$CW14+$DT14+$EQ14+$FN14+$GK14+$HH14+$IE14+$JB14)</f>
        <v>0</v>
      </c>
      <c r="E14" s="467">
        <f>($BD14+$CA14+$CX14+$DU14+$ER14+$FO14+$GL14+$HI14+$IF14+$JC14)</f>
        <v>0</v>
      </c>
      <c r="F14" s="467">
        <f>($BE14+$CB14+$CY14+$DV14+$ES14+$FP14+$GM14+$HJ14+$IG14+$JD14)</f>
        <v>0</v>
      </c>
      <c r="G14" s="468">
        <f>($BF14+$CC14+$CZ14+$DW14+$ET14+$FQ14+$GN14+$HK14+$IH14+$JE14)</f>
        <v>0</v>
      </c>
      <c r="H14" s="467">
        <f>($BG14+$CD14+$DA14+$DX14+$EU14+$FR14+$GO14+$HL14+$II14+$JF14)</f>
        <v>0</v>
      </c>
      <c r="I14" s="1061" t="e">
        <f t="shared" ref="I14:I35" si="0">ROUND(SUM($BB14*BO14+$BY14*CL14+$CV14*DI14+$DS14*EF14+$EP14*FC14+$FM14*FZ14+$GJ14*GW14+$HG14*HT14+$ID14*IQ14+$JA14*JN14)/$C14,2)</f>
        <v>#DIV/0!</v>
      </c>
      <c r="J14" s="1061" t="e">
        <f t="shared" ref="J14:J35" si="1">ROUND(SUM($BB14*BP14+$BY14*CM14+$CV14*DJ14+$DS14*EG14+$EP14*FD14+$FM14*GA14+$GJ14*GX14+$HG14*HU14+$ID14*IR14+$JA14*JO14)/$C14,2)</f>
        <v>#DIV/0!</v>
      </c>
      <c r="K14" s="1061" t="e">
        <f t="shared" ref="K14:K35" si="2">ROUND(SUM($BB14*BQ14+$BY14*CN14+$CV14*DK14+$DS14*EH14+$EP14*FE14+$FM14*GB14+$GJ14*GY14+$HG14*HV14+$ID14*IS14+$JA14*JP14)/$C14,2)</f>
        <v>#DIV/0!</v>
      </c>
      <c r="L14" s="467" t="e">
        <f t="shared" ref="L14:L34" si="3">SUM(AY14*BB14,BV14*BY14,CS14*CV14,DP14*DS14,EM14*EP14,FJ14*FM14,GG14*GJ14,HD14*HG14,IA14*ID14,IX14*JA14)/C14</f>
        <v>#DIV/0!</v>
      </c>
      <c r="M14" s="467" t="e">
        <f>L14/$L$35</f>
        <v>#DIV/0!</v>
      </c>
      <c r="N14" s="1062" t="e">
        <f t="shared" ref="N14:N35" si="4">ROUND(SUM($BB14*BT14+$BY14*CQ14+$CV14*DN14+$DS14*EK14+$EP14*FH14+$FM14*GE14+$GJ14*HB14+$HG14*HY14+$ID14*IV14+$JA14*JS14)/$C14,2)</f>
        <v>#DIV/0!</v>
      </c>
      <c r="P14" t="str">
        <f>'PIM Model'!E10</f>
        <v>INCLUDE</v>
      </c>
      <c r="Q14">
        <f>IFERROR(T14/$T$35,0)</f>
        <v>0</v>
      </c>
      <c r="R14">
        <f>IF(P14="Include",Q14,0)</f>
        <v>0</v>
      </c>
      <c r="S14" s="101" t="s">
        <v>99</v>
      </c>
      <c r="T14" s="109">
        <f>($BB14+$BY14+$CV14+$DS14+$EP14+$FM14+$GJ14+$HG14+$ID14+$JA14)*(1+($V$1/$V$5))</f>
        <v>0</v>
      </c>
      <c r="U14" s="110">
        <f t="shared" ref="U14:U34" si="5">(BC14+BZ14+CW14+DT14+EQ14+FN14+GK14+HH14+IE14+JB14)*(1+($V$1/$V$5))</f>
        <v>0</v>
      </c>
      <c r="V14" s="110">
        <f t="shared" ref="V14:V34" si="6">(BD14+CA14+CX14+DU14+ER14+FO14+GL14+HI14+IF14+JC14)*(1+($V$1/$V$5))</f>
        <v>0</v>
      </c>
      <c r="W14" s="110">
        <f t="shared" ref="W14:W34" si="7">(BE14+CB14+CY14+DV14+ES14+FP14+GM14+HJ14+IG14+JD14)*(1+($V$1/$V$5))</f>
        <v>0</v>
      </c>
      <c r="X14" s="112">
        <f t="shared" ref="X14:X34" si="8">(BF14+CC14+CZ14+DW14+ET14+FQ14+GN14+HK14+IH14+JE14)*(1+($V$1/$V$5))</f>
        <v>0</v>
      </c>
      <c r="Y14" s="115">
        <f>IFERROR(X14/T14,0)</f>
        <v>0</v>
      </c>
      <c r="Z14" s="376"/>
      <c r="AA14" s="101" t="s">
        <v>99</v>
      </c>
      <c r="AB14" s="451">
        <f t="shared" ref="AB14:AD34" si="9">SUMIFS($BB14:$JF14,$BB$12:$JF$12,AB$12)</f>
        <v>0</v>
      </c>
      <c r="AC14" s="452">
        <f t="shared" si="9"/>
        <v>0</v>
      </c>
      <c r="AD14" s="452">
        <f t="shared" si="9"/>
        <v>0</v>
      </c>
      <c r="AE14" s="453">
        <f>IFERROR(AC14/AB14,0)</f>
        <v>0</v>
      </c>
      <c r="AF14" s="454">
        <f>IFERROR(AD14/AB14,0)</f>
        <v>0</v>
      </c>
      <c r="AG14" s="376"/>
      <c r="AH14" s="101" t="s">
        <v>99</v>
      </c>
      <c r="AI14" s="451">
        <f t="shared" ref="AI14:AI34" si="10">SUMIFS($BB14:$JF14,$BB$12:$JF$12,AI$12)</f>
        <v>0</v>
      </c>
      <c r="AJ14" s="452">
        <f>AN14*AI14</f>
        <v>0</v>
      </c>
      <c r="AK14" s="454"/>
      <c r="AL14" s="376"/>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76">
        <f>VLOOKUP($AH14&amp;$AM14,'IMargin Quartiles'!$A:$F,6,FALSE)</f>
        <v>0.14000000000000001</v>
      </c>
      <c r="AO14" s="376"/>
      <c r="AP14"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Q14" s="376" t="e">
        <f>$N14</f>
        <v>#DIV/0!</v>
      </c>
      <c r="AR14">
        <f>'PIM Model'!C10</f>
        <v>0</v>
      </c>
      <c r="AS14" s="376"/>
      <c r="AT14" s="376"/>
      <c r="AU14" s="376" t="e">
        <f>IF($AR14="AVG",IFERROR((AC14+AJ14)/(AB14+AI14),AQ14),(AC14+AJ14)/(AB14+AI14))</f>
        <v>#DIV/0!</v>
      </c>
      <c r="AV14" s="376"/>
      <c r="AW14" s="376"/>
      <c r="AX14" s="107">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72" t="e">
        <f>AY14/$AY$35</f>
        <v>#DIV/0!</v>
      </c>
      <c r="BA14" s="101" t="s">
        <v>99</v>
      </c>
      <c r="BB14" s="93">
        <f>IFERROR(IF(AND($BB$2&lt;&gt;"Enter Spend&gt;&gt;&gt;",BC2="EXISTING"),SUMIFS('Existing Customers'!$Q:$Q,'Existing Customers'!$A:$A,$BB$1,'Existing Customers'!$H:$H,$BA14)*$BB$4,$BB$3*$AZ14),0)</f>
        <v>0</v>
      </c>
      <c r="BC14" s="94">
        <f>IFERROR(IF(AND($BB$2&lt;&gt;"Enter Spend&gt;&gt;&gt;",BC2="EXISTING"),SUMIFS('Existing Customers'!$N:$N,'Existing Customers'!$A:$A,$BB$1,'Existing Customers'!$H:$H,$BA14)*$BB$4,$BB14/$BM14),0)</f>
        <v>0</v>
      </c>
      <c r="BD14" s="94">
        <f>IFERROR(IF(AND($BB$2&lt;&gt;"Enter Spend&gt;&gt;&gt;",BC2="EXISTING"),SUMIFS('Existing Customers'!$O:$O,'Existing Customers'!$H:$H,$BA14,'Existing Customers'!$A:$A,$BB$1)*$BB$4,$BC14*$BB$8),0)</f>
        <v>0</v>
      </c>
      <c r="BE14" s="94">
        <f>IFERROR(IF(AND($BB$2&lt;&gt;"Enter Spend&gt;&gt;&gt;",BC2="EXISTING"),SUMIFS('Existing Customers'!$P:$P,'Existing Customers'!$A:$A,$BB$1,'Existing Customers'!$H:$H,$BA14)*$BB$4,$BB14/$BN14),0)</f>
        <v>0</v>
      </c>
      <c r="BF14" s="378">
        <f>IFERROR(IF(AND($BB$2&lt;&gt;"Enter Spend&gt;&gt;&gt;",BC2="EXISTING"),SUMIFS('Existing Customers'!$V:$V,'Existing Customers'!$H:$H,$BA14,'Existing Customers'!$A:$A,$BB$1)*$BB$4,0),0)</f>
        <v>0</v>
      </c>
      <c r="BG14" s="95">
        <f>IFERROR(IF(AND($BB$2&lt;&gt;"Enter Spend&gt;&gt;&gt;",BC2="EXISTING"),SUMIFS('Existing Customers'!$R:$R,'Existing Customers'!$H:$H,$BA14,'Existing Customers'!$A:$A,$BB$1)*$BB$4,0),0)</f>
        <v>0</v>
      </c>
      <c r="BH14" s="95">
        <f>IFERROR(IF(AND($BB$2&lt;&gt;"Enter Spend&gt;&gt;&gt;",BC2="EXISTING"),SUMIFS('Existing Customers'!$S:$S,'Existing Customers'!$H:$H,$BA14,'Existing Customers'!$A:$A,$BB$1),BR14*BB14),0)</f>
        <v>0</v>
      </c>
      <c r="BI14" s="95">
        <f>IFERROR(IF(AND($BB$2&lt;&gt;"Enter Spend&gt;&gt;&gt;",BC2="EXISTING"),SUMIFS('Existing Customers'!$U:$U,'Existing Customers'!$H:$H,$BA14,'Existing Customers'!$A:$A,$BB$1),BS14*BB14),0)</f>
        <v>0</v>
      </c>
      <c r="BJ14" s="1067" t="e">
        <f>_xlfn.CONCAT('Customer Inputs'!$AG$6,"_",BA14)</f>
        <v>#N/A</v>
      </c>
      <c r="BK14" s="1068">
        <f t="array" ref="BK14">IFERROR(INDEX('Margin Guidence Table'!$A$1:$AD$30000,MATCH(1,('Margin Guidence Table'!$A$1:$A$10000=$BJ14)*('Margin Guidence Table'!$I$1:$I$10000&lt;=ROUND($BB$3,0))*('Margin Guidence Table'!$J$1:$J$10000&gt;=ROUND($BB$3,0)),0),MATCH("DATA_POINTS",'Margin Guidence Table'!$A$1:$AG$1,0)),0)</f>
        <v>0</v>
      </c>
      <c r="BL14" s="1065" t="str">
        <f>IF(BK14&gt;15,"SEGMENT","DEFAULT")</f>
        <v>DEFAULT</v>
      </c>
      <c r="BM14" s="1065">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65">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69">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69">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69">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69">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69">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69">
        <f t="array" ref="BT14">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8"/>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72" t="e">
        <f>BV14/$BV$35</f>
        <v>#DIV/0!</v>
      </c>
      <c r="BX14" s="101" t="s">
        <v>99</v>
      </c>
      <c r="BY14" s="93">
        <f>IFERROR(IF(AND($BY$2&lt;&gt;"Enter Spend&gt;&gt;&gt;",BZ2="EXISTING"),SUMIFS('Existing Customers'!$Q:$Q,'Existing Customers'!$A:$A,$BY$1,'Existing Customers'!$H:$H,$BX14)*$BY$4,$BY$3*$BW14),0)</f>
        <v>0</v>
      </c>
      <c r="BZ14" s="88">
        <f>IFERROR(IF(AND($BY$2&lt;&gt;"Enter Spend&gt;&gt;&gt;",BZ2="EXISTING"),SUMIFS('Existing Customers'!$N:$N,'Existing Customers'!$A:$A,$BY$1,'Existing Customers'!$H:$H,$BX14)*$BY$4,$BY14/$CJ14),0)</f>
        <v>0</v>
      </c>
      <c r="CA14" s="94">
        <f>IFERROR(IF(AND($BY$2&lt;&gt;"Enter Spend&gt;&gt;&gt;",BZ2="EXISTING"),SUMIFS('Existing Customers'!$O:$O,'Existing Customers'!$H:$H,$BX14,'Existing Customers'!$A:$A,$BY$1)*$BY$4,$BZ14*$BY$8),0)</f>
        <v>0</v>
      </c>
      <c r="CB14" s="94">
        <f>IFERROR(IF(AND($BY$2&lt;&gt;"Enter Spend&gt;&gt;&gt;",BZ2="EXISTING"),SUMIFS('Existing Customers'!$P:$P,'Existing Customers'!$A:$A,$BY$1,'Existing Customers'!$H:$H,$BX14)*$BY$4,$BY14/$CK14),0)</f>
        <v>0</v>
      </c>
      <c r="CC14" s="95">
        <f>IFERROR(IF(AND($BY$2&lt;&gt;"Enter Spend&gt;&gt;&gt;",BZ2="EXISTING"),SUMIFS('Existing Customers'!$V:$V,'Existing Customers'!$H:$H,$BX14,'Existing Customers'!$A:$A,$BY$1)*$BY$4,0),0)</f>
        <v>0</v>
      </c>
      <c r="CD14" s="95">
        <f>IFERROR(IF(AND($BY$2&lt;&gt;"Enter Spend&gt;&gt;&gt;",BZ2="EXISTING"),SUMIFS('Existing Customers'!$R:$R,'Existing Customers'!$H:$H,$BX14,'Existing Customers'!$A:$A,$BY$1)*$BY$4,0),0)</f>
        <v>0</v>
      </c>
      <c r="CE14" s="1065">
        <f>IFERROR(IF(AND($BY$2&lt;&gt;"Enter Spend&gt;&gt;&gt;",BZ2="EXISTING"),SUMIFS('Existing Customers'!$S:$S,'Existing Customers'!$H:$H,$BX14,'Existing Customers'!$A:$A,$BY$1),CO14*BY14),0)</f>
        <v>0</v>
      </c>
      <c r="CF14" s="1065">
        <f>IFERROR(IF(AND($BY$2&lt;&gt;"Enter Spend&gt;&gt;&gt;",BZ2="EXISTING"),SUMIFS('Existing Customers'!$U:$U,'Existing Customers'!$H:$H,$BX14,'Existing Customers'!$A:$A,$BY$1),CP14*BY14),0)</f>
        <v>0</v>
      </c>
      <c r="CG14" s="1068" t="e">
        <f>_xlfn.CONCAT('Customer Inputs'!$AG$7,"_",BX14)</f>
        <v>#N/A</v>
      </c>
      <c r="CH14" s="1068">
        <f t="array" ref="CH14">IFERROR(INDEX('Margin Guidence Table'!$A$1:$AD$30000,MATCH(1,('Margin Guidence Table'!$A$1:$A$10000=$CG14)*('Margin Guidence Table'!$I$1:$I$10000&lt;=ROUND($BY$3,0))*('Margin Guidence Table'!$J$1:$J$10000&gt;=ROUND($BY$3,0)),0),MATCH("DATA_POINTS",'Margin Guidence Table'!$A$1:$AG$1,0)),0)</f>
        <v>0</v>
      </c>
      <c r="CI14" s="1065" t="str">
        <f>IF(CH14&gt;15,"SEGMENT","DEFAULT")</f>
        <v>DEFAULT</v>
      </c>
      <c r="CJ14" s="1065">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65">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69">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69">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69">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69">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69">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69">
        <f t="array" ref="CQ14">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8"/>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72" t="e">
        <f>CS14/$CS$35</f>
        <v>#DIV/0!</v>
      </c>
      <c r="CU14" s="101" t="s">
        <v>99</v>
      </c>
      <c r="CV14" s="93">
        <f>IFERROR(IF(AND($CV$2&lt;&gt;"Enter Spend&gt;&gt;&gt;",CW2="EXISTING"),SUMIFS('Existing Customers'!$Q:$Q,'Existing Customers'!$A:$A,$CV$1,'Existing Customers'!$H:$H,$CU14)*$CV$4,$CV$3*$CT14),0)</f>
        <v>0</v>
      </c>
      <c r="CW14" s="88">
        <f>IFERROR(IF(AND($CV$2&lt;&gt;"Enter Spend&gt;&gt;&gt;",CW2="EXISTING"),SUMIFS('Existing Customers'!$N:$N,'Existing Customers'!$A:$A,$CV$1,'Existing Customers'!$H:$H,$CU14)*$CV$4,$CV14/$DG14),0)</f>
        <v>0</v>
      </c>
      <c r="CX14" s="94">
        <f>IFERROR(IF(AND($CV$2&lt;&gt;"Enter Spend&gt;&gt;&gt;",BC28="EXISTING"),SUMIFS('Existing Customers'!$O:$O,'Existing Customers'!$H:$H,$CU14,'Existing Customers'!$A:$A,$CV$1)*$CV$4,$CW14*$CV$8),0)</f>
        <v>0</v>
      </c>
      <c r="CY14" s="94">
        <f>IFERROR(IF(AND($CV$2&lt;&gt;"Enter Spend&gt;&gt;&gt;",CW2="EXISTING"),SUMIFS('Existing Customers'!$P:$P,'Existing Customers'!$A:$A,$CV$1,'Existing Customers'!$H:$H,$CU14)*$CV$4,$CV14/$DH14),0)</f>
        <v>0</v>
      </c>
      <c r="CZ14" s="95">
        <f>IFERROR(IF(AND($CV$2&lt;&gt;"Enter Spend&gt;&gt;&gt;",CW2="EXISTING"),SUMIFS('Existing Customers'!$V:$V,'Existing Customers'!$H:$H,$CU14,'Existing Customers'!$A:$A,$CV$1)*$CV$4,0),0)</f>
        <v>0</v>
      </c>
      <c r="DA14" s="95">
        <f>IFERROR(IF(AND($CV$2&lt;&gt;"Enter Spend&gt;&gt;&gt;",CW2="EXISTING"),SUMIFS('Existing Customers'!$R:$R,'Existing Customers'!$H:$H,$CU14,'Existing Customers'!$A:$A,$CV$1)*$CV$4,0),0)</f>
        <v>0</v>
      </c>
      <c r="DB14" s="1065">
        <f>IFERROR(IF(AND($CV$2&lt;&gt;"Enter Spend&gt;&gt;&gt;",CW2="EXISTING"),SUMIFS('Existing Customers'!$S:$S,'Existing Customers'!$H:$H,$CU14,'Existing Customers'!$A:$A,$CV$1),DL14*CV14),0)</f>
        <v>0</v>
      </c>
      <c r="DC14" s="1065">
        <f>IFERROR(IF(AND($CV$2&lt;&gt;"Enter Spend&gt;&gt;&gt;",CW2="EXISTING"),SUMIFS('Existing Customers'!$U:$U,'Existing Customers'!$H:$H,$CU14,'Existing Customers'!$A:$A,$CV$1),DM14*CV14),0)</f>
        <v>0</v>
      </c>
      <c r="DD14" s="1068" t="e">
        <f>_xlfn.CONCAT('Customer Inputs'!$AG$8,"_",CU14)</f>
        <v>#N/A</v>
      </c>
      <c r="DE14" s="1068">
        <f t="array" ref="DE14">IFERROR(INDEX('Margin Guidence Table'!$A$1:$AD$30000,MATCH(1,('Margin Guidence Table'!$A$1:$A$10000=DD14)*('Margin Guidence Table'!$I$1:$I$10000&lt;=ROUND($CV$3,0))*('Margin Guidence Table'!$J$1:$J$10000&gt;=ROUND($CV$3,0)),0),MATCH("DATA_POINTS",'Margin Guidence Table'!$A$1:$AG$1,0)),0)</f>
        <v>0</v>
      </c>
      <c r="DF14" s="1065" t="str">
        <f>IF(DE14&gt;15,"SEGMENT","DEFAULT")</f>
        <v>DEFAULT</v>
      </c>
      <c r="DG14" s="1065">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65">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69">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69">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69">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69">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69">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69">
        <f t="array" ref="DN14">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8"/>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72" t="e">
        <f>DP14/$DP$35</f>
        <v>#DIV/0!</v>
      </c>
      <c r="DR14" s="101" t="s">
        <v>99</v>
      </c>
      <c r="DS14" s="93">
        <f>IFERROR(IF(AND($DS$2&lt;&gt;"Enter Spend&gt;&gt;&gt;",DT2="EXISTING"),SUMIFS('Existing Customers'!$Q:$Q,'Existing Customers'!$A:$A,$DS$1,'Existing Customers'!$H:$H,$DR14)*$DS$4,$DS$3*$DQ14),0)</f>
        <v>0</v>
      </c>
      <c r="DT14" s="88">
        <f>IFERROR(IF(AND($DS$2&lt;&gt;"Enter Spend&gt;&gt;&gt;",DT2="EXISTING"),SUMIFS('Existing Customers'!$N:$N,'Existing Customers'!$A:$A,$DS$1,'Existing Customers'!$H:$H,$DR14)*$DS$4,$DS14/$ED14),0)</f>
        <v>0</v>
      </c>
      <c r="DU14" s="94">
        <f>IFERROR(IF(AND($DS$2&lt;&gt;"Enter Spend&gt;&gt;&gt;",DT2="EXISTING"),SUMIFS('Existing Customers'!$O:$O,'Existing Customers'!$H:$H,$DR14,'Existing Customers'!$A:$A,$DS$1)*$DS$4,$DT14*$DS$8),0)</f>
        <v>0</v>
      </c>
      <c r="DV14" s="94">
        <f>IFERROR(IF(AND($DS$2&lt;&gt;"Enter Spend&gt;&gt;&gt;",DT2="EXISTING"),SUMIFS('Existing Customers'!$P:$P,'Existing Customers'!$A:$A,$DS$1,'Existing Customers'!$H:$H,$DR14)*$DS$4,$DS14/$EE14),0)</f>
        <v>0</v>
      </c>
      <c r="DW14" s="95">
        <f>IFERROR(IF(AND($DS$2&lt;&gt;"Enter Spend&gt;&gt;&gt;",EQ2="EXISTING"),SUMIFS('Existing Customers'!$V:$V,'Existing Customers'!$H:$H,$DR14,'Existing Customers'!$A:$A,$DS$1)*$DS$4,0),0)</f>
        <v>0</v>
      </c>
      <c r="DX14" s="95">
        <f>IFERROR(IF(AND($DS$2&lt;&gt;"Enter Spend&gt;&gt;&gt;",DT2="EXISTING"),SUMIFS('Existing Customers'!$R:$R,'Existing Customers'!$H:$H,$DR14,'Existing Customers'!$A:$A,$DS$1)*$DS$4,0),0)</f>
        <v>0</v>
      </c>
      <c r="DY14" s="1065">
        <f>IFERROR(IF(AND($DS$2&lt;&gt;"Enter Spend&gt;&gt;&gt;",DT2="EXISTING"),SUMIFS('Existing Customers'!$S:$S,'Existing Customers'!$H:$H,$DT14,'Existing Customers'!$A:$A,$DS$1),EI14*DS14),0)</f>
        <v>0</v>
      </c>
      <c r="DZ14" s="1065">
        <f>IFERROR(IF(AND($DS$2&lt;&gt;"Enter Spend&gt;&gt;&gt;",DT2="EXISTING"),SUMIFS('Existing Customers'!$U:$U,'Existing Customers'!$H:$H,$DR14,'Existing Customers'!$A:$A,$DS$1),EJ14*DS14),0)</f>
        <v>0</v>
      </c>
      <c r="EA14" s="1068" t="e">
        <f>_xlfn.CONCAT('Customer Inputs'!$AG$9,"_",DR14)</f>
        <v>#N/A</v>
      </c>
      <c r="EB14" s="1068">
        <f t="array" ref="EB14">IFERROR(INDEX('Margin Guidence Table'!$A$1:$AD$30000,MATCH(1,('Margin Guidence Table'!$A$1:$A$10000=EA14)*('Margin Guidence Table'!$I$1:$I$10000&lt;=ROUND($DS$3,0))*('Margin Guidence Table'!$J$1:$J$10000&gt;=ROUND($DS$3,0)),0),MATCH("DATA_POINTS",'Margin Guidence Table'!$A$1:$AG$1,0)),0)</f>
        <v>0</v>
      </c>
      <c r="EC14" s="1065" t="str">
        <f>IF(EB14&gt;15,"SEGMENT","DEFAULT")</f>
        <v>DEFAULT</v>
      </c>
      <c r="ED14" s="1065">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65">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69">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69">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69">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69">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69">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69">
        <f t="array" ref="EK14">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8"/>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72" t="e">
        <f>EM14/$EM$35</f>
        <v>#DIV/0!</v>
      </c>
      <c r="EO14" s="101" t="s">
        <v>99</v>
      </c>
      <c r="EP14" s="93">
        <f>IFERROR(IF(AND($EP$2&lt;&gt;"Enter Spend&gt;&gt;&gt;",EQ2="EXISTING"),SUMIFS('Existing Customers'!$Q:$Q,'Existing Customers'!$A:$A,$EP$1,'Existing Customers'!$H:$H,$EO14)*$EP$4,$EP$3*$EN14),0)</f>
        <v>0</v>
      </c>
      <c r="EQ14" s="88">
        <f>IFERROR(IF(AND($EP$2&lt;&gt;"Enter Spend&gt;&gt;&gt;",EQ2="EXISTING"),SUMIFS('Existing Customers'!$N:$N,'Existing Customers'!$A:$A,$EP$1,'Existing Customers'!$H:$H,$EO14)*$EP$4,$EP14/$FA14),0)</f>
        <v>0</v>
      </c>
      <c r="ER14" s="94">
        <f>IFERROR(IF(AND($EP$2&lt;&gt;"Enter Spend&gt;&gt;&gt;",EQ2="EXISTING"),SUMIFS('Existing Customers'!$O:$O,'Existing Customers'!$H:$H,$EO14,'Existing Customers'!$A:$A,$EP$1)*$EP$4,$EQ14*$EP$8),0)</f>
        <v>0</v>
      </c>
      <c r="ES14" s="94">
        <f>IFERROR(IF(AND($EP$2&lt;&gt;"Enter Spend&gt;&gt;&gt;",EQ2="EXISTING"),SUMIFS('Existing Customers'!$P:$P,'Existing Customers'!$A:$A,$EP$1,'Existing Customers'!$H:$H,$EO14)*$EP$4,$EP14/$FB14),0)</f>
        <v>0</v>
      </c>
      <c r="ET14" s="95">
        <f>IFERROR(IF(AND($EP$2&lt;&gt;"Enter Spend&gt;&gt;&gt;",EQ2="EXISTING"),SUMIFS('Existing Customers'!$V:$V,'Existing Customers'!$H:$H,$EO14,'Existing Customers'!$A:$A,$EP$1)*$EP$4,0),0)</f>
        <v>0</v>
      </c>
      <c r="EU14" s="95">
        <f>IFERROR(IF(AND($EP$2&lt;&gt;"Enter Spend&gt;&gt;&gt;",EQ2="EXISTING"),SUMIFS('Existing Customers'!$R:$R,'Existing Customers'!$H:$H,$EO14,'Existing Customers'!$A:$A,$EP$1)*$EP$4,0),0)</f>
        <v>0</v>
      </c>
      <c r="EV14" s="1065">
        <f>IFERROR(IF(AND($EP$2&lt;&gt;"Enter Spend&gt;&gt;&gt;",EQ2="EXISTING"),SUMIFS('Existing Customers'!$S:$S,'Existing Customers'!$H:$H,$EO14,'Existing Customers'!$A:$A,$EP$1),FF14*EP14),0)</f>
        <v>0</v>
      </c>
      <c r="EW14" s="1065">
        <f>IFERROR(IF(AND($EP$2&lt;&gt;"Enter Spend&gt;&gt;&gt;",EQ2="EXISTING"),SUMIFS('Existing Customers'!$U:$U,'Existing Customers'!$H:$H,$EO14,'Existing Customers'!$A:$A,$EP$1),FG14*EP14),0)</f>
        <v>0</v>
      </c>
      <c r="EX14" s="1068" t="e">
        <f>_xlfn.CONCAT('Customer Inputs'!$AG$10,"_",EO14)</f>
        <v>#N/A</v>
      </c>
      <c r="EY14" s="1068">
        <f t="array" ref="EY14">IFERROR(INDEX('Margin Guidence Table'!$A$1:$AD$30000,MATCH(1,('Margin Guidence Table'!$A$1:$A$10000=EX14)*('Margin Guidence Table'!$I$1:$I$10000&lt;=ROUND($EP$3,0))*('Margin Guidence Table'!$J$1:$J$10000&gt;=ROUND($EP$3,0)),0),MATCH("DATA_POINTS",'Margin Guidence Table'!$A$1:$AG$1,0)),0)</f>
        <v>0</v>
      </c>
      <c r="EZ14" s="1065" t="str">
        <f>IF(EY14&gt;15,"SEGMENT","DEFAULT")</f>
        <v>DEFAULT</v>
      </c>
      <c r="FA14" s="1065">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65"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69">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69">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69">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69">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69">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69">
        <f t="array" ref="FH14">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8"/>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72" t="e">
        <f>FJ14/$FJ$35</f>
        <v>#DIV/0!</v>
      </c>
      <c r="FL14" s="101" t="s">
        <v>99</v>
      </c>
      <c r="FM14" s="93">
        <f>IFERROR(IF(AND($FM$2&lt;&gt;"Enter Spend&gt;&gt;&gt;",FN2="EXISTING"),SUMIFS('Existing Customers'!$Q:$Q,'Existing Customers'!$A:$A,$FM$1,'Existing Customers'!$H:$H,$FL14)*$FM$4,$FM$3*$FK14),0)</f>
        <v>0</v>
      </c>
      <c r="FN14" s="88">
        <f>IFERROR(IF(AND($FM$2&lt;&gt;"Enter Spend&gt;&gt;&gt;",FN2="EXISTING"),SUMIFS('Existing Customers'!$N:$N,'Existing Customers'!$A:$A,$FM$1,'Existing Customers'!$H:$H,$FL14)*$FM$4,$FM14/$FX14),0)</f>
        <v>0</v>
      </c>
      <c r="FO14" s="94">
        <f>IFERROR(IF(AND($FM$2&lt;&gt;"Enter Spend&gt;&gt;&gt;",FN2="EXISTING"),SUMIFS('Existing Customers'!$O:$O,'Existing Customers'!$H:$H,$FL14,'Existing Customers'!$A:$A,$FM$1)*$FM$4,$FN14*$FM$8),0)</f>
        <v>0</v>
      </c>
      <c r="FP14" s="94">
        <f>IFERROR(IF(AND($FM$2&lt;&gt;"Enter Spend&gt;&gt;&gt;",FN2="EXISTING"),SUMIFS('Existing Customers'!$P:$P,'Existing Customers'!$A:$A,$FM$1,'Existing Customers'!$H:$H,$FL14)*$FM$4,$FM14/$FY14),0)</f>
        <v>0</v>
      </c>
      <c r="FQ14" s="95">
        <f>IFERROR(IF(AND($FM$2&lt;&gt;"Enter Spend&gt;&gt;&gt;",FN2="EXISTING"),SUMIFS('Existing Customers'!$V:$V,'Existing Customers'!$H:$H,$FL14,'Existing Customers'!$A:$A,$FM$1)*$FM$4,0),0)</f>
        <v>0</v>
      </c>
      <c r="FR14" s="95">
        <f>IFERROR(IF(AND($FM$2&lt;&gt;"Enter Spend&gt;&gt;&gt;",FN2="EXISTING"),SUMIFS('Existing Customers'!$R:$R,'Existing Customers'!$H:$H,$FL14,'Existing Customers'!$A:$A,$FM$1)*$FM$4,0),0)</f>
        <v>0</v>
      </c>
      <c r="FS14" s="1065">
        <f>IFERROR(IF(AND($FM$2&lt;&gt;"Enter Spend&gt;&gt;&gt;",FN2="EXISTING"),SUMIFS('Existing Customers'!$S:$S,'Existing Customers'!$H:$H,$FL14,'Existing Customers'!$A:$A,$FM$1),GC14*FM14),0)</f>
        <v>0</v>
      </c>
      <c r="FT14" s="1065">
        <f>IFERROR(IF(AND($FM$2&lt;&gt;"Enter Spend&gt;&gt;&gt;",FN2="EXISTING"),SUMIFS('Existing Customers'!$U:$U,'Existing Customers'!$H:$H,$FL14,'Existing Customers'!$A:$A,$FM$1),GD14*FM14),0)</f>
        <v>0</v>
      </c>
      <c r="FU14" s="1068" t="e">
        <f>_xlfn.CONCAT('Customer Inputs'!$AG$11,"_",FL14)</f>
        <v>#N/A</v>
      </c>
      <c r="FV14" s="1068">
        <f t="array" ref="FV14">IFERROR(INDEX('Margin Guidence Table'!$A$1:$AD$30000,MATCH(1,('Margin Guidence Table'!$A$1:$A$10000=FU14)*('Margin Guidence Table'!$I$1:$I$10000&lt;=ROUND($FM$3,0))*('Margin Guidence Table'!$J$1:$J$10000&gt;=ROUND($FM$3,0)),0),MATCH("DATA_POINTS",'Margin Guidence Table'!$A$1:$AG$1,0)),0)</f>
        <v>0</v>
      </c>
      <c r="FW14" s="1065" t="str">
        <f>IF(FV14&gt;15,"SEGMENT","DEFAULT")</f>
        <v>DEFAULT</v>
      </c>
      <c r="FX14" s="1065">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65">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69">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69">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69">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69">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69">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69">
        <f t="array" ref="GE14">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8"/>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72" t="e">
        <f>GG14/$GG$35</f>
        <v>#DIV/0!</v>
      </c>
      <c r="GI14" s="101" t="s">
        <v>99</v>
      </c>
      <c r="GJ14" s="93">
        <f>IFERROR(IF(AND($GJ$2&lt;&gt;"Enter Spend&gt;&gt;&gt;",GK2="EXISTING"),SUMIFS('Existing Customers'!$Q:$Q,'Existing Customers'!$A:$A,$GJ$1,'Existing Customers'!$H:$H,$GI14)*$GJ$4,$GJ$3*$GH14),0)</f>
        <v>0</v>
      </c>
      <c r="GK14" s="88">
        <f>IFERROR(IF(AND($GJ$2&lt;&gt;"Enter Spend&gt;&gt;&gt;",GK2="EXISTING"),SUMIFS('Existing Customers'!$N:$N,'Existing Customers'!$A:$A,$GJ$1,'Existing Customers'!$H:$H,$GI14)*$GJ$4,$GJ14/$GU14),0)</f>
        <v>0</v>
      </c>
      <c r="GL14" s="94">
        <f>IFERROR(IF(AND($GJ$2&lt;&gt;"Enter Spend&gt;&gt;&gt;",GK2="EXISTING"),SUMIFS('Existing Customers'!$O:$O,'Existing Customers'!$H:$H,$GI14,'Existing Customers'!$A:$A,$GJ$1)*$GJ$4,$GK14*$GJ$8),0)</f>
        <v>0</v>
      </c>
      <c r="GM14" s="94">
        <f>IFERROR(IF(AND($GJ$2&lt;&gt;"Enter Spend&gt;&gt;&gt;",GK2="EXISTING"),SUMIFS('Existing Customers'!$P:$P,'Existing Customers'!$A:$A,$GJ$1,'Existing Customers'!$H:$H,$GI14)*$GJ$4,$GJ14/$GV14),0)</f>
        <v>0</v>
      </c>
      <c r="GN14" s="95">
        <f>IFERROR(IF(AND($GJ$2&lt;&gt;"Enter Spend&gt;&gt;&gt;",GK2="EXISTING"),SUMIFS('Existing Customers'!$V:$V,'Existing Customers'!$H:$H,$GI14,'Existing Customers'!$A:$A,$GJ$1)*$GJ$4,0),0)</f>
        <v>0</v>
      </c>
      <c r="GO14" s="95">
        <f>IFERROR(IF(AND($GJ$2&lt;&gt;"Enter Spend&gt;&gt;&gt;",GK2="EXISTING"),SUMIFS('Existing Customers'!$R:$R,'Existing Customers'!$H:$H,$GI14,'Existing Customers'!$A:$A,$GJ$1)*$GJ$4,0),0)</f>
        <v>0</v>
      </c>
      <c r="GP14" s="1065">
        <f>IFERROR(IF(AND($GJ$2&lt;&gt;"Enter Spend&gt;&gt;&gt;",GK2="EXISTING"),SUMIFS('Existing Customers'!$S:$S,'Existing Customers'!$H:$H,$GI14,'Existing Customers'!$A:$A,$GJ$1),GZ14*GJ14),0)</f>
        <v>0</v>
      </c>
      <c r="GQ14" s="1065">
        <f>IFERROR(IF(AND($GJ$2&lt;&gt;"Enter Spend&gt;&gt;&gt;",GK2="EXISTING"),SUMIFS('Existing Customers'!$U:$U,'Existing Customers'!$H:$H,$GI14,'Existing Customers'!$A:$A,$GJ$1),HA14*GJ14),0)</f>
        <v>0</v>
      </c>
      <c r="GR14" s="1068" t="e">
        <f>_xlfn.CONCAT('Customer Inputs'!$AG$12,"_",GI14)</f>
        <v>#N/A</v>
      </c>
      <c r="GS14" s="1068">
        <f t="array" ref="GS14">IFERROR(INDEX('Margin Guidence Table'!$A$1:$AD$30000,MATCH(1,('Margin Guidence Table'!$A$1:$A$10000=GR14)*('Margin Guidence Table'!$I$1:$I$10000&lt;=ROUND($GJ$3,0))*('Margin Guidence Table'!$J$1:$J$10000&gt;=ROUND($GJ$3,0)),0),MATCH("DATA_POINTS",'Margin Guidence Table'!$A$1:$AG$1,0)),0)</f>
        <v>0</v>
      </c>
      <c r="GT14" s="1065" t="str">
        <f>IF(GS14&gt;15,"SEGMENT","DEFAULT")</f>
        <v>DEFAULT</v>
      </c>
      <c r="GU14" s="1065">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65">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69">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69">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69">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69">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69">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69">
        <f t="array" ref="HB14">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8"/>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72" t="e">
        <f>HD14/$HD$35</f>
        <v>#DIV/0!</v>
      </c>
      <c r="HF14" s="101" t="s">
        <v>99</v>
      </c>
      <c r="HG14" s="93">
        <f>IFERROR(IF(AND($HG$2&lt;&gt;"Enter Spend&gt;&gt;&gt;",HH2="EXISTING"),SUMIFS('Existing Customers'!$Q:$Q,'Existing Customers'!$A:$A,$HG$1,'Existing Customers'!$H:$H,$HF14)*$HG$4,$HG$3*$HE14),0)</f>
        <v>0</v>
      </c>
      <c r="HH14" s="88">
        <f>IFERROR(IF(AND($HG$2&lt;&gt;"Enter Spend&gt;&gt;&gt;",HH2="EXISTING"),SUMIFS('Existing Customers'!$N:$N,'Existing Customers'!$A:$A,$HG$1,'Existing Customers'!$H:$H,$HF14)*$HG$4,$HG14/$HR14),0)</f>
        <v>0</v>
      </c>
      <c r="HI14" s="94">
        <f>IFERROR(IF(AND($HG$2&lt;&gt;"Enter Spend&gt;&gt;&gt;",HH2="EXISTING"),SUMIFS('Existing Customers'!$O:$O,'Existing Customers'!$H:$H,$HF14,'Existing Customers'!$A:$A,$HG$1)*$HG$4,$HH14*$HG$8),0)</f>
        <v>0</v>
      </c>
      <c r="HJ14" s="94">
        <f>IFERROR(IF(AND($HG$2&lt;&gt;"Enter Spend&gt;&gt;&gt;",HH2="EXISTING"),SUMIFS('Existing Customers'!$P:$P,'Existing Customers'!$A:$A,$HG$1,'Existing Customers'!$H:$H,$HF14)*$HG$4,$HG14/$HS14),0)</f>
        <v>0</v>
      </c>
      <c r="HK14" s="95">
        <f>IFERROR(IF(AND($HG$2&lt;&gt;"Enter Spend&gt;&gt;&gt;",HH2="EXISTING"),SUMIFS('Existing Customers'!$V:$V,'Existing Customers'!$H:$H,$HF14,'Existing Customers'!$A:$A,$HG$1)*$HG$4,0),0)</f>
        <v>0</v>
      </c>
      <c r="HL14" s="95">
        <f>IFERROR(IF(AND($HG$2&lt;&gt;"Enter Spend&gt;&gt;&gt;",HH2="EXISTING"),SUMIFS('Existing Customers'!$R:$R,'Existing Customers'!$H:$H,$HF14,'Existing Customers'!$A:$A,$HG$1)*$HG$4,0),0)</f>
        <v>0</v>
      </c>
      <c r="HM14" s="1065">
        <f>IFERROR(IF(AND($HG$2&lt;&gt;"Enter Spend&gt;&gt;&gt;",HH2="EXISTING"),SUMIFS('Existing Customers'!$S:$S,'Existing Customers'!$H:$H,$HF14,'Existing Customers'!$A:$A,$HG$1),HW14*HG14),0)</f>
        <v>0</v>
      </c>
      <c r="HN14" s="1065">
        <f>IFERROR(IF(AND($HG$2&lt;&gt;"Enter Spend&gt;&gt;&gt;",HH2="EXISTING"),SUMIFS('Existing Customers'!$U:$U,'Existing Customers'!$H:$H,$HF14,'Existing Customers'!$A:$A,$HG$1),HX14*HG14),0)</f>
        <v>0</v>
      </c>
      <c r="HO14" s="1068" t="e">
        <f>_xlfn.CONCAT('Customer Inputs'!$AG$13,"_",HF14)</f>
        <v>#N/A</v>
      </c>
      <c r="HP14" s="1068">
        <f t="array" ref="HP14">IFERROR(INDEX('Margin Guidence Table'!$A$1:$AD$30000,MATCH(1,('Margin Guidence Table'!$A$1:$A$10000=HO14)*('Margin Guidence Table'!$I$1:$I$10000&lt;=ROUND($HG$3,0))*('Margin Guidence Table'!$J$1:$J$10000&gt;=ROUND($HG$3,0)),0),MATCH("DATA_POINTS",'Margin Guidence Table'!$A$1:$AG$1,0)),0)</f>
        <v>0</v>
      </c>
      <c r="HQ14" s="1065" t="str">
        <f>IF(HP14&gt;15,"SEGMENT","DEFAULT")</f>
        <v>DEFAULT</v>
      </c>
      <c r="HR14" s="1065">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65">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69">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69">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69">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69">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69">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69">
        <f t="array" ref="HY14">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8"/>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72" t="e">
        <f>IA14/$IA$35</f>
        <v>#DIV/0!</v>
      </c>
      <c r="IC14" s="101" t="s">
        <v>99</v>
      </c>
      <c r="ID14" s="93">
        <f>IFERROR(IF(AND($ID$2&lt;&gt;"Enter Spend&gt;&gt;&gt;",IE2="EXISTING"),SUMIFS('Existing Customers'!$Q:$Q,'Existing Customers'!$A:$A,$ID$1,'Existing Customers'!$H:$H,$IC14)*$ID$4,$ID$3*$IB14),0)</f>
        <v>0</v>
      </c>
      <c r="IE14" s="88">
        <f>IFERROR(IF(AND($ID$2&lt;&gt;"Enter Spend&gt;&gt;&gt;",IE2="EXISTING"),SUMIFS('Existing Customers'!$N:$N,'Existing Customers'!$A:$A,$ID$1,'Existing Customers'!$H:$H,$IC14)*$ID$4,$ID14/$IO14),0)</f>
        <v>0</v>
      </c>
      <c r="IF14" s="94">
        <f>IFERROR(IF(AND($ID$2&lt;&gt;"Enter Spend&gt;&gt;&gt;",IE2="EXISTING"),SUMIFS('Existing Customers'!$O:$O,'Existing Customers'!$H:$H,$IC14,'Existing Customers'!$A:$A,$ID$1)*$ID$4,$IE14*$ID$8),0)</f>
        <v>0</v>
      </c>
      <c r="IG14" s="94">
        <f>IFERROR(IF(AND($ID$2&lt;&gt;"Enter Spend&gt;&gt;&gt;",IE2="EXISTING"),SUMIFS('Existing Customers'!$P:$P,'Existing Customers'!$A:$A,$ID$1,'Existing Customers'!$H:$H,$IC14)*$ID$4,$ID14/$IP14),0)</f>
        <v>0</v>
      </c>
      <c r="IH14" s="378">
        <f>IFERROR(IF(AND($ID$2&lt;&gt;"Enter Spend&gt;&gt;&gt;",IE2="EXISTING"),SUMIFS('Existing Customers'!$V:$V,'Existing Customers'!$H:$H,$IC14,'Existing Customers'!$A:$A,$ID$1)*$ID$4,0),0)</f>
        <v>0</v>
      </c>
      <c r="II14" s="95">
        <f>IFERROR(IF(AND($ID$2&lt;&gt;"Enter Spend&gt;&gt;&gt;",IE2="EXISTING"),SUMIFS('Existing Customers'!$R:$R,'Existing Customers'!$H:$H,$IC14,'Existing Customers'!$A:$A,$ID$1)*$ID$4,0),0)</f>
        <v>0</v>
      </c>
      <c r="IJ14" s="1065">
        <f>IFERROR(IF(AND($ID$2&lt;&gt;"Enter Spend&gt;&gt;&gt;",IE2="EXISTING"),SUMIFS('Existing Customers'!$S:$S,'Existing Customers'!$H:$H,$IC14,'Existing Customers'!$A:$A,$ID$1),IT14*ID14),0)</f>
        <v>0</v>
      </c>
      <c r="IK14" s="1065">
        <f>IFERROR(IF(AND($ID$2&lt;&gt;"Enter Spend&gt;&gt;&gt;",IE2="EXISTING"),SUMIFS('Existing Customers'!$U:$U,'Existing Customers'!$H:$H,$IC14,'Existing Customers'!$A:$A,$ID$1),IU14*ID14),0)</f>
        <v>0</v>
      </c>
      <c r="IL14" s="1068" t="e">
        <f>_xlfn.CONCAT('Customer Inputs'!$AG$14,"_",IC14)</f>
        <v>#N/A</v>
      </c>
      <c r="IM14" s="1068">
        <f t="array" ref="IM14">IFERROR(INDEX('Margin Guidence Table'!$A$1:$AD$30000,MATCH(1,('Margin Guidence Table'!$A$1:$A$10000=IL14)*('Margin Guidence Table'!$I$1:$I$10000&lt;=ROUND($ID$3,0))*('Margin Guidence Table'!$J$1:$J$10000&gt;=ROUND($ID$3,0)),0),MATCH("DATA_POINTS",'Margin Guidence Table'!$A$1:$AG$1,0)),0)</f>
        <v>0</v>
      </c>
      <c r="IN14" s="1065" t="str">
        <f>IF(IM14&gt;15,"SEGMENT","DEFAULT")</f>
        <v>DEFAULT</v>
      </c>
      <c r="IO14" s="1065">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65">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69">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69">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69">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69">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69">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69">
        <f t="array" ref="IV14">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8"/>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72" t="e">
        <f>IX14/$IX$35</f>
        <v>#DIV/0!</v>
      </c>
      <c r="IZ14" s="101" t="s">
        <v>99</v>
      </c>
      <c r="JA14" s="93">
        <f>IFERROR(IF(AND($JA$2&lt;&gt;"Enter Spend&gt;&gt;&gt;",JB2="EXISTING"),SUMIFS('Existing Customers'!$Q:$Q,'Existing Customers'!$A:$A,$JA$1,'Existing Customers'!$H:$H,$IZ14)*$JA$4,$JA$3*$IY14),0)</f>
        <v>0</v>
      </c>
      <c r="JB14" s="88">
        <f>IFERROR(IF(AND($JA$2&lt;&gt;"Enter Spend&gt;&gt;&gt;",JB2="EXISTING"),SUMIFS('Existing Customers'!$N:$N,'Existing Customers'!$A:$A,$JA$1,'Existing Customers'!$H:$H,$IZ14)*$JA$4,$JA14/$JL14),0)</f>
        <v>0</v>
      </c>
      <c r="JC14" s="94">
        <f>IFERROR(IF(AND($JA$2&lt;&gt;"Enter Spend&gt;&gt;&gt;",JB2="EXISTING"),SUMIFS('Existing Customers'!$O:$O,'Existing Customers'!$H:$H,$IZ14,'Existing Customers'!$A:$A,$JA$1)*$JA$4,$JB14*$JA$8),0)</f>
        <v>0</v>
      </c>
      <c r="JD14" s="94">
        <f>IFERROR(IF(AND($JA$2&lt;&gt;"Enter Spend&gt;&gt;&gt;",JB2="EXISTING"),SUMIFS('Existing Customers'!$P:$P,'Existing Customers'!$A:$A,$JA$1,'Existing Customers'!$H:$H,$IZ14)*$JA$4,$JA14/$JM14),0)</f>
        <v>0</v>
      </c>
      <c r="JE14" s="378">
        <f>IFERROR(IF(AND($JA$2&lt;&gt;"Enter Spend&gt;&gt;&gt;",JB2="EXISTING"),SUMIFS('Existing Customers'!$V:$V,'Existing Customers'!$H:$H,$IZ14,'Existing Customers'!$A:$A,$JA$1)*$JA$4,0),0)</f>
        <v>0</v>
      </c>
      <c r="JF14" s="95">
        <f>IFERROR(IF(AND($JA$2&lt;&gt;"Enter Spend&gt;&gt;&gt;",JB2="EXISTING"),SUMIFS('Existing Customers'!$R:$R,'Existing Customers'!$H:$H,$IZ14,'Existing Customers'!$A:$A,$JA$1)*$JA$4,0),0)</f>
        <v>0</v>
      </c>
      <c r="JG14" s="1065">
        <f>IFERROR(IF(AND($JA$2&lt;&gt;"Enter Spend&gt;&gt;&gt;",JB2="EXISTING"),SUMIFS('Existing Customers'!$S:$S,'Existing Customers'!$H:$H,$IZ14,'Existing Customers'!$A:$A,$JA$1),JQ14*JA14),0)</f>
        <v>0</v>
      </c>
      <c r="JH14" s="1065">
        <f>IFERROR(IF(AND($JA$2&lt;&gt;"Enter Spend&gt;&gt;&gt;",JB2="EXISTING"),SUMIFS('Existing Customers'!$U:$U,'Existing Customers'!$H:$H,$IZ14,'Existing Customers'!$A:$A,$JA$1),JR14*JA14),0)</f>
        <v>0</v>
      </c>
      <c r="JI14" s="1068" t="e">
        <f>_xlfn.CONCAT('Customer Inputs'!$AG$15,"_",IZ14)</f>
        <v>#N/A</v>
      </c>
      <c r="JJ14" s="1068">
        <f t="array" ref="JJ14">IFERROR(INDEX('Margin Guidence Table'!$A$1:$AD$30000,MATCH(1,('Margin Guidence Table'!$A$1:$A$10000=JI14)*('Margin Guidence Table'!$I$1:$I$10000&lt;=ROUND($JA$3,0))*('Margin Guidence Table'!$J$1:$J$10000&gt;=ROUND($JA$3,0)),0),MATCH("DATA_POINTS",'Margin Guidence Table'!$A$1:$AG$1,0)),0)</f>
        <v>0</v>
      </c>
      <c r="JK14" s="1065" t="str">
        <f>IF(JJ14&gt;15,"SEGMENT","DEFAULT")</f>
        <v>DEFAULT</v>
      </c>
      <c r="JL14" s="1065">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65">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69">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69">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69">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69">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69">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69">
        <f t="array" ref="JS14">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101" t="s">
        <v>99</v>
      </c>
      <c r="JV14" s="93"/>
      <c r="JW14" s="88"/>
      <c r="JX14" s="94"/>
      <c r="JY14" s="94"/>
      <c r="JZ14" s="378"/>
      <c r="KA14" s="95"/>
      <c r="KB14" s="128"/>
      <c r="KD14" s="101" t="s">
        <v>99</v>
      </c>
      <c r="KE14" s="93"/>
      <c r="KF14" s="88"/>
      <c r="KG14" s="94"/>
      <c r="KH14" s="94"/>
      <c r="KI14" s="378"/>
      <c r="KJ14" s="95"/>
    </row>
    <row r="15" spans="2:296" ht="15.75" thickBot="1" x14ac:dyDescent="0.3">
      <c r="B15" s="101" t="s">
        <v>103</v>
      </c>
      <c r="C15" s="451">
        <f t="shared" ref="C15:C34" si="11">($BB15+$BY15+$CV15+$DS15+$EP15+$FM15+$GJ15+$HG15+$ID15+$JA15)</f>
        <v>0</v>
      </c>
      <c r="D15" s="467">
        <f t="shared" ref="D15:D34" si="12">($BC15+$BZ15+$CW15+$DT15+$EQ15+$FN15+$GK15+$HH15+$IE15+$JB15)</f>
        <v>0</v>
      </c>
      <c r="E15" s="467">
        <f t="shared" ref="E15:E34" si="13">($BD15+$CA15+$CX15+$DU15+$ER15+$FO15+$GL15+$HI15+$IF15+$JC15)</f>
        <v>0</v>
      </c>
      <c r="F15" s="467">
        <f t="shared" ref="F15:F34" si="14">($BE15+$CB15+$CY15+$DV15+$ES15+$FP15+$GM15+$HJ15+$IG15+$JD15)</f>
        <v>0</v>
      </c>
      <c r="G15" s="468">
        <f t="shared" ref="G15:G34" si="15">($BF15+$CC15+$CZ15+$DW15+$ET15+$FQ15+$GN15+$HK15+$IH15+$JE15)</f>
        <v>0</v>
      </c>
      <c r="H15" s="467">
        <f t="shared" ref="H15:H34" si="16">($BG15+$CD15+$DA15+$DX15+$EU15+$FR15+$GO15+$HL15+$II15+$JF15)</f>
        <v>0</v>
      </c>
      <c r="I15" s="1061" t="e">
        <f t="shared" si="0"/>
        <v>#DIV/0!</v>
      </c>
      <c r="J15" s="1061" t="e">
        <f t="shared" si="1"/>
        <v>#DIV/0!</v>
      </c>
      <c r="K15" s="1061" t="e">
        <f t="shared" si="2"/>
        <v>#DIV/0!</v>
      </c>
      <c r="L15" s="467" t="e">
        <f t="shared" si="3"/>
        <v>#DIV/0!</v>
      </c>
      <c r="M15" s="467" t="e">
        <f t="shared" ref="M15:M35" si="17">L15/$L$35</f>
        <v>#DIV/0!</v>
      </c>
      <c r="N15" s="1062" t="e">
        <f t="shared" si="4"/>
        <v>#DIV/0!</v>
      </c>
      <c r="P15" t="str">
        <f>'PIM Model'!E11</f>
        <v>INCLUDE</v>
      </c>
      <c r="Q15">
        <f t="shared" ref="Q15:Q34" si="18">IFERROR(T15/$T$35,0)</f>
        <v>0</v>
      </c>
      <c r="R15">
        <f t="shared" ref="R15:R34" si="19">IF(P15="Include",Q15,0)</f>
        <v>0</v>
      </c>
      <c r="S15" s="101" t="s">
        <v>103</v>
      </c>
      <c r="T15" s="96">
        <f t="shared" ref="T15:T34" si="20">(BB15+BY15+CV15+DS15+EP15+FM15+GJ15+HG15+ID15+JA15)*(1+($V$1/$V$5))</f>
        <v>0</v>
      </c>
      <c r="U15" s="88">
        <f t="shared" si="5"/>
        <v>0</v>
      </c>
      <c r="V15" s="88">
        <f t="shared" si="6"/>
        <v>0</v>
      </c>
      <c r="W15" s="88">
        <f t="shared" si="7"/>
        <v>0</v>
      </c>
      <c r="X15" s="113">
        <f t="shared" si="8"/>
        <v>0</v>
      </c>
      <c r="Y15" s="116">
        <f t="shared" ref="Y15:Y34" si="21">IFERROR(X15/T15,0)</f>
        <v>0</v>
      </c>
      <c r="Z15" s="376"/>
      <c r="AA15" s="101" t="s">
        <v>103</v>
      </c>
      <c r="AB15" s="455">
        <f t="shared" si="9"/>
        <v>0</v>
      </c>
      <c r="AC15" s="456">
        <f t="shared" si="9"/>
        <v>0</v>
      </c>
      <c r="AD15" s="456">
        <f t="shared" si="9"/>
        <v>0</v>
      </c>
      <c r="AE15" s="457">
        <f t="shared" ref="AE15:AE34" si="22">IFERROR(AC15/AB15,0)</f>
        <v>0</v>
      </c>
      <c r="AF15" s="458">
        <f t="shared" ref="AF15:AF34" si="23">IFERROR(AD15/AB15,0)</f>
        <v>0</v>
      </c>
      <c r="AG15" s="376"/>
      <c r="AH15" s="101" t="s">
        <v>103</v>
      </c>
      <c r="AI15" s="455">
        <f t="shared" si="10"/>
        <v>0</v>
      </c>
      <c r="AJ15" s="452">
        <f t="shared" ref="AJ15:AJ34" si="24">AN15*AI15</f>
        <v>0</v>
      </c>
      <c r="AK15" s="458"/>
      <c r="AL15" s="376"/>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76">
        <f>VLOOKUP($AH15&amp;$AM15,'IMargin Quartiles'!$A:$F,6,FALSE)</f>
        <v>0.1</v>
      </c>
      <c r="AO15" s="376"/>
      <c r="AP15"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Q15" s="376" t="e">
        <f t="shared" ref="AQ15:AQ34" si="25">$N15</f>
        <v>#DIV/0!</v>
      </c>
      <c r="AR15">
        <f>'PIM Model'!C11</f>
        <v>0</v>
      </c>
      <c r="AS15" s="376"/>
      <c r="AT15" s="376"/>
      <c r="AU15" s="376" t="e">
        <f>IF($AR15="AVG",IFERROR((AC15+AJ15)/(AB15+AI15),AQ15),(AC15+AJ15)/(AB15+AI15))</f>
        <v>#DIV/0!</v>
      </c>
      <c r="AV15" s="376"/>
      <c r="AW15" s="376"/>
      <c r="AX15" s="107">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72" t="e">
        <f t="shared" ref="AZ15:AZ34" si="26">AY15/$AY$35</f>
        <v>#DIV/0!</v>
      </c>
      <c r="BA15" s="101" t="s">
        <v>103</v>
      </c>
      <c r="BB15" s="93">
        <f>IFERROR(IF(AND($BB$2&lt;&gt;"Enter Spend&gt;&gt;&gt;",BC3="EXISTING"),SUMIFS('Existing Customers'!$Q:$Q,'Existing Customers'!$A:$A,$BB$1,'Existing Customers'!$H:$H,$BA15)*$BB$4,$BB$3*$AZ15),0)</f>
        <v>0</v>
      </c>
      <c r="BC15" s="94">
        <f>IFERROR(IF(AND($BB$2&lt;&gt;"Enter Spend&gt;&gt;&gt;",BC2="EXISTING"),SUMIFS('Existing Customers'!$N:$N,'Existing Customers'!$A:$A,$BB$1,'Existing Customers'!$H:$H,$BA15)*$BB$4,$BB15/$BM15),0)</f>
        <v>0</v>
      </c>
      <c r="BD15" s="94">
        <f>IFERROR(IF(AND($BB$2&lt;&gt;"Enter Spend&gt;&gt;&gt;",BC2="EXISTING"),SUMIFS('Existing Customers'!$O:$O,'Existing Customers'!$H:$H,$BA15,'Existing Customers'!$A:$A,$BB$1)*$BB$4,$BC15*$BB$8),0)</f>
        <v>0</v>
      </c>
      <c r="BE15" s="94">
        <f>IFERROR(IF(AND($BB$2&lt;&gt;"Enter Spend&gt;&gt;&gt;",BC2="EXISTING"),SUMIFS('Existing Customers'!$P:$P,'Existing Customers'!$A:$A,$BB$1,'Existing Customers'!$H:$H,$BA15)*$BB$4,$BB15/$BN15),0)</f>
        <v>0</v>
      </c>
      <c r="BF15" s="378">
        <f>IFERROR(IF(AND($BB$2&lt;&gt;"Enter Spend&gt;&gt;&gt;",BC2="EXISTING"),SUMIFS('Existing Customers'!$V:$V,'Existing Customers'!$H:$H,$BA15,'Existing Customers'!$A:$A,$BB$1)*$BB$4,0),0)</f>
        <v>0</v>
      </c>
      <c r="BG15" s="95">
        <f>IFERROR(IF(AND($BB$2&lt;&gt;"Enter Spend&gt;&gt;&gt;",BC2="EXISTING"),SUMIFS('Existing Customers'!$R:$R,'Existing Customers'!$H:$H,$BA15,'Existing Customers'!$A:$A,$BB$1)*$BB$4,0),0)</f>
        <v>0</v>
      </c>
      <c r="BH15" s="95">
        <f>IFERROR(IF(AND($BB$2&lt;&gt;"Enter Spend&gt;&gt;&gt;",BC2="EXISTING"),SUMIFS('Existing Customers'!$S:$S,'Existing Customers'!$H:$H,$BA15,'Existing Customers'!$A:$A,$BB$1),BR15*BB15),0)</f>
        <v>0</v>
      </c>
      <c r="BI15" s="95">
        <f>IFERROR(IF(AND($BB$2&lt;&gt;"Enter Spend&gt;&gt;&gt;",BC2="EXISTING"),SUMIFS('Existing Customers'!$U:$U,'Existing Customers'!$H:$H,$BA15,'Existing Customers'!$A:$A,$BB$1),BS15*BB15),0)</f>
        <v>0</v>
      </c>
      <c r="BJ15" s="1067" t="e">
        <f>_xlfn.CONCAT('Customer Inputs'!$AG$6,"_",BA15)</f>
        <v>#N/A</v>
      </c>
      <c r="BK15" s="1068">
        <f t="array" ref="BK15">IFERROR(INDEX('Margin Guidence Table'!$A$1:$AD$30000,MATCH(1,('Margin Guidence Table'!$A$1:$A$10000=$BJ15)*('Margin Guidence Table'!$I$1:$I$10000&lt;=ROUND($BB$3,0))*('Margin Guidence Table'!$J$1:$J$10000&gt;=ROUND($BB$3,0)),0),MATCH("DATA_POINTS",'Margin Guidence Table'!$A$1:$AG$1,0)),0)</f>
        <v>0</v>
      </c>
      <c r="BL15" s="1065" t="str">
        <f t="shared" ref="BL15:BL34" si="27">IF(BK15&gt;15,"SEGMENT","DEFAULT")</f>
        <v>DEFAULT</v>
      </c>
      <c r="BM15" s="1065">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65">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69">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69">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69">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69">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69">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69">
        <f t="array" ref="BT15">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8"/>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72" t="e">
        <f t="shared" ref="BW15:BW34" si="28">BV15/$BV$35</f>
        <v>#DIV/0!</v>
      </c>
      <c r="BX15" s="101" t="s">
        <v>103</v>
      </c>
      <c r="BY15" s="93">
        <f>IFERROR(IF(AND($BY$2&lt;&gt;"Enter Spend&gt;&gt;&gt;",BZ3="EXISTING"),SUMIFS('Existing Customers'!$Q:$Q,'Existing Customers'!$A:$A,$BY$1,'Existing Customers'!$H:$H,$BX15)*$BY$4,$BY$3*$BW15),0)</f>
        <v>0</v>
      </c>
      <c r="BZ15" s="88">
        <f>IFERROR(IF(AND($BY$2&lt;&gt;"Enter Spend&gt;&gt;&gt;",BZ2="EXISTING"),SUMIFS('Existing Customers'!$N:$N,'Existing Customers'!$A:$A,$BY$1,'Existing Customers'!$H:$H,$BX15)*$BY$4,$BY15/$CJ15),0)</f>
        <v>0</v>
      </c>
      <c r="CA15" s="94">
        <f>IFERROR(IF(AND($BY$2&lt;&gt;"Enter Spend&gt;&gt;&gt;",BZ2="EXISTING"),SUMIFS('Existing Customers'!$O:$O,'Existing Customers'!$H:$H,$BX15,'Existing Customers'!$A:$A,$BY$1)*$BY$4,$BZ15*$BY$8),0)</f>
        <v>0</v>
      </c>
      <c r="CB15" s="94">
        <f>IFERROR(IF(AND($BY$2&lt;&gt;"Enter Spend&gt;&gt;&gt;",BZ2="EXISTING"),SUMIFS('Existing Customers'!$P:$P,'Existing Customers'!$A:$A,$BY$1,'Existing Customers'!$H:$H,$BX15)*$BY$4,$BY15/$CK15),0)</f>
        <v>0</v>
      </c>
      <c r="CC15" s="95">
        <f>IFERROR(IF(AND($BY$2&lt;&gt;"Enter Spend&gt;&gt;&gt;",BZ2="EXISTING"),SUMIFS('Existing Customers'!$V:$V,'Existing Customers'!$H:$H,$BX15,'Existing Customers'!$A:$A,$BY$1)*$BY$4,0),0)</f>
        <v>0</v>
      </c>
      <c r="CD15" s="95">
        <f>IFERROR(IF(AND($BY$2&lt;&gt;"Enter Spend&gt;&gt;&gt;",BZ2="EXISTING"),SUMIFS('Existing Customers'!$R:$R,'Existing Customers'!$H:$H,$BX15,'Existing Customers'!$A:$A,$BY$1)*$BY$4,0),0)</f>
        <v>0</v>
      </c>
      <c r="CE15" s="1065">
        <f>IFERROR(IF(AND($BY$2&lt;&gt;"Enter Spend&gt;&gt;&gt;",BZ2="EXISTING"),SUMIFS('Existing Customers'!$S:$S,'Existing Customers'!$H:$H,$BX15,'Existing Customers'!$A:$A,$BY$1),CO15*BY15),0)</f>
        <v>0</v>
      </c>
      <c r="CF15" s="1065">
        <f>IFERROR(IF(AND($BY$2&lt;&gt;"Enter Spend&gt;&gt;&gt;",BZ2="EXISTING"),SUMIFS('Existing Customers'!$U:$U,'Existing Customers'!$H:$H,$BX15,'Existing Customers'!$A:$A,$BY$1),CP15*BY15),0)</f>
        <v>0</v>
      </c>
      <c r="CG15" s="1068" t="e">
        <f>_xlfn.CONCAT('Customer Inputs'!$AG$7,"_",BX15)</f>
        <v>#N/A</v>
      </c>
      <c r="CH15" s="1068">
        <f t="array" ref="CH15">IFERROR(INDEX('Margin Guidence Table'!$A$1:$AD$30000,MATCH(1,('Margin Guidence Table'!$A$1:$A$10000=$CG15)*('Margin Guidence Table'!$I$1:$I$10000&lt;=ROUND($BY$3,0))*('Margin Guidence Table'!$J$1:$J$10000&gt;=ROUND($BY$3,0)),0),MATCH("DATA_POINTS",'Margin Guidence Table'!$A$1:$AG$1,0)),0)</f>
        <v>0</v>
      </c>
      <c r="CI15" s="1065" t="str">
        <f t="shared" ref="CI15:CI34" si="29">IF(CH15&gt;15,"SEGMENT","DEFAULT")</f>
        <v>DEFAULT</v>
      </c>
      <c r="CJ15" s="1065">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65">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69">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69">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69">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69">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69">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69">
        <f t="array" ref="CQ15">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8"/>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72" t="e">
        <f t="shared" ref="CT15:CT34" si="30">CS15/$CS$35</f>
        <v>#DIV/0!</v>
      </c>
      <c r="CU15" s="101" t="s">
        <v>103</v>
      </c>
      <c r="CV15" s="93">
        <f>IFERROR(IF(AND($CV$2&lt;&gt;"Enter Spend&gt;&gt;&gt;",CW3="EXISTING"),SUMIFS('Existing Customers'!$Q:$Q,'Existing Customers'!$A:$A,$CV$1,'Existing Customers'!$H:$H,$CU15)*$CV$4,$CV$3*$CT15),0)</f>
        <v>0</v>
      </c>
      <c r="CW15" s="88">
        <f>IFERROR(IF(AND($CV$2&lt;&gt;"Enter Spend&gt;&gt;&gt;",CW2="EXISTING"),SUMIFS('Existing Customers'!$N:$N,'Existing Customers'!$A:$A,$CV$1,'Existing Customers'!$H:$H,$CU15)*$CV$4,$CV15/$DG15),0)</f>
        <v>0</v>
      </c>
      <c r="CX15" s="94">
        <f>IFERROR(IF(AND($CV$2&lt;&gt;"Enter Spend&gt;&gt;&gt;",BC28="EXISTING"),SUMIFS('Existing Customers'!$O:$O,'Existing Customers'!$H:$H,$CU15,'Existing Customers'!$A:$A,$CV$1)*$CV$4,$CW15*$CV$8),0)</f>
        <v>0</v>
      </c>
      <c r="CY15" s="94">
        <f>IFERROR(IF(AND($CV$2&lt;&gt;"Enter Spend&gt;&gt;&gt;",CW2="EXISTING"),SUMIFS('Existing Customers'!$P:$P,'Existing Customers'!$A:$A,$CV$1,'Existing Customers'!$H:$H,$CU15)*$CV$4,$CV15/$DH15),0)</f>
        <v>0</v>
      </c>
      <c r="CZ15" s="95">
        <f>IFERROR(IF(AND($CV$2&lt;&gt;"Enter Spend&gt;&gt;&gt;",CW2="EXISTING"),SUMIFS('Existing Customers'!$V:$V,'Existing Customers'!$H:$H,$CU15,'Existing Customers'!$A:$A,$CV$1)*$CV$4,0),0)</f>
        <v>0</v>
      </c>
      <c r="DA15" s="95">
        <f>IFERROR(IF(AND($CV$2&lt;&gt;"Enter Spend&gt;&gt;&gt;",CW2="EXISTING"),SUMIFS('Existing Customers'!$R:$R,'Existing Customers'!$H:$H,$BA15,'Existing Customers'!$A:$A,$CV$1)*$CV$4,0),0)</f>
        <v>0</v>
      </c>
      <c r="DB15" s="1065">
        <f>IFERROR(IF(AND($CV$2&lt;&gt;"Enter Spend&gt;&gt;&gt;",CW2="EXISTING"),SUMIFS('Existing Customers'!$S:$S,'Existing Customers'!$H:$H,$CU15,'Existing Customers'!$A:$A,$CV$1),DL15*CV15),0)</f>
        <v>0</v>
      </c>
      <c r="DC15" s="1065">
        <f>IFERROR(IF(AND($CV$2&lt;&gt;"Enter Spend&gt;&gt;&gt;",CW2="EXISTING"),SUMIFS('Existing Customers'!$U:$U,'Existing Customers'!$H:$H,$CU15,'Existing Customers'!$A:$A,$CV$1),DM15*CV15),0)</f>
        <v>0</v>
      </c>
      <c r="DD15" s="1068" t="e">
        <f>_xlfn.CONCAT('Customer Inputs'!$AG$8,"_",CU15)</f>
        <v>#N/A</v>
      </c>
      <c r="DE15" s="1068">
        <f t="array" ref="DE15">IFERROR(INDEX('Margin Guidence Table'!$A$1:$AD$30000,MATCH(1,('Margin Guidence Table'!$A$1:$A$10000=DD15)*('Margin Guidence Table'!$I$1:$I$10000&lt;=ROUND($CV$3,0))*('Margin Guidence Table'!$J$1:$J$10000&gt;=ROUND($CV$3,0)),0),MATCH("DATA_POINTS",'Margin Guidence Table'!$A$1:$AG$1,0)),0)</f>
        <v>0</v>
      </c>
      <c r="DF15" s="1065" t="str">
        <f t="shared" ref="DF15:DF34" si="31">IF(DE15&gt;15,"SEGMENT","DEFAULT")</f>
        <v>DEFAULT</v>
      </c>
      <c r="DG15" s="1065">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65">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69">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69">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69">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69">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69">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69">
        <f t="array" ref="DN15">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8"/>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72" t="e">
        <f t="shared" ref="DQ15:DQ34" si="32">DP15/$DP$35</f>
        <v>#DIV/0!</v>
      </c>
      <c r="DR15" s="101" t="s">
        <v>103</v>
      </c>
      <c r="DS15" s="93">
        <f>IFERROR(IF(AND($DS$2&lt;&gt;"Enter Spend&gt;&gt;&gt;",DT3="EXISTING"),SUMIFS('Existing Customers'!$Q:$Q,'Existing Customers'!$A:$A,$DS$1,'Existing Customers'!$H:$H,$DR15)*$DS$4,$DS$3*$DQ15),0)</f>
        <v>0</v>
      </c>
      <c r="DT15" s="88">
        <f>IFERROR(IF(AND($DS$2&lt;&gt;"Enter Spend&gt;&gt;&gt;",DT2="EXISTING"),SUMIFS('Existing Customers'!$N:$N,'Existing Customers'!$A:$A,$DS$1,'Existing Customers'!$H:$H,$DR15)*$DS$4,$DS15/$ED15),0)</f>
        <v>0</v>
      </c>
      <c r="DU15" s="94">
        <f>IFERROR(IF(AND($DS$2&lt;&gt;"Enter Spend&gt;&gt;&gt;",DT2="EXISTING"),SUMIFS('Existing Customers'!$O:$O,'Existing Customers'!$H:$H,$DR15,'Existing Customers'!$A:$A,$DS$1)*$DS$4,$DT15*$DS$8),0)</f>
        <v>0</v>
      </c>
      <c r="DV15" s="94">
        <f>IFERROR(IF(AND($DS$2&lt;&gt;"Enter Spend&gt;&gt;&gt;",DT2="EXISTING"),SUMIFS('Existing Customers'!$P:$P,'Existing Customers'!$A:$A,$DS$1,'Existing Customers'!$H:$H,$DR15)*$DS$4,$DS15/$EE15),0)</f>
        <v>0</v>
      </c>
      <c r="DW15" s="95">
        <f>IFERROR(IF(AND($DS$2&lt;&gt;"Enter Spend&gt;&gt;&gt;",EQ2="EXISTING"),SUMIFS('Existing Customers'!$V:$V,'Existing Customers'!$H:$H,$DR15,'Existing Customers'!$A:$A,$DS$1)*$DS$4,0),0)</f>
        <v>0</v>
      </c>
      <c r="DX15" s="95">
        <f>IFERROR(IF(AND($DS$2&lt;&gt;"Enter Spend&gt;&gt;&gt;",DT2="EXISTING"),SUMIFS('Existing Customers'!$R:$R,'Existing Customers'!$H:$H,$DR15,'Existing Customers'!$A:$A,$DS$1)*$DS$4,0),0)</f>
        <v>0</v>
      </c>
      <c r="DY15" s="1065">
        <f>IFERROR(IF(AND($DS$2&lt;&gt;"Enter Spend&gt;&gt;&gt;",DT2="EXISTING"),SUMIFS('Existing Customers'!$S:$S,'Existing Customers'!$H:$H,$DT15,'Existing Customers'!$A:$A,$DS$1),EI15*DS15),0)</f>
        <v>0</v>
      </c>
      <c r="DZ15" s="1065">
        <f>IFERROR(IF(AND($DS$2&lt;&gt;"Enter Spend&gt;&gt;&gt;",DT2="EXISTING"),SUMIFS('Existing Customers'!$U:$U,'Existing Customers'!$H:$H,$DR15,'Existing Customers'!$A:$A,$DS$1),EJ15*DS15),0)</f>
        <v>0</v>
      </c>
      <c r="EA15" s="1068" t="e">
        <f>_xlfn.CONCAT('Customer Inputs'!$AG$9,"_",DR15)</f>
        <v>#N/A</v>
      </c>
      <c r="EB15" s="1068">
        <f t="array" ref="EB15">IFERROR(INDEX('Margin Guidence Table'!$A$1:$AD$30000,MATCH(1,('Margin Guidence Table'!$A$1:$A$10000=EA15)*('Margin Guidence Table'!$I$1:$I$10000&lt;=ROUND($DS$3,0))*('Margin Guidence Table'!$J$1:$J$10000&gt;=ROUND($DS$3,0)),0),MATCH("DATA_POINTS",'Margin Guidence Table'!$A$1:$AG$1,0)),0)</f>
        <v>0</v>
      </c>
      <c r="EC15" s="1065" t="str">
        <f t="shared" ref="EC15:EC34" si="33">IF(EB15&gt;15,"SEGMENT","DEFAULT")</f>
        <v>DEFAULT</v>
      </c>
      <c r="ED15" s="1065">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65">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69">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69">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69">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69">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69">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69">
        <f t="array" ref="EK15">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8"/>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72" t="e">
        <f t="shared" ref="EN15:EN34" si="34">EM15/$EM$35</f>
        <v>#DIV/0!</v>
      </c>
      <c r="EO15" s="101" t="s">
        <v>103</v>
      </c>
      <c r="EP15" s="93">
        <f>IFERROR(IF(AND($EP$2&lt;&gt;"Enter Spend&gt;&gt;&gt;",EQ3="EXISTING"),SUMIFS('Existing Customers'!$Q:$Q,'Existing Customers'!$A:$A,$EP$1,'Existing Customers'!$H:$H,$EO15)*$EP$4,$EP$3*$EN15),0)</f>
        <v>0</v>
      </c>
      <c r="EQ15" s="88">
        <f>IFERROR(IF(AND($EP$2&lt;&gt;"Enter Spend&gt;&gt;&gt;",EQ2="EXISTING"),SUMIFS('Existing Customers'!$N:$N,'Existing Customers'!$A:$A,$EP$1,'Existing Customers'!$H:$H,$EO15)*$EP$4,$EP15/$FA15),0)</f>
        <v>0</v>
      </c>
      <c r="ER15" s="94">
        <f>IFERROR(IF(AND($EP$2&lt;&gt;"Enter Spend&gt;&gt;&gt;",EQ2="EXISTING"),SUMIFS('Existing Customers'!$O:$O,'Existing Customers'!$H:$H,$EO15,'Existing Customers'!$A:$A,$EP$1)*$EP$4,$EQ15*$EP$8),0)</f>
        <v>0</v>
      </c>
      <c r="ES15" s="94">
        <f>IFERROR(IF(AND($EP$2&lt;&gt;"Enter Spend&gt;&gt;&gt;",EQ2="EXISTING"),SUMIFS('Existing Customers'!$P:$P,'Existing Customers'!$A:$A,$EP$1,'Existing Customers'!$H:$H,$EO15)*$EP$4,$EP15/$FB15),0)</f>
        <v>0</v>
      </c>
      <c r="ET15" s="95">
        <f>IFERROR(IF(AND($EP$2&lt;&gt;"Enter Spend&gt;&gt;&gt;",EQ2="EXISTING"),SUMIFS('Existing Customers'!$V:$V,'Existing Customers'!$H:$H,$EO15,'Existing Customers'!$A:$A,$EP$1)*$EP$4,0),0)</f>
        <v>0</v>
      </c>
      <c r="EU15" s="95">
        <f>IFERROR(IF(AND($EP$2&lt;&gt;"Enter Spend&gt;&gt;&gt;",EQ2="EXISTING"),SUMIFS('Existing Customers'!$R:$R,'Existing Customers'!$H:$H,$EO15,'Existing Customers'!$A:$A,$EP$1)*$EP$4,0),0)</f>
        <v>0</v>
      </c>
      <c r="EV15" s="1065">
        <f>IFERROR(IF(AND($EP$2&lt;&gt;"Enter Spend&gt;&gt;&gt;",EQ2="EXISTING"),SUMIFS('Existing Customers'!$S:$S,'Existing Customers'!$H:$H,$EO15,'Existing Customers'!$A:$A,$EP$1),FF15*EP15),0)</f>
        <v>0</v>
      </c>
      <c r="EW15" s="1065">
        <f>IFERROR(IF(AND($EP$2&lt;&gt;"Enter Spend&gt;&gt;&gt;",EQ2="EXISTING"),SUMIFS('Existing Customers'!$U:$U,'Existing Customers'!$H:$H,$EO15,'Existing Customers'!$A:$A,$EP$1),FG15*EP15),0)</f>
        <v>0</v>
      </c>
      <c r="EX15" s="1068" t="e">
        <f>_xlfn.CONCAT('Customer Inputs'!$AG$10,"_",EO15)</f>
        <v>#N/A</v>
      </c>
      <c r="EY15" s="1068">
        <f t="array" ref="EY15">IFERROR(INDEX('Margin Guidence Table'!$A$1:$AD$30000,MATCH(1,('Margin Guidence Table'!$A$1:$A$10000=EX15)*('Margin Guidence Table'!$I$1:$I$10000&lt;=ROUND($EP$3,0))*('Margin Guidence Table'!$J$1:$J$10000&gt;=ROUND($EP$3,0)),0),MATCH("DATA_POINTS",'Margin Guidence Table'!$A$1:$AG$1,0)),0)</f>
        <v>0</v>
      </c>
      <c r="EZ15" s="1065" t="str">
        <f t="shared" ref="EZ15:EZ34" si="35">IF(EY15&gt;15,"SEGMENT","DEFAULT")</f>
        <v>DEFAULT</v>
      </c>
      <c r="FA15" s="1065">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65"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69">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69">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69">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69">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69">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69">
        <f t="array" ref="FH15">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8"/>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72" t="e">
        <f t="shared" ref="FK15:FK34" si="36">FJ15/$FJ$35</f>
        <v>#DIV/0!</v>
      </c>
      <c r="FL15" s="101" t="s">
        <v>103</v>
      </c>
      <c r="FM15" s="93">
        <f>IFERROR(IF(AND($FM$2&lt;&gt;"Enter Spend&gt;&gt;&gt;",FN3="EXISTING"),SUMIFS('Existing Customers'!$Q:$Q,'Existing Customers'!$A:$A,$FM$1,'Existing Customers'!$H:$H,$FL15)*$FM$4,$FM$3*$FK15),0)</f>
        <v>0</v>
      </c>
      <c r="FN15" s="88">
        <f>IFERROR(IF(AND($FM$2&lt;&gt;"Enter Spend&gt;&gt;&gt;",FN2="EXISTING"),SUMIFS('Existing Customers'!$N:$N,'Existing Customers'!$A:$A,$FM$1,'Existing Customers'!$H:$H,$FL15)*$FM$4,$FM15/$FX15),0)</f>
        <v>0</v>
      </c>
      <c r="FO15" s="94">
        <f>IFERROR(IF(AND($FM$2&lt;&gt;"Enter Spend&gt;&gt;&gt;",FN2="EXISTING"),SUMIFS('Existing Customers'!$O:$O,'Existing Customers'!$H:$H,$FL15,'Existing Customers'!$A:$A,$FM$1)*$FM$4,$FN15*$FM$8),0)</f>
        <v>0</v>
      </c>
      <c r="FP15" s="94">
        <f>IFERROR(IF(AND($FM$2&lt;&gt;"Enter Spend&gt;&gt;&gt;",FN2="EXISTING"),SUMIFS('Existing Customers'!$P:$P,'Existing Customers'!$A:$A,$FM$1,'Existing Customers'!$H:$H,$FL15)*$FM$4,$FM15/$FY15),0)</f>
        <v>0</v>
      </c>
      <c r="FQ15" s="95">
        <f>IFERROR(IF(AND($FM$2&lt;&gt;"Enter Spend&gt;&gt;&gt;",FN2="EXISTING"),SUMIFS('Existing Customers'!$V:$V,'Existing Customers'!$H:$H,$FL15,'Existing Customers'!$A:$A,$FM$1)*$FM$4,0),0)</f>
        <v>0</v>
      </c>
      <c r="FR15" s="95">
        <f>IFERROR(IF(AND($FM$2&lt;&gt;"Enter Spend&gt;&gt;&gt;",FN2="EXISTING"),SUMIFS('Existing Customers'!$R:$R,'Existing Customers'!$H:$H,$FL15,'Existing Customers'!$A:$A,$FM$1)*$FM$4,0),0)</f>
        <v>0</v>
      </c>
      <c r="FS15" s="1065">
        <f>IFERROR(IF(AND($FM$2&lt;&gt;"Enter Spend&gt;&gt;&gt;",FN2="EXISTING"),SUMIFS('Existing Customers'!$S:$S,'Existing Customers'!$H:$H,$FL15,'Existing Customers'!$A:$A,$FM$1),GC15*FM15),0)</f>
        <v>0</v>
      </c>
      <c r="FT15" s="1065">
        <f>IFERROR(IF(AND($FM$2&lt;&gt;"Enter Spend&gt;&gt;&gt;",FN2="EXISTING"),SUMIFS('Existing Customers'!$U:$U,'Existing Customers'!$H:$H,$FL15,'Existing Customers'!$A:$A,$FM$1),GD15*FM15),0)</f>
        <v>0</v>
      </c>
      <c r="FU15" s="1068" t="e">
        <f>_xlfn.CONCAT('Customer Inputs'!$AG$11,"_",FL15)</f>
        <v>#N/A</v>
      </c>
      <c r="FV15" s="1068">
        <f t="array" ref="FV15">IFERROR(INDEX('Margin Guidence Table'!$A$1:$AD$30000,MATCH(1,('Margin Guidence Table'!$A$1:$A$10000=FU15)*('Margin Guidence Table'!$I$1:$I$10000&lt;=ROUND($FM$3,0))*('Margin Guidence Table'!$J$1:$J$10000&gt;=ROUND($FM$3,0)),0),MATCH("DATA_POINTS",'Margin Guidence Table'!$A$1:$AG$1,0)),0)</f>
        <v>0</v>
      </c>
      <c r="FW15" s="1065" t="str">
        <f t="shared" ref="FW15:FW34" si="37">IF(FV15&gt;15,"SEGMENT","DEFAULT")</f>
        <v>DEFAULT</v>
      </c>
      <c r="FX15" s="1065">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65">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69">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69">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69">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69">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69">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69">
        <f t="array" ref="GE15">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8"/>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72" t="e">
        <f t="shared" ref="GH15:GH34" si="38">GG15/$GG$35</f>
        <v>#DIV/0!</v>
      </c>
      <c r="GI15" s="101" t="s">
        <v>103</v>
      </c>
      <c r="GJ15" s="93">
        <f>IFERROR(IF(AND($GJ$2&lt;&gt;"Enter Spend&gt;&gt;&gt;",GK3="EXISTING"),SUMIFS('Existing Customers'!$Q:$Q,'Existing Customers'!$A:$A,$GJ$1,'Existing Customers'!$H:$H,$GI15)*$GJ$4,$GJ$3*$GH15),0)</f>
        <v>0</v>
      </c>
      <c r="GK15" s="88">
        <f>IFERROR(IF(AND($GJ$2&lt;&gt;"Enter Spend&gt;&gt;&gt;",GK2="EXISTING"),SUMIFS('Existing Customers'!$N:$N,'Existing Customers'!$A:$A,$GJ$1,'Existing Customers'!$H:$H,$GI15)*$GJ$4,$GJ15/$GU15),0)</f>
        <v>0</v>
      </c>
      <c r="GL15" s="94">
        <f>IFERROR(IF(AND($GJ$2&lt;&gt;"Enter Spend&gt;&gt;&gt;",GK2="EXISTING"),SUMIFS('Existing Customers'!$O:$O,'Existing Customers'!$H:$H,$GI15,'Existing Customers'!$A:$A,$GJ$1)*$GJ$4,$GK15*$GJ$8),0)</f>
        <v>0</v>
      </c>
      <c r="GM15" s="94">
        <f>IFERROR(IF(AND($GJ$2&lt;&gt;"Enter Spend&gt;&gt;&gt;",GK2="EXISTING"),SUMIFS('Existing Customers'!$P:$P,'Existing Customers'!$A:$A,$GJ$1,'Existing Customers'!$H:$H,$GI15)*$GJ$4,$GJ15/$GV15),0)</f>
        <v>0</v>
      </c>
      <c r="GN15" s="95">
        <f>IFERROR(IF(AND($GJ$2&lt;&gt;"Enter Spend&gt;&gt;&gt;",GK2="EXISTING"),SUMIFS('Existing Customers'!$V:$V,'Existing Customers'!$H:$H,$GI15,'Existing Customers'!$A:$A,$GJ$1)*$GJ$4,0),0)</f>
        <v>0</v>
      </c>
      <c r="GO15" s="95">
        <f>IFERROR(IF(AND($GJ$2&lt;&gt;"Enter Spend&gt;&gt;&gt;",GK2="EXISTING"),SUMIFS('Existing Customers'!$R:$R,'Existing Customers'!$H:$H,$GI15,'Existing Customers'!$A:$A,$GJ$1)*$GJ$4,0),0)</f>
        <v>0</v>
      </c>
      <c r="GP15" s="1065">
        <f>IFERROR(IF(AND($GJ$2&lt;&gt;"Enter Spend&gt;&gt;&gt;",GK2="EXISTING"),SUMIFS('Existing Customers'!$S:$S,'Existing Customers'!$H:$H,$GI15,'Existing Customers'!$A:$A,$GJ$1),GZ15*GJ15),0)</f>
        <v>0</v>
      </c>
      <c r="GQ15" s="1065">
        <f>IFERROR(IF(AND($GJ$2&lt;&gt;"Enter Spend&gt;&gt;&gt;",GK2="EXISTING"),SUMIFS('Existing Customers'!$U:$U,'Existing Customers'!$H:$H,$GI15,'Existing Customers'!$A:$A,$GJ$1),HA15*GJ15),0)</f>
        <v>0</v>
      </c>
      <c r="GR15" s="1068" t="e">
        <f>_xlfn.CONCAT('Customer Inputs'!$AG$12,"_",GI15)</f>
        <v>#N/A</v>
      </c>
      <c r="GS15" s="1068">
        <f t="array" ref="GS15">IFERROR(INDEX('Margin Guidence Table'!$A$1:$AD$30000,MATCH(1,('Margin Guidence Table'!$A$1:$A$10000=GR15)*('Margin Guidence Table'!$I$1:$I$10000&lt;=ROUND($GJ$3,0))*('Margin Guidence Table'!$J$1:$J$10000&gt;=ROUND($GJ$3,0)),0),MATCH("DATA_POINTS",'Margin Guidence Table'!$A$1:$AG$1,0)),0)</f>
        <v>0</v>
      </c>
      <c r="GT15" s="1065" t="str">
        <f t="shared" ref="GT15:GT34" si="39">IF(GS15&gt;15,"SEGMENT","DEFAULT")</f>
        <v>DEFAULT</v>
      </c>
      <c r="GU15" s="1065">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65">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69">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69">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69">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69">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69">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69">
        <f t="array" ref="HB15">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8"/>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72" t="e">
        <f t="shared" ref="HE15:HE34" si="40">HD15/$HD$35</f>
        <v>#DIV/0!</v>
      </c>
      <c r="HF15" s="101" t="s">
        <v>103</v>
      </c>
      <c r="HG15" s="93">
        <f>IFERROR(IF(AND($HG$2&lt;&gt;"Enter Spend&gt;&gt;&gt;",HH3="EXISTING"),SUMIFS('Existing Customers'!$Q:$Q,'Existing Customers'!$A:$A,$HG$1,'Existing Customers'!$H:$H,$HF15)*$HG$4,$HG$3*$HE15),0)</f>
        <v>0</v>
      </c>
      <c r="HH15" s="88">
        <f>IFERROR(IF(AND($HG$2&lt;&gt;"Enter Spend&gt;&gt;&gt;",HH2="EXISTING"),SUMIFS('Existing Customers'!$N:$N,'Existing Customers'!$A:$A,$HG$1,'Existing Customers'!$H:$H,$HF15)*$HG$4,$HG15/$HR15),0)</f>
        <v>0</v>
      </c>
      <c r="HI15" s="94">
        <f>IFERROR(IF(AND($HG$2&lt;&gt;"Enter Spend&gt;&gt;&gt;",HH2="EXISTING"),SUMIFS('Existing Customers'!$O:$O,'Existing Customers'!$H:$H,$HF15,'Existing Customers'!$A:$A,$HG$1)*$HG$4,$HH15*$HG$8),0)</f>
        <v>0</v>
      </c>
      <c r="HJ15" s="94">
        <f>IFERROR(IF(AND($HG$2&lt;&gt;"Enter Spend&gt;&gt;&gt;",HH2="EXISTING"),SUMIFS('Existing Customers'!$P:$P,'Existing Customers'!$A:$A,$HG$1,'Existing Customers'!$H:$H,$HF15)*$HG$4,$HG15/$HS15),0)</f>
        <v>0</v>
      </c>
      <c r="HK15" s="95">
        <f>IFERROR(IF(AND($HG$2&lt;&gt;"Enter Spend&gt;&gt;&gt;",HH2="EXISTING"),SUMIFS('Existing Customers'!$V:$V,'Existing Customers'!$H:$H,$HF15,'Existing Customers'!$A:$A,$HG$1)*$HG$4,0),0)</f>
        <v>0</v>
      </c>
      <c r="HL15" s="95">
        <f>IFERROR(IF(AND($HG$2&lt;&gt;"Enter Spend&gt;&gt;&gt;",HH2="EXISTING"),SUMIFS('Existing Customers'!$R:$R,'Existing Customers'!$H:$H,$HF15,'Existing Customers'!$A:$A,$HG$1)*$HG$4,0),0)</f>
        <v>0</v>
      </c>
      <c r="HM15" s="1065">
        <f>IFERROR(IF(AND($HG$2&lt;&gt;"Enter Spend&gt;&gt;&gt;",HH2="EXISTING"),SUMIFS('Existing Customers'!$S:$S,'Existing Customers'!$H:$H,$HF15,'Existing Customers'!$A:$A,$HG$1),HW15*HG15),0)</f>
        <v>0</v>
      </c>
      <c r="HN15" s="1065">
        <f>IFERROR(IF(AND($HG$2&lt;&gt;"Enter Spend&gt;&gt;&gt;",HH2="EXISTING"),SUMIFS('Existing Customers'!$U:$U,'Existing Customers'!$H:$H,$HF15,'Existing Customers'!$A:$A,$HG$1),HX15*HG15),0)</f>
        <v>0</v>
      </c>
      <c r="HO15" s="1068" t="e">
        <f>_xlfn.CONCAT('Customer Inputs'!$AG$13,"_",HF15)</f>
        <v>#N/A</v>
      </c>
      <c r="HP15" s="1068">
        <f t="array" ref="HP15">IFERROR(INDEX('Margin Guidence Table'!$A$1:$AD$30000,MATCH(1,('Margin Guidence Table'!$A$1:$A$10000=HO15)*('Margin Guidence Table'!$I$1:$I$10000&lt;=ROUND($HG$3,0))*('Margin Guidence Table'!$J$1:$J$10000&gt;=ROUND($HG$3,0)),0),MATCH("DATA_POINTS",'Margin Guidence Table'!$A$1:$AG$1,0)),0)</f>
        <v>0</v>
      </c>
      <c r="HQ15" s="1065" t="str">
        <f t="shared" ref="HQ15:HQ34" si="41">IF(HP15&gt;15,"SEGMENT","DEFAULT")</f>
        <v>DEFAULT</v>
      </c>
      <c r="HR15" s="1065">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65">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69">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69">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69">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69">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69">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69">
        <f t="array" ref="HY15">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8"/>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72" t="e">
        <f t="shared" ref="IB15:IB34" si="42">IA15/$IA$35</f>
        <v>#DIV/0!</v>
      </c>
      <c r="IC15" s="101" t="s">
        <v>103</v>
      </c>
      <c r="ID15" s="93">
        <f>IFERROR(IF(AND($ID$2&lt;&gt;"Enter Spend&gt;&gt;&gt;",IE3="EXISTING"),SUMIFS('Existing Customers'!$Q:$Q,'Existing Customers'!$A:$A,$ID$1,'Existing Customers'!$H:$H,$IC15)*$ID$4,$ID$3*$IB15),0)</f>
        <v>0</v>
      </c>
      <c r="IE15" s="88">
        <f>IFERROR(IF(AND($ID$2&lt;&gt;"Enter Spend&gt;&gt;&gt;",IE2="EXISTING"),SUMIFS('Existing Customers'!$N:$N,'Existing Customers'!$A:$A,$ID$1,'Existing Customers'!$H:$H,$IC15)*$ID$4,$ID15/$IO15),0)</f>
        <v>0</v>
      </c>
      <c r="IF15" s="94">
        <f>IFERROR(IF(AND($ID$2&lt;&gt;"Enter Spend&gt;&gt;&gt;",IE2="EXISTING"),SUMIFS('Existing Customers'!$O:$O,'Existing Customers'!$H:$H,$IC15,'Existing Customers'!$A:$A,$ID$1)*$ID$4,$IE15*$ID$8),0)</f>
        <v>0</v>
      </c>
      <c r="IG15" s="94">
        <f>IFERROR(IF(AND($ID$2&lt;&gt;"Enter Spend&gt;&gt;&gt;",IE2="EXISTING"),SUMIFS('Existing Customers'!$P:$P,'Existing Customers'!$A:$A,$ID$1,'Existing Customers'!$H:$H,$IC15)*$ID$4,$ID15/$IP15),0)</f>
        <v>0</v>
      </c>
      <c r="IH15" s="378">
        <f>IFERROR(IF(AND($ID$2&lt;&gt;"Enter Spend&gt;&gt;&gt;",IE2="EXISTING"),SUMIFS('Existing Customers'!$V:$V,'Existing Customers'!$H:$H,$IC15,'Existing Customers'!$A:$A,$ID$1)*$ID$4,0),0)</f>
        <v>0</v>
      </c>
      <c r="II15" s="95">
        <f>IFERROR(IF(AND($ID$2&lt;&gt;"Enter Spend&gt;&gt;&gt;",IE2="EXISTING"),SUMIFS('Existing Customers'!$R:$R,'Existing Customers'!$H:$H,$IC15,'Existing Customers'!$A:$A,$ID$1)*$ID$4,0),0)</f>
        <v>0</v>
      </c>
      <c r="IJ15" s="1065">
        <f>IFERROR(IF(AND($ID$2&lt;&gt;"Enter Spend&gt;&gt;&gt;",IE2="EXISTING"),SUMIFS('Existing Customers'!$S:$S,'Existing Customers'!$H:$H,$IC15,'Existing Customers'!$A:$A,$ID$1),IT15*ID15),0)</f>
        <v>0</v>
      </c>
      <c r="IK15" s="1065">
        <f>IFERROR(IF(AND($ID$2&lt;&gt;"Enter Spend&gt;&gt;&gt;",IE2="EXISTING"),SUMIFS('Existing Customers'!$U:$U,'Existing Customers'!$H:$H,$IC15,'Existing Customers'!$A:$A,$ID$1),IU15*ID15),0)</f>
        <v>0</v>
      </c>
      <c r="IL15" s="1068" t="e">
        <f>_xlfn.CONCAT('Customer Inputs'!$AG$14,"_",IC15)</f>
        <v>#N/A</v>
      </c>
      <c r="IM15" s="1068">
        <f t="array" ref="IM15">IFERROR(INDEX('Margin Guidence Table'!$A$1:$AD$30000,MATCH(1,('Margin Guidence Table'!$A$1:$A$10000=IL15)*('Margin Guidence Table'!$I$1:$I$10000&lt;=ROUND($ID$3,0))*('Margin Guidence Table'!$J$1:$J$10000&gt;=ROUND($ID$3,0)),0),MATCH("DATA_POINTS",'Margin Guidence Table'!$A$1:$AG$1,0)),0)</f>
        <v>0</v>
      </c>
      <c r="IN15" s="1065" t="str">
        <f t="shared" ref="IN15:IN34" si="43">IF(IM15&gt;15,"SEGMENT","DEFAULT")</f>
        <v>DEFAULT</v>
      </c>
      <c r="IO15" s="1065">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65">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69">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69">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69">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69">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69">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69">
        <f t="array" ref="IV15">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8"/>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72" t="e">
        <f t="shared" ref="IY15:IY34" si="44">IX15/$IX$35</f>
        <v>#DIV/0!</v>
      </c>
      <c r="IZ15" s="101" t="s">
        <v>103</v>
      </c>
      <c r="JA15" s="93">
        <f>IFERROR(IF(AND($JA$2&lt;&gt;"Enter Spend&gt;&gt;&gt;",JB3="EXISTING"),SUMIFS('Existing Customers'!$Q:$Q,'Existing Customers'!$A:$A,$JA$1,'Existing Customers'!$H:$H,$IZ15)*$JA$4,$JA$3*$IY15),0)</f>
        <v>0</v>
      </c>
      <c r="JB15" s="88">
        <f>IFERROR(IF(AND($JA$2&lt;&gt;"Enter Spend&gt;&gt;&gt;",JB2="EXISTING"),SUMIFS('Existing Customers'!$N:$N,'Existing Customers'!$A:$A,$JA$1,'Existing Customers'!$H:$H,$IZ15)*$JA$4,$JA15/$JL15),0)</f>
        <v>0</v>
      </c>
      <c r="JC15" s="94">
        <f>IFERROR(IF(AND($JA$2&lt;&gt;"Enter Spend&gt;&gt;&gt;",JB2="EXISTING"),SUMIFS('Existing Customers'!$O:$O,'Existing Customers'!$H:$H,$IZ15,'Existing Customers'!$A:$A,$JA$1)*$JA$4,$JB15*$JA$8),0)</f>
        <v>0</v>
      </c>
      <c r="JD15" s="94">
        <f>IFERROR(IF(AND($JA$2&lt;&gt;"Enter Spend&gt;&gt;&gt;",JB2="EXISTING"),SUMIFS('Existing Customers'!$P:$P,'Existing Customers'!$A:$A,$JA$1,'Existing Customers'!$H:$H,$IZ15)*$JA$4,$JA15/$JM15),0)</f>
        <v>0</v>
      </c>
      <c r="JE15" s="378">
        <f>IFERROR(IF(AND($JA$2&lt;&gt;"Enter Spend&gt;&gt;&gt;",JB2="EXISTING"),SUMIFS('Existing Customers'!$V:$V,'Existing Customers'!$H:$H,$IZ15,'Existing Customers'!$A:$A,$JA$1)*$JA$4,0),0)</f>
        <v>0</v>
      </c>
      <c r="JF15" s="95">
        <f>IFERROR(IF(AND($JA$2&lt;&gt;"Enter Spend&gt;&gt;&gt;",JB2="EXISTING"),SUMIFS('Existing Customers'!$R:$R,'Existing Customers'!$H:$H,$IZ15,'Existing Customers'!$A:$A,$JA$1)*$JA$4,0),0)</f>
        <v>0</v>
      </c>
      <c r="JG15" s="1065">
        <f>IFERROR(IF(AND($JA$2&lt;&gt;"Enter Spend&gt;&gt;&gt;",JB2="EXISTING"),SUMIFS('Existing Customers'!$S:$S,'Existing Customers'!$H:$H,$IZ15,'Existing Customers'!$A:$A,$JA$1),JQ15*JA15),0)</f>
        <v>0</v>
      </c>
      <c r="JH15" s="1065">
        <f>IFERROR(IF(AND($JA$2&lt;&gt;"Enter Spend&gt;&gt;&gt;",JB2="EXISTING"),SUMIFS('Existing Customers'!$U:$U,'Existing Customers'!$H:$H,$IZ15,'Existing Customers'!$A:$A,$JA$1),JR15*JA15),0)</f>
        <v>0</v>
      </c>
      <c r="JI15" s="1068" t="e">
        <f>_xlfn.CONCAT('Customer Inputs'!$AG$15,"_",IZ15)</f>
        <v>#N/A</v>
      </c>
      <c r="JJ15" s="1068">
        <f t="array" ref="JJ15">IFERROR(INDEX('Margin Guidence Table'!$A$1:$AD$30000,MATCH(1,('Margin Guidence Table'!$A$1:$A$10000=JI15)*('Margin Guidence Table'!$I$1:$I$10000&lt;=ROUND($JA$3,0))*('Margin Guidence Table'!$J$1:$J$10000&gt;=ROUND($JA$3,0)),0),MATCH("DATA_POINTS",'Margin Guidence Table'!$A$1:$AG$1,0)),0)</f>
        <v>0</v>
      </c>
      <c r="JK15" s="1065" t="str">
        <f t="shared" ref="JK15:JK34" si="45">IF(JJ15&gt;15,"SEGMENT","DEFAULT")</f>
        <v>DEFAULT</v>
      </c>
      <c r="JL15" s="1065">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65">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69">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69">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69">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69">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69">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69">
        <f t="array" ref="JS15">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101" t="s">
        <v>103</v>
      </c>
      <c r="JV15" s="96"/>
      <c r="JW15" s="88"/>
      <c r="JX15" s="88"/>
      <c r="JY15" s="88"/>
      <c r="JZ15" s="113"/>
      <c r="KA15" s="97"/>
      <c r="KB15" s="128"/>
      <c r="KD15" s="101" t="s">
        <v>103</v>
      </c>
      <c r="KE15" s="96"/>
      <c r="KF15" s="88"/>
      <c r="KG15" s="88"/>
      <c r="KH15" s="88"/>
      <c r="KI15" s="113"/>
      <c r="KJ15" s="97"/>
    </row>
    <row r="16" spans="2:296" ht="15.75" thickBot="1" x14ac:dyDescent="0.3">
      <c r="B16" s="101" t="s">
        <v>1415</v>
      </c>
      <c r="C16" s="451">
        <f t="shared" si="11"/>
        <v>0</v>
      </c>
      <c r="D16" s="467">
        <f t="shared" si="12"/>
        <v>0</v>
      </c>
      <c r="E16" s="467">
        <f t="shared" si="13"/>
        <v>0</v>
      </c>
      <c r="F16" s="467">
        <f t="shared" si="14"/>
        <v>0</v>
      </c>
      <c r="G16" s="468">
        <f t="shared" si="15"/>
        <v>0</v>
      </c>
      <c r="H16" s="467">
        <f t="shared" si="16"/>
        <v>0</v>
      </c>
      <c r="I16" s="1061" t="e">
        <f t="shared" si="0"/>
        <v>#DIV/0!</v>
      </c>
      <c r="J16" s="1061" t="e">
        <f t="shared" si="1"/>
        <v>#DIV/0!</v>
      </c>
      <c r="K16" s="1061" t="e">
        <f t="shared" si="2"/>
        <v>#DIV/0!</v>
      </c>
      <c r="L16" s="467" t="e">
        <f t="shared" si="3"/>
        <v>#DIV/0!</v>
      </c>
      <c r="M16" s="467" t="e">
        <f t="shared" si="17"/>
        <v>#DIV/0!</v>
      </c>
      <c r="N16" s="1062" t="e">
        <f t="shared" si="4"/>
        <v>#DIV/0!</v>
      </c>
      <c r="P16" t="str">
        <f>'PIM Model'!E12</f>
        <v>INCLUDE</v>
      </c>
      <c r="Q16">
        <f t="shared" si="18"/>
        <v>0</v>
      </c>
      <c r="R16">
        <f t="shared" si="19"/>
        <v>0</v>
      </c>
      <c r="S16" s="101" t="s">
        <v>1415</v>
      </c>
      <c r="T16" s="96">
        <f t="shared" si="20"/>
        <v>0</v>
      </c>
      <c r="U16" s="88">
        <f t="shared" si="5"/>
        <v>0</v>
      </c>
      <c r="V16" s="88">
        <f t="shared" si="6"/>
        <v>0</v>
      </c>
      <c r="W16" s="88">
        <f t="shared" si="7"/>
        <v>0</v>
      </c>
      <c r="X16" s="113">
        <f t="shared" si="8"/>
        <v>0</v>
      </c>
      <c r="Y16" s="116">
        <f t="shared" si="21"/>
        <v>0</v>
      </c>
      <c r="Z16" s="376"/>
      <c r="AA16" s="101" t="s">
        <v>1415</v>
      </c>
      <c r="AB16" s="455">
        <f t="shared" si="9"/>
        <v>0</v>
      </c>
      <c r="AC16" s="456">
        <f t="shared" si="9"/>
        <v>0</v>
      </c>
      <c r="AD16" s="456">
        <f t="shared" si="9"/>
        <v>0</v>
      </c>
      <c r="AE16" s="457">
        <f t="shared" si="22"/>
        <v>0</v>
      </c>
      <c r="AF16" s="458">
        <f t="shared" si="23"/>
        <v>0</v>
      </c>
      <c r="AG16" s="376"/>
      <c r="AH16" s="101" t="s">
        <v>1415</v>
      </c>
      <c r="AI16" s="455">
        <f t="shared" si="10"/>
        <v>0</v>
      </c>
      <c r="AJ16" s="452">
        <f t="shared" si="24"/>
        <v>0</v>
      </c>
      <c r="AK16" s="458"/>
      <c r="AL16" s="376"/>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76">
        <f>VLOOKUP($AH16&amp;$AM16,'IMargin Quartiles'!$A:$F,6,FALSE)</f>
        <v>0.09</v>
      </c>
      <c r="AO16" s="376"/>
      <c r="AP16"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Q16" s="376" t="e">
        <f t="shared" si="25"/>
        <v>#DIV/0!</v>
      </c>
      <c r="AR16">
        <f>'PIM Model'!C12</f>
        <v>0</v>
      </c>
      <c r="AS16" s="376"/>
      <c r="AT16" s="376"/>
      <c r="AU16" s="376" t="e">
        <f t="shared" ref="AU16:AU34" si="46">IF($AR16="AVG",IFERROR((AC16+AJ16)/(AB16+AI16),AQ16),(AC16+AJ16)/(AB16+AI16))</f>
        <v>#DIV/0!</v>
      </c>
      <c r="AV16" s="376"/>
      <c r="AW16" s="376"/>
      <c r="AX16" s="107">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72" t="e">
        <f t="shared" si="26"/>
        <v>#DIV/0!</v>
      </c>
      <c r="BA16" s="101" t="s">
        <v>1415</v>
      </c>
      <c r="BB16" s="93">
        <f>IFERROR(IF(AND($BB$2&lt;&gt;"Enter Spend&gt;&gt;&gt;",BC4="EXISTING"),SUMIFS('Existing Customers'!$Q:$Q,'Existing Customers'!$A:$A,$BB$1,'Existing Customers'!$H:$H,$BA16)*$BB$4,$BB$3*$AZ16),0)</f>
        <v>0</v>
      </c>
      <c r="BC16" s="94">
        <f>IFERROR(IF(AND($BB$2&lt;&gt;"Enter Spend&gt;&gt;&gt;",BC2="EXISTING"),SUMIFS('Existing Customers'!$N:$N,'Existing Customers'!$A:$A,$BB$1,'Existing Customers'!$H:$H,$BA16)*$BB$4,$BB16/$BM16),0)</f>
        <v>0</v>
      </c>
      <c r="BD16" s="94">
        <f>IFERROR(IF(AND($BB$2&lt;&gt;"Enter Spend&gt;&gt;&gt;",BC2="EXISTING"),SUMIFS('Existing Customers'!$O:$O,'Existing Customers'!$H:$H,$BA16,'Existing Customers'!$A:$A,$BB$1)*$BB$4,$BC16*$BB$8),0)</f>
        <v>0</v>
      </c>
      <c r="BE16" s="94">
        <f>IFERROR(IF(AND($BB$2&lt;&gt;"Enter Spend&gt;&gt;&gt;",BC2="EXISTING"),SUMIFS('Existing Customers'!$P:$P,'Existing Customers'!$A:$A,$BB$1,'Existing Customers'!$H:$H,$BA16)*$BB$4,$BB16/$BN16),0)</f>
        <v>0</v>
      </c>
      <c r="BF16" s="378">
        <f>IFERROR(IF(AND($BB$2&lt;&gt;"Enter Spend&gt;&gt;&gt;",BC2="EXISTING"),SUMIFS('Existing Customers'!$V:$V,'Existing Customers'!$H:$H,$BA16,'Existing Customers'!$A:$A,$BB$1)*$BB$4,0),0)</f>
        <v>0</v>
      </c>
      <c r="BG16" s="95">
        <f>IFERROR(IF(AND($BB$2&lt;&gt;"Enter Spend&gt;&gt;&gt;",BC2="EXISTING"),SUMIFS('Existing Customers'!$R:$R,'Existing Customers'!$H:$H,$BA16,'Existing Customers'!$A:$A,$BB$1)*$BB$4,0),0)</f>
        <v>0</v>
      </c>
      <c r="BH16" s="95">
        <f>IFERROR(IF(AND($BB$2&lt;&gt;"Enter Spend&gt;&gt;&gt;",BC2="EXISTING"),SUMIFS('Existing Customers'!$S:$S,'Existing Customers'!$H:$H,$BA16,'Existing Customers'!$A:$A,$BB$1),BR16*BB16),0)</f>
        <v>0</v>
      </c>
      <c r="BI16" s="95">
        <f>IFERROR(IF(AND($BB$2&lt;&gt;"Enter Spend&gt;&gt;&gt;",BC2="EXISTING"),SUMIFS('Existing Customers'!$U:$U,'Existing Customers'!$H:$H,$BA16,'Existing Customers'!$A:$A,$BB$1),BS16*BB16),0)</f>
        <v>0</v>
      </c>
      <c r="BJ16" s="1067" t="e">
        <f>_xlfn.CONCAT('Customer Inputs'!$AG$6,"_",BA16)</f>
        <v>#N/A</v>
      </c>
      <c r="BK16" s="1068">
        <f t="array" ref="BK16">IFERROR(INDEX('Margin Guidence Table'!$A$1:$AD$30000,MATCH(1,('Margin Guidence Table'!$A$1:$A$10000=$BJ16)*('Margin Guidence Table'!$I$1:$I$10000&lt;=ROUND($BB$3,0))*('Margin Guidence Table'!$J$1:$J$10000&gt;=ROUND($BB$3,0)),0),MATCH("DATA_POINTS",'Margin Guidence Table'!$A$1:$AG$1,0)),0)</f>
        <v>0</v>
      </c>
      <c r="BL16" s="1065" t="str">
        <f t="shared" si="27"/>
        <v>DEFAULT</v>
      </c>
      <c r="BM16" s="1065">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65">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69">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69">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69">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69">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69">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69">
        <f t="array" ref="BT16">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8"/>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72" t="e">
        <f t="shared" si="28"/>
        <v>#DIV/0!</v>
      </c>
      <c r="BX16" s="101" t="s">
        <v>1415</v>
      </c>
      <c r="BY16" s="93">
        <f>IFERROR(IF(AND($BY$2&lt;&gt;"Enter Spend&gt;&gt;&gt;",BZ4="EXISTING"),SUMIFS('Existing Customers'!$Q:$Q,'Existing Customers'!$A:$A,$BY$1,'Existing Customers'!$H:$H,$BX16)*$BY$4,$BY$3*$BW16),0)</f>
        <v>0</v>
      </c>
      <c r="BZ16" s="88">
        <f>IFERROR(IF(AND($BY$2&lt;&gt;"Enter Spend&gt;&gt;&gt;",BZ2="EXISTING"),SUMIFS('Existing Customers'!$N:$N,'Existing Customers'!$A:$A,$BY$1,'Existing Customers'!$H:$H,$BX16)*$BY$4,$BY16/$CJ16),0)</f>
        <v>0</v>
      </c>
      <c r="CA16" s="94">
        <f>IFERROR(IF(AND($BY$2&lt;&gt;"Enter Spend&gt;&gt;&gt;",BZ2="EXISTING"),SUMIFS('Existing Customers'!$O:$O,'Existing Customers'!$H:$H,$BX16,'Existing Customers'!$A:$A,$BY$1)*$BY$4,$BZ16*$BY$8),0)</f>
        <v>0</v>
      </c>
      <c r="CB16" s="94">
        <f>IFERROR(IF(AND($BY$2&lt;&gt;"Enter Spend&gt;&gt;&gt;",BZ2="EXISTING"),SUMIFS('Existing Customers'!$P:$P,'Existing Customers'!$A:$A,$BY$1,'Existing Customers'!$H:$H,$BX16)*$BY$4,$BY16/$CK16),0)</f>
        <v>0</v>
      </c>
      <c r="CC16" s="95">
        <f>IFERROR(IF(AND($BY$2&lt;&gt;"Enter Spend&gt;&gt;&gt;",BZ2="EXISTING"),SUMIFS('Existing Customers'!$V:$V,'Existing Customers'!$H:$H,$BX16,'Existing Customers'!$A:$A,$BY$1)*$BY$4,0),0)</f>
        <v>0</v>
      </c>
      <c r="CD16" s="95">
        <f>IFERROR(IF(AND($BY$2&lt;&gt;"Enter Spend&gt;&gt;&gt;",BZ2="EXISTING"),SUMIFS('Existing Customers'!$R:$R,'Existing Customers'!$H:$H,$BX16,'Existing Customers'!$A:$A,$BY$1)*$BY$4,0),0)</f>
        <v>0</v>
      </c>
      <c r="CE16" s="1065">
        <f>IFERROR(IF(AND($BY$2&lt;&gt;"Enter Spend&gt;&gt;&gt;",BZ2="EXISTING"),SUMIFS('Existing Customers'!$S:$S,'Existing Customers'!$H:$H,$BX16,'Existing Customers'!$A:$A,$BY$1),CO16*BY16),0)</f>
        <v>0</v>
      </c>
      <c r="CF16" s="1065">
        <f>IFERROR(IF(AND($BY$2&lt;&gt;"Enter Spend&gt;&gt;&gt;",BZ2="EXISTING"),SUMIFS('Existing Customers'!$U:$U,'Existing Customers'!$H:$H,$BX16,'Existing Customers'!$A:$A,$BY$1),CP16*BY16),0)</f>
        <v>0</v>
      </c>
      <c r="CG16" s="1068" t="e">
        <f>_xlfn.CONCAT('Customer Inputs'!$AG$7,"_",BX16)</f>
        <v>#N/A</v>
      </c>
      <c r="CH16" s="1068">
        <f t="array" ref="CH16">IFERROR(INDEX('Margin Guidence Table'!$A$1:$AD$30000,MATCH(1,('Margin Guidence Table'!$A$1:$A$10000=$CG16)*('Margin Guidence Table'!$I$1:$I$10000&lt;=ROUND($BY$3,0))*('Margin Guidence Table'!$J$1:$J$10000&gt;=ROUND($BY$3,0)),0),MATCH("DATA_POINTS",'Margin Guidence Table'!$A$1:$AG$1,0)),0)</f>
        <v>0</v>
      </c>
      <c r="CI16" s="1065" t="str">
        <f t="shared" si="29"/>
        <v>DEFAULT</v>
      </c>
      <c r="CJ16" s="1065">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65">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69">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69">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69">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69">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69">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69">
        <f t="array" ref="CQ16">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8"/>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72" t="e">
        <f t="shared" si="30"/>
        <v>#DIV/0!</v>
      </c>
      <c r="CU16" s="101" t="s">
        <v>1415</v>
      </c>
      <c r="CV16" s="93">
        <f>IFERROR(IF(AND($CV$2&lt;&gt;"Enter Spend&gt;&gt;&gt;",CW4="EXISTING"),SUMIFS('Existing Customers'!$Q:$Q,'Existing Customers'!$A:$A,$CV$1,'Existing Customers'!$H:$H,$CU16)*$CV$4,$CV$3*$CT16),0)</f>
        <v>0</v>
      </c>
      <c r="CW16" s="88">
        <f>IFERROR(IF(AND($CV$2&lt;&gt;"Enter Spend&gt;&gt;&gt;",CW2="EXISTING"),SUMIFS('Existing Customers'!$N:$N,'Existing Customers'!$A:$A,$CV$1,'Existing Customers'!$H:$H,$CU16)*$CV$4,$CV16/$DG16),0)</f>
        <v>0</v>
      </c>
      <c r="CX16" s="94">
        <f>IFERROR(IF(AND($CV$2&lt;&gt;"Enter Spend&gt;&gt;&gt;",BC28="EXISTING"),SUMIFS('Existing Customers'!$O:$O,'Existing Customers'!$H:$H,$CU16,'Existing Customers'!$A:$A,$CV$1)*$CV$4,$CW16*$CV$8),0)</f>
        <v>0</v>
      </c>
      <c r="CY16" s="94">
        <f>IFERROR(IF(AND($CV$2&lt;&gt;"Enter Spend&gt;&gt;&gt;",CW2="EXISTING"),SUMIFS('Existing Customers'!$P:$P,'Existing Customers'!$A:$A,$CV$1,'Existing Customers'!$H:$H,$CU16)*$CV$4,$CV16/$DH16),0)</f>
        <v>0</v>
      </c>
      <c r="CZ16" s="95">
        <f>IFERROR(IF(AND($CV$2&lt;&gt;"Enter Spend&gt;&gt;&gt;",CW2="EXISTING"),SUMIFS('Existing Customers'!$V:$V,'Existing Customers'!$H:$H,$CU16,'Existing Customers'!$A:$A,$CV$1)*$CV$4,0),0)</f>
        <v>0</v>
      </c>
      <c r="DA16" s="95">
        <f>IFERROR(IF(AND($CV$2&lt;&gt;"Enter Spend&gt;&gt;&gt;",CW2="EXISTING"),SUMIFS('Existing Customers'!$R:$R,'Existing Customers'!$H:$H,$BA16,'Existing Customers'!$A:$A,$CV$1)*$CV$4,0),0)</f>
        <v>0</v>
      </c>
      <c r="DB16" s="1065">
        <f>IFERROR(IF(AND($CV$2&lt;&gt;"Enter Spend&gt;&gt;&gt;",CW2="EXISTING"),SUMIFS('Existing Customers'!$S:$S,'Existing Customers'!$H:$H,$CU16,'Existing Customers'!$A:$A,$CV$1),DL16*CV16),0)</f>
        <v>0</v>
      </c>
      <c r="DC16" s="1065">
        <f>IFERROR(IF(AND($CV$2&lt;&gt;"Enter Spend&gt;&gt;&gt;",CW2="EXISTING"),SUMIFS('Existing Customers'!$U:$U,'Existing Customers'!$H:$H,$CU16,'Existing Customers'!$A:$A,$CV$1),DM16*CV16),0)</f>
        <v>0</v>
      </c>
      <c r="DD16" s="1068" t="e">
        <f>_xlfn.CONCAT('Customer Inputs'!$AG$8,"_",CU16)</f>
        <v>#N/A</v>
      </c>
      <c r="DE16" s="1068">
        <f t="array" ref="DE16">IFERROR(INDEX('Margin Guidence Table'!$A$1:$AD$30000,MATCH(1,('Margin Guidence Table'!$A$1:$A$10000=DD16)*('Margin Guidence Table'!$I$1:$I$10000&lt;=ROUND($CV$3,0))*('Margin Guidence Table'!$J$1:$J$10000&gt;=ROUND($CV$3,0)),0),MATCH("DATA_POINTS",'Margin Guidence Table'!$A$1:$AG$1,0)),0)</f>
        <v>0</v>
      </c>
      <c r="DF16" s="1065" t="str">
        <f t="shared" si="31"/>
        <v>DEFAULT</v>
      </c>
      <c r="DG16" s="1065">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65">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69">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69">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69">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69">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69">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69">
        <f t="array" ref="DN16">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8"/>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72" t="e">
        <f t="shared" si="32"/>
        <v>#DIV/0!</v>
      </c>
      <c r="DR16" s="101" t="s">
        <v>1415</v>
      </c>
      <c r="DS16" s="93">
        <f>IFERROR(IF(AND($DS$2&lt;&gt;"Enter Spend&gt;&gt;&gt;",DT4="EXISTING"),SUMIFS('Existing Customers'!$Q:$Q,'Existing Customers'!$A:$A,$DS$1,'Existing Customers'!$H:$H,$DR16)*$DS$4,$DS$3*$DQ16),0)</f>
        <v>0</v>
      </c>
      <c r="DT16" s="88">
        <f>IFERROR(IF(AND($DS$2&lt;&gt;"Enter Spend&gt;&gt;&gt;",DT2="EXISTING"),SUMIFS('Existing Customers'!$N:$N,'Existing Customers'!$A:$A,$DS$1,'Existing Customers'!$H:$H,$DR16)*$DS$4,$DS16/$ED16),0)</f>
        <v>0</v>
      </c>
      <c r="DU16" s="94">
        <f>IFERROR(IF(AND($DS$2&lt;&gt;"Enter Spend&gt;&gt;&gt;",DT2="EXISTING"),SUMIFS('Existing Customers'!$O:$O,'Existing Customers'!$H:$H,$DR16,'Existing Customers'!$A:$A,$DS$1)*$DS$4,$DT16*$DS$8),0)</f>
        <v>0</v>
      </c>
      <c r="DV16" s="94">
        <f>IFERROR(IF(AND($DS$2&lt;&gt;"Enter Spend&gt;&gt;&gt;",DT2="EXISTING"),SUMIFS('Existing Customers'!$P:$P,'Existing Customers'!$A:$A,$DS$1,'Existing Customers'!$H:$H,$DR16)*$DS$4,$DS16/$EE16),0)</f>
        <v>0</v>
      </c>
      <c r="DW16" s="95">
        <f>IFERROR(IF(AND($DS$2&lt;&gt;"Enter Spend&gt;&gt;&gt;",EQ2="EXISTING"),SUMIFS('Existing Customers'!$V:$V,'Existing Customers'!$H:$H,$DR16,'Existing Customers'!$A:$A,$DS$1)*$DS$4,0),0)</f>
        <v>0</v>
      </c>
      <c r="DX16" s="95">
        <f>IFERROR(IF(AND($DS$2&lt;&gt;"Enter Spend&gt;&gt;&gt;",DT2="EXISTING"),SUMIFS('Existing Customers'!$R:$R,'Existing Customers'!$H:$H,$DR16,'Existing Customers'!$A:$A,$DS$1)*$DS$4,0),0)</f>
        <v>0</v>
      </c>
      <c r="DY16" s="1065">
        <f>IFERROR(IF(AND($DS$2&lt;&gt;"Enter Spend&gt;&gt;&gt;",DT2="EXISTING"),SUMIFS('Existing Customers'!$S:$S,'Existing Customers'!$H:$H,$DT16,'Existing Customers'!$A:$A,$DS$1),EI16*DS16),0)</f>
        <v>0</v>
      </c>
      <c r="DZ16" s="1065">
        <f>IFERROR(IF(AND($DS$2&lt;&gt;"Enter Spend&gt;&gt;&gt;",DT2="EXISTING"),SUMIFS('Existing Customers'!$U:$U,'Existing Customers'!$H:$H,$DR16,'Existing Customers'!$A:$A,$DS$1),EJ16*DS16),0)</f>
        <v>0</v>
      </c>
      <c r="EA16" s="1068" t="e">
        <f>_xlfn.CONCAT('Customer Inputs'!$AG$9,"_",DR16)</f>
        <v>#N/A</v>
      </c>
      <c r="EB16" s="1068">
        <f t="array" ref="EB16">IFERROR(INDEX('Margin Guidence Table'!$A$1:$AD$30000,MATCH(1,('Margin Guidence Table'!$A$1:$A$10000=EA16)*('Margin Guidence Table'!$I$1:$I$10000&lt;=ROUND($DS$3,0))*('Margin Guidence Table'!$J$1:$J$10000&gt;=ROUND($DS$3,0)),0),MATCH("DATA_POINTS",'Margin Guidence Table'!$A$1:$AG$1,0)),0)</f>
        <v>0</v>
      </c>
      <c r="EC16" s="1065" t="str">
        <f t="shared" si="33"/>
        <v>DEFAULT</v>
      </c>
      <c r="ED16" s="1065">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65">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69">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69">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69">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69">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69">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69">
        <f t="array" ref="EK16">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8"/>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72" t="e">
        <f t="shared" si="34"/>
        <v>#DIV/0!</v>
      </c>
      <c r="EO16" s="101" t="s">
        <v>1415</v>
      </c>
      <c r="EP16" s="93">
        <f>IFERROR(IF(AND($EP$2&lt;&gt;"Enter Spend&gt;&gt;&gt;",EQ4="EXISTING"),SUMIFS('Existing Customers'!$Q:$Q,'Existing Customers'!$A:$A,$EP$1,'Existing Customers'!$H:$H,$EO16)*$EP$4,$EP$3*$EN16),0)</f>
        <v>0</v>
      </c>
      <c r="EQ16" s="88">
        <f>IFERROR(IF(AND($EP$2&lt;&gt;"Enter Spend&gt;&gt;&gt;",EQ2="EXISTING"),SUMIFS('Existing Customers'!$N:$N,'Existing Customers'!$A:$A,$EP$1,'Existing Customers'!$H:$H,$EO16)*$EP$4,$EP16/$FA16),0)</f>
        <v>0</v>
      </c>
      <c r="ER16" s="94">
        <f>IFERROR(IF(AND($EP$2&lt;&gt;"Enter Spend&gt;&gt;&gt;",EQ2="EXISTING"),SUMIFS('Existing Customers'!$O:$O,'Existing Customers'!$H:$H,$EO16,'Existing Customers'!$A:$A,$EP$1)*$EP$4,$EQ16*$EP$8),0)</f>
        <v>0</v>
      </c>
      <c r="ES16" s="94">
        <f>IFERROR(IF(AND($EP$2&lt;&gt;"Enter Spend&gt;&gt;&gt;",EQ2="EXISTING"),SUMIFS('Existing Customers'!$P:$P,'Existing Customers'!$A:$A,$EP$1,'Existing Customers'!$H:$H,$EO16)*$EP$4,$EP16/$FB16),0)</f>
        <v>0</v>
      </c>
      <c r="ET16" s="95">
        <f>IFERROR(IF(AND($EP$2&lt;&gt;"Enter Spend&gt;&gt;&gt;",EQ2="EXISTING"),SUMIFS('Existing Customers'!$V:$V,'Existing Customers'!$H:$H,$EO16,'Existing Customers'!$A:$A,$EP$1)*$EP$4,0),0)</f>
        <v>0</v>
      </c>
      <c r="EU16" s="95">
        <f>IFERROR(IF(AND($EP$2&lt;&gt;"Enter Spend&gt;&gt;&gt;",EQ2="EXISTING"),SUMIFS('Existing Customers'!$R:$R,'Existing Customers'!$H:$H,$EO16,'Existing Customers'!$A:$A,$EP$1)*$EP$4,0),0)</f>
        <v>0</v>
      </c>
      <c r="EV16" s="1065">
        <f>IFERROR(IF(AND($EP$2&lt;&gt;"Enter Spend&gt;&gt;&gt;",EQ2="EXISTING"),SUMIFS('Existing Customers'!$S:$S,'Existing Customers'!$H:$H,$EO16,'Existing Customers'!$A:$A,$EP$1),FF16*EP16),0)</f>
        <v>0</v>
      </c>
      <c r="EW16" s="1065">
        <f>IFERROR(IF(AND($EP$2&lt;&gt;"Enter Spend&gt;&gt;&gt;",EQ2="EXISTING"),SUMIFS('Existing Customers'!$U:$U,'Existing Customers'!$H:$H,$EO16,'Existing Customers'!$A:$A,$EP$1),FG16*EP16),0)</f>
        <v>0</v>
      </c>
      <c r="EX16" s="1068" t="e">
        <f>_xlfn.CONCAT('Customer Inputs'!$AG$10,"_",EO16)</f>
        <v>#N/A</v>
      </c>
      <c r="EY16" s="1068">
        <f t="array" ref="EY16">IFERROR(INDEX('Margin Guidence Table'!$A$1:$AD$30000,MATCH(1,('Margin Guidence Table'!$A$1:$A$10000=EX16)*('Margin Guidence Table'!$I$1:$I$10000&lt;=ROUND($EP$3,0))*('Margin Guidence Table'!$J$1:$J$10000&gt;=ROUND($EP$3,0)),0),MATCH("DATA_POINTS",'Margin Guidence Table'!$A$1:$AG$1,0)),0)</f>
        <v>0</v>
      </c>
      <c r="EZ16" s="1065" t="str">
        <f t="shared" si="35"/>
        <v>DEFAULT</v>
      </c>
      <c r="FA16" s="1065">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65"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69">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69">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69">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69">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69">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69">
        <f t="array" ref="FH16">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8"/>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72" t="e">
        <f t="shared" si="36"/>
        <v>#DIV/0!</v>
      </c>
      <c r="FL16" s="101" t="s">
        <v>1415</v>
      </c>
      <c r="FM16" s="93">
        <f>IFERROR(IF(AND($FM$2&lt;&gt;"Enter Spend&gt;&gt;&gt;",FN4="EXISTING"),SUMIFS('Existing Customers'!$Q:$Q,'Existing Customers'!$A:$A,$FM$1,'Existing Customers'!$H:$H,$FL16)*$FM$4,$FM$3*$FK16),0)</f>
        <v>0</v>
      </c>
      <c r="FN16" s="88">
        <f>IFERROR(IF(AND($FM$2&lt;&gt;"Enter Spend&gt;&gt;&gt;",FN2="EXISTING"),SUMIFS('Existing Customers'!$N:$N,'Existing Customers'!$A:$A,$FM$1,'Existing Customers'!$H:$H,$FL16)*$FM$4,$FM16/$FX16),0)</f>
        <v>0</v>
      </c>
      <c r="FO16" s="94">
        <f>IFERROR(IF(AND($FM$2&lt;&gt;"Enter Spend&gt;&gt;&gt;",FN2="EXISTING"),SUMIFS('Existing Customers'!$O:$O,'Existing Customers'!$H:$H,$FL16,'Existing Customers'!$A:$A,$FM$1)*$FM$4,$FN16*$FM$8),0)</f>
        <v>0</v>
      </c>
      <c r="FP16" s="94">
        <f>IFERROR(IF(AND($FM$2&lt;&gt;"Enter Spend&gt;&gt;&gt;",FN2="EXISTING"),SUMIFS('Existing Customers'!$P:$P,'Existing Customers'!$A:$A,$FM$1,'Existing Customers'!$H:$H,$FL16)*$FM$4,$FM16/$FY16),0)</f>
        <v>0</v>
      </c>
      <c r="FQ16" s="95">
        <f>IFERROR(IF(AND($FM$2&lt;&gt;"Enter Spend&gt;&gt;&gt;",FN2="EXISTING"),SUMIFS('Existing Customers'!$V:$V,'Existing Customers'!$H:$H,$FL16,'Existing Customers'!$A:$A,$FM$1)*$FM$4,0),0)</f>
        <v>0</v>
      </c>
      <c r="FR16" s="95">
        <f>IFERROR(IF(AND($FM$2&lt;&gt;"Enter Spend&gt;&gt;&gt;",FN2="EXISTING"),SUMIFS('Existing Customers'!$R:$R,'Existing Customers'!$H:$H,$FL16,'Existing Customers'!$A:$A,$FM$1)*$FM$4,0),0)</f>
        <v>0</v>
      </c>
      <c r="FS16" s="1065">
        <f>IFERROR(IF(AND($FM$2&lt;&gt;"Enter Spend&gt;&gt;&gt;",FN2="EXISTING"),SUMIFS('Existing Customers'!$S:$S,'Existing Customers'!$H:$H,$FL16,'Existing Customers'!$A:$A,$FM$1),GC16*FM16),0)</f>
        <v>0</v>
      </c>
      <c r="FT16" s="1065">
        <f>IFERROR(IF(AND($FM$2&lt;&gt;"Enter Spend&gt;&gt;&gt;",FN2="EXISTING"),SUMIFS('Existing Customers'!$U:$U,'Existing Customers'!$H:$H,$FL16,'Existing Customers'!$A:$A,$FM$1),GD16*FM16),0)</f>
        <v>0</v>
      </c>
      <c r="FU16" s="1068" t="e">
        <f>_xlfn.CONCAT('Customer Inputs'!$AG$11,"_",FL16)</f>
        <v>#N/A</v>
      </c>
      <c r="FV16" s="1068">
        <f t="array" ref="FV16">IFERROR(INDEX('Margin Guidence Table'!$A$1:$AD$30000,MATCH(1,('Margin Guidence Table'!$A$1:$A$10000=FU16)*('Margin Guidence Table'!$I$1:$I$10000&lt;=ROUND($FM$3,0))*('Margin Guidence Table'!$J$1:$J$10000&gt;=ROUND($FM$3,0)),0),MATCH("DATA_POINTS",'Margin Guidence Table'!$A$1:$AG$1,0)),0)</f>
        <v>0</v>
      </c>
      <c r="FW16" s="1065" t="str">
        <f t="shared" si="37"/>
        <v>DEFAULT</v>
      </c>
      <c r="FX16" s="1065">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65">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69">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69">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69">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69">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69">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69">
        <f t="array" ref="GE16">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8"/>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72" t="e">
        <f t="shared" si="38"/>
        <v>#DIV/0!</v>
      </c>
      <c r="GI16" s="101" t="s">
        <v>1415</v>
      </c>
      <c r="GJ16" s="93">
        <f>IFERROR(IF(AND($GJ$2&lt;&gt;"Enter Spend&gt;&gt;&gt;",GK4="EXISTING"),SUMIFS('Existing Customers'!$Q:$Q,'Existing Customers'!$A:$A,$GJ$1,'Existing Customers'!$H:$H,$GI16)*$GJ$4,$GJ$3*$GH16),0)</f>
        <v>0</v>
      </c>
      <c r="GK16" s="88">
        <f>IFERROR(IF(AND($GJ$2&lt;&gt;"Enter Spend&gt;&gt;&gt;",GK2="EXISTING"),SUMIFS('Existing Customers'!$N:$N,'Existing Customers'!$A:$A,$GJ$1,'Existing Customers'!$H:$H,$GI16)*$GJ$4,$GJ16/$GU16),0)</f>
        <v>0</v>
      </c>
      <c r="GL16" s="94">
        <f>IFERROR(IF(AND($GJ$2&lt;&gt;"Enter Spend&gt;&gt;&gt;",GK2="EXISTING"),SUMIFS('Existing Customers'!$O:$O,'Existing Customers'!$H:$H,$GI16,'Existing Customers'!$A:$A,$GJ$1)*$GJ$4,$GK16*$GJ$8),0)</f>
        <v>0</v>
      </c>
      <c r="GM16" s="94">
        <f>IFERROR(IF(AND($GJ$2&lt;&gt;"Enter Spend&gt;&gt;&gt;",GK2="EXISTING"),SUMIFS('Existing Customers'!$P:$P,'Existing Customers'!$A:$A,$GJ$1,'Existing Customers'!$H:$H,$GI16)*$GJ$4,$GJ16/$GV16),0)</f>
        <v>0</v>
      </c>
      <c r="GN16" s="95">
        <f>IFERROR(IF(AND($GJ$2&lt;&gt;"Enter Spend&gt;&gt;&gt;",GK2="EXISTING"),SUMIFS('Existing Customers'!$V:$V,'Existing Customers'!$H:$H,$GI16,'Existing Customers'!$A:$A,$GJ$1)*$GJ$4,0),0)</f>
        <v>0</v>
      </c>
      <c r="GO16" s="95">
        <f>IFERROR(IF(AND($GJ$2&lt;&gt;"Enter Spend&gt;&gt;&gt;",GK2="EXISTING"),SUMIFS('Existing Customers'!$R:$R,'Existing Customers'!$H:$H,$GI16,'Existing Customers'!$A:$A,$GJ$1)*$GJ$4,0),0)</f>
        <v>0</v>
      </c>
      <c r="GP16" s="1065">
        <f>IFERROR(IF(AND($GJ$2&lt;&gt;"Enter Spend&gt;&gt;&gt;",GK2="EXISTING"),SUMIFS('Existing Customers'!$S:$S,'Existing Customers'!$H:$H,$GI16,'Existing Customers'!$A:$A,$GJ$1),GZ16*GJ16),0)</f>
        <v>0</v>
      </c>
      <c r="GQ16" s="1065">
        <f>IFERROR(IF(AND($GJ$2&lt;&gt;"Enter Spend&gt;&gt;&gt;",GK2="EXISTING"),SUMIFS('Existing Customers'!$U:$U,'Existing Customers'!$H:$H,$GI16,'Existing Customers'!$A:$A,$GJ$1),HA16*GJ16),0)</f>
        <v>0</v>
      </c>
      <c r="GR16" s="1068" t="e">
        <f>_xlfn.CONCAT('Customer Inputs'!$AG$12,"_",GI16)</f>
        <v>#N/A</v>
      </c>
      <c r="GS16" s="1068">
        <f t="array" ref="GS16">IFERROR(INDEX('Margin Guidence Table'!$A$1:$AD$30000,MATCH(1,('Margin Guidence Table'!$A$1:$A$10000=GR16)*('Margin Guidence Table'!$I$1:$I$10000&lt;=ROUND($GJ$3,0))*('Margin Guidence Table'!$J$1:$J$10000&gt;=ROUND($GJ$3,0)),0),MATCH("DATA_POINTS",'Margin Guidence Table'!$A$1:$AG$1,0)),0)</f>
        <v>0</v>
      </c>
      <c r="GT16" s="1065" t="str">
        <f t="shared" si="39"/>
        <v>DEFAULT</v>
      </c>
      <c r="GU16" s="1065">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65">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69">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69">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69">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69">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69">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69">
        <f t="array" ref="HB16">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8"/>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72" t="e">
        <f t="shared" si="40"/>
        <v>#DIV/0!</v>
      </c>
      <c r="HF16" s="101" t="s">
        <v>1415</v>
      </c>
      <c r="HG16" s="93">
        <f>IFERROR(IF(AND($HG$2&lt;&gt;"Enter Spend&gt;&gt;&gt;",HH4="EXISTING"),SUMIFS('Existing Customers'!$Q:$Q,'Existing Customers'!$A:$A,$HG$1,'Existing Customers'!$H:$H,$HF16)*$HG$4,$HG$3*$HE16),0)</f>
        <v>0</v>
      </c>
      <c r="HH16" s="88">
        <f>IFERROR(IF(AND($HG$2&lt;&gt;"Enter Spend&gt;&gt;&gt;",HH2="EXISTING"),SUMIFS('Existing Customers'!$N:$N,'Existing Customers'!$A:$A,$HG$1,'Existing Customers'!$H:$H,$HF16)*$HG$4,$HG16/$HR16),0)</f>
        <v>0</v>
      </c>
      <c r="HI16" s="94">
        <f>IFERROR(IF(AND($HG$2&lt;&gt;"Enter Spend&gt;&gt;&gt;",HH2="EXISTING"),SUMIFS('Existing Customers'!$O:$O,'Existing Customers'!$H:$H,$HF16,'Existing Customers'!$A:$A,$HG$1)*$HG$4,$HH16*$HG$8),0)</f>
        <v>0</v>
      </c>
      <c r="HJ16" s="94">
        <f>IFERROR(IF(AND($HG$2&lt;&gt;"Enter Spend&gt;&gt;&gt;",HH2="EXISTING"),SUMIFS('Existing Customers'!$P:$P,'Existing Customers'!$A:$A,$HG$1,'Existing Customers'!$H:$H,$HF16)*$HG$4,$HG16/$HS16),0)</f>
        <v>0</v>
      </c>
      <c r="HK16" s="95">
        <f>IFERROR(IF(AND($HG$2&lt;&gt;"Enter Spend&gt;&gt;&gt;",HH2="EXISTING"),SUMIFS('Existing Customers'!$V:$V,'Existing Customers'!$H:$H,$HF16,'Existing Customers'!$A:$A,$HG$1)*$HG$4,0),0)</f>
        <v>0</v>
      </c>
      <c r="HL16" s="95">
        <f>IFERROR(IF(AND($HG$2&lt;&gt;"Enter Spend&gt;&gt;&gt;",HH2="EXISTING"),SUMIFS('Existing Customers'!$R:$R,'Existing Customers'!$H:$H,$HF16,'Existing Customers'!$A:$A,$HG$1)*$HG$4,0),0)</f>
        <v>0</v>
      </c>
      <c r="HM16" s="1065">
        <f>IFERROR(IF(AND($HG$2&lt;&gt;"Enter Spend&gt;&gt;&gt;",HH2="EXISTING"),SUMIFS('Existing Customers'!$S:$S,'Existing Customers'!$H:$H,$HF16,'Existing Customers'!$A:$A,$HG$1),HW16*HG16),0)</f>
        <v>0</v>
      </c>
      <c r="HN16" s="1065">
        <f>IFERROR(IF(AND($HG$2&lt;&gt;"Enter Spend&gt;&gt;&gt;",HH2="EXISTING"),SUMIFS('Existing Customers'!$U:$U,'Existing Customers'!$H:$H,$HF16,'Existing Customers'!$A:$A,$HG$1),HX16*HG16),0)</f>
        <v>0</v>
      </c>
      <c r="HO16" s="1068" t="e">
        <f>_xlfn.CONCAT('Customer Inputs'!$AG$13,"_",HF16)</f>
        <v>#N/A</v>
      </c>
      <c r="HP16" s="1068">
        <f t="array" ref="HP16">IFERROR(INDEX('Margin Guidence Table'!$A$1:$AD$30000,MATCH(1,('Margin Guidence Table'!$A$1:$A$10000=HO16)*('Margin Guidence Table'!$I$1:$I$10000&lt;=ROUND($HG$3,0))*('Margin Guidence Table'!$J$1:$J$10000&gt;=ROUND($HG$3,0)),0),MATCH("DATA_POINTS",'Margin Guidence Table'!$A$1:$AG$1,0)),0)</f>
        <v>0</v>
      </c>
      <c r="HQ16" s="1065" t="str">
        <f t="shared" si="41"/>
        <v>DEFAULT</v>
      </c>
      <c r="HR16" s="1065">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65">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69">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69">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69">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69">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69">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69">
        <f t="array" ref="HY16">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8"/>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72" t="e">
        <f t="shared" si="42"/>
        <v>#DIV/0!</v>
      </c>
      <c r="IC16" s="101" t="s">
        <v>1415</v>
      </c>
      <c r="ID16" s="93">
        <f>IFERROR(IF(AND($ID$2&lt;&gt;"Enter Spend&gt;&gt;&gt;",IE4="EXISTING"),SUMIFS('Existing Customers'!$Q:$Q,'Existing Customers'!$A:$A,$ID$1,'Existing Customers'!$H:$H,$IC16)*$ID$4,$ID$3*$IB16),0)</f>
        <v>0</v>
      </c>
      <c r="IE16" s="88">
        <f>IFERROR(IF(AND($ID$2&lt;&gt;"Enter Spend&gt;&gt;&gt;",IE2="EXISTING"),SUMIFS('Existing Customers'!$N:$N,'Existing Customers'!$A:$A,$ID$1,'Existing Customers'!$H:$H,$IC16)*$ID$4,$ID16/$IO16),0)</f>
        <v>0</v>
      </c>
      <c r="IF16" s="94">
        <f>IFERROR(IF(AND($ID$2&lt;&gt;"Enter Spend&gt;&gt;&gt;",IE2="EXISTING"),SUMIFS('Existing Customers'!$O:$O,'Existing Customers'!$H:$H,$IC16,'Existing Customers'!$A:$A,$ID$1)*$ID$4,$IE16*$ID$8),0)</f>
        <v>0</v>
      </c>
      <c r="IG16" s="94">
        <f>IFERROR(IF(AND($ID$2&lt;&gt;"Enter Spend&gt;&gt;&gt;",IE2="EXISTING"),SUMIFS('Existing Customers'!$P:$P,'Existing Customers'!$A:$A,$ID$1,'Existing Customers'!$H:$H,$IC16)*$ID$4,$ID16/$IP16),0)</f>
        <v>0</v>
      </c>
      <c r="IH16" s="378">
        <f>IFERROR(IF(AND($ID$2&lt;&gt;"Enter Spend&gt;&gt;&gt;",IE2="EXISTING"),SUMIFS('Existing Customers'!$V:$V,'Existing Customers'!$H:$H,$IC16,'Existing Customers'!$A:$A,$ID$1)*$ID$4,0),0)</f>
        <v>0</v>
      </c>
      <c r="II16" s="95">
        <f>IFERROR(IF(AND($ID$2&lt;&gt;"Enter Spend&gt;&gt;&gt;",IE2="EXISTING"),SUMIFS('Existing Customers'!$R:$R,'Existing Customers'!$H:$H,$IC16,'Existing Customers'!$A:$A,$ID$1)*$ID$4,0),0)</f>
        <v>0</v>
      </c>
      <c r="IJ16" s="1065">
        <f>IFERROR(IF(AND($ID$2&lt;&gt;"Enter Spend&gt;&gt;&gt;",IE2="EXISTING"),SUMIFS('Existing Customers'!$S:$S,'Existing Customers'!$H:$H,$IC16,'Existing Customers'!$A:$A,$ID$1),IT16*ID16),0)</f>
        <v>0</v>
      </c>
      <c r="IK16" s="1065">
        <f>IFERROR(IF(AND($ID$2&lt;&gt;"Enter Spend&gt;&gt;&gt;",IE2="EXISTING"),SUMIFS('Existing Customers'!$U:$U,'Existing Customers'!$H:$H,$IC16,'Existing Customers'!$A:$A,$ID$1),IU16*ID16),0)</f>
        <v>0</v>
      </c>
      <c r="IL16" s="1068" t="e">
        <f>_xlfn.CONCAT('Customer Inputs'!$AG$14,"_",IC16)</f>
        <v>#N/A</v>
      </c>
      <c r="IM16" s="1068">
        <f t="array" ref="IM16">IFERROR(INDEX('Margin Guidence Table'!$A$1:$AD$30000,MATCH(1,('Margin Guidence Table'!$A$1:$A$10000=IL16)*('Margin Guidence Table'!$I$1:$I$10000&lt;=ROUND($ID$3,0))*('Margin Guidence Table'!$J$1:$J$10000&gt;=ROUND($ID$3,0)),0),MATCH("DATA_POINTS",'Margin Guidence Table'!$A$1:$AG$1,0)),0)</f>
        <v>0</v>
      </c>
      <c r="IN16" s="1065" t="str">
        <f t="shared" si="43"/>
        <v>DEFAULT</v>
      </c>
      <c r="IO16" s="1065">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65">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69">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69">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69">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69">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69">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69">
        <f t="array" ref="IV16">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8"/>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72" t="e">
        <f t="shared" si="44"/>
        <v>#DIV/0!</v>
      </c>
      <c r="IZ16" s="101" t="s">
        <v>1415</v>
      </c>
      <c r="JA16" s="93">
        <f>IFERROR(IF(AND($JA$2&lt;&gt;"Enter Spend&gt;&gt;&gt;",JB4="EXISTING"),SUMIFS('Existing Customers'!$Q:$Q,'Existing Customers'!$A:$A,$JA$1,'Existing Customers'!$H:$H,$IZ16)*$JA$4,$JA$3*$IY16),0)</f>
        <v>0</v>
      </c>
      <c r="JB16" s="88">
        <f>IFERROR(IF(AND($JA$2&lt;&gt;"Enter Spend&gt;&gt;&gt;",JB2="EXISTING"),SUMIFS('Existing Customers'!$N:$N,'Existing Customers'!$A:$A,$JA$1,'Existing Customers'!$H:$H,$IZ16)*$JA$4,$JA16/$JL16),0)</f>
        <v>0</v>
      </c>
      <c r="JC16" s="94">
        <f>IFERROR(IF(AND($JA$2&lt;&gt;"Enter Spend&gt;&gt;&gt;",JB2="EXISTING"),SUMIFS('Existing Customers'!$O:$O,'Existing Customers'!$H:$H,$IZ16,'Existing Customers'!$A:$A,$JA$1)*$JA$4,$JB16*$JA$8),0)</f>
        <v>0</v>
      </c>
      <c r="JD16" s="94">
        <f>IFERROR(IF(AND($JA$2&lt;&gt;"Enter Spend&gt;&gt;&gt;",JB2="EXISTING"),SUMIFS('Existing Customers'!$P:$P,'Existing Customers'!$A:$A,$JA$1,'Existing Customers'!$H:$H,$IZ16)*$JA$4,$JA16/$JM16),0)</f>
        <v>0</v>
      </c>
      <c r="JE16" s="378">
        <f>IFERROR(IF(AND($JA$2&lt;&gt;"Enter Spend&gt;&gt;&gt;",JB2="EXISTING"),SUMIFS('Existing Customers'!$V:$V,'Existing Customers'!$H:$H,$IZ16,'Existing Customers'!$A:$A,$JA$1)*$JA$4,0),0)</f>
        <v>0</v>
      </c>
      <c r="JF16" s="95">
        <f>IFERROR(IF(AND($JA$2&lt;&gt;"Enter Spend&gt;&gt;&gt;",JB2="EXISTING"),SUMIFS('Existing Customers'!$R:$R,'Existing Customers'!$H:$H,$IZ16,'Existing Customers'!$A:$A,$JA$1)*$JA$4,0),0)</f>
        <v>0</v>
      </c>
      <c r="JG16" s="1065">
        <f>IFERROR(IF(AND($JA$2&lt;&gt;"Enter Spend&gt;&gt;&gt;",JB2="EXISTING"),SUMIFS('Existing Customers'!$S:$S,'Existing Customers'!$H:$H,$IZ16,'Existing Customers'!$A:$A,$JA$1),JQ16*JA16),0)</f>
        <v>0</v>
      </c>
      <c r="JH16" s="1065">
        <f>IFERROR(IF(AND($JA$2&lt;&gt;"Enter Spend&gt;&gt;&gt;",JB2="EXISTING"),SUMIFS('Existing Customers'!$U:$U,'Existing Customers'!$H:$H,$IZ16,'Existing Customers'!$A:$A,$JA$1),JR16*JA16),0)</f>
        <v>0</v>
      </c>
      <c r="JI16" s="1068" t="e">
        <f>_xlfn.CONCAT('Customer Inputs'!$AG$15,"_",IZ16)</f>
        <v>#N/A</v>
      </c>
      <c r="JJ16" s="1068">
        <f t="array" ref="JJ16">IFERROR(INDEX('Margin Guidence Table'!$A$1:$AD$30000,MATCH(1,('Margin Guidence Table'!$A$1:$A$10000=JI16)*('Margin Guidence Table'!$I$1:$I$10000&lt;=ROUND($JA$3,0))*('Margin Guidence Table'!$J$1:$J$10000&gt;=ROUND($JA$3,0)),0),MATCH("DATA_POINTS",'Margin Guidence Table'!$A$1:$AG$1,0)),0)</f>
        <v>0</v>
      </c>
      <c r="JK16" s="1065" t="str">
        <f t="shared" si="45"/>
        <v>DEFAULT</v>
      </c>
      <c r="JL16" s="1065">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65">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69">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69">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69">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69">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69">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69">
        <f t="array" ref="JS16">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101" t="s">
        <v>1415</v>
      </c>
      <c r="JV16" s="96"/>
      <c r="JW16" s="88"/>
      <c r="JX16" s="88"/>
      <c r="JY16" s="88"/>
      <c r="JZ16" s="113"/>
      <c r="KA16" s="97"/>
      <c r="KB16" s="128"/>
      <c r="KD16" s="101" t="s">
        <v>1415</v>
      </c>
      <c r="KE16" s="96"/>
      <c r="KF16" s="88"/>
      <c r="KG16" s="88"/>
      <c r="KH16" s="88"/>
      <c r="KI16" s="113"/>
      <c r="KJ16" s="97"/>
    </row>
    <row r="17" spans="2:296" ht="15.75" thickBot="1" x14ac:dyDescent="0.3">
      <c r="B17" s="101" t="s">
        <v>102</v>
      </c>
      <c r="C17" s="451">
        <f t="shared" si="11"/>
        <v>0</v>
      </c>
      <c r="D17" s="467">
        <f t="shared" si="12"/>
        <v>0</v>
      </c>
      <c r="E17" s="467">
        <f t="shared" si="13"/>
        <v>0</v>
      </c>
      <c r="F17" s="467">
        <f t="shared" si="14"/>
        <v>0</v>
      </c>
      <c r="G17" s="468">
        <f t="shared" si="15"/>
        <v>0</v>
      </c>
      <c r="H17" s="467">
        <f t="shared" si="16"/>
        <v>0</v>
      </c>
      <c r="I17" s="1061" t="e">
        <f t="shared" si="0"/>
        <v>#DIV/0!</v>
      </c>
      <c r="J17" s="1061" t="e">
        <f t="shared" si="1"/>
        <v>#DIV/0!</v>
      </c>
      <c r="K17" s="1061" t="e">
        <f t="shared" si="2"/>
        <v>#DIV/0!</v>
      </c>
      <c r="L17" s="467" t="e">
        <f t="shared" si="3"/>
        <v>#DIV/0!</v>
      </c>
      <c r="M17" s="467" t="e">
        <f t="shared" si="17"/>
        <v>#DIV/0!</v>
      </c>
      <c r="N17" s="1062" t="e">
        <f t="shared" si="4"/>
        <v>#DIV/0!</v>
      </c>
      <c r="P17" t="str">
        <f>'PIM Model'!E13</f>
        <v>INCLUDE</v>
      </c>
      <c r="Q17">
        <f t="shared" si="18"/>
        <v>0</v>
      </c>
      <c r="R17">
        <f t="shared" si="19"/>
        <v>0</v>
      </c>
      <c r="S17" s="101" t="s">
        <v>102</v>
      </c>
      <c r="T17" s="96">
        <f t="shared" si="20"/>
        <v>0</v>
      </c>
      <c r="U17" s="88">
        <f t="shared" si="5"/>
        <v>0</v>
      </c>
      <c r="V17" s="88">
        <f t="shared" si="6"/>
        <v>0</v>
      </c>
      <c r="W17" s="88">
        <f t="shared" si="7"/>
        <v>0</v>
      </c>
      <c r="X17" s="113">
        <f t="shared" si="8"/>
        <v>0</v>
      </c>
      <c r="Y17" s="116">
        <f t="shared" si="21"/>
        <v>0</v>
      </c>
      <c r="Z17" s="376"/>
      <c r="AA17" s="101" t="s">
        <v>102</v>
      </c>
      <c r="AB17" s="455">
        <f t="shared" si="9"/>
        <v>0</v>
      </c>
      <c r="AC17" s="456">
        <f t="shared" si="9"/>
        <v>0</v>
      </c>
      <c r="AD17" s="456">
        <f t="shared" si="9"/>
        <v>0</v>
      </c>
      <c r="AE17" s="457">
        <f t="shared" si="22"/>
        <v>0</v>
      </c>
      <c r="AF17" s="458">
        <f t="shared" si="23"/>
        <v>0</v>
      </c>
      <c r="AG17" s="376"/>
      <c r="AH17" s="101" t="s">
        <v>102</v>
      </c>
      <c r="AI17" s="455">
        <f t="shared" si="10"/>
        <v>0</v>
      </c>
      <c r="AJ17" s="452">
        <f t="shared" si="24"/>
        <v>0</v>
      </c>
      <c r="AK17" s="458"/>
      <c r="AL17" s="376"/>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76">
        <f>VLOOKUP($AH17&amp;$AM17,'IMargin Quartiles'!$A:$F,6,FALSE)</f>
        <v>0.18</v>
      </c>
      <c r="AO17" s="376"/>
      <c r="AP17"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Q17" s="376" t="e">
        <f t="shared" si="25"/>
        <v>#DIV/0!</v>
      </c>
      <c r="AR17">
        <f>'PIM Model'!C13</f>
        <v>0</v>
      </c>
      <c r="AS17" s="376"/>
      <c r="AT17" s="376"/>
      <c r="AU17" s="376" t="e">
        <f t="shared" si="46"/>
        <v>#DIV/0!</v>
      </c>
      <c r="AV17" s="376"/>
      <c r="AW17" s="376"/>
      <c r="AX17" s="107">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72" t="e">
        <f t="shared" si="26"/>
        <v>#DIV/0!</v>
      </c>
      <c r="BA17" s="101" t="s">
        <v>102</v>
      </c>
      <c r="BB17" s="93">
        <f>IFERROR(IF(AND($BB$2&lt;&gt;"Enter Spend&gt;&gt;&gt;",BC5="EXISTING"),SUMIFS('Existing Customers'!$Q:$Q,'Existing Customers'!$A:$A,$BB$1,'Existing Customers'!$H:$H,$BA17)*$BB$4,$BB$3*$AZ17),0)</f>
        <v>0</v>
      </c>
      <c r="BC17" s="94">
        <f>IFERROR(IF(AND($BB$2&lt;&gt;"Enter Spend&gt;&gt;&gt;",BC2="EXISTING"),SUMIFS('Existing Customers'!$N:$N,'Existing Customers'!$A:$A,$BB$1,'Existing Customers'!$H:$H,$BA17)*$BB$4,$BB17/$BM17),0)</f>
        <v>0</v>
      </c>
      <c r="BD17" s="94">
        <f>IFERROR(IF(AND($BB$2&lt;&gt;"Enter Spend&gt;&gt;&gt;",BC2="EXISTING"),SUMIFS('Existing Customers'!$O:$O,'Existing Customers'!$H:$H,$BA17,'Existing Customers'!$A:$A,$BB$1)*$BB$4,$BC17*$BB$8),0)</f>
        <v>0</v>
      </c>
      <c r="BE17" s="94">
        <f>IFERROR(IF(AND($BB$2&lt;&gt;"Enter Spend&gt;&gt;&gt;",BC2="EXISTING"),SUMIFS('Existing Customers'!$P:$P,'Existing Customers'!$A:$A,$BB$1,'Existing Customers'!$H:$H,$BA17)*$BB$4,$BB17/$BN17),0)</f>
        <v>0</v>
      </c>
      <c r="BF17" s="378">
        <f>IFERROR(IF(AND($BB$2&lt;&gt;"Enter Spend&gt;&gt;&gt;",BC2="EXISTING"),SUMIFS('Existing Customers'!$V:$V,'Existing Customers'!$H:$H,$BA17,'Existing Customers'!$A:$A,$BB$1)*$BB$4,0),0)</f>
        <v>0</v>
      </c>
      <c r="BG17" s="95">
        <f>IFERROR(IF(AND($BB$2&lt;&gt;"Enter Spend&gt;&gt;&gt;",BC2="EXISTING"),SUMIFS('Existing Customers'!$R:$R,'Existing Customers'!$H:$H,$BA17,'Existing Customers'!$A:$A,$BB$1)*$BB$4,0),0)</f>
        <v>0</v>
      </c>
      <c r="BH17" s="95">
        <f>IFERROR(IF(AND($BB$2&lt;&gt;"Enter Spend&gt;&gt;&gt;",BC2="EXISTING"),SUMIFS('Existing Customers'!$S:$S,'Existing Customers'!$H:$H,$BA17,'Existing Customers'!$A:$A,$BB$1),BR17*BB17),0)</f>
        <v>0</v>
      </c>
      <c r="BI17" s="95">
        <f>IFERROR(IF(AND($BB$2&lt;&gt;"Enter Spend&gt;&gt;&gt;",BC2="EXISTING"),SUMIFS('Existing Customers'!$U:$U,'Existing Customers'!$H:$H,$BA17,'Existing Customers'!$A:$A,$BB$1),BS17*BB17),0)</f>
        <v>0</v>
      </c>
      <c r="BJ17" s="1067" t="e">
        <f>_xlfn.CONCAT('Customer Inputs'!$AG$6,"_",BA17)</f>
        <v>#N/A</v>
      </c>
      <c r="BK17" s="1068">
        <f t="array" ref="BK17">IFERROR(INDEX('Margin Guidence Table'!$A$1:$AD$30000,MATCH(1,('Margin Guidence Table'!$A$1:$A$10000=$BJ17)*('Margin Guidence Table'!$I$1:$I$10000&lt;=ROUND($BB$3,0))*('Margin Guidence Table'!$J$1:$J$10000&gt;=ROUND($BB$3,0)),0),MATCH("DATA_POINTS",'Margin Guidence Table'!$A$1:$AG$1,0)),0)</f>
        <v>0</v>
      </c>
      <c r="BL17" s="1065" t="str">
        <f t="shared" si="27"/>
        <v>DEFAULT</v>
      </c>
      <c r="BM17" s="1065">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65">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69">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69">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69">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69">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69">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69">
        <f t="array" ref="BT17">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8"/>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72" t="e">
        <f t="shared" si="28"/>
        <v>#DIV/0!</v>
      </c>
      <c r="BX17" s="101" t="s">
        <v>102</v>
      </c>
      <c r="BY17" s="93">
        <f>IFERROR(IF(AND($BY$2&lt;&gt;"Enter Spend&gt;&gt;&gt;",BZ5="EXISTING"),SUMIFS('Existing Customers'!$Q:$Q,'Existing Customers'!$A:$A,$BY$1,'Existing Customers'!$H:$H,$BX17)*$BY$4,$BY$3*$BW17),0)</f>
        <v>0</v>
      </c>
      <c r="BZ17" s="88">
        <f>IFERROR(IF(AND($BY$2&lt;&gt;"Enter Spend&gt;&gt;&gt;",BZ2="EXISTING"),SUMIFS('Existing Customers'!$N:$N,'Existing Customers'!$A:$A,$BY$1,'Existing Customers'!$H:$H,$BX17)*$BY$4,$BY17/$CJ17),0)</f>
        <v>0</v>
      </c>
      <c r="CA17" s="94">
        <f>IFERROR(IF(AND($BY$2&lt;&gt;"Enter Spend&gt;&gt;&gt;",BZ2="EXISTING"),SUMIFS('Existing Customers'!$O:$O,'Existing Customers'!$H:$H,$BX17,'Existing Customers'!$A:$A,$BY$1)*$BY$4,$BZ17*$BY$8),0)</f>
        <v>0</v>
      </c>
      <c r="CB17" s="94">
        <f>IFERROR(IF(AND($BY$2&lt;&gt;"Enter Spend&gt;&gt;&gt;",BZ2="EXISTING"),SUMIFS('Existing Customers'!$P:$P,'Existing Customers'!$A:$A,$BY$1,'Existing Customers'!$H:$H,$BX17)*$BY$4,$BY17/$CK17),0)</f>
        <v>0</v>
      </c>
      <c r="CC17" s="95">
        <f>IFERROR(IF(AND($BY$2&lt;&gt;"Enter Spend&gt;&gt;&gt;",BZ2="EXISTING"),SUMIFS('Existing Customers'!$V:$V,'Existing Customers'!$H:$H,$BX17,'Existing Customers'!$A:$A,$BY$1)*$BY$4,0),0)</f>
        <v>0</v>
      </c>
      <c r="CD17" s="95">
        <f>IFERROR(IF(AND($BY$2&lt;&gt;"Enter Spend&gt;&gt;&gt;",BZ2="EXISTING"),SUMIFS('Existing Customers'!$R:$R,'Existing Customers'!$H:$H,$BX17,'Existing Customers'!$A:$A,$BY$1)*$BY$4,0),0)</f>
        <v>0</v>
      </c>
      <c r="CE17" s="1065">
        <f>IFERROR(IF(AND($BY$2&lt;&gt;"Enter Spend&gt;&gt;&gt;",BZ2="EXISTING"),SUMIFS('Existing Customers'!$S:$S,'Existing Customers'!$H:$H,$BX17,'Existing Customers'!$A:$A,$BY$1),CO17*BY17),0)</f>
        <v>0</v>
      </c>
      <c r="CF17" s="1065">
        <f>IFERROR(IF(AND($BY$2&lt;&gt;"Enter Spend&gt;&gt;&gt;",BZ2="EXISTING"),SUMIFS('Existing Customers'!$U:$U,'Existing Customers'!$H:$H,$BX17,'Existing Customers'!$A:$A,$BY$1),CP17*BY17),0)</f>
        <v>0</v>
      </c>
      <c r="CG17" s="1068" t="e">
        <f>_xlfn.CONCAT('Customer Inputs'!$AG$7,"_",BX17)</f>
        <v>#N/A</v>
      </c>
      <c r="CH17" s="1068">
        <f t="array" ref="CH17">IFERROR(INDEX('Margin Guidence Table'!$A$1:$AD$30000,MATCH(1,('Margin Guidence Table'!$A$1:$A$10000=$CG17)*('Margin Guidence Table'!$I$1:$I$10000&lt;=ROUND($BY$3,0))*('Margin Guidence Table'!$J$1:$J$10000&gt;=ROUND($BY$3,0)),0),MATCH("DATA_POINTS",'Margin Guidence Table'!$A$1:$AG$1,0)),0)</f>
        <v>0</v>
      </c>
      <c r="CI17" s="1065" t="str">
        <f t="shared" si="29"/>
        <v>DEFAULT</v>
      </c>
      <c r="CJ17" s="1065">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65">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69">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69">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69">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69">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69">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69">
        <f t="array" ref="CQ17">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8"/>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72" t="e">
        <f t="shared" si="30"/>
        <v>#DIV/0!</v>
      </c>
      <c r="CU17" s="101" t="s">
        <v>102</v>
      </c>
      <c r="CV17" s="93">
        <f>IFERROR(IF(AND($CV$2&lt;&gt;"Enter Spend&gt;&gt;&gt;",CW5="EXISTING"),SUMIFS('Existing Customers'!$Q:$Q,'Existing Customers'!$A:$A,$CV$1,'Existing Customers'!$H:$H,$CU17)*$CV$4,$CV$3*$CT17),0)</f>
        <v>0</v>
      </c>
      <c r="CW17" s="88">
        <f>IFERROR(IF(AND($CV$2&lt;&gt;"Enter Spend&gt;&gt;&gt;",CW2="EXISTING"),SUMIFS('Existing Customers'!$N:$N,'Existing Customers'!$A:$A,$CV$1,'Existing Customers'!$H:$H,$CU17)*$CV$4,$CV17/$DG17),0)</f>
        <v>0</v>
      </c>
      <c r="CX17" s="94">
        <f>IFERROR(IF(AND($CV$2&lt;&gt;"Enter Spend&gt;&gt;&gt;",BC28="EXISTING"),SUMIFS('Existing Customers'!$O:$O,'Existing Customers'!$H:$H,$CU17,'Existing Customers'!$A:$A,$CV$1)*$CV$4,$CW17*$CV$8),0)</f>
        <v>0</v>
      </c>
      <c r="CY17" s="94">
        <f>IFERROR(IF(AND($CV$2&lt;&gt;"Enter Spend&gt;&gt;&gt;",CW2="EXISTING"),SUMIFS('Existing Customers'!$P:$P,'Existing Customers'!$A:$A,$CV$1,'Existing Customers'!$H:$H,$CU17)*$CV$4,$CV17/$DH17),0)</f>
        <v>0</v>
      </c>
      <c r="CZ17" s="95">
        <f>IFERROR(IF(AND($CV$2&lt;&gt;"Enter Spend&gt;&gt;&gt;",CW2="EXISTING"),SUMIFS('Existing Customers'!$V:$V,'Existing Customers'!$H:$H,$CU17,'Existing Customers'!$A:$A,$CV$1)*$CV$4,0),0)</f>
        <v>0</v>
      </c>
      <c r="DA17" s="95">
        <f>IFERROR(IF(AND($CV$2&lt;&gt;"Enter Spend&gt;&gt;&gt;",CW2="EXISTING"),SUMIFS('Existing Customers'!$R:$R,'Existing Customers'!$H:$H,$BA17,'Existing Customers'!$A:$A,$CV$1)*$CV$4,0),0)</f>
        <v>0</v>
      </c>
      <c r="DB17" s="1065">
        <f>IFERROR(IF(AND($CV$2&lt;&gt;"Enter Spend&gt;&gt;&gt;",CW2="EXISTING"),SUMIFS('Existing Customers'!$S:$S,'Existing Customers'!$H:$H,$CU17,'Existing Customers'!$A:$A,$CV$1),DL17*CV17),0)</f>
        <v>0</v>
      </c>
      <c r="DC17" s="1065">
        <f>IFERROR(IF(AND($CV$2&lt;&gt;"Enter Spend&gt;&gt;&gt;",CW2="EXISTING"),SUMIFS('Existing Customers'!$U:$U,'Existing Customers'!$H:$H,$CU17,'Existing Customers'!$A:$A,$CV$1),DM17*CV17),0)</f>
        <v>0</v>
      </c>
      <c r="DD17" s="1068" t="e">
        <f>_xlfn.CONCAT('Customer Inputs'!$AG$8,"_",CU17)</f>
        <v>#N/A</v>
      </c>
      <c r="DE17" s="1068">
        <f t="array" ref="DE17">IFERROR(INDEX('Margin Guidence Table'!$A$1:$AD$30000,MATCH(1,('Margin Guidence Table'!$A$1:$A$10000=DD17)*('Margin Guidence Table'!$I$1:$I$10000&lt;=ROUND($CV$3,0))*('Margin Guidence Table'!$J$1:$J$10000&gt;=ROUND($CV$3,0)),0),MATCH("DATA_POINTS",'Margin Guidence Table'!$A$1:$AG$1,0)),0)</f>
        <v>0</v>
      </c>
      <c r="DF17" s="1065" t="str">
        <f t="shared" si="31"/>
        <v>DEFAULT</v>
      </c>
      <c r="DG17" s="1065">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65">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69">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69">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69">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69">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69">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69">
        <f t="array" ref="DN17">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8"/>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72" t="e">
        <f t="shared" si="32"/>
        <v>#DIV/0!</v>
      </c>
      <c r="DR17" s="101" t="s">
        <v>102</v>
      </c>
      <c r="DS17" s="93">
        <f>IFERROR(IF(AND($DS$2&lt;&gt;"Enter Spend&gt;&gt;&gt;",DT5="EXISTING"),SUMIFS('Existing Customers'!$Q:$Q,'Existing Customers'!$A:$A,$DS$1,'Existing Customers'!$H:$H,$DR17)*$DS$4,$DS$3*$DQ17),0)</f>
        <v>0</v>
      </c>
      <c r="DT17" s="88">
        <f>IFERROR(IF(AND($DS$2&lt;&gt;"Enter Spend&gt;&gt;&gt;",DT2="EXISTING"),SUMIFS('Existing Customers'!$N:$N,'Existing Customers'!$A:$A,$DS$1,'Existing Customers'!$H:$H,$DR17)*$DS$4,$DS17/$ED17),0)</f>
        <v>0</v>
      </c>
      <c r="DU17" s="94">
        <f>IFERROR(IF(AND($DS$2&lt;&gt;"Enter Spend&gt;&gt;&gt;",DT2="EXISTING"),SUMIFS('Existing Customers'!$O:$O,'Existing Customers'!$H:$H,$DR17,'Existing Customers'!$A:$A,$DS$1)*$DS$4,$DT17*$DS$8),0)</f>
        <v>0</v>
      </c>
      <c r="DV17" s="94">
        <f>IFERROR(IF(AND($DS$2&lt;&gt;"Enter Spend&gt;&gt;&gt;",DT2="EXISTING"),SUMIFS('Existing Customers'!$P:$P,'Existing Customers'!$A:$A,$DS$1,'Existing Customers'!$H:$H,$DR17)*$DS$4,$DS17/$EE17),0)</f>
        <v>0</v>
      </c>
      <c r="DW17" s="95">
        <f>IFERROR(IF(AND($DS$2&lt;&gt;"Enter Spend&gt;&gt;&gt;",EQ2="EXISTING"),SUMIFS('Existing Customers'!$V:$V,'Existing Customers'!$H:$H,$DR17,'Existing Customers'!$A:$A,$DS$1)*$DS$4,0),0)</f>
        <v>0</v>
      </c>
      <c r="DX17" s="95">
        <f>IFERROR(IF(AND($DS$2&lt;&gt;"Enter Spend&gt;&gt;&gt;",DT2="EXISTING"),SUMIFS('Existing Customers'!$R:$R,'Existing Customers'!$H:$H,$DR17,'Existing Customers'!$A:$A,$DS$1)*$DS$4,0),0)</f>
        <v>0</v>
      </c>
      <c r="DY17" s="1065">
        <f>IFERROR(IF(AND($DS$2&lt;&gt;"Enter Spend&gt;&gt;&gt;",DT2="EXISTING"),SUMIFS('Existing Customers'!$S:$S,'Existing Customers'!$H:$H,$DT17,'Existing Customers'!$A:$A,$DS$1),EI17*DS17),0)</f>
        <v>0</v>
      </c>
      <c r="DZ17" s="1065">
        <f>IFERROR(IF(AND($DS$2&lt;&gt;"Enter Spend&gt;&gt;&gt;",DT2="EXISTING"),SUMIFS('Existing Customers'!$U:$U,'Existing Customers'!$H:$H,$DR17,'Existing Customers'!$A:$A,$DS$1),EJ17*DS17),0)</f>
        <v>0</v>
      </c>
      <c r="EA17" s="1068" t="e">
        <f>_xlfn.CONCAT('Customer Inputs'!$AG$9,"_",DR17)</f>
        <v>#N/A</v>
      </c>
      <c r="EB17" s="1068">
        <f t="array" ref="EB17">IFERROR(INDEX('Margin Guidence Table'!$A$1:$AD$30000,MATCH(1,('Margin Guidence Table'!$A$1:$A$10000=EA17)*('Margin Guidence Table'!$I$1:$I$10000&lt;=ROUND($DS$3,0))*('Margin Guidence Table'!$J$1:$J$10000&gt;=ROUND($DS$3,0)),0),MATCH("DATA_POINTS",'Margin Guidence Table'!$A$1:$AG$1,0)),0)</f>
        <v>0</v>
      </c>
      <c r="EC17" s="1065" t="str">
        <f t="shared" si="33"/>
        <v>DEFAULT</v>
      </c>
      <c r="ED17" s="1065">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65">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69">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69">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69">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69">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69">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69">
        <f t="array" ref="EK17">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8"/>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72" t="e">
        <f t="shared" si="34"/>
        <v>#DIV/0!</v>
      </c>
      <c r="EO17" s="101" t="s">
        <v>102</v>
      </c>
      <c r="EP17" s="93">
        <f>IFERROR(IF(AND($EP$2&lt;&gt;"Enter Spend&gt;&gt;&gt;",EQ5="EXISTING"),SUMIFS('Existing Customers'!$Q:$Q,'Existing Customers'!$A:$A,$EP$1,'Existing Customers'!$H:$H,$EO17)*$EP$4,$EP$3*$EN17),0)</f>
        <v>0</v>
      </c>
      <c r="EQ17" s="88">
        <f>IFERROR(IF(AND($EP$2&lt;&gt;"Enter Spend&gt;&gt;&gt;",EQ2="EXISTING"),SUMIFS('Existing Customers'!$N:$N,'Existing Customers'!$A:$A,$EP$1,'Existing Customers'!$H:$H,$EO17)*$EP$4,$EP17/$FA17),0)</f>
        <v>0</v>
      </c>
      <c r="ER17" s="94">
        <f>IFERROR(IF(AND($EP$2&lt;&gt;"Enter Spend&gt;&gt;&gt;",EQ2="EXISTING"),SUMIFS('Existing Customers'!$O:$O,'Existing Customers'!$H:$H,$EO17,'Existing Customers'!$A:$A,$EP$1)*$EP$4,$EQ17*$EP$8),0)</f>
        <v>0</v>
      </c>
      <c r="ES17" s="94">
        <f>IFERROR(IF(AND($EP$2&lt;&gt;"Enter Spend&gt;&gt;&gt;",EQ2="EXISTING"),SUMIFS('Existing Customers'!$P:$P,'Existing Customers'!$A:$A,$EP$1,'Existing Customers'!$H:$H,$EO17)*$EP$4,$EP17/$FB17),0)</f>
        <v>0</v>
      </c>
      <c r="ET17" s="95">
        <f>IFERROR(IF(AND($EP$2&lt;&gt;"Enter Spend&gt;&gt;&gt;",EQ2="EXISTING"),SUMIFS('Existing Customers'!$V:$V,'Existing Customers'!$H:$H,$EO17,'Existing Customers'!$A:$A,$EP$1)*$EP$4,0),0)</f>
        <v>0</v>
      </c>
      <c r="EU17" s="95">
        <f>IFERROR(IF(AND($EP$2&lt;&gt;"Enter Spend&gt;&gt;&gt;",EQ2="EXISTING"),SUMIFS('Existing Customers'!$R:$R,'Existing Customers'!$H:$H,$EO17,'Existing Customers'!$A:$A,$EP$1)*$EP$4,0),0)</f>
        <v>0</v>
      </c>
      <c r="EV17" s="1065">
        <f>IFERROR(IF(AND($EP$2&lt;&gt;"Enter Spend&gt;&gt;&gt;",EQ2="EXISTING"),SUMIFS('Existing Customers'!$S:$S,'Existing Customers'!$H:$H,$EO17,'Existing Customers'!$A:$A,$EP$1),FF17*EP17),0)</f>
        <v>0</v>
      </c>
      <c r="EW17" s="1065">
        <f>IFERROR(IF(AND($EP$2&lt;&gt;"Enter Spend&gt;&gt;&gt;",EQ2="EXISTING"),SUMIFS('Existing Customers'!$U:$U,'Existing Customers'!$H:$H,$EO17,'Existing Customers'!$A:$A,$EP$1),FG17*EP17),0)</f>
        <v>0</v>
      </c>
      <c r="EX17" s="1068" t="e">
        <f>_xlfn.CONCAT('Customer Inputs'!$AG$10,"_",EO17)</f>
        <v>#N/A</v>
      </c>
      <c r="EY17" s="1068">
        <f t="array" ref="EY17">IFERROR(INDEX('Margin Guidence Table'!$A$1:$AD$30000,MATCH(1,('Margin Guidence Table'!$A$1:$A$10000=EX17)*('Margin Guidence Table'!$I$1:$I$10000&lt;=ROUND($EP$3,0))*('Margin Guidence Table'!$J$1:$J$10000&gt;=ROUND($EP$3,0)),0),MATCH("DATA_POINTS",'Margin Guidence Table'!$A$1:$AG$1,0)),0)</f>
        <v>0</v>
      </c>
      <c r="EZ17" s="1065" t="str">
        <f t="shared" si="35"/>
        <v>DEFAULT</v>
      </c>
      <c r="FA17" s="1065">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65"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69">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69">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69">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69">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69">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69">
        <f t="array" ref="FH17">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8"/>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72" t="e">
        <f t="shared" si="36"/>
        <v>#DIV/0!</v>
      </c>
      <c r="FL17" s="101" t="s">
        <v>102</v>
      </c>
      <c r="FM17" s="93">
        <f>IFERROR(IF(AND($FM$2&lt;&gt;"Enter Spend&gt;&gt;&gt;",FN5="EXISTING"),SUMIFS('Existing Customers'!$Q:$Q,'Existing Customers'!$A:$A,$FM$1,'Existing Customers'!$H:$H,$FL17)*$FM$4,$FM$3*$FK17),0)</f>
        <v>0</v>
      </c>
      <c r="FN17" s="88">
        <f>IFERROR(IF(AND($FM$2&lt;&gt;"Enter Spend&gt;&gt;&gt;",FN2="EXISTING"),SUMIFS('Existing Customers'!$N:$N,'Existing Customers'!$A:$A,$FM$1,'Existing Customers'!$H:$H,$FL17)*$FM$4,$FM17/$FX17),0)</f>
        <v>0</v>
      </c>
      <c r="FO17" s="94">
        <f>IFERROR(IF(AND($FM$2&lt;&gt;"Enter Spend&gt;&gt;&gt;",FN2="EXISTING"),SUMIFS('Existing Customers'!$O:$O,'Existing Customers'!$H:$H,$FL17,'Existing Customers'!$A:$A,$FM$1)*$FM$4,$FN17*$FM$8),0)</f>
        <v>0</v>
      </c>
      <c r="FP17" s="94">
        <f>IFERROR(IF(AND($FM$2&lt;&gt;"Enter Spend&gt;&gt;&gt;",FN2="EXISTING"),SUMIFS('Existing Customers'!$P:$P,'Existing Customers'!$A:$A,$FM$1,'Existing Customers'!$H:$H,$FL17)*$FM$4,$FM17/$FY17),0)</f>
        <v>0</v>
      </c>
      <c r="FQ17" s="95">
        <f>IFERROR(IF(AND($FM$2&lt;&gt;"Enter Spend&gt;&gt;&gt;",FN2="EXISTING"),SUMIFS('Existing Customers'!$V:$V,'Existing Customers'!$H:$H,$FL17,'Existing Customers'!$A:$A,$FM$1)*$FM$4,0),0)</f>
        <v>0</v>
      </c>
      <c r="FR17" s="95">
        <f>IFERROR(IF(AND($FM$2&lt;&gt;"Enter Spend&gt;&gt;&gt;",FN2="EXISTING"),SUMIFS('Existing Customers'!$R:$R,'Existing Customers'!$H:$H,$FL17,'Existing Customers'!$A:$A,$FM$1)*$FM$4,0),0)</f>
        <v>0</v>
      </c>
      <c r="FS17" s="1065">
        <f>IFERROR(IF(AND($FM$2&lt;&gt;"Enter Spend&gt;&gt;&gt;",FN2="EXISTING"),SUMIFS('Existing Customers'!$S:$S,'Existing Customers'!$H:$H,$FL17,'Existing Customers'!$A:$A,$FM$1),GC17*FM17),0)</f>
        <v>0</v>
      </c>
      <c r="FT17" s="1065">
        <f>IFERROR(IF(AND($FM$2&lt;&gt;"Enter Spend&gt;&gt;&gt;",FN2="EXISTING"),SUMIFS('Existing Customers'!$U:$U,'Existing Customers'!$H:$H,$FL17,'Existing Customers'!$A:$A,$FM$1),GD17*FM17),0)</f>
        <v>0</v>
      </c>
      <c r="FU17" s="1068" t="e">
        <f>_xlfn.CONCAT('Customer Inputs'!$AG$11,"_",FL17)</f>
        <v>#N/A</v>
      </c>
      <c r="FV17" s="1068">
        <f t="array" ref="FV17">IFERROR(INDEX('Margin Guidence Table'!$A$1:$AD$30000,MATCH(1,('Margin Guidence Table'!$A$1:$A$10000=FU17)*('Margin Guidence Table'!$I$1:$I$10000&lt;=ROUND($FM$3,0))*('Margin Guidence Table'!$J$1:$J$10000&gt;=ROUND($FM$3,0)),0),MATCH("DATA_POINTS",'Margin Guidence Table'!$A$1:$AG$1,0)),0)</f>
        <v>0</v>
      </c>
      <c r="FW17" s="1065" t="str">
        <f t="shared" si="37"/>
        <v>DEFAULT</v>
      </c>
      <c r="FX17" s="1065">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65">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69">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69">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69">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69">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69">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69">
        <f t="array" ref="GE17">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8"/>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72" t="e">
        <f t="shared" si="38"/>
        <v>#DIV/0!</v>
      </c>
      <c r="GI17" s="101" t="s">
        <v>102</v>
      </c>
      <c r="GJ17" s="93">
        <f>IFERROR(IF(AND($GJ$2&lt;&gt;"Enter Spend&gt;&gt;&gt;",GK5="EXISTING"),SUMIFS('Existing Customers'!$Q:$Q,'Existing Customers'!$A:$A,$GJ$1,'Existing Customers'!$H:$H,$GI17)*$GJ$4,$GJ$3*$GH17),0)</f>
        <v>0</v>
      </c>
      <c r="GK17" s="88">
        <f>IFERROR(IF(AND($GJ$2&lt;&gt;"Enter Spend&gt;&gt;&gt;",GK2="EXISTING"),SUMIFS('Existing Customers'!$N:$N,'Existing Customers'!$A:$A,$GJ$1,'Existing Customers'!$H:$H,$GI17)*$GJ$4,$GJ17/$GU17),0)</f>
        <v>0</v>
      </c>
      <c r="GL17" s="94">
        <f>IFERROR(IF(AND($GJ$2&lt;&gt;"Enter Spend&gt;&gt;&gt;",GK2="EXISTING"),SUMIFS('Existing Customers'!$O:$O,'Existing Customers'!$H:$H,$GI17,'Existing Customers'!$A:$A,$GJ$1)*$GJ$4,$GK17*$GJ$8),0)</f>
        <v>0</v>
      </c>
      <c r="GM17" s="94">
        <f>IFERROR(IF(AND($GJ$2&lt;&gt;"Enter Spend&gt;&gt;&gt;",GK2="EXISTING"),SUMIFS('Existing Customers'!$P:$P,'Existing Customers'!$A:$A,$GJ$1,'Existing Customers'!$H:$H,$GI17)*$GJ$4,$GJ17/$GV17),0)</f>
        <v>0</v>
      </c>
      <c r="GN17" s="95">
        <f>IFERROR(IF(AND($GJ$2&lt;&gt;"Enter Spend&gt;&gt;&gt;",GK2="EXISTING"),SUMIFS('Existing Customers'!$V:$V,'Existing Customers'!$H:$H,$GI17,'Existing Customers'!$A:$A,$GJ$1)*$GJ$4,0),0)</f>
        <v>0</v>
      </c>
      <c r="GO17" s="95">
        <f>IFERROR(IF(AND($GJ$2&lt;&gt;"Enter Spend&gt;&gt;&gt;",GK2="EXISTING"),SUMIFS('Existing Customers'!$R:$R,'Existing Customers'!$H:$H,$GI17,'Existing Customers'!$A:$A,$GJ$1)*$GJ$4,0),0)</f>
        <v>0</v>
      </c>
      <c r="GP17" s="1065">
        <f>IFERROR(IF(AND($GJ$2&lt;&gt;"Enter Spend&gt;&gt;&gt;",GK2="EXISTING"),SUMIFS('Existing Customers'!$S:$S,'Existing Customers'!$H:$H,$GI17,'Existing Customers'!$A:$A,$GJ$1),GZ17*GJ17),0)</f>
        <v>0</v>
      </c>
      <c r="GQ17" s="1065">
        <f>IFERROR(IF(AND($GJ$2&lt;&gt;"Enter Spend&gt;&gt;&gt;",GK2="EXISTING"),SUMIFS('Existing Customers'!$U:$U,'Existing Customers'!$H:$H,$GI17,'Existing Customers'!$A:$A,$GJ$1),HA17*GJ17),0)</f>
        <v>0</v>
      </c>
      <c r="GR17" s="1068" t="e">
        <f>_xlfn.CONCAT('Customer Inputs'!$AG$12,"_",GI17)</f>
        <v>#N/A</v>
      </c>
      <c r="GS17" s="1068">
        <f t="array" ref="GS17">IFERROR(INDEX('Margin Guidence Table'!$A$1:$AD$30000,MATCH(1,('Margin Guidence Table'!$A$1:$A$10000=GR17)*('Margin Guidence Table'!$I$1:$I$10000&lt;=ROUND($GJ$3,0))*('Margin Guidence Table'!$J$1:$J$10000&gt;=ROUND($GJ$3,0)),0),MATCH("DATA_POINTS",'Margin Guidence Table'!$A$1:$AG$1,0)),0)</f>
        <v>0</v>
      </c>
      <c r="GT17" s="1065" t="str">
        <f t="shared" si="39"/>
        <v>DEFAULT</v>
      </c>
      <c r="GU17" s="1065">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65">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69">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69">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69">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69">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69">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69">
        <f t="array" ref="HB17">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8"/>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72" t="e">
        <f t="shared" si="40"/>
        <v>#DIV/0!</v>
      </c>
      <c r="HF17" s="101" t="s">
        <v>102</v>
      </c>
      <c r="HG17" s="93">
        <f>IFERROR(IF(AND($HG$2&lt;&gt;"Enter Spend&gt;&gt;&gt;",HH5="EXISTING"),SUMIFS('Existing Customers'!$Q:$Q,'Existing Customers'!$A:$A,$HG$1,'Existing Customers'!$H:$H,$HF17)*$HG$4,$HG$3*$HE17),0)</f>
        <v>0</v>
      </c>
      <c r="HH17" s="88">
        <f>IFERROR(IF(AND($HG$2&lt;&gt;"Enter Spend&gt;&gt;&gt;",HH2="EXISTING"),SUMIFS('Existing Customers'!$N:$N,'Existing Customers'!$A:$A,$HG$1,'Existing Customers'!$H:$H,$HF17)*$HG$4,$HG17/$HR17),0)</f>
        <v>0</v>
      </c>
      <c r="HI17" s="94">
        <f>IFERROR(IF(AND($HG$2&lt;&gt;"Enter Spend&gt;&gt;&gt;",HH2="EXISTING"),SUMIFS('Existing Customers'!$O:$O,'Existing Customers'!$H:$H,$HF17,'Existing Customers'!$A:$A,$HG$1)*$HG$4,$HH17*$HG$8),0)</f>
        <v>0</v>
      </c>
      <c r="HJ17" s="94">
        <f>IFERROR(IF(AND($HG$2&lt;&gt;"Enter Spend&gt;&gt;&gt;",HH2="EXISTING"),SUMIFS('Existing Customers'!$P:$P,'Existing Customers'!$A:$A,$HG$1,'Existing Customers'!$H:$H,$HF17)*$HG$4,$HG17/$HS17),0)</f>
        <v>0</v>
      </c>
      <c r="HK17" s="95">
        <f>IFERROR(IF(AND($HG$2&lt;&gt;"Enter Spend&gt;&gt;&gt;",HH2="EXISTING"),SUMIFS('Existing Customers'!$V:$V,'Existing Customers'!$H:$H,$HF17,'Existing Customers'!$A:$A,$HG$1)*$HG$4,0),0)</f>
        <v>0</v>
      </c>
      <c r="HL17" s="95">
        <f>IFERROR(IF(AND($HG$2&lt;&gt;"Enter Spend&gt;&gt;&gt;",HH2="EXISTING"),SUMIFS('Existing Customers'!$R:$R,'Existing Customers'!$H:$H,$HF17,'Existing Customers'!$A:$A,$HG$1)*$HG$4,0),0)</f>
        <v>0</v>
      </c>
      <c r="HM17" s="1065">
        <f>IFERROR(IF(AND($HG$2&lt;&gt;"Enter Spend&gt;&gt;&gt;",HH2="EXISTING"),SUMIFS('Existing Customers'!$S:$S,'Existing Customers'!$H:$H,$HF17,'Existing Customers'!$A:$A,$HG$1),HW17*HG17),0)</f>
        <v>0</v>
      </c>
      <c r="HN17" s="1065">
        <f>IFERROR(IF(AND($HG$2&lt;&gt;"Enter Spend&gt;&gt;&gt;",HH2="EXISTING"),SUMIFS('Existing Customers'!$U:$U,'Existing Customers'!$H:$H,$HF17,'Existing Customers'!$A:$A,$HG$1),HX17*HG17),0)</f>
        <v>0</v>
      </c>
      <c r="HO17" s="1068" t="e">
        <f>_xlfn.CONCAT('Customer Inputs'!$AG$13,"_",HF17)</f>
        <v>#N/A</v>
      </c>
      <c r="HP17" s="1068">
        <f t="array" ref="HP17">IFERROR(INDEX('Margin Guidence Table'!$A$1:$AD$30000,MATCH(1,('Margin Guidence Table'!$A$1:$A$10000=HO17)*('Margin Guidence Table'!$I$1:$I$10000&lt;=ROUND($HG$3,0))*('Margin Guidence Table'!$J$1:$J$10000&gt;=ROUND($HG$3,0)),0),MATCH("DATA_POINTS",'Margin Guidence Table'!$A$1:$AG$1,0)),0)</f>
        <v>0</v>
      </c>
      <c r="HQ17" s="1065" t="str">
        <f t="shared" si="41"/>
        <v>DEFAULT</v>
      </c>
      <c r="HR17" s="1065">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65">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69">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69">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69">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69">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69">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69">
        <f t="array" ref="HY17">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8"/>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72" t="e">
        <f t="shared" si="42"/>
        <v>#DIV/0!</v>
      </c>
      <c r="IC17" s="101" t="s">
        <v>102</v>
      </c>
      <c r="ID17" s="93">
        <f>IFERROR(IF(AND($ID$2&lt;&gt;"Enter Spend&gt;&gt;&gt;",IE5="EXISTING"),SUMIFS('Existing Customers'!$Q:$Q,'Existing Customers'!$A:$A,$ID$1,'Existing Customers'!$H:$H,$IC17)*$ID$4,$ID$3*$IB17),0)</f>
        <v>0</v>
      </c>
      <c r="IE17" s="88">
        <f>IFERROR(IF(AND($ID$2&lt;&gt;"Enter Spend&gt;&gt;&gt;",IE2="EXISTING"),SUMIFS('Existing Customers'!$N:$N,'Existing Customers'!$A:$A,$ID$1,'Existing Customers'!$H:$H,$IC17)*$ID$4,$ID17/$IO17),0)</f>
        <v>0</v>
      </c>
      <c r="IF17" s="94">
        <f>IFERROR(IF(AND($ID$2&lt;&gt;"Enter Spend&gt;&gt;&gt;",IE2="EXISTING"),SUMIFS('Existing Customers'!$O:$O,'Existing Customers'!$H:$H,$IC17,'Existing Customers'!$A:$A,$ID$1)*$ID$4,$IE17*$ID$8),0)</f>
        <v>0</v>
      </c>
      <c r="IG17" s="94">
        <f>IFERROR(IF(AND($ID$2&lt;&gt;"Enter Spend&gt;&gt;&gt;",IE2="EXISTING"),SUMIFS('Existing Customers'!$P:$P,'Existing Customers'!$A:$A,$ID$1,'Existing Customers'!$H:$H,$IC17)*$ID$4,$ID17/$IP17),0)</f>
        <v>0</v>
      </c>
      <c r="IH17" s="378">
        <f>IFERROR(IF(AND($ID$2&lt;&gt;"Enter Spend&gt;&gt;&gt;",IE2="EXISTING"),SUMIFS('Existing Customers'!$V:$V,'Existing Customers'!$H:$H,$IC17,'Existing Customers'!$A:$A,$ID$1)*$ID$4,0),0)</f>
        <v>0</v>
      </c>
      <c r="II17" s="95">
        <f>IFERROR(IF(AND($ID$2&lt;&gt;"Enter Spend&gt;&gt;&gt;",IE2="EXISTING"),SUMIFS('Existing Customers'!$R:$R,'Existing Customers'!$H:$H,$IC17,'Existing Customers'!$A:$A,$ID$1)*$ID$4,0),0)</f>
        <v>0</v>
      </c>
      <c r="IJ17" s="1065">
        <f>IFERROR(IF(AND($ID$2&lt;&gt;"Enter Spend&gt;&gt;&gt;",IE2="EXISTING"),SUMIFS('Existing Customers'!$S:$S,'Existing Customers'!$H:$H,$IC17,'Existing Customers'!$A:$A,$ID$1),IT17*ID17),0)</f>
        <v>0</v>
      </c>
      <c r="IK17" s="1065">
        <f>IFERROR(IF(AND($ID$2&lt;&gt;"Enter Spend&gt;&gt;&gt;",IE2="EXISTING"),SUMIFS('Existing Customers'!$U:$U,'Existing Customers'!$H:$H,$IC17,'Existing Customers'!$A:$A,$ID$1),IU17*ID17),0)</f>
        <v>0</v>
      </c>
      <c r="IL17" s="1068" t="e">
        <f>_xlfn.CONCAT('Customer Inputs'!$AG$14,"_",IC17)</f>
        <v>#N/A</v>
      </c>
      <c r="IM17" s="1068">
        <f t="array" ref="IM17">IFERROR(INDEX('Margin Guidence Table'!$A$1:$AD$30000,MATCH(1,('Margin Guidence Table'!$A$1:$A$10000=IL17)*('Margin Guidence Table'!$I$1:$I$10000&lt;=ROUND($ID$3,0))*('Margin Guidence Table'!$J$1:$J$10000&gt;=ROUND($ID$3,0)),0),MATCH("DATA_POINTS",'Margin Guidence Table'!$A$1:$AG$1,0)),0)</f>
        <v>0</v>
      </c>
      <c r="IN17" s="1065" t="str">
        <f t="shared" si="43"/>
        <v>DEFAULT</v>
      </c>
      <c r="IO17" s="1065">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65">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69">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69">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69">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69">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69">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69">
        <f t="array" ref="IV17">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8"/>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72" t="e">
        <f t="shared" si="44"/>
        <v>#DIV/0!</v>
      </c>
      <c r="IZ17" s="101" t="s">
        <v>102</v>
      </c>
      <c r="JA17" s="93">
        <f>IFERROR(IF(AND($JA$2&lt;&gt;"Enter Spend&gt;&gt;&gt;",JB5="EXISTING"),SUMIFS('Existing Customers'!$Q:$Q,'Existing Customers'!$A:$A,$JA$1,'Existing Customers'!$H:$H,$IZ17)*$JA$4,$JA$3*$IY17),0)</f>
        <v>0</v>
      </c>
      <c r="JB17" s="88">
        <f>IFERROR(IF(AND($JA$2&lt;&gt;"Enter Spend&gt;&gt;&gt;",JB2="EXISTING"),SUMIFS('Existing Customers'!$N:$N,'Existing Customers'!$A:$A,$JA$1,'Existing Customers'!$H:$H,$IZ17)*$JA$4,$JA17/$JL17),0)</f>
        <v>0</v>
      </c>
      <c r="JC17" s="94">
        <f>IFERROR(IF(AND($JA$2&lt;&gt;"Enter Spend&gt;&gt;&gt;",JB2="EXISTING"),SUMIFS('Existing Customers'!$O:$O,'Existing Customers'!$H:$H,$IZ17,'Existing Customers'!$A:$A,$JA$1)*$JA$4,$JB17*$JA$8),0)</f>
        <v>0</v>
      </c>
      <c r="JD17" s="94">
        <f>IFERROR(IF(AND($JA$2&lt;&gt;"Enter Spend&gt;&gt;&gt;",JB2="EXISTING"),SUMIFS('Existing Customers'!$P:$P,'Existing Customers'!$A:$A,$JA$1,'Existing Customers'!$H:$H,$IZ17)*$JA$4,$JA17/$JM17),0)</f>
        <v>0</v>
      </c>
      <c r="JE17" s="378">
        <f>IFERROR(IF(AND($JA$2&lt;&gt;"Enter Spend&gt;&gt;&gt;",JB2="EXISTING"),SUMIFS('Existing Customers'!$V:$V,'Existing Customers'!$H:$H,$IZ17,'Existing Customers'!$A:$A,$JA$1)*$JA$4,0),0)</f>
        <v>0</v>
      </c>
      <c r="JF17" s="95">
        <f>IFERROR(IF(AND($JA$2&lt;&gt;"Enter Spend&gt;&gt;&gt;",JB2="EXISTING"),SUMIFS('Existing Customers'!$R:$R,'Existing Customers'!$H:$H,$IZ17,'Existing Customers'!$A:$A,$JA$1)*$JA$4,0),0)</f>
        <v>0</v>
      </c>
      <c r="JG17" s="1065">
        <f>IFERROR(IF(AND($JA$2&lt;&gt;"Enter Spend&gt;&gt;&gt;",JB2="EXISTING"),SUMIFS('Existing Customers'!$S:$S,'Existing Customers'!$H:$H,$IZ17,'Existing Customers'!$A:$A,$JA$1),JQ17*JA17),0)</f>
        <v>0</v>
      </c>
      <c r="JH17" s="1065">
        <f>IFERROR(IF(AND($JA$2&lt;&gt;"Enter Spend&gt;&gt;&gt;",JB2="EXISTING"),SUMIFS('Existing Customers'!$U:$U,'Existing Customers'!$H:$H,$IZ17,'Existing Customers'!$A:$A,$JA$1),JR17*JA17),0)</f>
        <v>0</v>
      </c>
      <c r="JI17" s="1068" t="e">
        <f>_xlfn.CONCAT('Customer Inputs'!$AG$15,"_",IZ17)</f>
        <v>#N/A</v>
      </c>
      <c r="JJ17" s="1068">
        <f t="array" ref="JJ17">IFERROR(INDEX('Margin Guidence Table'!$A$1:$AD$30000,MATCH(1,('Margin Guidence Table'!$A$1:$A$10000=JI17)*('Margin Guidence Table'!$I$1:$I$10000&lt;=ROUND($JA$3,0))*('Margin Guidence Table'!$J$1:$J$10000&gt;=ROUND($JA$3,0)),0),MATCH("DATA_POINTS",'Margin Guidence Table'!$A$1:$AG$1,0)),0)</f>
        <v>0</v>
      </c>
      <c r="JK17" s="1065" t="str">
        <f t="shared" si="45"/>
        <v>DEFAULT</v>
      </c>
      <c r="JL17" s="1065">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65">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69">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69">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69">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69">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69">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69">
        <f t="array" ref="JS17">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101" t="s">
        <v>102</v>
      </c>
      <c r="JV17" s="96"/>
      <c r="JW17" s="88"/>
      <c r="JX17" s="88"/>
      <c r="JY17" s="88"/>
      <c r="JZ17" s="113"/>
      <c r="KA17" s="97"/>
      <c r="KB17" s="128"/>
      <c r="KD17" s="101" t="s">
        <v>102</v>
      </c>
      <c r="KE17" s="96"/>
      <c r="KF17" s="88"/>
      <c r="KG17" s="88"/>
      <c r="KH17" s="88"/>
      <c r="KI17" s="113"/>
      <c r="KJ17" s="97"/>
    </row>
    <row r="18" spans="2:296" ht="15.75" thickBot="1" x14ac:dyDescent="0.3">
      <c r="B18" s="101" t="s">
        <v>100</v>
      </c>
      <c r="C18" s="451">
        <f t="shared" si="11"/>
        <v>0</v>
      </c>
      <c r="D18" s="467">
        <f t="shared" si="12"/>
        <v>0</v>
      </c>
      <c r="E18" s="467">
        <f t="shared" si="13"/>
        <v>0</v>
      </c>
      <c r="F18" s="467">
        <f t="shared" si="14"/>
        <v>0</v>
      </c>
      <c r="G18" s="468">
        <f t="shared" si="15"/>
        <v>0</v>
      </c>
      <c r="H18" s="467">
        <f t="shared" si="16"/>
        <v>0</v>
      </c>
      <c r="I18" s="1061" t="e">
        <f t="shared" si="0"/>
        <v>#DIV/0!</v>
      </c>
      <c r="J18" s="1061" t="e">
        <f t="shared" si="1"/>
        <v>#DIV/0!</v>
      </c>
      <c r="K18" s="1061" t="e">
        <f t="shared" si="2"/>
        <v>#DIV/0!</v>
      </c>
      <c r="L18" s="467" t="e">
        <f t="shared" si="3"/>
        <v>#DIV/0!</v>
      </c>
      <c r="M18" s="467" t="e">
        <f t="shared" si="17"/>
        <v>#DIV/0!</v>
      </c>
      <c r="N18" s="1062" t="e">
        <f t="shared" si="4"/>
        <v>#DIV/0!</v>
      </c>
      <c r="P18" t="str">
        <f>'PIM Model'!E14</f>
        <v>INCLUDE</v>
      </c>
      <c r="Q18">
        <f t="shared" si="18"/>
        <v>0</v>
      </c>
      <c r="R18">
        <f t="shared" si="19"/>
        <v>0</v>
      </c>
      <c r="S18" s="101" t="s">
        <v>100</v>
      </c>
      <c r="T18" s="96">
        <f t="shared" si="20"/>
        <v>0</v>
      </c>
      <c r="U18" s="88">
        <f t="shared" si="5"/>
        <v>0</v>
      </c>
      <c r="V18" s="88">
        <f t="shared" si="6"/>
        <v>0</v>
      </c>
      <c r="W18" s="88">
        <f t="shared" si="7"/>
        <v>0</v>
      </c>
      <c r="X18" s="113">
        <f t="shared" si="8"/>
        <v>0</v>
      </c>
      <c r="Y18" s="116">
        <f t="shared" si="21"/>
        <v>0</v>
      </c>
      <c r="Z18" s="376"/>
      <c r="AA18" s="101" t="s">
        <v>100</v>
      </c>
      <c r="AB18" s="455">
        <f t="shared" si="9"/>
        <v>0</v>
      </c>
      <c r="AC18" s="456">
        <f t="shared" si="9"/>
        <v>0</v>
      </c>
      <c r="AD18" s="456">
        <f t="shared" si="9"/>
        <v>0</v>
      </c>
      <c r="AE18" s="457">
        <f t="shared" si="22"/>
        <v>0</v>
      </c>
      <c r="AF18" s="458">
        <f t="shared" si="23"/>
        <v>0</v>
      </c>
      <c r="AG18" s="376"/>
      <c r="AH18" s="101" t="s">
        <v>100</v>
      </c>
      <c r="AI18" s="455">
        <f t="shared" si="10"/>
        <v>0</v>
      </c>
      <c r="AJ18" s="452">
        <f t="shared" si="24"/>
        <v>0</v>
      </c>
      <c r="AK18" s="458"/>
      <c r="AL18" s="376"/>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76">
        <f>VLOOKUP($AH18&amp;$AM18,'IMargin Quartiles'!$A:$F,6,FALSE)</f>
        <v>0.18</v>
      </c>
      <c r="AO18" s="376"/>
      <c r="AP18"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Q18" s="376" t="e">
        <f t="shared" si="25"/>
        <v>#DIV/0!</v>
      </c>
      <c r="AR18">
        <f>'PIM Model'!C14</f>
        <v>0</v>
      </c>
      <c r="AS18" s="376"/>
      <c r="AT18" s="376"/>
      <c r="AU18" s="376" t="e">
        <f t="shared" si="46"/>
        <v>#DIV/0!</v>
      </c>
      <c r="AV18" s="376"/>
      <c r="AW18" s="376"/>
      <c r="AX18" s="107">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72" t="e">
        <f t="shared" si="26"/>
        <v>#DIV/0!</v>
      </c>
      <c r="BA18" s="101" t="s">
        <v>100</v>
      </c>
      <c r="BB18" s="93">
        <f>IFERROR(IF(AND($BB$2&lt;&gt;"Enter Spend&gt;&gt;&gt;",BC6="EXISTING"),SUMIFS('Existing Customers'!$Q:$Q,'Existing Customers'!$A:$A,$BB$1,'Existing Customers'!$H:$H,$BA18)*$BB$4,$BB$3*$AZ18),0)</f>
        <v>0</v>
      </c>
      <c r="BC18" s="94">
        <f>IFERROR(IF(AND($BB$2&lt;&gt;"Enter Spend&gt;&gt;&gt;",BC2="EXISTING"),SUMIFS('Existing Customers'!$N:$N,'Existing Customers'!$A:$A,$BB$1,'Existing Customers'!$H:$H,$BA18)*$BB$4,$BB18/$BM18),0)</f>
        <v>0</v>
      </c>
      <c r="BD18" s="94">
        <f>IFERROR(IF(AND($BB$2&lt;&gt;"Enter Spend&gt;&gt;&gt;",BC2="EXISTING"),SUMIFS('Existing Customers'!$O:$O,'Existing Customers'!$H:$H,$BA18,'Existing Customers'!$A:$A,$BB$1)*$BB$4,$BC18*$BB$8),0)</f>
        <v>0</v>
      </c>
      <c r="BE18" s="94">
        <f>IFERROR(IF(AND($BB$2&lt;&gt;"Enter Spend&gt;&gt;&gt;",BC2="EXISTING"),SUMIFS('Existing Customers'!$P:$P,'Existing Customers'!$A:$A,$BB$1,'Existing Customers'!$H:$H,$BA18)*$BB$4,$BB18/$BN18),0)</f>
        <v>0</v>
      </c>
      <c r="BF18" s="378">
        <f>IFERROR(IF(AND($BB$2&lt;&gt;"Enter Spend&gt;&gt;&gt;",BC2="EXISTING"),SUMIFS('Existing Customers'!$V:$V,'Existing Customers'!$H:$H,$BA18,'Existing Customers'!$A:$A,$BB$1)*$BB$4,0),0)</f>
        <v>0</v>
      </c>
      <c r="BG18" s="95">
        <f>IFERROR(IF(AND($BB$2&lt;&gt;"Enter Spend&gt;&gt;&gt;",BC2="EXISTING"),SUMIFS('Existing Customers'!$R:$R,'Existing Customers'!$H:$H,$BA18,'Existing Customers'!$A:$A,$BB$1)*$BB$4,0),0)</f>
        <v>0</v>
      </c>
      <c r="BH18" s="95">
        <f>IFERROR(IF(AND($BB$2&lt;&gt;"Enter Spend&gt;&gt;&gt;",BC2="EXISTING"),SUMIFS('Existing Customers'!$S:$S,'Existing Customers'!$H:$H,$BA18,'Existing Customers'!$A:$A,$BB$1),BR18*BB18),0)</f>
        <v>0</v>
      </c>
      <c r="BI18" s="95">
        <f>IFERROR(IF(AND($BB$2&lt;&gt;"Enter Spend&gt;&gt;&gt;",BC2="EXISTING"),SUMIFS('Existing Customers'!$U:$U,'Existing Customers'!$H:$H,$BA18,'Existing Customers'!$A:$A,$BB$1),BS18*BB18),0)</f>
        <v>0</v>
      </c>
      <c r="BJ18" s="1067" t="e">
        <f>_xlfn.CONCAT('Customer Inputs'!$AG$6,"_",BA18)</f>
        <v>#N/A</v>
      </c>
      <c r="BK18" s="1068">
        <f t="array" ref="BK18">IFERROR(INDEX('Margin Guidence Table'!$A$1:$AD$30000,MATCH(1,('Margin Guidence Table'!$A$1:$A$10000=$BJ18)*('Margin Guidence Table'!$I$1:$I$10000&lt;=ROUND($BB$3,0))*('Margin Guidence Table'!$J$1:$J$10000&gt;=ROUND($BB$3,0)),0),MATCH("DATA_POINTS",'Margin Guidence Table'!$A$1:$AG$1,0)),0)</f>
        <v>0</v>
      </c>
      <c r="BL18" s="1065" t="str">
        <f t="shared" si="27"/>
        <v>DEFAULT</v>
      </c>
      <c r="BM18" s="1065">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65">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69">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69">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69">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69">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69">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69">
        <f t="array" ref="BT18">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8"/>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72" t="e">
        <f t="shared" si="28"/>
        <v>#DIV/0!</v>
      </c>
      <c r="BX18" s="101" t="s">
        <v>100</v>
      </c>
      <c r="BY18" s="93">
        <f>IFERROR(IF(AND($BY$2&lt;&gt;"Enter Spend&gt;&gt;&gt;",BZ6="EXISTING"),SUMIFS('Existing Customers'!$Q:$Q,'Existing Customers'!$A:$A,$BY$1,'Existing Customers'!$H:$H,$BX18)*$BY$4,$BY$3*$BW18),0)</f>
        <v>0</v>
      </c>
      <c r="BZ18" s="88">
        <f>IFERROR(IF(AND($BY$2&lt;&gt;"Enter Spend&gt;&gt;&gt;",BZ2="EXISTING"),SUMIFS('Existing Customers'!$N:$N,'Existing Customers'!$A:$A,$BY$1,'Existing Customers'!$H:$H,$BX18)*$BY$4,$BY18/$CJ18),0)</f>
        <v>0</v>
      </c>
      <c r="CA18" s="94">
        <f>IFERROR(IF(AND($BY$2&lt;&gt;"Enter Spend&gt;&gt;&gt;",BZ2="EXISTING"),SUMIFS('Existing Customers'!$O:$O,'Existing Customers'!$H:$H,$BX18,'Existing Customers'!$A:$A,$BY$1)*$BY$4,$BZ18*$BY$8),0)</f>
        <v>0</v>
      </c>
      <c r="CB18" s="94">
        <f>IFERROR(IF(AND($BY$2&lt;&gt;"Enter Spend&gt;&gt;&gt;",BZ2="EXISTING"),SUMIFS('Existing Customers'!$P:$P,'Existing Customers'!$A:$A,$BY$1,'Existing Customers'!$H:$H,$BX18)*$BY$4,$BY18/$CK18),0)</f>
        <v>0</v>
      </c>
      <c r="CC18" s="95">
        <f>IFERROR(IF(AND($BY$2&lt;&gt;"Enter Spend&gt;&gt;&gt;",BZ2="EXISTING"),SUMIFS('Existing Customers'!$V:$V,'Existing Customers'!$H:$H,$BX18,'Existing Customers'!$A:$A,$BY$1)*$BY$4,0),0)</f>
        <v>0</v>
      </c>
      <c r="CD18" s="95">
        <f>IFERROR(IF(AND($BY$2&lt;&gt;"Enter Spend&gt;&gt;&gt;",BZ2="EXISTING"),SUMIFS('Existing Customers'!$R:$R,'Existing Customers'!$H:$H,$BX18,'Existing Customers'!$A:$A,$BY$1)*$BY$4,0),0)</f>
        <v>0</v>
      </c>
      <c r="CE18" s="1065">
        <f>IFERROR(IF(AND($BY$2&lt;&gt;"Enter Spend&gt;&gt;&gt;",BZ2="EXISTING"),SUMIFS('Existing Customers'!$S:$S,'Existing Customers'!$H:$H,$BX18,'Existing Customers'!$A:$A,$BY$1),CO18*BY18),0)</f>
        <v>0</v>
      </c>
      <c r="CF18" s="1065">
        <f>IFERROR(IF(AND($BY$2&lt;&gt;"Enter Spend&gt;&gt;&gt;",BZ2="EXISTING"),SUMIFS('Existing Customers'!$U:$U,'Existing Customers'!$H:$H,$BX18,'Existing Customers'!$A:$A,$BY$1),CP18*BY18),0)</f>
        <v>0</v>
      </c>
      <c r="CG18" s="1068" t="e">
        <f>_xlfn.CONCAT('Customer Inputs'!$AG$7,"_",BX18)</f>
        <v>#N/A</v>
      </c>
      <c r="CH18" s="1068">
        <f t="array" ref="CH18">IFERROR(INDEX('Margin Guidence Table'!$A$1:$AD$30000,MATCH(1,('Margin Guidence Table'!$A$1:$A$10000=$CG18)*('Margin Guidence Table'!$I$1:$I$10000&lt;=ROUND($BY$3,0))*('Margin Guidence Table'!$J$1:$J$10000&gt;=ROUND($BY$3,0)),0),MATCH("DATA_POINTS",'Margin Guidence Table'!$A$1:$AG$1,0)),0)</f>
        <v>0</v>
      </c>
      <c r="CI18" s="1065" t="str">
        <f t="shared" si="29"/>
        <v>DEFAULT</v>
      </c>
      <c r="CJ18" s="1065">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65">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69">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69">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69">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69">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69">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69">
        <f t="array" ref="CQ18">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8"/>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72" t="e">
        <f t="shared" si="30"/>
        <v>#DIV/0!</v>
      </c>
      <c r="CU18" s="101" t="s">
        <v>100</v>
      </c>
      <c r="CV18" s="93">
        <f>IFERROR(IF(AND($CV$2&lt;&gt;"Enter Spend&gt;&gt;&gt;",CW6="EXISTING"),SUMIFS('Existing Customers'!$Q:$Q,'Existing Customers'!$A:$A,$CV$1,'Existing Customers'!$H:$H,$CU18)*$CV$4,$CV$3*$CT18),0)</f>
        <v>0</v>
      </c>
      <c r="CW18" s="88">
        <f>IFERROR(IF(AND($CV$2&lt;&gt;"Enter Spend&gt;&gt;&gt;",CW2="EXISTING"),SUMIFS('Existing Customers'!$N:$N,'Existing Customers'!$A:$A,$CV$1,'Existing Customers'!$H:$H,$CU18)*$CV$4,$CV18/$DG18),0)</f>
        <v>0</v>
      </c>
      <c r="CX18" s="94">
        <f>IFERROR(IF(AND($CV$2&lt;&gt;"Enter Spend&gt;&gt;&gt;",BC28="EXISTING"),SUMIFS('Existing Customers'!$O:$O,'Existing Customers'!$H:$H,$CU18,'Existing Customers'!$A:$A,$CV$1)*$CV$4,$CW18*$CV$8),0)</f>
        <v>0</v>
      </c>
      <c r="CY18" s="94">
        <f>IFERROR(IF(AND($CV$2&lt;&gt;"Enter Spend&gt;&gt;&gt;",CW2="EXISTING"),SUMIFS('Existing Customers'!$P:$P,'Existing Customers'!$A:$A,$CV$1,'Existing Customers'!$H:$H,$CU18)*$CV$4,$CV18/$DH18),0)</f>
        <v>0</v>
      </c>
      <c r="CZ18" s="95">
        <f>IFERROR(IF(AND($CV$2&lt;&gt;"Enter Spend&gt;&gt;&gt;",CW2="EXISTING"),SUMIFS('Existing Customers'!$V:$V,'Existing Customers'!$H:$H,$CU18,'Existing Customers'!$A:$A,$CV$1)*$CV$4,0),0)</f>
        <v>0</v>
      </c>
      <c r="DA18" s="95">
        <f>IFERROR(IF(AND($CV$2&lt;&gt;"Enter Spend&gt;&gt;&gt;",CW2="EXISTING"),SUMIFS('Existing Customers'!$R:$R,'Existing Customers'!$H:$H,$BA18,'Existing Customers'!$A:$A,$CV$1)*$CV$4,0),0)</f>
        <v>0</v>
      </c>
      <c r="DB18" s="1065">
        <f>IFERROR(IF(AND($CV$2&lt;&gt;"Enter Spend&gt;&gt;&gt;",CW2="EXISTING"),SUMIFS('Existing Customers'!$S:$S,'Existing Customers'!$H:$H,$CU18,'Existing Customers'!$A:$A,$CV$1),DL18*CV18),0)</f>
        <v>0</v>
      </c>
      <c r="DC18" s="1065">
        <f>IFERROR(IF(AND($CV$2&lt;&gt;"Enter Spend&gt;&gt;&gt;",CW2="EXISTING"),SUMIFS('Existing Customers'!$U:$U,'Existing Customers'!$H:$H,$CU18,'Existing Customers'!$A:$A,$CV$1),DM18*CV18),0)</f>
        <v>0</v>
      </c>
      <c r="DD18" s="1068" t="e">
        <f>_xlfn.CONCAT('Customer Inputs'!$AG$8,"_",CU18)</f>
        <v>#N/A</v>
      </c>
      <c r="DE18" s="1068">
        <f t="array" ref="DE18">IFERROR(INDEX('Margin Guidence Table'!$A$1:$AD$30000,MATCH(1,('Margin Guidence Table'!$A$1:$A$10000=DD18)*('Margin Guidence Table'!$I$1:$I$10000&lt;=ROUND($CV$3,0))*('Margin Guidence Table'!$J$1:$J$10000&gt;=ROUND($CV$3,0)),0),MATCH("DATA_POINTS",'Margin Guidence Table'!$A$1:$AG$1,0)),0)</f>
        <v>0</v>
      </c>
      <c r="DF18" s="1065" t="str">
        <f t="shared" si="31"/>
        <v>DEFAULT</v>
      </c>
      <c r="DG18" s="1065">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65">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69">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69">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69">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69">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69">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69">
        <f t="array" ref="DN18">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8"/>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72" t="e">
        <f t="shared" si="32"/>
        <v>#DIV/0!</v>
      </c>
      <c r="DR18" s="101" t="s">
        <v>100</v>
      </c>
      <c r="DS18" s="93">
        <f>IFERROR(IF(AND($DS$2&lt;&gt;"Enter Spend&gt;&gt;&gt;",DT6="EXISTING"),SUMIFS('Existing Customers'!$Q:$Q,'Existing Customers'!$A:$A,$DS$1,'Existing Customers'!$H:$H,$DR18)*$DS$4,$DS$3*$DQ18),0)</f>
        <v>0</v>
      </c>
      <c r="DT18" s="88">
        <f>IFERROR(IF(AND($DS$2&lt;&gt;"Enter Spend&gt;&gt;&gt;",DT2="EXISTING"),SUMIFS('Existing Customers'!$N:$N,'Existing Customers'!$A:$A,$DS$1,'Existing Customers'!$H:$H,$DR18)*$DS$4,$DS18/$ED18),0)</f>
        <v>0</v>
      </c>
      <c r="DU18" s="94">
        <f>IFERROR(IF(AND($DS$2&lt;&gt;"Enter Spend&gt;&gt;&gt;",DT2="EXISTING"),SUMIFS('Existing Customers'!$O:$O,'Existing Customers'!$H:$H,$DR18,'Existing Customers'!$A:$A,$DS$1)*$DS$4,$DT18*$DS$8),0)</f>
        <v>0</v>
      </c>
      <c r="DV18" s="94">
        <f>IFERROR(IF(AND($DS$2&lt;&gt;"Enter Spend&gt;&gt;&gt;",DT2="EXISTING"),SUMIFS('Existing Customers'!$P:$P,'Existing Customers'!$A:$A,$DS$1,'Existing Customers'!$H:$H,$DR18)*$DS$4,$DS18/$EE18),0)</f>
        <v>0</v>
      </c>
      <c r="DW18" s="95">
        <f>IFERROR(IF(AND($DS$2&lt;&gt;"Enter Spend&gt;&gt;&gt;",EQ2="EXISTING"),SUMIFS('Existing Customers'!$V:$V,'Existing Customers'!$H:$H,$DR18,'Existing Customers'!$A:$A,$DS$1)*$DS$4,0),0)</f>
        <v>0</v>
      </c>
      <c r="DX18" s="95">
        <f>IFERROR(IF(AND($DS$2&lt;&gt;"Enter Spend&gt;&gt;&gt;",DT2="EXISTING"),SUMIFS('Existing Customers'!$R:$R,'Existing Customers'!$H:$H,$DR18,'Existing Customers'!$A:$A,$DS$1)*$DS$4,0),0)</f>
        <v>0</v>
      </c>
      <c r="DY18" s="1065">
        <f>IFERROR(IF(AND($DS$2&lt;&gt;"Enter Spend&gt;&gt;&gt;",DT2="EXISTING"),SUMIFS('Existing Customers'!$S:$S,'Existing Customers'!$H:$H,$DT18,'Existing Customers'!$A:$A,$DS$1),EI18*DS18),0)</f>
        <v>0</v>
      </c>
      <c r="DZ18" s="1065">
        <f>IFERROR(IF(AND($DS$2&lt;&gt;"Enter Spend&gt;&gt;&gt;",DT2="EXISTING"),SUMIFS('Existing Customers'!$U:$U,'Existing Customers'!$H:$H,$DR18,'Existing Customers'!$A:$A,$DS$1),EJ18*DS18),0)</f>
        <v>0</v>
      </c>
      <c r="EA18" s="1068" t="e">
        <f>_xlfn.CONCAT('Customer Inputs'!$AG$9,"_",DR18)</f>
        <v>#N/A</v>
      </c>
      <c r="EB18" s="1068">
        <f t="array" ref="EB18">IFERROR(INDEX('Margin Guidence Table'!$A$1:$AD$30000,MATCH(1,('Margin Guidence Table'!$A$1:$A$10000=EA18)*('Margin Guidence Table'!$I$1:$I$10000&lt;=ROUND($DS$3,0))*('Margin Guidence Table'!$J$1:$J$10000&gt;=ROUND($DS$3,0)),0),MATCH("DATA_POINTS",'Margin Guidence Table'!$A$1:$AG$1,0)),0)</f>
        <v>0</v>
      </c>
      <c r="EC18" s="1065" t="str">
        <f t="shared" si="33"/>
        <v>DEFAULT</v>
      </c>
      <c r="ED18" s="1065">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65">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69">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69">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69">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69">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69">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69">
        <f t="array" ref="EK18">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8"/>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72" t="e">
        <f t="shared" si="34"/>
        <v>#DIV/0!</v>
      </c>
      <c r="EO18" s="101" t="s">
        <v>100</v>
      </c>
      <c r="EP18" s="93">
        <f>IFERROR(IF(AND($EP$2&lt;&gt;"Enter Spend&gt;&gt;&gt;",EQ6="EXISTING"),SUMIFS('Existing Customers'!$Q:$Q,'Existing Customers'!$A:$A,$EP$1,'Existing Customers'!$H:$H,$EO18)*$EP$4,$EP$3*$EN18),0)</f>
        <v>0</v>
      </c>
      <c r="EQ18" s="88">
        <f>IFERROR(IF(AND($EP$2&lt;&gt;"Enter Spend&gt;&gt;&gt;",EQ2="EXISTING"),SUMIFS('Existing Customers'!$N:$N,'Existing Customers'!$A:$A,$EP$1,'Existing Customers'!$H:$H,$EO18)*$EP$4,$EP18/$FA18),0)</f>
        <v>0</v>
      </c>
      <c r="ER18" s="94">
        <f>IFERROR(IF(AND($EP$2&lt;&gt;"Enter Spend&gt;&gt;&gt;",EQ2="EXISTING"),SUMIFS('Existing Customers'!$O:$O,'Existing Customers'!$H:$H,$EO18,'Existing Customers'!$A:$A,$EP$1)*$EP$4,$EQ18*$EP$8),0)</f>
        <v>0</v>
      </c>
      <c r="ES18" s="94">
        <f>IFERROR(IF(AND($EP$2&lt;&gt;"Enter Spend&gt;&gt;&gt;",EQ2="EXISTING"),SUMIFS('Existing Customers'!$P:$P,'Existing Customers'!$A:$A,$EP$1,'Existing Customers'!$H:$H,$EO18)*$EP$4,$EP18/$FB18),0)</f>
        <v>0</v>
      </c>
      <c r="ET18" s="95">
        <f>IFERROR(IF(AND($EP$2&lt;&gt;"Enter Spend&gt;&gt;&gt;",EQ2="EXISTING"),SUMIFS('Existing Customers'!$V:$V,'Existing Customers'!$H:$H,$EO18,'Existing Customers'!$A:$A,$EP$1)*$EP$4,0),0)</f>
        <v>0</v>
      </c>
      <c r="EU18" s="95">
        <f>IFERROR(IF(AND($EP$2&lt;&gt;"Enter Spend&gt;&gt;&gt;",EQ2="EXISTING"),SUMIFS('Existing Customers'!$R:$R,'Existing Customers'!$H:$H,$EO18,'Existing Customers'!$A:$A,$EP$1)*$EP$4,0),0)</f>
        <v>0</v>
      </c>
      <c r="EV18" s="1065">
        <f>IFERROR(IF(AND($EP$2&lt;&gt;"Enter Spend&gt;&gt;&gt;",EQ2="EXISTING"),SUMIFS('Existing Customers'!$S:$S,'Existing Customers'!$H:$H,$EO18,'Existing Customers'!$A:$A,$EP$1),FF18*EP18),0)</f>
        <v>0</v>
      </c>
      <c r="EW18" s="1065">
        <f>IFERROR(IF(AND($EP$2&lt;&gt;"Enter Spend&gt;&gt;&gt;",EQ2="EXISTING"),SUMIFS('Existing Customers'!$U:$U,'Existing Customers'!$H:$H,$EO18,'Existing Customers'!$A:$A,$EP$1),FG18*EP18),0)</f>
        <v>0</v>
      </c>
      <c r="EX18" s="1068" t="e">
        <f>_xlfn.CONCAT('Customer Inputs'!$AG$10,"_",EO18)</f>
        <v>#N/A</v>
      </c>
      <c r="EY18" s="1068">
        <f t="array" ref="EY18">IFERROR(INDEX('Margin Guidence Table'!$A$1:$AD$30000,MATCH(1,('Margin Guidence Table'!$A$1:$A$10000=EX18)*('Margin Guidence Table'!$I$1:$I$10000&lt;=ROUND($EP$3,0))*('Margin Guidence Table'!$J$1:$J$10000&gt;=ROUND($EP$3,0)),0),MATCH("DATA_POINTS",'Margin Guidence Table'!$A$1:$AG$1,0)),0)</f>
        <v>0</v>
      </c>
      <c r="EZ18" s="1065" t="str">
        <f t="shared" si="35"/>
        <v>DEFAULT</v>
      </c>
      <c r="FA18" s="1065">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65"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69">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69">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69">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69">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69">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69">
        <f t="array" ref="FH18">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8"/>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72" t="e">
        <f t="shared" si="36"/>
        <v>#DIV/0!</v>
      </c>
      <c r="FL18" s="101" t="s">
        <v>100</v>
      </c>
      <c r="FM18" s="93">
        <f>IFERROR(IF(AND($FM$2&lt;&gt;"Enter Spend&gt;&gt;&gt;",FN6="EXISTING"),SUMIFS('Existing Customers'!$Q:$Q,'Existing Customers'!$A:$A,$FM$1,'Existing Customers'!$H:$H,$FL18)*$FM$4,$FM$3*$FK18),0)</f>
        <v>0</v>
      </c>
      <c r="FN18" s="88">
        <f>IFERROR(IF(AND($FM$2&lt;&gt;"Enter Spend&gt;&gt;&gt;",FN2="EXISTING"),SUMIFS('Existing Customers'!$N:$N,'Existing Customers'!$A:$A,$FM$1,'Existing Customers'!$H:$H,$FL18)*$FM$4,$FM18/$FX18),0)</f>
        <v>0</v>
      </c>
      <c r="FO18" s="94">
        <f>IFERROR(IF(AND($FM$2&lt;&gt;"Enter Spend&gt;&gt;&gt;",FN2="EXISTING"),SUMIFS('Existing Customers'!$O:$O,'Existing Customers'!$H:$H,$FL18,'Existing Customers'!$A:$A,$FM$1)*$FM$4,$FN18*$FM$8),0)</f>
        <v>0</v>
      </c>
      <c r="FP18" s="94">
        <f>IFERROR(IF(AND($FM$2&lt;&gt;"Enter Spend&gt;&gt;&gt;",FN2="EXISTING"),SUMIFS('Existing Customers'!$P:$P,'Existing Customers'!$A:$A,$FM$1,'Existing Customers'!$H:$H,$FL18)*$FM$4,$FM18/$FY18),0)</f>
        <v>0</v>
      </c>
      <c r="FQ18" s="95">
        <f>IFERROR(IF(AND($FM$2&lt;&gt;"Enter Spend&gt;&gt;&gt;",FN2="EXISTING"),SUMIFS('Existing Customers'!$V:$V,'Existing Customers'!$H:$H,$FL18,'Existing Customers'!$A:$A,$FM$1)*$FM$4,0),0)</f>
        <v>0</v>
      </c>
      <c r="FR18" s="95">
        <f>IFERROR(IF(AND($FM$2&lt;&gt;"Enter Spend&gt;&gt;&gt;",FN2="EXISTING"),SUMIFS('Existing Customers'!$R:$R,'Existing Customers'!$H:$H,$FL18,'Existing Customers'!$A:$A,$FM$1)*$FM$4,0),0)</f>
        <v>0</v>
      </c>
      <c r="FS18" s="1065">
        <f>IFERROR(IF(AND($FM$2&lt;&gt;"Enter Spend&gt;&gt;&gt;",FN2="EXISTING"),SUMIFS('Existing Customers'!$S:$S,'Existing Customers'!$H:$H,$FL18,'Existing Customers'!$A:$A,$FM$1),GC18*FM18),0)</f>
        <v>0</v>
      </c>
      <c r="FT18" s="1065">
        <f>IFERROR(IF(AND($FM$2&lt;&gt;"Enter Spend&gt;&gt;&gt;",FN2="EXISTING"),SUMIFS('Existing Customers'!$U:$U,'Existing Customers'!$H:$H,$FL18,'Existing Customers'!$A:$A,$FM$1),GD18*FM18),0)</f>
        <v>0</v>
      </c>
      <c r="FU18" s="1068" t="e">
        <f>_xlfn.CONCAT('Customer Inputs'!$AG$11,"_",FL18)</f>
        <v>#N/A</v>
      </c>
      <c r="FV18" s="1068">
        <f t="array" ref="FV18">IFERROR(INDEX('Margin Guidence Table'!$A$1:$AD$30000,MATCH(1,('Margin Guidence Table'!$A$1:$A$10000=FU18)*('Margin Guidence Table'!$I$1:$I$10000&lt;=ROUND($FM$3,0))*('Margin Guidence Table'!$J$1:$J$10000&gt;=ROUND($FM$3,0)),0),MATCH("DATA_POINTS",'Margin Guidence Table'!$A$1:$AG$1,0)),0)</f>
        <v>0</v>
      </c>
      <c r="FW18" s="1065" t="str">
        <f t="shared" si="37"/>
        <v>DEFAULT</v>
      </c>
      <c r="FX18" s="1065">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65">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69">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69">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69">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69">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69">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69">
        <f t="array" ref="GE18">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8"/>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72" t="e">
        <f t="shared" si="38"/>
        <v>#DIV/0!</v>
      </c>
      <c r="GI18" s="101" t="s">
        <v>100</v>
      </c>
      <c r="GJ18" s="93">
        <f>IFERROR(IF(AND($GJ$2&lt;&gt;"Enter Spend&gt;&gt;&gt;",GK6="EXISTING"),SUMIFS('Existing Customers'!$Q:$Q,'Existing Customers'!$A:$A,$GJ$1,'Existing Customers'!$H:$H,$GI18)*$GJ$4,$GJ$3*$GH18),0)</f>
        <v>0</v>
      </c>
      <c r="GK18" s="88">
        <f>IFERROR(IF(AND($GJ$2&lt;&gt;"Enter Spend&gt;&gt;&gt;",GK2="EXISTING"),SUMIFS('Existing Customers'!$N:$N,'Existing Customers'!$A:$A,$GJ$1,'Existing Customers'!$H:$H,$GI18)*$GJ$4,$GJ18/$GU18),0)</f>
        <v>0</v>
      </c>
      <c r="GL18" s="94">
        <f>IFERROR(IF(AND($GJ$2&lt;&gt;"Enter Spend&gt;&gt;&gt;",GK2="EXISTING"),SUMIFS('Existing Customers'!$O:$O,'Existing Customers'!$H:$H,$GI18,'Existing Customers'!$A:$A,$GJ$1)*$GJ$4,$GK18*$GJ$8),0)</f>
        <v>0</v>
      </c>
      <c r="GM18" s="94">
        <f>IFERROR(IF(AND($GJ$2&lt;&gt;"Enter Spend&gt;&gt;&gt;",GK2="EXISTING"),SUMIFS('Existing Customers'!$P:$P,'Existing Customers'!$A:$A,$GJ$1,'Existing Customers'!$H:$H,$GI18)*$GJ$4,$GJ18/$GV18),0)</f>
        <v>0</v>
      </c>
      <c r="GN18" s="95">
        <f>IFERROR(IF(AND($GJ$2&lt;&gt;"Enter Spend&gt;&gt;&gt;",GK2="EXISTING"),SUMIFS('Existing Customers'!$V:$V,'Existing Customers'!$H:$H,$GI18,'Existing Customers'!$A:$A,$GJ$1)*$GJ$4,0),0)</f>
        <v>0</v>
      </c>
      <c r="GO18" s="95">
        <f>IFERROR(IF(AND($GJ$2&lt;&gt;"Enter Spend&gt;&gt;&gt;",GK2="EXISTING"),SUMIFS('Existing Customers'!$R:$R,'Existing Customers'!$H:$H,$GI18,'Existing Customers'!$A:$A,$GJ$1)*$GJ$4,0),0)</f>
        <v>0</v>
      </c>
      <c r="GP18" s="1065">
        <f>IFERROR(IF(AND($GJ$2&lt;&gt;"Enter Spend&gt;&gt;&gt;",GK2="EXISTING"),SUMIFS('Existing Customers'!$S:$S,'Existing Customers'!$H:$H,$GI18,'Existing Customers'!$A:$A,$GJ$1),GZ18*GJ18),0)</f>
        <v>0</v>
      </c>
      <c r="GQ18" s="1065">
        <f>IFERROR(IF(AND($GJ$2&lt;&gt;"Enter Spend&gt;&gt;&gt;",GK2="EXISTING"),SUMIFS('Existing Customers'!$U:$U,'Existing Customers'!$H:$H,$GI18,'Existing Customers'!$A:$A,$GJ$1),HA18*GJ18),0)</f>
        <v>0</v>
      </c>
      <c r="GR18" s="1068" t="e">
        <f>_xlfn.CONCAT('Customer Inputs'!$AG$12,"_",GI18)</f>
        <v>#N/A</v>
      </c>
      <c r="GS18" s="1068">
        <f t="array" ref="GS18">IFERROR(INDEX('Margin Guidence Table'!$A$1:$AD$30000,MATCH(1,('Margin Guidence Table'!$A$1:$A$10000=GR18)*('Margin Guidence Table'!$I$1:$I$10000&lt;=ROUND($GJ$3,0))*('Margin Guidence Table'!$J$1:$J$10000&gt;=ROUND($GJ$3,0)),0),MATCH("DATA_POINTS",'Margin Guidence Table'!$A$1:$AG$1,0)),0)</f>
        <v>0</v>
      </c>
      <c r="GT18" s="1065" t="str">
        <f t="shared" si="39"/>
        <v>DEFAULT</v>
      </c>
      <c r="GU18" s="1065">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65">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69">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69">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69">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69">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69">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69">
        <f t="array" ref="HB18">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8"/>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72" t="e">
        <f t="shared" si="40"/>
        <v>#DIV/0!</v>
      </c>
      <c r="HF18" s="101" t="s">
        <v>100</v>
      </c>
      <c r="HG18" s="93">
        <f>IFERROR(IF(AND($HG$2&lt;&gt;"Enter Spend&gt;&gt;&gt;",HH6="EXISTING"),SUMIFS('Existing Customers'!$Q:$Q,'Existing Customers'!$A:$A,$HG$1,'Existing Customers'!$H:$H,$HF18)*$HG$4,$HG$3*$HE18),0)</f>
        <v>0</v>
      </c>
      <c r="HH18" s="88">
        <f>IFERROR(IF(AND($HG$2&lt;&gt;"Enter Spend&gt;&gt;&gt;",HH2="EXISTING"),SUMIFS('Existing Customers'!$N:$N,'Existing Customers'!$A:$A,$HG$1,'Existing Customers'!$H:$H,$HF18)*$HG$4,$HG18/$HR18),0)</f>
        <v>0</v>
      </c>
      <c r="HI18" s="94">
        <f>IFERROR(IF(AND($HG$2&lt;&gt;"Enter Spend&gt;&gt;&gt;",HH2="EXISTING"),SUMIFS('Existing Customers'!$O:$O,'Existing Customers'!$H:$H,$HF18,'Existing Customers'!$A:$A,$HG$1)*$HG$4,$HH18*$HG$8),0)</f>
        <v>0</v>
      </c>
      <c r="HJ18" s="94">
        <f>IFERROR(IF(AND($HG$2&lt;&gt;"Enter Spend&gt;&gt;&gt;",HH2="EXISTING"),SUMIFS('Existing Customers'!$P:$P,'Existing Customers'!$A:$A,$HG$1,'Existing Customers'!$H:$H,$HF18)*$HG$4,$HG18/$HS18),0)</f>
        <v>0</v>
      </c>
      <c r="HK18" s="95">
        <f>IFERROR(IF(AND($HG$2&lt;&gt;"Enter Spend&gt;&gt;&gt;",HH2="EXISTING"),SUMIFS('Existing Customers'!$V:$V,'Existing Customers'!$H:$H,$HF18,'Existing Customers'!$A:$A,$HG$1)*$HG$4,0),0)</f>
        <v>0</v>
      </c>
      <c r="HL18" s="95">
        <f>IFERROR(IF(AND($HG$2&lt;&gt;"Enter Spend&gt;&gt;&gt;",HH2="EXISTING"),SUMIFS('Existing Customers'!$R:$R,'Existing Customers'!$H:$H,$HF18,'Existing Customers'!$A:$A,$HG$1)*$HG$4,0),0)</f>
        <v>0</v>
      </c>
      <c r="HM18" s="1065">
        <f>IFERROR(IF(AND($HG$2&lt;&gt;"Enter Spend&gt;&gt;&gt;",HH2="EXISTING"),SUMIFS('Existing Customers'!$S:$S,'Existing Customers'!$H:$H,$HF18,'Existing Customers'!$A:$A,$HG$1),HW18*HG18),0)</f>
        <v>0</v>
      </c>
      <c r="HN18" s="1065">
        <f>IFERROR(IF(AND($HG$2&lt;&gt;"Enter Spend&gt;&gt;&gt;",HH2="EXISTING"),SUMIFS('Existing Customers'!$U:$U,'Existing Customers'!$H:$H,$HF18,'Existing Customers'!$A:$A,$HG$1),HX18*HG18),0)</f>
        <v>0</v>
      </c>
      <c r="HO18" s="1068" t="e">
        <f>_xlfn.CONCAT('Customer Inputs'!$AG$13,"_",HF18)</f>
        <v>#N/A</v>
      </c>
      <c r="HP18" s="1068">
        <f t="array" ref="HP18">IFERROR(INDEX('Margin Guidence Table'!$A$1:$AD$30000,MATCH(1,('Margin Guidence Table'!$A$1:$A$10000=HO18)*('Margin Guidence Table'!$I$1:$I$10000&lt;=ROUND($HG$3,0))*('Margin Guidence Table'!$J$1:$J$10000&gt;=ROUND($HG$3,0)),0),MATCH("DATA_POINTS",'Margin Guidence Table'!$A$1:$AG$1,0)),0)</f>
        <v>0</v>
      </c>
      <c r="HQ18" s="1065" t="str">
        <f t="shared" si="41"/>
        <v>DEFAULT</v>
      </c>
      <c r="HR18" s="1065">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65">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69">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69">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69">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69">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69">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69">
        <f t="array" ref="HY18">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8"/>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72" t="e">
        <f t="shared" si="42"/>
        <v>#DIV/0!</v>
      </c>
      <c r="IC18" s="101" t="s">
        <v>100</v>
      </c>
      <c r="ID18" s="93">
        <f>IFERROR(IF(AND($ID$2&lt;&gt;"Enter Spend&gt;&gt;&gt;",IE6="EXISTING"),SUMIFS('Existing Customers'!$Q:$Q,'Existing Customers'!$A:$A,$ID$1,'Existing Customers'!$H:$H,$IC18)*$ID$4,$ID$3*$IB18),0)</f>
        <v>0</v>
      </c>
      <c r="IE18" s="88">
        <f>IFERROR(IF(AND($ID$2&lt;&gt;"Enter Spend&gt;&gt;&gt;",IE2="EXISTING"),SUMIFS('Existing Customers'!$N:$N,'Existing Customers'!$A:$A,$ID$1,'Existing Customers'!$H:$H,$IC18)*$ID$4,$ID18/$IO18),0)</f>
        <v>0</v>
      </c>
      <c r="IF18" s="94">
        <f>IFERROR(IF(AND($ID$2&lt;&gt;"Enter Spend&gt;&gt;&gt;",IE2="EXISTING"),SUMIFS('Existing Customers'!$O:$O,'Existing Customers'!$H:$H,$IC18,'Existing Customers'!$A:$A,$ID$1)*$ID$4,$IE18*$ID$8),0)</f>
        <v>0</v>
      </c>
      <c r="IG18" s="94">
        <f>IFERROR(IF(AND($ID$2&lt;&gt;"Enter Spend&gt;&gt;&gt;",IE2="EXISTING"),SUMIFS('Existing Customers'!$P:$P,'Existing Customers'!$A:$A,$ID$1,'Existing Customers'!$H:$H,$IC18)*$ID$4,$ID18/$IP18),0)</f>
        <v>0</v>
      </c>
      <c r="IH18" s="378">
        <f>IFERROR(IF(AND($ID$2&lt;&gt;"Enter Spend&gt;&gt;&gt;",IE2="EXISTING"),SUMIFS('Existing Customers'!$V:$V,'Existing Customers'!$H:$H,$IC18,'Existing Customers'!$A:$A,$ID$1)*$ID$4,0),0)</f>
        <v>0</v>
      </c>
      <c r="II18" s="95">
        <f>IFERROR(IF(AND($ID$2&lt;&gt;"Enter Spend&gt;&gt;&gt;",IE2="EXISTING"),SUMIFS('Existing Customers'!$R:$R,'Existing Customers'!$H:$H,$IC18,'Existing Customers'!$A:$A,$ID$1)*$ID$4,0),0)</f>
        <v>0</v>
      </c>
      <c r="IJ18" s="1065">
        <f>IFERROR(IF(AND($ID$2&lt;&gt;"Enter Spend&gt;&gt;&gt;",IE2="EXISTING"),SUMIFS('Existing Customers'!$S:$S,'Existing Customers'!$H:$H,$IC18,'Existing Customers'!$A:$A,$ID$1),IT18*ID18),0)</f>
        <v>0</v>
      </c>
      <c r="IK18" s="1065">
        <f>IFERROR(IF(AND($ID$2&lt;&gt;"Enter Spend&gt;&gt;&gt;",IE2="EXISTING"),SUMIFS('Existing Customers'!$U:$U,'Existing Customers'!$H:$H,$IC18,'Existing Customers'!$A:$A,$ID$1),IU18*ID18),0)</f>
        <v>0</v>
      </c>
      <c r="IL18" s="1068" t="e">
        <f>_xlfn.CONCAT('Customer Inputs'!$AG$14,"_",IC18)</f>
        <v>#N/A</v>
      </c>
      <c r="IM18" s="1068">
        <f t="array" ref="IM18">IFERROR(INDEX('Margin Guidence Table'!$A$1:$AD$30000,MATCH(1,('Margin Guidence Table'!$A$1:$A$10000=IL18)*('Margin Guidence Table'!$I$1:$I$10000&lt;=ROUND($ID$3,0))*('Margin Guidence Table'!$J$1:$J$10000&gt;=ROUND($ID$3,0)),0),MATCH("DATA_POINTS",'Margin Guidence Table'!$A$1:$AG$1,0)),0)</f>
        <v>0</v>
      </c>
      <c r="IN18" s="1065" t="str">
        <f t="shared" si="43"/>
        <v>DEFAULT</v>
      </c>
      <c r="IO18" s="1065">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65">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69">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69">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69">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69">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69">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69">
        <f t="array" ref="IV18">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8"/>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72" t="e">
        <f t="shared" si="44"/>
        <v>#DIV/0!</v>
      </c>
      <c r="IZ18" s="101" t="s">
        <v>100</v>
      </c>
      <c r="JA18" s="93">
        <f>IFERROR(IF(AND($JA$2&lt;&gt;"Enter Spend&gt;&gt;&gt;",JB6="EXISTING"),SUMIFS('Existing Customers'!$Q:$Q,'Existing Customers'!$A:$A,$JA$1,'Existing Customers'!$H:$H,$IZ18)*$JA$4,$JA$3*$IY18),0)</f>
        <v>0</v>
      </c>
      <c r="JB18" s="88">
        <f>IFERROR(IF(AND($JA$2&lt;&gt;"Enter Spend&gt;&gt;&gt;",JB2="EXISTING"),SUMIFS('Existing Customers'!$N:$N,'Existing Customers'!$A:$A,$JA$1,'Existing Customers'!$H:$H,$IZ18)*$JA$4,$JA18/$JL18),0)</f>
        <v>0</v>
      </c>
      <c r="JC18" s="94">
        <f>IFERROR(IF(AND($JA$2&lt;&gt;"Enter Spend&gt;&gt;&gt;",JB2="EXISTING"),SUMIFS('Existing Customers'!$O:$O,'Existing Customers'!$H:$H,$IZ18,'Existing Customers'!$A:$A,$JA$1)*$JA$4,$JB18*$JA$8),0)</f>
        <v>0</v>
      </c>
      <c r="JD18" s="94">
        <f>IFERROR(IF(AND($JA$2&lt;&gt;"Enter Spend&gt;&gt;&gt;",JB2="EXISTING"),SUMIFS('Existing Customers'!$P:$P,'Existing Customers'!$A:$A,$JA$1,'Existing Customers'!$H:$H,$IZ18)*$JA$4,$JA18/$JM18),0)</f>
        <v>0</v>
      </c>
      <c r="JE18" s="378">
        <f>IFERROR(IF(AND($JA$2&lt;&gt;"Enter Spend&gt;&gt;&gt;",JB2="EXISTING"),SUMIFS('Existing Customers'!$V:$V,'Existing Customers'!$H:$H,$IZ18,'Existing Customers'!$A:$A,$JA$1)*$JA$4,0),0)</f>
        <v>0</v>
      </c>
      <c r="JF18" s="95">
        <f>IFERROR(IF(AND($JA$2&lt;&gt;"Enter Spend&gt;&gt;&gt;",JB2="EXISTING"),SUMIFS('Existing Customers'!$R:$R,'Existing Customers'!$H:$H,$IZ18,'Existing Customers'!$A:$A,$JA$1)*$JA$4,0),0)</f>
        <v>0</v>
      </c>
      <c r="JG18" s="1065">
        <f>IFERROR(IF(AND($JA$2&lt;&gt;"Enter Spend&gt;&gt;&gt;",JB2="EXISTING"),SUMIFS('Existing Customers'!$S:$S,'Existing Customers'!$H:$H,$IZ18,'Existing Customers'!$A:$A,$JA$1),JQ18*JA18),0)</f>
        <v>0</v>
      </c>
      <c r="JH18" s="1065">
        <f>IFERROR(IF(AND($JA$2&lt;&gt;"Enter Spend&gt;&gt;&gt;",JB2="EXISTING"),SUMIFS('Existing Customers'!$U:$U,'Existing Customers'!$H:$H,$IZ18,'Existing Customers'!$A:$A,$JA$1),JR18*JA18),0)</f>
        <v>0</v>
      </c>
      <c r="JI18" s="1068" t="e">
        <f>_xlfn.CONCAT('Customer Inputs'!$AG$15,"_",IZ18)</f>
        <v>#N/A</v>
      </c>
      <c r="JJ18" s="1068">
        <f t="array" ref="JJ18">IFERROR(INDEX('Margin Guidence Table'!$A$1:$AD$30000,MATCH(1,('Margin Guidence Table'!$A$1:$A$10000=JI18)*('Margin Guidence Table'!$I$1:$I$10000&lt;=ROUND($JA$3,0))*('Margin Guidence Table'!$J$1:$J$10000&gt;=ROUND($JA$3,0)),0),MATCH("DATA_POINTS",'Margin Guidence Table'!$A$1:$AG$1,0)),0)</f>
        <v>0</v>
      </c>
      <c r="JK18" s="1065" t="str">
        <f t="shared" si="45"/>
        <v>DEFAULT</v>
      </c>
      <c r="JL18" s="1065">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65">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69">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69">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69">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69">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69">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69">
        <f t="array" ref="JS18">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101" t="s">
        <v>100</v>
      </c>
      <c r="JV18" s="96"/>
      <c r="JW18" s="88"/>
      <c r="JX18" s="88"/>
      <c r="JY18" s="88"/>
      <c r="JZ18" s="113"/>
      <c r="KA18" s="97"/>
      <c r="KB18" s="128"/>
      <c r="KD18" s="101" t="s">
        <v>100</v>
      </c>
      <c r="KE18" s="96"/>
      <c r="KF18" s="88"/>
      <c r="KG18" s="88"/>
      <c r="KH18" s="88"/>
      <c r="KI18" s="113"/>
      <c r="KJ18" s="97"/>
    </row>
    <row r="19" spans="2:296" ht="15.75" thickBot="1" x14ac:dyDescent="0.3">
      <c r="B19" s="101" t="s">
        <v>104</v>
      </c>
      <c r="C19" s="451">
        <f t="shared" si="11"/>
        <v>0</v>
      </c>
      <c r="D19" s="467">
        <f t="shared" si="12"/>
        <v>0</v>
      </c>
      <c r="E19" s="467">
        <f t="shared" si="13"/>
        <v>0</v>
      </c>
      <c r="F19" s="467">
        <f t="shared" si="14"/>
        <v>0</v>
      </c>
      <c r="G19" s="468">
        <f t="shared" si="15"/>
        <v>0</v>
      </c>
      <c r="H19" s="467">
        <f t="shared" si="16"/>
        <v>0</v>
      </c>
      <c r="I19" s="1061" t="e">
        <f t="shared" si="0"/>
        <v>#DIV/0!</v>
      </c>
      <c r="J19" s="1061" t="e">
        <f t="shared" si="1"/>
        <v>#DIV/0!</v>
      </c>
      <c r="K19" s="1061" t="e">
        <f t="shared" si="2"/>
        <v>#DIV/0!</v>
      </c>
      <c r="L19" s="467" t="e">
        <f t="shared" si="3"/>
        <v>#DIV/0!</v>
      </c>
      <c r="M19" s="467" t="e">
        <f t="shared" si="17"/>
        <v>#DIV/0!</v>
      </c>
      <c r="N19" s="1062" t="e">
        <f t="shared" si="4"/>
        <v>#DIV/0!</v>
      </c>
      <c r="P19" t="str">
        <f>'PIM Model'!E15</f>
        <v>INCLUDE</v>
      </c>
      <c r="Q19">
        <f t="shared" si="18"/>
        <v>0</v>
      </c>
      <c r="R19">
        <f t="shared" si="19"/>
        <v>0</v>
      </c>
      <c r="S19" s="101" t="s">
        <v>104</v>
      </c>
      <c r="T19" s="96">
        <f t="shared" si="20"/>
        <v>0</v>
      </c>
      <c r="U19" s="88">
        <f t="shared" si="5"/>
        <v>0</v>
      </c>
      <c r="V19" s="88">
        <f t="shared" si="6"/>
        <v>0</v>
      </c>
      <c r="W19" s="88">
        <f t="shared" si="7"/>
        <v>0</v>
      </c>
      <c r="X19" s="113">
        <f t="shared" si="8"/>
        <v>0</v>
      </c>
      <c r="Y19" s="116">
        <f t="shared" si="21"/>
        <v>0</v>
      </c>
      <c r="Z19" s="376"/>
      <c r="AA19" s="101" t="s">
        <v>104</v>
      </c>
      <c r="AB19" s="455">
        <f t="shared" si="9"/>
        <v>0</v>
      </c>
      <c r="AC19" s="456">
        <f t="shared" si="9"/>
        <v>0</v>
      </c>
      <c r="AD19" s="456">
        <f t="shared" si="9"/>
        <v>0</v>
      </c>
      <c r="AE19" s="457">
        <f t="shared" si="22"/>
        <v>0</v>
      </c>
      <c r="AF19" s="458">
        <f t="shared" si="23"/>
        <v>0</v>
      </c>
      <c r="AG19" s="376"/>
      <c r="AH19" s="101" t="s">
        <v>104</v>
      </c>
      <c r="AI19" s="455">
        <f t="shared" si="10"/>
        <v>0</v>
      </c>
      <c r="AJ19" s="452">
        <f t="shared" si="24"/>
        <v>0</v>
      </c>
      <c r="AK19" s="458"/>
      <c r="AL19" s="376"/>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76">
        <f>VLOOKUP($AH19&amp;$AM19,'IMargin Quartiles'!$A:$F,6,FALSE)</f>
        <v>0.18</v>
      </c>
      <c r="AO19" s="376"/>
      <c r="AP19"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Q19" s="376" t="e">
        <f t="shared" si="25"/>
        <v>#DIV/0!</v>
      </c>
      <c r="AR19">
        <f>'PIM Model'!C15</f>
        <v>0</v>
      </c>
      <c r="AS19" s="376"/>
      <c r="AT19" s="376"/>
      <c r="AU19" s="376" t="e">
        <f t="shared" si="46"/>
        <v>#DIV/0!</v>
      </c>
      <c r="AV19" s="376"/>
      <c r="AW19" s="376"/>
      <c r="AX19" s="107">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72" t="e">
        <f t="shared" si="26"/>
        <v>#DIV/0!</v>
      </c>
      <c r="BA19" s="101" t="s">
        <v>104</v>
      </c>
      <c r="BB19" s="93">
        <f>IFERROR(IF(AND($BB$2&lt;&gt;"Enter Spend&gt;&gt;&gt;",BC7="EXISTING"),SUMIFS('Existing Customers'!$Q:$Q,'Existing Customers'!$A:$A,$BB$1,'Existing Customers'!$H:$H,$BA19)*$BB$4,$BB$3*$AZ19),0)</f>
        <v>0</v>
      </c>
      <c r="BC19" s="94">
        <f>IFERROR(IF(AND($BB$2&lt;&gt;"Enter Spend&gt;&gt;&gt;",BC2="EXISTING"),SUMIFS('Existing Customers'!$N:$N,'Existing Customers'!$A:$A,$BB$1,'Existing Customers'!$H:$H,$BA19)*$BB$4,$BB19/$BM19),0)</f>
        <v>0</v>
      </c>
      <c r="BD19" s="94">
        <f>IFERROR(IF(AND($BB$2&lt;&gt;"Enter Spend&gt;&gt;&gt;",BC2="EXISTING"),SUMIFS('Existing Customers'!$O:$O,'Existing Customers'!$H:$H,$BA19,'Existing Customers'!$A:$A,$BB$1)*$BB$4,$BC19*$BB$8),0)</f>
        <v>0</v>
      </c>
      <c r="BE19" s="94">
        <f>IFERROR(IF(AND($BB$2&lt;&gt;"Enter Spend&gt;&gt;&gt;",BC2="EXISTING"),SUMIFS('Existing Customers'!$P:$P,'Existing Customers'!$A:$A,$BB$1,'Existing Customers'!$H:$H,$BA19)*$BB$4,$BB19/$BN19),0)</f>
        <v>0</v>
      </c>
      <c r="BF19" s="378">
        <f>IFERROR(IF(AND($BB$2&lt;&gt;"Enter Spend&gt;&gt;&gt;",BC2="EXISTING"),SUMIFS('Existing Customers'!$V:$V,'Existing Customers'!$H:$H,$BA19,'Existing Customers'!$A:$A,$BB$1)*$BB$4,0),0)</f>
        <v>0</v>
      </c>
      <c r="BG19" s="95">
        <f>IFERROR(IF(AND($BB$2&lt;&gt;"Enter Spend&gt;&gt;&gt;",BC2="EXISTING"),SUMIFS('Existing Customers'!$R:$R,'Existing Customers'!$H:$H,$BA19,'Existing Customers'!$A:$A,$BB$1)*$BB$4,0),0)</f>
        <v>0</v>
      </c>
      <c r="BH19" s="95">
        <f>IFERROR(IF(AND($BB$2&lt;&gt;"Enter Spend&gt;&gt;&gt;",BC2="EXISTING"),SUMIFS('Existing Customers'!$S:$S,'Existing Customers'!$H:$H,$BA19,'Existing Customers'!$A:$A,$BB$1),BR19*BB19),0)</f>
        <v>0</v>
      </c>
      <c r="BI19" s="95">
        <f>IFERROR(IF(AND($BB$2&lt;&gt;"Enter Spend&gt;&gt;&gt;",BC2="EXISTING"),SUMIFS('Existing Customers'!$U:$U,'Existing Customers'!$H:$H,$BA19,'Existing Customers'!$A:$A,$BB$1),BS19*BB19),0)</f>
        <v>0</v>
      </c>
      <c r="BJ19" s="1067" t="e">
        <f>_xlfn.CONCAT('Customer Inputs'!$AG$6,"_",BA19)</f>
        <v>#N/A</v>
      </c>
      <c r="BK19" s="1068">
        <f t="array" ref="BK19">IFERROR(INDEX('Margin Guidence Table'!$A$1:$AD$30000,MATCH(1,('Margin Guidence Table'!$A$1:$A$10000=$BJ19)*('Margin Guidence Table'!$I$1:$I$10000&lt;=ROUND($BB$3,0))*('Margin Guidence Table'!$J$1:$J$10000&gt;=ROUND($BB$3,0)),0),MATCH("DATA_POINTS",'Margin Guidence Table'!$A$1:$AG$1,0)),0)</f>
        <v>0</v>
      </c>
      <c r="BL19" s="1065" t="str">
        <f t="shared" si="27"/>
        <v>DEFAULT</v>
      </c>
      <c r="BM19" s="1065">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65">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69">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69">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69">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69">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69">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69">
        <f t="array" ref="BT19">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8"/>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72" t="e">
        <f t="shared" si="28"/>
        <v>#DIV/0!</v>
      </c>
      <c r="BX19" s="101" t="s">
        <v>104</v>
      </c>
      <c r="BY19" s="93">
        <f>IFERROR(IF(AND($BY$2&lt;&gt;"Enter Spend&gt;&gt;&gt;",BZ7="EXISTING"),SUMIFS('Existing Customers'!$Q:$Q,'Existing Customers'!$A:$A,$BY$1,'Existing Customers'!$H:$H,$BX19)*$BY$4,$BY$3*$BW19),0)</f>
        <v>0</v>
      </c>
      <c r="BZ19" s="88">
        <f>IFERROR(IF(AND($BY$2&lt;&gt;"Enter Spend&gt;&gt;&gt;",BZ2="EXISTING"),SUMIFS('Existing Customers'!$N:$N,'Existing Customers'!$A:$A,$BY$1,'Existing Customers'!$H:$H,$BX19)*$BY$4,$BY19/$CJ19),0)</f>
        <v>0</v>
      </c>
      <c r="CA19" s="94">
        <f>IFERROR(IF(AND($BY$2&lt;&gt;"Enter Spend&gt;&gt;&gt;",BZ2="EXISTING"),SUMIFS('Existing Customers'!$O:$O,'Existing Customers'!$H:$H,$BX19,'Existing Customers'!$A:$A,$BY$1)*$BY$4,$BZ19*$BY$8),0)</f>
        <v>0</v>
      </c>
      <c r="CB19" s="94">
        <f>IFERROR(IF(AND($BY$2&lt;&gt;"Enter Spend&gt;&gt;&gt;",BZ2="EXISTING"),SUMIFS('Existing Customers'!$P:$P,'Existing Customers'!$A:$A,$BY$1,'Existing Customers'!$H:$H,$BX19)*$BY$4,$BY19/$CK19),0)</f>
        <v>0</v>
      </c>
      <c r="CC19" s="95">
        <f>IFERROR(IF(AND($BY$2&lt;&gt;"Enter Spend&gt;&gt;&gt;",BZ2="EXISTING"),SUMIFS('Existing Customers'!$V:$V,'Existing Customers'!$H:$H,$BX19,'Existing Customers'!$A:$A,$BY$1)*$BY$4,0),0)</f>
        <v>0</v>
      </c>
      <c r="CD19" s="95">
        <f>IFERROR(IF(AND($BY$2&lt;&gt;"Enter Spend&gt;&gt;&gt;",BZ2="EXISTING"),SUMIFS('Existing Customers'!$R:$R,'Existing Customers'!$H:$H,$BX19,'Existing Customers'!$A:$A,$BY$1)*$BY$4,0),0)</f>
        <v>0</v>
      </c>
      <c r="CE19" s="1065">
        <f>IFERROR(IF(AND($BY$2&lt;&gt;"Enter Spend&gt;&gt;&gt;",BZ2="EXISTING"),SUMIFS('Existing Customers'!$S:$S,'Existing Customers'!$H:$H,$BX19,'Existing Customers'!$A:$A,$BY$1),CO19*BY19),0)</f>
        <v>0</v>
      </c>
      <c r="CF19" s="1065">
        <f>IFERROR(IF(AND($BY$2&lt;&gt;"Enter Spend&gt;&gt;&gt;",BZ2="EXISTING"),SUMIFS('Existing Customers'!$U:$U,'Existing Customers'!$H:$H,$BX19,'Existing Customers'!$A:$A,$BY$1),CP19*BY19),0)</f>
        <v>0</v>
      </c>
      <c r="CG19" s="1068" t="e">
        <f>_xlfn.CONCAT('Customer Inputs'!$AG$7,"_",BX19)</f>
        <v>#N/A</v>
      </c>
      <c r="CH19" s="1068">
        <f t="array" ref="CH19">IFERROR(INDEX('Margin Guidence Table'!$A$1:$AD$30000,MATCH(1,('Margin Guidence Table'!$A$1:$A$10000=$CG19)*('Margin Guidence Table'!$I$1:$I$10000&lt;=ROUND($BY$3,0))*('Margin Guidence Table'!$J$1:$J$10000&gt;=ROUND($BY$3,0)),0),MATCH("DATA_POINTS",'Margin Guidence Table'!$A$1:$AG$1,0)),0)</f>
        <v>0</v>
      </c>
      <c r="CI19" s="1065" t="str">
        <f t="shared" si="29"/>
        <v>DEFAULT</v>
      </c>
      <c r="CJ19" s="1065">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65">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69">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69">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69">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69">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69">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69">
        <f t="array" ref="CQ19">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8"/>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72" t="e">
        <f t="shared" si="30"/>
        <v>#DIV/0!</v>
      </c>
      <c r="CU19" s="101" t="s">
        <v>104</v>
      </c>
      <c r="CV19" s="93">
        <f>IFERROR(IF(AND($CV$2&lt;&gt;"Enter Spend&gt;&gt;&gt;",CW7="EXISTING"),SUMIFS('Existing Customers'!$Q:$Q,'Existing Customers'!$A:$A,$CV$1,'Existing Customers'!$H:$H,$CU19)*$CV$4,$CV$3*$CT19),0)</f>
        <v>0</v>
      </c>
      <c r="CW19" s="88">
        <f>IFERROR(IF(AND($CV$2&lt;&gt;"Enter Spend&gt;&gt;&gt;",CW2="EXISTING"),SUMIFS('Existing Customers'!$N:$N,'Existing Customers'!$A:$A,$CV$1,'Existing Customers'!$H:$H,$CU19)*$CV$4,$CV19/$DG19),0)</f>
        <v>0</v>
      </c>
      <c r="CX19" s="94">
        <f>IFERROR(IF(AND($CV$2&lt;&gt;"Enter Spend&gt;&gt;&gt;",BC28="EXISTING"),SUMIFS('Existing Customers'!$O:$O,'Existing Customers'!$H:$H,$CU19,'Existing Customers'!$A:$A,$CV$1)*$CV$4,$CW19*$CV$8),0)</f>
        <v>0</v>
      </c>
      <c r="CY19" s="94">
        <f>IFERROR(IF(AND($CV$2&lt;&gt;"Enter Spend&gt;&gt;&gt;",CW2="EXISTING"),SUMIFS('Existing Customers'!$P:$P,'Existing Customers'!$A:$A,$CV$1,'Existing Customers'!$H:$H,$CU19)*$CV$4,$CV19/$DH19),0)</f>
        <v>0</v>
      </c>
      <c r="CZ19" s="95">
        <f>IFERROR(IF(AND($CV$2&lt;&gt;"Enter Spend&gt;&gt;&gt;",CW2="EXISTING"),SUMIFS('Existing Customers'!$V:$V,'Existing Customers'!$H:$H,$CU19,'Existing Customers'!$A:$A,$CV$1)*$CV$4,0),0)</f>
        <v>0</v>
      </c>
      <c r="DA19" s="95">
        <f>IFERROR(IF(AND($CV$2&lt;&gt;"Enter Spend&gt;&gt;&gt;",CW2="EXISTING"),SUMIFS('Existing Customers'!$R:$R,'Existing Customers'!$H:$H,$BA19,'Existing Customers'!$A:$A,$CV$1)*$CV$4,0),0)</f>
        <v>0</v>
      </c>
      <c r="DB19" s="1065">
        <f>IFERROR(IF(AND($CV$2&lt;&gt;"Enter Spend&gt;&gt;&gt;",CW2="EXISTING"),SUMIFS('Existing Customers'!$S:$S,'Existing Customers'!$H:$H,$CU19,'Existing Customers'!$A:$A,$CV$1),DL19*CV19),0)</f>
        <v>0</v>
      </c>
      <c r="DC19" s="1065">
        <f>IFERROR(IF(AND($CV$2&lt;&gt;"Enter Spend&gt;&gt;&gt;",CW2="EXISTING"),SUMIFS('Existing Customers'!$U:$U,'Existing Customers'!$H:$H,$CU19,'Existing Customers'!$A:$A,$CV$1),DM19*CV19),0)</f>
        <v>0</v>
      </c>
      <c r="DD19" s="1068" t="e">
        <f>_xlfn.CONCAT('Customer Inputs'!$AG$8,"_",CU19)</f>
        <v>#N/A</v>
      </c>
      <c r="DE19" s="1068">
        <f t="array" ref="DE19">IFERROR(INDEX('Margin Guidence Table'!$A$1:$AD$30000,MATCH(1,('Margin Guidence Table'!$A$1:$A$10000=DD19)*('Margin Guidence Table'!$I$1:$I$10000&lt;=ROUND($CV$3,0))*('Margin Guidence Table'!$J$1:$J$10000&gt;=ROUND($CV$3,0)),0),MATCH("DATA_POINTS",'Margin Guidence Table'!$A$1:$AG$1,0)),0)</f>
        <v>0</v>
      </c>
      <c r="DF19" s="1065" t="str">
        <f t="shared" si="31"/>
        <v>DEFAULT</v>
      </c>
      <c r="DG19" s="1065">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65">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69">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69">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69">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69">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69">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69">
        <f t="array" ref="DN19">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8"/>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72" t="e">
        <f t="shared" si="32"/>
        <v>#DIV/0!</v>
      </c>
      <c r="DR19" s="101" t="s">
        <v>104</v>
      </c>
      <c r="DS19" s="93">
        <f>IFERROR(IF(AND($DS$2&lt;&gt;"Enter Spend&gt;&gt;&gt;",DT7="EXISTING"),SUMIFS('Existing Customers'!$Q:$Q,'Existing Customers'!$A:$A,$DS$1,'Existing Customers'!$H:$H,$DR19)*$DS$4,$DS$3*$DQ19),0)</f>
        <v>0</v>
      </c>
      <c r="DT19" s="88">
        <f>IFERROR(IF(AND($DS$2&lt;&gt;"Enter Spend&gt;&gt;&gt;",DT2="EXISTING"),SUMIFS('Existing Customers'!$N:$N,'Existing Customers'!$A:$A,$DS$1,'Existing Customers'!$H:$H,$DR19)*$DS$4,$DS19/$ED19),0)</f>
        <v>0</v>
      </c>
      <c r="DU19" s="94">
        <f>IFERROR(IF(AND($DS$2&lt;&gt;"Enter Spend&gt;&gt;&gt;",DT2="EXISTING"),SUMIFS('Existing Customers'!$O:$O,'Existing Customers'!$H:$H,$DR19,'Existing Customers'!$A:$A,$DS$1)*$DS$4,$DT19*$DS$8),0)</f>
        <v>0</v>
      </c>
      <c r="DV19" s="94">
        <f>IFERROR(IF(AND($DS$2&lt;&gt;"Enter Spend&gt;&gt;&gt;",DT2="EXISTING"),SUMIFS('Existing Customers'!$P:$P,'Existing Customers'!$A:$A,$DS$1,'Existing Customers'!$H:$H,$DR19)*$DS$4,$DS19/$EE19),0)</f>
        <v>0</v>
      </c>
      <c r="DW19" s="95">
        <f>IFERROR(IF(AND($DS$2&lt;&gt;"Enter Spend&gt;&gt;&gt;",EQ2="EXISTING"),SUMIFS('Existing Customers'!$V:$V,'Existing Customers'!$H:$H,$DR19,'Existing Customers'!$A:$A,$DS$1)*$DS$4,0),0)</f>
        <v>0</v>
      </c>
      <c r="DX19" s="95">
        <f>IFERROR(IF(AND($DS$2&lt;&gt;"Enter Spend&gt;&gt;&gt;",DT2="EXISTING"),SUMIFS('Existing Customers'!$R:$R,'Existing Customers'!$H:$H,$DR19,'Existing Customers'!$A:$A,$DS$1)*$DS$4,0),0)</f>
        <v>0</v>
      </c>
      <c r="DY19" s="1065">
        <f>IFERROR(IF(AND($DS$2&lt;&gt;"Enter Spend&gt;&gt;&gt;",DT2="EXISTING"),SUMIFS('Existing Customers'!$S:$S,'Existing Customers'!$H:$H,$DT19,'Existing Customers'!$A:$A,$DS$1),EI19*DS19),0)</f>
        <v>0</v>
      </c>
      <c r="DZ19" s="1065">
        <f>IFERROR(IF(AND($DS$2&lt;&gt;"Enter Spend&gt;&gt;&gt;",DT2="EXISTING"),SUMIFS('Existing Customers'!$U:$U,'Existing Customers'!$H:$H,$DR19,'Existing Customers'!$A:$A,$DS$1),EJ19*DS19),0)</f>
        <v>0</v>
      </c>
      <c r="EA19" s="1068" t="e">
        <f>_xlfn.CONCAT('Customer Inputs'!$AG$9,"_",DR19)</f>
        <v>#N/A</v>
      </c>
      <c r="EB19" s="1068">
        <f t="array" ref="EB19">IFERROR(INDEX('Margin Guidence Table'!$A$1:$AD$30000,MATCH(1,('Margin Guidence Table'!$A$1:$A$10000=EA19)*('Margin Guidence Table'!$I$1:$I$10000&lt;=ROUND($DS$3,0))*('Margin Guidence Table'!$J$1:$J$10000&gt;=ROUND($DS$3,0)),0),MATCH("DATA_POINTS",'Margin Guidence Table'!$A$1:$AG$1,0)),0)</f>
        <v>0</v>
      </c>
      <c r="EC19" s="1065" t="str">
        <f t="shared" si="33"/>
        <v>DEFAULT</v>
      </c>
      <c r="ED19" s="1065">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65">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69">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69">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69">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69">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69">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69">
        <f t="array" ref="EK19">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8"/>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72" t="e">
        <f t="shared" si="34"/>
        <v>#DIV/0!</v>
      </c>
      <c r="EO19" s="101" t="s">
        <v>104</v>
      </c>
      <c r="EP19" s="93">
        <f>IFERROR(IF(AND($EP$2&lt;&gt;"Enter Spend&gt;&gt;&gt;",EQ7="EXISTING"),SUMIFS('Existing Customers'!$Q:$Q,'Existing Customers'!$A:$A,$EP$1,'Existing Customers'!$H:$H,$EO19)*$EP$4,$EP$3*$EN19),0)</f>
        <v>0</v>
      </c>
      <c r="EQ19" s="88">
        <f>IFERROR(IF(AND($EP$2&lt;&gt;"Enter Spend&gt;&gt;&gt;",EQ2="EXISTING"),SUMIFS('Existing Customers'!$N:$N,'Existing Customers'!$A:$A,$EP$1,'Existing Customers'!$H:$H,$EO19)*$EP$4,$EP19/$FA19),0)</f>
        <v>0</v>
      </c>
      <c r="ER19" s="94">
        <f>IFERROR(IF(AND($EP$2&lt;&gt;"Enter Spend&gt;&gt;&gt;",EQ2="EXISTING"),SUMIFS('Existing Customers'!$O:$O,'Existing Customers'!$H:$H,$EO19,'Existing Customers'!$A:$A,$EP$1)*$EP$4,$EQ19*$EP$8),0)</f>
        <v>0</v>
      </c>
      <c r="ES19" s="94">
        <f>IFERROR(IF(AND($EP$2&lt;&gt;"Enter Spend&gt;&gt;&gt;",EQ2="EXISTING"),SUMIFS('Existing Customers'!$P:$P,'Existing Customers'!$A:$A,$EP$1,'Existing Customers'!$H:$H,$EO19)*$EP$4,$EP19/$FB19),0)</f>
        <v>0</v>
      </c>
      <c r="ET19" s="95">
        <f>IFERROR(IF(AND($EP$2&lt;&gt;"Enter Spend&gt;&gt;&gt;",EQ2="EXISTING"),SUMIFS('Existing Customers'!$V:$V,'Existing Customers'!$H:$H,$EO19,'Existing Customers'!$A:$A,$EP$1)*$EP$4,0),0)</f>
        <v>0</v>
      </c>
      <c r="EU19" s="95">
        <f>IFERROR(IF(AND($EP$2&lt;&gt;"Enter Spend&gt;&gt;&gt;",EQ2="EXISTING"),SUMIFS('Existing Customers'!$R:$R,'Existing Customers'!$H:$H,$EO19,'Existing Customers'!$A:$A,$EP$1)*$EP$4,0),0)</f>
        <v>0</v>
      </c>
      <c r="EV19" s="1065">
        <f>IFERROR(IF(AND($EP$2&lt;&gt;"Enter Spend&gt;&gt;&gt;",EQ2="EXISTING"),SUMIFS('Existing Customers'!$S:$S,'Existing Customers'!$H:$H,$EO19,'Existing Customers'!$A:$A,$EP$1),FF19*EP19),0)</f>
        <v>0</v>
      </c>
      <c r="EW19" s="1065">
        <f>IFERROR(IF(AND($EP$2&lt;&gt;"Enter Spend&gt;&gt;&gt;",EQ2="EXISTING"),SUMIFS('Existing Customers'!$U:$U,'Existing Customers'!$H:$H,$EO19,'Existing Customers'!$A:$A,$EP$1),FG19*EP19),0)</f>
        <v>0</v>
      </c>
      <c r="EX19" s="1068" t="e">
        <f>_xlfn.CONCAT('Customer Inputs'!$AG$10,"_",EO19)</f>
        <v>#N/A</v>
      </c>
      <c r="EY19" s="1068">
        <f t="array" ref="EY19">IFERROR(INDEX('Margin Guidence Table'!$A$1:$AD$30000,MATCH(1,('Margin Guidence Table'!$A$1:$A$10000=EX19)*('Margin Guidence Table'!$I$1:$I$10000&lt;=ROUND($EP$3,0))*('Margin Guidence Table'!$J$1:$J$10000&gt;=ROUND($EP$3,0)),0),MATCH("DATA_POINTS",'Margin Guidence Table'!$A$1:$AG$1,0)),0)</f>
        <v>0</v>
      </c>
      <c r="EZ19" s="1065" t="str">
        <f t="shared" si="35"/>
        <v>DEFAULT</v>
      </c>
      <c r="FA19" s="1065">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65"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69">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69">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69">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69">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69">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69">
        <f t="array" ref="FH19">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8"/>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72" t="e">
        <f t="shared" si="36"/>
        <v>#DIV/0!</v>
      </c>
      <c r="FL19" s="101" t="s">
        <v>104</v>
      </c>
      <c r="FM19" s="93">
        <f>IFERROR(IF(AND($FM$2&lt;&gt;"Enter Spend&gt;&gt;&gt;",FN7="EXISTING"),SUMIFS('Existing Customers'!$Q:$Q,'Existing Customers'!$A:$A,$FM$1,'Existing Customers'!$H:$H,$FL19)*$FM$4,$FM$3*$FK19),0)</f>
        <v>0</v>
      </c>
      <c r="FN19" s="88">
        <f>IFERROR(IF(AND($FM$2&lt;&gt;"Enter Spend&gt;&gt;&gt;",FN2="EXISTING"),SUMIFS('Existing Customers'!$N:$N,'Existing Customers'!$A:$A,$FM$1,'Existing Customers'!$H:$H,$FL19)*$FM$4,$FM19/$FX19),0)</f>
        <v>0</v>
      </c>
      <c r="FO19" s="94">
        <f>IFERROR(IF(AND($FM$2&lt;&gt;"Enter Spend&gt;&gt;&gt;",FN2="EXISTING"),SUMIFS('Existing Customers'!$O:$O,'Existing Customers'!$H:$H,$FL19,'Existing Customers'!$A:$A,$FM$1)*$FM$4,$FN19*$FM$8),0)</f>
        <v>0</v>
      </c>
      <c r="FP19" s="94">
        <f>IFERROR(IF(AND($FM$2&lt;&gt;"Enter Spend&gt;&gt;&gt;",FN2="EXISTING"),SUMIFS('Existing Customers'!$P:$P,'Existing Customers'!$A:$A,$FM$1,'Existing Customers'!$H:$H,$FL19)*$FM$4,$FM19/$FY19),0)</f>
        <v>0</v>
      </c>
      <c r="FQ19" s="95">
        <f>IFERROR(IF(AND($FM$2&lt;&gt;"Enter Spend&gt;&gt;&gt;",FN2="EXISTING"),SUMIFS('Existing Customers'!$V:$V,'Existing Customers'!$H:$H,$FL19,'Existing Customers'!$A:$A,$FM$1)*$FM$4,0),0)</f>
        <v>0</v>
      </c>
      <c r="FR19" s="95">
        <f>IFERROR(IF(AND($FM$2&lt;&gt;"Enter Spend&gt;&gt;&gt;",FN2="EXISTING"),SUMIFS('Existing Customers'!$R:$R,'Existing Customers'!$H:$H,$FL19,'Existing Customers'!$A:$A,$FM$1)*$FM$4,0),0)</f>
        <v>0</v>
      </c>
      <c r="FS19" s="1065">
        <f>IFERROR(IF(AND($FM$2&lt;&gt;"Enter Spend&gt;&gt;&gt;",FN2="EXISTING"),SUMIFS('Existing Customers'!$S:$S,'Existing Customers'!$H:$H,$FL19,'Existing Customers'!$A:$A,$FM$1),GC19*FM19),0)</f>
        <v>0</v>
      </c>
      <c r="FT19" s="1065">
        <f>IFERROR(IF(AND($FM$2&lt;&gt;"Enter Spend&gt;&gt;&gt;",FN2="EXISTING"),SUMIFS('Existing Customers'!$U:$U,'Existing Customers'!$H:$H,$FL19,'Existing Customers'!$A:$A,$FM$1),GD19*FM19),0)</f>
        <v>0</v>
      </c>
      <c r="FU19" s="1068" t="e">
        <f>_xlfn.CONCAT('Customer Inputs'!$AG$11,"_",FL19)</f>
        <v>#N/A</v>
      </c>
      <c r="FV19" s="1068">
        <f t="array" ref="FV19">IFERROR(INDEX('Margin Guidence Table'!$A$1:$AD$30000,MATCH(1,('Margin Guidence Table'!$A$1:$A$10000=FU19)*('Margin Guidence Table'!$I$1:$I$10000&lt;=ROUND($FM$3,0))*('Margin Guidence Table'!$J$1:$J$10000&gt;=ROUND($FM$3,0)),0),MATCH("DATA_POINTS",'Margin Guidence Table'!$A$1:$AG$1,0)),0)</f>
        <v>0</v>
      </c>
      <c r="FW19" s="1065" t="str">
        <f t="shared" si="37"/>
        <v>DEFAULT</v>
      </c>
      <c r="FX19" s="1065">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65">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69">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69">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69">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69">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69">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69">
        <f t="array" ref="GE19">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8"/>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72" t="e">
        <f t="shared" si="38"/>
        <v>#DIV/0!</v>
      </c>
      <c r="GI19" s="101" t="s">
        <v>104</v>
      </c>
      <c r="GJ19" s="93">
        <f>IFERROR(IF(AND($GJ$2&lt;&gt;"Enter Spend&gt;&gt;&gt;",GK7="EXISTING"),SUMIFS('Existing Customers'!$Q:$Q,'Existing Customers'!$A:$A,$GJ$1,'Existing Customers'!$H:$H,$GI19)*$GJ$4,$GJ$3*$GH19),0)</f>
        <v>0</v>
      </c>
      <c r="GK19" s="88">
        <f>IFERROR(IF(AND($GJ$2&lt;&gt;"Enter Spend&gt;&gt;&gt;",GK2="EXISTING"),SUMIFS('Existing Customers'!$N:$N,'Existing Customers'!$A:$A,$GJ$1,'Existing Customers'!$H:$H,$GI19)*$GJ$4,$GJ19/$GU19),0)</f>
        <v>0</v>
      </c>
      <c r="GL19" s="94">
        <f>IFERROR(IF(AND($GJ$2&lt;&gt;"Enter Spend&gt;&gt;&gt;",GK2="EXISTING"),SUMIFS('Existing Customers'!$O:$O,'Existing Customers'!$H:$H,$GI19,'Existing Customers'!$A:$A,$GJ$1)*$GJ$4,$GK19*$GJ$8),0)</f>
        <v>0</v>
      </c>
      <c r="GM19" s="94">
        <f>IFERROR(IF(AND($GJ$2&lt;&gt;"Enter Spend&gt;&gt;&gt;",GK2="EXISTING"),SUMIFS('Existing Customers'!$P:$P,'Existing Customers'!$A:$A,$GJ$1,'Existing Customers'!$H:$H,$GI19)*$GJ$4,$GJ19/$GV19),0)</f>
        <v>0</v>
      </c>
      <c r="GN19" s="95">
        <f>IFERROR(IF(AND($GJ$2&lt;&gt;"Enter Spend&gt;&gt;&gt;",GK2="EXISTING"),SUMIFS('Existing Customers'!$V:$V,'Existing Customers'!$H:$H,$GI19,'Existing Customers'!$A:$A,$GJ$1)*$GJ$4,0),0)</f>
        <v>0</v>
      </c>
      <c r="GO19" s="95">
        <f>IFERROR(IF(AND($GJ$2&lt;&gt;"Enter Spend&gt;&gt;&gt;",GK2="EXISTING"),SUMIFS('Existing Customers'!$R:$R,'Existing Customers'!$H:$H,$GI19,'Existing Customers'!$A:$A,$GJ$1)*$GJ$4,0),0)</f>
        <v>0</v>
      </c>
      <c r="GP19" s="1065">
        <f>IFERROR(IF(AND($GJ$2&lt;&gt;"Enter Spend&gt;&gt;&gt;",GK2="EXISTING"),SUMIFS('Existing Customers'!$S:$S,'Existing Customers'!$H:$H,$GI19,'Existing Customers'!$A:$A,$GJ$1),GZ19*GJ19),0)</f>
        <v>0</v>
      </c>
      <c r="GQ19" s="1065">
        <f>IFERROR(IF(AND($GJ$2&lt;&gt;"Enter Spend&gt;&gt;&gt;",GK2="EXISTING"),SUMIFS('Existing Customers'!$U:$U,'Existing Customers'!$H:$H,$GI19,'Existing Customers'!$A:$A,$GJ$1),HA19*GJ19),0)</f>
        <v>0</v>
      </c>
      <c r="GR19" s="1068" t="e">
        <f>_xlfn.CONCAT('Customer Inputs'!$AG$12,"_",GI19)</f>
        <v>#N/A</v>
      </c>
      <c r="GS19" s="1068">
        <f t="array" ref="GS19">IFERROR(INDEX('Margin Guidence Table'!$A$1:$AD$30000,MATCH(1,('Margin Guidence Table'!$A$1:$A$10000=GR19)*('Margin Guidence Table'!$I$1:$I$10000&lt;=ROUND($GJ$3,0))*('Margin Guidence Table'!$J$1:$J$10000&gt;=ROUND($GJ$3,0)),0),MATCH("DATA_POINTS",'Margin Guidence Table'!$A$1:$AG$1,0)),0)</f>
        <v>0</v>
      </c>
      <c r="GT19" s="1065" t="str">
        <f t="shared" si="39"/>
        <v>DEFAULT</v>
      </c>
      <c r="GU19" s="1065">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65">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69">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69">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69">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69">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69">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69">
        <f t="array" ref="HB19">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8"/>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72" t="e">
        <f t="shared" si="40"/>
        <v>#DIV/0!</v>
      </c>
      <c r="HF19" s="101" t="s">
        <v>104</v>
      </c>
      <c r="HG19" s="93">
        <f>IFERROR(IF(AND($HG$2&lt;&gt;"Enter Spend&gt;&gt;&gt;",HH7="EXISTING"),SUMIFS('Existing Customers'!$Q:$Q,'Existing Customers'!$A:$A,$HG$1,'Existing Customers'!$H:$H,$HF19)*$HG$4,$HG$3*$HE19),0)</f>
        <v>0</v>
      </c>
      <c r="HH19" s="88">
        <f>IFERROR(IF(AND($HG$2&lt;&gt;"Enter Spend&gt;&gt;&gt;",HH2="EXISTING"),SUMIFS('Existing Customers'!$N:$N,'Existing Customers'!$A:$A,$HG$1,'Existing Customers'!$H:$H,$HF19)*$HG$4,$HG19/$HR19),0)</f>
        <v>0</v>
      </c>
      <c r="HI19" s="94">
        <f>IFERROR(IF(AND($HG$2&lt;&gt;"Enter Spend&gt;&gt;&gt;",HH2="EXISTING"),SUMIFS('Existing Customers'!$O:$O,'Existing Customers'!$H:$H,$HF19,'Existing Customers'!$A:$A,$HG$1)*$HG$4,$HH19*$HG$8),0)</f>
        <v>0</v>
      </c>
      <c r="HJ19" s="94">
        <f>IFERROR(IF(AND($HG$2&lt;&gt;"Enter Spend&gt;&gt;&gt;",HH2="EXISTING"),SUMIFS('Existing Customers'!$P:$P,'Existing Customers'!$A:$A,$HG$1,'Existing Customers'!$H:$H,$HF19)*$HG$4,$HG19/$HS19),0)</f>
        <v>0</v>
      </c>
      <c r="HK19" s="95">
        <f>IFERROR(IF(AND($HG$2&lt;&gt;"Enter Spend&gt;&gt;&gt;",HH2="EXISTING"),SUMIFS('Existing Customers'!$V:$V,'Existing Customers'!$H:$H,$HF19,'Existing Customers'!$A:$A,$HG$1)*$HG$4,0),0)</f>
        <v>0</v>
      </c>
      <c r="HL19" s="95">
        <f>IFERROR(IF(AND($HG$2&lt;&gt;"Enter Spend&gt;&gt;&gt;",HH2="EXISTING"),SUMIFS('Existing Customers'!$R:$R,'Existing Customers'!$H:$H,$HF19,'Existing Customers'!$A:$A,$HG$1)*$HG$4,0),0)</f>
        <v>0</v>
      </c>
      <c r="HM19" s="1065">
        <f>IFERROR(IF(AND($HG$2&lt;&gt;"Enter Spend&gt;&gt;&gt;",HH2="EXISTING"),SUMIFS('Existing Customers'!$S:$S,'Existing Customers'!$H:$H,$HF19,'Existing Customers'!$A:$A,$HG$1),HW19*HG19),0)</f>
        <v>0</v>
      </c>
      <c r="HN19" s="1065">
        <f>IFERROR(IF(AND($HG$2&lt;&gt;"Enter Spend&gt;&gt;&gt;",HH2="EXISTING"),SUMIFS('Existing Customers'!$U:$U,'Existing Customers'!$H:$H,$HF19,'Existing Customers'!$A:$A,$HG$1),HX19*HG19),0)</f>
        <v>0</v>
      </c>
      <c r="HO19" s="1068" t="e">
        <f>_xlfn.CONCAT('Customer Inputs'!$AG$13,"_",HF19)</f>
        <v>#N/A</v>
      </c>
      <c r="HP19" s="1068">
        <f t="array" ref="HP19">IFERROR(INDEX('Margin Guidence Table'!$A$1:$AD$30000,MATCH(1,('Margin Guidence Table'!$A$1:$A$10000=HO19)*('Margin Guidence Table'!$I$1:$I$10000&lt;=ROUND($HG$3,0))*('Margin Guidence Table'!$J$1:$J$10000&gt;=ROUND($HG$3,0)),0),MATCH("DATA_POINTS",'Margin Guidence Table'!$A$1:$AG$1,0)),0)</f>
        <v>0</v>
      </c>
      <c r="HQ19" s="1065" t="str">
        <f t="shared" si="41"/>
        <v>DEFAULT</v>
      </c>
      <c r="HR19" s="1065">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65">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69">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69">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69">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69">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69">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69">
        <f t="array" ref="HY19">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8"/>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72" t="e">
        <f t="shared" si="42"/>
        <v>#DIV/0!</v>
      </c>
      <c r="IC19" s="101" t="s">
        <v>104</v>
      </c>
      <c r="ID19" s="93">
        <f>IFERROR(IF(AND($ID$2&lt;&gt;"Enter Spend&gt;&gt;&gt;",IE7="EXISTING"),SUMIFS('Existing Customers'!$Q:$Q,'Existing Customers'!$A:$A,$ID$1,'Existing Customers'!$H:$H,$IC19)*$ID$4,$ID$3*$IB19),0)</f>
        <v>0</v>
      </c>
      <c r="IE19" s="88">
        <f>IFERROR(IF(AND($ID$2&lt;&gt;"Enter Spend&gt;&gt;&gt;",IE2="EXISTING"),SUMIFS('Existing Customers'!$N:$N,'Existing Customers'!$A:$A,$ID$1,'Existing Customers'!$H:$H,$IC19)*$ID$4,$ID19/$IO19),0)</f>
        <v>0</v>
      </c>
      <c r="IF19" s="94">
        <f>IFERROR(IF(AND($ID$2&lt;&gt;"Enter Spend&gt;&gt;&gt;",IE2="EXISTING"),SUMIFS('Existing Customers'!$O:$O,'Existing Customers'!$H:$H,$IC19,'Existing Customers'!$A:$A,$ID$1)*$ID$4,$IE19*$ID$8),0)</f>
        <v>0</v>
      </c>
      <c r="IG19" s="94">
        <f>IFERROR(IF(AND($ID$2&lt;&gt;"Enter Spend&gt;&gt;&gt;",IE2="EXISTING"),SUMIFS('Existing Customers'!$P:$P,'Existing Customers'!$A:$A,$ID$1,'Existing Customers'!$H:$H,$IC19)*$ID$4,$ID19/$IP19),0)</f>
        <v>0</v>
      </c>
      <c r="IH19" s="378">
        <f>IFERROR(IF(AND($ID$2&lt;&gt;"Enter Spend&gt;&gt;&gt;",IE2="EXISTING"),SUMIFS('Existing Customers'!$V:$V,'Existing Customers'!$H:$H,$IC19,'Existing Customers'!$A:$A,$ID$1)*$ID$4,0),0)</f>
        <v>0</v>
      </c>
      <c r="II19" s="95">
        <f>IFERROR(IF(AND($ID$2&lt;&gt;"Enter Spend&gt;&gt;&gt;",IE2="EXISTING"),SUMIFS('Existing Customers'!$R:$R,'Existing Customers'!$H:$H,$IC19,'Existing Customers'!$A:$A,$ID$1)*$ID$4,0),0)</f>
        <v>0</v>
      </c>
      <c r="IJ19" s="1065">
        <f>IFERROR(IF(AND($ID$2&lt;&gt;"Enter Spend&gt;&gt;&gt;",IE2="EXISTING"),SUMIFS('Existing Customers'!$S:$S,'Existing Customers'!$H:$H,$IC19,'Existing Customers'!$A:$A,$ID$1),IT19*ID19),0)</f>
        <v>0</v>
      </c>
      <c r="IK19" s="1065">
        <f>IFERROR(IF(AND($ID$2&lt;&gt;"Enter Spend&gt;&gt;&gt;",IE2="EXISTING"),SUMIFS('Existing Customers'!$U:$U,'Existing Customers'!$H:$H,$IC19,'Existing Customers'!$A:$A,$ID$1),IU19*ID19),0)</f>
        <v>0</v>
      </c>
      <c r="IL19" s="1068" t="e">
        <f>_xlfn.CONCAT('Customer Inputs'!$AG$14,"_",IC19)</f>
        <v>#N/A</v>
      </c>
      <c r="IM19" s="1068">
        <f t="array" ref="IM19">IFERROR(INDEX('Margin Guidence Table'!$A$1:$AD$30000,MATCH(1,('Margin Guidence Table'!$A$1:$A$10000=IL19)*('Margin Guidence Table'!$I$1:$I$10000&lt;=ROUND($ID$3,0))*('Margin Guidence Table'!$J$1:$J$10000&gt;=ROUND($ID$3,0)),0),MATCH("DATA_POINTS",'Margin Guidence Table'!$A$1:$AG$1,0)),0)</f>
        <v>0</v>
      </c>
      <c r="IN19" s="1065" t="str">
        <f t="shared" si="43"/>
        <v>DEFAULT</v>
      </c>
      <c r="IO19" s="1065">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65">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69">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69">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69">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69">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69">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69">
        <f t="array" ref="IV19">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8"/>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72" t="e">
        <f t="shared" si="44"/>
        <v>#DIV/0!</v>
      </c>
      <c r="IZ19" s="101" t="s">
        <v>104</v>
      </c>
      <c r="JA19" s="93">
        <f>IFERROR(IF(AND($JA$2&lt;&gt;"Enter Spend&gt;&gt;&gt;",JB7="EXISTING"),SUMIFS('Existing Customers'!$Q:$Q,'Existing Customers'!$A:$A,$JA$1,'Existing Customers'!$H:$H,$IZ19)*$JA$4,$JA$3*$IY19),0)</f>
        <v>0</v>
      </c>
      <c r="JB19" s="88">
        <f>IFERROR(IF(AND($JA$2&lt;&gt;"Enter Spend&gt;&gt;&gt;",JB2="EXISTING"),SUMIFS('Existing Customers'!$N:$N,'Existing Customers'!$A:$A,$JA$1,'Existing Customers'!$H:$H,$IZ19)*$JA$4,$JA19/$JL19),0)</f>
        <v>0</v>
      </c>
      <c r="JC19" s="94">
        <f>IFERROR(IF(AND($JA$2&lt;&gt;"Enter Spend&gt;&gt;&gt;",JB2="EXISTING"),SUMIFS('Existing Customers'!$O:$O,'Existing Customers'!$H:$H,$IZ19,'Existing Customers'!$A:$A,$JA$1)*$JA$4,$JB19*$JA$8),0)</f>
        <v>0</v>
      </c>
      <c r="JD19" s="94">
        <f>IFERROR(IF(AND($JA$2&lt;&gt;"Enter Spend&gt;&gt;&gt;",JB2="EXISTING"),SUMIFS('Existing Customers'!$P:$P,'Existing Customers'!$A:$A,$JA$1,'Existing Customers'!$H:$H,$IZ19)*$JA$4,$JA19/$JM19),0)</f>
        <v>0</v>
      </c>
      <c r="JE19" s="378">
        <f>IFERROR(IF(AND($JA$2&lt;&gt;"Enter Spend&gt;&gt;&gt;",JB2="EXISTING"),SUMIFS('Existing Customers'!$V:$V,'Existing Customers'!$H:$H,$IZ19,'Existing Customers'!$A:$A,$JA$1)*$JA$4,0),0)</f>
        <v>0</v>
      </c>
      <c r="JF19" s="95">
        <f>IFERROR(IF(AND($JA$2&lt;&gt;"Enter Spend&gt;&gt;&gt;",JB2="EXISTING"),SUMIFS('Existing Customers'!$R:$R,'Existing Customers'!$H:$H,$IZ19,'Existing Customers'!$A:$A,$JA$1)*$JA$4,0),0)</f>
        <v>0</v>
      </c>
      <c r="JG19" s="1065">
        <f>IFERROR(IF(AND($JA$2&lt;&gt;"Enter Spend&gt;&gt;&gt;",JB2="EXISTING"),SUMIFS('Existing Customers'!$S:$S,'Existing Customers'!$H:$H,$IZ19,'Existing Customers'!$A:$A,$JA$1),JQ19*JA19),0)</f>
        <v>0</v>
      </c>
      <c r="JH19" s="1065">
        <f>IFERROR(IF(AND($JA$2&lt;&gt;"Enter Spend&gt;&gt;&gt;",JB2="EXISTING"),SUMIFS('Existing Customers'!$U:$U,'Existing Customers'!$H:$H,$IZ19,'Existing Customers'!$A:$A,$JA$1),JR19*JA19),0)</f>
        <v>0</v>
      </c>
      <c r="JI19" s="1068" t="e">
        <f>_xlfn.CONCAT('Customer Inputs'!$AG$15,"_",IZ19)</f>
        <v>#N/A</v>
      </c>
      <c r="JJ19" s="1068">
        <f t="array" ref="JJ19">IFERROR(INDEX('Margin Guidence Table'!$A$1:$AD$30000,MATCH(1,('Margin Guidence Table'!$A$1:$A$10000=JI19)*('Margin Guidence Table'!$I$1:$I$10000&lt;=ROUND($JA$3,0))*('Margin Guidence Table'!$J$1:$J$10000&gt;=ROUND($JA$3,0)),0),MATCH("DATA_POINTS",'Margin Guidence Table'!$A$1:$AG$1,0)),0)</f>
        <v>0</v>
      </c>
      <c r="JK19" s="1065" t="str">
        <f t="shared" si="45"/>
        <v>DEFAULT</v>
      </c>
      <c r="JL19" s="1065">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65">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69">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69">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69">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69">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69">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69">
        <f t="array" ref="JS19">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101" t="s">
        <v>104</v>
      </c>
      <c r="JV19" s="96"/>
      <c r="JW19" s="88"/>
      <c r="JX19" s="88"/>
      <c r="JY19" s="88"/>
      <c r="JZ19" s="113"/>
      <c r="KA19" s="97"/>
      <c r="KB19" s="128"/>
      <c r="KD19" s="101" t="s">
        <v>104</v>
      </c>
      <c r="KE19" s="96"/>
      <c r="KF19" s="88"/>
      <c r="KG19" s="88"/>
      <c r="KH19" s="88"/>
      <c r="KI19" s="113"/>
      <c r="KJ19" s="97"/>
    </row>
    <row r="20" spans="2:296" ht="15.75" thickBot="1" x14ac:dyDescent="0.3">
      <c r="B20" s="101" t="s">
        <v>98</v>
      </c>
      <c r="C20" s="451">
        <f t="shared" si="11"/>
        <v>0</v>
      </c>
      <c r="D20" s="467">
        <f t="shared" si="12"/>
        <v>0</v>
      </c>
      <c r="E20" s="467">
        <f t="shared" si="13"/>
        <v>0</v>
      </c>
      <c r="F20" s="467">
        <f t="shared" si="14"/>
        <v>0</v>
      </c>
      <c r="G20" s="468">
        <f t="shared" si="15"/>
        <v>0</v>
      </c>
      <c r="H20" s="467">
        <f t="shared" si="16"/>
        <v>0</v>
      </c>
      <c r="I20" s="1061" t="e">
        <f t="shared" si="0"/>
        <v>#DIV/0!</v>
      </c>
      <c r="J20" s="1061" t="e">
        <f t="shared" si="1"/>
        <v>#DIV/0!</v>
      </c>
      <c r="K20" s="1061" t="e">
        <f t="shared" si="2"/>
        <v>#DIV/0!</v>
      </c>
      <c r="L20" s="467" t="e">
        <f t="shared" si="3"/>
        <v>#DIV/0!</v>
      </c>
      <c r="M20" s="467" t="e">
        <f t="shared" si="17"/>
        <v>#DIV/0!</v>
      </c>
      <c r="N20" s="1062" t="e">
        <f t="shared" si="4"/>
        <v>#DIV/0!</v>
      </c>
      <c r="P20" t="str">
        <f>'PIM Model'!E16</f>
        <v>INCLUDE</v>
      </c>
      <c r="Q20">
        <f t="shared" si="18"/>
        <v>0</v>
      </c>
      <c r="R20">
        <f t="shared" si="19"/>
        <v>0</v>
      </c>
      <c r="S20" s="101" t="s">
        <v>98</v>
      </c>
      <c r="T20" s="96">
        <f t="shared" si="20"/>
        <v>0</v>
      </c>
      <c r="U20" s="88">
        <f t="shared" si="5"/>
        <v>0</v>
      </c>
      <c r="V20" s="88">
        <f t="shared" si="6"/>
        <v>0</v>
      </c>
      <c r="W20" s="88">
        <f t="shared" si="7"/>
        <v>0</v>
      </c>
      <c r="X20" s="113">
        <f t="shared" si="8"/>
        <v>0</v>
      </c>
      <c r="Y20" s="116">
        <f t="shared" si="21"/>
        <v>0</v>
      </c>
      <c r="Z20" s="376"/>
      <c r="AA20" s="101" t="s">
        <v>98</v>
      </c>
      <c r="AB20" s="455">
        <f t="shared" si="9"/>
        <v>0</v>
      </c>
      <c r="AC20" s="456">
        <f t="shared" si="9"/>
        <v>0</v>
      </c>
      <c r="AD20" s="456">
        <f t="shared" si="9"/>
        <v>0</v>
      </c>
      <c r="AE20" s="457">
        <f t="shared" si="22"/>
        <v>0</v>
      </c>
      <c r="AF20" s="458">
        <f t="shared" si="23"/>
        <v>0</v>
      </c>
      <c r="AG20" s="376"/>
      <c r="AH20" s="101" t="s">
        <v>98</v>
      </c>
      <c r="AI20" s="455">
        <f t="shared" si="10"/>
        <v>0</v>
      </c>
      <c r="AJ20" s="452">
        <f t="shared" si="24"/>
        <v>0</v>
      </c>
      <c r="AK20" s="458"/>
      <c r="AL20" s="376"/>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76">
        <f>VLOOKUP($AH20&amp;$AM20,'IMargin Quartiles'!$A:$F,6,FALSE)</f>
        <v>0.17</v>
      </c>
      <c r="AO20" s="376"/>
      <c r="AP20"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Q20" s="376" t="e">
        <f t="shared" si="25"/>
        <v>#DIV/0!</v>
      </c>
      <c r="AR20">
        <f>'PIM Model'!C16</f>
        <v>0</v>
      </c>
      <c r="AS20" s="376"/>
      <c r="AT20" s="376"/>
      <c r="AU20" s="376" t="e">
        <f t="shared" si="46"/>
        <v>#DIV/0!</v>
      </c>
      <c r="AV20" s="376"/>
      <c r="AW20" s="376"/>
      <c r="AX20" s="107">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72" t="e">
        <f t="shared" si="26"/>
        <v>#DIV/0!</v>
      </c>
      <c r="BA20" s="101" t="s">
        <v>98</v>
      </c>
      <c r="BB20" s="93">
        <f>IFERROR(IF(AND($BB$2&lt;&gt;"Enter Spend&gt;&gt;&gt;",BC8="EXISTING"),SUMIFS('Existing Customers'!$Q:$Q,'Existing Customers'!$A:$A,$BB$1,'Existing Customers'!$H:$H,$BA20)*$BB$4,$BB$3*$AZ20),0)</f>
        <v>0</v>
      </c>
      <c r="BC20" s="94">
        <f>IFERROR(IF(AND($BB$2&lt;&gt;"Enter Spend&gt;&gt;&gt;",BC2="EXISTING"),SUMIFS('Existing Customers'!$N:$N,'Existing Customers'!$A:$A,$BB$1,'Existing Customers'!$H:$H,$BA20)*$BB$4,$BB20/$BM20),0)</f>
        <v>0</v>
      </c>
      <c r="BD20" s="94">
        <f>IFERROR(IF(AND($BB$2&lt;&gt;"Enter Spend&gt;&gt;&gt;",BC2="EXISTING"),SUMIFS('Existing Customers'!$O:$O,'Existing Customers'!$H:$H,$BA20,'Existing Customers'!$A:$A,$BB$1)*$BB$4,$BC20*$BB$8),0)</f>
        <v>0</v>
      </c>
      <c r="BE20" s="94">
        <f>IFERROR(IF(AND($BB$2&lt;&gt;"Enter Spend&gt;&gt;&gt;",BC2="EXISTING"),SUMIFS('Existing Customers'!$P:$P,'Existing Customers'!$A:$A,$BB$1,'Existing Customers'!$H:$H,$BA20)*$BB$4,$BB20/$BN20),0)</f>
        <v>0</v>
      </c>
      <c r="BF20" s="378">
        <f>IFERROR(IF(AND($BB$2&lt;&gt;"Enter Spend&gt;&gt;&gt;",BC2="EXISTING"),SUMIFS('Existing Customers'!$V:$V,'Existing Customers'!$H:$H,$BA20,'Existing Customers'!$A:$A,$BB$1)*$BB$4,0),0)</f>
        <v>0</v>
      </c>
      <c r="BG20" s="95">
        <f>IFERROR(IF(AND($BB$2&lt;&gt;"Enter Spend&gt;&gt;&gt;",BC2="EXISTING"),SUMIFS('Existing Customers'!$R:$R,'Existing Customers'!$H:$H,$BA20,'Existing Customers'!$A:$A,$BB$1)*$BB$4,0),0)</f>
        <v>0</v>
      </c>
      <c r="BH20" s="95">
        <f>IFERROR(IF(AND($BB$2&lt;&gt;"Enter Spend&gt;&gt;&gt;",BC2="EXISTING"),SUMIFS('Existing Customers'!$S:$S,'Existing Customers'!$H:$H,$BA20,'Existing Customers'!$A:$A,$BB$1),BR20*BB20),0)</f>
        <v>0</v>
      </c>
      <c r="BI20" s="95">
        <f>IFERROR(IF(AND($BB$2&lt;&gt;"Enter Spend&gt;&gt;&gt;",BC2="EXISTING"),SUMIFS('Existing Customers'!$U:$U,'Existing Customers'!$H:$H,$BA20,'Existing Customers'!$A:$A,$BB$1),BS20*BB20),0)</f>
        <v>0</v>
      </c>
      <c r="BJ20" s="1067" t="e">
        <f>_xlfn.CONCAT('Customer Inputs'!$AG$6,"_",BA20)</f>
        <v>#N/A</v>
      </c>
      <c r="BK20" s="1068">
        <f t="array" ref="BK20">IFERROR(INDEX('Margin Guidence Table'!$A$1:$AD$30000,MATCH(1,('Margin Guidence Table'!$A$1:$A$10000=$BJ20)*('Margin Guidence Table'!$I$1:$I$10000&lt;=ROUND($BB$3,0))*('Margin Guidence Table'!$J$1:$J$10000&gt;=ROUND($BB$3,0)),0),MATCH("DATA_POINTS",'Margin Guidence Table'!$A$1:$AG$1,0)),0)</f>
        <v>0</v>
      </c>
      <c r="BL20" s="1065" t="str">
        <f t="shared" si="27"/>
        <v>DEFAULT</v>
      </c>
      <c r="BM20" s="1065">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65">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69">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69">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69">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69">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69">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69">
        <f t="array" ref="BT2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8"/>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72" t="e">
        <f t="shared" si="28"/>
        <v>#DIV/0!</v>
      </c>
      <c r="BX20" s="101" t="s">
        <v>98</v>
      </c>
      <c r="BY20" s="93">
        <f>IFERROR(IF(AND($BY$2&lt;&gt;"Enter Spend&gt;&gt;&gt;",BZ8="EXISTING"),SUMIFS('Existing Customers'!$Q:$Q,'Existing Customers'!$A:$A,$BY$1,'Existing Customers'!$H:$H,$BX20)*$BY$4,$BY$3*$BW20),0)</f>
        <v>0</v>
      </c>
      <c r="BZ20" s="88">
        <f>IFERROR(IF(AND($BY$2&lt;&gt;"Enter Spend&gt;&gt;&gt;",BZ2="EXISTING"),SUMIFS('Existing Customers'!$N:$N,'Existing Customers'!$A:$A,$BY$1,'Existing Customers'!$H:$H,$BX20)*$BY$4,$BY20/$CJ20),0)</f>
        <v>0</v>
      </c>
      <c r="CA20" s="94">
        <f>IFERROR(IF(AND($BY$2&lt;&gt;"Enter Spend&gt;&gt;&gt;",BZ2="EXISTING"),SUMIFS('Existing Customers'!$O:$O,'Existing Customers'!$H:$H,$BX20,'Existing Customers'!$A:$A,$BY$1)*$BY$4,$BZ20*$BY$8),0)</f>
        <v>0</v>
      </c>
      <c r="CB20" s="94">
        <f>IFERROR(IF(AND($BY$2&lt;&gt;"Enter Spend&gt;&gt;&gt;",BZ2="EXISTING"),SUMIFS('Existing Customers'!$P:$P,'Existing Customers'!$A:$A,$BY$1,'Existing Customers'!$H:$H,$BX20)*$BY$4,$BY20/$CK20),0)</f>
        <v>0</v>
      </c>
      <c r="CC20" s="95">
        <f>IFERROR(IF(AND($BY$2&lt;&gt;"Enter Spend&gt;&gt;&gt;",BZ2="EXISTING"),SUMIFS('Existing Customers'!$V:$V,'Existing Customers'!$H:$H,$BX20,'Existing Customers'!$A:$A,$BY$1)*$BY$4,0),0)</f>
        <v>0</v>
      </c>
      <c r="CD20" s="95">
        <f>IFERROR(IF(AND($BY$2&lt;&gt;"Enter Spend&gt;&gt;&gt;",BZ2="EXISTING"),SUMIFS('Existing Customers'!$R:$R,'Existing Customers'!$H:$H,$BX20,'Existing Customers'!$A:$A,$BY$1)*$BY$4,0),0)</f>
        <v>0</v>
      </c>
      <c r="CE20" s="1065">
        <f>IFERROR(IF(AND($BY$2&lt;&gt;"Enter Spend&gt;&gt;&gt;",BZ2="EXISTING"),SUMIFS('Existing Customers'!$S:$S,'Existing Customers'!$H:$H,$BX20,'Existing Customers'!$A:$A,$BY$1),CO20*BY20),0)</f>
        <v>0</v>
      </c>
      <c r="CF20" s="1065">
        <f>IFERROR(IF(AND($BY$2&lt;&gt;"Enter Spend&gt;&gt;&gt;",BZ2="EXISTING"),SUMIFS('Existing Customers'!$U:$U,'Existing Customers'!$H:$H,$BX20,'Existing Customers'!$A:$A,$BY$1),CP20*BY20),0)</f>
        <v>0</v>
      </c>
      <c r="CG20" s="1068" t="e">
        <f>_xlfn.CONCAT('Customer Inputs'!$AG$7,"_",BX20)</f>
        <v>#N/A</v>
      </c>
      <c r="CH20" s="1068">
        <f t="array" ref="CH20">IFERROR(INDEX('Margin Guidence Table'!$A$1:$AD$30000,MATCH(1,('Margin Guidence Table'!$A$1:$A$10000=$CG20)*('Margin Guidence Table'!$I$1:$I$10000&lt;=ROUND($BY$3,0))*('Margin Guidence Table'!$J$1:$J$10000&gt;=ROUND($BY$3,0)),0),MATCH("DATA_POINTS",'Margin Guidence Table'!$A$1:$AG$1,0)),0)</f>
        <v>0</v>
      </c>
      <c r="CI20" s="1065" t="str">
        <f t="shared" si="29"/>
        <v>DEFAULT</v>
      </c>
      <c r="CJ20" s="1065">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65">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69">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69">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69">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69">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69">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69">
        <f t="array" ref="CQ2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8"/>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72" t="e">
        <f t="shared" si="30"/>
        <v>#DIV/0!</v>
      </c>
      <c r="CU20" s="101" t="s">
        <v>98</v>
      </c>
      <c r="CV20" s="93">
        <f>IFERROR(IF(AND($CV$2&lt;&gt;"Enter Spend&gt;&gt;&gt;",CW8="EXISTING"),SUMIFS('Existing Customers'!$Q:$Q,'Existing Customers'!$A:$A,$CV$1,'Existing Customers'!$H:$H,$CU20)*$CV$4,$CV$3*$CT20),0)</f>
        <v>0</v>
      </c>
      <c r="CW20" s="88">
        <f>IFERROR(IF(AND($CV$2&lt;&gt;"Enter Spend&gt;&gt;&gt;",CW2="EXISTING"),SUMIFS('Existing Customers'!$N:$N,'Existing Customers'!$A:$A,$CV$1,'Existing Customers'!$H:$H,$CU20)*$CV$4,$CV20/$DG20),0)</f>
        <v>0</v>
      </c>
      <c r="CX20" s="94">
        <f>IFERROR(IF(AND($CV$2&lt;&gt;"Enter Spend&gt;&gt;&gt;",BC28="EXISTING"),SUMIFS('Existing Customers'!$O:$O,'Existing Customers'!$H:$H,$CU20,'Existing Customers'!$A:$A,$CV$1)*$CV$4,$CW20*$CV$8),0)</f>
        <v>0</v>
      </c>
      <c r="CY20" s="94">
        <f>IFERROR(IF(AND($CV$2&lt;&gt;"Enter Spend&gt;&gt;&gt;",CW2="EXISTING"),SUMIFS('Existing Customers'!$P:$P,'Existing Customers'!$A:$A,$CV$1,'Existing Customers'!$H:$H,$CU20)*$CV$4,$CV20/$DH20),0)</f>
        <v>0</v>
      </c>
      <c r="CZ20" s="95">
        <f>IFERROR(IF(AND($CV$2&lt;&gt;"Enter Spend&gt;&gt;&gt;",CW2="EXISTING"),SUMIFS('Existing Customers'!$V:$V,'Existing Customers'!$H:$H,$CU20,'Existing Customers'!$A:$A,$CV$1)*$CV$4,0),0)</f>
        <v>0</v>
      </c>
      <c r="DA20" s="95">
        <f>IFERROR(IF(AND($CV$2&lt;&gt;"Enter Spend&gt;&gt;&gt;",CW2="EXISTING"),SUMIFS('Existing Customers'!$R:$R,'Existing Customers'!$H:$H,$BA20,'Existing Customers'!$A:$A,$CV$1)*$CV$4,0),0)</f>
        <v>0</v>
      </c>
      <c r="DB20" s="1065">
        <f>IFERROR(IF(AND($CV$2&lt;&gt;"Enter Spend&gt;&gt;&gt;",CW2="EXISTING"),SUMIFS('Existing Customers'!$S:$S,'Existing Customers'!$H:$H,$CU20,'Existing Customers'!$A:$A,$CV$1),DL20*CV20),0)</f>
        <v>0</v>
      </c>
      <c r="DC20" s="1065">
        <f>IFERROR(IF(AND($CV$2&lt;&gt;"Enter Spend&gt;&gt;&gt;",CW2="EXISTING"),SUMIFS('Existing Customers'!$U:$U,'Existing Customers'!$H:$H,$CU20,'Existing Customers'!$A:$A,$CV$1),DM20*CV20),0)</f>
        <v>0</v>
      </c>
      <c r="DD20" s="1068" t="e">
        <f>_xlfn.CONCAT('Customer Inputs'!$AG$8,"_",CU20)</f>
        <v>#N/A</v>
      </c>
      <c r="DE20" s="1068">
        <f t="array" ref="DE20">IFERROR(INDEX('Margin Guidence Table'!$A$1:$AD$30000,MATCH(1,('Margin Guidence Table'!$A$1:$A$10000=DD20)*('Margin Guidence Table'!$I$1:$I$10000&lt;=ROUND($CV$3,0))*('Margin Guidence Table'!$J$1:$J$10000&gt;=ROUND($CV$3,0)),0),MATCH("DATA_POINTS",'Margin Guidence Table'!$A$1:$AG$1,0)),0)</f>
        <v>0</v>
      </c>
      <c r="DF20" s="1065" t="str">
        <f t="shared" si="31"/>
        <v>DEFAULT</v>
      </c>
      <c r="DG20" s="1065">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65">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69">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69">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69">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69">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69">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69">
        <f t="array" ref="DN2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8"/>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72" t="e">
        <f t="shared" si="32"/>
        <v>#DIV/0!</v>
      </c>
      <c r="DR20" s="101" t="s">
        <v>98</v>
      </c>
      <c r="DS20" s="93">
        <f>IFERROR(IF(AND($DS$2&lt;&gt;"Enter Spend&gt;&gt;&gt;",DT8="EXISTING"),SUMIFS('Existing Customers'!$Q:$Q,'Existing Customers'!$A:$A,$DS$1,'Existing Customers'!$H:$H,$DR20)*$DS$4,$DS$3*$DQ20),0)</f>
        <v>0</v>
      </c>
      <c r="DT20" s="88">
        <f>IFERROR(IF(AND($DS$2&lt;&gt;"Enter Spend&gt;&gt;&gt;",DT2="EXISTING"),SUMIFS('Existing Customers'!$N:$N,'Existing Customers'!$A:$A,$DS$1,'Existing Customers'!$H:$H,$DR20)*$DS$4,$DS20/$ED20),0)</f>
        <v>0</v>
      </c>
      <c r="DU20" s="94">
        <f>IFERROR(IF(AND($DS$2&lt;&gt;"Enter Spend&gt;&gt;&gt;",DT2="EXISTING"),SUMIFS('Existing Customers'!$O:$O,'Existing Customers'!$H:$H,$DR20,'Existing Customers'!$A:$A,$DS$1)*$DS$4,$DT20*$DS$8),0)</f>
        <v>0</v>
      </c>
      <c r="DV20" s="94">
        <f>IFERROR(IF(AND($DS$2&lt;&gt;"Enter Spend&gt;&gt;&gt;",DT2="EXISTING"),SUMIFS('Existing Customers'!$P:$P,'Existing Customers'!$A:$A,$DS$1,'Existing Customers'!$H:$H,$DR20)*$DS$4,$DS20/$EE20),0)</f>
        <v>0</v>
      </c>
      <c r="DW20" s="95">
        <f>IFERROR(IF(AND($DS$2&lt;&gt;"Enter Spend&gt;&gt;&gt;",EQ2="EXISTING"),SUMIFS('Existing Customers'!$V:$V,'Existing Customers'!$H:$H,$DR20,'Existing Customers'!$A:$A,$DS$1)*$DS$4,0),0)</f>
        <v>0</v>
      </c>
      <c r="DX20" s="95">
        <f>IFERROR(IF(AND($DS$2&lt;&gt;"Enter Spend&gt;&gt;&gt;",DT2="EXISTING"),SUMIFS('Existing Customers'!$R:$R,'Existing Customers'!$H:$H,$DR20,'Existing Customers'!$A:$A,$DS$1)*$DS$4,0),0)</f>
        <v>0</v>
      </c>
      <c r="DY20" s="1065">
        <f>IFERROR(IF(AND($DS$2&lt;&gt;"Enter Spend&gt;&gt;&gt;",DT2="EXISTING"),SUMIFS('Existing Customers'!$S:$S,'Existing Customers'!$H:$H,$DT20,'Existing Customers'!$A:$A,$DS$1),EI20*DS20),0)</f>
        <v>0</v>
      </c>
      <c r="DZ20" s="1065">
        <f>IFERROR(IF(AND($DS$2&lt;&gt;"Enter Spend&gt;&gt;&gt;",DT2="EXISTING"),SUMIFS('Existing Customers'!$U:$U,'Existing Customers'!$H:$H,$DR20,'Existing Customers'!$A:$A,$DS$1),EJ20*DS20),0)</f>
        <v>0</v>
      </c>
      <c r="EA20" s="1068" t="e">
        <f>_xlfn.CONCAT('Customer Inputs'!$AG$9,"_",DR20)</f>
        <v>#N/A</v>
      </c>
      <c r="EB20" s="1068">
        <f t="array" ref="EB20">IFERROR(INDEX('Margin Guidence Table'!$A$1:$AD$30000,MATCH(1,('Margin Guidence Table'!$A$1:$A$10000=EA20)*('Margin Guidence Table'!$I$1:$I$10000&lt;=ROUND($DS$3,0))*('Margin Guidence Table'!$J$1:$J$10000&gt;=ROUND($DS$3,0)),0),MATCH("DATA_POINTS",'Margin Guidence Table'!$A$1:$AG$1,0)),0)</f>
        <v>0</v>
      </c>
      <c r="EC20" s="1065" t="str">
        <f t="shared" si="33"/>
        <v>DEFAULT</v>
      </c>
      <c r="ED20" s="1065">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65">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69">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69">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69">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69">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69">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69">
        <f t="array" ref="EK2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8"/>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72" t="e">
        <f t="shared" si="34"/>
        <v>#DIV/0!</v>
      </c>
      <c r="EO20" s="101" t="s">
        <v>98</v>
      </c>
      <c r="EP20" s="93">
        <f>IFERROR(IF(AND($EP$2&lt;&gt;"Enter Spend&gt;&gt;&gt;",EQ8="EXISTING"),SUMIFS('Existing Customers'!$Q:$Q,'Existing Customers'!$A:$A,$EP$1,'Existing Customers'!$H:$H,$EO20)*$EP$4,$EP$3*$EN20),0)</f>
        <v>0</v>
      </c>
      <c r="EQ20" s="88">
        <f>IFERROR(IF(AND($EP$2&lt;&gt;"Enter Spend&gt;&gt;&gt;",EQ2="EXISTING"),SUMIFS('Existing Customers'!$N:$N,'Existing Customers'!$A:$A,$EP$1,'Existing Customers'!$H:$H,$EO20)*$EP$4,$EP20/$FA20),0)</f>
        <v>0</v>
      </c>
      <c r="ER20" s="94">
        <f>IFERROR(IF(AND($EP$2&lt;&gt;"Enter Spend&gt;&gt;&gt;",EQ2="EXISTING"),SUMIFS('Existing Customers'!$O:$O,'Existing Customers'!$H:$H,$EO20,'Existing Customers'!$A:$A,$EP$1)*$EP$4,$EQ20*$EP$8),0)</f>
        <v>0</v>
      </c>
      <c r="ES20" s="94">
        <f>IFERROR(IF(AND($EP$2&lt;&gt;"Enter Spend&gt;&gt;&gt;",EQ2="EXISTING"),SUMIFS('Existing Customers'!$P:$P,'Existing Customers'!$A:$A,$EP$1,'Existing Customers'!$H:$H,$EO20)*$EP$4,$EP20/$FB20),0)</f>
        <v>0</v>
      </c>
      <c r="ET20" s="95">
        <f>IFERROR(IF(AND($EP$2&lt;&gt;"Enter Spend&gt;&gt;&gt;",EQ2="EXISTING"),SUMIFS('Existing Customers'!$V:$V,'Existing Customers'!$H:$H,$EO20,'Existing Customers'!$A:$A,$EP$1)*$EP$4,0),0)</f>
        <v>0</v>
      </c>
      <c r="EU20" s="95">
        <f>IFERROR(IF(AND($EP$2&lt;&gt;"Enter Spend&gt;&gt;&gt;",EQ2="EXISTING"),SUMIFS('Existing Customers'!$R:$R,'Existing Customers'!$H:$H,$EO20,'Existing Customers'!$A:$A,$EP$1)*$EP$4,0),0)</f>
        <v>0</v>
      </c>
      <c r="EV20" s="1065">
        <f>IFERROR(IF(AND($EP$2&lt;&gt;"Enter Spend&gt;&gt;&gt;",EQ2="EXISTING"),SUMIFS('Existing Customers'!$S:$S,'Existing Customers'!$H:$H,$EO20,'Existing Customers'!$A:$A,$EP$1),FF20*EP20),0)</f>
        <v>0</v>
      </c>
      <c r="EW20" s="1065">
        <f>IFERROR(IF(AND($EP$2&lt;&gt;"Enter Spend&gt;&gt;&gt;",EQ2="EXISTING"),SUMIFS('Existing Customers'!$U:$U,'Existing Customers'!$H:$H,$EO20,'Existing Customers'!$A:$A,$EP$1),FG20*EP20),0)</f>
        <v>0</v>
      </c>
      <c r="EX20" s="1068" t="e">
        <f>_xlfn.CONCAT('Customer Inputs'!$AG$10,"_",EO20)</f>
        <v>#N/A</v>
      </c>
      <c r="EY20" s="1068">
        <f t="array" ref="EY20">IFERROR(INDEX('Margin Guidence Table'!$A$1:$AD$30000,MATCH(1,('Margin Guidence Table'!$A$1:$A$10000=EX20)*('Margin Guidence Table'!$I$1:$I$10000&lt;=ROUND($EP$3,0))*('Margin Guidence Table'!$J$1:$J$10000&gt;=ROUND($EP$3,0)),0),MATCH("DATA_POINTS",'Margin Guidence Table'!$A$1:$AG$1,0)),0)</f>
        <v>0</v>
      </c>
      <c r="EZ20" s="1065" t="str">
        <f t="shared" si="35"/>
        <v>DEFAULT</v>
      </c>
      <c r="FA20" s="1065">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65"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69">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69">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69">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69">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69">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69">
        <f t="array" ref="FH2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8"/>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72" t="e">
        <f t="shared" si="36"/>
        <v>#DIV/0!</v>
      </c>
      <c r="FL20" s="101" t="s">
        <v>98</v>
      </c>
      <c r="FM20" s="93">
        <f>IFERROR(IF(AND($FM$2&lt;&gt;"Enter Spend&gt;&gt;&gt;",FN8="EXISTING"),SUMIFS('Existing Customers'!$Q:$Q,'Existing Customers'!$A:$A,$FM$1,'Existing Customers'!$H:$H,$FL20)*$FM$4,$FM$3*$FK20),0)</f>
        <v>0</v>
      </c>
      <c r="FN20" s="88">
        <f>IFERROR(IF(AND($FM$2&lt;&gt;"Enter Spend&gt;&gt;&gt;",FN2="EXISTING"),SUMIFS('Existing Customers'!$N:$N,'Existing Customers'!$A:$A,$FM$1,'Existing Customers'!$H:$H,$FL20)*$FM$4,$FM20/$FX20),0)</f>
        <v>0</v>
      </c>
      <c r="FO20" s="94">
        <f>IFERROR(IF(AND($FM$2&lt;&gt;"Enter Spend&gt;&gt;&gt;",FN2="EXISTING"),SUMIFS('Existing Customers'!$O:$O,'Existing Customers'!$H:$H,$FL20,'Existing Customers'!$A:$A,$FM$1)*$FM$4,$FN20*$FM$8),0)</f>
        <v>0</v>
      </c>
      <c r="FP20" s="94">
        <f>IFERROR(IF(AND($FM$2&lt;&gt;"Enter Spend&gt;&gt;&gt;",FN2="EXISTING"),SUMIFS('Existing Customers'!$P:$P,'Existing Customers'!$A:$A,$FM$1,'Existing Customers'!$H:$H,$FL20)*$FM$4,$FM20/$FY20),0)</f>
        <v>0</v>
      </c>
      <c r="FQ20" s="95">
        <f>IFERROR(IF(AND($FM$2&lt;&gt;"Enter Spend&gt;&gt;&gt;",FN2="EXISTING"),SUMIFS('Existing Customers'!$V:$V,'Existing Customers'!$H:$H,$FL20,'Existing Customers'!$A:$A,$FM$1)*$FM$4,0),0)</f>
        <v>0</v>
      </c>
      <c r="FR20" s="95">
        <f>IFERROR(IF(AND($FM$2&lt;&gt;"Enter Spend&gt;&gt;&gt;",FN2="EXISTING"),SUMIFS('Existing Customers'!$R:$R,'Existing Customers'!$H:$H,$FL20,'Existing Customers'!$A:$A,$FM$1)*$FM$4,0),0)</f>
        <v>0</v>
      </c>
      <c r="FS20" s="1065">
        <f>IFERROR(IF(AND($FM$2&lt;&gt;"Enter Spend&gt;&gt;&gt;",FN2="EXISTING"),SUMIFS('Existing Customers'!$S:$S,'Existing Customers'!$H:$H,$FL20,'Existing Customers'!$A:$A,$FM$1),GC20*FM20),0)</f>
        <v>0</v>
      </c>
      <c r="FT20" s="1065">
        <f>IFERROR(IF(AND($FM$2&lt;&gt;"Enter Spend&gt;&gt;&gt;",FN2="EXISTING"),SUMIFS('Existing Customers'!$U:$U,'Existing Customers'!$H:$H,$FL20,'Existing Customers'!$A:$A,$FM$1),GD20*FM20),0)</f>
        <v>0</v>
      </c>
      <c r="FU20" s="1068" t="e">
        <f>_xlfn.CONCAT('Customer Inputs'!$AG$11,"_",FL20)</f>
        <v>#N/A</v>
      </c>
      <c r="FV20" s="1068">
        <f t="array" ref="FV20">IFERROR(INDEX('Margin Guidence Table'!$A$1:$AD$30000,MATCH(1,('Margin Guidence Table'!$A$1:$A$10000=FU20)*('Margin Guidence Table'!$I$1:$I$10000&lt;=ROUND($FM$3,0))*('Margin Guidence Table'!$J$1:$J$10000&gt;=ROUND($FM$3,0)),0),MATCH("DATA_POINTS",'Margin Guidence Table'!$A$1:$AG$1,0)),0)</f>
        <v>0</v>
      </c>
      <c r="FW20" s="1065" t="str">
        <f t="shared" si="37"/>
        <v>DEFAULT</v>
      </c>
      <c r="FX20" s="1065">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65">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69">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69">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69">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69">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69">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69">
        <f t="array" ref="GE2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8"/>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72" t="e">
        <f t="shared" si="38"/>
        <v>#DIV/0!</v>
      </c>
      <c r="GI20" s="101" t="s">
        <v>98</v>
      </c>
      <c r="GJ20" s="93">
        <f>IFERROR(IF(AND($GJ$2&lt;&gt;"Enter Spend&gt;&gt;&gt;",GK8="EXISTING"),SUMIFS('Existing Customers'!$Q:$Q,'Existing Customers'!$A:$A,$GJ$1,'Existing Customers'!$H:$H,$GI20)*$GJ$4,$GJ$3*$GH20),0)</f>
        <v>0</v>
      </c>
      <c r="GK20" s="88">
        <f>IFERROR(IF(AND($GJ$2&lt;&gt;"Enter Spend&gt;&gt;&gt;",GK2="EXISTING"),SUMIFS('Existing Customers'!$N:$N,'Existing Customers'!$A:$A,$GJ$1,'Existing Customers'!$H:$H,$GI20)*$GJ$4,$GJ20/$GU20),0)</f>
        <v>0</v>
      </c>
      <c r="GL20" s="94">
        <f>IFERROR(IF(AND($GJ$2&lt;&gt;"Enter Spend&gt;&gt;&gt;",GK2="EXISTING"),SUMIFS('Existing Customers'!$O:$O,'Existing Customers'!$H:$H,$GI20,'Existing Customers'!$A:$A,$GJ$1)*$GJ$4,$GK20*$GJ$8),0)</f>
        <v>0</v>
      </c>
      <c r="GM20" s="94">
        <f>IFERROR(IF(AND($GJ$2&lt;&gt;"Enter Spend&gt;&gt;&gt;",GK2="EXISTING"),SUMIFS('Existing Customers'!$P:$P,'Existing Customers'!$A:$A,$GJ$1,'Existing Customers'!$H:$H,$GI20)*$GJ$4,$GJ20/$GV20),0)</f>
        <v>0</v>
      </c>
      <c r="GN20" s="95">
        <f>IFERROR(IF(AND($GJ$2&lt;&gt;"Enter Spend&gt;&gt;&gt;",GK2="EXISTING"),SUMIFS('Existing Customers'!$V:$V,'Existing Customers'!$H:$H,$GI20,'Existing Customers'!$A:$A,$GJ$1)*$GJ$4,0),0)</f>
        <v>0</v>
      </c>
      <c r="GO20" s="95">
        <f>IFERROR(IF(AND($GJ$2&lt;&gt;"Enter Spend&gt;&gt;&gt;",GK2="EXISTING"),SUMIFS('Existing Customers'!$R:$R,'Existing Customers'!$H:$H,$GI20,'Existing Customers'!$A:$A,$GJ$1)*$GJ$4,0),0)</f>
        <v>0</v>
      </c>
      <c r="GP20" s="1065">
        <f>IFERROR(IF(AND($GJ$2&lt;&gt;"Enter Spend&gt;&gt;&gt;",GK2="EXISTING"),SUMIFS('Existing Customers'!$S:$S,'Existing Customers'!$H:$H,$GI20,'Existing Customers'!$A:$A,$GJ$1),GZ20*GJ20),0)</f>
        <v>0</v>
      </c>
      <c r="GQ20" s="1065">
        <f>IFERROR(IF(AND($GJ$2&lt;&gt;"Enter Spend&gt;&gt;&gt;",GK2="EXISTING"),SUMIFS('Existing Customers'!$U:$U,'Existing Customers'!$H:$H,$GI20,'Existing Customers'!$A:$A,$GJ$1),HA20*GJ20),0)</f>
        <v>0</v>
      </c>
      <c r="GR20" s="1068" t="e">
        <f>_xlfn.CONCAT('Customer Inputs'!$AG$12,"_",GI20)</f>
        <v>#N/A</v>
      </c>
      <c r="GS20" s="1068">
        <f t="array" ref="GS20">IFERROR(INDEX('Margin Guidence Table'!$A$1:$AD$30000,MATCH(1,('Margin Guidence Table'!$A$1:$A$10000=GR20)*('Margin Guidence Table'!$I$1:$I$10000&lt;=ROUND($GJ$3,0))*('Margin Guidence Table'!$J$1:$J$10000&gt;=ROUND($GJ$3,0)),0),MATCH("DATA_POINTS",'Margin Guidence Table'!$A$1:$AG$1,0)),0)</f>
        <v>0</v>
      </c>
      <c r="GT20" s="1065" t="str">
        <f t="shared" si="39"/>
        <v>DEFAULT</v>
      </c>
      <c r="GU20" s="1065">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65">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69">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69">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69">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69">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69">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69">
        <f t="array" ref="HB2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8"/>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72" t="e">
        <f t="shared" si="40"/>
        <v>#DIV/0!</v>
      </c>
      <c r="HF20" s="101" t="s">
        <v>98</v>
      </c>
      <c r="HG20" s="93">
        <f>IFERROR(IF(AND($HG$2&lt;&gt;"Enter Spend&gt;&gt;&gt;",HH8="EXISTING"),SUMIFS('Existing Customers'!$Q:$Q,'Existing Customers'!$A:$A,$HG$1,'Existing Customers'!$H:$H,$HF20)*$HG$4,$HG$3*$HE20),0)</f>
        <v>0</v>
      </c>
      <c r="HH20" s="88">
        <f>IFERROR(IF(AND($HG$2&lt;&gt;"Enter Spend&gt;&gt;&gt;",HH2="EXISTING"),SUMIFS('Existing Customers'!$N:$N,'Existing Customers'!$A:$A,$HG$1,'Existing Customers'!$H:$H,$HF20)*$HG$4,$HG20/$HR20),0)</f>
        <v>0</v>
      </c>
      <c r="HI20" s="94">
        <f>IFERROR(IF(AND($HG$2&lt;&gt;"Enter Spend&gt;&gt;&gt;",HH2="EXISTING"),SUMIFS('Existing Customers'!$O:$O,'Existing Customers'!$H:$H,$HF20,'Existing Customers'!$A:$A,$HG$1)*$HG$4,$HH20*$HG$8),0)</f>
        <v>0</v>
      </c>
      <c r="HJ20" s="94">
        <f>IFERROR(IF(AND($HG$2&lt;&gt;"Enter Spend&gt;&gt;&gt;",HH2="EXISTING"),SUMIFS('Existing Customers'!$P:$P,'Existing Customers'!$A:$A,$HG$1,'Existing Customers'!$H:$H,$HF20)*$HG$4,$HG20/$HS20),0)</f>
        <v>0</v>
      </c>
      <c r="HK20" s="95">
        <f>IFERROR(IF(AND($HG$2&lt;&gt;"Enter Spend&gt;&gt;&gt;",HH2="EXISTING"),SUMIFS('Existing Customers'!$V:$V,'Existing Customers'!$H:$H,$HF20,'Existing Customers'!$A:$A,$HG$1)*$HG$4,0),0)</f>
        <v>0</v>
      </c>
      <c r="HL20" s="95">
        <f>IFERROR(IF(AND($HG$2&lt;&gt;"Enter Spend&gt;&gt;&gt;",HH2="EXISTING"),SUMIFS('Existing Customers'!$R:$R,'Existing Customers'!$H:$H,$HF20,'Existing Customers'!$A:$A,$HG$1)*$HG$4,0),0)</f>
        <v>0</v>
      </c>
      <c r="HM20" s="1065">
        <f>IFERROR(IF(AND($HG$2&lt;&gt;"Enter Spend&gt;&gt;&gt;",HH2="EXISTING"),SUMIFS('Existing Customers'!$S:$S,'Existing Customers'!$H:$H,$HF20,'Existing Customers'!$A:$A,$HG$1),HW20*HG20),0)</f>
        <v>0</v>
      </c>
      <c r="HN20" s="1065">
        <f>IFERROR(IF(AND($HG$2&lt;&gt;"Enter Spend&gt;&gt;&gt;",HH2="EXISTING"),SUMIFS('Existing Customers'!$U:$U,'Existing Customers'!$H:$H,$HF20,'Existing Customers'!$A:$A,$HG$1),HX20*HG20),0)</f>
        <v>0</v>
      </c>
      <c r="HO20" s="1068" t="e">
        <f>_xlfn.CONCAT('Customer Inputs'!$AG$13,"_",HF20)</f>
        <v>#N/A</v>
      </c>
      <c r="HP20" s="1068">
        <f t="array" ref="HP20">IFERROR(INDEX('Margin Guidence Table'!$A$1:$AD$30000,MATCH(1,('Margin Guidence Table'!$A$1:$A$10000=HO20)*('Margin Guidence Table'!$I$1:$I$10000&lt;=ROUND($HG$3,0))*('Margin Guidence Table'!$J$1:$J$10000&gt;=ROUND($HG$3,0)),0),MATCH("DATA_POINTS",'Margin Guidence Table'!$A$1:$AG$1,0)),0)</f>
        <v>0</v>
      </c>
      <c r="HQ20" s="1065" t="str">
        <f t="shared" si="41"/>
        <v>DEFAULT</v>
      </c>
      <c r="HR20" s="1065">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65">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69">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69">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69">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69">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69">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69">
        <f t="array" ref="HY2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8"/>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72" t="e">
        <f t="shared" si="42"/>
        <v>#DIV/0!</v>
      </c>
      <c r="IC20" s="101" t="s">
        <v>98</v>
      </c>
      <c r="ID20" s="93">
        <f>IFERROR(IF(AND($ID$2&lt;&gt;"Enter Spend&gt;&gt;&gt;",IE8="EXISTING"),SUMIFS('Existing Customers'!$Q:$Q,'Existing Customers'!$A:$A,$ID$1,'Existing Customers'!$H:$H,$IC20)*$ID$4,$ID$3*$IB20),0)</f>
        <v>0</v>
      </c>
      <c r="IE20" s="88">
        <f>IFERROR(IF(AND($ID$2&lt;&gt;"Enter Spend&gt;&gt;&gt;",IE2="EXISTING"),SUMIFS('Existing Customers'!$N:$N,'Existing Customers'!$A:$A,$ID$1,'Existing Customers'!$H:$H,$IC20)*$ID$4,$ID20/$IO20),0)</f>
        <v>0</v>
      </c>
      <c r="IF20" s="94">
        <f>IFERROR(IF(AND($ID$2&lt;&gt;"Enter Spend&gt;&gt;&gt;",IE2="EXISTING"),SUMIFS('Existing Customers'!$O:$O,'Existing Customers'!$H:$H,$IC20,'Existing Customers'!$A:$A,$ID$1)*$ID$4,$IE20*$ID$8),0)</f>
        <v>0</v>
      </c>
      <c r="IG20" s="94">
        <f>IFERROR(IF(AND($ID$2&lt;&gt;"Enter Spend&gt;&gt;&gt;",IE2="EXISTING"),SUMIFS('Existing Customers'!$P:$P,'Existing Customers'!$A:$A,$ID$1,'Existing Customers'!$H:$H,$IC20)*$ID$4,$ID20/$IP20),0)</f>
        <v>0</v>
      </c>
      <c r="IH20" s="378">
        <f>IFERROR(IF(AND($ID$2&lt;&gt;"Enter Spend&gt;&gt;&gt;",IE2="EXISTING"),SUMIFS('Existing Customers'!$V:$V,'Existing Customers'!$H:$H,$IC20,'Existing Customers'!$A:$A,$ID$1)*$ID$4,0),0)</f>
        <v>0</v>
      </c>
      <c r="II20" s="95">
        <f>IFERROR(IF(AND($ID$2&lt;&gt;"Enter Spend&gt;&gt;&gt;",IE2="EXISTING"),SUMIFS('Existing Customers'!$R:$R,'Existing Customers'!$H:$H,$IC20,'Existing Customers'!$A:$A,$ID$1)*$ID$4,0),0)</f>
        <v>0</v>
      </c>
      <c r="IJ20" s="1065">
        <f>IFERROR(IF(AND($ID$2&lt;&gt;"Enter Spend&gt;&gt;&gt;",IE2="EXISTING"),SUMIFS('Existing Customers'!$S:$S,'Existing Customers'!$H:$H,$IC20,'Existing Customers'!$A:$A,$ID$1),IT20*ID20),0)</f>
        <v>0</v>
      </c>
      <c r="IK20" s="1065">
        <f>IFERROR(IF(AND($ID$2&lt;&gt;"Enter Spend&gt;&gt;&gt;",IE2="EXISTING"),SUMIFS('Existing Customers'!$U:$U,'Existing Customers'!$H:$H,$IC20,'Existing Customers'!$A:$A,$ID$1),IU20*ID20),0)</f>
        <v>0</v>
      </c>
      <c r="IL20" s="1068" t="e">
        <f>_xlfn.CONCAT('Customer Inputs'!$AG$14,"_",IC20)</f>
        <v>#N/A</v>
      </c>
      <c r="IM20" s="1068">
        <f t="array" ref="IM20">IFERROR(INDEX('Margin Guidence Table'!$A$1:$AD$30000,MATCH(1,('Margin Guidence Table'!$A$1:$A$10000=IL20)*('Margin Guidence Table'!$I$1:$I$10000&lt;=ROUND($ID$3,0))*('Margin Guidence Table'!$J$1:$J$10000&gt;=ROUND($ID$3,0)),0),MATCH("DATA_POINTS",'Margin Guidence Table'!$A$1:$AG$1,0)),0)</f>
        <v>0</v>
      </c>
      <c r="IN20" s="1065" t="str">
        <f t="shared" si="43"/>
        <v>DEFAULT</v>
      </c>
      <c r="IO20" s="1065">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65">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69">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69">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69">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69">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69">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69">
        <f t="array" ref="IV2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8"/>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72" t="e">
        <f t="shared" si="44"/>
        <v>#DIV/0!</v>
      </c>
      <c r="IZ20" s="101" t="s">
        <v>98</v>
      </c>
      <c r="JA20" s="93">
        <f>IFERROR(IF(AND($JA$2&lt;&gt;"Enter Spend&gt;&gt;&gt;",JB8="EXISTING"),SUMIFS('Existing Customers'!$Q:$Q,'Existing Customers'!$A:$A,$JA$1,'Existing Customers'!$H:$H,$IZ20)*$JA$4,$JA$3*$IY20),0)</f>
        <v>0</v>
      </c>
      <c r="JB20" s="88">
        <f>IFERROR(IF(AND($JA$2&lt;&gt;"Enter Spend&gt;&gt;&gt;",JB2="EXISTING"),SUMIFS('Existing Customers'!$N:$N,'Existing Customers'!$A:$A,$JA$1,'Existing Customers'!$H:$H,$IZ20)*$JA$4,$JA20/$JL20),0)</f>
        <v>0</v>
      </c>
      <c r="JC20" s="94">
        <f>IFERROR(IF(AND($JA$2&lt;&gt;"Enter Spend&gt;&gt;&gt;",JB2="EXISTING"),SUMIFS('Existing Customers'!$O:$O,'Existing Customers'!$H:$H,$IZ20,'Existing Customers'!$A:$A,$JA$1)*$JA$4,$JB20*$JA$8),0)</f>
        <v>0</v>
      </c>
      <c r="JD20" s="94">
        <f>IFERROR(IF(AND($JA$2&lt;&gt;"Enter Spend&gt;&gt;&gt;",JB2="EXISTING"),SUMIFS('Existing Customers'!$P:$P,'Existing Customers'!$A:$A,$JA$1,'Existing Customers'!$H:$H,$IZ20)*$JA$4,$JA20/$JM20),0)</f>
        <v>0</v>
      </c>
      <c r="JE20" s="378">
        <f>IFERROR(IF(AND($JA$2&lt;&gt;"Enter Spend&gt;&gt;&gt;",JB2="EXISTING"),SUMIFS('Existing Customers'!$V:$V,'Existing Customers'!$H:$H,$IZ20,'Existing Customers'!$A:$A,$JA$1)*$JA$4,0),0)</f>
        <v>0</v>
      </c>
      <c r="JF20" s="95">
        <f>IFERROR(IF(AND($JA$2&lt;&gt;"Enter Spend&gt;&gt;&gt;",JB2="EXISTING"),SUMIFS('Existing Customers'!$R:$R,'Existing Customers'!$H:$H,$IZ20,'Existing Customers'!$A:$A,$JA$1)*$JA$4,0),0)</f>
        <v>0</v>
      </c>
      <c r="JG20" s="1065">
        <f>IFERROR(IF(AND($JA$2&lt;&gt;"Enter Spend&gt;&gt;&gt;",JB2="EXISTING"),SUMIFS('Existing Customers'!$S:$S,'Existing Customers'!$H:$H,$IZ20,'Existing Customers'!$A:$A,$JA$1),JQ20*JA20),0)</f>
        <v>0</v>
      </c>
      <c r="JH20" s="1065">
        <f>IFERROR(IF(AND($JA$2&lt;&gt;"Enter Spend&gt;&gt;&gt;",JB2="EXISTING"),SUMIFS('Existing Customers'!$U:$U,'Existing Customers'!$H:$H,$IZ20,'Existing Customers'!$A:$A,$JA$1),JR20*JA20),0)</f>
        <v>0</v>
      </c>
      <c r="JI20" s="1068" t="e">
        <f>_xlfn.CONCAT('Customer Inputs'!$AG$15,"_",IZ20)</f>
        <v>#N/A</v>
      </c>
      <c r="JJ20" s="1068">
        <f t="array" ref="JJ20">IFERROR(INDEX('Margin Guidence Table'!$A$1:$AD$30000,MATCH(1,('Margin Guidence Table'!$A$1:$A$10000=JI20)*('Margin Guidence Table'!$I$1:$I$10000&lt;=ROUND($JA$3,0))*('Margin Guidence Table'!$J$1:$J$10000&gt;=ROUND($JA$3,0)),0),MATCH("DATA_POINTS",'Margin Guidence Table'!$A$1:$AG$1,0)),0)</f>
        <v>0</v>
      </c>
      <c r="JK20" s="1065" t="str">
        <f t="shared" si="45"/>
        <v>DEFAULT</v>
      </c>
      <c r="JL20" s="1065">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65">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69">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69">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69">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69">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69">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69">
        <f t="array" ref="JS2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101" t="s">
        <v>98</v>
      </c>
      <c r="JV20" s="96"/>
      <c r="JW20" s="88"/>
      <c r="JX20" s="88"/>
      <c r="JY20" s="88"/>
      <c r="JZ20" s="113"/>
      <c r="KA20" s="97"/>
      <c r="KB20" s="128"/>
      <c r="KD20" s="101" t="s">
        <v>98</v>
      </c>
      <c r="KE20" s="96"/>
      <c r="KF20" s="88"/>
      <c r="KG20" s="88"/>
      <c r="KH20" s="88"/>
      <c r="KI20" s="113"/>
      <c r="KJ20" s="97"/>
    </row>
    <row r="21" spans="2:296" ht="15.75" thickBot="1" x14ac:dyDescent="0.3">
      <c r="B21" s="101" t="s">
        <v>95</v>
      </c>
      <c r="C21" s="451">
        <f t="shared" si="11"/>
        <v>0</v>
      </c>
      <c r="D21" s="467">
        <f t="shared" si="12"/>
        <v>0</v>
      </c>
      <c r="E21" s="467">
        <f t="shared" si="13"/>
        <v>0</v>
      </c>
      <c r="F21" s="467">
        <f t="shared" si="14"/>
        <v>0</v>
      </c>
      <c r="G21" s="468">
        <f t="shared" si="15"/>
        <v>0</v>
      </c>
      <c r="H21" s="467">
        <f t="shared" si="16"/>
        <v>0</v>
      </c>
      <c r="I21" s="1061" t="e">
        <f t="shared" si="0"/>
        <v>#DIV/0!</v>
      </c>
      <c r="J21" s="1061" t="e">
        <f t="shared" si="1"/>
        <v>#DIV/0!</v>
      </c>
      <c r="K21" s="1061" t="e">
        <f t="shared" si="2"/>
        <v>#DIV/0!</v>
      </c>
      <c r="L21" s="467" t="e">
        <f t="shared" si="3"/>
        <v>#DIV/0!</v>
      </c>
      <c r="M21" s="467" t="e">
        <f t="shared" si="17"/>
        <v>#DIV/0!</v>
      </c>
      <c r="N21" s="1062" t="e">
        <f t="shared" si="4"/>
        <v>#DIV/0!</v>
      </c>
      <c r="P21" t="str">
        <f>'PIM Model'!E17</f>
        <v>INCLUDE</v>
      </c>
      <c r="Q21">
        <f t="shared" si="18"/>
        <v>0</v>
      </c>
      <c r="R21">
        <f t="shared" si="19"/>
        <v>0</v>
      </c>
      <c r="S21" s="101" t="s">
        <v>95</v>
      </c>
      <c r="T21" s="96">
        <f t="shared" si="20"/>
        <v>0</v>
      </c>
      <c r="U21" s="88">
        <f t="shared" si="5"/>
        <v>0</v>
      </c>
      <c r="V21" s="88">
        <f t="shared" si="6"/>
        <v>0</v>
      </c>
      <c r="W21" s="88">
        <f t="shared" si="7"/>
        <v>0</v>
      </c>
      <c r="X21" s="113">
        <f t="shared" si="8"/>
        <v>0</v>
      </c>
      <c r="Y21" s="116">
        <f t="shared" si="21"/>
        <v>0</v>
      </c>
      <c r="Z21" s="376"/>
      <c r="AA21" s="101" t="s">
        <v>95</v>
      </c>
      <c r="AB21" s="455">
        <f t="shared" si="9"/>
        <v>0</v>
      </c>
      <c r="AC21" s="456">
        <f t="shared" si="9"/>
        <v>0</v>
      </c>
      <c r="AD21" s="456">
        <f t="shared" si="9"/>
        <v>0</v>
      </c>
      <c r="AE21" s="457">
        <f t="shared" si="22"/>
        <v>0</v>
      </c>
      <c r="AF21" s="458">
        <f t="shared" si="23"/>
        <v>0</v>
      </c>
      <c r="AG21" s="376"/>
      <c r="AH21" s="101" t="s">
        <v>95</v>
      </c>
      <c r="AI21" s="455">
        <f t="shared" si="10"/>
        <v>0</v>
      </c>
      <c r="AJ21" s="452">
        <f t="shared" si="24"/>
        <v>0</v>
      </c>
      <c r="AK21" s="458"/>
      <c r="AL21" s="376"/>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76">
        <f>VLOOKUP($AH21&amp;$AM21,'IMargin Quartiles'!$A:$F,6,FALSE)</f>
        <v>0.12</v>
      </c>
      <c r="AO21" s="376"/>
      <c r="AP21"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Q21" s="376" t="e">
        <f t="shared" si="25"/>
        <v>#DIV/0!</v>
      </c>
      <c r="AR21">
        <f>'PIM Model'!C17</f>
        <v>0</v>
      </c>
      <c r="AS21" s="376"/>
      <c r="AT21" s="376"/>
      <c r="AU21" s="376" t="e">
        <f t="shared" si="46"/>
        <v>#DIV/0!</v>
      </c>
      <c r="AV21" s="376"/>
      <c r="AW21" s="376"/>
      <c r="AX21" s="107">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72" t="e">
        <f t="shared" si="26"/>
        <v>#DIV/0!</v>
      </c>
      <c r="BA21" s="101" t="s">
        <v>95</v>
      </c>
      <c r="BB21" s="93">
        <f>IFERROR(IF(AND($BB$2&lt;&gt;"Enter Spend&gt;&gt;&gt;",BC9="EXISTING"),SUMIFS('Existing Customers'!$Q:$Q,'Existing Customers'!$A:$A,$BB$1,'Existing Customers'!$H:$H,$BA21)*$BB$4,$BB$3*$AZ21),0)</f>
        <v>0</v>
      </c>
      <c r="BC21" s="94">
        <f>IFERROR(IF(AND($BB$2&lt;&gt;"Enter Spend&gt;&gt;&gt;",BC2="EXISTING"),SUMIFS('Existing Customers'!$N:$N,'Existing Customers'!$A:$A,$BB$1,'Existing Customers'!$H:$H,$BA21)*$BB$4,$BB21/$BM21),0)</f>
        <v>0</v>
      </c>
      <c r="BD21" s="94">
        <f>IFERROR(IF(AND($BB$2&lt;&gt;"Enter Spend&gt;&gt;&gt;",BC2="EXISTING"),SUMIFS('Existing Customers'!$O:$O,'Existing Customers'!$H:$H,$BA21,'Existing Customers'!$A:$A,$BB$1)*$BB$4,$BC21*$BB$8),0)</f>
        <v>0</v>
      </c>
      <c r="BE21" s="94">
        <f>IFERROR(IF(AND($BB$2&lt;&gt;"Enter Spend&gt;&gt;&gt;",BC2="EXISTING"),SUMIFS('Existing Customers'!$P:$P,'Existing Customers'!$A:$A,$BB$1,'Existing Customers'!$H:$H,$BA21)*$BB$4,$BB21/$BN21),0)</f>
        <v>0</v>
      </c>
      <c r="BF21" s="378">
        <f>IFERROR(IF(AND($BB$2&lt;&gt;"Enter Spend&gt;&gt;&gt;",BC2="EXISTING"),SUMIFS('Existing Customers'!$V:$V,'Existing Customers'!$H:$H,$BA21,'Existing Customers'!$A:$A,$BB$1)*$BB$4,0),0)</f>
        <v>0</v>
      </c>
      <c r="BG21" s="95">
        <f>IFERROR(IF(AND($BB$2&lt;&gt;"Enter Spend&gt;&gt;&gt;",BC2="EXISTING"),SUMIFS('Existing Customers'!$R:$R,'Existing Customers'!$H:$H,$BA21,'Existing Customers'!$A:$A,$BB$1)*$BB$4,0),0)</f>
        <v>0</v>
      </c>
      <c r="BH21" s="95">
        <f>IFERROR(IF(AND($BB$2&lt;&gt;"Enter Spend&gt;&gt;&gt;",BC2="EXISTING"),SUMIFS('Existing Customers'!$S:$S,'Existing Customers'!$H:$H,$BA21,'Existing Customers'!$A:$A,$BB$1),BR21*BB21),0)</f>
        <v>0</v>
      </c>
      <c r="BI21" s="95">
        <f>IFERROR(IF(AND($BB$2&lt;&gt;"Enter Spend&gt;&gt;&gt;",BC2="EXISTING"),SUMIFS('Existing Customers'!$U:$U,'Existing Customers'!$H:$H,$BA21,'Existing Customers'!$A:$A,$BB$1),BS21*BB21),0)</f>
        <v>0</v>
      </c>
      <c r="BJ21" s="1067" t="e">
        <f>_xlfn.CONCAT('Customer Inputs'!$AG$6,"_",BA21)</f>
        <v>#N/A</v>
      </c>
      <c r="BK21" s="1068">
        <f t="array" ref="BK21">IFERROR(INDEX('Margin Guidence Table'!$A$1:$AD$30000,MATCH(1,('Margin Guidence Table'!$A$1:$A$10000=$BJ21)*('Margin Guidence Table'!$I$1:$I$10000&lt;=ROUND($BB$3,0))*('Margin Guidence Table'!$J$1:$J$10000&gt;=ROUND($BB$3,0)),0),MATCH("DATA_POINTS",'Margin Guidence Table'!$A$1:$AG$1,0)),0)</f>
        <v>0</v>
      </c>
      <c r="BL21" s="1065" t="str">
        <f t="shared" si="27"/>
        <v>DEFAULT</v>
      </c>
      <c r="BM21" s="1065">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65">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69">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69">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69">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69">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69">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69">
        <f t="array" ref="BT21">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8"/>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72" t="e">
        <f t="shared" si="28"/>
        <v>#DIV/0!</v>
      </c>
      <c r="BX21" s="101" t="s">
        <v>95</v>
      </c>
      <c r="BY21" s="93">
        <f>IFERROR(IF(AND($BY$2&lt;&gt;"Enter Spend&gt;&gt;&gt;",BZ9="EXISTING"),SUMIFS('Existing Customers'!$Q:$Q,'Existing Customers'!$A:$A,$BY$1,'Existing Customers'!$H:$H,$BX21)*$BY$4,$BY$3*$BW21),0)</f>
        <v>0</v>
      </c>
      <c r="BZ21" s="88">
        <f>IFERROR(IF(AND($BY$2&lt;&gt;"Enter Spend&gt;&gt;&gt;",BZ2="EXISTING"),SUMIFS('Existing Customers'!$N:$N,'Existing Customers'!$A:$A,$BY$1,'Existing Customers'!$H:$H,$BX21)*$BY$4,$BY21/$CJ21),0)</f>
        <v>0</v>
      </c>
      <c r="CA21" s="94">
        <f>IFERROR(IF(AND($BY$2&lt;&gt;"Enter Spend&gt;&gt;&gt;",BZ2="EXISTING"),SUMIFS('Existing Customers'!$O:$O,'Existing Customers'!$H:$H,$BX21,'Existing Customers'!$A:$A,$BY$1)*$BY$4,$BZ21*$BY$8),0)</f>
        <v>0</v>
      </c>
      <c r="CB21" s="94">
        <f>IFERROR(IF(AND($BY$2&lt;&gt;"Enter Spend&gt;&gt;&gt;",BZ2="EXISTING"),SUMIFS('Existing Customers'!$P:$P,'Existing Customers'!$A:$A,$BY$1,'Existing Customers'!$H:$H,$BX21)*$BY$4,$BY21/$CK21),0)</f>
        <v>0</v>
      </c>
      <c r="CC21" s="95">
        <f>IFERROR(IF(AND($BY$2&lt;&gt;"Enter Spend&gt;&gt;&gt;",BZ2="EXISTING"),SUMIFS('Existing Customers'!$V:$V,'Existing Customers'!$H:$H,$BX21,'Existing Customers'!$A:$A,$BY$1)*$BY$4,0),0)</f>
        <v>0</v>
      </c>
      <c r="CD21" s="95">
        <f>IFERROR(IF(AND($BY$2&lt;&gt;"Enter Spend&gt;&gt;&gt;",BZ2="EXISTING"),SUMIFS('Existing Customers'!$R:$R,'Existing Customers'!$H:$H,$BX21,'Existing Customers'!$A:$A,$BY$1)*$BY$4,0),0)</f>
        <v>0</v>
      </c>
      <c r="CE21" s="1065">
        <f>IFERROR(IF(AND($BY$2&lt;&gt;"Enter Spend&gt;&gt;&gt;",BZ2="EXISTING"),SUMIFS('Existing Customers'!$S:$S,'Existing Customers'!$H:$H,$BX21,'Existing Customers'!$A:$A,$BY$1),CO21*BY21),0)</f>
        <v>0</v>
      </c>
      <c r="CF21" s="1065">
        <f>IFERROR(IF(AND($BY$2&lt;&gt;"Enter Spend&gt;&gt;&gt;",BZ2="EXISTING"),SUMIFS('Existing Customers'!$U:$U,'Existing Customers'!$H:$H,$BX21,'Existing Customers'!$A:$A,$BY$1),CP21*BY21),0)</f>
        <v>0</v>
      </c>
      <c r="CG21" s="1068" t="e">
        <f>_xlfn.CONCAT('Customer Inputs'!$AG$7,"_",BX21)</f>
        <v>#N/A</v>
      </c>
      <c r="CH21" s="1068">
        <f t="array" ref="CH21">IFERROR(INDEX('Margin Guidence Table'!$A$1:$AD$30000,MATCH(1,('Margin Guidence Table'!$A$1:$A$10000=$CG21)*('Margin Guidence Table'!$I$1:$I$10000&lt;=ROUND($BY$3,0))*('Margin Guidence Table'!$J$1:$J$10000&gt;=ROUND($BY$3,0)),0),MATCH("DATA_POINTS",'Margin Guidence Table'!$A$1:$AG$1,0)),0)</f>
        <v>0</v>
      </c>
      <c r="CI21" s="1065" t="str">
        <f t="shared" si="29"/>
        <v>DEFAULT</v>
      </c>
      <c r="CJ21" s="1065">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65">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69">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69">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69">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69">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69">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69">
        <f t="array" ref="CQ21">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8"/>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72" t="e">
        <f t="shared" si="30"/>
        <v>#DIV/0!</v>
      </c>
      <c r="CU21" s="101" t="s">
        <v>95</v>
      </c>
      <c r="CV21" s="93">
        <f>IFERROR(IF(AND($CV$2&lt;&gt;"Enter Spend&gt;&gt;&gt;",CW9="EXISTING"),SUMIFS('Existing Customers'!$Q:$Q,'Existing Customers'!$A:$A,$CV$1,'Existing Customers'!$H:$H,$CU21)*$CV$4,$CV$3*$CT21),0)</f>
        <v>0</v>
      </c>
      <c r="CW21" s="88">
        <f>IFERROR(IF(AND($CV$2&lt;&gt;"Enter Spend&gt;&gt;&gt;",CW2="EXISTING"),SUMIFS('Existing Customers'!$N:$N,'Existing Customers'!$A:$A,$CV$1,'Existing Customers'!$H:$H,$CU21)*$CV$4,$CV21/$DG21),0)</f>
        <v>0</v>
      </c>
      <c r="CX21" s="94">
        <f>IFERROR(IF(AND($CV$2&lt;&gt;"Enter Spend&gt;&gt;&gt;",BC28="EXISTING"),SUMIFS('Existing Customers'!$O:$O,'Existing Customers'!$H:$H,$CU21,'Existing Customers'!$A:$A,$CV$1)*$CV$4,$CW21*$CV$8),0)</f>
        <v>0</v>
      </c>
      <c r="CY21" s="94">
        <f>IFERROR(IF(AND($CV$2&lt;&gt;"Enter Spend&gt;&gt;&gt;",CW2="EXISTING"),SUMIFS('Existing Customers'!$P:$P,'Existing Customers'!$A:$A,$CV$1,'Existing Customers'!$H:$H,$CU21)*$CV$4,$CV21/$DH21),0)</f>
        <v>0</v>
      </c>
      <c r="CZ21" s="95">
        <f>IFERROR(IF(AND($CV$2&lt;&gt;"Enter Spend&gt;&gt;&gt;",CW2="EXISTING"),SUMIFS('Existing Customers'!$V:$V,'Existing Customers'!$H:$H,$CU21,'Existing Customers'!$A:$A,$CV$1)*$CV$4,0),0)</f>
        <v>0</v>
      </c>
      <c r="DA21" s="95">
        <f>IFERROR(IF(AND($CV$2&lt;&gt;"Enter Spend&gt;&gt;&gt;",CW2="EXISTING"),SUMIFS('Existing Customers'!$R:$R,'Existing Customers'!$H:$H,$BA21,'Existing Customers'!$A:$A,$CV$1)*$CV$4,0),0)</f>
        <v>0</v>
      </c>
      <c r="DB21" s="1065">
        <f>IFERROR(IF(AND($CV$2&lt;&gt;"Enter Spend&gt;&gt;&gt;",CW2="EXISTING"),SUMIFS('Existing Customers'!$S:$S,'Existing Customers'!$H:$H,$CU21,'Existing Customers'!$A:$A,$CV$1),DL21*CV21),0)</f>
        <v>0</v>
      </c>
      <c r="DC21" s="1065">
        <f>IFERROR(IF(AND($CV$2&lt;&gt;"Enter Spend&gt;&gt;&gt;",CW2="EXISTING"),SUMIFS('Existing Customers'!$U:$U,'Existing Customers'!$H:$H,$CU21,'Existing Customers'!$A:$A,$CV$1),DM21*CV21),0)</f>
        <v>0</v>
      </c>
      <c r="DD21" s="1068" t="e">
        <f>_xlfn.CONCAT('Customer Inputs'!$AG$8,"_",CU21)</f>
        <v>#N/A</v>
      </c>
      <c r="DE21" s="1068">
        <f t="array" ref="DE21">IFERROR(INDEX('Margin Guidence Table'!$A$1:$AD$30000,MATCH(1,('Margin Guidence Table'!$A$1:$A$10000=DD21)*('Margin Guidence Table'!$I$1:$I$10000&lt;=ROUND($CV$3,0))*('Margin Guidence Table'!$J$1:$J$10000&gt;=ROUND($CV$3,0)),0),MATCH("DATA_POINTS",'Margin Guidence Table'!$A$1:$AG$1,0)),0)</f>
        <v>0</v>
      </c>
      <c r="DF21" s="1065" t="str">
        <f t="shared" si="31"/>
        <v>DEFAULT</v>
      </c>
      <c r="DG21" s="1065">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65">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69">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69">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69">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69">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69">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69">
        <f t="array" ref="DN21">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8"/>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72" t="e">
        <f t="shared" si="32"/>
        <v>#DIV/0!</v>
      </c>
      <c r="DR21" s="101" t="s">
        <v>95</v>
      </c>
      <c r="DS21" s="93">
        <f>IFERROR(IF(AND($DS$2&lt;&gt;"Enter Spend&gt;&gt;&gt;",DT9="EXISTING"),SUMIFS('Existing Customers'!$Q:$Q,'Existing Customers'!$A:$A,$DS$1,'Existing Customers'!$H:$H,$DR21)*$DS$4,$DS$3*$DQ21),0)</f>
        <v>0</v>
      </c>
      <c r="DT21" s="88">
        <f>IFERROR(IF(AND($DS$2&lt;&gt;"Enter Spend&gt;&gt;&gt;",DT2="EXISTING"),SUMIFS('Existing Customers'!$N:$N,'Existing Customers'!$A:$A,$DS$1,'Existing Customers'!$H:$H,$DR21)*$DS$4,$DS21/$ED21),0)</f>
        <v>0</v>
      </c>
      <c r="DU21" s="94">
        <f>IFERROR(IF(AND($DS$2&lt;&gt;"Enter Spend&gt;&gt;&gt;",DT2="EXISTING"),SUMIFS('Existing Customers'!$O:$O,'Existing Customers'!$H:$H,$DR21,'Existing Customers'!$A:$A,$DS$1)*$DS$4,$DT21*$DS$8),0)</f>
        <v>0</v>
      </c>
      <c r="DV21" s="94">
        <f>IFERROR(IF(AND($DS$2&lt;&gt;"Enter Spend&gt;&gt;&gt;",DT2="EXISTING"),SUMIFS('Existing Customers'!$P:$P,'Existing Customers'!$A:$A,$DS$1,'Existing Customers'!$H:$H,$DR21)*$DS$4,$DS21/$EE21),0)</f>
        <v>0</v>
      </c>
      <c r="DW21" s="95">
        <f>IFERROR(IF(AND($DS$2&lt;&gt;"Enter Spend&gt;&gt;&gt;",EQ2="EXISTING"),SUMIFS('Existing Customers'!$V:$V,'Existing Customers'!$H:$H,$DR21,'Existing Customers'!$A:$A,$DS$1)*$DS$4,0),0)</f>
        <v>0</v>
      </c>
      <c r="DX21" s="95">
        <f>IFERROR(IF(AND($DS$2&lt;&gt;"Enter Spend&gt;&gt;&gt;",DT2="EXISTING"),SUMIFS('Existing Customers'!$R:$R,'Existing Customers'!$H:$H,$DR21,'Existing Customers'!$A:$A,$DS$1)*$DS$4,0),0)</f>
        <v>0</v>
      </c>
      <c r="DY21" s="1065">
        <f>IFERROR(IF(AND($DS$2&lt;&gt;"Enter Spend&gt;&gt;&gt;",DT2="EXISTING"),SUMIFS('Existing Customers'!$S:$S,'Existing Customers'!$H:$H,$DT21,'Existing Customers'!$A:$A,$DS$1),EI21*DS21),0)</f>
        <v>0</v>
      </c>
      <c r="DZ21" s="1065">
        <f>IFERROR(IF(AND($DS$2&lt;&gt;"Enter Spend&gt;&gt;&gt;",DT2="EXISTING"),SUMIFS('Existing Customers'!$U:$U,'Existing Customers'!$H:$H,$DR21,'Existing Customers'!$A:$A,$DS$1),EJ21*DS21),0)</f>
        <v>0</v>
      </c>
      <c r="EA21" s="1068" t="e">
        <f>_xlfn.CONCAT('Customer Inputs'!$AG$9,"_",DR21)</f>
        <v>#N/A</v>
      </c>
      <c r="EB21" s="1068">
        <f t="array" ref="EB21">IFERROR(INDEX('Margin Guidence Table'!$A$1:$AD$30000,MATCH(1,('Margin Guidence Table'!$A$1:$A$10000=EA21)*('Margin Guidence Table'!$I$1:$I$10000&lt;=ROUND($DS$3,0))*('Margin Guidence Table'!$J$1:$J$10000&gt;=ROUND($DS$3,0)),0),MATCH("DATA_POINTS",'Margin Guidence Table'!$A$1:$AG$1,0)),0)</f>
        <v>0</v>
      </c>
      <c r="EC21" s="1065" t="str">
        <f t="shared" si="33"/>
        <v>DEFAULT</v>
      </c>
      <c r="ED21" s="1065">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65">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69">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69">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69">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69">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69">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69">
        <f t="array" ref="EK21">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8"/>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72" t="e">
        <f t="shared" si="34"/>
        <v>#DIV/0!</v>
      </c>
      <c r="EO21" s="101" t="s">
        <v>95</v>
      </c>
      <c r="EP21" s="93">
        <f>IFERROR(IF(AND($EP$2&lt;&gt;"Enter Spend&gt;&gt;&gt;",EQ9="EXISTING"),SUMIFS('Existing Customers'!$Q:$Q,'Existing Customers'!$A:$A,$EP$1,'Existing Customers'!$H:$H,$EO21)*$EP$4,$EP$3*$EN21),0)</f>
        <v>0</v>
      </c>
      <c r="EQ21" s="88">
        <f>IFERROR(IF(AND($EP$2&lt;&gt;"Enter Spend&gt;&gt;&gt;",EQ2="EXISTING"),SUMIFS('Existing Customers'!$N:$N,'Existing Customers'!$A:$A,$EP$1,'Existing Customers'!$H:$H,$EO21)*$EP$4,$EP21/$FA21),0)</f>
        <v>0</v>
      </c>
      <c r="ER21" s="94">
        <f>IFERROR(IF(AND($EP$2&lt;&gt;"Enter Spend&gt;&gt;&gt;",EQ2="EXISTING"),SUMIFS('Existing Customers'!$O:$O,'Existing Customers'!$H:$H,$EO21,'Existing Customers'!$A:$A,$EP$1)*$EP$4,$EQ21*$EP$8),0)</f>
        <v>0</v>
      </c>
      <c r="ES21" s="94">
        <f>IFERROR(IF(AND($EP$2&lt;&gt;"Enter Spend&gt;&gt;&gt;",EQ2="EXISTING"),SUMIFS('Existing Customers'!$P:$P,'Existing Customers'!$A:$A,$EP$1,'Existing Customers'!$H:$H,$EO21)*$EP$4,$EP21/$FB21),0)</f>
        <v>0</v>
      </c>
      <c r="ET21" s="95">
        <f>IFERROR(IF(AND($EP$2&lt;&gt;"Enter Spend&gt;&gt;&gt;",EQ2="EXISTING"),SUMIFS('Existing Customers'!$V:$V,'Existing Customers'!$H:$H,$EO21,'Existing Customers'!$A:$A,$EP$1)*$EP$4,0),0)</f>
        <v>0</v>
      </c>
      <c r="EU21" s="95">
        <f>IFERROR(IF(AND($EP$2&lt;&gt;"Enter Spend&gt;&gt;&gt;",EQ2="EXISTING"),SUMIFS('Existing Customers'!$R:$R,'Existing Customers'!$H:$H,$EO21,'Existing Customers'!$A:$A,$EP$1)*$EP$4,0),0)</f>
        <v>0</v>
      </c>
      <c r="EV21" s="1065">
        <f>IFERROR(IF(AND($EP$2&lt;&gt;"Enter Spend&gt;&gt;&gt;",EQ2="EXISTING"),SUMIFS('Existing Customers'!$S:$S,'Existing Customers'!$H:$H,$EO21,'Existing Customers'!$A:$A,$EP$1),FF21*EP21),0)</f>
        <v>0</v>
      </c>
      <c r="EW21" s="1065">
        <f>IFERROR(IF(AND($EP$2&lt;&gt;"Enter Spend&gt;&gt;&gt;",EQ2="EXISTING"),SUMIFS('Existing Customers'!$U:$U,'Existing Customers'!$H:$H,$EO21,'Existing Customers'!$A:$A,$EP$1),FG21*EP21),0)</f>
        <v>0</v>
      </c>
      <c r="EX21" s="1068" t="e">
        <f>_xlfn.CONCAT('Customer Inputs'!$AG$10,"_",EO21)</f>
        <v>#N/A</v>
      </c>
      <c r="EY21" s="1068">
        <f t="array" ref="EY21">IFERROR(INDEX('Margin Guidence Table'!$A$1:$AD$30000,MATCH(1,('Margin Guidence Table'!$A$1:$A$10000=EX21)*('Margin Guidence Table'!$I$1:$I$10000&lt;=ROUND($EP$3,0))*('Margin Guidence Table'!$J$1:$J$10000&gt;=ROUND($EP$3,0)),0),MATCH("DATA_POINTS",'Margin Guidence Table'!$A$1:$AG$1,0)),0)</f>
        <v>0</v>
      </c>
      <c r="EZ21" s="1065" t="str">
        <f t="shared" si="35"/>
        <v>DEFAULT</v>
      </c>
      <c r="FA21" s="1065">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65"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69">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69">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69">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69">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69">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69">
        <f t="array" ref="FH21">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8"/>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72" t="e">
        <f t="shared" si="36"/>
        <v>#DIV/0!</v>
      </c>
      <c r="FL21" s="101" t="s">
        <v>95</v>
      </c>
      <c r="FM21" s="93">
        <f>IFERROR(IF(AND($FM$2&lt;&gt;"Enter Spend&gt;&gt;&gt;",FN9="EXISTING"),SUMIFS('Existing Customers'!$Q:$Q,'Existing Customers'!$A:$A,$FM$1,'Existing Customers'!$H:$H,$FL21)*$FM$4,$FM$3*$FK21),0)</f>
        <v>0</v>
      </c>
      <c r="FN21" s="88">
        <f>IFERROR(IF(AND($FM$2&lt;&gt;"Enter Spend&gt;&gt;&gt;",FN2="EXISTING"),SUMIFS('Existing Customers'!$N:$N,'Existing Customers'!$A:$A,$FM$1,'Existing Customers'!$H:$H,$FL21)*$FM$4,$FM21/$FX21),0)</f>
        <v>0</v>
      </c>
      <c r="FO21" s="94">
        <f>IFERROR(IF(AND($FM$2&lt;&gt;"Enter Spend&gt;&gt;&gt;",FN2="EXISTING"),SUMIFS('Existing Customers'!$O:$O,'Existing Customers'!$H:$H,$FL21,'Existing Customers'!$A:$A,$FM$1)*$FM$4,$FN21*$FM$8),0)</f>
        <v>0</v>
      </c>
      <c r="FP21" s="94">
        <f>IFERROR(IF(AND($FM$2&lt;&gt;"Enter Spend&gt;&gt;&gt;",FN2="EXISTING"),SUMIFS('Existing Customers'!$P:$P,'Existing Customers'!$A:$A,$FM$1,'Existing Customers'!$H:$H,$FL21)*$FM$4,$FM21/$FY21),0)</f>
        <v>0</v>
      </c>
      <c r="FQ21" s="95">
        <f>IFERROR(IF(AND($FM$2&lt;&gt;"Enter Spend&gt;&gt;&gt;",FN2="EXISTING"),SUMIFS('Existing Customers'!$V:$V,'Existing Customers'!$H:$H,$FL21,'Existing Customers'!$A:$A,$FM$1)*$FM$4,0),0)</f>
        <v>0</v>
      </c>
      <c r="FR21" s="95">
        <f>IFERROR(IF(AND($FM$2&lt;&gt;"Enter Spend&gt;&gt;&gt;",FN2="EXISTING"),SUMIFS('Existing Customers'!$R:$R,'Existing Customers'!$H:$H,$FL21,'Existing Customers'!$A:$A,$FM$1)*$FM$4,0),0)</f>
        <v>0</v>
      </c>
      <c r="FS21" s="1065">
        <f>IFERROR(IF(AND($FM$2&lt;&gt;"Enter Spend&gt;&gt;&gt;",FN2="EXISTING"),SUMIFS('Existing Customers'!$S:$S,'Existing Customers'!$H:$H,$FL21,'Existing Customers'!$A:$A,$FM$1),GC21*FM21),0)</f>
        <v>0</v>
      </c>
      <c r="FT21" s="1065">
        <f>IFERROR(IF(AND($FM$2&lt;&gt;"Enter Spend&gt;&gt;&gt;",FN2="EXISTING"),SUMIFS('Existing Customers'!$U:$U,'Existing Customers'!$H:$H,$FL21,'Existing Customers'!$A:$A,$FM$1),GD21*FM21),0)</f>
        <v>0</v>
      </c>
      <c r="FU21" s="1068" t="e">
        <f>_xlfn.CONCAT('Customer Inputs'!$AG$11,"_",FL21)</f>
        <v>#N/A</v>
      </c>
      <c r="FV21" s="1068">
        <f t="array" ref="FV21">IFERROR(INDEX('Margin Guidence Table'!$A$1:$AD$30000,MATCH(1,('Margin Guidence Table'!$A$1:$A$10000=FU21)*('Margin Guidence Table'!$I$1:$I$10000&lt;=ROUND($FM$3,0))*('Margin Guidence Table'!$J$1:$J$10000&gt;=ROUND($FM$3,0)),0),MATCH("DATA_POINTS",'Margin Guidence Table'!$A$1:$AG$1,0)),0)</f>
        <v>0</v>
      </c>
      <c r="FW21" s="1065" t="str">
        <f t="shared" si="37"/>
        <v>DEFAULT</v>
      </c>
      <c r="FX21" s="1065">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65">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69">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69">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69">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69">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69">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69">
        <f t="array" ref="GE21">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8"/>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72" t="e">
        <f t="shared" si="38"/>
        <v>#DIV/0!</v>
      </c>
      <c r="GI21" s="101" t="s">
        <v>95</v>
      </c>
      <c r="GJ21" s="93">
        <f>IFERROR(IF(AND($GJ$2&lt;&gt;"Enter Spend&gt;&gt;&gt;",GK9="EXISTING"),SUMIFS('Existing Customers'!$Q:$Q,'Existing Customers'!$A:$A,$GJ$1,'Existing Customers'!$H:$H,$GI21)*$GJ$4,$GJ$3*$GH21),0)</f>
        <v>0</v>
      </c>
      <c r="GK21" s="88">
        <f>IFERROR(IF(AND($GJ$2&lt;&gt;"Enter Spend&gt;&gt;&gt;",GK2="EXISTING"),SUMIFS('Existing Customers'!$N:$N,'Existing Customers'!$A:$A,$GJ$1,'Existing Customers'!$H:$H,$GI21)*$GJ$4,$GJ21/$GU21),0)</f>
        <v>0</v>
      </c>
      <c r="GL21" s="94">
        <f>IFERROR(IF(AND($GJ$2&lt;&gt;"Enter Spend&gt;&gt;&gt;",GK2="EXISTING"),SUMIFS('Existing Customers'!$O:$O,'Existing Customers'!$H:$H,$GI21,'Existing Customers'!$A:$A,$GJ$1)*$GJ$4,$GK21*$GJ$8),0)</f>
        <v>0</v>
      </c>
      <c r="GM21" s="94">
        <f>IFERROR(IF(AND($GJ$2&lt;&gt;"Enter Spend&gt;&gt;&gt;",GK2="EXISTING"),SUMIFS('Existing Customers'!$P:$P,'Existing Customers'!$A:$A,$GJ$1,'Existing Customers'!$H:$H,$GI21)*$GJ$4,$GJ21/$GV21),0)</f>
        <v>0</v>
      </c>
      <c r="GN21" s="95">
        <f>IFERROR(IF(AND($GJ$2&lt;&gt;"Enter Spend&gt;&gt;&gt;",GK2="EXISTING"),SUMIFS('Existing Customers'!$V:$V,'Existing Customers'!$H:$H,$GI21,'Existing Customers'!$A:$A,$GJ$1)*$GJ$4,0),0)</f>
        <v>0</v>
      </c>
      <c r="GO21" s="95">
        <f>IFERROR(IF(AND($GJ$2&lt;&gt;"Enter Spend&gt;&gt;&gt;",GK2="EXISTING"),SUMIFS('Existing Customers'!$R:$R,'Existing Customers'!$H:$H,$GI21,'Existing Customers'!$A:$A,$GJ$1)*$GJ$4,0),0)</f>
        <v>0</v>
      </c>
      <c r="GP21" s="1065">
        <f>IFERROR(IF(AND($GJ$2&lt;&gt;"Enter Spend&gt;&gt;&gt;",GK2="EXISTING"),SUMIFS('Existing Customers'!$S:$S,'Existing Customers'!$H:$H,$GI21,'Existing Customers'!$A:$A,$GJ$1),GZ21*GJ21),0)</f>
        <v>0</v>
      </c>
      <c r="GQ21" s="1065">
        <f>IFERROR(IF(AND($GJ$2&lt;&gt;"Enter Spend&gt;&gt;&gt;",GK2="EXISTING"),SUMIFS('Existing Customers'!$U:$U,'Existing Customers'!$H:$H,$GI21,'Existing Customers'!$A:$A,$GJ$1),HA21*GJ21),0)</f>
        <v>0</v>
      </c>
      <c r="GR21" s="1068" t="e">
        <f>_xlfn.CONCAT('Customer Inputs'!$AG$12,"_",GI21)</f>
        <v>#N/A</v>
      </c>
      <c r="GS21" s="1068">
        <f t="array" ref="GS21">IFERROR(INDEX('Margin Guidence Table'!$A$1:$AD$30000,MATCH(1,('Margin Guidence Table'!$A$1:$A$10000=GR21)*('Margin Guidence Table'!$I$1:$I$10000&lt;=ROUND($GJ$3,0))*('Margin Guidence Table'!$J$1:$J$10000&gt;=ROUND($GJ$3,0)),0),MATCH("DATA_POINTS",'Margin Guidence Table'!$A$1:$AG$1,0)),0)</f>
        <v>0</v>
      </c>
      <c r="GT21" s="1065" t="str">
        <f t="shared" si="39"/>
        <v>DEFAULT</v>
      </c>
      <c r="GU21" s="1065">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65">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69">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69">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69">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69">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69">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69">
        <f t="array" ref="HB21">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8"/>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72" t="e">
        <f t="shared" si="40"/>
        <v>#DIV/0!</v>
      </c>
      <c r="HF21" s="101" t="s">
        <v>95</v>
      </c>
      <c r="HG21" s="93">
        <f>IFERROR(IF(AND($HG$2&lt;&gt;"Enter Spend&gt;&gt;&gt;",HH9="EXISTING"),SUMIFS('Existing Customers'!$Q:$Q,'Existing Customers'!$A:$A,$HG$1,'Existing Customers'!$H:$H,$HF21)*$HG$4,$HG$3*$HE21),0)</f>
        <v>0</v>
      </c>
      <c r="HH21" s="88">
        <f>IFERROR(IF(AND($HG$2&lt;&gt;"Enter Spend&gt;&gt;&gt;",HH2="EXISTING"),SUMIFS('Existing Customers'!$N:$N,'Existing Customers'!$A:$A,$HG$1,'Existing Customers'!$H:$H,$HF21)*$HG$4,$HG21/$HR21),0)</f>
        <v>0</v>
      </c>
      <c r="HI21" s="94">
        <f>IFERROR(IF(AND($HG$2&lt;&gt;"Enter Spend&gt;&gt;&gt;",HH2="EXISTING"),SUMIFS('Existing Customers'!$O:$O,'Existing Customers'!$H:$H,$HF21,'Existing Customers'!$A:$A,$HG$1)*$HG$4,$HH21*$HG$8),0)</f>
        <v>0</v>
      </c>
      <c r="HJ21" s="94">
        <f>IFERROR(IF(AND($HG$2&lt;&gt;"Enter Spend&gt;&gt;&gt;",HH2="EXISTING"),SUMIFS('Existing Customers'!$P:$P,'Existing Customers'!$A:$A,$HG$1,'Existing Customers'!$H:$H,$HF21)*$HG$4,$HG21/$HS21),0)</f>
        <v>0</v>
      </c>
      <c r="HK21" s="95">
        <f>IFERROR(IF(AND($HG$2&lt;&gt;"Enter Spend&gt;&gt;&gt;",HH2="EXISTING"),SUMIFS('Existing Customers'!$V:$V,'Existing Customers'!$H:$H,$HF21,'Existing Customers'!$A:$A,$HG$1)*$HG$4,0),0)</f>
        <v>0</v>
      </c>
      <c r="HL21" s="95">
        <f>IFERROR(IF(AND($HG$2&lt;&gt;"Enter Spend&gt;&gt;&gt;",HH2="EXISTING"),SUMIFS('Existing Customers'!$R:$R,'Existing Customers'!$H:$H,$HF21,'Existing Customers'!$A:$A,$HG$1)*$HG$4,0),0)</f>
        <v>0</v>
      </c>
      <c r="HM21" s="1065">
        <f>IFERROR(IF(AND($HG$2&lt;&gt;"Enter Spend&gt;&gt;&gt;",HH2="EXISTING"),SUMIFS('Existing Customers'!$S:$S,'Existing Customers'!$H:$H,$HF21,'Existing Customers'!$A:$A,$HG$1),HW21*HG21),0)</f>
        <v>0</v>
      </c>
      <c r="HN21" s="1065">
        <f>IFERROR(IF(AND($HG$2&lt;&gt;"Enter Spend&gt;&gt;&gt;",HH2="EXISTING"),SUMIFS('Existing Customers'!$U:$U,'Existing Customers'!$H:$H,$HF21,'Existing Customers'!$A:$A,$HG$1),HX21*HG21),0)</f>
        <v>0</v>
      </c>
      <c r="HO21" s="1068" t="e">
        <f>_xlfn.CONCAT('Customer Inputs'!$AG$13,"_",HF21)</f>
        <v>#N/A</v>
      </c>
      <c r="HP21" s="1068">
        <f t="array" ref="HP21">IFERROR(INDEX('Margin Guidence Table'!$A$1:$AD$30000,MATCH(1,('Margin Guidence Table'!$A$1:$A$10000=HO21)*('Margin Guidence Table'!$I$1:$I$10000&lt;=ROUND($HG$3,0))*('Margin Guidence Table'!$J$1:$J$10000&gt;=ROUND($HG$3,0)),0),MATCH("DATA_POINTS",'Margin Guidence Table'!$A$1:$AG$1,0)),0)</f>
        <v>0</v>
      </c>
      <c r="HQ21" s="1065" t="str">
        <f t="shared" si="41"/>
        <v>DEFAULT</v>
      </c>
      <c r="HR21" s="1065">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65">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69">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69">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69">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69">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69">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69">
        <f t="array" ref="HY21">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8"/>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72" t="e">
        <f t="shared" si="42"/>
        <v>#DIV/0!</v>
      </c>
      <c r="IC21" s="101" t="s">
        <v>95</v>
      </c>
      <c r="ID21" s="93">
        <f>IFERROR(IF(AND($ID$2&lt;&gt;"Enter Spend&gt;&gt;&gt;",IE9="EXISTING"),SUMIFS('Existing Customers'!$Q:$Q,'Existing Customers'!$A:$A,$ID$1,'Existing Customers'!$H:$H,$IC21)*$ID$4,$ID$3*$IB21),0)</f>
        <v>0</v>
      </c>
      <c r="IE21" s="88">
        <f>IFERROR(IF(AND($ID$2&lt;&gt;"Enter Spend&gt;&gt;&gt;",IE2="EXISTING"),SUMIFS('Existing Customers'!$N:$N,'Existing Customers'!$A:$A,$ID$1,'Existing Customers'!$H:$H,$IC21)*$ID$4,$ID21/$IO21),0)</f>
        <v>0</v>
      </c>
      <c r="IF21" s="94">
        <f>IFERROR(IF(AND($ID$2&lt;&gt;"Enter Spend&gt;&gt;&gt;",IE2="EXISTING"),SUMIFS('Existing Customers'!$O:$O,'Existing Customers'!$H:$H,$IC21,'Existing Customers'!$A:$A,$ID$1)*$ID$4,$IE21*$ID$8),0)</f>
        <v>0</v>
      </c>
      <c r="IG21" s="94">
        <f>IFERROR(IF(AND($ID$2&lt;&gt;"Enter Spend&gt;&gt;&gt;",IE2="EXISTING"),SUMIFS('Existing Customers'!$P:$P,'Existing Customers'!$A:$A,$ID$1,'Existing Customers'!$H:$H,$IC21)*$ID$4,$ID21/$IP21),0)</f>
        <v>0</v>
      </c>
      <c r="IH21" s="378">
        <f>IFERROR(IF(AND($ID$2&lt;&gt;"Enter Spend&gt;&gt;&gt;",IE2="EXISTING"),SUMIFS('Existing Customers'!$V:$V,'Existing Customers'!$H:$H,$IC21,'Existing Customers'!$A:$A,$ID$1)*$ID$4,0),0)</f>
        <v>0</v>
      </c>
      <c r="II21" s="95">
        <f>IFERROR(IF(AND($ID$2&lt;&gt;"Enter Spend&gt;&gt;&gt;",IE2="EXISTING"),SUMIFS('Existing Customers'!$R:$R,'Existing Customers'!$H:$H,$IC21,'Existing Customers'!$A:$A,$ID$1)*$ID$4,0),0)</f>
        <v>0</v>
      </c>
      <c r="IJ21" s="1065">
        <f>IFERROR(IF(AND($ID$2&lt;&gt;"Enter Spend&gt;&gt;&gt;",IE2="EXISTING"),SUMIFS('Existing Customers'!$S:$S,'Existing Customers'!$H:$H,$IC21,'Existing Customers'!$A:$A,$ID$1),IT21*ID21),0)</f>
        <v>0</v>
      </c>
      <c r="IK21" s="1065">
        <f>IFERROR(IF(AND($ID$2&lt;&gt;"Enter Spend&gt;&gt;&gt;",IE2="EXISTING"),SUMIFS('Existing Customers'!$U:$U,'Existing Customers'!$H:$H,$IC21,'Existing Customers'!$A:$A,$ID$1),IU21*ID21),0)</f>
        <v>0</v>
      </c>
      <c r="IL21" s="1068" t="e">
        <f>_xlfn.CONCAT('Customer Inputs'!$AG$14,"_",IC21)</f>
        <v>#N/A</v>
      </c>
      <c r="IM21" s="1068">
        <f t="array" ref="IM21">IFERROR(INDEX('Margin Guidence Table'!$A$1:$AD$30000,MATCH(1,('Margin Guidence Table'!$A$1:$A$10000=IL21)*('Margin Guidence Table'!$I$1:$I$10000&lt;=ROUND($ID$3,0))*('Margin Guidence Table'!$J$1:$J$10000&gt;=ROUND($ID$3,0)),0),MATCH("DATA_POINTS",'Margin Guidence Table'!$A$1:$AG$1,0)),0)</f>
        <v>0</v>
      </c>
      <c r="IN21" s="1065" t="str">
        <f t="shared" si="43"/>
        <v>DEFAULT</v>
      </c>
      <c r="IO21" s="1065">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65">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69">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69">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69">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69">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69">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69">
        <f t="array" ref="IV21">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8"/>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72" t="e">
        <f t="shared" si="44"/>
        <v>#DIV/0!</v>
      </c>
      <c r="IZ21" s="101" t="s">
        <v>95</v>
      </c>
      <c r="JA21" s="93">
        <f>IFERROR(IF(AND($JA$2&lt;&gt;"Enter Spend&gt;&gt;&gt;",JB9="EXISTING"),SUMIFS('Existing Customers'!$Q:$Q,'Existing Customers'!$A:$A,$JA$1,'Existing Customers'!$H:$H,$IZ21)*$JA$4,$JA$3*$IY21),0)</f>
        <v>0</v>
      </c>
      <c r="JB21" s="88">
        <f>IFERROR(IF(AND($JA$2&lt;&gt;"Enter Spend&gt;&gt;&gt;",JB2="EXISTING"),SUMIFS('Existing Customers'!$N:$N,'Existing Customers'!$A:$A,$JA$1,'Existing Customers'!$H:$H,$IZ21)*$JA$4,$JA21/$JL21),0)</f>
        <v>0</v>
      </c>
      <c r="JC21" s="94">
        <f>IFERROR(IF(AND($JA$2&lt;&gt;"Enter Spend&gt;&gt;&gt;",JB2="EXISTING"),SUMIFS('Existing Customers'!$O:$O,'Existing Customers'!$H:$H,$IZ21,'Existing Customers'!$A:$A,$JA$1)*$JA$4,$JB21*$JA$8),0)</f>
        <v>0</v>
      </c>
      <c r="JD21" s="94">
        <f>IFERROR(IF(AND($JA$2&lt;&gt;"Enter Spend&gt;&gt;&gt;",JB2="EXISTING"),SUMIFS('Existing Customers'!$P:$P,'Existing Customers'!$A:$A,$JA$1,'Existing Customers'!$H:$H,$IZ21)*$JA$4,$JA21/$JM21),0)</f>
        <v>0</v>
      </c>
      <c r="JE21" s="378">
        <f>IFERROR(IF(AND($JA$2&lt;&gt;"Enter Spend&gt;&gt;&gt;",JB2="EXISTING"),SUMIFS('Existing Customers'!$V:$V,'Existing Customers'!$H:$H,$IZ21,'Existing Customers'!$A:$A,$JA$1)*$JA$4,0),0)</f>
        <v>0</v>
      </c>
      <c r="JF21" s="95">
        <f>IFERROR(IF(AND($JA$2&lt;&gt;"Enter Spend&gt;&gt;&gt;",JB2="EXISTING"),SUMIFS('Existing Customers'!$R:$R,'Existing Customers'!$H:$H,$IZ21,'Existing Customers'!$A:$A,$JA$1)*$JA$4,0),0)</f>
        <v>0</v>
      </c>
      <c r="JG21" s="1065">
        <f>IFERROR(IF(AND($JA$2&lt;&gt;"Enter Spend&gt;&gt;&gt;",JB2="EXISTING"),SUMIFS('Existing Customers'!$S:$S,'Existing Customers'!$H:$H,$IZ21,'Existing Customers'!$A:$A,$JA$1),JQ21*JA21),0)</f>
        <v>0</v>
      </c>
      <c r="JH21" s="1065">
        <f>IFERROR(IF(AND($JA$2&lt;&gt;"Enter Spend&gt;&gt;&gt;",JB2="EXISTING"),SUMIFS('Existing Customers'!$U:$U,'Existing Customers'!$H:$H,$IZ21,'Existing Customers'!$A:$A,$JA$1),JR21*JA21),0)</f>
        <v>0</v>
      </c>
      <c r="JI21" s="1068" t="e">
        <f>_xlfn.CONCAT('Customer Inputs'!$AG$15,"_",IZ21)</f>
        <v>#N/A</v>
      </c>
      <c r="JJ21" s="1068">
        <f t="array" ref="JJ21">IFERROR(INDEX('Margin Guidence Table'!$A$1:$AD$30000,MATCH(1,('Margin Guidence Table'!$A$1:$A$10000=JI21)*('Margin Guidence Table'!$I$1:$I$10000&lt;=ROUND($JA$3,0))*('Margin Guidence Table'!$J$1:$J$10000&gt;=ROUND($JA$3,0)),0),MATCH("DATA_POINTS",'Margin Guidence Table'!$A$1:$AG$1,0)),0)</f>
        <v>0</v>
      </c>
      <c r="JK21" s="1065" t="str">
        <f t="shared" si="45"/>
        <v>DEFAULT</v>
      </c>
      <c r="JL21" s="1065">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65">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69">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69">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69">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69">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69">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69">
        <f t="array" ref="JS21">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101" t="s">
        <v>95</v>
      </c>
      <c r="JV21" s="96"/>
      <c r="JW21" s="88"/>
      <c r="JX21" s="88"/>
      <c r="JY21" s="88"/>
      <c r="JZ21" s="113"/>
      <c r="KA21" s="97"/>
      <c r="KB21" s="128"/>
      <c r="KD21" s="101" t="s">
        <v>95</v>
      </c>
      <c r="KE21" s="96"/>
      <c r="KF21" s="88"/>
      <c r="KG21" s="88"/>
      <c r="KH21" s="88"/>
      <c r="KI21" s="113"/>
      <c r="KJ21" s="97"/>
    </row>
    <row r="22" spans="2:296" ht="15.75" thickBot="1" x14ac:dyDescent="0.3">
      <c r="B22" s="101" t="s">
        <v>96</v>
      </c>
      <c r="C22" s="451">
        <f t="shared" si="11"/>
        <v>0</v>
      </c>
      <c r="D22" s="467">
        <f t="shared" si="12"/>
        <v>0</v>
      </c>
      <c r="E22" s="467">
        <f t="shared" si="13"/>
        <v>0</v>
      </c>
      <c r="F22" s="467">
        <f t="shared" si="14"/>
        <v>0</v>
      </c>
      <c r="G22" s="468">
        <f t="shared" si="15"/>
        <v>0</v>
      </c>
      <c r="H22" s="467">
        <f t="shared" si="16"/>
        <v>0</v>
      </c>
      <c r="I22" s="1061" t="e">
        <f t="shared" si="0"/>
        <v>#DIV/0!</v>
      </c>
      <c r="J22" s="1061" t="e">
        <f t="shared" si="1"/>
        <v>#DIV/0!</v>
      </c>
      <c r="K22" s="1061" t="e">
        <f t="shared" si="2"/>
        <v>#DIV/0!</v>
      </c>
      <c r="L22" s="467" t="e">
        <f t="shared" si="3"/>
        <v>#DIV/0!</v>
      </c>
      <c r="M22" s="467" t="e">
        <f t="shared" si="17"/>
        <v>#DIV/0!</v>
      </c>
      <c r="N22" s="1062" t="e">
        <f t="shared" si="4"/>
        <v>#DIV/0!</v>
      </c>
      <c r="P22" t="str">
        <f>'PIM Model'!E18</f>
        <v>INCLUDE</v>
      </c>
      <c r="Q22">
        <f t="shared" si="18"/>
        <v>0</v>
      </c>
      <c r="R22">
        <f t="shared" si="19"/>
        <v>0</v>
      </c>
      <c r="S22" s="101" t="s">
        <v>96</v>
      </c>
      <c r="T22" s="96">
        <f t="shared" si="20"/>
        <v>0</v>
      </c>
      <c r="U22" s="88">
        <f t="shared" si="5"/>
        <v>0</v>
      </c>
      <c r="V22" s="88">
        <f t="shared" si="6"/>
        <v>0</v>
      </c>
      <c r="W22" s="88">
        <f t="shared" si="7"/>
        <v>0</v>
      </c>
      <c r="X22" s="113">
        <f t="shared" si="8"/>
        <v>0</v>
      </c>
      <c r="Y22" s="116">
        <f t="shared" si="21"/>
        <v>0</v>
      </c>
      <c r="Z22" s="376"/>
      <c r="AA22" s="101" t="s">
        <v>96</v>
      </c>
      <c r="AB22" s="455">
        <f t="shared" si="9"/>
        <v>0</v>
      </c>
      <c r="AC22" s="456">
        <f t="shared" si="9"/>
        <v>0</v>
      </c>
      <c r="AD22" s="456">
        <f t="shared" si="9"/>
        <v>0</v>
      </c>
      <c r="AE22" s="457">
        <f t="shared" si="22"/>
        <v>0</v>
      </c>
      <c r="AF22" s="458">
        <f t="shared" si="23"/>
        <v>0</v>
      </c>
      <c r="AG22" s="376"/>
      <c r="AH22" s="101" t="s">
        <v>96</v>
      </c>
      <c r="AI22" s="455">
        <f t="shared" si="10"/>
        <v>0</v>
      </c>
      <c r="AJ22" s="452">
        <f t="shared" si="24"/>
        <v>0</v>
      </c>
      <c r="AK22" s="458"/>
      <c r="AL22" s="376"/>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76">
        <f>VLOOKUP($AH22&amp;$AM22,'IMargin Quartiles'!$A:$F,6,FALSE)</f>
        <v>0.18</v>
      </c>
      <c r="AO22" s="376"/>
      <c r="AP22"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Q22" s="376" t="e">
        <f t="shared" si="25"/>
        <v>#DIV/0!</v>
      </c>
      <c r="AR22">
        <f>'PIM Model'!C18</f>
        <v>0</v>
      </c>
      <c r="AS22" s="376"/>
      <c r="AT22" s="376"/>
      <c r="AU22" s="376" t="e">
        <f t="shared" si="46"/>
        <v>#DIV/0!</v>
      </c>
      <c r="AV22" s="376"/>
      <c r="AW22" s="376"/>
      <c r="AX22" s="107">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72" t="e">
        <f t="shared" si="26"/>
        <v>#DIV/0!</v>
      </c>
      <c r="BA22" s="101" t="s">
        <v>96</v>
      </c>
      <c r="BB22" s="93">
        <f>IFERROR(IF(AND($BB$2&lt;&gt;"Enter Spend&gt;&gt;&gt;",BC10="EXISTING"),SUMIFS('Existing Customers'!$Q:$Q,'Existing Customers'!$A:$A,$BB$1,'Existing Customers'!$H:$H,$BA22)*$BB$4,$BB$3*$AZ22),0)</f>
        <v>0</v>
      </c>
      <c r="BC22" s="94">
        <f>IFERROR(IF(AND($BB$2&lt;&gt;"Enter Spend&gt;&gt;&gt;",BC2="EXISTING"),SUMIFS('Existing Customers'!$N:$N,'Existing Customers'!$A:$A,$BB$1,'Existing Customers'!$H:$H,$BA22)*$BB$4,$BB22/$BM22),0)</f>
        <v>0</v>
      </c>
      <c r="BD22" s="94">
        <f>IFERROR(IF(AND($BB$2&lt;&gt;"Enter Spend&gt;&gt;&gt;",BC2="EXISTING"),SUMIFS('Existing Customers'!$O:$O,'Existing Customers'!$H:$H,$BA22,'Existing Customers'!$A:$A,$BB$1)*$BB$4,$BC22*$BB$8),0)</f>
        <v>0</v>
      </c>
      <c r="BE22" s="94">
        <f>IFERROR(IF(AND($BB$2&lt;&gt;"Enter Spend&gt;&gt;&gt;",BC2="EXISTING"),SUMIFS('Existing Customers'!$P:$P,'Existing Customers'!$A:$A,$BB$1,'Existing Customers'!$H:$H,$BA22)*$BB$4,$BB22/$BN22),0)</f>
        <v>0</v>
      </c>
      <c r="BF22" s="378">
        <f>IFERROR(IF(AND($BB$2&lt;&gt;"Enter Spend&gt;&gt;&gt;",BC2="EXISTING"),SUMIFS('Existing Customers'!$V:$V,'Existing Customers'!$H:$H,$BA22,'Existing Customers'!$A:$A,$BB$1)*$BB$4,0),0)</f>
        <v>0</v>
      </c>
      <c r="BG22" s="95">
        <f>IFERROR(IF(AND($BB$2&lt;&gt;"Enter Spend&gt;&gt;&gt;",BC2="EXISTING"),SUMIFS('Existing Customers'!$R:$R,'Existing Customers'!$H:$H,$BA22,'Existing Customers'!$A:$A,$BB$1)*$BB$4,0),0)</f>
        <v>0</v>
      </c>
      <c r="BH22" s="95">
        <f>IFERROR(IF(AND($BB$2&lt;&gt;"Enter Spend&gt;&gt;&gt;",BC2="EXISTING"),SUMIFS('Existing Customers'!$S:$S,'Existing Customers'!$H:$H,$BA22,'Existing Customers'!$A:$A,$BB$1),BR22*BB22),0)</f>
        <v>0</v>
      </c>
      <c r="BI22" s="95">
        <f>IFERROR(IF(AND($BB$2&lt;&gt;"Enter Spend&gt;&gt;&gt;",BC2="EXISTING"),SUMIFS('Existing Customers'!$U:$U,'Existing Customers'!$H:$H,$BA22,'Existing Customers'!$A:$A,$BB$1),BS22*BB22),0)</f>
        <v>0</v>
      </c>
      <c r="BJ22" s="1067" t="e">
        <f>_xlfn.CONCAT('Customer Inputs'!$AG$6,"_",BA22)</f>
        <v>#N/A</v>
      </c>
      <c r="BK22" s="1068">
        <f t="array" ref="BK22">IFERROR(INDEX('Margin Guidence Table'!$A$1:$AD$30000,MATCH(1,('Margin Guidence Table'!$A$1:$A$10000=$BJ22)*('Margin Guidence Table'!$I$1:$I$10000&lt;=ROUND($BB$3,0))*('Margin Guidence Table'!$J$1:$J$10000&gt;=ROUND($BB$3,0)),0),MATCH("DATA_POINTS",'Margin Guidence Table'!$A$1:$AG$1,0)),0)</f>
        <v>0</v>
      </c>
      <c r="BL22" s="1065" t="str">
        <f t="shared" si="27"/>
        <v>DEFAULT</v>
      </c>
      <c r="BM22" s="1065">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65">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69">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69">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69">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69">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69">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69">
        <f t="array" ref="BT22">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8"/>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72" t="e">
        <f t="shared" si="28"/>
        <v>#DIV/0!</v>
      </c>
      <c r="BX22" s="101" t="s">
        <v>96</v>
      </c>
      <c r="BY22" s="93">
        <f>IFERROR(IF(AND($BY$2&lt;&gt;"Enter Spend&gt;&gt;&gt;",BZ10="EXISTING"),SUMIFS('Existing Customers'!$Q:$Q,'Existing Customers'!$A:$A,$BY$1,'Existing Customers'!$H:$H,$BX22)*$BY$4,$BY$3*$BW22),0)</f>
        <v>0</v>
      </c>
      <c r="BZ22" s="88">
        <f>IFERROR(IF(AND($BY$2&lt;&gt;"Enter Spend&gt;&gt;&gt;",BZ2="EXISTING"),SUMIFS('Existing Customers'!$N:$N,'Existing Customers'!$A:$A,$BY$1,'Existing Customers'!$H:$H,$BX22)*$BY$4,$BY22/$CJ22),0)</f>
        <v>0</v>
      </c>
      <c r="CA22" s="94">
        <f>IFERROR(IF(AND($BY$2&lt;&gt;"Enter Spend&gt;&gt;&gt;",BZ2="EXISTING"),SUMIFS('Existing Customers'!$O:$O,'Existing Customers'!$H:$H,$BX22,'Existing Customers'!$A:$A,$BY$1)*$BY$4,$BZ22*$BY$8),0)</f>
        <v>0</v>
      </c>
      <c r="CB22" s="94">
        <f>IFERROR(IF(AND($BY$2&lt;&gt;"Enter Spend&gt;&gt;&gt;",BZ2="EXISTING"),SUMIFS('Existing Customers'!$P:$P,'Existing Customers'!$A:$A,$BY$1,'Existing Customers'!$H:$H,$BX22)*$BY$4,$BY22/$CK22),0)</f>
        <v>0</v>
      </c>
      <c r="CC22" s="95">
        <f>IFERROR(IF(AND($BY$2&lt;&gt;"Enter Spend&gt;&gt;&gt;",BZ2="EXISTING"),SUMIFS('Existing Customers'!$V:$V,'Existing Customers'!$H:$H,$BX22,'Existing Customers'!$A:$A,$BY$1)*$BY$4,0),0)</f>
        <v>0</v>
      </c>
      <c r="CD22" s="95">
        <f>IFERROR(IF(AND($BY$2&lt;&gt;"Enter Spend&gt;&gt;&gt;",BZ2="EXISTING"),SUMIFS('Existing Customers'!$R:$R,'Existing Customers'!$H:$H,$BX22,'Existing Customers'!$A:$A,$BY$1)*$BY$4,0),0)</f>
        <v>0</v>
      </c>
      <c r="CE22" s="1065">
        <f>IFERROR(IF(AND($BY$2&lt;&gt;"Enter Spend&gt;&gt;&gt;",BZ2="EXISTING"),SUMIFS('Existing Customers'!$S:$S,'Existing Customers'!$H:$H,$BX22,'Existing Customers'!$A:$A,$BY$1),CO22*BY22),0)</f>
        <v>0</v>
      </c>
      <c r="CF22" s="1065">
        <f>IFERROR(IF(AND($BY$2&lt;&gt;"Enter Spend&gt;&gt;&gt;",BZ2="EXISTING"),SUMIFS('Existing Customers'!$U:$U,'Existing Customers'!$H:$H,$BX22,'Existing Customers'!$A:$A,$BY$1),CP22*BY22),0)</f>
        <v>0</v>
      </c>
      <c r="CG22" s="1068" t="e">
        <f>_xlfn.CONCAT('Customer Inputs'!$AG$7,"_",BX22)</f>
        <v>#N/A</v>
      </c>
      <c r="CH22" s="1068">
        <f t="array" ref="CH22">IFERROR(INDEX('Margin Guidence Table'!$A$1:$AD$30000,MATCH(1,('Margin Guidence Table'!$A$1:$A$10000=$CG22)*('Margin Guidence Table'!$I$1:$I$10000&lt;=ROUND($BY$3,0))*('Margin Guidence Table'!$J$1:$J$10000&gt;=ROUND($BY$3,0)),0),MATCH("DATA_POINTS",'Margin Guidence Table'!$A$1:$AG$1,0)),0)</f>
        <v>0</v>
      </c>
      <c r="CI22" s="1065" t="str">
        <f t="shared" si="29"/>
        <v>DEFAULT</v>
      </c>
      <c r="CJ22" s="1065">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65">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69">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69">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69">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69">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69">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69">
        <f t="array" ref="CQ22">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8"/>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72" t="e">
        <f t="shared" si="30"/>
        <v>#DIV/0!</v>
      </c>
      <c r="CU22" s="101" t="s">
        <v>96</v>
      </c>
      <c r="CV22" s="93">
        <f>IFERROR(IF(AND($CV$2&lt;&gt;"Enter Spend&gt;&gt;&gt;",CW10="EXISTING"),SUMIFS('Existing Customers'!$Q:$Q,'Existing Customers'!$A:$A,$CV$1,'Existing Customers'!$H:$H,$CU22)*$CV$4,$CV$3*$CT22),0)</f>
        <v>0</v>
      </c>
      <c r="CW22" s="88">
        <f>IFERROR(IF(AND($CV$2&lt;&gt;"Enter Spend&gt;&gt;&gt;",CW2="EXISTING"),SUMIFS('Existing Customers'!$N:$N,'Existing Customers'!$A:$A,$CV$1,'Existing Customers'!$H:$H,$CU22)*$CV$4,$CV22/$DG22),0)</f>
        <v>0</v>
      </c>
      <c r="CX22" s="94">
        <f>IFERROR(IF(AND($CV$2&lt;&gt;"Enter Spend&gt;&gt;&gt;",BC28="EXISTING"),SUMIFS('Existing Customers'!$O:$O,'Existing Customers'!$H:$H,$CU22,'Existing Customers'!$A:$A,$CV$1)*$CV$4,$CW22*$CV$8),0)</f>
        <v>0</v>
      </c>
      <c r="CY22" s="94">
        <f>IFERROR(IF(AND($CV$2&lt;&gt;"Enter Spend&gt;&gt;&gt;",CW2="EXISTING"),SUMIFS('Existing Customers'!$P:$P,'Existing Customers'!$A:$A,$CV$1,'Existing Customers'!$H:$H,$CU22)*$CV$4,$CV22/$DH22),0)</f>
        <v>0</v>
      </c>
      <c r="CZ22" s="95">
        <f>IFERROR(IF(AND($CV$2&lt;&gt;"Enter Spend&gt;&gt;&gt;",CW2="EXISTING"),SUMIFS('Existing Customers'!$V:$V,'Existing Customers'!$H:$H,$CU22,'Existing Customers'!$A:$A,$CV$1)*$CV$4,0),0)</f>
        <v>0</v>
      </c>
      <c r="DA22" s="95">
        <f>IFERROR(IF(AND($CV$2&lt;&gt;"Enter Spend&gt;&gt;&gt;",CW2="EXISTING"),SUMIFS('Existing Customers'!$R:$R,'Existing Customers'!$H:$H,$BA22,'Existing Customers'!$A:$A,$CV$1)*$CV$4,0),0)</f>
        <v>0</v>
      </c>
      <c r="DB22" s="1065">
        <f>IFERROR(IF(AND($CV$2&lt;&gt;"Enter Spend&gt;&gt;&gt;",CW2="EXISTING"),SUMIFS('Existing Customers'!$S:$S,'Existing Customers'!$H:$H,$CU22,'Existing Customers'!$A:$A,$CV$1),DL22*CV22),0)</f>
        <v>0</v>
      </c>
      <c r="DC22" s="1065">
        <f>IFERROR(IF(AND($CV$2&lt;&gt;"Enter Spend&gt;&gt;&gt;",CW2="EXISTING"),SUMIFS('Existing Customers'!$U:$U,'Existing Customers'!$H:$H,$CU22,'Existing Customers'!$A:$A,$CV$1),DM22*CV22),0)</f>
        <v>0</v>
      </c>
      <c r="DD22" s="1068" t="e">
        <f>_xlfn.CONCAT('Customer Inputs'!$AG$8,"_",CU22)</f>
        <v>#N/A</v>
      </c>
      <c r="DE22" s="1068">
        <f t="array" ref="DE22">IFERROR(INDEX('Margin Guidence Table'!$A$1:$AD$30000,MATCH(1,('Margin Guidence Table'!$A$1:$A$10000=DD22)*('Margin Guidence Table'!$I$1:$I$10000&lt;=ROUND($CV$3,0))*('Margin Guidence Table'!$J$1:$J$10000&gt;=ROUND($CV$3,0)),0),MATCH("DATA_POINTS",'Margin Guidence Table'!$A$1:$AG$1,0)),0)</f>
        <v>0</v>
      </c>
      <c r="DF22" s="1065" t="str">
        <f t="shared" si="31"/>
        <v>DEFAULT</v>
      </c>
      <c r="DG22" s="1065">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65">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69">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69">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69">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69">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69">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69">
        <f t="array" ref="DN22">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8"/>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72" t="e">
        <f t="shared" si="32"/>
        <v>#DIV/0!</v>
      </c>
      <c r="DR22" s="101" t="s">
        <v>96</v>
      </c>
      <c r="DS22" s="93">
        <f>IFERROR(IF(AND($DS$2&lt;&gt;"Enter Spend&gt;&gt;&gt;",DT10="EXISTING"),SUMIFS('Existing Customers'!$Q:$Q,'Existing Customers'!$A:$A,$DS$1,'Existing Customers'!$H:$H,$DR22)*$DS$4,$DS$3*$DQ22),0)</f>
        <v>0</v>
      </c>
      <c r="DT22" s="88">
        <f>IFERROR(IF(AND($DS$2&lt;&gt;"Enter Spend&gt;&gt;&gt;",DT2="EXISTING"),SUMIFS('Existing Customers'!$N:$N,'Existing Customers'!$A:$A,$DS$1,'Existing Customers'!$H:$H,$DR22)*$DS$4,$DS22/$ED22),0)</f>
        <v>0</v>
      </c>
      <c r="DU22" s="94">
        <f>IFERROR(IF(AND($DS$2&lt;&gt;"Enter Spend&gt;&gt;&gt;",DT2="EXISTING"),SUMIFS('Existing Customers'!$O:$O,'Existing Customers'!$H:$H,$DR22,'Existing Customers'!$A:$A,$DS$1)*$DS$4,$DT22*$DS$8),0)</f>
        <v>0</v>
      </c>
      <c r="DV22" s="94">
        <f>IFERROR(IF(AND($DS$2&lt;&gt;"Enter Spend&gt;&gt;&gt;",DT2="EXISTING"),SUMIFS('Existing Customers'!$P:$P,'Existing Customers'!$A:$A,$DS$1,'Existing Customers'!$H:$H,$DR22)*$DS$4,$DS22/$EE22),0)</f>
        <v>0</v>
      </c>
      <c r="DW22" s="95">
        <f>IFERROR(IF(AND($DS$2&lt;&gt;"Enter Spend&gt;&gt;&gt;",EQ2="EXISTING"),SUMIFS('Existing Customers'!$V:$V,'Existing Customers'!$H:$H,$DR22,'Existing Customers'!$A:$A,$DS$1)*$DS$4,0),0)</f>
        <v>0</v>
      </c>
      <c r="DX22" s="95">
        <f>IFERROR(IF(AND($DS$2&lt;&gt;"Enter Spend&gt;&gt;&gt;",DT2="EXISTING"),SUMIFS('Existing Customers'!$R:$R,'Existing Customers'!$H:$H,$DR22,'Existing Customers'!$A:$A,$DS$1)*$DS$4,0),0)</f>
        <v>0</v>
      </c>
      <c r="DY22" s="1065">
        <f>IFERROR(IF(AND($DS$2&lt;&gt;"Enter Spend&gt;&gt;&gt;",DT2="EXISTING"),SUMIFS('Existing Customers'!$S:$S,'Existing Customers'!$H:$H,$DT22,'Existing Customers'!$A:$A,$DS$1),EI22*DS22),0)</f>
        <v>0</v>
      </c>
      <c r="DZ22" s="1065">
        <f>IFERROR(IF(AND($DS$2&lt;&gt;"Enter Spend&gt;&gt;&gt;",DT2="EXISTING"),SUMIFS('Existing Customers'!$U:$U,'Existing Customers'!$H:$H,$DR22,'Existing Customers'!$A:$A,$DS$1),EJ22*DS22),0)</f>
        <v>0</v>
      </c>
      <c r="EA22" s="1068" t="e">
        <f>_xlfn.CONCAT('Customer Inputs'!$AG$9,"_",DR22)</f>
        <v>#N/A</v>
      </c>
      <c r="EB22" s="1068">
        <f t="array" ref="EB22">IFERROR(INDEX('Margin Guidence Table'!$A$1:$AD$30000,MATCH(1,('Margin Guidence Table'!$A$1:$A$10000=EA22)*('Margin Guidence Table'!$I$1:$I$10000&lt;=ROUND($DS$3,0))*('Margin Guidence Table'!$J$1:$J$10000&gt;=ROUND($DS$3,0)),0),MATCH("DATA_POINTS",'Margin Guidence Table'!$A$1:$AG$1,0)),0)</f>
        <v>0</v>
      </c>
      <c r="EC22" s="1065" t="str">
        <f t="shared" si="33"/>
        <v>DEFAULT</v>
      </c>
      <c r="ED22" s="1065">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65">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69">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69">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69">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69">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69">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69">
        <f t="array" ref="EK22">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8"/>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72" t="e">
        <f t="shared" si="34"/>
        <v>#DIV/0!</v>
      </c>
      <c r="EO22" s="101" t="s">
        <v>96</v>
      </c>
      <c r="EP22" s="93">
        <f>IFERROR(IF(AND($EP$2&lt;&gt;"Enter Spend&gt;&gt;&gt;",EQ10="EXISTING"),SUMIFS('Existing Customers'!$Q:$Q,'Existing Customers'!$A:$A,$EP$1,'Existing Customers'!$H:$H,$EO22)*$EP$4,$EP$3*$EN22),0)</f>
        <v>0</v>
      </c>
      <c r="EQ22" s="88">
        <f>IFERROR(IF(AND($EP$2&lt;&gt;"Enter Spend&gt;&gt;&gt;",EQ2="EXISTING"),SUMIFS('Existing Customers'!$N:$N,'Existing Customers'!$A:$A,$EP$1,'Existing Customers'!$H:$H,$EO22)*$EP$4,$EP22/$FA22),0)</f>
        <v>0</v>
      </c>
      <c r="ER22" s="94">
        <f>IFERROR(IF(AND($EP$2&lt;&gt;"Enter Spend&gt;&gt;&gt;",EQ2="EXISTING"),SUMIFS('Existing Customers'!$O:$O,'Existing Customers'!$H:$H,$EO22,'Existing Customers'!$A:$A,$EP$1)*$EP$4,$EQ22*$EP$8),0)</f>
        <v>0</v>
      </c>
      <c r="ES22" s="94">
        <f>IFERROR(IF(AND($EP$2&lt;&gt;"Enter Spend&gt;&gt;&gt;",EQ2="EXISTING"),SUMIFS('Existing Customers'!$P:$P,'Existing Customers'!$A:$A,$EP$1,'Existing Customers'!$H:$H,$EO22)*$EP$4,$EP22/$FB22),0)</f>
        <v>0</v>
      </c>
      <c r="ET22" s="95">
        <f>IFERROR(IF(AND($EP$2&lt;&gt;"Enter Spend&gt;&gt;&gt;",EQ2="EXISTING"),SUMIFS('Existing Customers'!$V:$V,'Existing Customers'!$H:$H,$EO22,'Existing Customers'!$A:$A,$EP$1)*$EP$4,0),0)</f>
        <v>0</v>
      </c>
      <c r="EU22" s="95">
        <f>IFERROR(IF(AND($EP$2&lt;&gt;"Enter Spend&gt;&gt;&gt;",EQ2="EXISTING"),SUMIFS('Existing Customers'!$R:$R,'Existing Customers'!$H:$H,$EO22,'Existing Customers'!$A:$A,$EP$1)*$EP$4,0),0)</f>
        <v>0</v>
      </c>
      <c r="EV22" s="1065">
        <f>IFERROR(IF(AND($EP$2&lt;&gt;"Enter Spend&gt;&gt;&gt;",EQ2="EXISTING"),SUMIFS('Existing Customers'!$S:$S,'Existing Customers'!$H:$H,$EO22,'Existing Customers'!$A:$A,$EP$1),FF22*EP22),0)</f>
        <v>0</v>
      </c>
      <c r="EW22" s="1065">
        <f>IFERROR(IF(AND($EP$2&lt;&gt;"Enter Spend&gt;&gt;&gt;",EQ2="EXISTING"),SUMIFS('Existing Customers'!$U:$U,'Existing Customers'!$H:$H,$EO22,'Existing Customers'!$A:$A,$EP$1),FG22*EP22),0)</f>
        <v>0</v>
      </c>
      <c r="EX22" s="1068" t="e">
        <f>_xlfn.CONCAT('Customer Inputs'!$AG$10,"_",EO22)</f>
        <v>#N/A</v>
      </c>
      <c r="EY22" s="1068">
        <f t="array" ref="EY22">IFERROR(INDEX('Margin Guidence Table'!$A$1:$AD$30000,MATCH(1,('Margin Guidence Table'!$A$1:$A$10000=EX22)*('Margin Guidence Table'!$I$1:$I$10000&lt;=ROUND($EP$3,0))*('Margin Guidence Table'!$J$1:$J$10000&gt;=ROUND($EP$3,0)),0),MATCH("DATA_POINTS",'Margin Guidence Table'!$A$1:$AG$1,0)),0)</f>
        <v>0</v>
      </c>
      <c r="EZ22" s="1065" t="str">
        <f t="shared" si="35"/>
        <v>DEFAULT</v>
      </c>
      <c r="FA22" s="1065">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65"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69">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69">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69">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69">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69">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69">
        <f t="array" ref="FH22">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8"/>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72" t="e">
        <f t="shared" si="36"/>
        <v>#DIV/0!</v>
      </c>
      <c r="FL22" s="101" t="s">
        <v>96</v>
      </c>
      <c r="FM22" s="93">
        <f>IFERROR(IF(AND($FM$2&lt;&gt;"Enter Spend&gt;&gt;&gt;",FN10="EXISTING"),SUMIFS('Existing Customers'!$Q:$Q,'Existing Customers'!$A:$A,$FM$1,'Existing Customers'!$H:$H,$FL22)*$FM$4,$FM$3*$FK22),0)</f>
        <v>0</v>
      </c>
      <c r="FN22" s="88">
        <f>IFERROR(IF(AND($FM$2&lt;&gt;"Enter Spend&gt;&gt;&gt;",FN2="EXISTING"),SUMIFS('Existing Customers'!$N:$N,'Existing Customers'!$A:$A,$FM$1,'Existing Customers'!$H:$H,$FL22)*$FM$4,$FM22/$FX22),0)</f>
        <v>0</v>
      </c>
      <c r="FO22" s="94">
        <f>IFERROR(IF(AND($FM$2&lt;&gt;"Enter Spend&gt;&gt;&gt;",FN2="EXISTING"),SUMIFS('Existing Customers'!$O:$O,'Existing Customers'!$H:$H,$FL22,'Existing Customers'!$A:$A,$FM$1)*$FM$4,$FN22*$FM$8),0)</f>
        <v>0</v>
      </c>
      <c r="FP22" s="94">
        <f>IFERROR(IF(AND($FM$2&lt;&gt;"Enter Spend&gt;&gt;&gt;",FN2="EXISTING"),SUMIFS('Existing Customers'!$P:$P,'Existing Customers'!$A:$A,$FM$1,'Existing Customers'!$H:$H,$FL22)*$FM$4,$FM22/$FY22),0)</f>
        <v>0</v>
      </c>
      <c r="FQ22" s="95">
        <f>IFERROR(IF(AND($FM$2&lt;&gt;"Enter Spend&gt;&gt;&gt;",FN2="EXISTING"),SUMIFS('Existing Customers'!$V:$V,'Existing Customers'!$H:$H,$FL22,'Existing Customers'!$A:$A,$FM$1)*$FM$4,0),0)</f>
        <v>0</v>
      </c>
      <c r="FR22" s="95">
        <f>IFERROR(IF(AND($FM$2&lt;&gt;"Enter Spend&gt;&gt;&gt;",FN2="EXISTING"),SUMIFS('Existing Customers'!$R:$R,'Existing Customers'!$H:$H,$FL22,'Existing Customers'!$A:$A,$FM$1)*$FM$4,0),0)</f>
        <v>0</v>
      </c>
      <c r="FS22" s="1065">
        <f>IFERROR(IF(AND($FM$2&lt;&gt;"Enter Spend&gt;&gt;&gt;",FN2="EXISTING"),SUMIFS('Existing Customers'!$S:$S,'Existing Customers'!$H:$H,$FL22,'Existing Customers'!$A:$A,$FM$1),GC22*FM22),0)</f>
        <v>0</v>
      </c>
      <c r="FT22" s="1065">
        <f>IFERROR(IF(AND($FM$2&lt;&gt;"Enter Spend&gt;&gt;&gt;",FN2="EXISTING"),SUMIFS('Existing Customers'!$U:$U,'Existing Customers'!$H:$H,$FL22,'Existing Customers'!$A:$A,$FM$1),GD22*FM22),0)</f>
        <v>0</v>
      </c>
      <c r="FU22" s="1068" t="e">
        <f>_xlfn.CONCAT('Customer Inputs'!$AG$11,"_",FL22)</f>
        <v>#N/A</v>
      </c>
      <c r="FV22" s="1068">
        <f t="array" ref="FV22">IFERROR(INDEX('Margin Guidence Table'!$A$1:$AD$30000,MATCH(1,('Margin Guidence Table'!$A$1:$A$10000=FU22)*('Margin Guidence Table'!$I$1:$I$10000&lt;=ROUND($FM$3,0))*('Margin Guidence Table'!$J$1:$J$10000&gt;=ROUND($FM$3,0)),0),MATCH("DATA_POINTS",'Margin Guidence Table'!$A$1:$AG$1,0)),0)</f>
        <v>0</v>
      </c>
      <c r="FW22" s="1065" t="str">
        <f t="shared" si="37"/>
        <v>DEFAULT</v>
      </c>
      <c r="FX22" s="1065">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65">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69">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69">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69">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69">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69">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69">
        <f t="array" ref="GE22">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8"/>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72" t="e">
        <f t="shared" si="38"/>
        <v>#DIV/0!</v>
      </c>
      <c r="GI22" s="101" t="s">
        <v>96</v>
      </c>
      <c r="GJ22" s="93">
        <f>IFERROR(IF(AND($GJ$2&lt;&gt;"Enter Spend&gt;&gt;&gt;",GK10="EXISTING"),SUMIFS('Existing Customers'!$Q:$Q,'Existing Customers'!$A:$A,$GJ$1,'Existing Customers'!$H:$H,$GI22)*$GJ$4,$GJ$3*$GH22),0)</f>
        <v>0</v>
      </c>
      <c r="GK22" s="88">
        <f>IFERROR(IF(AND($GJ$2&lt;&gt;"Enter Spend&gt;&gt;&gt;",GK2="EXISTING"),SUMIFS('Existing Customers'!$N:$N,'Existing Customers'!$A:$A,$GJ$1,'Existing Customers'!$H:$H,$GI22)*$GJ$4,$GJ22/$GU22),0)</f>
        <v>0</v>
      </c>
      <c r="GL22" s="94">
        <f>IFERROR(IF(AND($GJ$2&lt;&gt;"Enter Spend&gt;&gt;&gt;",GK2="EXISTING"),SUMIFS('Existing Customers'!$O:$O,'Existing Customers'!$H:$H,$GI22,'Existing Customers'!$A:$A,$GJ$1)*$GJ$4,$GK22*$GJ$8),0)</f>
        <v>0</v>
      </c>
      <c r="GM22" s="94">
        <f>IFERROR(IF(AND($GJ$2&lt;&gt;"Enter Spend&gt;&gt;&gt;",GK2="EXISTING"),SUMIFS('Existing Customers'!$P:$P,'Existing Customers'!$A:$A,$GJ$1,'Existing Customers'!$H:$H,$GI22)*$GJ$4,$GJ22/$GV22),0)</f>
        <v>0</v>
      </c>
      <c r="GN22" s="95">
        <f>IFERROR(IF(AND($GJ$2&lt;&gt;"Enter Spend&gt;&gt;&gt;",GK2="EXISTING"),SUMIFS('Existing Customers'!$V:$V,'Existing Customers'!$H:$H,$GI22,'Existing Customers'!$A:$A,$GJ$1)*$GJ$4,0),0)</f>
        <v>0</v>
      </c>
      <c r="GO22" s="95">
        <f>IFERROR(IF(AND($GJ$2&lt;&gt;"Enter Spend&gt;&gt;&gt;",GK2="EXISTING"),SUMIFS('Existing Customers'!$R:$R,'Existing Customers'!$H:$H,$GI22,'Existing Customers'!$A:$A,$GJ$1)*$GJ$4,0),0)</f>
        <v>0</v>
      </c>
      <c r="GP22" s="1065">
        <f>IFERROR(IF(AND($GJ$2&lt;&gt;"Enter Spend&gt;&gt;&gt;",GK2="EXISTING"),SUMIFS('Existing Customers'!$S:$S,'Existing Customers'!$H:$H,$GI22,'Existing Customers'!$A:$A,$GJ$1),GZ22*GJ22),0)</f>
        <v>0</v>
      </c>
      <c r="GQ22" s="1065">
        <f>IFERROR(IF(AND($GJ$2&lt;&gt;"Enter Spend&gt;&gt;&gt;",GK2="EXISTING"),SUMIFS('Existing Customers'!$U:$U,'Existing Customers'!$H:$H,$GI22,'Existing Customers'!$A:$A,$GJ$1),HA22*GJ22),0)</f>
        <v>0</v>
      </c>
      <c r="GR22" s="1068" t="e">
        <f>_xlfn.CONCAT('Customer Inputs'!$AG$12,"_",GI22)</f>
        <v>#N/A</v>
      </c>
      <c r="GS22" s="1068">
        <f t="array" ref="GS22">IFERROR(INDEX('Margin Guidence Table'!$A$1:$AD$30000,MATCH(1,('Margin Guidence Table'!$A$1:$A$10000=GR22)*('Margin Guidence Table'!$I$1:$I$10000&lt;=ROUND($GJ$3,0))*('Margin Guidence Table'!$J$1:$J$10000&gt;=ROUND($GJ$3,0)),0),MATCH("DATA_POINTS",'Margin Guidence Table'!$A$1:$AG$1,0)),0)</f>
        <v>0</v>
      </c>
      <c r="GT22" s="1065" t="str">
        <f t="shared" si="39"/>
        <v>DEFAULT</v>
      </c>
      <c r="GU22" s="1065">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65">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69">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69">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69">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69">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69">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69">
        <f t="array" ref="HB22">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8"/>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72" t="e">
        <f t="shared" si="40"/>
        <v>#DIV/0!</v>
      </c>
      <c r="HF22" s="101" t="s">
        <v>96</v>
      </c>
      <c r="HG22" s="93">
        <f>IFERROR(IF(AND($HG$2&lt;&gt;"Enter Spend&gt;&gt;&gt;",HH10="EXISTING"),SUMIFS('Existing Customers'!$Q:$Q,'Existing Customers'!$A:$A,$HG$1,'Existing Customers'!$H:$H,$HF22)*$HG$4,$HG$3*$HE22),0)</f>
        <v>0</v>
      </c>
      <c r="HH22" s="88">
        <f>IFERROR(IF(AND($HG$2&lt;&gt;"Enter Spend&gt;&gt;&gt;",HH2="EXISTING"),SUMIFS('Existing Customers'!$N:$N,'Existing Customers'!$A:$A,$HG$1,'Existing Customers'!$H:$H,$HF22)*$HG$4,$HG22/$HR22),0)</f>
        <v>0</v>
      </c>
      <c r="HI22" s="94">
        <f>IFERROR(IF(AND($HG$2&lt;&gt;"Enter Spend&gt;&gt;&gt;",HH2="EXISTING"),SUMIFS('Existing Customers'!$O:$O,'Existing Customers'!$H:$H,$HF22,'Existing Customers'!$A:$A,$HG$1)*$HG$4,$HH22*$HG$8),0)</f>
        <v>0</v>
      </c>
      <c r="HJ22" s="94">
        <f>IFERROR(IF(AND($HG$2&lt;&gt;"Enter Spend&gt;&gt;&gt;",HH2="EXISTING"),SUMIFS('Existing Customers'!$P:$P,'Existing Customers'!$A:$A,$HG$1,'Existing Customers'!$H:$H,$HF22)*$HG$4,$HG22/$HS22),0)</f>
        <v>0</v>
      </c>
      <c r="HK22" s="95">
        <f>IFERROR(IF(AND($HG$2&lt;&gt;"Enter Spend&gt;&gt;&gt;",HH2="EXISTING"),SUMIFS('Existing Customers'!$V:$V,'Existing Customers'!$H:$H,$HF22,'Existing Customers'!$A:$A,$HG$1)*$HG$4,0),0)</f>
        <v>0</v>
      </c>
      <c r="HL22" s="95">
        <f>IFERROR(IF(AND($HG$2&lt;&gt;"Enter Spend&gt;&gt;&gt;",HH2="EXISTING"),SUMIFS('Existing Customers'!$R:$R,'Existing Customers'!$H:$H,$HF22,'Existing Customers'!$A:$A,$HG$1)*$HG$4,0),0)</f>
        <v>0</v>
      </c>
      <c r="HM22" s="1065">
        <f>IFERROR(IF(AND($HG$2&lt;&gt;"Enter Spend&gt;&gt;&gt;",HH2="EXISTING"),SUMIFS('Existing Customers'!$S:$S,'Existing Customers'!$H:$H,$HF22,'Existing Customers'!$A:$A,$HG$1),HW22*HG22),0)</f>
        <v>0</v>
      </c>
      <c r="HN22" s="1065">
        <f>IFERROR(IF(AND($HG$2&lt;&gt;"Enter Spend&gt;&gt;&gt;",HH2="EXISTING"),SUMIFS('Existing Customers'!$U:$U,'Existing Customers'!$H:$H,$HF22,'Existing Customers'!$A:$A,$HG$1),HX22*HG22),0)</f>
        <v>0</v>
      </c>
      <c r="HO22" s="1068" t="e">
        <f>_xlfn.CONCAT('Customer Inputs'!$AG$13,"_",HF22)</f>
        <v>#N/A</v>
      </c>
      <c r="HP22" s="1068">
        <f t="array" ref="HP22">IFERROR(INDEX('Margin Guidence Table'!$A$1:$AD$30000,MATCH(1,('Margin Guidence Table'!$A$1:$A$10000=HO22)*('Margin Guidence Table'!$I$1:$I$10000&lt;=ROUND($HG$3,0))*('Margin Guidence Table'!$J$1:$J$10000&gt;=ROUND($HG$3,0)),0),MATCH("DATA_POINTS",'Margin Guidence Table'!$A$1:$AG$1,0)),0)</f>
        <v>0</v>
      </c>
      <c r="HQ22" s="1065" t="str">
        <f t="shared" si="41"/>
        <v>DEFAULT</v>
      </c>
      <c r="HR22" s="1065">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65">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69">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69">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69">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69">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69">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69">
        <f t="array" ref="HY22">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8"/>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72" t="e">
        <f t="shared" si="42"/>
        <v>#DIV/0!</v>
      </c>
      <c r="IC22" s="101" t="s">
        <v>96</v>
      </c>
      <c r="ID22" s="93">
        <f>IFERROR(IF(AND($ID$2&lt;&gt;"Enter Spend&gt;&gt;&gt;",IE10="EXISTING"),SUMIFS('Existing Customers'!$Q:$Q,'Existing Customers'!$A:$A,$ID$1,'Existing Customers'!$H:$H,$IC22)*$ID$4,$ID$3*$IB22),0)</f>
        <v>0</v>
      </c>
      <c r="IE22" s="88">
        <f>IFERROR(IF(AND($ID$2&lt;&gt;"Enter Spend&gt;&gt;&gt;",IE2="EXISTING"),SUMIFS('Existing Customers'!$N:$N,'Existing Customers'!$A:$A,$ID$1,'Existing Customers'!$H:$H,$IC22)*$ID$4,$ID22/$IO22),0)</f>
        <v>0</v>
      </c>
      <c r="IF22" s="94">
        <f>IFERROR(IF(AND($ID$2&lt;&gt;"Enter Spend&gt;&gt;&gt;",IE2="EXISTING"),SUMIFS('Existing Customers'!$O:$O,'Existing Customers'!$H:$H,$IC22,'Existing Customers'!$A:$A,$ID$1)*$ID$4,$IE22*$ID$8),0)</f>
        <v>0</v>
      </c>
      <c r="IG22" s="94">
        <f>IFERROR(IF(AND($ID$2&lt;&gt;"Enter Spend&gt;&gt;&gt;",IE2="EXISTING"),SUMIFS('Existing Customers'!$P:$P,'Existing Customers'!$A:$A,$ID$1,'Existing Customers'!$H:$H,$IC22)*$ID$4,$ID22/$IP22),0)</f>
        <v>0</v>
      </c>
      <c r="IH22" s="378">
        <f>IFERROR(IF(AND($ID$2&lt;&gt;"Enter Spend&gt;&gt;&gt;",IE2="EXISTING"),SUMIFS('Existing Customers'!$V:$V,'Existing Customers'!$H:$H,$IC22,'Existing Customers'!$A:$A,$ID$1)*$ID$4,0),0)</f>
        <v>0</v>
      </c>
      <c r="II22" s="95">
        <f>IFERROR(IF(AND($ID$2&lt;&gt;"Enter Spend&gt;&gt;&gt;",IE2="EXISTING"),SUMIFS('Existing Customers'!$R:$R,'Existing Customers'!$H:$H,$IC22,'Existing Customers'!$A:$A,$ID$1)*$ID$4,0),0)</f>
        <v>0</v>
      </c>
      <c r="IJ22" s="1065">
        <f>IFERROR(IF(AND($ID$2&lt;&gt;"Enter Spend&gt;&gt;&gt;",IE2="EXISTING"),SUMIFS('Existing Customers'!$S:$S,'Existing Customers'!$H:$H,$IC22,'Existing Customers'!$A:$A,$ID$1),IT22*ID22),0)</f>
        <v>0</v>
      </c>
      <c r="IK22" s="1065">
        <f>IFERROR(IF(AND($ID$2&lt;&gt;"Enter Spend&gt;&gt;&gt;",IE2="EXISTING"),SUMIFS('Existing Customers'!$U:$U,'Existing Customers'!$H:$H,$IC22,'Existing Customers'!$A:$A,$ID$1),IU22*ID22),0)</f>
        <v>0</v>
      </c>
      <c r="IL22" s="1068" t="e">
        <f>_xlfn.CONCAT('Customer Inputs'!$AG$14,"_",IC22)</f>
        <v>#N/A</v>
      </c>
      <c r="IM22" s="1068">
        <f t="array" ref="IM22">IFERROR(INDEX('Margin Guidence Table'!$A$1:$AD$30000,MATCH(1,('Margin Guidence Table'!$A$1:$A$10000=IL22)*('Margin Guidence Table'!$I$1:$I$10000&lt;=ROUND($ID$3,0))*('Margin Guidence Table'!$J$1:$J$10000&gt;=ROUND($ID$3,0)),0),MATCH("DATA_POINTS",'Margin Guidence Table'!$A$1:$AG$1,0)),0)</f>
        <v>0</v>
      </c>
      <c r="IN22" s="1065" t="str">
        <f t="shared" si="43"/>
        <v>DEFAULT</v>
      </c>
      <c r="IO22" s="1065">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65">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69">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69">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69">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69">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69">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69">
        <f t="array" ref="IV22">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8"/>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72" t="e">
        <f t="shared" si="44"/>
        <v>#DIV/0!</v>
      </c>
      <c r="IZ22" s="101" t="s">
        <v>96</v>
      </c>
      <c r="JA22" s="93">
        <f>IFERROR(IF(AND($JA$2&lt;&gt;"Enter Spend&gt;&gt;&gt;",JB10="EXISTING"),SUMIFS('Existing Customers'!$Q:$Q,'Existing Customers'!$A:$A,$JA$1,'Existing Customers'!$H:$H,$IZ22)*$JA$4,$JA$3*$IY22),0)</f>
        <v>0</v>
      </c>
      <c r="JB22" s="88">
        <f>IFERROR(IF(AND($JA$2&lt;&gt;"Enter Spend&gt;&gt;&gt;",JB2="EXISTING"),SUMIFS('Existing Customers'!$N:$N,'Existing Customers'!$A:$A,$JA$1,'Existing Customers'!$H:$H,$IZ22)*$JA$4,$JA22/$JL22),0)</f>
        <v>0</v>
      </c>
      <c r="JC22" s="94">
        <f>IFERROR(IF(AND($JA$2&lt;&gt;"Enter Spend&gt;&gt;&gt;",JB2="EXISTING"),SUMIFS('Existing Customers'!$O:$O,'Existing Customers'!$H:$H,$IZ22,'Existing Customers'!$A:$A,$JA$1)*$JA$4,$JB22*$JA$8),0)</f>
        <v>0</v>
      </c>
      <c r="JD22" s="94">
        <f>IFERROR(IF(AND($JA$2&lt;&gt;"Enter Spend&gt;&gt;&gt;",JB2="EXISTING"),SUMIFS('Existing Customers'!$P:$P,'Existing Customers'!$A:$A,$JA$1,'Existing Customers'!$H:$H,$IZ22)*$JA$4,$JA22/$JM22),0)</f>
        <v>0</v>
      </c>
      <c r="JE22" s="378">
        <f>IFERROR(IF(AND($JA$2&lt;&gt;"Enter Spend&gt;&gt;&gt;",JB2="EXISTING"),SUMIFS('Existing Customers'!$V:$V,'Existing Customers'!$H:$H,$IZ22,'Existing Customers'!$A:$A,$JA$1)*$JA$4,0),0)</f>
        <v>0</v>
      </c>
      <c r="JF22" s="95">
        <f>IFERROR(IF(AND($JA$2&lt;&gt;"Enter Spend&gt;&gt;&gt;",JB2="EXISTING"),SUMIFS('Existing Customers'!$R:$R,'Existing Customers'!$H:$H,$IZ22,'Existing Customers'!$A:$A,$JA$1)*$JA$4,0),0)</f>
        <v>0</v>
      </c>
      <c r="JG22" s="1065">
        <f>IFERROR(IF(AND($JA$2&lt;&gt;"Enter Spend&gt;&gt;&gt;",JB2="EXISTING"),SUMIFS('Existing Customers'!$S:$S,'Existing Customers'!$H:$H,$IZ22,'Existing Customers'!$A:$A,$JA$1),JQ22*JA22),0)</f>
        <v>0</v>
      </c>
      <c r="JH22" s="1065">
        <f>IFERROR(IF(AND($JA$2&lt;&gt;"Enter Spend&gt;&gt;&gt;",JB2="EXISTING"),SUMIFS('Existing Customers'!$U:$U,'Existing Customers'!$H:$H,$IZ22,'Existing Customers'!$A:$A,$JA$1),JR22*JA22),0)</f>
        <v>0</v>
      </c>
      <c r="JI22" s="1068" t="e">
        <f>_xlfn.CONCAT('Customer Inputs'!$AG$15,"_",IZ22)</f>
        <v>#N/A</v>
      </c>
      <c r="JJ22" s="1068">
        <f t="array" ref="JJ22">IFERROR(INDEX('Margin Guidence Table'!$A$1:$AD$30000,MATCH(1,('Margin Guidence Table'!$A$1:$A$10000=JI22)*('Margin Guidence Table'!$I$1:$I$10000&lt;=ROUND($JA$3,0))*('Margin Guidence Table'!$J$1:$J$10000&gt;=ROUND($JA$3,0)),0),MATCH("DATA_POINTS",'Margin Guidence Table'!$A$1:$AG$1,0)),0)</f>
        <v>0</v>
      </c>
      <c r="JK22" s="1065" t="str">
        <f t="shared" si="45"/>
        <v>DEFAULT</v>
      </c>
      <c r="JL22" s="1065">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65">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69">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69">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69">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69">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69">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69">
        <f t="array" ref="JS22">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101" t="s">
        <v>96</v>
      </c>
      <c r="JV22" s="96"/>
      <c r="JW22" s="88"/>
      <c r="JX22" s="88"/>
      <c r="JY22" s="88"/>
      <c r="JZ22" s="113"/>
      <c r="KA22" s="97"/>
      <c r="KB22" s="128"/>
      <c r="KD22" s="101" t="s">
        <v>96</v>
      </c>
      <c r="KE22" s="96"/>
      <c r="KF22" s="88"/>
      <c r="KG22" s="88"/>
      <c r="KH22" s="88"/>
      <c r="KI22" s="113"/>
      <c r="KJ22" s="97"/>
    </row>
    <row r="23" spans="2:296" ht="15.75" thickBot="1" x14ac:dyDescent="0.3">
      <c r="B23" s="101" t="s">
        <v>101</v>
      </c>
      <c r="C23" s="451">
        <f t="shared" si="11"/>
        <v>0</v>
      </c>
      <c r="D23" s="467">
        <f t="shared" si="12"/>
        <v>0</v>
      </c>
      <c r="E23" s="467">
        <f t="shared" si="13"/>
        <v>0</v>
      </c>
      <c r="F23" s="467">
        <f t="shared" si="14"/>
        <v>0</v>
      </c>
      <c r="G23" s="468">
        <f t="shared" si="15"/>
        <v>0</v>
      </c>
      <c r="H23" s="467">
        <f t="shared" si="16"/>
        <v>0</v>
      </c>
      <c r="I23" s="1061" t="e">
        <f t="shared" si="0"/>
        <v>#DIV/0!</v>
      </c>
      <c r="J23" s="1061" t="e">
        <f t="shared" si="1"/>
        <v>#DIV/0!</v>
      </c>
      <c r="K23" s="1061" t="e">
        <f t="shared" si="2"/>
        <v>#DIV/0!</v>
      </c>
      <c r="L23" s="467" t="e">
        <f t="shared" si="3"/>
        <v>#DIV/0!</v>
      </c>
      <c r="M23" s="467" t="e">
        <f t="shared" si="17"/>
        <v>#DIV/0!</v>
      </c>
      <c r="N23" s="1062" t="e">
        <f t="shared" si="4"/>
        <v>#DIV/0!</v>
      </c>
      <c r="P23" t="str">
        <f>'PIM Model'!E19</f>
        <v>INCLUDE</v>
      </c>
      <c r="Q23">
        <f t="shared" si="18"/>
        <v>0</v>
      </c>
      <c r="R23">
        <f t="shared" si="19"/>
        <v>0</v>
      </c>
      <c r="S23" s="101" t="s">
        <v>101</v>
      </c>
      <c r="T23" s="96">
        <f t="shared" si="20"/>
        <v>0</v>
      </c>
      <c r="U23" s="88">
        <f t="shared" si="5"/>
        <v>0</v>
      </c>
      <c r="V23" s="88">
        <f t="shared" si="6"/>
        <v>0</v>
      </c>
      <c r="W23" s="88">
        <f t="shared" si="7"/>
        <v>0</v>
      </c>
      <c r="X23" s="113">
        <f t="shared" si="8"/>
        <v>0</v>
      </c>
      <c r="Y23" s="116">
        <f t="shared" si="21"/>
        <v>0</v>
      </c>
      <c r="Z23" s="376"/>
      <c r="AA23" s="101" t="s">
        <v>101</v>
      </c>
      <c r="AB23" s="455">
        <f t="shared" si="9"/>
        <v>0</v>
      </c>
      <c r="AC23" s="456">
        <f t="shared" si="9"/>
        <v>0</v>
      </c>
      <c r="AD23" s="456">
        <f t="shared" si="9"/>
        <v>0</v>
      </c>
      <c r="AE23" s="457">
        <f t="shared" si="22"/>
        <v>0</v>
      </c>
      <c r="AF23" s="458">
        <f t="shared" si="23"/>
        <v>0</v>
      </c>
      <c r="AG23" s="376"/>
      <c r="AH23" s="101" t="s">
        <v>101</v>
      </c>
      <c r="AI23" s="455">
        <f t="shared" si="10"/>
        <v>0</v>
      </c>
      <c r="AJ23" s="452">
        <f t="shared" si="24"/>
        <v>0</v>
      </c>
      <c r="AK23" s="458"/>
      <c r="AL23" s="376"/>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76">
        <f>VLOOKUP($AH23&amp;$AM23,'IMargin Quartiles'!$A:$F,6,FALSE)</f>
        <v>0.18</v>
      </c>
      <c r="AO23" s="376"/>
      <c r="AP23"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Q23" s="376" t="e">
        <f t="shared" si="25"/>
        <v>#DIV/0!</v>
      </c>
      <c r="AR23">
        <f>'PIM Model'!C19</f>
        <v>0</v>
      </c>
      <c r="AS23" s="376"/>
      <c r="AT23" s="376"/>
      <c r="AU23" s="376" t="e">
        <f t="shared" si="46"/>
        <v>#DIV/0!</v>
      </c>
      <c r="AV23" s="376"/>
      <c r="AW23" s="376"/>
      <c r="AX23" s="107">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72" t="e">
        <f t="shared" si="26"/>
        <v>#DIV/0!</v>
      </c>
      <c r="BA23" s="101" t="s">
        <v>101</v>
      </c>
      <c r="BB23" s="93">
        <f>IFERROR(IF(AND($BB$2&lt;&gt;"Enter Spend&gt;&gt;&gt;",BC11="EXISTING"),SUMIFS('Existing Customers'!$Q:$Q,'Existing Customers'!$A:$A,$BB$1,'Existing Customers'!$H:$H,$BA23)*$BB$4,$BB$3*$AZ23),0)</f>
        <v>0</v>
      </c>
      <c r="BC23" s="94">
        <f>IFERROR(IF(AND($BB$2&lt;&gt;"Enter Spend&gt;&gt;&gt;",BC2="EXISTING"),SUMIFS('Existing Customers'!$N:$N,'Existing Customers'!$A:$A,$BB$1,'Existing Customers'!$H:$H,$BA23)*$BB$4,$BB23/$BM23),0)</f>
        <v>0</v>
      </c>
      <c r="BD23" s="94">
        <f>IFERROR(IF(AND($BB$2&lt;&gt;"Enter Spend&gt;&gt;&gt;",BC2="EXISTING"),SUMIFS('Existing Customers'!$O:$O,'Existing Customers'!$H:$H,$BA23,'Existing Customers'!$A:$A,$BB$1)*$BB$4,$BC23*$BB$8),0)</f>
        <v>0</v>
      </c>
      <c r="BE23" s="94">
        <f>IFERROR(IF(AND($BB$2&lt;&gt;"Enter Spend&gt;&gt;&gt;",BC2="EXISTING"),SUMIFS('Existing Customers'!$P:$P,'Existing Customers'!$A:$A,$BB$1,'Existing Customers'!$H:$H,$BA23)*$BB$4,$BB23/$BN23),0)</f>
        <v>0</v>
      </c>
      <c r="BF23" s="378">
        <f>IFERROR(IF(AND($BB$2&lt;&gt;"Enter Spend&gt;&gt;&gt;",BC2="EXISTING"),SUMIFS('Existing Customers'!$V:$V,'Existing Customers'!$H:$H,$BA23,'Existing Customers'!$A:$A,$BB$1)*$BB$4,0),0)</f>
        <v>0</v>
      </c>
      <c r="BG23" s="95">
        <f>IFERROR(IF(AND($BB$2&lt;&gt;"Enter Spend&gt;&gt;&gt;",BC2="EXISTING"),SUMIFS('Existing Customers'!$R:$R,'Existing Customers'!$H:$H,$BA23,'Existing Customers'!$A:$A,$BB$1)*$BB$4,0),0)</f>
        <v>0</v>
      </c>
      <c r="BH23" s="95">
        <f>IFERROR(IF(AND($BB$2&lt;&gt;"Enter Spend&gt;&gt;&gt;",BC2="EXISTING"),SUMIFS('Existing Customers'!$S:$S,'Existing Customers'!$H:$H,$BA23,'Existing Customers'!$A:$A,$BB$1),BR23*BB23),0)</f>
        <v>0</v>
      </c>
      <c r="BI23" s="95">
        <f>IFERROR(IF(AND($BB$2&lt;&gt;"Enter Spend&gt;&gt;&gt;",BC2="EXISTING"),SUMIFS('Existing Customers'!$U:$U,'Existing Customers'!$H:$H,$BA23,'Existing Customers'!$A:$A,$BB$1),BS23*BB23),0)</f>
        <v>0</v>
      </c>
      <c r="BJ23" s="1067" t="e">
        <f>_xlfn.CONCAT('Customer Inputs'!$AG$6,"_",BA23)</f>
        <v>#N/A</v>
      </c>
      <c r="BK23" s="1068">
        <f t="array" ref="BK23">IFERROR(INDEX('Margin Guidence Table'!$A$1:$AD$30000,MATCH(1,('Margin Guidence Table'!$A$1:$A$10000=$BJ23)*('Margin Guidence Table'!$I$1:$I$10000&lt;=ROUND($BB$3,0))*('Margin Guidence Table'!$J$1:$J$10000&gt;=ROUND($BB$3,0)),0),MATCH("DATA_POINTS",'Margin Guidence Table'!$A$1:$AG$1,0)),0)</f>
        <v>0</v>
      </c>
      <c r="BL23" s="1065" t="str">
        <f t="shared" si="27"/>
        <v>DEFAULT</v>
      </c>
      <c r="BM23" s="1065">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65">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69">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69">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69">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69">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69">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69">
        <f t="array" ref="BT23">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8"/>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72" t="e">
        <f t="shared" si="28"/>
        <v>#DIV/0!</v>
      </c>
      <c r="BX23" s="101" t="s">
        <v>101</v>
      </c>
      <c r="BY23" s="93">
        <f>IFERROR(IF(AND($BY$2&lt;&gt;"Enter Spend&gt;&gt;&gt;",BZ11="EXISTING"),SUMIFS('Existing Customers'!$Q:$Q,'Existing Customers'!$A:$A,$BY$1,'Existing Customers'!$H:$H,$BX23)*$BY$4,$BY$3*$BW23),0)</f>
        <v>0</v>
      </c>
      <c r="BZ23" s="88">
        <f>IFERROR(IF(AND($BY$2&lt;&gt;"Enter Spend&gt;&gt;&gt;",BZ2="EXISTING"),SUMIFS('Existing Customers'!$N:$N,'Existing Customers'!$A:$A,$BY$1,'Existing Customers'!$H:$H,$BX23)*$BY$4,$BY23/$CJ23),0)</f>
        <v>0</v>
      </c>
      <c r="CA23" s="94">
        <f>IFERROR(IF(AND($BY$2&lt;&gt;"Enter Spend&gt;&gt;&gt;",BZ2="EXISTING"),SUMIFS('Existing Customers'!$O:$O,'Existing Customers'!$H:$H,$BX23,'Existing Customers'!$A:$A,$BY$1)*$BY$4,$BZ23*$BY$8),0)</f>
        <v>0</v>
      </c>
      <c r="CB23" s="94">
        <f>IFERROR(IF(AND($BY$2&lt;&gt;"Enter Spend&gt;&gt;&gt;",BZ2="EXISTING"),SUMIFS('Existing Customers'!$P:$P,'Existing Customers'!$A:$A,$BY$1,'Existing Customers'!$H:$H,$BX23)*$BY$4,$BY23/$CK23),0)</f>
        <v>0</v>
      </c>
      <c r="CC23" s="95">
        <f>IFERROR(IF(AND($BY$2&lt;&gt;"Enter Spend&gt;&gt;&gt;",BZ2="EXISTING"),SUMIFS('Existing Customers'!$V:$V,'Existing Customers'!$H:$H,$BX23,'Existing Customers'!$A:$A,$BY$1)*$BY$4,0),0)</f>
        <v>0</v>
      </c>
      <c r="CD23" s="95">
        <f>IFERROR(IF(AND($BY$2&lt;&gt;"Enter Spend&gt;&gt;&gt;",BZ2="EXISTING"),SUMIFS('Existing Customers'!$R:$R,'Existing Customers'!$H:$H,$BX23,'Existing Customers'!$A:$A,$BY$1)*$BY$4,0),0)</f>
        <v>0</v>
      </c>
      <c r="CE23" s="1065">
        <f>IFERROR(IF(AND($BY$2&lt;&gt;"Enter Spend&gt;&gt;&gt;",BZ2="EXISTING"),SUMIFS('Existing Customers'!$S:$S,'Existing Customers'!$H:$H,$BX23,'Existing Customers'!$A:$A,$BY$1),CO23*BY23),0)</f>
        <v>0</v>
      </c>
      <c r="CF23" s="1065">
        <f>IFERROR(IF(AND($BY$2&lt;&gt;"Enter Spend&gt;&gt;&gt;",BZ2="EXISTING"),SUMIFS('Existing Customers'!$U:$U,'Existing Customers'!$H:$H,$BX23,'Existing Customers'!$A:$A,$BY$1),CP23*BY23),0)</f>
        <v>0</v>
      </c>
      <c r="CG23" s="1068" t="e">
        <f>_xlfn.CONCAT('Customer Inputs'!$AG$7,"_",BX23)</f>
        <v>#N/A</v>
      </c>
      <c r="CH23" s="1068">
        <f t="array" ref="CH23">IFERROR(INDEX('Margin Guidence Table'!$A$1:$AD$30000,MATCH(1,('Margin Guidence Table'!$A$1:$A$10000=$CG23)*('Margin Guidence Table'!$I$1:$I$10000&lt;=ROUND($BY$3,0))*('Margin Guidence Table'!$J$1:$J$10000&gt;=ROUND($BY$3,0)),0),MATCH("DATA_POINTS",'Margin Guidence Table'!$A$1:$AG$1,0)),0)</f>
        <v>0</v>
      </c>
      <c r="CI23" s="1065" t="str">
        <f t="shared" si="29"/>
        <v>DEFAULT</v>
      </c>
      <c r="CJ23" s="1065">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65">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69">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69">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69">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69">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69">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69">
        <f t="array" ref="CQ23">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8"/>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72" t="e">
        <f t="shared" si="30"/>
        <v>#DIV/0!</v>
      </c>
      <c r="CU23" s="101" t="s">
        <v>101</v>
      </c>
      <c r="CV23" s="93">
        <f>IFERROR(IF(AND($CV$2&lt;&gt;"Enter Spend&gt;&gt;&gt;",CW11="EXISTING"),SUMIFS('Existing Customers'!$Q:$Q,'Existing Customers'!$A:$A,$CV$1,'Existing Customers'!$H:$H,$CU23)*$CV$4,$CV$3*$CT23),0)</f>
        <v>0</v>
      </c>
      <c r="CW23" s="88">
        <f>IFERROR(IF(AND($CV$2&lt;&gt;"Enter Spend&gt;&gt;&gt;",CW2="EXISTING"),SUMIFS('Existing Customers'!$N:$N,'Existing Customers'!$A:$A,$CV$1,'Existing Customers'!$H:$H,$CU23)*$CV$4,$CV23/$DG23),0)</f>
        <v>0</v>
      </c>
      <c r="CX23" s="94">
        <f>IFERROR(IF(AND($CV$2&lt;&gt;"Enter Spend&gt;&gt;&gt;",BC28="EXISTING"),SUMIFS('Existing Customers'!$O:$O,'Existing Customers'!$H:$H,$CU23,'Existing Customers'!$A:$A,$CV$1)*$CV$4,$CW23*$CV$8),0)</f>
        <v>0</v>
      </c>
      <c r="CY23" s="94">
        <f>IFERROR(IF(AND($CV$2&lt;&gt;"Enter Spend&gt;&gt;&gt;",CW2="EXISTING"),SUMIFS('Existing Customers'!$P:$P,'Existing Customers'!$A:$A,$CV$1,'Existing Customers'!$H:$H,$CU23)*$CV$4,$CV23/$DH23),0)</f>
        <v>0</v>
      </c>
      <c r="CZ23" s="95">
        <f>IFERROR(IF(AND($CV$2&lt;&gt;"Enter Spend&gt;&gt;&gt;",CW2="EXISTING"),SUMIFS('Existing Customers'!$V:$V,'Existing Customers'!$H:$H,$CU23,'Existing Customers'!$A:$A,$CV$1)*$CV$4,0),0)</f>
        <v>0</v>
      </c>
      <c r="DA23" s="95">
        <f>IFERROR(IF(AND($CV$2&lt;&gt;"Enter Spend&gt;&gt;&gt;",CW2="EXISTING"),SUMIFS('Existing Customers'!$R:$R,'Existing Customers'!$H:$H,$BA23,'Existing Customers'!$A:$A,$CV$1)*$CV$4,0),0)</f>
        <v>0</v>
      </c>
      <c r="DB23" s="1065">
        <f>IFERROR(IF(AND($CV$2&lt;&gt;"Enter Spend&gt;&gt;&gt;",CW2="EXISTING"),SUMIFS('Existing Customers'!$S:$S,'Existing Customers'!$H:$H,$CU23,'Existing Customers'!$A:$A,$CV$1),DL23*CV23),0)</f>
        <v>0</v>
      </c>
      <c r="DC23" s="1065">
        <f>IFERROR(IF(AND($CV$2&lt;&gt;"Enter Spend&gt;&gt;&gt;",CW2="EXISTING"),SUMIFS('Existing Customers'!$U:$U,'Existing Customers'!$H:$H,$CU23,'Existing Customers'!$A:$A,$CV$1),DM23*CV23),0)</f>
        <v>0</v>
      </c>
      <c r="DD23" s="1068" t="e">
        <f>_xlfn.CONCAT('Customer Inputs'!$AG$8,"_",CU23)</f>
        <v>#N/A</v>
      </c>
      <c r="DE23" s="1068">
        <f t="array" ref="DE23">IFERROR(INDEX('Margin Guidence Table'!$A$1:$AD$30000,MATCH(1,('Margin Guidence Table'!$A$1:$A$10000=DD23)*('Margin Guidence Table'!$I$1:$I$10000&lt;=ROUND($CV$3,0))*('Margin Guidence Table'!$J$1:$J$10000&gt;=ROUND($CV$3,0)),0),MATCH("DATA_POINTS",'Margin Guidence Table'!$A$1:$AG$1,0)),0)</f>
        <v>0</v>
      </c>
      <c r="DF23" s="1065" t="str">
        <f t="shared" si="31"/>
        <v>DEFAULT</v>
      </c>
      <c r="DG23" s="1065">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65">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69">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69">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69">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69">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69">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69">
        <f t="array" ref="DN23">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8"/>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72" t="e">
        <f t="shared" si="32"/>
        <v>#DIV/0!</v>
      </c>
      <c r="DR23" s="101" t="s">
        <v>101</v>
      </c>
      <c r="DS23" s="93">
        <f>IFERROR(IF(AND($DS$2&lt;&gt;"Enter Spend&gt;&gt;&gt;",DT11="EXISTING"),SUMIFS('Existing Customers'!$Q:$Q,'Existing Customers'!$A:$A,$DS$1,'Existing Customers'!$H:$H,$DR23)*$DS$4,$DS$3*$DQ23),0)</f>
        <v>0</v>
      </c>
      <c r="DT23" s="88">
        <f>IFERROR(IF(AND($DS$2&lt;&gt;"Enter Spend&gt;&gt;&gt;",DT2="EXISTING"),SUMIFS('Existing Customers'!$N:$N,'Existing Customers'!$A:$A,$DS$1,'Existing Customers'!$H:$H,$DR23)*$DS$4,$DS23/$ED23),0)</f>
        <v>0</v>
      </c>
      <c r="DU23" s="94">
        <f>IFERROR(IF(AND($DS$2&lt;&gt;"Enter Spend&gt;&gt;&gt;",DT2="EXISTING"),SUMIFS('Existing Customers'!$O:$O,'Existing Customers'!$H:$H,$DR23,'Existing Customers'!$A:$A,$DS$1)*$DS$4,$DT23*$DS$8),0)</f>
        <v>0</v>
      </c>
      <c r="DV23" s="94">
        <f>IFERROR(IF(AND($DS$2&lt;&gt;"Enter Spend&gt;&gt;&gt;",DT2="EXISTING"),SUMIFS('Existing Customers'!$P:$P,'Existing Customers'!$A:$A,$DS$1,'Existing Customers'!$H:$H,$DR23)*$DS$4,$DS23/$EE23),0)</f>
        <v>0</v>
      </c>
      <c r="DW23" s="95">
        <f>IFERROR(IF(AND($DS$2&lt;&gt;"Enter Spend&gt;&gt;&gt;",EQ2="EXISTING"),SUMIFS('Existing Customers'!$V:$V,'Existing Customers'!$H:$H,$DR23,'Existing Customers'!$A:$A,$DS$1)*$DS$4,0),0)</f>
        <v>0</v>
      </c>
      <c r="DX23" s="95">
        <f>IFERROR(IF(AND($DS$2&lt;&gt;"Enter Spend&gt;&gt;&gt;",DT2="EXISTING"),SUMIFS('Existing Customers'!$R:$R,'Existing Customers'!$H:$H,$DR23,'Existing Customers'!$A:$A,$DS$1)*$DS$4,0),0)</f>
        <v>0</v>
      </c>
      <c r="DY23" s="1065">
        <f>IFERROR(IF(AND($DS$2&lt;&gt;"Enter Spend&gt;&gt;&gt;",DT2="EXISTING"),SUMIFS('Existing Customers'!$S:$S,'Existing Customers'!$H:$H,$DT23,'Existing Customers'!$A:$A,$DS$1),EI23*DS23),0)</f>
        <v>0</v>
      </c>
      <c r="DZ23" s="1065">
        <f>IFERROR(IF(AND($DS$2&lt;&gt;"Enter Spend&gt;&gt;&gt;",DT2="EXISTING"),SUMIFS('Existing Customers'!$U:$U,'Existing Customers'!$H:$H,$DR23,'Existing Customers'!$A:$A,$DS$1),EJ23*DS23),0)</f>
        <v>0</v>
      </c>
      <c r="EA23" s="1068" t="e">
        <f>_xlfn.CONCAT('Customer Inputs'!$AG$9,"_",DR23)</f>
        <v>#N/A</v>
      </c>
      <c r="EB23" s="1068">
        <f t="array" ref="EB23">IFERROR(INDEX('Margin Guidence Table'!$A$1:$AD$30000,MATCH(1,('Margin Guidence Table'!$A$1:$A$10000=EA23)*('Margin Guidence Table'!$I$1:$I$10000&lt;=ROUND($DS$3,0))*('Margin Guidence Table'!$J$1:$J$10000&gt;=ROUND($DS$3,0)),0),MATCH("DATA_POINTS",'Margin Guidence Table'!$A$1:$AG$1,0)),0)</f>
        <v>0</v>
      </c>
      <c r="EC23" s="1065" t="str">
        <f t="shared" si="33"/>
        <v>DEFAULT</v>
      </c>
      <c r="ED23" s="1065">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65">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69">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69">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69">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69">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69">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69">
        <f t="array" ref="EK23">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8"/>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72" t="e">
        <f t="shared" si="34"/>
        <v>#DIV/0!</v>
      </c>
      <c r="EO23" s="101" t="s">
        <v>101</v>
      </c>
      <c r="EP23" s="93">
        <f>IFERROR(IF(AND($EP$2&lt;&gt;"Enter Spend&gt;&gt;&gt;",EQ11="EXISTING"),SUMIFS('Existing Customers'!$Q:$Q,'Existing Customers'!$A:$A,$EP$1,'Existing Customers'!$H:$H,$EO23)*$EP$4,$EP$3*$EN23),0)</f>
        <v>0</v>
      </c>
      <c r="EQ23" s="88">
        <f>IFERROR(IF(AND($EP$2&lt;&gt;"Enter Spend&gt;&gt;&gt;",EQ2="EXISTING"),SUMIFS('Existing Customers'!$N:$N,'Existing Customers'!$A:$A,$EP$1,'Existing Customers'!$H:$H,$EO23)*$EP$4,$EP23/$FA23),0)</f>
        <v>0</v>
      </c>
      <c r="ER23" s="94">
        <f>IFERROR(IF(AND($EP$2&lt;&gt;"Enter Spend&gt;&gt;&gt;",EQ2="EXISTING"),SUMIFS('Existing Customers'!$O:$O,'Existing Customers'!$H:$H,$EO23,'Existing Customers'!$A:$A,$EP$1)*$EP$4,$EQ23*$EP$8),0)</f>
        <v>0</v>
      </c>
      <c r="ES23" s="94">
        <f>IFERROR(IF(AND($EP$2&lt;&gt;"Enter Spend&gt;&gt;&gt;",EQ2="EXISTING"),SUMIFS('Existing Customers'!$P:$P,'Existing Customers'!$A:$A,$EP$1,'Existing Customers'!$H:$H,$EO23)*$EP$4,$EP23/$FB23),0)</f>
        <v>0</v>
      </c>
      <c r="ET23" s="95">
        <f>IFERROR(IF(AND($EP$2&lt;&gt;"Enter Spend&gt;&gt;&gt;",EQ2="EXISTING"),SUMIFS('Existing Customers'!$V:$V,'Existing Customers'!$H:$H,$EO23,'Existing Customers'!$A:$A,$EP$1)*$EP$4,0),0)</f>
        <v>0</v>
      </c>
      <c r="EU23" s="95">
        <f>IFERROR(IF(AND($EP$2&lt;&gt;"Enter Spend&gt;&gt;&gt;",EQ2="EXISTING"),SUMIFS('Existing Customers'!$R:$R,'Existing Customers'!$H:$H,$EO23,'Existing Customers'!$A:$A,$EP$1)*$EP$4,0),0)</f>
        <v>0</v>
      </c>
      <c r="EV23" s="1065">
        <f>IFERROR(IF(AND($EP$2&lt;&gt;"Enter Spend&gt;&gt;&gt;",EQ2="EXISTING"),SUMIFS('Existing Customers'!$S:$S,'Existing Customers'!$H:$H,$EO23,'Existing Customers'!$A:$A,$EP$1),FF23*EP23),0)</f>
        <v>0</v>
      </c>
      <c r="EW23" s="1065">
        <f>IFERROR(IF(AND($EP$2&lt;&gt;"Enter Spend&gt;&gt;&gt;",EQ2="EXISTING"),SUMIFS('Existing Customers'!$U:$U,'Existing Customers'!$H:$H,$EO23,'Existing Customers'!$A:$A,$EP$1),FG23*EP23),0)</f>
        <v>0</v>
      </c>
      <c r="EX23" s="1068" t="e">
        <f>_xlfn.CONCAT('Customer Inputs'!$AG$10,"_",EO23)</f>
        <v>#N/A</v>
      </c>
      <c r="EY23" s="1068">
        <f t="array" ref="EY23">IFERROR(INDEX('Margin Guidence Table'!$A$1:$AD$30000,MATCH(1,('Margin Guidence Table'!$A$1:$A$10000=EX23)*('Margin Guidence Table'!$I$1:$I$10000&lt;=ROUND($EP$3,0))*('Margin Guidence Table'!$J$1:$J$10000&gt;=ROUND($EP$3,0)),0),MATCH("DATA_POINTS",'Margin Guidence Table'!$A$1:$AG$1,0)),0)</f>
        <v>0</v>
      </c>
      <c r="EZ23" s="1065" t="str">
        <f t="shared" si="35"/>
        <v>DEFAULT</v>
      </c>
      <c r="FA23" s="1065">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65"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69">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69">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69">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69">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69">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69">
        <f t="array" ref="FH23">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8"/>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72" t="e">
        <f t="shared" si="36"/>
        <v>#DIV/0!</v>
      </c>
      <c r="FL23" s="101" t="s">
        <v>101</v>
      </c>
      <c r="FM23" s="93">
        <f>IFERROR(IF(AND($FM$2&lt;&gt;"Enter Spend&gt;&gt;&gt;",FN11="EXISTING"),SUMIFS('Existing Customers'!$Q:$Q,'Existing Customers'!$A:$A,$FM$1,'Existing Customers'!$H:$H,$FL23)*$FM$4,$FM$3*$FK23),0)</f>
        <v>0</v>
      </c>
      <c r="FN23" s="88">
        <f>IFERROR(IF(AND($FM$2&lt;&gt;"Enter Spend&gt;&gt;&gt;",FN2="EXISTING"),SUMIFS('Existing Customers'!$N:$N,'Existing Customers'!$A:$A,$FM$1,'Existing Customers'!$H:$H,$FL23)*$FM$4,$FM23/$FX23),0)</f>
        <v>0</v>
      </c>
      <c r="FO23" s="94">
        <f>IFERROR(IF(AND($FM$2&lt;&gt;"Enter Spend&gt;&gt;&gt;",FN2="EXISTING"),SUMIFS('Existing Customers'!$O:$O,'Existing Customers'!$H:$H,$FL23,'Existing Customers'!$A:$A,$FM$1)*$FM$4,$FN23*$FM$8),0)</f>
        <v>0</v>
      </c>
      <c r="FP23" s="94">
        <f>IFERROR(IF(AND($FM$2&lt;&gt;"Enter Spend&gt;&gt;&gt;",FN2="EXISTING"),SUMIFS('Existing Customers'!$P:$P,'Existing Customers'!$A:$A,$FM$1,'Existing Customers'!$H:$H,$FL23)*$FM$4,$FM23/$FY23),0)</f>
        <v>0</v>
      </c>
      <c r="FQ23" s="95">
        <f>IFERROR(IF(AND($FM$2&lt;&gt;"Enter Spend&gt;&gt;&gt;",FN2="EXISTING"),SUMIFS('Existing Customers'!$V:$V,'Existing Customers'!$H:$H,$FL23,'Existing Customers'!$A:$A,$FM$1)*$FM$4,0),0)</f>
        <v>0</v>
      </c>
      <c r="FR23" s="95">
        <f>IFERROR(IF(AND($FM$2&lt;&gt;"Enter Spend&gt;&gt;&gt;",FN2="EXISTING"),SUMIFS('Existing Customers'!$R:$R,'Existing Customers'!$H:$H,$FL23,'Existing Customers'!$A:$A,$FM$1)*$FM$4,0),0)</f>
        <v>0</v>
      </c>
      <c r="FS23" s="1065">
        <f>IFERROR(IF(AND($FM$2&lt;&gt;"Enter Spend&gt;&gt;&gt;",FN2="EXISTING"),SUMIFS('Existing Customers'!$S:$S,'Existing Customers'!$H:$H,$FL23,'Existing Customers'!$A:$A,$FM$1),GC23*FM23),0)</f>
        <v>0</v>
      </c>
      <c r="FT23" s="1065">
        <f>IFERROR(IF(AND($FM$2&lt;&gt;"Enter Spend&gt;&gt;&gt;",FN2="EXISTING"),SUMIFS('Existing Customers'!$U:$U,'Existing Customers'!$H:$H,$FL23,'Existing Customers'!$A:$A,$FM$1),GD23*FM23),0)</f>
        <v>0</v>
      </c>
      <c r="FU23" s="1068" t="e">
        <f>_xlfn.CONCAT('Customer Inputs'!$AG$11,"_",FL23)</f>
        <v>#N/A</v>
      </c>
      <c r="FV23" s="1068">
        <f t="array" ref="FV23">IFERROR(INDEX('Margin Guidence Table'!$A$1:$AD$30000,MATCH(1,('Margin Guidence Table'!$A$1:$A$10000=FU23)*('Margin Guidence Table'!$I$1:$I$10000&lt;=ROUND($FM$3,0))*('Margin Guidence Table'!$J$1:$J$10000&gt;=ROUND($FM$3,0)),0),MATCH("DATA_POINTS",'Margin Guidence Table'!$A$1:$AG$1,0)),0)</f>
        <v>0</v>
      </c>
      <c r="FW23" s="1065" t="str">
        <f t="shared" si="37"/>
        <v>DEFAULT</v>
      </c>
      <c r="FX23" s="1065">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65">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69">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69">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69">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69">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69">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69">
        <f t="array" ref="GE23">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8"/>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72" t="e">
        <f t="shared" si="38"/>
        <v>#DIV/0!</v>
      </c>
      <c r="GI23" s="101" t="s">
        <v>101</v>
      </c>
      <c r="GJ23" s="93">
        <f>IFERROR(IF(AND($GJ$2&lt;&gt;"Enter Spend&gt;&gt;&gt;",GK11="EXISTING"),SUMIFS('Existing Customers'!$Q:$Q,'Existing Customers'!$A:$A,$GJ$1,'Existing Customers'!$H:$H,$GI23)*$GJ$4,$GJ$3*$GH23),0)</f>
        <v>0</v>
      </c>
      <c r="GK23" s="88">
        <f>IFERROR(IF(AND($GJ$2&lt;&gt;"Enter Spend&gt;&gt;&gt;",GK2="EXISTING"),SUMIFS('Existing Customers'!$N:$N,'Existing Customers'!$A:$A,$GJ$1,'Existing Customers'!$H:$H,$GI23)*$GJ$4,$GJ23/$GU23),0)</f>
        <v>0</v>
      </c>
      <c r="GL23" s="94">
        <f>IFERROR(IF(AND($GJ$2&lt;&gt;"Enter Spend&gt;&gt;&gt;",GK2="EXISTING"),SUMIFS('Existing Customers'!$O:$O,'Existing Customers'!$H:$H,$GI23,'Existing Customers'!$A:$A,$GJ$1)*$GJ$4,$GK23*$GJ$8),0)</f>
        <v>0</v>
      </c>
      <c r="GM23" s="94">
        <f>IFERROR(IF(AND($GJ$2&lt;&gt;"Enter Spend&gt;&gt;&gt;",GK2="EXISTING"),SUMIFS('Existing Customers'!$P:$P,'Existing Customers'!$A:$A,$GJ$1,'Existing Customers'!$H:$H,$GI23)*$GJ$4,$GJ23/$GV23),0)</f>
        <v>0</v>
      </c>
      <c r="GN23" s="95">
        <f>IFERROR(IF(AND($GJ$2&lt;&gt;"Enter Spend&gt;&gt;&gt;",GK2="EXISTING"),SUMIFS('Existing Customers'!$V:$V,'Existing Customers'!$H:$H,$GI23,'Existing Customers'!$A:$A,$GJ$1)*$GJ$4,0),0)</f>
        <v>0</v>
      </c>
      <c r="GO23" s="95">
        <f>IFERROR(IF(AND($GJ$2&lt;&gt;"Enter Spend&gt;&gt;&gt;",GK2="EXISTING"),SUMIFS('Existing Customers'!$R:$R,'Existing Customers'!$H:$H,$GI23,'Existing Customers'!$A:$A,$GJ$1)*$GJ$4,0),0)</f>
        <v>0</v>
      </c>
      <c r="GP23" s="1065">
        <f>IFERROR(IF(AND($GJ$2&lt;&gt;"Enter Spend&gt;&gt;&gt;",GK2="EXISTING"),SUMIFS('Existing Customers'!$S:$S,'Existing Customers'!$H:$H,$GI23,'Existing Customers'!$A:$A,$GJ$1),GZ23*GJ23),0)</f>
        <v>0</v>
      </c>
      <c r="GQ23" s="1065">
        <f>IFERROR(IF(AND($GJ$2&lt;&gt;"Enter Spend&gt;&gt;&gt;",GK2="EXISTING"),SUMIFS('Existing Customers'!$U:$U,'Existing Customers'!$H:$H,$GI23,'Existing Customers'!$A:$A,$GJ$1),HA23*GJ23),0)</f>
        <v>0</v>
      </c>
      <c r="GR23" s="1068" t="e">
        <f>_xlfn.CONCAT('Customer Inputs'!$AG$12,"_",GI23)</f>
        <v>#N/A</v>
      </c>
      <c r="GS23" s="1068">
        <f t="array" ref="GS23">IFERROR(INDEX('Margin Guidence Table'!$A$1:$AD$30000,MATCH(1,('Margin Guidence Table'!$A$1:$A$10000=GR23)*('Margin Guidence Table'!$I$1:$I$10000&lt;=ROUND($GJ$3,0))*('Margin Guidence Table'!$J$1:$J$10000&gt;=ROUND($GJ$3,0)),0),MATCH("DATA_POINTS",'Margin Guidence Table'!$A$1:$AG$1,0)),0)</f>
        <v>0</v>
      </c>
      <c r="GT23" s="1065" t="str">
        <f t="shared" si="39"/>
        <v>DEFAULT</v>
      </c>
      <c r="GU23" s="1065">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65">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69">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69">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69">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69">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69">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69">
        <f t="array" ref="HB23">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8"/>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72" t="e">
        <f t="shared" si="40"/>
        <v>#DIV/0!</v>
      </c>
      <c r="HF23" s="101" t="s">
        <v>101</v>
      </c>
      <c r="HG23" s="93">
        <f>IFERROR(IF(AND($HG$2&lt;&gt;"Enter Spend&gt;&gt;&gt;",HH11="EXISTING"),SUMIFS('Existing Customers'!$Q:$Q,'Existing Customers'!$A:$A,$HG$1,'Existing Customers'!$H:$H,$HF23)*$HG$4,$HG$3*$HE23),0)</f>
        <v>0</v>
      </c>
      <c r="HH23" s="88">
        <f>IFERROR(IF(AND($HG$2&lt;&gt;"Enter Spend&gt;&gt;&gt;",HH2="EXISTING"),SUMIFS('Existing Customers'!$N:$N,'Existing Customers'!$A:$A,$HG$1,'Existing Customers'!$H:$H,$HF23)*$HG$4,$HG23/$HR23),0)</f>
        <v>0</v>
      </c>
      <c r="HI23" s="94">
        <f>IFERROR(IF(AND($HG$2&lt;&gt;"Enter Spend&gt;&gt;&gt;",HH2="EXISTING"),SUMIFS('Existing Customers'!$O:$O,'Existing Customers'!$H:$H,$HF23,'Existing Customers'!$A:$A,$HG$1)*$HG$4,$HH23*$HG$8),0)</f>
        <v>0</v>
      </c>
      <c r="HJ23" s="94">
        <f>IFERROR(IF(AND($HG$2&lt;&gt;"Enter Spend&gt;&gt;&gt;",HH2="EXISTING"),SUMIFS('Existing Customers'!$P:$P,'Existing Customers'!$A:$A,$HG$1,'Existing Customers'!$H:$H,$HF23)*$HG$4,$HG23/$HS23),0)</f>
        <v>0</v>
      </c>
      <c r="HK23" s="95">
        <f>IFERROR(IF(AND($HG$2&lt;&gt;"Enter Spend&gt;&gt;&gt;",HH2="EXISTING"),SUMIFS('Existing Customers'!$V:$V,'Existing Customers'!$H:$H,$HF23,'Existing Customers'!$A:$A,$HG$1)*$HG$4,0),0)</f>
        <v>0</v>
      </c>
      <c r="HL23" s="95">
        <f>IFERROR(IF(AND($HG$2&lt;&gt;"Enter Spend&gt;&gt;&gt;",HH2="EXISTING"),SUMIFS('Existing Customers'!$R:$R,'Existing Customers'!$H:$H,$HF23,'Existing Customers'!$A:$A,$HG$1)*$HG$4,0),0)</f>
        <v>0</v>
      </c>
      <c r="HM23" s="1065">
        <f>IFERROR(IF(AND($HG$2&lt;&gt;"Enter Spend&gt;&gt;&gt;",HH2="EXISTING"),SUMIFS('Existing Customers'!$S:$S,'Existing Customers'!$H:$H,$HF23,'Existing Customers'!$A:$A,$HG$1),HW23*HG23),0)</f>
        <v>0</v>
      </c>
      <c r="HN23" s="1065">
        <f>IFERROR(IF(AND($HG$2&lt;&gt;"Enter Spend&gt;&gt;&gt;",HH2="EXISTING"),SUMIFS('Existing Customers'!$U:$U,'Existing Customers'!$H:$H,$HF23,'Existing Customers'!$A:$A,$HG$1),HX23*HG23),0)</f>
        <v>0</v>
      </c>
      <c r="HO23" s="1068" t="e">
        <f>_xlfn.CONCAT('Customer Inputs'!$AG$13,"_",HF23)</f>
        <v>#N/A</v>
      </c>
      <c r="HP23" s="1068">
        <f t="array" ref="HP23">IFERROR(INDEX('Margin Guidence Table'!$A$1:$AD$30000,MATCH(1,('Margin Guidence Table'!$A$1:$A$10000=HO23)*('Margin Guidence Table'!$I$1:$I$10000&lt;=ROUND($HG$3,0))*('Margin Guidence Table'!$J$1:$J$10000&gt;=ROUND($HG$3,0)),0),MATCH("DATA_POINTS",'Margin Guidence Table'!$A$1:$AG$1,0)),0)</f>
        <v>0</v>
      </c>
      <c r="HQ23" s="1065" t="str">
        <f t="shared" si="41"/>
        <v>DEFAULT</v>
      </c>
      <c r="HR23" s="1065">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65">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69">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69">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69">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69">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69">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69">
        <f t="array" ref="HY23">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8"/>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72" t="e">
        <f t="shared" si="42"/>
        <v>#DIV/0!</v>
      </c>
      <c r="IC23" s="101" t="s">
        <v>101</v>
      </c>
      <c r="ID23" s="93">
        <f>IFERROR(IF(AND($ID$2&lt;&gt;"Enter Spend&gt;&gt;&gt;",IE11="EXISTING"),SUMIFS('Existing Customers'!$Q:$Q,'Existing Customers'!$A:$A,$ID$1,'Existing Customers'!$H:$H,$IC23)*$ID$4,$ID$3*$IB23),0)</f>
        <v>0</v>
      </c>
      <c r="IE23" s="88">
        <f>IFERROR(IF(AND($ID$2&lt;&gt;"Enter Spend&gt;&gt;&gt;",IE2="EXISTING"),SUMIFS('Existing Customers'!$N:$N,'Existing Customers'!$A:$A,$ID$1,'Existing Customers'!$H:$H,$IC23)*$ID$4,$ID23/$IO23),0)</f>
        <v>0</v>
      </c>
      <c r="IF23" s="94">
        <f>IFERROR(IF(AND($ID$2&lt;&gt;"Enter Spend&gt;&gt;&gt;",IE2="EXISTING"),SUMIFS('Existing Customers'!$O:$O,'Existing Customers'!$H:$H,$IC23,'Existing Customers'!$A:$A,$ID$1)*$ID$4,$IE23*$ID$8),0)</f>
        <v>0</v>
      </c>
      <c r="IG23" s="94">
        <f>IFERROR(IF(AND($ID$2&lt;&gt;"Enter Spend&gt;&gt;&gt;",IE2="EXISTING"),SUMIFS('Existing Customers'!$P:$P,'Existing Customers'!$A:$A,$ID$1,'Existing Customers'!$H:$H,$IC23)*$ID$4,$ID23/$IP23),0)</f>
        <v>0</v>
      </c>
      <c r="IH23" s="378">
        <f>IFERROR(IF(AND($ID$2&lt;&gt;"Enter Spend&gt;&gt;&gt;",IE2="EXISTING"),SUMIFS('Existing Customers'!$V:$V,'Existing Customers'!$H:$H,$IC23,'Existing Customers'!$A:$A,$ID$1)*$ID$4,0),0)</f>
        <v>0</v>
      </c>
      <c r="II23" s="95">
        <f>IFERROR(IF(AND($ID$2&lt;&gt;"Enter Spend&gt;&gt;&gt;",IE2="EXISTING"),SUMIFS('Existing Customers'!$R:$R,'Existing Customers'!$H:$H,$IC23,'Existing Customers'!$A:$A,$ID$1)*$ID$4,0),0)</f>
        <v>0</v>
      </c>
      <c r="IJ23" s="1065">
        <f>IFERROR(IF(AND($ID$2&lt;&gt;"Enter Spend&gt;&gt;&gt;",IE2="EXISTING"),SUMIFS('Existing Customers'!$S:$S,'Existing Customers'!$H:$H,$IC23,'Existing Customers'!$A:$A,$ID$1),IT23*ID23),0)</f>
        <v>0</v>
      </c>
      <c r="IK23" s="1065">
        <f>IFERROR(IF(AND($ID$2&lt;&gt;"Enter Spend&gt;&gt;&gt;",IE2="EXISTING"),SUMIFS('Existing Customers'!$U:$U,'Existing Customers'!$H:$H,$IC23,'Existing Customers'!$A:$A,$ID$1),IU23*ID23),0)</f>
        <v>0</v>
      </c>
      <c r="IL23" s="1068" t="e">
        <f>_xlfn.CONCAT('Customer Inputs'!$AG$14,"_",IC23)</f>
        <v>#N/A</v>
      </c>
      <c r="IM23" s="1068">
        <f t="array" ref="IM23">IFERROR(INDEX('Margin Guidence Table'!$A$1:$AD$30000,MATCH(1,('Margin Guidence Table'!$A$1:$A$10000=IL23)*('Margin Guidence Table'!$I$1:$I$10000&lt;=ROUND($ID$3,0))*('Margin Guidence Table'!$J$1:$J$10000&gt;=ROUND($ID$3,0)),0),MATCH("DATA_POINTS",'Margin Guidence Table'!$A$1:$AG$1,0)),0)</f>
        <v>0</v>
      </c>
      <c r="IN23" s="1065" t="str">
        <f t="shared" si="43"/>
        <v>DEFAULT</v>
      </c>
      <c r="IO23" s="1065">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65">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69">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69">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69">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69">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69">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69">
        <f t="array" ref="IV23">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8"/>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72" t="e">
        <f t="shared" si="44"/>
        <v>#DIV/0!</v>
      </c>
      <c r="IZ23" s="101" t="s">
        <v>101</v>
      </c>
      <c r="JA23" s="93">
        <f>IFERROR(IF(AND($JA$2&lt;&gt;"Enter Spend&gt;&gt;&gt;",JB11="EXISTING"),SUMIFS('Existing Customers'!$Q:$Q,'Existing Customers'!$A:$A,$JA$1,'Existing Customers'!$H:$H,$IZ23)*$JA$4,$JA$3*$IY23),0)</f>
        <v>0</v>
      </c>
      <c r="JB23" s="88">
        <f>IFERROR(IF(AND($JA$2&lt;&gt;"Enter Spend&gt;&gt;&gt;",JB2="EXISTING"),SUMIFS('Existing Customers'!$N:$N,'Existing Customers'!$A:$A,$JA$1,'Existing Customers'!$H:$H,$IZ23)*$JA$4,$JA23/$JL23),0)</f>
        <v>0</v>
      </c>
      <c r="JC23" s="94">
        <f>IFERROR(IF(AND($JA$2&lt;&gt;"Enter Spend&gt;&gt;&gt;",JB2="EXISTING"),SUMIFS('Existing Customers'!$O:$O,'Existing Customers'!$H:$H,$IZ23,'Existing Customers'!$A:$A,$JA$1)*$JA$4,$JB23*$JA$8),0)</f>
        <v>0</v>
      </c>
      <c r="JD23" s="94">
        <f>IFERROR(IF(AND($JA$2&lt;&gt;"Enter Spend&gt;&gt;&gt;",JB2="EXISTING"),SUMIFS('Existing Customers'!$P:$P,'Existing Customers'!$A:$A,$JA$1,'Existing Customers'!$H:$H,$IZ23)*$JA$4,$JA23/$JM23),0)</f>
        <v>0</v>
      </c>
      <c r="JE23" s="378">
        <f>IFERROR(IF(AND($JA$2&lt;&gt;"Enter Spend&gt;&gt;&gt;",JB2="EXISTING"),SUMIFS('Existing Customers'!$V:$V,'Existing Customers'!$H:$H,$IZ23,'Existing Customers'!$A:$A,$JA$1)*$JA$4,0),0)</f>
        <v>0</v>
      </c>
      <c r="JF23" s="95">
        <f>IFERROR(IF(AND($JA$2&lt;&gt;"Enter Spend&gt;&gt;&gt;",JB2="EXISTING"),SUMIFS('Existing Customers'!$R:$R,'Existing Customers'!$H:$H,$IZ23,'Existing Customers'!$A:$A,$JA$1)*$JA$4,0),0)</f>
        <v>0</v>
      </c>
      <c r="JG23" s="1065">
        <f>IFERROR(IF(AND($JA$2&lt;&gt;"Enter Spend&gt;&gt;&gt;",JB2="EXISTING"),SUMIFS('Existing Customers'!$S:$S,'Existing Customers'!$H:$H,$IZ23,'Existing Customers'!$A:$A,$JA$1),JQ23*JA23),0)</f>
        <v>0</v>
      </c>
      <c r="JH23" s="1065">
        <f>IFERROR(IF(AND($JA$2&lt;&gt;"Enter Spend&gt;&gt;&gt;",JB2="EXISTING"),SUMIFS('Existing Customers'!$U:$U,'Existing Customers'!$H:$H,$IZ23,'Existing Customers'!$A:$A,$JA$1),JR23*JA23),0)</f>
        <v>0</v>
      </c>
      <c r="JI23" s="1068" t="e">
        <f>_xlfn.CONCAT('Customer Inputs'!$AG$15,"_",IZ23)</f>
        <v>#N/A</v>
      </c>
      <c r="JJ23" s="1068">
        <f t="array" ref="JJ23">IFERROR(INDEX('Margin Guidence Table'!$A$1:$AD$30000,MATCH(1,('Margin Guidence Table'!$A$1:$A$10000=JI23)*('Margin Guidence Table'!$I$1:$I$10000&lt;=ROUND($JA$3,0))*('Margin Guidence Table'!$J$1:$J$10000&gt;=ROUND($JA$3,0)),0),MATCH("DATA_POINTS",'Margin Guidence Table'!$A$1:$AG$1,0)),0)</f>
        <v>0</v>
      </c>
      <c r="JK23" s="1065" t="str">
        <f t="shared" si="45"/>
        <v>DEFAULT</v>
      </c>
      <c r="JL23" s="1065">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65">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69">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69">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69">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69">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69">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69">
        <f t="array" ref="JS23">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101" t="s">
        <v>101</v>
      </c>
      <c r="JV23" s="96"/>
      <c r="JW23" s="88"/>
      <c r="JX23" s="88"/>
      <c r="JY23" s="88"/>
      <c r="JZ23" s="113"/>
      <c r="KA23" s="97"/>
      <c r="KB23" s="128"/>
      <c r="KD23" s="101" t="s">
        <v>101</v>
      </c>
      <c r="KE23" s="96"/>
      <c r="KF23" s="88"/>
      <c r="KG23" s="88"/>
      <c r="KH23" s="88"/>
      <c r="KI23" s="113"/>
      <c r="KJ23" s="97"/>
    </row>
    <row r="24" spans="2:296" ht="15.75" thickBot="1" x14ac:dyDescent="0.3">
      <c r="B24" s="101" t="s">
        <v>97</v>
      </c>
      <c r="C24" s="451">
        <f t="shared" si="11"/>
        <v>0</v>
      </c>
      <c r="D24" s="467">
        <f t="shared" si="12"/>
        <v>0</v>
      </c>
      <c r="E24" s="467">
        <f t="shared" si="13"/>
        <v>0</v>
      </c>
      <c r="F24" s="467">
        <f t="shared" si="14"/>
        <v>0</v>
      </c>
      <c r="G24" s="468">
        <f t="shared" si="15"/>
        <v>0</v>
      </c>
      <c r="H24" s="467">
        <f t="shared" si="16"/>
        <v>0</v>
      </c>
      <c r="I24" s="1061" t="e">
        <f t="shared" si="0"/>
        <v>#DIV/0!</v>
      </c>
      <c r="J24" s="1061" t="e">
        <f t="shared" si="1"/>
        <v>#DIV/0!</v>
      </c>
      <c r="K24" s="1061" t="e">
        <f t="shared" si="2"/>
        <v>#DIV/0!</v>
      </c>
      <c r="L24" s="467" t="e">
        <f t="shared" si="3"/>
        <v>#DIV/0!</v>
      </c>
      <c r="M24" s="467" t="e">
        <f t="shared" si="17"/>
        <v>#DIV/0!</v>
      </c>
      <c r="N24" s="1062" t="e">
        <f t="shared" si="4"/>
        <v>#DIV/0!</v>
      </c>
      <c r="P24" t="str">
        <f>'PIM Model'!E20</f>
        <v>INCLUDE</v>
      </c>
      <c r="Q24">
        <f t="shared" si="18"/>
        <v>0</v>
      </c>
      <c r="R24">
        <f t="shared" si="19"/>
        <v>0</v>
      </c>
      <c r="S24" s="101" t="s">
        <v>97</v>
      </c>
      <c r="T24" s="96">
        <f t="shared" si="20"/>
        <v>0</v>
      </c>
      <c r="U24" s="88">
        <f t="shared" si="5"/>
        <v>0</v>
      </c>
      <c r="V24" s="88">
        <f t="shared" si="6"/>
        <v>0</v>
      </c>
      <c r="W24" s="88">
        <f t="shared" si="7"/>
        <v>0</v>
      </c>
      <c r="X24" s="113">
        <f t="shared" si="8"/>
        <v>0</v>
      </c>
      <c r="Y24" s="116">
        <f t="shared" si="21"/>
        <v>0</v>
      </c>
      <c r="Z24" s="376"/>
      <c r="AA24" s="101" t="s">
        <v>97</v>
      </c>
      <c r="AB24" s="455">
        <f t="shared" si="9"/>
        <v>0</v>
      </c>
      <c r="AC24" s="456">
        <f t="shared" si="9"/>
        <v>0</v>
      </c>
      <c r="AD24" s="456">
        <f t="shared" si="9"/>
        <v>0</v>
      </c>
      <c r="AE24" s="457">
        <f t="shared" si="22"/>
        <v>0</v>
      </c>
      <c r="AF24" s="458">
        <f t="shared" si="23"/>
        <v>0</v>
      </c>
      <c r="AG24" s="376"/>
      <c r="AH24" s="101" t="s">
        <v>97</v>
      </c>
      <c r="AI24" s="455">
        <f t="shared" si="10"/>
        <v>0</v>
      </c>
      <c r="AJ24" s="452">
        <f t="shared" si="24"/>
        <v>0</v>
      </c>
      <c r="AK24" s="458"/>
      <c r="AL24" s="376"/>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76">
        <f>VLOOKUP($AH24&amp;$AM24,'IMargin Quartiles'!$A:$F,6,FALSE)</f>
        <v>0.17</v>
      </c>
      <c r="AO24" s="376"/>
      <c r="AP24"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Q24" s="376" t="e">
        <f t="shared" si="25"/>
        <v>#DIV/0!</v>
      </c>
      <c r="AR24">
        <f>'PIM Model'!C20</f>
        <v>0</v>
      </c>
      <c r="AS24" s="376"/>
      <c r="AT24" s="376"/>
      <c r="AU24" s="376" t="e">
        <f t="shared" si="46"/>
        <v>#DIV/0!</v>
      </c>
      <c r="AV24" s="376"/>
      <c r="AW24" s="376"/>
      <c r="AX24" s="107">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72" t="e">
        <f t="shared" si="26"/>
        <v>#DIV/0!</v>
      </c>
      <c r="BA24" s="101" t="s">
        <v>97</v>
      </c>
      <c r="BB24" s="93">
        <f>IFERROR(IF(AND($BB$2&lt;&gt;"Enter Spend&gt;&gt;&gt;",BC12="EXISTING"),SUMIFS('Existing Customers'!$Q:$Q,'Existing Customers'!$A:$A,$BB$1,'Existing Customers'!$H:$H,$BA24)*$BB$4,$BB$3*$AZ24),0)</f>
        <v>0</v>
      </c>
      <c r="BC24" s="94">
        <f>IFERROR(IF(AND($BB$2&lt;&gt;"Enter Spend&gt;&gt;&gt;",BC2="EXISTING"),SUMIFS('Existing Customers'!$N:$N,'Existing Customers'!$A:$A,$BB$1,'Existing Customers'!$H:$H,$BA24)*$BB$4,$BB24/$BM24),0)</f>
        <v>0</v>
      </c>
      <c r="BD24" s="94">
        <f>IFERROR(IF(AND($BB$2&lt;&gt;"Enter Spend&gt;&gt;&gt;",BC2="EXISTING"),SUMIFS('Existing Customers'!$O:$O,'Existing Customers'!$H:$H,$BA24,'Existing Customers'!$A:$A,$BB$1)*$BB$4,$BC24*$BB$8),0)</f>
        <v>0</v>
      </c>
      <c r="BE24" s="94">
        <f>IFERROR(IF(AND($BB$2&lt;&gt;"Enter Spend&gt;&gt;&gt;",BC2="EXISTING"),SUMIFS('Existing Customers'!$P:$P,'Existing Customers'!$A:$A,$BB$1,'Existing Customers'!$H:$H,$BA24)*$BB$4,$BB24/$BN24),0)</f>
        <v>0</v>
      </c>
      <c r="BF24" s="378">
        <f>IFERROR(IF(AND($BB$2&lt;&gt;"Enter Spend&gt;&gt;&gt;",BC2="EXISTING"),SUMIFS('Existing Customers'!$V:$V,'Existing Customers'!$H:$H,$BA24,'Existing Customers'!$A:$A,$BB$1)*$BB$4,0),0)</f>
        <v>0</v>
      </c>
      <c r="BG24" s="95">
        <f>IFERROR(IF(AND($BB$2&lt;&gt;"Enter Spend&gt;&gt;&gt;",BC2="EXISTING"),SUMIFS('Existing Customers'!$R:$R,'Existing Customers'!$H:$H,$BA24,'Existing Customers'!$A:$A,$BB$1)*$BB$4,0),0)</f>
        <v>0</v>
      </c>
      <c r="BH24" s="95">
        <f>IFERROR(IF(AND($BB$2&lt;&gt;"Enter Spend&gt;&gt;&gt;",BC2="EXISTING"),SUMIFS('Existing Customers'!$S:$S,'Existing Customers'!$H:$H,$BA24,'Existing Customers'!$A:$A,$BB$1),BR24*BB24),0)</f>
        <v>0</v>
      </c>
      <c r="BI24" s="95">
        <f>IFERROR(IF(AND($BB$2&lt;&gt;"Enter Spend&gt;&gt;&gt;",BC2="EXISTING"),SUMIFS('Existing Customers'!$U:$U,'Existing Customers'!$H:$H,$BA24,'Existing Customers'!$A:$A,$BB$1),BS24*BB24),0)</f>
        <v>0</v>
      </c>
      <c r="BJ24" s="1067" t="e">
        <f>_xlfn.CONCAT('Customer Inputs'!$AG$6,"_",BA24)</f>
        <v>#N/A</v>
      </c>
      <c r="BK24" s="1068">
        <f t="array" ref="BK24">IFERROR(INDEX('Margin Guidence Table'!$A$1:$AD$30000,MATCH(1,('Margin Guidence Table'!$A$1:$A$10000=$BJ24)*('Margin Guidence Table'!$I$1:$I$10000&lt;=ROUND($BB$3,0))*('Margin Guidence Table'!$J$1:$J$10000&gt;=ROUND($BB$3,0)),0),MATCH("DATA_POINTS",'Margin Guidence Table'!$A$1:$AG$1,0)),0)</f>
        <v>0</v>
      </c>
      <c r="BL24" s="1065" t="str">
        <f t="shared" si="27"/>
        <v>DEFAULT</v>
      </c>
      <c r="BM24" s="1065">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65">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69">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69">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69">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69">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69">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69">
        <f t="array" ref="BT24">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8"/>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72" t="e">
        <f t="shared" si="28"/>
        <v>#DIV/0!</v>
      </c>
      <c r="BX24" s="101" t="s">
        <v>97</v>
      </c>
      <c r="BY24" s="93">
        <f>IFERROR(IF(AND($BY$2&lt;&gt;"Enter Spend&gt;&gt;&gt;",BZ12="EXISTING"),SUMIFS('Existing Customers'!$Q:$Q,'Existing Customers'!$A:$A,$BY$1,'Existing Customers'!$H:$H,$BX24)*$BY$4,$BY$3*$BW24),0)</f>
        <v>0</v>
      </c>
      <c r="BZ24" s="88">
        <f>IFERROR(IF(AND($BY$2&lt;&gt;"Enter Spend&gt;&gt;&gt;",BZ2="EXISTING"),SUMIFS('Existing Customers'!$N:$N,'Existing Customers'!$A:$A,$BY$1,'Existing Customers'!$H:$H,$BX24)*$BY$4,$BY24/$CJ24),0)</f>
        <v>0</v>
      </c>
      <c r="CA24" s="94">
        <f>IFERROR(IF(AND($BY$2&lt;&gt;"Enter Spend&gt;&gt;&gt;",BZ2="EXISTING"),SUMIFS('Existing Customers'!$O:$O,'Existing Customers'!$H:$H,$BX24,'Existing Customers'!$A:$A,$BY$1)*$BY$4,$BZ24*$BY$8),0)</f>
        <v>0</v>
      </c>
      <c r="CB24" s="94">
        <f>IFERROR(IF(AND($BY$2&lt;&gt;"Enter Spend&gt;&gt;&gt;",BZ2="EXISTING"),SUMIFS('Existing Customers'!$P:$P,'Existing Customers'!$A:$A,$BY$1,'Existing Customers'!$H:$H,$BX24)*$BY$4,$BY24/$CK24),0)</f>
        <v>0</v>
      </c>
      <c r="CC24" s="95">
        <f>IFERROR(IF(AND($BY$2&lt;&gt;"Enter Spend&gt;&gt;&gt;",BZ2="EXISTING"),SUMIFS('Existing Customers'!$V:$V,'Existing Customers'!$H:$H,$BX24,'Existing Customers'!$A:$A,$BY$1)*$BY$4,0),0)</f>
        <v>0</v>
      </c>
      <c r="CD24" s="95">
        <f>IFERROR(IF(AND($BY$2&lt;&gt;"Enter Spend&gt;&gt;&gt;",BZ2="EXISTING"),SUMIFS('Existing Customers'!$R:$R,'Existing Customers'!$H:$H,$BX24,'Existing Customers'!$A:$A,$BY$1)*$BY$4,0),0)</f>
        <v>0</v>
      </c>
      <c r="CE24" s="1065">
        <f>IFERROR(IF(AND($BY$2&lt;&gt;"Enter Spend&gt;&gt;&gt;",BZ2="EXISTING"),SUMIFS('Existing Customers'!$S:$S,'Existing Customers'!$H:$H,$BX24,'Existing Customers'!$A:$A,$BY$1),CO24*BY24),0)</f>
        <v>0</v>
      </c>
      <c r="CF24" s="1065">
        <f>IFERROR(IF(AND($BY$2&lt;&gt;"Enter Spend&gt;&gt;&gt;",BZ2="EXISTING"),SUMIFS('Existing Customers'!$U:$U,'Existing Customers'!$H:$H,$BX24,'Existing Customers'!$A:$A,$BY$1),CP24*BY24),0)</f>
        <v>0</v>
      </c>
      <c r="CG24" s="1068" t="e">
        <f>_xlfn.CONCAT('Customer Inputs'!$AG$7,"_",BX24)</f>
        <v>#N/A</v>
      </c>
      <c r="CH24" s="1068">
        <f t="array" ref="CH24">IFERROR(INDEX('Margin Guidence Table'!$A$1:$AD$30000,MATCH(1,('Margin Guidence Table'!$A$1:$A$10000=$CG24)*('Margin Guidence Table'!$I$1:$I$10000&lt;=ROUND($BY$3,0))*('Margin Guidence Table'!$J$1:$J$10000&gt;=ROUND($BY$3,0)),0),MATCH("DATA_POINTS",'Margin Guidence Table'!$A$1:$AG$1,0)),0)</f>
        <v>0</v>
      </c>
      <c r="CI24" s="1065" t="str">
        <f t="shared" si="29"/>
        <v>DEFAULT</v>
      </c>
      <c r="CJ24" s="1065">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65">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69">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69">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69">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69">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69">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69">
        <f t="array" ref="CQ24">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8"/>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72" t="e">
        <f t="shared" si="30"/>
        <v>#DIV/0!</v>
      </c>
      <c r="CU24" s="101" t="s">
        <v>97</v>
      </c>
      <c r="CV24" s="93">
        <f>IFERROR(IF(AND($CV$2&lt;&gt;"Enter Spend&gt;&gt;&gt;",CW12="EXISTING"),SUMIFS('Existing Customers'!$Q:$Q,'Existing Customers'!$A:$A,$CV$1,'Existing Customers'!$H:$H,$CU24)*$CV$4,$CV$3*$CT24),0)</f>
        <v>0</v>
      </c>
      <c r="CW24" s="88">
        <f>IFERROR(IF(AND($CV$2&lt;&gt;"Enter Spend&gt;&gt;&gt;",CW2="EXISTING"),SUMIFS('Existing Customers'!$N:$N,'Existing Customers'!$A:$A,$CV$1,'Existing Customers'!$H:$H,$CU24)*$CV$4,$CV24/$DG24),0)</f>
        <v>0</v>
      </c>
      <c r="CX24" s="94">
        <f>IFERROR(IF(AND($CV$2&lt;&gt;"Enter Spend&gt;&gt;&gt;",BC28="EXISTING"),SUMIFS('Existing Customers'!$O:$O,'Existing Customers'!$H:$H,$CU24,'Existing Customers'!$A:$A,$CV$1)*$CV$4,$CW24*$CV$8),0)</f>
        <v>0</v>
      </c>
      <c r="CY24" s="94">
        <f>IFERROR(IF(AND($CV$2&lt;&gt;"Enter Spend&gt;&gt;&gt;",CW2="EXISTING"),SUMIFS('Existing Customers'!$P:$P,'Existing Customers'!$A:$A,$CV$1,'Existing Customers'!$H:$H,$CU24)*$CV$4,$CV24/$DH24),0)</f>
        <v>0</v>
      </c>
      <c r="CZ24" s="95">
        <f>IFERROR(IF(AND($CV$2&lt;&gt;"Enter Spend&gt;&gt;&gt;",CW2="EXISTING"),SUMIFS('Existing Customers'!$V:$V,'Existing Customers'!$H:$H,$CU24,'Existing Customers'!$A:$A,$CV$1)*$CV$4,0),0)</f>
        <v>0</v>
      </c>
      <c r="DA24" s="95">
        <f>IFERROR(IF(AND($CV$2&lt;&gt;"Enter Spend&gt;&gt;&gt;",CW2="EXISTING"),SUMIFS('Existing Customers'!$R:$R,'Existing Customers'!$H:$H,$BA24,'Existing Customers'!$A:$A,$CV$1)*$CV$4,0),0)</f>
        <v>0</v>
      </c>
      <c r="DB24" s="1065">
        <f>IFERROR(IF(AND($CV$2&lt;&gt;"Enter Spend&gt;&gt;&gt;",CW2="EXISTING"),SUMIFS('Existing Customers'!$S:$S,'Existing Customers'!$H:$H,$CU24,'Existing Customers'!$A:$A,$CV$1),DL24*CV24),0)</f>
        <v>0</v>
      </c>
      <c r="DC24" s="1065">
        <f>IFERROR(IF(AND($CV$2&lt;&gt;"Enter Spend&gt;&gt;&gt;",CW2="EXISTING"),SUMIFS('Existing Customers'!$U:$U,'Existing Customers'!$H:$H,$CU24,'Existing Customers'!$A:$A,$CV$1),DM24*CV24),0)</f>
        <v>0</v>
      </c>
      <c r="DD24" s="1068" t="e">
        <f>_xlfn.CONCAT('Customer Inputs'!$AG$8,"_",CU24)</f>
        <v>#N/A</v>
      </c>
      <c r="DE24" s="1068">
        <f t="array" ref="DE24">IFERROR(INDEX('Margin Guidence Table'!$A$1:$AD$30000,MATCH(1,('Margin Guidence Table'!$A$1:$A$10000=DD24)*('Margin Guidence Table'!$I$1:$I$10000&lt;=ROUND($CV$3,0))*('Margin Guidence Table'!$J$1:$J$10000&gt;=ROUND($CV$3,0)),0),MATCH("DATA_POINTS",'Margin Guidence Table'!$A$1:$AG$1,0)),0)</f>
        <v>0</v>
      </c>
      <c r="DF24" s="1065" t="str">
        <f t="shared" si="31"/>
        <v>DEFAULT</v>
      </c>
      <c r="DG24" s="1065">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65">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69">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69">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69">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69">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69">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69">
        <f t="array" ref="DN24">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8"/>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72" t="e">
        <f t="shared" si="32"/>
        <v>#DIV/0!</v>
      </c>
      <c r="DR24" s="101" t="s">
        <v>97</v>
      </c>
      <c r="DS24" s="93">
        <f>IFERROR(IF(AND($DS$2&lt;&gt;"Enter Spend&gt;&gt;&gt;",DT12="EXISTING"),SUMIFS('Existing Customers'!$Q:$Q,'Existing Customers'!$A:$A,$DS$1,'Existing Customers'!$H:$H,$DR24)*$DS$4,$DS$3*$DQ24),0)</f>
        <v>0</v>
      </c>
      <c r="DT24" s="88">
        <f>IFERROR(IF(AND($DS$2&lt;&gt;"Enter Spend&gt;&gt;&gt;",DT2="EXISTING"),SUMIFS('Existing Customers'!$N:$N,'Existing Customers'!$A:$A,$DS$1,'Existing Customers'!$H:$H,$DR24)*$DS$4,$DS24/$ED24),0)</f>
        <v>0</v>
      </c>
      <c r="DU24" s="94">
        <f>IFERROR(IF(AND($DS$2&lt;&gt;"Enter Spend&gt;&gt;&gt;",DT2="EXISTING"),SUMIFS('Existing Customers'!$O:$O,'Existing Customers'!$H:$H,$DR24,'Existing Customers'!$A:$A,$DS$1)*$DS$4,$DT24*$DS$8),0)</f>
        <v>0</v>
      </c>
      <c r="DV24" s="94">
        <f>IFERROR(IF(AND($DS$2&lt;&gt;"Enter Spend&gt;&gt;&gt;",DT2="EXISTING"),SUMIFS('Existing Customers'!$P:$P,'Existing Customers'!$A:$A,$DS$1,'Existing Customers'!$H:$H,$DR24)*$DS$4,$DS24/$EE24),0)</f>
        <v>0</v>
      </c>
      <c r="DW24" s="95">
        <f>IFERROR(IF(AND($DS$2&lt;&gt;"Enter Spend&gt;&gt;&gt;",EQ2="EXISTING"),SUMIFS('Existing Customers'!$V:$V,'Existing Customers'!$H:$H,$DR24,'Existing Customers'!$A:$A,$DS$1)*$DS$4,0),0)</f>
        <v>0</v>
      </c>
      <c r="DX24" s="95">
        <f>IFERROR(IF(AND($DS$2&lt;&gt;"Enter Spend&gt;&gt;&gt;",DT2="EXISTING"),SUMIFS('Existing Customers'!$R:$R,'Existing Customers'!$H:$H,$DR24,'Existing Customers'!$A:$A,$DS$1)*$DS$4,0),0)</f>
        <v>0</v>
      </c>
      <c r="DY24" s="1065">
        <f>IFERROR(IF(AND($DS$2&lt;&gt;"Enter Spend&gt;&gt;&gt;",DT2="EXISTING"),SUMIFS('Existing Customers'!$S:$S,'Existing Customers'!$H:$H,$DT24,'Existing Customers'!$A:$A,$DS$1),EI24*DS24),0)</f>
        <v>0</v>
      </c>
      <c r="DZ24" s="1065">
        <f>IFERROR(IF(AND($DS$2&lt;&gt;"Enter Spend&gt;&gt;&gt;",DT2="EXISTING"),SUMIFS('Existing Customers'!$U:$U,'Existing Customers'!$H:$H,$DR24,'Existing Customers'!$A:$A,$DS$1),EJ24*DS24),0)</f>
        <v>0</v>
      </c>
      <c r="EA24" s="1068" t="e">
        <f>_xlfn.CONCAT('Customer Inputs'!$AG$9,"_",DR24)</f>
        <v>#N/A</v>
      </c>
      <c r="EB24" s="1068">
        <f t="array" ref="EB24">IFERROR(INDEX('Margin Guidence Table'!$A$1:$AD$30000,MATCH(1,('Margin Guidence Table'!$A$1:$A$10000=EA24)*('Margin Guidence Table'!$I$1:$I$10000&lt;=ROUND($DS$3,0))*('Margin Guidence Table'!$J$1:$J$10000&gt;=ROUND($DS$3,0)),0),MATCH("DATA_POINTS",'Margin Guidence Table'!$A$1:$AG$1,0)),0)</f>
        <v>0</v>
      </c>
      <c r="EC24" s="1065" t="str">
        <f t="shared" si="33"/>
        <v>DEFAULT</v>
      </c>
      <c r="ED24" s="1065">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65">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69">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69">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69">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69">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69">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69">
        <f t="array" ref="EK24">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8"/>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72" t="e">
        <f t="shared" si="34"/>
        <v>#DIV/0!</v>
      </c>
      <c r="EO24" s="101" t="s">
        <v>97</v>
      </c>
      <c r="EP24" s="93">
        <f>IFERROR(IF(AND($EP$2&lt;&gt;"Enter Spend&gt;&gt;&gt;",EQ12="EXISTING"),SUMIFS('Existing Customers'!$Q:$Q,'Existing Customers'!$A:$A,$EP$1,'Existing Customers'!$H:$H,$EO24)*$EP$4,$EP$3*$EN24),0)</f>
        <v>0</v>
      </c>
      <c r="EQ24" s="88">
        <f>IFERROR(IF(AND($EP$2&lt;&gt;"Enter Spend&gt;&gt;&gt;",EQ2="EXISTING"),SUMIFS('Existing Customers'!$N:$N,'Existing Customers'!$A:$A,$EP$1,'Existing Customers'!$H:$H,$EO24)*$EP$4,$EP24/$FA24),0)</f>
        <v>0</v>
      </c>
      <c r="ER24" s="94">
        <f>IFERROR(IF(AND($EP$2&lt;&gt;"Enter Spend&gt;&gt;&gt;",EQ2="EXISTING"),SUMIFS('Existing Customers'!$O:$O,'Existing Customers'!$H:$H,$EO24,'Existing Customers'!$A:$A,$EP$1)*$EP$4,$EQ24*$EP$8),0)</f>
        <v>0</v>
      </c>
      <c r="ES24" s="94">
        <f>IFERROR(IF(AND($EP$2&lt;&gt;"Enter Spend&gt;&gt;&gt;",EQ2="EXISTING"),SUMIFS('Existing Customers'!$P:$P,'Existing Customers'!$A:$A,$EP$1,'Existing Customers'!$H:$H,$EO24)*$EP$4,$EP24/$FB24),0)</f>
        <v>0</v>
      </c>
      <c r="ET24" s="95">
        <f>IFERROR(IF(AND($EP$2&lt;&gt;"Enter Spend&gt;&gt;&gt;",EQ2="EXISTING"),SUMIFS('Existing Customers'!$V:$V,'Existing Customers'!$H:$H,$EO24,'Existing Customers'!$A:$A,$EP$1)*$EP$4,0),0)</f>
        <v>0</v>
      </c>
      <c r="EU24" s="95">
        <f>IFERROR(IF(AND($EP$2&lt;&gt;"Enter Spend&gt;&gt;&gt;",EQ2="EXISTING"),SUMIFS('Existing Customers'!$R:$R,'Existing Customers'!$H:$H,$EO24,'Existing Customers'!$A:$A,$EP$1)*$EP$4,0),0)</f>
        <v>0</v>
      </c>
      <c r="EV24" s="1065">
        <f>IFERROR(IF(AND($EP$2&lt;&gt;"Enter Spend&gt;&gt;&gt;",EQ2="EXISTING"),SUMIFS('Existing Customers'!$S:$S,'Existing Customers'!$H:$H,$EO24,'Existing Customers'!$A:$A,$EP$1),FF24*EP24),0)</f>
        <v>0</v>
      </c>
      <c r="EW24" s="1065">
        <f>IFERROR(IF(AND($EP$2&lt;&gt;"Enter Spend&gt;&gt;&gt;",EQ2="EXISTING"),SUMIFS('Existing Customers'!$U:$U,'Existing Customers'!$H:$H,$EO24,'Existing Customers'!$A:$A,$EP$1),FG24*EP24),0)</f>
        <v>0</v>
      </c>
      <c r="EX24" s="1068" t="e">
        <f>_xlfn.CONCAT('Customer Inputs'!$AG$10,"_",EO24)</f>
        <v>#N/A</v>
      </c>
      <c r="EY24" s="1068">
        <f t="array" ref="EY24">IFERROR(INDEX('Margin Guidence Table'!$A$1:$AD$30000,MATCH(1,('Margin Guidence Table'!$A$1:$A$10000=EX24)*('Margin Guidence Table'!$I$1:$I$10000&lt;=ROUND($EP$3,0))*('Margin Guidence Table'!$J$1:$J$10000&gt;=ROUND($EP$3,0)),0),MATCH("DATA_POINTS",'Margin Guidence Table'!$A$1:$AG$1,0)),0)</f>
        <v>0</v>
      </c>
      <c r="EZ24" s="1065" t="str">
        <f t="shared" si="35"/>
        <v>DEFAULT</v>
      </c>
      <c r="FA24" s="1065">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65"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69">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69">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69">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69">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69">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69">
        <f t="array" ref="FH24">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8"/>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72" t="e">
        <f t="shared" si="36"/>
        <v>#DIV/0!</v>
      </c>
      <c r="FL24" s="101" t="s">
        <v>97</v>
      </c>
      <c r="FM24" s="93">
        <f>IFERROR(IF(AND($FM$2&lt;&gt;"Enter Spend&gt;&gt;&gt;",FN12="EXISTING"),SUMIFS('Existing Customers'!$Q:$Q,'Existing Customers'!$A:$A,$FM$1,'Existing Customers'!$H:$H,$FL24)*$FM$4,$FM$3*$FK24),0)</f>
        <v>0</v>
      </c>
      <c r="FN24" s="88">
        <f>IFERROR(IF(AND($FM$2&lt;&gt;"Enter Spend&gt;&gt;&gt;",FN2="EXISTING"),SUMIFS('Existing Customers'!$N:$N,'Existing Customers'!$A:$A,$FM$1,'Existing Customers'!$H:$H,$FL24)*$FM$4,$FM24/$FX24),0)</f>
        <v>0</v>
      </c>
      <c r="FO24" s="94">
        <f>IFERROR(IF(AND($FM$2&lt;&gt;"Enter Spend&gt;&gt;&gt;",FN2="EXISTING"),SUMIFS('Existing Customers'!$O:$O,'Existing Customers'!$H:$H,$FL24,'Existing Customers'!$A:$A,$FM$1)*$FM$4,$FN24*$FM$8),0)</f>
        <v>0</v>
      </c>
      <c r="FP24" s="94">
        <f>IFERROR(IF(AND($FM$2&lt;&gt;"Enter Spend&gt;&gt;&gt;",FN2="EXISTING"),SUMIFS('Existing Customers'!$P:$P,'Existing Customers'!$A:$A,$FM$1,'Existing Customers'!$H:$H,$FL24)*$FM$4,$FM24/$FY24),0)</f>
        <v>0</v>
      </c>
      <c r="FQ24" s="95">
        <f>IFERROR(IF(AND($FM$2&lt;&gt;"Enter Spend&gt;&gt;&gt;",FN2="EXISTING"),SUMIFS('Existing Customers'!$V:$V,'Existing Customers'!$H:$H,$FL24,'Existing Customers'!$A:$A,$FM$1)*$FM$4,0),0)</f>
        <v>0</v>
      </c>
      <c r="FR24" s="95">
        <f>IFERROR(IF(AND($FM$2&lt;&gt;"Enter Spend&gt;&gt;&gt;",FN2="EXISTING"),SUMIFS('Existing Customers'!$R:$R,'Existing Customers'!$H:$H,$FL24,'Existing Customers'!$A:$A,$FM$1)*$FM$4,0),0)</f>
        <v>0</v>
      </c>
      <c r="FS24" s="1065">
        <f>IFERROR(IF(AND($FM$2&lt;&gt;"Enter Spend&gt;&gt;&gt;",FN2="EXISTING"),SUMIFS('Existing Customers'!$S:$S,'Existing Customers'!$H:$H,$FL24,'Existing Customers'!$A:$A,$FM$1),GC24*FM24),0)</f>
        <v>0</v>
      </c>
      <c r="FT24" s="1065">
        <f>IFERROR(IF(AND($FM$2&lt;&gt;"Enter Spend&gt;&gt;&gt;",FN2="EXISTING"),SUMIFS('Existing Customers'!$U:$U,'Existing Customers'!$H:$H,$FL24,'Existing Customers'!$A:$A,$FM$1),GD24*FM24),0)</f>
        <v>0</v>
      </c>
      <c r="FU24" s="1068" t="e">
        <f>_xlfn.CONCAT('Customer Inputs'!$AG$11,"_",FL24)</f>
        <v>#N/A</v>
      </c>
      <c r="FV24" s="1068">
        <f t="array" ref="FV24">IFERROR(INDEX('Margin Guidence Table'!$A$1:$AD$30000,MATCH(1,('Margin Guidence Table'!$A$1:$A$10000=FU24)*('Margin Guidence Table'!$I$1:$I$10000&lt;=ROUND($FM$3,0))*('Margin Guidence Table'!$J$1:$J$10000&gt;=ROUND($FM$3,0)),0),MATCH("DATA_POINTS",'Margin Guidence Table'!$A$1:$AG$1,0)),0)</f>
        <v>0</v>
      </c>
      <c r="FW24" s="1065" t="str">
        <f t="shared" si="37"/>
        <v>DEFAULT</v>
      </c>
      <c r="FX24" s="1065">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65">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69">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69">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69">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69">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69">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69">
        <f t="array" ref="GE24">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8"/>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72" t="e">
        <f t="shared" si="38"/>
        <v>#DIV/0!</v>
      </c>
      <c r="GI24" s="101" t="s">
        <v>97</v>
      </c>
      <c r="GJ24" s="93">
        <f>IFERROR(IF(AND($GJ$2&lt;&gt;"Enter Spend&gt;&gt;&gt;",GK12="EXISTING"),SUMIFS('Existing Customers'!$Q:$Q,'Existing Customers'!$A:$A,$GJ$1,'Existing Customers'!$H:$H,$GI24)*$GJ$4,$GJ$3*$GH24),0)</f>
        <v>0</v>
      </c>
      <c r="GK24" s="88">
        <f>IFERROR(IF(AND($GJ$2&lt;&gt;"Enter Spend&gt;&gt;&gt;",GK2="EXISTING"),SUMIFS('Existing Customers'!$N:$N,'Existing Customers'!$A:$A,$GJ$1,'Existing Customers'!$H:$H,$GI24)*$GJ$4,$GJ24/$GU24),0)</f>
        <v>0</v>
      </c>
      <c r="GL24" s="94">
        <f>IFERROR(IF(AND($GJ$2&lt;&gt;"Enter Spend&gt;&gt;&gt;",GK2="EXISTING"),SUMIFS('Existing Customers'!$O:$O,'Existing Customers'!$H:$H,$GI24,'Existing Customers'!$A:$A,$GJ$1)*$GJ$4,$GK24*$GJ$8),0)</f>
        <v>0</v>
      </c>
      <c r="GM24" s="94">
        <f>IFERROR(IF(AND($GJ$2&lt;&gt;"Enter Spend&gt;&gt;&gt;",GK2="EXISTING"),SUMIFS('Existing Customers'!$P:$P,'Existing Customers'!$A:$A,$GJ$1,'Existing Customers'!$H:$H,$GI24)*$GJ$4,$GJ24/$GV24),0)</f>
        <v>0</v>
      </c>
      <c r="GN24" s="95">
        <f>IFERROR(IF(AND($GJ$2&lt;&gt;"Enter Spend&gt;&gt;&gt;",GK2="EXISTING"),SUMIFS('Existing Customers'!$V:$V,'Existing Customers'!$H:$H,$GI24,'Existing Customers'!$A:$A,$GJ$1)*$GJ$4,0),0)</f>
        <v>0</v>
      </c>
      <c r="GO24" s="95">
        <f>IFERROR(IF(AND($GJ$2&lt;&gt;"Enter Spend&gt;&gt;&gt;",GK2="EXISTING"),SUMIFS('Existing Customers'!$R:$R,'Existing Customers'!$H:$H,$GI24,'Existing Customers'!$A:$A,$GJ$1)*$GJ$4,0),0)</f>
        <v>0</v>
      </c>
      <c r="GP24" s="1065">
        <f>IFERROR(IF(AND($GJ$2&lt;&gt;"Enter Spend&gt;&gt;&gt;",GK2="EXISTING"),SUMIFS('Existing Customers'!$S:$S,'Existing Customers'!$H:$H,$GI24,'Existing Customers'!$A:$A,$GJ$1),GZ24*GJ24),0)</f>
        <v>0</v>
      </c>
      <c r="GQ24" s="1065">
        <f>IFERROR(IF(AND($GJ$2&lt;&gt;"Enter Spend&gt;&gt;&gt;",GK2="EXISTING"),SUMIFS('Existing Customers'!$U:$U,'Existing Customers'!$H:$H,$GI24,'Existing Customers'!$A:$A,$GJ$1),HA24*GJ24),0)</f>
        <v>0</v>
      </c>
      <c r="GR24" s="1068" t="e">
        <f>_xlfn.CONCAT('Customer Inputs'!$AG$12,"_",GI24)</f>
        <v>#N/A</v>
      </c>
      <c r="GS24" s="1068">
        <f t="array" ref="GS24">IFERROR(INDEX('Margin Guidence Table'!$A$1:$AD$30000,MATCH(1,('Margin Guidence Table'!$A$1:$A$10000=GR24)*('Margin Guidence Table'!$I$1:$I$10000&lt;=ROUND($GJ$3,0))*('Margin Guidence Table'!$J$1:$J$10000&gt;=ROUND($GJ$3,0)),0),MATCH("DATA_POINTS",'Margin Guidence Table'!$A$1:$AG$1,0)),0)</f>
        <v>0</v>
      </c>
      <c r="GT24" s="1065" t="str">
        <f t="shared" si="39"/>
        <v>DEFAULT</v>
      </c>
      <c r="GU24" s="1065">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65">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69">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69">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69">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69">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69">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69">
        <f t="array" ref="HB24">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8"/>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72" t="e">
        <f t="shared" si="40"/>
        <v>#DIV/0!</v>
      </c>
      <c r="HF24" s="101" t="s">
        <v>97</v>
      </c>
      <c r="HG24" s="93">
        <f>IFERROR(IF(AND($HG$2&lt;&gt;"Enter Spend&gt;&gt;&gt;",HH12="EXISTING"),SUMIFS('Existing Customers'!$Q:$Q,'Existing Customers'!$A:$A,$HG$1,'Existing Customers'!$H:$H,$HF24)*$HG$4,$HG$3*$HE24),0)</f>
        <v>0</v>
      </c>
      <c r="HH24" s="88">
        <f>IFERROR(IF(AND($HG$2&lt;&gt;"Enter Spend&gt;&gt;&gt;",HH2="EXISTING"),SUMIFS('Existing Customers'!$N:$N,'Existing Customers'!$A:$A,$HG$1,'Existing Customers'!$H:$H,$HF24)*$HG$4,$HG24/$HR24),0)</f>
        <v>0</v>
      </c>
      <c r="HI24" s="94">
        <f>IFERROR(IF(AND($HG$2&lt;&gt;"Enter Spend&gt;&gt;&gt;",HH2="EXISTING"),SUMIFS('Existing Customers'!$O:$O,'Existing Customers'!$H:$H,$HF24,'Existing Customers'!$A:$A,$HG$1)*$HG$4,$HH24*$HG$8),0)</f>
        <v>0</v>
      </c>
      <c r="HJ24" s="94">
        <f>IFERROR(IF(AND($HG$2&lt;&gt;"Enter Spend&gt;&gt;&gt;",HH2="EXISTING"),SUMIFS('Existing Customers'!$P:$P,'Existing Customers'!$A:$A,$HG$1,'Existing Customers'!$H:$H,$HF24)*$HG$4,$HG24/$HS24),0)</f>
        <v>0</v>
      </c>
      <c r="HK24" s="95">
        <f>IFERROR(IF(AND($HG$2&lt;&gt;"Enter Spend&gt;&gt;&gt;",HH2="EXISTING"),SUMIFS('Existing Customers'!$V:$V,'Existing Customers'!$H:$H,$HF24,'Existing Customers'!$A:$A,$HG$1)*$HG$4,0),0)</f>
        <v>0</v>
      </c>
      <c r="HL24" s="95">
        <f>IFERROR(IF(AND($HG$2&lt;&gt;"Enter Spend&gt;&gt;&gt;",HH2="EXISTING"),SUMIFS('Existing Customers'!$R:$R,'Existing Customers'!$H:$H,$HF24,'Existing Customers'!$A:$A,$HG$1)*$HG$4,0),0)</f>
        <v>0</v>
      </c>
      <c r="HM24" s="1065">
        <f>IFERROR(IF(AND($HG$2&lt;&gt;"Enter Spend&gt;&gt;&gt;",HH2="EXISTING"),SUMIFS('Existing Customers'!$S:$S,'Existing Customers'!$H:$H,$HF24,'Existing Customers'!$A:$A,$HG$1),HW24*HG24),0)</f>
        <v>0</v>
      </c>
      <c r="HN24" s="1065">
        <f>IFERROR(IF(AND($HG$2&lt;&gt;"Enter Spend&gt;&gt;&gt;",HH2="EXISTING"),SUMIFS('Existing Customers'!$U:$U,'Existing Customers'!$H:$H,$HF24,'Existing Customers'!$A:$A,$HG$1),HX24*HG24),0)</f>
        <v>0</v>
      </c>
      <c r="HO24" s="1068" t="e">
        <f>_xlfn.CONCAT('Customer Inputs'!$AG$13,"_",HF24)</f>
        <v>#N/A</v>
      </c>
      <c r="HP24" s="1068">
        <f t="array" ref="HP24">IFERROR(INDEX('Margin Guidence Table'!$A$1:$AD$30000,MATCH(1,('Margin Guidence Table'!$A$1:$A$10000=HO24)*('Margin Guidence Table'!$I$1:$I$10000&lt;=ROUND($HG$3,0))*('Margin Guidence Table'!$J$1:$J$10000&gt;=ROUND($HG$3,0)),0),MATCH("DATA_POINTS",'Margin Guidence Table'!$A$1:$AG$1,0)),0)</f>
        <v>0</v>
      </c>
      <c r="HQ24" s="1065" t="str">
        <f t="shared" si="41"/>
        <v>DEFAULT</v>
      </c>
      <c r="HR24" s="1065">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65">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69">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69">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69">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69">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69">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69">
        <f t="array" ref="HY24">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8"/>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72" t="e">
        <f t="shared" si="42"/>
        <v>#DIV/0!</v>
      </c>
      <c r="IC24" s="101" t="s">
        <v>97</v>
      </c>
      <c r="ID24" s="93">
        <f>IFERROR(IF(AND($ID$2&lt;&gt;"Enter Spend&gt;&gt;&gt;",IE12="EXISTING"),SUMIFS('Existing Customers'!$Q:$Q,'Existing Customers'!$A:$A,$ID$1,'Existing Customers'!$H:$H,$IC24)*$ID$4,$ID$3*$IB24),0)</f>
        <v>0</v>
      </c>
      <c r="IE24" s="88">
        <f>IFERROR(IF(AND($ID$2&lt;&gt;"Enter Spend&gt;&gt;&gt;",IE2="EXISTING"),SUMIFS('Existing Customers'!$N:$N,'Existing Customers'!$A:$A,$ID$1,'Existing Customers'!$H:$H,$IC24)*$ID$4,$ID24/$IO24),0)</f>
        <v>0</v>
      </c>
      <c r="IF24" s="94">
        <f>IFERROR(IF(AND($ID$2&lt;&gt;"Enter Spend&gt;&gt;&gt;",IE2="EXISTING"),SUMIFS('Existing Customers'!$O:$O,'Existing Customers'!$H:$H,$IC24,'Existing Customers'!$A:$A,$ID$1)*$ID$4,$IE24*$ID$8),0)</f>
        <v>0</v>
      </c>
      <c r="IG24" s="94">
        <f>IFERROR(IF(AND($ID$2&lt;&gt;"Enter Spend&gt;&gt;&gt;",IE2="EXISTING"),SUMIFS('Existing Customers'!$P:$P,'Existing Customers'!$A:$A,$ID$1,'Existing Customers'!$H:$H,$IC24)*$ID$4,$ID24/$IP24),0)</f>
        <v>0</v>
      </c>
      <c r="IH24" s="378">
        <f>IFERROR(IF(AND($ID$2&lt;&gt;"Enter Spend&gt;&gt;&gt;",IE2="EXISTING"),SUMIFS('Existing Customers'!$V:$V,'Existing Customers'!$H:$H,$IC24,'Existing Customers'!$A:$A,$ID$1)*$ID$4,0),0)</f>
        <v>0</v>
      </c>
      <c r="II24" s="95">
        <f>IFERROR(IF(AND($ID$2&lt;&gt;"Enter Spend&gt;&gt;&gt;",IE2="EXISTING"),SUMIFS('Existing Customers'!$R:$R,'Existing Customers'!$H:$H,$IC24,'Existing Customers'!$A:$A,$ID$1)*$ID$4,0),0)</f>
        <v>0</v>
      </c>
      <c r="IJ24" s="1065">
        <f>IFERROR(IF(AND($ID$2&lt;&gt;"Enter Spend&gt;&gt;&gt;",IE2="EXISTING"),SUMIFS('Existing Customers'!$S:$S,'Existing Customers'!$H:$H,$IC24,'Existing Customers'!$A:$A,$ID$1),IT24*ID24),0)</f>
        <v>0</v>
      </c>
      <c r="IK24" s="1065">
        <f>IFERROR(IF(AND($ID$2&lt;&gt;"Enter Spend&gt;&gt;&gt;",IE2="EXISTING"),SUMIFS('Existing Customers'!$U:$U,'Existing Customers'!$H:$H,$IC24,'Existing Customers'!$A:$A,$ID$1),IU24*ID24),0)</f>
        <v>0</v>
      </c>
      <c r="IL24" s="1068" t="e">
        <f>_xlfn.CONCAT('Customer Inputs'!$AG$14,"_",IC24)</f>
        <v>#N/A</v>
      </c>
      <c r="IM24" s="1068">
        <f t="array" ref="IM24">IFERROR(INDEX('Margin Guidence Table'!$A$1:$AD$30000,MATCH(1,('Margin Guidence Table'!$A$1:$A$10000=IL24)*('Margin Guidence Table'!$I$1:$I$10000&lt;=ROUND($ID$3,0))*('Margin Guidence Table'!$J$1:$J$10000&gt;=ROUND($ID$3,0)),0),MATCH("DATA_POINTS",'Margin Guidence Table'!$A$1:$AG$1,0)),0)</f>
        <v>0</v>
      </c>
      <c r="IN24" s="1065" t="str">
        <f t="shared" si="43"/>
        <v>DEFAULT</v>
      </c>
      <c r="IO24" s="1065">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65">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69">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69">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69">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69">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69">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69">
        <f t="array" ref="IV24">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8"/>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72" t="e">
        <f t="shared" si="44"/>
        <v>#DIV/0!</v>
      </c>
      <c r="IZ24" s="101" t="s">
        <v>97</v>
      </c>
      <c r="JA24" s="93">
        <f>IFERROR(IF(AND($JA$2&lt;&gt;"Enter Spend&gt;&gt;&gt;",JB12="EXISTING"),SUMIFS('Existing Customers'!$Q:$Q,'Existing Customers'!$A:$A,$JA$1,'Existing Customers'!$H:$H,$IZ24)*$JA$4,$JA$3*$IY24),0)</f>
        <v>0</v>
      </c>
      <c r="JB24" s="88">
        <f>IFERROR(IF(AND($JA$2&lt;&gt;"Enter Spend&gt;&gt;&gt;",JB2="EXISTING"),SUMIFS('Existing Customers'!$N:$N,'Existing Customers'!$A:$A,$JA$1,'Existing Customers'!$H:$H,$IZ24)*$JA$4,$JA24/$JL24),0)</f>
        <v>0</v>
      </c>
      <c r="JC24" s="94">
        <f>IFERROR(IF(AND($JA$2&lt;&gt;"Enter Spend&gt;&gt;&gt;",JB2="EXISTING"),SUMIFS('Existing Customers'!$O:$O,'Existing Customers'!$H:$H,$IZ24,'Existing Customers'!$A:$A,$JA$1)*$JA$4,$JB24*$JA$8),0)</f>
        <v>0</v>
      </c>
      <c r="JD24" s="94">
        <f>IFERROR(IF(AND($JA$2&lt;&gt;"Enter Spend&gt;&gt;&gt;",JB2="EXISTING"),SUMIFS('Existing Customers'!$P:$P,'Existing Customers'!$A:$A,$JA$1,'Existing Customers'!$H:$H,$IZ24)*$JA$4,$JA24/$JM24),0)</f>
        <v>0</v>
      </c>
      <c r="JE24" s="378">
        <f>IFERROR(IF(AND($JA$2&lt;&gt;"Enter Spend&gt;&gt;&gt;",JB2="EXISTING"),SUMIFS('Existing Customers'!$V:$V,'Existing Customers'!$H:$H,$IZ24,'Existing Customers'!$A:$A,$JA$1)*$JA$4,0),0)</f>
        <v>0</v>
      </c>
      <c r="JF24" s="95">
        <f>IFERROR(IF(AND($JA$2&lt;&gt;"Enter Spend&gt;&gt;&gt;",JB2="EXISTING"),SUMIFS('Existing Customers'!$R:$R,'Existing Customers'!$H:$H,$IZ24,'Existing Customers'!$A:$A,$JA$1)*$JA$4,0),0)</f>
        <v>0</v>
      </c>
      <c r="JG24" s="1065">
        <f>IFERROR(IF(AND($JA$2&lt;&gt;"Enter Spend&gt;&gt;&gt;",JB2="EXISTING"),SUMIFS('Existing Customers'!$S:$S,'Existing Customers'!$H:$H,$IZ24,'Existing Customers'!$A:$A,$JA$1),JQ24*JA24),0)</f>
        <v>0</v>
      </c>
      <c r="JH24" s="1065">
        <f>IFERROR(IF(AND($JA$2&lt;&gt;"Enter Spend&gt;&gt;&gt;",JB2="EXISTING"),SUMIFS('Existing Customers'!$U:$U,'Existing Customers'!$H:$H,$IZ24,'Existing Customers'!$A:$A,$JA$1),JR24*JA24),0)</f>
        <v>0</v>
      </c>
      <c r="JI24" s="1068" t="e">
        <f>_xlfn.CONCAT('Customer Inputs'!$AG$15,"_",IZ24)</f>
        <v>#N/A</v>
      </c>
      <c r="JJ24" s="1068">
        <f t="array" ref="JJ24">IFERROR(INDEX('Margin Guidence Table'!$A$1:$AD$30000,MATCH(1,('Margin Guidence Table'!$A$1:$A$10000=JI24)*('Margin Guidence Table'!$I$1:$I$10000&lt;=ROUND($JA$3,0))*('Margin Guidence Table'!$J$1:$J$10000&gt;=ROUND($JA$3,0)),0),MATCH("DATA_POINTS",'Margin Guidence Table'!$A$1:$AG$1,0)),0)</f>
        <v>0</v>
      </c>
      <c r="JK24" s="1065" t="str">
        <f t="shared" si="45"/>
        <v>DEFAULT</v>
      </c>
      <c r="JL24" s="1065">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65">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69">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69">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69">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69">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69">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69">
        <f t="array" ref="JS24">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101" t="s">
        <v>97</v>
      </c>
      <c r="JV24" s="96"/>
      <c r="JW24" s="88"/>
      <c r="JX24" s="88"/>
      <c r="JY24" s="88"/>
      <c r="JZ24" s="113"/>
      <c r="KA24" s="97"/>
      <c r="KB24" s="128"/>
      <c r="KD24" s="101" t="s">
        <v>97</v>
      </c>
      <c r="KE24" s="96"/>
      <c r="KF24" s="88"/>
      <c r="KG24" s="88"/>
      <c r="KH24" s="88"/>
      <c r="KI24" s="113"/>
      <c r="KJ24" s="97"/>
    </row>
    <row r="25" spans="2:296" ht="15.75" thickBot="1" x14ac:dyDescent="0.3">
      <c r="B25" s="101" t="s">
        <v>93</v>
      </c>
      <c r="C25" s="451">
        <f t="shared" si="11"/>
        <v>0</v>
      </c>
      <c r="D25" s="467">
        <f t="shared" si="12"/>
        <v>0</v>
      </c>
      <c r="E25" s="467">
        <f t="shared" si="13"/>
        <v>0</v>
      </c>
      <c r="F25" s="467">
        <f t="shared" si="14"/>
        <v>0</v>
      </c>
      <c r="G25" s="468">
        <f t="shared" si="15"/>
        <v>0</v>
      </c>
      <c r="H25" s="467">
        <f t="shared" si="16"/>
        <v>0</v>
      </c>
      <c r="I25" s="1061" t="e">
        <f t="shared" si="0"/>
        <v>#DIV/0!</v>
      </c>
      <c r="J25" s="1061" t="e">
        <f t="shared" si="1"/>
        <v>#DIV/0!</v>
      </c>
      <c r="K25" s="1061" t="e">
        <f t="shared" si="2"/>
        <v>#DIV/0!</v>
      </c>
      <c r="L25" s="467" t="e">
        <f t="shared" si="3"/>
        <v>#DIV/0!</v>
      </c>
      <c r="M25" s="467" t="e">
        <f t="shared" si="17"/>
        <v>#DIV/0!</v>
      </c>
      <c r="N25" s="1062" t="e">
        <f t="shared" si="4"/>
        <v>#DIV/0!</v>
      </c>
      <c r="P25" t="str">
        <f>'PIM Model'!E21</f>
        <v>INCLUDE</v>
      </c>
      <c r="Q25">
        <f>IFERROR(T25/$T$35,0)</f>
        <v>0</v>
      </c>
      <c r="R25">
        <f t="shared" si="19"/>
        <v>0</v>
      </c>
      <c r="S25" s="101" t="s">
        <v>93</v>
      </c>
      <c r="T25" s="96">
        <f t="shared" si="20"/>
        <v>0</v>
      </c>
      <c r="U25" s="88">
        <f t="shared" si="5"/>
        <v>0</v>
      </c>
      <c r="V25" s="88">
        <f t="shared" si="6"/>
        <v>0</v>
      </c>
      <c r="W25" s="88">
        <f t="shared" si="7"/>
        <v>0</v>
      </c>
      <c r="X25" s="113">
        <f t="shared" si="8"/>
        <v>0</v>
      </c>
      <c r="Y25" s="116">
        <f t="shared" si="21"/>
        <v>0</v>
      </c>
      <c r="Z25" s="376"/>
      <c r="AA25" s="101" t="s">
        <v>93</v>
      </c>
      <c r="AB25" s="455">
        <f t="shared" si="9"/>
        <v>0</v>
      </c>
      <c r="AC25" s="456">
        <f t="shared" si="9"/>
        <v>0</v>
      </c>
      <c r="AD25" s="456">
        <f t="shared" si="9"/>
        <v>0</v>
      </c>
      <c r="AE25" s="457">
        <f t="shared" si="22"/>
        <v>0</v>
      </c>
      <c r="AF25" s="458">
        <f t="shared" si="23"/>
        <v>0</v>
      </c>
      <c r="AG25" s="376"/>
      <c r="AH25" s="101" t="s">
        <v>93</v>
      </c>
      <c r="AI25" s="455">
        <f t="shared" si="10"/>
        <v>0</v>
      </c>
      <c r="AJ25" s="452">
        <f t="shared" si="24"/>
        <v>0</v>
      </c>
      <c r="AK25" s="458"/>
      <c r="AL25" s="376"/>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76">
        <f>VLOOKUP($AH25&amp;$AM25,'IMargin Quartiles'!$A:$F,6,FALSE)</f>
        <v>0.18</v>
      </c>
      <c r="AO25" s="376"/>
      <c r="AP25"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Q25" s="376" t="e">
        <f t="shared" si="25"/>
        <v>#DIV/0!</v>
      </c>
      <c r="AR25">
        <f>'PIM Model'!C21</f>
        <v>0</v>
      </c>
      <c r="AS25" s="376"/>
      <c r="AT25" s="376"/>
      <c r="AU25" s="376" t="e">
        <f t="shared" si="46"/>
        <v>#DIV/0!</v>
      </c>
      <c r="AV25" s="376"/>
      <c r="AW25" s="376"/>
      <c r="AX25" s="107">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72" t="e">
        <f t="shared" si="26"/>
        <v>#DIV/0!</v>
      </c>
      <c r="BA25" s="101" t="s">
        <v>93</v>
      </c>
      <c r="BB25" s="93">
        <f>IFERROR(IF(AND($BB$2&lt;&gt;"Enter Spend&gt;&gt;&gt;",BC13="EXISTING"),SUMIFS('Existing Customers'!$Q:$Q,'Existing Customers'!$A:$A,$BB$1,'Existing Customers'!$H:$H,$BA25)*$BB$4,$BB$3*$AZ25),0)</f>
        <v>0</v>
      </c>
      <c r="BC25" s="94">
        <f>IFERROR(IF(AND($BB$2&lt;&gt;"Enter Spend&gt;&gt;&gt;",BC2="EXISTING"),SUMIFS('Existing Customers'!$N:$N,'Existing Customers'!$A:$A,$BB$1,'Existing Customers'!$H:$H,$BA25)*$BB$4,$BB25/$BM25),0)</f>
        <v>0</v>
      </c>
      <c r="BD25" s="94">
        <f>IFERROR(IF(AND($BB$2&lt;&gt;"Enter Spend&gt;&gt;&gt;",BC2="EXISTING"),SUMIFS('Existing Customers'!$O:$O,'Existing Customers'!$H:$H,$BA25,'Existing Customers'!$A:$A,$BB$1)*$BB$4,$BC25*$BB$8),0)</f>
        <v>0</v>
      </c>
      <c r="BE25" s="94">
        <f>IFERROR(IF(AND($BB$2&lt;&gt;"Enter Spend&gt;&gt;&gt;",BC2="EXISTING"),SUMIFS('Existing Customers'!$P:$P,'Existing Customers'!$A:$A,$BB$1,'Existing Customers'!$H:$H,$BA25)*$BB$4,$BB25/$BN25),0)</f>
        <v>0</v>
      </c>
      <c r="BF25" s="378">
        <f>IFERROR(IF(AND($BB$2&lt;&gt;"Enter Spend&gt;&gt;&gt;",BC2="EXISTING"),SUMIFS('Existing Customers'!$V:$V,'Existing Customers'!$H:$H,$BA25,'Existing Customers'!$A:$A,$BB$1)*$BB$4,0),0)</f>
        <v>0</v>
      </c>
      <c r="BG25" s="95">
        <f>IFERROR(IF(AND($BB$2&lt;&gt;"Enter Spend&gt;&gt;&gt;",BC2="EXISTING"),SUMIFS('Existing Customers'!$R:$R,'Existing Customers'!$H:$H,$BA25,'Existing Customers'!$A:$A,$BB$1)*$BB$4,0),0)</f>
        <v>0</v>
      </c>
      <c r="BH25" s="95">
        <f>IFERROR(IF(AND($BB$2&lt;&gt;"Enter Spend&gt;&gt;&gt;",BC2="EXISTING"),SUMIFS('Existing Customers'!$S:$S,'Existing Customers'!$H:$H,$BA25,'Existing Customers'!$A:$A,$BB$1),BR25*BB25),0)</f>
        <v>0</v>
      </c>
      <c r="BI25" s="95">
        <f>IFERROR(IF(AND($BB$2&lt;&gt;"Enter Spend&gt;&gt;&gt;",BC2="EXISTING"),SUMIFS('Existing Customers'!$U:$U,'Existing Customers'!$H:$H,$BA25,'Existing Customers'!$A:$A,$BB$1),BS25*BB25),0)</f>
        <v>0</v>
      </c>
      <c r="BJ25" s="1067" t="e">
        <f>_xlfn.CONCAT('Customer Inputs'!$AG$6,"_",BA25)</f>
        <v>#N/A</v>
      </c>
      <c r="BK25" s="1068">
        <f t="array" ref="BK25">IFERROR(INDEX('Margin Guidence Table'!$A$1:$AD$30000,MATCH(1,('Margin Guidence Table'!$A$1:$A$10000=$BJ25)*('Margin Guidence Table'!$I$1:$I$10000&lt;=ROUND($BB$3,0))*('Margin Guidence Table'!$J$1:$J$10000&gt;=ROUND($BB$3,0)),0),MATCH("DATA_POINTS",'Margin Guidence Table'!$A$1:$AG$1,0)),0)</f>
        <v>0</v>
      </c>
      <c r="BL25" s="1065" t="str">
        <f t="shared" si="27"/>
        <v>DEFAULT</v>
      </c>
      <c r="BM25" s="1065">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65">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69">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69">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69">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69">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69">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69">
        <f t="array" ref="BT25">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8"/>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72" t="e">
        <f t="shared" si="28"/>
        <v>#DIV/0!</v>
      </c>
      <c r="BX25" s="101" t="s">
        <v>93</v>
      </c>
      <c r="BY25" s="93">
        <f>IFERROR(IF(AND($BY$2&lt;&gt;"Enter Spend&gt;&gt;&gt;",BZ13="EXISTING"),SUMIFS('Existing Customers'!$Q:$Q,'Existing Customers'!$A:$A,$BY$1,'Existing Customers'!$H:$H,$BX25)*$BY$4,$BY$3*$BW25),0)</f>
        <v>0</v>
      </c>
      <c r="BZ25" s="88">
        <f>IFERROR(IF(AND($BY$2&lt;&gt;"Enter Spend&gt;&gt;&gt;",BZ2="EXISTING"),SUMIFS('Existing Customers'!$N:$N,'Existing Customers'!$A:$A,$BY$1,'Existing Customers'!$H:$H,$BX25)*$BY$4,$BY25/$CJ25),0)</f>
        <v>0</v>
      </c>
      <c r="CA25" s="94">
        <f>IFERROR(IF(AND($BY$2&lt;&gt;"Enter Spend&gt;&gt;&gt;",BZ2="EXISTING"),SUMIFS('Existing Customers'!$O:$O,'Existing Customers'!$H:$H,$BX25,'Existing Customers'!$A:$A,$BY$1)*$BY$4,$BZ25*$BY$8),0)</f>
        <v>0</v>
      </c>
      <c r="CB25" s="94">
        <f>IFERROR(IF(AND($BY$2&lt;&gt;"Enter Spend&gt;&gt;&gt;",BZ2="EXISTING"),SUMIFS('Existing Customers'!$P:$P,'Existing Customers'!$A:$A,$BY$1,'Existing Customers'!$H:$H,$BX25)*$BY$4,$BY25/$CK25),0)</f>
        <v>0</v>
      </c>
      <c r="CC25" s="95">
        <f>IFERROR(IF(AND($BY$2&lt;&gt;"Enter Spend&gt;&gt;&gt;",BZ2="EXISTING"),SUMIFS('Existing Customers'!$V:$V,'Existing Customers'!$H:$H,$BX25,'Existing Customers'!$A:$A,$BY$1)*$BY$4,0),0)</f>
        <v>0</v>
      </c>
      <c r="CD25" s="95">
        <f>IFERROR(IF(AND($BY$2&lt;&gt;"Enter Spend&gt;&gt;&gt;",BZ2="EXISTING"),SUMIFS('Existing Customers'!$R:$R,'Existing Customers'!$H:$H,$BX25,'Existing Customers'!$A:$A,$BY$1)*$BY$4,0),0)</f>
        <v>0</v>
      </c>
      <c r="CE25" s="1065">
        <f>IFERROR(IF(AND($BY$2&lt;&gt;"Enter Spend&gt;&gt;&gt;",BZ2="EXISTING"),SUMIFS('Existing Customers'!$S:$S,'Existing Customers'!$H:$H,$BX25,'Existing Customers'!$A:$A,$BY$1),CO25*BY25),0)</f>
        <v>0</v>
      </c>
      <c r="CF25" s="1065">
        <f>IFERROR(IF(AND($BY$2&lt;&gt;"Enter Spend&gt;&gt;&gt;",BZ2="EXISTING"),SUMIFS('Existing Customers'!$U:$U,'Existing Customers'!$H:$H,$BX25,'Existing Customers'!$A:$A,$BY$1),CP25*BY25),0)</f>
        <v>0</v>
      </c>
      <c r="CG25" s="1068" t="e">
        <f>_xlfn.CONCAT('Customer Inputs'!$AG$7,"_",BX25)</f>
        <v>#N/A</v>
      </c>
      <c r="CH25" s="1068">
        <f t="array" ref="CH25">IFERROR(INDEX('Margin Guidence Table'!$A$1:$AD$30000,MATCH(1,('Margin Guidence Table'!$A$1:$A$10000=$CG25)*('Margin Guidence Table'!$I$1:$I$10000&lt;=ROUND($BY$3,0))*('Margin Guidence Table'!$J$1:$J$10000&gt;=ROUND($BY$3,0)),0),MATCH("DATA_POINTS",'Margin Guidence Table'!$A$1:$AG$1,0)),0)</f>
        <v>0</v>
      </c>
      <c r="CI25" s="1065" t="str">
        <f t="shared" si="29"/>
        <v>DEFAULT</v>
      </c>
      <c r="CJ25" s="1065">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65">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69">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69">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69">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69">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69">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69">
        <f t="array" ref="CQ25">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8"/>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72" t="e">
        <f t="shared" si="30"/>
        <v>#DIV/0!</v>
      </c>
      <c r="CU25" s="101" t="s">
        <v>93</v>
      </c>
      <c r="CV25" s="93">
        <f>IFERROR(IF(AND($CV$2&lt;&gt;"Enter Spend&gt;&gt;&gt;",CW13="EXISTING"),SUMIFS('Existing Customers'!$Q:$Q,'Existing Customers'!$A:$A,$CV$1,'Existing Customers'!$H:$H,$CU25)*$CV$4,$CV$3*$CT25),0)</f>
        <v>0</v>
      </c>
      <c r="CW25" s="88">
        <f>IFERROR(IF(AND($CV$2&lt;&gt;"Enter Spend&gt;&gt;&gt;",CW2="EXISTING"),SUMIFS('Existing Customers'!$N:$N,'Existing Customers'!$A:$A,$CV$1,'Existing Customers'!$H:$H,$CU25)*$CV$4,$CV25/$DG25),0)</f>
        <v>0</v>
      </c>
      <c r="CX25" s="94">
        <f>IFERROR(IF(AND($CV$2&lt;&gt;"Enter Spend&gt;&gt;&gt;",BC28="EXISTING"),SUMIFS('Existing Customers'!$O:$O,'Existing Customers'!$H:$H,$CU25,'Existing Customers'!$A:$A,$CV$1)*$CV$4,$CW25*$CV$8),0)</f>
        <v>0</v>
      </c>
      <c r="CY25" s="94">
        <f>IFERROR(IF(AND($CV$2&lt;&gt;"Enter Spend&gt;&gt;&gt;",CW2="EXISTING"),SUMIFS('Existing Customers'!$P:$P,'Existing Customers'!$A:$A,$CV$1,'Existing Customers'!$H:$H,$CU25)*$CV$4,$CV25/$DH25),0)</f>
        <v>0</v>
      </c>
      <c r="CZ25" s="95">
        <f>IFERROR(IF(AND($CV$2&lt;&gt;"Enter Spend&gt;&gt;&gt;",CW2="EXISTING"),SUMIFS('Existing Customers'!$V:$V,'Existing Customers'!$H:$H,$CU25,'Existing Customers'!$A:$A,$CV$1)*$CV$4,0),0)</f>
        <v>0</v>
      </c>
      <c r="DA25" s="95">
        <f>IFERROR(IF(AND($CV$2&lt;&gt;"Enter Spend&gt;&gt;&gt;",CW2="EXISTING"),SUMIFS('Existing Customers'!$R:$R,'Existing Customers'!$H:$H,$BA25,'Existing Customers'!$A:$A,$CV$1)*$CV$4,0),0)</f>
        <v>0</v>
      </c>
      <c r="DB25" s="1065">
        <f>IFERROR(IF(AND($CV$2&lt;&gt;"Enter Spend&gt;&gt;&gt;",CW2="EXISTING"),SUMIFS('Existing Customers'!$S:$S,'Existing Customers'!$H:$H,$CU25,'Existing Customers'!$A:$A,$CV$1),DL25*CV25),0)</f>
        <v>0</v>
      </c>
      <c r="DC25" s="1065">
        <f>IFERROR(IF(AND($CV$2&lt;&gt;"Enter Spend&gt;&gt;&gt;",CW2="EXISTING"),SUMIFS('Existing Customers'!$U:$U,'Existing Customers'!$H:$H,$CU25,'Existing Customers'!$A:$A,$CV$1),DM25*CV25),0)</f>
        <v>0</v>
      </c>
      <c r="DD25" s="1068" t="e">
        <f>_xlfn.CONCAT('Customer Inputs'!$AG$8,"_",CU25)</f>
        <v>#N/A</v>
      </c>
      <c r="DE25" s="1068">
        <f t="array" ref="DE25">IFERROR(INDEX('Margin Guidence Table'!$A$1:$AD$30000,MATCH(1,('Margin Guidence Table'!$A$1:$A$10000=DD25)*('Margin Guidence Table'!$I$1:$I$10000&lt;=ROUND($CV$3,0))*('Margin Guidence Table'!$J$1:$J$10000&gt;=ROUND($CV$3,0)),0),MATCH("DATA_POINTS",'Margin Guidence Table'!$A$1:$AG$1,0)),0)</f>
        <v>0</v>
      </c>
      <c r="DF25" s="1065" t="str">
        <f t="shared" si="31"/>
        <v>DEFAULT</v>
      </c>
      <c r="DG25" s="1065">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65">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69">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69">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69">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69">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69">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69">
        <f t="array" ref="DN25">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8"/>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72" t="e">
        <f t="shared" si="32"/>
        <v>#DIV/0!</v>
      </c>
      <c r="DR25" s="101" t="s">
        <v>93</v>
      </c>
      <c r="DS25" s="93">
        <f>IFERROR(IF(AND($DS$2&lt;&gt;"Enter Spend&gt;&gt;&gt;",DT13="EXISTING"),SUMIFS('Existing Customers'!$Q:$Q,'Existing Customers'!$A:$A,$DS$1,'Existing Customers'!$H:$H,$DR25)*$DS$4,$DS$3*$DQ25),0)</f>
        <v>0</v>
      </c>
      <c r="DT25" s="88">
        <f>IFERROR(IF(AND($DS$2&lt;&gt;"Enter Spend&gt;&gt;&gt;",DT2="EXISTING"),SUMIFS('Existing Customers'!$N:$N,'Existing Customers'!$A:$A,$DS$1,'Existing Customers'!$H:$H,$DR25)*$DS$4,$DS25/$ED25),0)</f>
        <v>0</v>
      </c>
      <c r="DU25" s="94">
        <f>IFERROR(IF(AND($DS$2&lt;&gt;"Enter Spend&gt;&gt;&gt;",DT2="EXISTING"),SUMIFS('Existing Customers'!$O:$O,'Existing Customers'!$H:$H,$DR25,'Existing Customers'!$A:$A,$DS$1)*$DS$4,$DT25*$DS$8),0)</f>
        <v>0</v>
      </c>
      <c r="DV25" s="94">
        <f>IFERROR(IF(AND($DS$2&lt;&gt;"Enter Spend&gt;&gt;&gt;",DT2="EXISTING"),SUMIFS('Existing Customers'!$P:$P,'Existing Customers'!$A:$A,$DS$1,'Existing Customers'!$H:$H,$DR25)*$DS$4,$DS25/$EE25),0)</f>
        <v>0</v>
      </c>
      <c r="DW25" s="95">
        <f>IFERROR(IF(AND($DS$2&lt;&gt;"Enter Spend&gt;&gt;&gt;",EQ2="EXISTING"),SUMIFS('Existing Customers'!$V:$V,'Existing Customers'!$H:$H,$DR25,'Existing Customers'!$A:$A,$DS$1)*$DS$4,0),0)</f>
        <v>0</v>
      </c>
      <c r="DX25" s="95">
        <f>IFERROR(IF(AND($DS$2&lt;&gt;"Enter Spend&gt;&gt;&gt;",DT2="EXISTING"),SUMIFS('Existing Customers'!$R:$R,'Existing Customers'!$H:$H,$DR25,'Existing Customers'!$A:$A,$DS$1)*$DS$4,0),0)</f>
        <v>0</v>
      </c>
      <c r="DY25" s="1065">
        <f>IFERROR(IF(AND($DS$2&lt;&gt;"Enter Spend&gt;&gt;&gt;",DT2="EXISTING"),SUMIFS('Existing Customers'!$S:$S,'Existing Customers'!$H:$H,$DT25,'Existing Customers'!$A:$A,$DS$1),EI25*DS25),0)</f>
        <v>0</v>
      </c>
      <c r="DZ25" s="1065">
        <f>IFERROR(IF(AND($DS$2&lt;&gt;"Enter Spend&gt;&gt;&gt;",DT2="EXISTING"),SUMIFS('Existing Customers'!$U:$U,'Existing Customers'!$H:$H,$DR25,'Existing Customers'!$A:$A,$DS$1),EJ25*DS25),0)</f>
        <v>0</v>
      </c>
      <c r="EA25" s="1068" t="e">
        <f>_xlfn.CONCAT('Customer Inputs'!$AG$9,"_",DR25)</f>
        <v>#N/A</v>
      </c>
      <c r="EB25" s="1068">
        <f t="array" ref="EB25">IFERROR(INDEX('Margin Guidence Table'!$A$1:$AD$30000,MATCH(1,('Margin Guidence Table'!$A$1:$A$10000=EA25)*('Margin Guidence Table'!$I$1:$I$10000&lt;=ROUND($DS$3,0))*('Margin Guidence Table'!$J$1:$J$10000&gt;=ROUND($DS$3,0)),0),MATCH("DATA_POINTS",'Margin Guidence Table'!$A$1:$AG$1,0)),0)</f>
        <v>0</v>
      </c>
      <c r="EC25" s="1065" t="str">
        <f t="shared" si="33"/>
        <v>DEFAULT</v>
      </c>
      <c r="ED25" s="1065">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65">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69">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69">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69">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69">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69">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69">
        <f t="array" ref="EK25">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8"/>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72" t="e">
        <f t="shared" si="34"/>
        <v>#DIV/0!</v>
      </c>
      <c r="EO25" s="101" t="s">
        <v>93</v>
      </c>
      <c r="EP25" s="93">
        <f>IFERROR(IF(AND($EP$2&lt;&gt;"Enter Spend&gt;&gt;&gt;",EQ13="EXISTING"),SUMIFS('Existing Customers'!$Q:$Q,'Existing Customers'!$A:$A,$EP$1,'Existing Customers'!$H:$H,$EO25)*$EP$4,$EP$3*$EN25),0)</f>
        <v>0</v>
      </c>
      <c r="EQ25" s="88">
        <f>IFERROR(IF(AND($EP$2&lt;&gt;"Enter Spend&gt;&gt;&gt;",EQ2="EXISTING"),SUMIFS('Existing Customers'!$N:$N,'Existing Customers'!$A:$A,$EP$1,'Existing Customers'!$H:$H,$EO25)*$EP$4,$EP25/$FA25),0)</f>
        <v>0</v>
      </c>
      <c r="ER25" s="94">
        <f>IFERROR(IF(AND($EP$2&lt;&gt;"Enter Spend&gt;&gt;&gt;",EQ2="EXISTING"),SUMIFS('Existing Customers'!$O:$O,'Existing Customers'!$H:$H,$EO25,'Existing Customers'!$A:$A,$EP$1)*$EP$4,$EQ25*$EP$8),0)</f>
        <v>0</v>
      </c>
      <c r="ES25" s="94">
        <f>IFERROR(IF(AND($EP$2&lt;&gt;"Enter Spend&gt;&gt;&gt;",EQ2="EXISTING"),SUMIFS('Existing Customers'!$P:$P,'Existing Customers'!$A:$A,$EP$1,'Existing Customers'!$H:$H,$EO25)*$EP$4,$EP25/$FB25),0)</f>
        <v>0</v>
      </c>
      <c r="ET25" s="95">
        <f>IFERROR(IF(AND($EP$2&lt;&gt;"Enter Spend&gt;&gt;&gt;",EQ2="EXISTING"),SUMIFS('Existing Customers'!$V:$V,'Existing Customers'!$H:$H,$EO25,'Existing Customers'!$A:$A,$EP$1)*$EP$4,0),0)</f>
        <v>0</v>
      </c>
      <c r="EU25" s="95">
        <f>IFERROR(IF(AND($EP$2&lt;&gt;"Enter Spend&gt;&gt;&gt;",EQ2="EXISTING"),SUMIFS('Existing Customers'!$R:$R,'Existing Customers'!$H:$H,$EO25,'Existing Customers'!$A:$A,$EP$1)*$EP$4,0),0)</f>
        <v>0</v>
      </c>
      <c r="EV25" s="1065">
        <f>IFERROR(IF(AND($EP$2&lt;&gt;"Enter Spend&gt;&gt;&gt;",EQ2="EXISTING"),SUMIFS('Existing Customers'!$S:$S,'Existing Customers'!$H:$H,$EO25,'Existing Customers'!$A:$A,$EP$1),FF25*EP25),0)</f>
        <v>0</v>
      </c>
      <c r="EW25" s="1065">
        <f>IFERROR(IF(AND($EP$2&lt;&gt;"Enter Spend&gt;&gt;&gt;",EQ2="EXISTING"),SUMIFS('Existing Customers'!$U:$U,'Existing Customers'!$H:$H,$EO25,'Existing Customers'!$A:$A,$EP$1),FG25*EP25),0)</f>
        <v>0</v>
      </c>
      <c r="EX25" s="1068" t="e">
        <f>_xlfn.CONCAT('Customer Inputs'!$AG$10,"_",EO25)</f>
        <v>#N/A</v>
      </c>
      <c r="EY25" s="1068">
        <f t="array" ref="EY25">IFERROR(INDEX('Margin Guidence Table'!$A$1:$AD$30000,MATCH(1,('Margin Guidence Table'!$A$1:$A$10000=EX25)*('Margin Guidence Table'!$I$1:$I$10000&lt;=ROUND($EP$3,0))*('Margin Guidence Table'!$J$1:$J$10000&gt;=ROUND($EP$3,0)),0),MATCH("DATA_POINTS",'Margin Guidence Table'!$A$1:$AG$1,0)),0)</f>
        <v>0</v>
      </c>
      <c r="EZ25" s="1065" t="str">
        <f t="shared" si="35"/>
        <v>DEFAULT</v>
      </c>
      <c r="FA25" s="1065">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65"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69">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69">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69">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69">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69">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69">
        <f t="array" ref="FH25">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8"/>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72" t="e">
        <f t="shared" si="36"/>
        <v>#DIV/0!</v>
      </c>
      <c r="FL25" s="101" t="s">
        <v>93</v>
      </c>
      <c r="FM25" s="93">
        <f>IFERROR(IF(AND($FM$2&lt;&gt;"Enter Spend&gt;&gt;&gt;",FN13="EXISTING"),SUMIFS('Existing Customers'!$Q:$Q,'Existing Customers'!$A:$A,$FM$1,'Existing Customers'!$H:$H,$FL25)*$FM$4,$FM$3*$FK25),0)</f>
        <v>0</v>
      </c>
      <c r="FN25" s="88">
        <f>IFERROR(IF(AND($FM$2&lt;&gt;"Enter Spend&gt;&gt;&gt;",FN2="EXISTING"),SUMIFS('Existing Customers'!$N:$N,'Existing Customers'!$A:$A,$FM$1,'Existing Customers'!$H:$H,$FL25)*$FM$4,$FM25/$FX25),0)</f>
        <v>0</v>
      </c>
      <c r="FO25" s="94">
        <f>IFERROR(IF(AND($FM$2&lt;&gt;"Enter Spend&gt;&gt;&gt;",FN2="EXISTING"),SUMIFS('Existing Customers'!$O:$O,'Existing Customers'!$H:$H,$FL25,'Existing Customers'!$A:$A,$FM$1)*$FM$4,$FN25*$FM$8),0)</f>
        <v>0</v>
      </c>
      <c r="FP25" s="94">
        <f>IFERROR(IF(AND($FM$2&lt;&gt;"Enter Spend&gt;&gt;&gt;",FN2="EXISTING"),SUMIFS('Existing Customers'!$P:$P,'Existing Customers'!$A:$A,$FM$1,'Existing Customers'!$H:$H,$FL25)*$FM$4,$FM25/$FY25),0)</f>
        <v>0</v>
      </c>
      <c r="FQ25" s="95">
        <f>IFERROR(IF(AND($FM$2&lt;&gt;"Enter Spend&gt;&gt;&gt;",FN2="EXISTING"),SUMIFS('Existing Customers'!$V:$V,'Existing Customers'!$H:$H,$FL25,'Existing Customers'!$A:$A,$FM$1)*$FM$4,0),0)</f>
        <v>0</v>
      </c>
      <c r="FR25" s="95">
        <f>IFERROR(IF(AND($FM$2&lt;&gt;"Enter Spend&gt;&gt;&gt;",FN2="EXISTING"),SUMIFS('Existing Customers'!$R:$R,'Existing Customers'!$H:$H,$FL25,'Existing Customers'!$A:$A,$FM$1)*$FM$4,0),0)</f>
        <v>0</v>
      </c>
      <c r="FS25" s="1065">
        <f>IFERROR(IF(AND($FM$2&lt;&gt;"Enter Spend&gt;&gt;&gt;",FN2="EXISTING"),SUMIFS('Existing Customers'!$S:$S,'Existing Customers'!$H:$H,$FL25,'Existing Customers'!$A:$A,$FM$1),GC25*FM25),0)</f>
        <v>0</v>
      </c>
      <c r="FT25" s="1065">
        <f>IFERROR(IF(AND($FM$2&lt;&gt;"Enter Spend&gt;&gt;&gt;",FN2="EXISTING"),SUMIFS('Existing Customers'!$U:$U,'Existing Customers'!$H:$H,$FL25,'Existing Customers'!$A:$A,$FM$1),GD25*FM25),0)</f>
        <v>0</v>
      </c>
      <c r="FU25" s="1068" t="e">
        <f>_xlfn.CONCAT('Customer Inputs'!$AG$11,"_",FL25)</f>
        <v>#N/A</v>
      </c>
      <c r="FV25" s="1068">
        <f t="array" ref="FV25">IFERROR(INDEX('Margin Guidence Table'!$A$1:$AD$30000,MATCH(1,('Margin Guidence Table'!$A$1:$A$10000=FU25)*('Margin Guidence Table'!$I$1:$I$10000&lt;=ROUND($FM$3,0))*('Margin Guidence Table'!$J$1:$J$10000&gt;=ROUND($FM$3,0)),0),MATCH("DATA_POINTS",'Margin Guidence Table'!$A$1:$AG$1,0)),0)</f>
        <v>0</v>
      </c>
      <c r="FW25" s="1065" t="str">
        <f t="shared" si="37"/>
        <v>DEFAULT</v>
      </c>
      <c r="FX25" s="1065">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65">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69">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69">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69">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69">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69">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69">
        <f t="array" ref="GE25">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8"/>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72" t="e">
        <f t="shared" si="38"/>
        <v>#DIV/0!</v>
      </c>
      <c r="GI25" s="101" t="s">
        <v>93</v>
      </c>
      <c r="GJ25" s="93">
        <f>IFERROR(IF(AND($GJ$2&lt;&gt;"Enter Spend&gt;&gt;&gt;",GK13="EXISTING"),SUMIFS('Existing Customers'!$Q:$Q,'Existing Customers'!$A:$A,$GJ$1,'Existing Customers'!$H:$H,$GI25)*$GJ$4,$GJ$3*$GH25),0)</f>
        <v>0</v>
      </c>
      <c r="GK25" s="88">
        <f>IFERROR(IF(AND($GJ$2&lt;&gt;"Enter Spend&gt;&gt;&gt;",GK2="EXISTING"),SUMIFS('Existing Customers'!$N:$N,'Existing Customers'!$A:$A,$GJ$1,'Existing Customers'!$H:$H,$GI25)*$GJ$4,$GJ25/$GU25),0)</f>
        <v>0</v>
      </c>
      <c r="GL25" s="94">
        <f>IFERROR(IF(AND($GJ$2&lt;&gt;"Enter Spend&gt;&gt;&gt;",GK2="EXISTING"),SUMIFS('Existing Customers'!$O:$O,'Existing Customers'!$H:$H,$GI25,'Existing Customers'!$A:$A,$GJ$1)*$GJ$4,$GK25*$GJ$8),0)</f>
        <v>0</v>
      </c>
      <c r="GM25" s="94">
        <f>IFERROR(IF(AND($GJ$2&lt;&gt;"Enter Spend&gt;&gt;&gt;",GK2="EXISTING"),SUMIFS('Existing Customers'!$P:$P,'Existing Customers'!$A:$A,$GJ$1,'Existing Customers'!$H:$H,$GI25)*$GJ$4,$GJ25/$GV25),0)</f>
        <v>0</v>
      </c>
      <c r="GN25" s="95">
        <f>IFERROR(IF(AND($GJ$2&lt;&gt;"Enter Spend&gt;&gt;&gt;",GK2="EXISTING"),SUMIFS('Existing Customers'!$V:$V,'Existing Customers'!$H:$H,$GI25,'Existing Customers'!$A:$A,$GJ$1)*$GJ$4,0),0)</f>
        <v>0</v>
      </c>
      <c r="GO25" s="95">
        <f>IFERROR(IF(AND($GJ$2&lt;&gt;"Enter Spend&gt;&gt;&gt;",GK2="EXISTING"),SUMIFS('Existing Customers'!$R:$R,'Existing Customers'!$H:$H,$GI25,'Existing Customers'!$A:$A,$GJ$1)*$GJ$4,0),0)</f>
        <v>0</v>
      </c>
      <c r="GP25" s="1065">
        <f>IFERROR(IF(AND($GJ$2&lt;&gt;"Enter Spend&gt;&gt;&gt;",GK2="EXISTING"),SUMIFS('Existing Customers'!$S:$S,'Existing Customers'!$H:$H,$GI25,'Existing Customers'!$A:$A,$GJ$1),GZ25*GJ25),0)</f>
        <v>0</v>
      </c>
      <c r="GQ25" s="1065">
        <f>IFERROR(IF(AND($GJ$2&lt;&gt;"Enter Spend&gt;&gt;&gt;",GK2="EXISTING"),SUMIFS('Existing Customers'!$U:$U,'Existing Customers'!$H:$H,$GI25,'Existing Customers'!$A:$A,$GJ$1),HA25*GJ25),0)</f>
        <v>0</v>
      </c>
      <c r="GR25" s="1068" t="e">
        <f>_xlfn.CONCAT('Customer Inputs'!$AG$12,"_",GI25)</f>
        <v>#N/A</v>
      </c>
      <c r="GS25" s="1068">
        <f t="array" ref="GS25">IFERROR(INDEX('Margin Guidence Table'!$A$1:$AD$30000,MATCH(1,('Margin Guidence Table'!$A$1:$A$10000=GR25)*('Margin Guidence Table'!$I$1:$I$10000&lt;=ROUND($GJ$3,0))*('Margin Guidence Table'!$J$1:$J$10000&gt;=ROUND($GJ$3,0)),0),MATCH("DATA_POINTS",'Margin Guidence Table'!$A$1:$AG$1,0)),0)</f>
        <v>0</v>
      </c>
      <c r="GT25" s="1065" t="str">
        <f t="shared" si="39"/>
        <v>DEFAULT</v>
      </c>
      <c r="GU25" s="1065">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65">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69">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69">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69">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69">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69">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69">
        <f t="array" ref="HB25">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8"/>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72" t="e">
        <f t="shared" si="40"/>
        <v>#DIV/0!</v>
      </c>
      <c r="HF25" s="101" t="s">
        <v>93</v>
      </c>
      <c r="HG25" s="93">
        <f>IFERROR(IF(AND($HG$2&lt;&gt;"Enter Spend&gt;&gt;&gt;",HH13="EXISTING"),SUMIFS('Existing Customers'!$Q:$Q,'Existing Customers'!$A:$A,$HG$1,'Existing Customers'!$H:$H,$HF25)*$HG$4,$HG$3*$HE25),0)</f>
        <v>0</v>
      </c>
      <c r="HH25" s="88">
        <f>IFERROR(IF(AND($HG$2&lt;&gt;"Enter Spend&gt;&gt;&gt;",HH2="EXISTING"),SUMIFS('Existing Customers'!$N:$N,'Existing Customers'!$A:$A,$HG$1,'Existing Customers'!$H:$H,$HF25)*$HG$4,$HG25/$HR25),0)</f>
        <v>0</v>
      </c>
      <c r="HI25" s="94">
        <f>IFERROR(IF(AND($HG$2&lt;&gt;"Enter Spend&gt;&gt;&gt;",HH2="EXISTING"),SUMIFS('Existing Customers'!$O:$O,'Existing Customers'!$H:$H,$HF25,'Existing Customers'!$A:$A,$HG$1)*$HG$4,$HH25*$HG$8),0)</f>
        <v>0</v>
      </c>
      <c r="HJ25" s="94">
        <f>IFERROR(IF(AND($HG$2&lt;&gt;"Enter Spend&gt;&gt;&gt;",HH2="EXISTING"),SUMIFS('Existing Customers'!$P:$P,'Existing Customers'!$A:$A,$HG$1,'Existing Customers'!$H:$H,$HF25)*$HG$4,$HG25/$HS25),0)</f>
        <v>0</v>
      </c>
      <c r="HK25" s="95">
        <f>IFERROR(IF(AND($HG$2&lt;&gt;"Enter Spend&gt;&gt;&gt;",HH2="EXISTING"),SUMIFS('Existing Customers'!$V:$V,'Existing Customers'!$H:$H,$HF25,'Existing Customers'!$A:$A,$HG$1)*$HG$4,0),0)</f>
        <v>0</v>
      </c>
      <c r="HL25" s="95">
        <f>IFERROR(IF(AND($HG$2&lt;&gt;"Enter Spend&gt;&gt;&gt;",HH2="EXISTING"),SUMIFS('Existing Customers'!$R:$R,'Existing Customers'!$H:$H,$HF25,'Existing Customers'!$A:$A,$HG$1)*$HG$4,0),0)</f>
        <v>0</v>
      </c>
      <c r="HM25" s="1065">
        <f>IFERROR(IF(AND($HG$2&lt;&gt;"Enter Spend&gt;&gt;&gt;",HH2="EXISTING"),SUMIFS('Existing Customers'!$S:$S,'Existing Customers'!$H:$H,$HF25,'Existing Customers'!$A:$A,$HG$1),HW25*HG25),0)</f>
        <v>0</v>
      </c>
      <c r="HN25" s="1065">
        <f>IFERROR(IF(AND($HG$2&lt;&gt;"Enter Spend&gt;&gt;&gt;",HH2="EXISTING"),SUMIFS('Existing Customers'!$U:$U,'Existing Customers'!$H:$H,$HF25,'Existing Customers'!$A:$A,$HG$1),HX25*HG25),0)</f>
        <v>0</v>
      </c>
      <c r="HO25" s="1068" t="e">
        <f>_xlfn.CONCAT('Customer Inputs'!$AG$13,"_",HF25)</f>
        <v>#N/A</v>
      </c>
      <c r="HP25" s="1068">
        <f t="array" ref="HP25">IFERROR(INDEX('Margin Guidence Table'!$A$1:$AD$30000,MATCH(1,('Margin Guidence Table'!$A$1:$A$10000=HO25)*('Margin Guidence Table'!$I$1:$I$10000&lt;=ROUND($HG$3,0))*('Margin Guidence Table'!$J$1:$J$10000&gt;=ROUND($HG$3,0)),0),MATCH("DATA_POINTS",'Margin Guidence Table'!$A$1:$AG$1,0)),0)</f>
        <v>0</v>
      </c>
      <c r="HQ25" s="1065" t="str">
        <f t="shared" si="41"/>
        <v>DEFAULT</v>
      </c>
      <c r="HR25" s="1065">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65">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69">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69">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69">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69">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69">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69">
        <f t="array" ref="HY25">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8"/>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72" t="e">
        <f t="shared" si="42"/>
        <v>#DIV/0!</v>
      </c>
      <c r="IC25" s="101" t="s">
        <v>93</v>
      </c>
      <c r="ID25" s="93">
        <f>IFERROR(IF(AND($ID$2&lt;&gt;"Enter Spend&gt;&gt;&gt;",IE13="EXISTING"),SUMIFS('Existing Customers'!$Q:$Q,'Existing Customers'!$A:$A,$ID$1,'Existing Customers'!$H:$H,$IC25)*$ID$4,$ID$3*$IB25),0)</f>
        <v>0</v>
      </c>
      <c r="IE25" s="88">
        <f>IFERROR(IF(AND($ID$2&lt;&gt;"Enter Spend&gt;&gt;&gt;",IE2="EXISTING"),SUMIFS('Existing Customers'!$N:$N,'Existing Customers'!$A:$A,$ID$1,'Existing Customers'!$H:$H,$IC25)*$ID$4,$ID25/$IO25),0)</f>
        <v>0</v>
      </c>
      <c r="IF25" s="94">
        <f>IFERROR(IF(AND($ID$2&lt;&gt;"Enter Spend&gt;&gt;&gt;",IE2="EXISTING"),SUMIFS('Existing Customers'!$O:$O,'Existing Customers'!$H:$H,$IC25,'Existing Customers'!$A:$A,$ID$1)*$ID$4,$IE25*$ID$8),0)</f>
        <v>0</v>
      </c>
      <c r="IG25" s="94">
        <f>IFERROR(IF(AND($ID$2&lt;&gt;"Enter Spend&gt;&gt;&gt;",IE2="EXISTING"),SUMIFS('Existing Customers'!$P:$P,'Existing Customers'!$A:$A,$ID$1,'Existing Customers'!$H:$H,$IC25)*$ID$4,$ID25/$IP25),0)</f>
        <v>0</v>
      </c>
      <c r="IH25" s="378">
        <f>IFERROR(IF(AND($ID$2&lt;&gt;"Enter Spend&gt;&gt;&gt;",IE2="EXISTING"),SUMIFS('Existing Customers'!$V:$V,'Existing Customers'!$H:$H,$IC25,'Existing Customers'!$A:$A,$ID$1)*$ID$4,0),0)</f>
        <v>0</v>
      </c>
      <c r="II25" s="95">
        <f>IFERROR(IF(AND($ID$2&lt;&gt;"Enter Spend&gt;&gt;&gt;",IE2="EXISTING"),SUMIFS('Existing Customers'!$R:$R,'Existing Customers'!$H:$H,$IC25,'Existing Customers'!$A:$A,$ID$1)*$ID$4,0),0)</f>
        <v>0</v>
      </c>
      <c r="IJ25" s="1065">
        <f>IFERROR(IF(AND($ID$2&lt;&gt;"Enter Spend&gt;&gt;&gt;",IE2="EXISTING"),SUMIFS('Existing Customers'!$S:$S,'Existing Customers'!$H:$H,$IC25,'Existing Customers'!$A:$A,$ID$1),IT25*ID25),0)</f>
        <v>0</v>
      </c>
      <c r="IK25" s="1065">
        <f>IFERROR(IF(AND($ID$2&lt;&gt;"Enter Spend&gt;&gt;&gt;",IE2="EXISTING"),SUMIFS('Existing Customers'!$U:$U,'Existing Customers'!$H:$H,$IC25,'Existing Customers'!$A:$A,$ID$1),IU25*ID25),0)</f>
        <v>0</v>
      </c>
      <c r="IL25" s="1068" t="e">
        <f>_xlfn.CONCAT('Customer Inputs'!$AG$14,"_",IC25)</f>
        <v>#N/A</v>
      </c>
      <c r="IM25" s="1068">
        <f t="array" ref="IM25">IFERROR(INDEX('Margin Guidence Table'!$A$1:$AD$30000,MATCH(1,('Margin Guidence Table'!$A$1:$A$10000=IL25)*('Margin Guidence Table'!$I$1:$I$10000&lt;=ROUND($ID$3,0))*('Margin Guidence Table'!$J$1:$J$10000&gt;=ROUND($ID$3,0)),0),MATCH("DATA_POINTS",'Margin Guidence Table'!$A$1:$AG$1,0)),0)</f>
        <v>0</v>
      </c>
      <c r="IN25" s="1065" t="str">
        <f t="shared" si="43"/>
        <v>DEFAULT</v>
      </c>
      <c r="IO25" s="1065">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65">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69">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69">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69">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69">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69">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69">
        <f t="array" ref="IV25">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8"/>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72" t="e">
        <f t="shared" si="44"/>
        <v>#DIV/0!</v>
      </c>
      <c r="IZ25" s="101" t="s">
        <v>93</v>
      </c>
      <c r="JA25" s="93">
        <f>IFERROR(IF(AND($JA$2&lt;&gt;"Enter Spend&gt;&gt;&gt;",JB13="EXISTING"),SUMIFS('Existing Customers'!$Q:$Q,'Existing Customers'!$A:$A,$JA$1,'Existing Customers'!$H:$H,$IZ25)*$JA$4,$JA$3*$IY25),0)</f>
        <v>0</v>
      </c>
      <c r="JB25" s="88">
        <f>IFERROR(IF(AND($JA$2&lt;&gt;"Enter Spend&gt;&gt;&gt;",JB2="EXISTING"),SUMIFS('Existing Customers'!$N:$N,'Existing Customers'!$A:$A,$JA$1,'Existing Customers'!$H:$H,$IZ25)*$JA$4,$JA25/$JL25),0)</f>
        <v>0</v>
      </c>
      <c r="JC25" s="94">
        <f>IFERROR(IF(AND($JA$2&lt;&gt;"Enter Spend&gt;&gt;&gt;",JB2="EXISTING"),SUMIFS('Existing Customers'!$O:$O,'Existing Customers'!$H:$H,$IZ25,'Existing Customers'!$A:$A,$JA$1)*$JA$4,$JB25*$JA$8),0)</f>
        <v>0</v>
      </c>
      <c r="JD25" s="94">
        <f>IFERROR(IF(AND($JA$2&lt;&gt;"Enter Spend&gt;&gt;&gt;",JB2="EXISTING"),SUMIFS('Existing Customers'!$P:$P,'Existing Customers'!$A:$A,$JA$1,'Existing Customers'!$H:$H,$IZ25)*$JA$4,$JA25/$JM25),0)</f>
        <v>0</v>
      </c>
      <c r="JE25" s="378">
        <f>IFERROR(IF(AND($JA$2&lt;&gt;"Enter Spend&gt;&gt;&gt;",JB2="EXISTING"),SUMIFS('Existing Customers'!$V:$V,'Existing Customers'!$H:$H,$IZ25,'Existing Customers'!$A:$A,$JA$1)*$JA$4,0),0)</f>
        <v>0</v>
      </c>
      <c r="JF25" s="95">
        <f>IFERROR(IF(AND($JA$2&lt;&gt;"Enter Spend&gt;&gt;&gt;",JB2="EXISTING"),SUMIFS('Existing Customers'!$R:$R,'Existing Customers'!$H:$H,$IZ25,'Existing Customers'!$A:$A,$JA$1)*$JA$4,0),0)</f>
        <v>0</v>
      </c>
      <c r="JG25" s="1065">
        <f>IFERROR(IF(AND($JA$2&lt;&gt;"Enter Spend&gt;&gt;&gt;",JB2="EXISTING"),SUMIFS('Existing Customers'!$S:$S,'Existing Customers'!$H:$H,$IZ25,'Existing Customers'!$A:$A,$JA$1),JQ25*JA25),0)</f>
        <v>0</v>
      </c>
      <c r="JH25" s="1065">
        <f>IFERROR(IF(AND($JA$2&lt;&gt;"Enter Spend&gt;&gt;&gt;",JB2="EXISTING"),SUMIFS('Existing Customers'!$U:$U,'Existing Customers'!$H:$H,$IZ25,'Existing Customers'!$A:$A,$JA$1),JR25*JA25),0)</f>
        <v>0</v>
      </c>
      <c r="JI25" s="1068" t="e">
        <f>_xlfn.CONCAT('Customer Inputs'!$AG$15,"_",IZ25)</f>
        <v>#N/A</v>
      </c>
      <c r="JJ25" s="1068">
        <f t="array" ref="JJ25">IFERROR(INDEX('Margin Guidence Table'!$A$1:$AD$30000,MATCH(1,('Margin Guidence Table'!$A$1:$A$10000=JI25)*('Margin Guidence Table'!$I$1:$I$10000&lt;=ROUND($JA$3,0))*('Margin Guidence Table'!$J$1:$J$10000&gt;=ROUND($JA$3,0)),0),MATCH("DATA_POINTS",'Margin Guidence Table'!$A$1:$AG$1,0)),0)</f>
        <v>0</v>
      </c>
      <c r="JK25" s="1065" t="str">
        <f t="shared" si="45"/>
        <v>DEFAULT</v>
      </c>
      <c r="JL25" s="1065">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65">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69">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69">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69">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69">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69">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69">
        <f t="array" ref="JS25">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101" t="s">
        <v>93</v>
      </c>
      <c r="JV25" s="96"/>
      <c r="JW25" s="88"/>
      <c r="JX25" s="88"/>
      <c r="JY25" s="88"/>
      <c r="JZ25" s="113"/>
      <c r="KA25" s="97"/>
      <c r="KB25" s="128"/>
      <c r="KD25" s="101" t="s">
        <v>93</v>
      </c>
      <c r="KE25" s="96"/>
      <c r="KF25" s="88"/>
      <c r="KG25" s="88"/>
      <c r="KH25" s="88"/>
      <c r="KI25" s="113"/>
      <c r="KJ25" s="97"/>
    </row>
    <row r="26" spans="2:296" ht="15.75" thickBot="1" x14ac:dyDescent="0.3">
      <c r="B26" s="101" t="s">
        <v>105</v>
      </c>
      <c r="C26" s="451">
        <f t="shared" si="11"/>
        <v>0</v>
      </c>
      <c r="D26" s="467">
        <f t="shared" si="12"/>
        <v>0</v>
      </c>
      <c r="E26" s="467">
        <f t="shared" si="13"/>
        <v>0</v>
      </c>
      <c r="F26" s="467">
        <f t="shared" si="14"/>
        <v>0</v>
      </c>
      <c r="G26" s="468">
        <f t="shared" si="15"/>
        <v>0</v>
      </c>
      <c r="H26" s="467">
        <f t="shared" si="16"/>
        <v>0</v>
      </c>
      <c r="I26" s="1061" t="e">
        <f t="shared" si="0"/>
        <v>#DIV/0!</v>
      </c>
      <c r="J26" s="1061" t="e">
        <f t="shared" si="1"/>
        <v>#DIV/0!</v>
      </c>
      <c r="K26" s="1061" t="e">
        <f t="shared" si="2"/>
        <v>#DIV/0!</v>
      </c>
      <c r="L26" s="467" t="e">
        <f t="shared" si="3"/>
        <v>#DIV/0!</v>
      </c>
      <c r="M26" s="467" t="e">
        <f t="shared" si="17"/>
        <v>#DIV/0!</v>
      </c>
      <c r="N26" s="1062" t="e">
        <f t="shared" si="4"/>
        <v>#DIV/0!</v>
      </c>
      <c r="P26" t="str">
        <f>'PIM Model'!E22</f>
        <v>INCLUDE</v>
      </c>
      <c r="Q26">
        <f t="shared" si="18"/>
        <v>0</v>
      </c>
      <c r="R26">
        <f t="shared" si="19"/>
        <v>0</v>
      </c>
      <c r="S26" s="101" t="s">
        <v>105</v>
      </c>
      <c r="T26" s="96">
        <f t="shared" si="20"/>
        <v>0</v>
      </c>
      <c r="U26" s="88">
        <f t="shared" si="5"/>
        <v>0</v>
      </c>
      <c r="V26" s="88">
        <f t="shared" si="6"/>
        <v>0</v>
      </c>
      <c r="W26" s="88">
        <f t="shared" si="7"/>
        <v>0</v>
      </c>
      <c r="X26" s="113">
        <f t="shared" si="8"/>
        <v>0</v>
      </c>
      <c r="Y26" s="116">
        <f t="shared" si="21"/>
        <v>0</v>
      </c>
      <c r="Z26" s="376"/>
      <c r="AA26" s="101" t="s">
        <v>105</v>
      </c>
      <c r="AB26" s="455">
        <f t="shared" si="9"/>
        <v>0</v>
      </c>
      <c r="AC26" s="456">
        <f t="shared" si="9"/>
        <v>0</v>
      </c>
      <c r="AD26" s="456">
        <f t="shared" si="9"/>
        <v>0</v>
      </c>
      <c r="AE26" s="457">
        <f t="shared" si="22"/>
        <v>0</v>
      </c>
      <c r="AF26" s="458">
        <f t="shared" si="23"/>
        <v>0</v>
      </c>
      <c r="AG26" s="376"/>
      <c r="AH26" s="101" t="s">
        <v>105</v>
      </c>
      <c r="AI26" s="455">
        <f t="shared" si="10"/>
        <v>0</v>
      </c>
      <c r="AJ26" s="452">
        <f t="shared" si="24"/>
        <v>0</v>
      </c>
      <c r="AK26" s="458"/>
      <c r="AL26" s="376"/>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76">
        <f>VLOOKUP($AH26&amp;$AM26,'IMargin Quartiles'!$A:$F,6,FALSE)</f>
        <v>0.18</v>
      </c>
      <c r="AO26" s="376"/>
      <c r="AP26"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Q26" s="376" t="e">
        <f t="shared" si="25"/>
        <v>#DIV/0!</v>
      </c>
      <c r="AR26">
        <f>'PIM Model'!C22</f>
        <v>0</v>
      </c>
      <c r="AS26" s="376"/>
      <c r="AT26" s="376"/>
      <c r="AU26" s="376" t="e">
        <f t="shared" si="46"/>
        <v>#DIV/0!</v>
      </c>
      <c r="AV26" s="376"/>
      <c r="AW26" s="376"/>
      <c r="AX26" s="107">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72" t="e">
        <f t="shared" si="26"/>
        <v>#DIV/0!</v>
      </c>
      <c r="BA26" s="101" t="s">
        <v>105</v>
      </c>
      <c r="BB26" s="93">
        <f>IFERROR(IF(AND($BB$2&lt;&gt;"Enter Spend&gt;&gt;&gt;",BC14="EXISTING"),SUMIFS('Existing Customers'!$Q:$Q,'Existing Customers'!$A:$A,$BB$1,'Existing Customers'!$H:$H,$BA26)*$BB$4,$BB$3*$AZ26),0)</f>
        <v>0</v>
      </c>
      <c r="BC26" s="94">
        <f>IFERROR(IF(AND($BB$2&lt;&gt;"Enter Spend&gt;&gt;&gt;",BC2="EXISTING"),SUMIFS('Existing Customers'!$N:$N,'Existing Customers'!$A:$A,$BB$1,'Existing Customers'!$H:$H,$BA26)*$BB$4,$BB26/$BM26),0)</f>
        <v>0</v>
      </c>
      <c r="BD26" s="94">
        <f>IFERROR(IF(AND($BB$2&lt;&gt;"Enter Spend&gt;&gt;&gt;",BC2="EXISTING"),SUMIFS('Existing Customers'!$O:$O,'Existing Customers'!$H:$H,$BA26,'Existing Customers'!$A:$A,$BB$1)*$BB$4,$BC26*$BB$8),0)</f>
        <v>0</v>
      </c>
      <c r="BE26" s="94">
        <f>IFERROR(IF(AND($BB$2&lt;&gt;"Enter Spend&gt;&gt;&gt;",BC2="EXISTING"),SUMIFS('Existing Customers'!$P:$P,'Existing Customers'!$A:$A,$BB$1,'Existing Customers'!$H:$H,$BA26)*$BB$4,$BB26/$BN26),0)</f>
        <v>0</v>
      </c>
      <c r="BF26" s="378">
        <f>IFERROR(IF(AND($BB$2&lt;&gt;"Enter Spend&gt;&gt;&gt;",BC2="EXISTING"),SUMIFS('Existing Customers'!$V:$V,'Existing Customers'!$H:$H,$BA26,'Existing Customers'!$A:$A,$BB$1)*$BB$4,0),0)</f>
        <v>0</v>
      </c>
      <c r="BG26" s="95">
        <f>IFERROR(IF(AND($BB$2&lt;&gt;"Enter Spend&gt;&gt;&gt;",BC2="EXISTING"),SUMIFS('Existing Customers'!$R:$R,'Existing Customers'!$H:$H,$BA26,'Existing Customers'!$A:$A,$BB$1)*$BB$4,0),0)</f>
        <v>0</v>
      </c>
      <c r="BH26" s="95">
        <f>IFERROR(IF(AND($BB$2&lt;&gt;"Enter Spend&gt;&gt;&gt;",BC2="EXISTING"),SUMIFS('Existing Customers'!$S:$S,'Existing Customers'!$H:$H,$BA26,'Existing Customers'!$A:$A,$BB$1),BR26*BB26),0)</f>
        <v>0</v>
      </c>
      <c r="BI26" s="95">
        <f>IFERROR(IF(AND($BB$2&lt;&gt;"Enter Spend&gt;&gt;&gt;",BC2="EXISTING"),SUMIFS('Existing Customers'!$U:$U,'Existing Customers'!$H:$H,$BA26,'Existing Customers'!$A:$A,$BB$1),BS26*BB26),0)</f>
        <v>0</v>
      </c>
      <c r="BJ26" s="1067" t="e">
        <f>_xlfn.CONCAT('Customer Inputs'!$AG$6,"_",BA26)</f>
        <v>#N/A</v>
      </c>
      <c r="BK26" s="1068">
        <f t="array" ref="BK26">IFERROR(INDEX('Margin Guidence Table'!$A$1:$AD$30000,MATCH(1,('Margin Guidence Table'!$A$1:$A$10000=$BJ26)*('Margin Guidence Table'!$I$1:$I$10000&lt;=ROUND($BB$3,0))*('Margin Guidence Table'!$J$1:$J$10000&gt;=ROUND($BB$3,0)),0),MATCH("DATA_POINTS",'Margin Guidence Table'!$A$1:$AG$1,0)),0)</f>
        <v>0</v>
      </c>
      <c r="BL26" s="1065" t="str">
        <f t="shared" si="27"/>
        <v>DEFAULT</v>
      </c>
      <c r="BM26" s="1065">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65">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69">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69">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69">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69">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69">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69">
        <f t="array" ref="BT26">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8"/>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72" t="e">
        <f t="shared" si="28"/>
        <v>#DIV/0!</v>
      </c>
      <c r="BX26" s="101" t="s">
        <v>105</v>
      </c>
      <c r="BY26" s="93">
        <f>IFERROR(IF(AND($BY$2&lt;&gt;"Enter Spend&gt;&gt;&gt;",BZ14="EXISTING"),SUMIFS('Existing Customers'!$Q:$Q,'Existing Customers'!$A:$A,$BY$1,'Existing Customers'!$H:$H,$BX26)*$BY$4,$BY$3*$BW26),0)</f>
        <v>0</v>
      </c>
      <c r="BZ26" s="88">
        <f>IFERROR(IF(AND($BY$2&lt;&gt;"Enter Spend&gt;&gt;&gt;",BZ2="EXISTING"),SUMIFS('Existing Customers'!$N:$N,'Existing Customers'!$A:$A,$BY$1,'Existing Customers'!$H:$H,$BX26)*$BY$4,$BY26/$CJ26),0)</f>
        <v>0</v>
      </c>
      <c r="CA26" s="94">
        <f>IFERROR(IF(AND($BY$2&lt;&gt;"Enter Spend&gt;&gt;&gt;",BZ2="EXISTING"),SUMIFS('Existing Customers'!$O:$O,'Existing Customers'!$H:$H,$BX26,'Existing Customers'!$A:$A,$BY$1)*$BY$4,$BZ26*$BY$8),0)</f>
        <v>0</v>
      </c>
      <c r="CB26" s="94">
        <f>IFERROR(IF(AND($BY$2&lt;&gt;"Enter Spend&gt;&gt;&gt;",BZ2="EXISTING"),SUMIFS('Existing Customers'!$P:$P,'Existing Customers'!$A:$A,$BY$1,'Existing Customers'!$H:$H,$BX26)*$BY$4,$BY26/$CK26),0)</f>
        <v>0</v>
      </c>
      <c r="CC26" s="95">
        <f>IFERROR(IF(AND($BY$2&lt;&gt;"Enter Spend&gt;&gt;&gt;",BZ2="EXISTING"),SUMIFS('Existing Customers'!$V:$V,'Existing Customers'!$H:$H,$BX26,'Existing Customers'!$A:$A,$BY$1)*$BY$4,0),0)</f>
        <v>0</v>
      </c>
      <c r="CD26" s="95">
        <f>IFERROR(IF(AND($BY$2&lt;&gt;"Enter Spend&gt;&gt;&gt;",BZ2="EXISTING"),SUMIFS('Existing Customers'!$R:$R,'Existing Customers'!$H:$H,$BX26,'Existing Customers'!$A:$A,$BY$1)*$BY$4,0),0)</f>
        <v>0</v>
      </c>
      <c r="CE26" s="1065">
        <f>IFERROR(IF(AND($BY$2&lt;&gt;"Enter Spend&gt;&gt;&gt;",BZ2="EXISTING"),SUMIFS('Existing Customers'!$S:$S,'Existing Customers'!$H:$H,$BX26,'Existing Customers'!$A:$A,$BY$1),CO26*BY26),0)</f>
        <v>0</v>
      </c>
      <c r="CF26" s="1065">
        <f>IFERROR(IF(AND($BY$2&lt;&gt;"Enter Spend&gt;&gt;&gt;",BZ2="EXISTING"),SUMIFS('Existing Customers'!$U:$U,'Existing Customers'!$H:$H,$BX26,'Existing Customers'!$A:$A,$BY$1),CP26*BY26),0)</f>
        <v>0</v>
      </c>
      <c r="CG26" s="1068" t="e">
        <f>_xlfn.CONCAT('Customer Inputs'!$AG$7,"_",BX26)</f>
        <v>#N/A</v>
      </c>
      <c r="CH26" s="1068">
        <f t="array" ref="CH26">IFERROR(INDEX('Margin Guidence Table'!$A$1:$AD$30000,MATCH(1,('Margin Guidence Table'!$A$1:$A$10000=$CG26)*('Margin Guidence Table'!$I$1:$I$10000&lt;=ROUND($BY$3,0))*('Margin Guidence Table'!$J$1:$J$10000&gt;=ROUND($BY$3,0)),0),MATCH("DATA_POINTS",'Margin Guidence Table'!$A$1:$AG$1,0)),0)</f>
        <v>0</v>
      </c>
      <c r="CI26" s="1065" t="str">
        <f t="shared" si="29"/>
        <v>DEFAULT</v>
      </c>
      <c r="CJ26" s="1065">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65">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69">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69">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69">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69">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69">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69">
        <f t="array" ref="CQ26">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8"/>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72" t="e">
        <f t="shared" si="30"/>
        <v>#DIV/0!</v>
      </c>
      <c r="CU26" s="101" t="s">
        <v>105</v>
      </c>
      <c r="CV26" s="93">
        <f>IFERROR(IF(AND($CV$2&lt;&gt;"Enter Spend&gt;&gt;&gt;",CW14="EXISTING"),SUMIFS('Existing Customers'!$Q:$Q,'Existing Customers'!$A:$A,$CV$1,'Existing Customers'!$H:$H,$CU26)*$CV$4,$CV$3*$CT26),0)</f>
        <v>0</v>
      </c>
      <c r="CW26" s="88">
        <f>IFERROR(IF(AND($CV$2&lt;&gt;"Enter Spend&gt;&gt;&gt;",CW2="EXISTING"),SUMIFS('Existing Customers'!$N:$N,'Existing Customers'!$A:$A,$CV$1,'Existing Customers'!$H:$H,$CU26)*$CV$4,$CV26/$DG26),0)</f>
        <v>0</v>
      </c>
      <c r="CX26" s="94">
        <f>IFERROR(IF(AND($CV$2&lt;&gt;"Enter Spend&gt;&gt;&gt;",BC28="EXISTING"),SUMIFS('Existing Customers'!$O:$O,'Existing Customers'!$H:$H,$CU26,'Existing Customers'!$A:$A,$CV$1)*$CV$4,$CW26*$CV$8),0)</f>
        <v>0</v>
      </c>
      <c r="CY26" s="94">
        <f>IFERROR(IF(AND($CV$2&lt;&gt;"Enter Spend&gt;&gt;&gt;",CW2="EXISTING"),SUMIFS('Existing Customers'!$P:$P,'Existing Customers'!$A:$A,$CV$1,'Existing Customers'!$H:$H,$CU26)*$CV$4,$CV26/$DH26),0)</f>
        <v>0</v>
      </c>
      <c r="CZ26" s="95">
        <f>IFERROR(IF(AND($CV$2&lt;&gt;"Enter Spend&gt;&gt;&gt;",CW2="EXISTING"),SUMIFS('Existing Customers'!$V:$V,'Existing Customers'!$H:$H,$CU26,'Existing Customers'!$A:$A,$CV$1)*$CV$4,0),0)</f>
        <v>0</v>
      </c>
      <c r="DA26" s="95">
        <f>IFERROR(IF(AND($CV$2&lt;&gt;"Enter Spend&gt;&gt;&gt;",CW2="EXISTING"),SUMIFS('Existing Customers'!$R:$R,'Existing Customers'!$H:$H,$BA26,'Existing Customers'!$A:$A,$CV$1)*$CV$4,0),0)</f>
        <v>0</v>
      </c>
      <c r="DB26" s="1065">
        <f>IFERROR(IF(AND($CV$2&lt;&gt;"Enter Spend&gt;&gt;&gt;",CW2="EXISTING"),SUMIFS('Existing Customers'!$S:$S,'Existing Customers'!$H:$H,$CU26,'Existing Customers'!$A:$A,$CV$1),DL26*CV26),0)</f>
        <v>0</v>
      </c>
      <c r="DC26" s="1065">
        <f>IFERROR(IF(AND($CV$2&lt;&gt;"Enter Spend&gt;&gt;&gt;",CW2="EXISTING"),SUMIFS('Existing Customers'!$U:$U,'Existing Customers'!$H:$H,$CU26,'Existing Customers'!$A:$A,$CV$1),DM26*CV26),0)</f>
        <v>0</v>
      </c>
      <c r="DD26" s="1068" t="e">
        <f>_xlfn.CONCAT('Customer Inputs'!$AG$8,"_",CU26)</f>
        <v>#N/A</v>
      </c>
      <c r="DE26" s="1068">
        <f t="array" ref="DE26">IFERROR(INDEX('Margin Guidence Table'!$A$1:$AD$30000,MATCH(1,('Margin Guidence Table'!$A$1:$A$10000=DD26)*('Margin Guidence Table'!$I$1:$I$10000&lt;=ROUND($CV$3,0))*('Margin Guidence Table'!$J$1:$J$10000&gt;=ROUND($CV$3,0)),0),MATCH("DATA_POINTS",'Margin Guidence Table'!$A$1:$AG$1,0)),0)</f>
        <v>0</v>
      </c>
      <c r="DF26" s="1065" t="str">
        <f t="shared" si="31"/>
        <v>DEFAULT</v>
      </c>
      <c r="DG26" s="1065">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65">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69">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69">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69">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69">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69">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69">
        <f t="array" ref="DN26">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8"/>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72" t="e">
        <f t="shared" si="32"/>
        <v>#DIV/0!</v>
      </c>
      <c r="DR26" s="101" t="s">
        <v>105</v>
      </c>
      <c r="DS26" s="93">
        <f>IFERROR(IF(AND($DS$2&lt;&gt;"Enter Spend&gt;&gt;&gt;",DT14="EXISTING"),SUMIFS('Existing Customers'!$Q:$Q,'Existing Customers'!$A:$A,$DS$1,'Existing Customers'!$H:$H,$DR26)*$DS$4,$DS$3*$DQ26),0)</f>
        <v>0</v>
      </c>
      <c r="DT26" s="88">
        <f>IFERROR(IF(AND($DS$2&lt;&gt;"Enter Spend&gt;&gt;&gt;",DT2="EXISTING"),SUMIFS('Existing Customers'!$N:$N,'Existing Customers'!$A:$A,$DS$1,'Existing Customers'!$H:$H,$DR26)*$DS$4,$DS26/$ED26),0)</f>
        <v>0</v>
      </c>
      <c r="DU26" s="94">
        <f>IFERROR(IF(AND($DS$2&lt;&gt;"Enter Spend&gt;&gt;&gt;",DT2="EXISTING"),SUMIFS('Existing Customers'!$O:$O,'Existing Customers'!$H:$H,$DR26,'Existing Customers'!$A:$A,$DS$1)*$DS$4,$DT26*$DS$8),0)</f>
        <v>0</v>
      </c>
      <c r="DV26" s="94">
        <f>IFERROR(IF(AND($DS$2&lt;&gt;"Enter Spend&gt;&gt;&gt;",DT2="EXISTING"),SUMIFS('Existing Customers'!$P:$P,'Existing Customers'!$A:$A,$DS$1,'Existing Customers'!$H:$H,$DR26)*$DS$4,$DS26/$EE26),0)</f>
        <v>0</v>
      </c>
      <c r="DW26" s="95">
        <f>IFERROR(IF(AND($DS$2&lt;&gt;"Enter Spend&gt;&gt;&gt;",EQ2="EXISTING"),SUMIFS('Existing Customers'!$V:$V,'Existing Customers'!$H:$H,$DR26,'Existing Customers'!$A:$A,$DS$1)*$DS$4,0),0)</f>
        <v>0</v>
      </c>
      <c r="DX26" s="95">
        <f>IFERROR(IF(AND($DS$2&lt;&gt;"Enter Spend&gt;&gt;&gt;",DT2="EXISTING"),SUMIFS('Existing Customers'!$R:$R,'Existing Customers'!$H:$H,$DR26,'Existing Customers'!$A:$A,$DS$1)*$DS$4,0),0)</f>
        <v>0</v>
      </c>
      <c r="DY26" s="1065">
        <f>IFERROR(IF(AND($DS$2&lt;&gt;"Enter Spend&gt;&gt;&gt;",DT2="EXISTING"),SUMIFS('Existing Customers'!$S:$S,'Existing Customers'!$H:$H,$DT26,'Existing Customers'!$A:$A,$DS$1),EI26*DS26),0)</f>
        <v>0</v>
      </c>
      <c r="DZ26" s="1065">
        <f>IFERROR(IF(AND($DS$2&lt;&gt;"Enter Spend&gt;&gt;&gt;",DT2="EXISTING"),SUMIFS('Existing Customers'!$U:$U,'Existing Customers'!$H:$H,$DR26,'Existing Customers'!$A:$A,$DS$1),EJ26*DS26),0)</f>
        <v>0</v>
      </c>
      <c r="EA26" s="1068" t="e">
        <f>_xlfn.CONCAT('Customer Inputs'!$AG$9,"_",DR26)</f>
        <v>#N/A</v>
      </c>
      <c r="EB26" s="1068">
        <f t="array" ref="EB26">IFERROR(INDEX('Margin Guidence Table'!$A$1:$AD$30000,MATCH(1,('Margin Guidence Table'!$A$1:$A$10000=EA26)*('Margin Guidence Table'!$I$1:$I$10000&lt;=ROUND($DS$3,0))*('Margin Guidence Table'!$J$1:$J$10000&gt;=ROUND($DS$3,0)),0),MATCH("DATA_POINTS",'Margin Guidence Table'!$A$1:$AG$1,0)),0)</f>
        <v>0</v>
      </c>
      <c r="EC26" s="1065" t="str">
        <f t="shared" si="33"/>
        <v>DEFAULT</v>
      </c>
      <c r="ED26" s="1065">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65">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69">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69">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69">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69">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69">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69">
        <f t="array" ref="EK26">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8"/>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72" t="e">
        <f t="shared" si="34"/>
        <v>#DIV/0!</v>
      </c>
      <c r="EO26" s="101" t="s">
        <v>105</v>
      </c>
      <c r="EP26" s="93">
        <f>IFERROR(IF(AND($EP$2&lt;&gt;"Enter Spend&gt;&gt;&gt;",EQ14="EXISTING"),SUMIFS('Existing Customers'!$Q:$Q,'Existing Customers'!$A:$A,$EP$1,'Existing Customers'!$H:$H,$EO26)*$EP$4,$EP$3*$EN26),0)</f>
        <v>0</v>
      </c>
      <c r="EQ26" s="88">
        <f>IFERROR(IF(AND($EP$2&lt;&gt;"Enter Spend&gt;&gt;&gt;",EQ2="EXISTING"),SUMIFS('Existing Customers'!$N:$N,'Existing Customers'!$A:$A,$EP$1,'Existing Customers'!$H:$H,$EO26)*$EP$4,$EP26/$FA26),0)</f>
        <v>0</v>
      </c>
      <c r="ER26" s="94">
        <f>IFERROR(IF(AND($EP$2&lt;&gt;"Enter Spend&gt;&gt;&gt;",EQ2="EXISTING"),SUMIFS('Existing Customers'!$O:$O,'Existing Customers'!$H:$H,$EO26,'Existing Customers'!$A:$A,$EP$1)*$EP$4,$EQ26*$EP$8),0)</f>
        <v>0</v>
      </c>
      <c r="ES26" s="94">
        <f>IFERROR(IF(AND($EP$2&lt;&gt;"Enter Spend&gt;&gt;&gt;",EQ2="EXISTING"),SUMIFS('Existing Customers'!$P:$P,'Existing Customers'!$A:$A,$EP$1,'Existing Customers'!$H:$H,$EO26)*$EP$4,$EP26/$FB26),0)</f>
        <v>0</v>
      </c>
      <c r="ET26" s="95">
        <f>IFERROR(IF(AND($EP$2&lt;&gt;"Enter Spend&gt;&gt;&gt;",EQ2="EXISTING"),SUMIFS('Existing Customers'!$V:$V,'Existing Customers'!$H:$H,$EO26,'Existing Customers'!$A:$A,$EP$1)*$EP$4,0),0)</f>
        <v>0</v>
      </c>
      <c r="EU26" s="95">
        <f>IFERROR(IF(AND($EP$2&lt;&gt;"Enter Spend&gt;&gt;&gt;",EQ2="EXISTING"),SUMIFS('Existing Customers'!$R:$R,'Existing Customers'!$H:$H,$EO26,'Existing Customers'!$A:$A,$EP$1)*$EP$4,0),0)</f>
        <v>0</v>
      </c>
      <c r="EV26" s="1065">
        <f>IFERROR(IF(AND($EP$2&lt;&gt;"Enter Spend&gt;&gt;&gt;",EQ2="EXISTING"),SUMIFS('Existing Customers'!$S:$S,'Existing Customers'!$H:$H,$EO26,'Existing Customers'!$A:$A,$EP$1),FF26*EP26),0)</f>
        <v>0</v>
      </c>
      <c r="EW26" s="1065">
        <f>IFERROR(IF(AND($EP$2&lt;&gt;"Enter Spend&gt;&gt;&gt;",EQ2="EXISTING"),SUMIFS('Existing Customers'!$U:$U,'Existing Customers'!$H:$H,$EO26,'Existing Customers'!$A:$A,$EP$1),FG26*EP26),0)</f>
        <v>0</v>
      </c>
      <c r="EX26" s="1068" t="e">
        <f>_xlfn.CONCAT('Customer Inputs'!$AG$10,"_",EO26)</f>
        <v>#N/A</v>
      </c>
      <c r="EY26" s="1068">
        <f t="array" ref="EY26">IFERROR(INDEX('Margin Guidence Table'!$A$1:$AD$30000,MATCH(1,('Margin Guidence Table'!$A$1:$A$10000=EX26)*('Margin Guidence Table'!$I$1:$I$10000&lt;=ROUND($EP$3,0))*('Margin Guidence Table'!$J$1:$J$10000&gt;=ROUND($EP$3,0)),0),MATCH("DATA_POINTS",'Margin Guidence Table'!$A$1:$AG$1,0)),0)</f>
        <v>0</v>
      </c>
      <c r="EZ26" s="1065" t="str">
        <f t="shared" si="35"/>
        <v>DEFAULT</v>
      </c>
      <c r="FA26" s="1065">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65"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69">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69">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69">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69">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69">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69">
        <f t="array" ref="FH26">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8"/>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72" t="e">
        <f t="shared" si="36"/>
        <v>#DIV/0!</v>
      </c>
      <c r="FL26" s="101" t="s">
        <v>105</v>
      </c>
      <c r="FM26" s="93">
        <f>IFERROR(IF(AND($FM$2&lt;&gt;"Enter Spend&gt;&gt;&gt;",FN14="EXISTING"),SUMIFS('Existing Customers'!$Q:$Q,'Existing Customers'!$A:$A,$FM$1,'Existing Customers'!$H:$H,$FL26)*$FM$4,$FM$3*$FK26),0)</f>
        <v>0</v>
      </c>
      <c r="FN26" s="88">
        <f>IFERROR(IF(AND($FM$2&lt;&gt;"Enter Spend&gt;&gt;&gt;",FN2="EXISTING"),SUMIFS('Existing Customers'!$N:$N,'Existing Customers'!$A:$A,$FM$1,'Existing Customers'!$H:$H,$FL26)*$FM$4,$FM26/$FX26),0)</f>
        <v>0</v>
      </c>
      <c r="FO26" s="94">
        <f>IFERROR(IF(AND($FM$2&lt;&gt;"Enter Spend&gt;&gt;&gt;",FN2="EXISTING"),SUMIFS('Existing Customers'!$O:$O,'Existing Customers'!$H:$H,$FL26,'Existing Customers'!$A:$A,$FM$1)*$FM$4,$FN26*$FM$8),0)</f>
        <v>0</v>
      </c>
      <c r="FP26" s="94">
        <f>IFERROR(IF(AND($FM$2&lt;&gt;"Enter Spend&gt;&gt;&gt;",FN2="EXISTING"),SUMIFS('Existing Customers'!$P:$P,'Existing Customers'!$A:$A,$FM$1,'Existing Customers'!$H:$H,$FL26)*$FM$4,$FM26/$FY26),0)</f>
        <v>0</v>
      </c>
      <c r="FQ26" s="95">
        <f>IFERROR(IF(AND($FM$2&lt;&gt;"Enter Spend&gt;&gt;&gt;",FN2="EXISTING"),SUMIFS('Existing Customers'!$V:$V,'Existing Customers'!$H:$H,$FL26,'Existing Customers'!$A:$A,$FM$1)*$FM$4,0),0)</f>
        <v>0</v>
      </c>
      <c r="FR26" s="95">
        <f>IFERROR(IF(AND($FM$2&lt;&gt;"Enter Spend&gt;&gt;&gt;",FN2="EXISTING"),SUMIFS('Existing Customers'!$R:$R,'Existing Customers'!$H:$H,$FL26,'Existing Customers'!$A:$A,$FM$1)*$FM$4,0),0)</f>
        <v>0</v>
      </c>
      <c r="FS26" s="1065">
        <f>IFERROR(IF(AND($FM$2&lt;&gt;"Enter Spend&gt;&gt;&gt;",FN2="EXISTING"),SUMIFS('Existing Customers'!$S:$S,'Existing Customers'!$H:$H,$FL26,'Existing Customers'!$A:$A,$FM$1),GC26*FM26),0)</f>
        <v>0</v>
      </c>
      <c r="FT26" s="1065">
        <f>IFERROR(IF(AND($FM$2&lt;&gt;"Enter Spend&gt;&gt;&gt;",FN2="EXISTING"),SUMIFS('Existing Customers'!$U:$U,'Existing Customers'!$H:$H,$FL26,'Existing Customers'!$A:$A,$FM$1),GD26*FM26),0)</f>
        <v>0</v>
      </c>
      <c r="FU26" s="1068" t="e">
        <f>_xlfn.CONCAT('Customer Inputs'!$AG$11,"_",FL26)</f>
        <v>#N/A</v>
      </c>
      <c r="FV26" s="1068">
        <f t="array" ref="FV26">IFERROR(INDEX('Margin Guidence Table'!$A$1:$AD$30000,MATCH(1,('Margin Guidence Table'!$A$1:$A$10000=FU26)*('Margin Guidence Table'!$I$1:$I$10000&lt;=ROUND($FM$3,0))*('Margin Guidence Table'!$J$1:$J$10000&gt;=ROUND($FM$3,0)),0),MATCH("DATA_POINTS",'Margin Guidence Table'!$A$1:$AG$1,0)),0)</f>
        <v>0</v>
      </c>
      <c r="FW26" s="1065" t="str">
        <f t="shared" si="37"/>
        <v>DEFAULT</v>
      </c>
      <c r="FX26" s="1065">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65">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69">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69">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69">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69">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69">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69">
        <f t="array" ref="GE26">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8"/>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72" t="e">
        <f t="shared" si="38"/>
        <v>#DIV/0!</v>
      </c>
      <c r="GI26" s="101" t="s">
        <v>105</v>
      </c>
      <c r="GJ26" s="93">
        <f>IFERROR(IF(AND($GJ$2&lt;&gt;"Enter Spend&gt;&gt;&gt;",GK14="EXISTING"),SUMIFS('Existing Customers'!$Q:$Q,'Existing Customers'!$A:$A,$GJ$1,'Existing Customers'!$H:$H,$GI26)*$GJ$4,$GJ$3*$GH26),0)</f>
        <v>0</v>
      </c>
      <c r="GK26" s="88">
        <f>IFERROR(IF(AND($GJ$2&lt;&gt;"Enter Spend&gt;&gt;&gt;",GK2="EXISTING"),SUMIFS('Existing Customers'!$N:$N,'Existing Customers'!$A:$A,$GJ$1,'Existing Customers'!$H:$H,$GI26)*$GJ$4,$GJ26/$GU26),0)</f>
        <v>0</v>
      </c>
      <c r="GL26" s="94">
        <f>IFERROR(IF(AND($GJ$2&lt;&gt;"Enter Spend&gt;&gt;&gt;",GK2="EXISTING"),SUMIFS('Existing Customers'!$O:$O,'Existing Customers'!$H:$H,$GI26,'Existing Customers'!$A:$A,$GJ$1)*$GJ$4,$GK26*$GJ$8),0)</f>
        <v>0</v>
      </c>
      <c r="GM26" s="94">
        <f>IFERROR(IF(AND($GJ$2&lt;&gt;"Enter Spend&gt;&gt;&gt;",GK2="EXISTING"),SUMIFS('Existing Customers'!$P:$P,'Existing Customers'!$A:$A,$GJ$1,'Existing Customers'!$H:$H,$GI26)*$GJ$4,$GJ26/$GV26),0)</f>
        <v>0</v>
      </c>
      <c r="GN26" s="95">
        <f>IFERROR(IF(AND($GJ$2&lt;&gt;"Enter Spend&gt;&gt;&gt;",GK2="EXISTING"),SUMIFS('Existing Customers'!$V:$V,'Existing Customers'!$H:$H,$GI26,'Existing Customers'!$A:$A,$GJ$1)*$GJ$4,0),0)</f>
        <v>0</v>
      </c>
      <c r="GO26" s="95">
        <f>IFERROR(IF(AND($GJ$2&lt;&gt;"Enter Spend&gt;&gt;&gt;",GK2="EXISTING"),SUMIFS('Existing Customers'!$R:$R,'Existing Customers'!$H:$H,$GI26,'Existing Customers'!$A:$A,$GJ$1)*$GJ$4,0),0)</f>
        <v>0</v>
      </c>
      <c r="GP26" s="1065">
        <f>IFERROR(IF(AND($GJ$2&lt;&gt;"Enter Spend&gt;&gt;&gt;",GK2="EXISTING"),SUMIFS('Existing Customers'!$S:$S,'Existing Customers'!$H:$H,$GI26,'Existing Customers'!$A:$A,$GJ$1),GZ26*GJ26),0)</f>
        <v>0</v>
      </c>
      <c r="GQ26" s="1065">
        <f>IFERROR(IF(AND($GJ$2&lt;&gt;"Enter Spend&gt;&gt;&gt;",GK2="EXISTING"),SUMIFS('Existing Customers'!$U:$U,'Existing Customers'!$H:$H,$GI26,'Existing Customers'!$A:$A,$GJ$1),HA26*GJ26),0)</f>
        <v>0</v>
      </c>
      <c r="GR26" s="1068" t="e">
        <f>_xlfn.CONCAT('Customer Inputs'!$AG$12,"_",GI26)</f>
        <v>#N/A</v>
      </c>
      <c r="GS26" s="1068">
        <f t="array" ref="GS26">IFERROR(INDEX('Margin Guidence Table'!$A$1:$AD$30000,MATCH(1,('Margin Guidence Table'!$A$1:$A$10000=GR26)*('Margin Guidence Table'!$I$1:$I$10000&lt;=ROUND($GJ$3,0))*('Margin Guidence Table'!$J$1:$J$10000&gt;=ROUND($GJ$3,0)),0),MATCH("DATA_POINTS",'Margin Guidence Table'!$A$1:$AG$1,0)),0)</f>
        <v>0</v>
      </c>
      <c r="GT26" s="1065" t="str">
        <f t="shared" si="39"/>
        <v>DEFAULT</v>
      </c>
      <c r="GU26" s="1065">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65">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69">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69">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69">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69">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69">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69">
        <f t="array" ref="HB26">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8"/>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72" t="e">
        <f t="shared" si="40"/>
        <v>#DIV/0!</v>
      </c>
      <c r="HF26" s="101" t="s">
        <v>105</v>
      </c>
      <c r="HG26" s="93">
        <f>IFERROR(IF(AND($HG$2&lt;&gt;"Enter Spend&gt;&gt;&gt;",HH14="EXISTING"),SUMIFS('Existing Customers'!$Q:$Q,'Existing Customers'!$A:$A,$HG$1,'Existing Customers'!$H:$H,$HF26)*$HG$4,$HG$3*$HE26),0)</f>
        <v>0</v>
      </c>
      <c r="HH26" s="88">
        <f>IFERROR(IF(AND($HG$2&lt;&gt;"Enter Spend&gt;&gt;&gt;",HH2="EXISTING"),SUMIFS('Existing Customers'!$N:$N,'Existing Customers'!$A:$A,$HG$1,'Existing Customers'!$H:$H,$HF26)*$HG$4,$HG26/$HR26),0)</f>
        <v>0</v>
      </c>
      <c r="HI26" s="94">
        <f>IFERROR(IF(AND($HG$2&lt;&gt;"Enter Spend&gt;&gt;&gt;",HH2="EXISTING"),SUMIFS('Existing Customers'!$O:$O,'Existing Customers'!$H:$H,$HF26,'Existing Customers'!$A:$A,$HG$1)*$HG$4,$HH26*$HG$8),0)</f>
        <v>0</v>
      </c>
      <c r="HJ26" s="94">
        <f>IFERROR(IF(AND($HG$2&lt;&gt;"Enter Spend&gt;&gt;&gt;",HH2="EXISTING"),SUMIFS('Existing Customers'!$P:$P,'Existing Customers'!$A:$A,$HG$1,'Existing Customers'!$H:$H,$HF26)*$HG$4,$HG26/$HS26),0)</f>
        <v>0</v>
      </c>
      <c r="HK26" s="95">
        <f>IFERROR(IF(AND($HG$2&lt;&gt;"Enter Spend&gt;&gt;&gt;",HH2="EXISTING"),SUMIFS('Existing Customers'!$V:$V,'Existing Customers'!$H:$H,$HF26,'Existing Customers'!$A:$A,$HG$1)*$HG$4,0),0)</f>
        <v>0</v>
      </c>
      <c r="HL26" s="95">
        <f>IFERROR(IF(AND($HG$2&lt;&gt;"Enter Spend&gt;&gt;&gt;",HH2="EXISTING"),SUMIFS('Existing Customers'!$R:$R,'Existing Customers'!$H:$H,$HF26,'Existing Customers'!$A:$A,$HG$1)*$HG$4,0),0)</f>
        <v>0</v>
      </c>
      <c r="HM26" s="1065">
        <f>IFERROR(IF(AND($HG$2&lt;&gt;"Enter Spend&gt;&gt;&gt;",HH2="EXISTING"),SUMIFS('Existing Customers'!$S:$S,'Existing Customers'!$H:$H,$HF26,'Existing Customers'!$A:$A,$HG$1),HW26*HG26),0)</f>
        <v>0</v>
      </c>
      <c r="HN26" s="1065">
        <f>IFERROR(IF(AND($HG$2&lt;&gt;"Enter Spend&gt;&gt;&gt;",HH2="EXISTING"),SUMIFS('Existing Customers'!$U:$U,'Existing Customers'!$H:$H,$HF26,'Existing Customers'!$A:$A,$HG$1),HX26*HG26),0)</f>
        <v>0</v>
      </c>
      <c r="HO26" s="1068" t="e">
        <f>_xlfn.CONCAT('Customer Inputs'!$AG$13,"_",HF26)</f>
        <v>#N/A</v>
      </c>
      <c r="HP26" s="1068">
        <f t="array" ref="HP26">IFERROR(INDEX('Margin Guidence Table'!$A$1:$AD$30000,MATCH(1,('Margin Guidence Table'!$A$1:$A$10000=HO26)*('Margin Guidence Table'!$I$1:$I$10000&lt;=ROUND($HG$3,0))*('Margin Guidence Table'!$J$1:$J$10000&gt;=ROUND($HG$3,0)),0),MATCH("DATA_POINTS",'Margin Guidence Table'!$A$1:$AG$1,0)),0)</f>
        <v>0</v>
      </c>
      <c r="HQ26" s="1065" t="str">
        <f t="shared" si="41"/>
        <v>DEFAULT</v>
      </c>
      <c r="HR26" s="1065">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65">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69">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69">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69">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69">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69">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69">
        <f t="array" ref="HY26">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8"/>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72" t="e">
        <f t="shared" si="42"/>
        <v>#DIV/0!</v>
      </c>
      <c r="IC26" s="101" t="s">
        <v>105</v>
      </c>
      <c r="ID26" s="93">
        <f>IFERROR(IF(AND($ID$2&lt;&gt;"Enter Spend&gt;&gt;&gt;",IE14="EXISTING"),SUMIFS('Existing Customers'!$Q:$Q,'Existing Customers'!$A:$A,$ID$1,'Existing Customers'!$H:$H,$IC26)*$ID$4,$ID$3*$IB26),0)</f>
        <v>0</v>
      </c>
      <c r="IE26" s="88">
        <f>IFERROR(IF(AND($ID$2&lt;&gt;"Enter Spend&gt;&gt;&gt;",IE2="EXISTING"),SUMIFS('Existing Customers'!$N:$N,'Existing Customers'!$A:$A,$ID$1,'Existing Customers'!$H:$H,$IC26)*$ID$4,$ID26/$IO26),0)</f>
        <v>0</v>
      </c>
      <c r="IF26" s="94">
        <f>IFERROR(IF(AND($ID$2&lt;&gt;"Enter Spend&gt;&gt;&gt;",IE2="EXISTING"),SUMIFS('Existing Customers'!$O:$O,'Existing Customers'!$H:$H,$IC26,'Existing Customers'!$A:$A,$ID$1)*$ID$4,$IE26*$ID$8),0)</f>
        <v>0</v>
      </c>
      <c r="IG26" s="94">
        <f>IFERROR(IF(AND($ID$2&lt;&gt;"Enter Spend&gt;&gt;&gt;",IE2="EXISTING"),SUMIFS('Existing Customers'!$P:$P,'Existing Customers'!$A:$A,$ID$1,'Existing Customers'!$H:$H,$IC26)*$ID$4,$ID26/$IP26),0)</f>
        <v>0</v>
      </c>
      <c r="IH26" s="378">
        <f>IFERROR(IF(AND($ID$2&lt;&gt;"Enter Spend&gt;&gt;&gt;",IE2="EXISTING"),SUMIFS('Existing Customers'!$V:$V,'Existing Customers'!$H:$H,$IC26,'Existing Customers'!$A:$A,$ID$1)*$ID$4,0),0)</f>
        <v>0</v>
      </c>
      <c r="II26" s="95">
        <f>IFERROR(IF(AND($ID$2&lt;&gt;"Enter Spend&gt;&gt;&gt;",IE2="EXISTING"),SUMIFS('Existing Customers'!$R:$R,'Existing Customers'!$H:$H,$IC26,'Existing Customers'!$A:$A,$ID$1)*$ID$4,0),0)</f>
        <v>0</v>
      </c>
      <c r="IJ26" s="1065">
        <f>IFERROR(IF(AND($ID$2&lt;&gt;"Enter Spend&gt;&gt;&gt;",IE2="EXISTING"),SUMIFS('Existing Customers'!$S:$S,'Existing Customers'!$H:$H,$IC26,'Existing Customers'!$A:$A,$ID$1),IT26*ID26),0)</f>
        <v>0</v>
      </c>
      <c r="IK26" s="1065">
        <f>IFERROR(IF(AND($ID$2&lt;&gt;"Enter Spend&gt;&gt;&gt;",IE2="EXISTING"),SUMIFS('Existing Customers'!$U:$U,'Existing Customers'!$H:$H,$IC26,'Existing Customers'!$A:$A,$ID$1),IU26*ID26),0)</f>
        <v>0</v>
      </c>
      <c r="IL26" s="1068" t="e">
        <f>_xlfn.CONCAT('Customer Inputs'!$AG$14,"_",IC26)</f>
        <v>#N/A</v>
      </c>
      <c r="IM26" s="1068">
        <f t="array" ref="IM26">IFERROR(INDEX('Margin Guidence Table'!$A$1:$AD$30000,MATCH(1,('Margin Guidence Table'!$A$1:$A$10000=IL26)*('Margin Guidence Table'!$I$1:$I$10000&lt;=ROUND($ID$3,0))*('Margin Guidence Table'!$J$1:$J$10000&gt;=ROUND($ID$3,0)),0),MATCH("DATA_POINTS",'Margin Guidence Table'!$A$1:$AG$1,0)),0)</f>
        <v>0</v>
      </c>
      <c r="IN26" s="1065" t="str">
        <f t="shared" si="43"/>
        <v>DEFAULT</v>
      </c>
      <c r="IO26" s="1065">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65">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69">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69">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69">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69">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69">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69">
        <f t="array" ref="IV26">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8"/>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72" t="e">
        <f t="shared" si="44"/>
        <v>#DIV/0!</v>
      </c>
      <c r="IZ26" s="101" t="s">
        <v>105</v>
      </c>
      <c r="JA26" s="93">
        <f>IFERROR(IF(AND($JA$2&lt;&gt;"Enter Spend&gt;&gt;&gt;",JB14="EXISTING"),SUMIFS('Existing Customers'!$Q:$Q,'Existing Customers'!$A:$A,$JA$1,'Existing Customers'!$H:$H,$IZ26)*$JA$4,$JA$3*$IY26),0)</f>
        <v>0</v>
      </c>
      <c r="JB26" s="88">
        <f>IFERROR(IF(AND($JA$2&lt;&gt;"Enter Spend&gt;&gt;&gt;",JB2="EXISTING"),SUMIFS('Existing Customers'!$N:$N,'Existing Customers'!$A:$A,$JA$1,'Existing Customers'!$H:$H,$IZ26)*$JA$4,$JA26/$JL26),0)</f>
        <v>0</v>
      </c>
      <c r="JC26" s="94">
        <f>IFERROR(IF(AND($JA$2&lt;&gt;"Enter Spend&gt;&gt;&gt;",JB2="EXISTING"),SUMIFS('Existing Customers'!$O:$O,'Existing Customers'!$H:$H,$IZ26,'Existing Customers'!$A:$A,$JA$1)*$JA$4,$JB26*$JA$8),0)</f>
        <v>0</v>
      </c>
      <c r="JD26" s="94">
        <f>IFERROR(IF(AND($JA$2&lt;&gt;"Enter Spend&gt;&gt;&gt;",JB2="EXISTING"),SUMIFS('Existing Customers'!$P:$P,'Existing Customers'!$A:$A,$JA$1,'Existing Customers'!$H:$H,$IZ26)*$JA$4,$JA26/$JM26),0)</f>
        <v>0</v>
      </c>
      <c r="JE26" s="378">
        <f>IFERROR(IF(AND($JA$2&lt;&gt;"Enter Spend&gt;&gt;&gt;",JB2="EXISTING"),SUMIFS('Existing Customers'!$V:$V,'Existing Customers'!$H:$H,$IZ26,'Existing Customers'!$A:$A,$JA$1)*$JA$4,0),0)</f>
        <v>0</v>
      </c>
      <c r="JF26" s="95">
        <f>IFERROR(IF(AND($JA$2&lt;&gt;"Enter Spend&gt;&gt;&gt;",JB2="EXISTING"),SUMIFS('Existing Customers'!$R:$R,'Existing Customers'!$H:$H,$IZ26,'Existing Customers'!$A:$A,$JA$1)*$JA$4,0),0)</f>
        <v>0</v>
      </c>
      <c r="JG26" s="1065">
        <f>IFERROR(IF(AND($JA$2&lt;&gt;"Enter Spend&gt;&gt;&gt;",JB2="EXISTING"),SUMIFS('Existing Customers'!$S:$S,'Existing Customers'!$H:$H,$IZ26,'Existing Customers'!$A:$A,$JA$1),JQ26*JA26),0)</f>
        <v>0</v>
      </c>
      <c r="JH26" s="1065">
        <f>IFERROR(IF(AND($JA$2&lt;&gt;"Enter Spend&gt;&gt;&gt;",JB2="EXISTING"),SUMIFS('Existing Customers'!$U:$U,'Existing Customers'!$H:$H,$IZ26,'Existing Customers'!$A:$A,$JA$1),JR26*JA26),0)</f>
        <v>0</v>
      </c>
      <c r="JI26" s="1068" t="e">
        <f>_xlfn.CONCAT('Customer Inputs'!$AG$15,"_",IZ26)</f>
        <v>#N/A</v>
      </c>
      <c r="JJ26" s="1068">
        <f t="array" ref="JJ26">IFERROR(INDEX('Margin Guidence Table'!$A$1:$AD$30000,MATCH(1,('Margin Guidence Table'!$A$1:$A$10000=JI26)*('Margin Guidence Table'!$I$1:$I$10000&lt;=ROUND($JA$3,0))*('Margin Guidence Table'!$J$1:$J$10000&gt;=ROUND($JA$3,0)),0),MATCH("DATA_POINTS",'Margin Guidence Table'!$A$1:$AG$1,0)),0)</f>
        <v>0</v>
      </c>
      <c r="JK26" s="1065" t="str">
        <f t="shared" si="45"/>
        <v>DEFAULT</v>
      </c>
      <c r="JL26" s="1065">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65">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69">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69">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69">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69">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69">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69">
        <f t="array" ref="JS26">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101" t="s">
        <v>105</v>
      </c>
      <c r="JV26" s="96"/>
      <c r="JW26" s="88"/>
      <c r="JX26" s="88"/>
      <c r="JY26" s="88"/>
      <c r="JZ26" s="113"/>
      <c r="KA26" s="97"/>
      <c r="KB26" s="128"/>
      <c r="KD26" s="101" t="s">
        <v>105</v>
      </c>
      <c r="KE26" s="96"/>
      <c r="KF26" s="88"/>
      <c r="KG26" s="88"/>
      <c r="KH26" s="88"/>
      <c r="KI26" s="113"/>
      <c r="KJ26" s="97"/>
    </row>
    <row r="27" spans="2:296" ht="15.75" thickBot="1" x14ac:dyDescent="0.3">
      <c r="B27" s="101" t="s">
        <v>92</v>
      </c>
      <c r="C27" s="451">
        <f t="shared" si="11"/>
        <v>0</v>
      </c>
      <c r="D27" s="467">
        <f t="shared" si="12"/>
        <v>0</v>
      </c>
      <c r="E27" s="467">
        <f t="shared" si="13"/>
        <v>0</v>
      </c>
      <c r="F27" s="467">
        <f t="shared" si="14"/>
        <v>0</v>
      </c>
      <c r="G27" s="468">
        <f t="shared" si="15"/>
        <v>0</v>
      </c>
      <c r="H27" s="467">
        <f t="shared" si="16"/>
        <v>0</v>
      </c>
      <c r="I27" s="1061" t="e">
        <f t="shared" si="0"/>
        <v>#DIV/0!</v>
      </c>
      <c r="J27" s="1061" t="e">
        <f t="shared" si="1"/>
        <v>#DIV/0!</v>
      </c>
      <c r="K27" s="1061" t="e">
        <f t="shared" si="2"/>
        <v>#DIV/0!</v>
      </c>
      <c r="L27" s="467" t="e">
        <f t="shared" si="3"/>
        <v>#DIV/0!</v>
      </c>
      <c r="M27" s="467" t="e">
        <f t="shared" si="17"/>
        <v>#DIV/0!</v>
      </c>
      <c r="N27" s="1062" t="e">
        <f t="shared" si="4"/>
        <v>#DIV/0!</v>
      </c>
      <c r="P27" t="str">
        <f>'PIM Model'!E23</f>
        <v>INCLUDE</v>
      </c>
      <c r="Q27">
        <f t="shared" si="18"/>
        <v>0</v>
      </c>
      <c r="R27">
        <f t="shared" si="19"/>
        <v>0</v>
      </c>
      <c r="S27" s="101" t="s">
        <v>92</v>
      </c>
      <c r="T27" s="96">
        <f t="shared" si="20"/>
        <v>0</v>
      </c>
      <c r="U27" s="88">
        <f t="shared" si="5"/>
        <v>0</v>
      </c>
      <c r="V27" s="88">
        <f t="shared" si="6"/>
        <v>0</v>
      </c>
      <c r="W27" s="88">
        <f t="shared" si="7"/>
        <v>0</v>
      </c>
      <c r="X27" s="113">
        <f t="shared" si="8"/>
        <v>0</v>
      </c>
      <c r="Y27" s="116">
        <f t="shared" si="21"/>
        <v>0</v>
      </c>
      <c r="Z27" s="376"/>
      <c r="AA27" s="101" t="s">
        <v>92</v>
      </c>
      <c r="AB27" s="455">
        <f t="shared" si="9"/>
        <v>0</v>
      </c>
      <c r="AC27" s="456">
        <f t="shared" si="9"/>
        <v>0</v>
      </c>
      <c r="AD27" s="456">
        <f t="shared" si="9"/>
        <v>0</v>
      </c>
      <c r="AE27" s="457">
        <f t="shared" si="22"/>
        <v>0</v>
      </c>
      <c r="AF27" s="458">
        <f t="shared" si="23"/>
        <v>0</v>
      </c>
      <c r="AG27" s="376"/>
      <c r="AH27" s="101" t="s">
        <v>92</v>
      </c>
      <c r="AI27" s="455">
        <f t="shared" si="10"/>
        <v>0</v>
      </c>
      <c r="AJ27" s="452">
        <f t="shared" si="24"/>
        <v>0</v>
      </c>
      <c r="AK27" s="458"/>
      <c r="AL27" s="376"/>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76">
        <f>VLOOKUP($AH27&amp;$AM27,'IMargin Quartiles'!$A:$F,6,FALSE)</f>
        <v>0.13</v>
      </c>
      <c r="AO27" s="376"/>
      <c r="AP27"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Q27" s="376" t="e">
        <f t="shared" si="25"/>
        <v>#DIV/0!</v>
      </c>
      <c r="AR27">
        <f>'PIM Model'!C23</f>
        <v>0</v>
      </c>
      <c r="AS27" s="376"/>
      <c r="AT27" s="376"/>
      <c r="AU27" s="376" t="e">
        <f t="shared" si="46"/>
        <v>#DIV/0!</v>
      </c>
      <c r="AV27" s="376"/>
      <c r="AW27" s="376"/>
      <c r="AX27" s="107">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72" t="e">
        <f t="shared" si="26"/>
        <v>#DIV/0!</v>
      </c>
      <c r="BA27" s="101" t="s">
        <v>92</v>
      </c>
      <c r="BB27" s="93">
        <f>IFERROR(IF(AND($BB$2&lt;&gt;"Enter Spend&gt;&gt;&gt;",BC15="EXISTING"),SUMIFS('Existing Customers'!$Q:$Q,'Existing Customers'!$A:$A,$BB$1,'Existing Customers'!$H:$H,$BA27)*$BB$4,$BB$3*$AZ27),0)</f>
        <v>0</v>
      </c>
      <c r="BC27" s="94">
        <f>IFERROR(IF(AND($BB$2&lt;&gt;"Enter Spend&gt;&gt;&gt;",BC2="EXISTING"),SUMIFS('Existing Customers'!$N:$N,'Existing Customers'!$A:$A,$BB$1,'Existing Customers'!$H:$H,$BA27)*$BB$4,$BB27/$BM27),0)</f>
        <v>0</v>
      </c>
      <c r="BD27" s="94">
        <f>IFERROR(IF(AND($BB$2&lt;&gt;"Enter Spend&gt;&gt;&gt;",BC2="EXISTING"),SUMIFS('Existing Customers'!$O:$O,'Existing Customers'!$H:$H,$BA27,'Existing Customers'!$A:$A,$BB$1)*$BB$4,$BC27*$BB$8),0)</f>
        <v>0</v>
      </c>
      <c r="BE27" s="94">
        <f>IFERROR(IF(AND($BB$2&lt;&gt;"Enter Spend&gt;&gt;&gt;",BC2="EXISTING"),SUMIFS('Existing Customers'!$P:$P,'Existing Customers'!$A:$A,$BB$1,'Existing Customers'!$H:$H,$BA27)*$BB$4,$BB27/$BN27),0)</f>
        <v>0</v>
      </c>
      <c r="BF27" s="378">
        <f>IFERROR(IF(AND($BB$2&lt;&gt;"Enter Spend&gt;&gt;&gt;",BC2="EXISTING"),SUMIFS('Existing Customers'!$V:$V,'Existing Customers'!$H:$H,$BA27,'Existing Customers'!$A:$A,$BB$1)*$BB$4,0),0)</f>
        <v>0</v>
      </c>
      <c r="BG27" s="95">
        <f>IFERROR(IF(AND($BB$2&lt;&gt;"Enter Spend&gt;&gt;&gt;",BC2="EXISTING"),SUMIFS('Existing Customers'!$R:$R,'Existing Customers'!$H:$H,$BA27,'Existing Customers'!$A:$A,$BB$1)*$BB$4,0),0)</f>
        <v>0</v>
      </c>
      <c r="BH27" s="95">
        <f>IFERROR(IF(AND($BB$2&lt;&gt;"Enter Spend&gt;&gt;&gt;",BC2="EXISTING"),SUMIFS('Existing Customers'!$S:$S,'Existing Customers'!$H:$H,$BA27,'Existing Customers'!$A:$A,$BB$1),BR27*BB27),0)</f>
        <v>0</v>
      </c>
      <c r="BI27" s="95">
        <f>IFERROR(IF(AND($BB$2&lt;&gt;"Enter Spend&gt;&gt;&gt;",BC2="EXISTING"),SUMIFS('Existing Customers'!$U:$U,'Existing Customers'!$H:$H,$BA27,'Existing Customers'!$A:$A,$BB$1),BS27*BB27),0)</f>
        <v>0</v>
      </c>
      <c r="BJ27" s="1067" t="e">
        <f>_xlfn.CONCAT('Customer Inputs'!$AG$6,"_",BA27)</f>
        <v>#N/A</v>
      </c>
      <c r="BK27" s="1068">
        <f t="array" ref="BK27">IFERROR(INDEX('Margin Guidence Table'!$A$1:$AD$30000,MATCH(1,('Margin Guidence Table'!$A$1:$A$10000=$BJ27)*('Margin Guidence Table'!$I$1:$I$10000&lt;=ROUND($BB$3,0))*('Margin Guidence Table'!$J$1:$J$10000&gt;=ROUND($BB$3,0)),0),MATCH("DATA_POINTS",'Margin Guidence Table'!$A$1:$AG$1,0)),0)</f>
        <v>0</v>
      </c>
      <c r="BL27" s="1065" t="str">
        <f t="shared" si="27"/>
        <v>DEFAULT</v>
      </c>
      <c r="BM27" s="1065">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65">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69">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69">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69">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69">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69">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69">
        <f t="array" ref="BT27">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8"/>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72" t="e">
        <f t="shared" si="28"/>
        <v>#DIV/0!</v>
      </c>
      <c r="BX27" s="101" t="s">
        <v>92</v>
      </c>
      <c r="BY27" s="93">
        <f>IFERROR(IF(AND($BY$2&lt;&gt;"Enter Spend&gt;&gt;&gt;",BZ15="EXISTING"),SUMIFS('Existing Customers'!$Q:$Q,'Existing Customers'!$A:$A,$BY$1,'Existing Customers'!$H:$H,$BX27)*$BY$4,$BY$3*$BW27),0)</f>
        <v>0</v>
      </c>
      <c r="BZ27" s="88">
        <f>IFERROR(IF(AND($BY$2&lt;&gt;"Enter Spend&gt;&gt;&gt;",BZ2="EXISTING"),SUMIFS('Existing Customers'!$N:$N,'Existing Customers'!$A:$A,$BY$1,'Existing Customers'!$H:$H,$BX27)*$BY$4,$BY27/$CJ27),0)</f>
        <v>0</v>
      </c>
      <c r="CA27" s="94">
        <f>IFERROR(IF(AND($BY$2&lt;&gt;"Enter Spend&gt;&gt;&gt;",BZ2="EXISTING"),SUMIFS('Existing Customers'!$O:$O,'Existing Customers'!$H:$H,$BX27,'Existing Customers'!$A:$A,$BY$1)*$BY$4,$BZ27*$BY$8),0)</f>
        <v>0</v>
      </c>
      <c r="CB27" s="94">
        <f>IFERROR(IF(AND($BY$2&lt;&gt;"Enter Spend&gt;&gt;&gt;",BZ2="EXISTING"),SUMIFS('Existing Customers'!$P:$P,'Existing Customers'!$A:$A,$BY$1,'Existing Customers'!$H:$H,$BX27)*$BY$4,$BY27/$CK27),0)</f>
        <v>0</v>
      </c>
      <c r="CC27" s="95">
        <f>IFERROR(IF(AND($BY$2&lt;&gt;"Enter Spend&gt;&gt;&gt;",BZ2="EXISTING"),SUMIFS('Existing Customers'!$V:$V,'Existing Customers'!$H:$H,$BX27,'Existing Customers'!$A:$A,$BY$1)*$BY$4,0),0)</f>
        <v>0</v>
      </c>
      <c r="CD27" s="95">
        <f>IFERROR(IF(AND($BY$2&lt;&gt;"Enter Spend&gt;&gt;&gt;",BZ2="EXISTING"),SUMIFS('Existing Customers'!$R:$R,'Existing Customers'!$H:$H,$BX27,'Existing Customers'!$A:$A,$BY$1)*$BY$4,0),0)</f>
        <v>0</v>
      </c>
      <c r="CE27" s="1065">
        <f>IFERROR(IF(AND($BY$2&lt;&gt;"Enter Spend&gt;&gt;&gt;",BZ2="EXISTING"),SUMIFS('Existing Customers'!$S:$S,'Existing Customers'!$H:$H,$BX27,'Existing Customers'!$A:$A,$BY$1),CO27*BY27),0)</f>
        <v>0</v>
      </c>
      <c r="CF27" s="1065">
        <f>IFERROR(IF(AND($BY$2&lt;&gt;"Enter Spend&gt;&gt;&gt;",BZ2="EXISTING"),SUMIFS('Existing Customers'!$U:$U,'Existing Customers'!$H:$H,$BX27,'Existing Customers'!$A:$A,$BY$1),CP27*BY27),0)</f>
        <v>0</v>
      </c>
      <c r="CG27" s="1068" t="e">
        <f>_xlfn.CONCAT('Customer Inputs'!$AG$7,"_",BX27)</f>
        <v>#N/A</v>
      </c>
      <c r="CH27" s="1068">
        <f t="array" ref="CH27">IFERROR(INDEX('Margin Guidence Table'!$A$1:$AD$30000,MATCH(1,('Margin Guidence Table'!$A$1:$A$10000=$CG27)*('Margin Guidence Table'!$I$1:$I$10000&lt;=ROUND($BY$3,0))*('Margin Guidence Table'!$J$1:$J$10000&gt;=ROUND($BY$3,0)),0),MATCH("DATA_POINTS",'Margin Guidence Table'!$A$1:$AG$1,0)),0)</f>
        <v>0</v>
      </c>
      <c r="CI27" s="1065" t="str">
        <f t="shared" si="29"/>
        <v>DEFAULT</v>
      </c>
      <c r="CJ27" s="1065">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65">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69">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69">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69">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69">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69">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69">
        <f t="array" ref="CQ27">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8"/>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72" t="e">
        <f t="shared" si="30"/>
        <v>#DIV/0!</v>
      </c>
      <c r="CU27" s="101" t="s">
        <v>92</v>
      </c>
      <c r="CV27" s="93">
        <f>IFERROR(IF(AND($CV$2&lt;&gt;"Enter Spend&gt;&gt;&gt;",CW15="EXISTING"),SUMIFS('Existing Customers'!$Q:$Q,'Existing Customers'!$A:$A,$CV$1,'Existing Customers'!$H:$H,$CU27)*$CV$4,$CV$3*$CT27),0)</f>
        <v>0</v>
      </c>
      <c r="CW27" s="88">
        <f>IFERROR(IF(AND($CV$2&lt;&gt;"Enter Spend&gt;&gt;&gt;",CW2="EXISTING"),SUMIFS('Existing Customers'!$N:$N,'Existing Customers'!$A:$A,$CV$1,'Existing Customers'!$H:$H,$CU27)*$CV$4,$CV27/$DG27),0)</f>
        <v>0</v>
      </c>
      <c r="CX27" s="94">
        <f>IFERROR(IF(AND($CV$2&lt;&gt;"Enter Spend&gt;&gt;&gt;",BC28="EXISTING"),SUMIFS('Existing Customers'!$O:$O,'Existing Customers'!$H:$H,$CU27,'Existing Customers'!$A:$A,$CV$1)*$CV$4,$CW27*$CV$8),0)</f>
        <v>0</v>
      </c>
      <c r="CY27" s="94">
        <f>IFERROR(IF(AND($CV$2&lt;&gt;"Enter Spend&gt;&gt;&gt;",CW2="EXISTING"),SUMIFS('Existing Customers'!$P:$P,'Existing Customers'!$A:$A,$CV$1,'Existing Customers'!$H:$H,$CU27)*$CV$4,$CV27/$DH27),0)</f>
        <v>0</v>
      </c>
      <c r="CZ27" s="95">
        <f>IFERROR(IF(AND($CV$2&lt;&gt;"Enter Spend&gt;&gt;&gt;",CW2="EXISTING"),SUMIFS('Existing Customers'!$V:$V,'Existing Customers'!$H:$H,$CU27,'Existing Customers'!$A:$A,$CV$1)*$CV$4,0),0)</f>
        <v>0</v>
      </c>
      <c r="DA27" s="95">
        <f>IFERROR(IF(AND($CV$2&lt;&gt;"Enter Spend&gt;&gt;&gt;",CW2="EXISTING"),SUMIFS('Existing Customers'!$R:$R,'Existing Customers'!$H:$H,$BA27,'Existing Customers'!$A:$A,$CV$1)*$CV$4,0),0)</f>
        <v>0</v>
      </c>
      <c r="DB27" s="1065">
        <f>IFERROR(IF(AND($CV$2&lt;&gt;"Enter Spend&gt;&gt;&gt;",CW2="EXISTING"),SUMIFS('Existing Customers'!$S:$S,'Existing Customers'!$H:$H,$CU27,'Existing Customers'!$A:$A,$CV$1),DL27*CV27),0)</f>
        <v>0</v>
      </c>
      <c r="DC27" s="1065">
        <f>IFERROR(IF(AND($CV$2&lt;&gt;"Enter Spend&gt;&gt;&gt;",CW2="EXISTING"),SUMIFS('Existing Customers'!$U:$U,'Existing Customers'!$H:$H,$CU27,'Existing Customers'!$A:$A,$CV$1),DM27*CV27),0)</f>
        <v>0</v>
      </c>
      <c r="DD27" s="1068" t="e">
        <f>_xlfn.CONCAT('Customer Inputs'!$AG$8,"_",CU27)</f>
        <v>#N/A</v>
      </c>
      <c r="DE27" s="1068">
        <f t="array" ref="DE27">IFERROR(INDEX('Margin Guidence Table'!$A$1:$AD$30000,MATCH(1,('Margin Guidence Table'!$A$1:$A$10000=DD27)*('Margin Guidence Table'!$I$1:$I$10000&lt;=ROUND($CV$3,0))*('Margin Guidence Table'!$J$1:$J$10000&gt;=ROUND($CV$3,0)),0),MATCH("DATA_POINTS",'Margin Guidence Table'!$A$1:$AG$1,0)),0)</f>
        <v>0</v>
      </c>
      <c r="DF27" s="1065" t="str">
        <f t="shared" si="31"/>
        <v>DEFAULT</v>
      </c>
      <c r="DG27" s="1065">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65">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69">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69">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69">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69">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69">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69">
        <f t="array" ref="DN27">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8"/>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72" t="e">
        <f t="shared" si="32"/>
        <v>#DIV/0!</v>
      </c>
      <c r="DR27" s="101" t="s">
        <v>92</v>
      </c>
      <c r="DS27" s="93">
        <f>IFERROR(IF(AND($DS$2&lt;&gt;"Enter Spend&gt;&gt;&gt;",DT15="EXISTING"),SUMIFS('Existing Customers'!$Q:$Q,'Existing Customers'!$A:$A,$DS$1,'Existing Customers'!$H:$H,$DR27)*$DS$4,$DS$3*$DQ27),0)</f>
        <v>0</v>
      </c>
      <c r="DT27" s="88">
        <f>IFERROR(IF(AND($DS$2&lt;&gt;"Enter Spend&gt;&gt;&gt;",DT2="EXISTING"),SUMIFS('Existing Customers'!$N:$N,'Existing Customers'!$A:$A,$DS$1,'Existing Customers'!$H:$H,$DR27)*$DS$4,$DS27/$ED27),0)</f>
        <v>0</v>
      </c>
      <c r="DU27" s="94">
        <f>IFERROR(IF(AND($DS$2&lt;&gt;"Enter Spend&gt;&gt;&gt;",DT2="EXISTING"),SUMIFS('Existing Customers'!$O:$O,'Existing Customers'!$H:$H,$DR27,'Existing Customers'!$A:$A,$DS$1)*$DS$4,$DT27*$DS$8),0)</f>
        <v>0</v>
      </c>
      <c r="DV27" s="94">
        <f>IFERROR(IF(AND($DS$2&lt;&gt;"Enter Spend&gt;&gt;&gt;",DT2="EXISTING"),SUMIFS('Existing Customers'!$P:$P,'Existing Customers'!$A:$A,$DS$1,'Existing Customers'!$H:$H,$DR27)*$DS$4,$DS27/$EE27),0)</f>
        <v>0</v>
      </c>
      <c r="DW27" s="95">
        <f>IFERROR(IF(AND($DS$2&lt;&gt;"Enter Spend&gt;&gt;&gt;",EQ2="EXISTING"),SUMIFS('Existing Customers'!$V:$V,'Existing Customers'!$H:$H,$DR27,'Existing Customers'!$A:$A,$DS$1)*$DS$4,0),0)</f>
        <v>0</v>
      </c>
      <c r="DX27" s="95">
        <f>IFERROR(IF(AND($DS$2&lt;&gt;"Enter Spend&gt;&gt;&gt;",DT2="EXISTING"),SUMIFS('Existing Customers'!$R:$R,'Existing Customers'!$H:$H,$DR27,'Existing Customers'!$A:$A,$DS$1)*$DS$4,0),0)</f>
        <v>0</v>
      </c>
      <c r="DY27" s="1065">
        <f>IFERROR(IF(AND($DS$2&lt;&gt;"Enter Spend&gt;&gt;&gt;",DT2="EXISTING"),SUMIFS('Existing Customers'!$S:$S,'Existing Customers'!$H:$H,$DT27,'Existing Customers'!$A:$A,$DS$1),EI27*DS27),0)</f>
        <v>0</v>
      </c>
      <c r="DZ27" s="1065">
        <f>IFERROR(IF(AND($DS$2&lt;&gt;"Enter Spend&gt;&gt;&gt;",DT2="EXISTING"),SUMIFS('Existing Customers'!$U:$U,'Existing Customers'!$H:$H,$DR27,'Existing Customers'!$A:$A,$DS$1),EJ27*DS27),0)</f>
        <v>0</v>
      </c>
      <c r="EA27" s="1068" t="e">
        <f>_xlfn.CONCAT('Customer Inputs'!$AG$9,"_",DR27)</f>
        <v>#N/A</v>
      </c>
      <c r="EB27" s="1068">
        <f t="array" ref="EB27">IFERROR(INDEX('Margin Guidence Table'!$A$1:$AD$30000,MATCH(1,('Margin Guidence Table'!$A$1:$A$10000=EA27)*('Margin Guidence Table'!$I$1:$I$10000&lt;=ROUND($DS$3,0))*('Margin Guidence Table'!$J$1:$J$10000&gt;=ROUND($DS$3,0)),0),MATCH("DATA_POINTS",'Margin Guidence Table'!$A$1:$AG$1,0)),0)</f>
        <v>0</v>
      </c>
      <c r="EC27" s="1065" t="str">
        <f t="shared" si="33"/>
        <v>DEFAULT</v>
      </c>
      <c r="ED27" s="1065">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65">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69">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69">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69">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69">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69">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69">
        <f t="array" ref="EK27">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8"/>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72" t="e">
        <f t="shared" si="34"/>
        <v>#DIV/0!</v>
      </c>
      <c r="EO27" s="101" t="s">
        <v>92</v>
      </c>
      <c r="EP27" s="93">
        <f>IFERROR(IF(AND($EP$2&lt;&gt;"Enter Spend&gt;&gt;&gt;",EQ15="EXISTING"),SUMIFS('Existing Customers'!$Q:$Q,'Existing Customers'!$A:$A,$EP$1,'Existing Customers'!$H:$H,$EO27)*$EP$4,$EP$3*$EN27),0)</f>
        <v>0</v>
      </c>
      <c r="EQ27" s="88">
        <f>IFERROR(IF(AND($EP$2&lt;&gt;"Enter Spend&gt;&gt;&gt;",EQ2="EXISTING"),SUMIFS('Existing Customers'!$N:$N,'Existing Customers'!$A:$A,$EP$1,'Existing Customers'!$H:$H,$EO27)*$EP$4,$EP27/$FA27),0)</f>
        <v>0</v>
      </c>
      <c r="ER27" s="94">
        <f>IFERROR(IF(AND($EP$2&lt;&gt;"Enter Spend&gt;&gt;&gt;",EQ2="EXISTING"),SUMIFS('Existing Customers'!$O:$O,'Existing Customers'!$H:$H,$EO27,'Existing Customers'!$A:$A,$EP$1)*$EP$4,$EQ27*$EP$8),0)</f>
        <v>0</v>
      </c>
      <c r="ES27" s="94">
        <f>IFERROR(IF(AND($EP$2&lt;&gt;"Enter Spend&gt;&gt;&gt;",EQ2="EXISTING"),SUMIFS('Existing Customers'!$P:$P,'Existing Customers'!$A:$A,$EP$1,'Existing Customers'!$H:$H,$EO27)*$EP$4,$EP27/$FB27),0)</f>
        <v>0</v>
      </c>
      <c r="ET27" s="95">
        <f>IFERROR(IF(AND($EP$2&lt;&gt;"Enter Spend&gt;&gt;&gt;",EQ2="EXISTING"),SUMIFS('Existing Customers'!$V:$V,'Existing Customers'!$H:$H,$EO27,'Existing Customers'!$A:$A,$EP$1)*$EP$4,0),0)</f>
        <v>0</v>
      </c>
      <c r="EU27" s="95">
        <f>IFERROR(IF(AND($EP$2&lt;&gt;"Enter Spend&gt;&gt;&gt;",EQ2="EXISTING"),SUMIFS('Existing Customers'!$R:$R,'Existing Customers'!$H:$H,$EO27,'Existing Customers'!$A:$A,$EP$1)*$EP$4,0),0)</f>
        <v>0</v>
      </c>
      <c r="EV27" s="1065">
        <f>IFERROR(IF(AND($EP$2&lt;&gt;"Enter Spend&gt;&gt;&gt;",EQ2="EXISTING"),SUMIFS('Existing Customers'!$S:$S,'Existing Customers'!$H:$H,$EO27,'Existing Customers'!$A:$A,$EP$1),FF27*EP27),0)</f>
        <v>0</v>
      </c>
      <c r="EW27" s="1065">
        <f>IFERROR(IF(AND($EP$2&lt;&gt;"Enter Spend&gt;&gt;&gt;",EQ2="EXISTING"),SUMIFS('Existing Customers'!$U:$U,'Existing Customers'!$H:$H,$EO27,'Existing Customers'!$A:$A,$EP$1),FG27*EP27),0)</f>
        <v>0</v>
      </c>
      <c r="EX27" s="1068" t="e">
        <f>_xlfn.CONCAT('Customer Inputs'!$AG$10,"_",EO27)</f>
        <v>#N/A</v>
      </c>
      <c r="EY27" s="1068">
        <f t="array" ref="EY27">IFERROR(INDEX('Margin Guidence Table'!$A$1:$AD$30000,MATCH(1,('Margin Guidence Table'!$A$1:$A$10000=EX27)*('Margin Guidence Table'!$I$1:$I$10000&lt;=ROUND($EP$3,0))*('Margin Guidence Table'!$J$1:$J$10000&gt;=ROUND($EP$3,0)),0),MATCH("DATA_POINTS",'Margin Guidence Table'!$A$1:$AG$1,0)),0)</f>
        <v>0</v>
      </c>
      <c r="EZ27" s="1065" t="str">
        <f t="shared" si="35"/>
        <v>DEFAULT</v>
      </c>
      <c r="FA27" s="1065">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65"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69">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69">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69">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69">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69">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69">
        <f t="array" ref="FH27">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8"/>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72" t="e">
        <f t="shared" si="36"/>
        <v>#DIV/0!</v>
      </c>
      <c r="FL27" s="101" t="s">
        <v>92</v>
      </c>
      <c r="FM27" s="93">
        <f>IFERROR(IF(AND($FM$2&lt;&gt;"Enter Spend&gt;&gt;&gt;",FN15="EXISTING"),SUMIFS('Existing Customers'!$Q:$Q,'Existing Customers'!$A:$A,$FM$1,'Existing Customers'!$H:$H,$FL27)*$FM$4,$FM$3*$FK27),0)</f>
        <v>0</v>
      </c>
      <c r="FN27" s="88">
        <f>IFERROR(IF(AND($FM$2&lt;&gt;"Enter Spend&gt;&gt;&gt;",FN2="EXISTING"),SUMIFS('Existing Customers'!$N:$N,'Existing Customers'!$A:$A,$FM$1,'Existing Customers'!$H:$H,$FL27)*$FM$4,$FM27/$FX27),0)</f>
        <v>0</v>
      </c>
      <c r="FO27" s="94">
        <f>IFERROR(IF(AND($FM$2&lt;&gt;"Enter Spend&gt;&gt;&gt;",FN2="EXISTING"),SUMIFS('Existing Customers'!$O:$O,'Existing Customers'!$H:$H,$FL27,'Existing Customers'!$A:$A,$FM$1)*$FM$4,$FN27*$FM$8),0)</f>
        <v>0</v>
      </c>
      <c r="FP27" s="94">
        <f>IFERROR(IF(AND($FM$2&lt;&gt;"Enter Spend&gt;&gt;&gt;",FN2="EXISTING"),SUMIFS('Existing Customers'!$P:$P,'Existing Customers'!$A:$A,$FM$1,'Existing Customers'!$H:$H,$FL27)*$FM$4,$FM27/$FY27),0)</f>
        <v>0</v>
      </c>
      <c r="FQ27" s="95">
        <f>IFERROR(IF(AND($FM$2&lt;&gt;"Enter Spend&gt;&gt;&gt;",FN2="EXISTING"),SUMIFS('Existing Customers'!$V:$V,'Existing Customers'!$H:$H,$FL27,'Existing Customers'!$A:$A,$FM$1)*$FM$4,0),0)</f>
        <v>0</v>
      </c>
      <c r="FR27" s="95">
        <f>IFERROR(IF(AND($FM$2&lt;&gt;"Enter Spend&gt;&gt;&gt;",FN2="EXISTING"),SUMIFS('Existing Customers'!$R:$R,'Existing Customers'!$H:$H,$FL27,'Existing Customers'!$A:$A,$FM$1)*$FM$4,0),0)</f>
        <v>0</v>
      </c>
      <c r="FS27" s="1065">
        <f>IFERROR(IF(AND($FM$2&lt;&gt;"Enter Spend&gt;&gt;&gt;",FN2="EXISTING"),SUMIFS('Existing Customers'!$S:$S,'Existing Customers'!$H:$H,$FL27,'Existing Customers'!$A:$A,$FM$1),GC27*FM27),0)</f>
        <v>0</v>
      </c>
      <c r="FT27" s="1065">
        <f>IFERROR(IF(AND($FM$2&lt;&gt;"Enter Spend&gt;&gt;&gt;",FN2="EXISTING"),SUMIFS('Existing Customers'!$U:$U,'Existing Customers'!$H:$H,$FL27,'Existing Customers'!$A:$A,$FM$1),GD27*FM27),0)</f>
        <v>0</v>
      </c>
      <c r="FU27" s="1068" t="e">
        <f>_xlfn.CONCAT('Customer Inputs'!$AG$11,"_",FL27)</f>
        <v>#N/A</v>
      </c>
      <c r="FV27" s="1068">
        <f t="array" ref="FV27">IFERROR(INDEX('Margin Guidence Table'!$A$1:$AD$30000,MATCH(1,('Margin Guidence Table'!$A$1:$A$10000=FU27)*('Margin Guidence Table'!$I$1:$I$10000&lt;=ROUND($FM$3,0))*('Margin Guidence Table'!$J$1:$J$10000&gt;=ROUND($FM$3,0)),0),MATCH("DATA_POINTS",'Margin Guidence Table'!$A$1:$AG$1,0)),0)</f>
        <v>0</v>
      </c>
      <c r="FW27" s="1065" t="str">
        <f t="shared" si="37"/>
        <v>DEFAULT</v>
      </c>
      <c r="FX27" s="1065">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65">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69">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69">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69">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69">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69">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69">
        <f t="array" ref="GE27">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8"/>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72" t="e">
        <f t="shared" si="38"/>
        <v>#DIV/0!</v>
      </c>
      <c r="GI27" s="101" t="s">
        <v>92</v>
      </c>
      <c r="GJ27" s="93">
        <f>IFERROR(IF(AND($GJ$2&lt;&gt;"Enter Spend&gt;&gt;&gt;",GK15="EXISTING"),SUMIFS('Existing Customers'!$Q:$Q,'Existing Customers'!$A:$A,$GJ$1,'Existing Customers'!$H:$H,$GI27)*$GJ$4,$GJ$3*$GH27),0)</f>
        <v>0</v>
      </c>
      <c r="GK27" s="88">
        <f>IFERROR(IF(AND($GJ$2&lt;&gt;"Enter Spend&gt;&gt;&gt;",GK2="EXISTING"),SUMIFS('Existing Customers'!$N:$N,'Existing Customers'!$A:$A,$GJ$1,'Existing Customers'!$H:$H,$GI27)*$GJ$4,$GJ27/$GU27),0)</f>
        <v>0</v>
      </c>
      <c r="GL27" s="94">
        <f>IFERROR(IF(AND($GJ$2&lt;&gt;"Enter Spend&gt;&gt;&gt;",GK2="EXISTING"),SUMIFS('Existing Customers'!$O:$O,'Existing Customers'!$H:$H,$GI27,'Existing Customers'!$A:$A,$GJ$1)*$GJ$4,$GK27*$GJ$8),0)</f>
        <v>0</v>
      </c>
      <c r="GM27" s="94">
        <f>IFERROR(IF(AND($GJ$2&lt;&gt;"Enter Spend&gt;&gt;&gt;",GK2="EXISTING"),SUMIFS('Existing Customers'!$P:$P,'Existing Customers'!$A:$A,$GJ$1,'Existing Customers'!$H:$H,$GI27)*$GJ$4,$GJ27/$GV27),0)</f>
        <v>0</v>
      </c>
      <c r="GN27" s="95">
        <f>IFERROR(IF(AND($GJ$2&lt;&gt;"Enter Spend&gt;&gt;&gt;",GK2="EXISTING"),SUMIFS('Existing Customers'!$V:$V,'Existing Customers'!$H:$H,$GI27,'Existing Customers'!$A:$A,$GJ$1)*$GJ$4,0),0)</f>
        <v>0</v>
      </c>
      <c r="GO27" s="95">
        <f>IFERROR(IF(AND($GJ$2&lt;&gt;"Enter Spend&gt;&gt;&gt;",GK2="EXISTING"),SUMIFS('Existing Customers'!$R:$R,'Existing Customers'!$H:$H,$GI27,'Existing Customers'!$A:$A,$GJ$1)*$GJ$4,0),0)</f>
        <v>0</v>
      </c>
      <c r="GP27" s="1065">
        <f>IFERROR(IF(AND($GJ$2&lt;&gt;"Enter Spend&gt;&gt;&gt;",GK2="EXISTING"),SUMIFS('Existing Customers'!$S:$S,'Existing Customers'!$H:$H,$GI27,'Existing Customers'!$A:$A,$GJ$1),GZ27*GJ27),0)</f>
        <v>0</v>
      </c>
      <c r="GQ27" s="1065">
        <f>IFERROR(IF(AND($GJ$2&lt;&gt;"Enter Spend&gt;&gt;&gt;",GK2="EXISTING"),SUMIFS('Existing Customers'!$U:$U,'Existing Customers'!$H:$H,$GI27,'Existing Customers'!$A:$A,$GJ$1),HA27*GJ27),0)</f>
        <v>0</v>
      </c>
      <c r="GR27" s="1068" t="e">
        <f>_xlfn.CONCAT('Customer Inputs'!$AG$12,"_",GI27)</f>
        <v>#N/A</v>
      </c>
      <c r="GS27" s="1068">
        <f t="array" ref="GS27">IFERROR(INDEX('Margin Guidence Table'!$A$1:$AD$30000,MATCH(1,('Margin Guidence Table'!$A$1:$A$10000=GR27)*('Margin Guidence Table'!$I$1:$I$10000&lt;=ROUND($GJ$3,0))*('Margin Guidence Table'!$J$1:$J$10000&gt;=ROUND($GJ$3,0)),0),MATCH("DATA_POINTS",'Margin Guidence Table'!$A$1:$AG$1,0)),0)</f>
        <v>0</v>
      </c>
      <c r="GT27" s="1065" t="str">
        <f t="shared" si="39"/>
        <v>DEFAULT</v>
      </c>
      <c r="GU27" s="1065">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65">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69">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69">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69">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69">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69">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69">
        <f t="array" ref="HB27">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8"/>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72" t="e">
        <f t="shared" si="40"/>
        <v>#DIV/0!</v>
      </c>
      <c r="HF27" s="101" t="s">
        <v>92</v>
      </c>
      <c r="HG27" s="93">
        <f>IFERROR(IF(AND($HG$2&lt;&gt;"Enter Spend&gt;&gt;&gt;",HH15="EXISTING"),SUMIFS('Existing Customers'!$Q:$Q,'Existing Customers'!$A:$A,$HG$1,'Existing Customers'!$H:$H,$HF27)*$HG$4,$HG$3*$HE27),0)</f>
        <v>0</v>
      </c>
      <c r="HH27" s="88">
        <f>IFERROR(IF(AND($HG$2&lt;&gt;"Enter Spend&gt;&gt;&gt;",HH2="EXISTING"),SUMIFS('Existing Customers'!$N:$N,'Existing Customers'!$A:$A,$HG$1,'Existing Customers'!$H:$H,$HF27)*$HG$4,$HG27/$HR27),0)</f>
        <v>0</v>
      </c>
      <c r="HI27" s="94">
        <f>IFERROR(IF(AND($HG$2&lt;&gt;"Enter Spend&gt;&gt;&gt;",HH2="EXISTING"),SUMIFS('Existing Customers'!$O:$O,'Existing Customers'!$H:$H,$HF27,'Existing Customers'!$A:$A,$HG$1)*$HG$4,$HH27*$HG$8),0)</f>
        <v>0</v>
      </c>
      <c r="HJ27" s="94">
        <f>IFERROR(IF(AND($HG$2&lt;&gt;"Enter Spend&gt;&gt;&gt;",HH2="EXISTING"),SUMIFS('Existing Customers'!$P:$P,'Existing Customers'!$A:$A,$HG$1,'Existing Customers'!$H:$H,$HF27)*$HG$4,$HG27/$HS27),0)</f>
        <v>0</v>
      </c>
      <c r="HK27" s="95">
        <f>IFERROR(IF(AND($HG$2&lt;&gt;"Enter Spend&gt;&gt;&gt;",HH2="EXISTING"),SUMIFS('Existing Customers'!$V:$V,'Existing Customers'!$H:$H,$HF27,'Existing Customers'!$A:$A,$HG$1)*$HG$4,0),0)</f>
        <v>0</v>
      </c>
      <c r="HL27" s="95">
        <f>IFERROR(IF(AND($HG$2&lt;&gt;"Enter Spend&gt;&gt;&gt;",HH2="EXISTING"),SUMIFS('Existing Customers'!$R:$R,'Existing Customers'!$H:$H,$HF27,'Existing Customers'!$A:$A,$HG$1)*$HG$4,0),0)</f>
        <v>0</v>
      </c>
      <c r="HM27" s="1065">
        <f>IFERROR(IF(AND($HG$2&lt;&gt;"Enter Spend&gt;&gt;&gt;",HH2="EXISTING"),SUMIFS('Existing Customers'!$S:$S,'Existing Customers'!$H:$H,$HF27,'Existing Customers'!$A:$A,$HG$1),HW27*HG27),0)</f>
        <v>0</v>
      </c>
      <c r="HN27" s="1065">
        <f>IFERROR(IF(AND($HG$2&lt;&gt;"Enter Spend&gt;&gt;&gt;",HH2="EXISTING"),SUMIFS('Existing Customers'!$U:$U,'Existing Customers'!$H:$H,$HF27,'Existing Customers'!$A:$A,$HG$1),HX27*HG27),0)</f>
        <v>0</v>
      </c>
      <c r="HO27" s="1068" t="e">
        <f>_xlfn.CONCAT('Customer Inputs'!$AG$13,"_",HF27)</f>
        <v>#N/A</v>
      </c>
      <c r="HP27" s="1068">
        <f t="array" ref="HP27">IFERROR(INDEX('Margin Guidence Table'!$A$1:$AD$30000,MATCH(1,('Margin Guidence Table'!$A$1:$A$10000=HO27)*('Margin Guidence Table'!$I$1:$I$10000&lt;=ROUND($HG$3,0))*('Margin Guidence Table'!$J$1:$J$10000&gt;=ROUND($HG$3,0)),0),MATCH("DATA_POINTS",'Margin Guidence Table'!$A$1:$AG$1,0)),0)</f>
        <v>0</v>
      </c>
      <c r="HQ27" s="1065" t="str">
        <f t="shared" si="41"/>
        <v>DEFAULT</v>
      </c>
      <c r="HR27" s="1065">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65">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69">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69">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69">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69">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69">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69">
        <f t="array" ref="HY27">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8"/>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72" t="e">
        <f t="shared" si="42"/>
        <v>#DIV/0!</v>
      </c>
      <c r="IC27" s="101" t="s">
        <v>92</v>
      </c>
      <c r="ID27" s="93">
        <f>IFERROR(IF(AND($ID$2&lt;&gt;"Enter Spend&gt;&gt;&gt;",IE15="EXISTING"),SUMIFS('Existing Customers'!$Q:$Q,'Existing Customers'!$A:$A,$ID$1,'Existing Customers'!$H:$H,$IC27)*$ID$4,$ID$3*$IB27),0)</f>
        <v>0</v>
      </c>
      <c r="IE27" s="88">
        <f>IFERROR(IF(AND($ID$2&lt;&gt;"Enter Spend&gt;&gt;&gt;",IE2="EXISTING"),SUMIFS('Existing Customers'!$N:$N,'Existing Customers'!$A:$A,$ID$1,'Existing Customers'!$H:$H,$IC27)*$ID$4,$ID27/$IO27),0)</f>
        <v>0</v>
      </c>
      <c r="IF27" s="94">
        <f>IFERROR(IF(AND($ID$2&lt;&gt;"Enter Spend&gt;&gt;&gt;",IE2="EXISTING"),SUMIFS('Existing Customers'!$O:$O,'Existing Customers'!$H:$H,$IC27,'Existing Customers'!$A:$A,$ID$1)*$ID$4,$IE27*$ID$8),0)</f>
        <v>0</v>
      </c>
      <c r="IG27" s="94">
        <f>IFERROR(IF(AND($ID$2&lt;&gt;"Enter Spend&gt;&gt;&gt;",IE2="EXISTING"),SUMIFS('Existing Customers'!$P:$P,'Existing Customers'!$A:$A,$ID$1,'Existing Customers'!$H:$H,$IC27)*$ID$4,$ID27/$IP27),0)</f>
        <v>0</v>
      </c>
      <c r="IH27" s="378">
        <f>IFERROR(IF(AND($ID$2&lt;&gt;"Enter Spend&gt;&gt;&gt;",IE2="EXISTING"),SUMIFS('Existing Customers'!$V:$V,'Existing Customers'!$H:$H,$IC27,'Existing Customers'!$A:$A,$ID$1)*$ID$4,0),0)</f>
        <v>0</v>
      </c>
      <c r="II27" s="95">
        <f>IFERROR(IF(AND($ID$2&lt;&gt;"Enter Spend&gt;&gt;&gt;",IE2="EXISTING"),SUMIFS('Existing Customers'!$R:$R,'Existing Customers'!$H:$H,$IC27,'Existing Customers'!$A:$A,$ID$1)*$ID$4,0),0)</f>
        <v>0</v>
      </c>
      <c r="IJ27" s="1065">
        <f>IFERROR(IF(AND($ID$2&lt;&gt;"Enter Spend&gt;&gt;&gt;",IE2="EXISTING"),SUMIFS('Existing Customers'!$S:$S,'Existing Customers'!$H:$H,$IC27,'Existing Customers'!$A:$A,$ID$1),IT27*ID27),0)</f>
        <v>0</v>
      </c>
      <c r="IK27" s="1065">
        <f>IFERROR(IF(AND($ID$2&lt;&gt;"Enter Spend&gt;&gt;&gt;",IE2="EXISTING"),SUMIFS('Existing Customers'!$U:$U,'Existing Customers'!$H:$H,$IC27,'Existing Customers'!$A:$A,$ID$1),IU27*ID27),0)</f>
        <v>0</v>
      </c>
      <c r="IL27" s="1068" t="e">
        <f>_xlfn.CONCAT('Customer Inputs'!$AG$14,"_",IC27)</f>
        <v>#N/A</v>
      </c>
      <c r="IM27" s="1068">
        <f t="array" ref="IM27">IFERROR(INDEX('Margin Guidence Table'!$A$1:$AD$30000,MATCH(1,('Margin Guidence Table'!$A$1:$A$10000=IL27)*('Margin Guidence Table'!$I$1:$I$10000&lt;=ROUND($ID$3,0))*('Margin Guidence Table'!$J$1:$J$10000&gt;=ROUND($ID$3,0)),0),MATCH("DATA_POINTS",'Margin Guidence Table'!$A$1:$AG$1,0)),0)</f>
        <v>0</v>
      </c>
      <c r="IN27" s="1065" t="str">
        <f t="shared" si="43"/>
        <v>DEFAULT</v>
      </c>
      <c r="IO27" s="1065">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65">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69">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69">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69">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69">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69">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69">
        <f t="array" ref="IV27">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8"/>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72" t="e">
        <f t="shared" si="44"/>
        <v>#DIV/0!</v>
      </c>
      <c r="IZ27" s="101" t="s">
        <v>92</v>
      </c>
      <c r="JA27" s="93">
        <f>IFERROR(IF(AND($JA$2&lt;&gt;"Enter Spend&gt;&gt;&gt;",JB15="EXISTING"),SUMIFS('Existing Customers'!$Q:$Q,'Existing Customers'!$A:$A,$JA$1,'Existing Customers'!$H:$H,$IZ27)*$JA$4,$JA$3*$IY27),0)</f>
        <v>0</v>
      </c>
      <c r="JB27" s="88">
        <f>IFERROR(IF(AND($JA$2&lt;&gt;"Enter Spend&gt;&gt;&gt;",JB2="EXISTING"),SUMIFS('Existing Customers'!$N:$N,'Existing Customers'!$A:$A,$JA$1,'Existing Customers'!$H:$H,$IZ27)*$JA$4,$JA27/$JL27),0)</f>
        <v>0</v>
      </c>
      <c r="JC27" s="94">
        <f>IFERROR(IF(AND($JA$2&lt;&gt;"Enter Spend&gt;&gt;&gt;",JB2="EXISTING"),SUMIFS('Existing Customers'!$O:$O,'Existing Customers'!$H:$H,$IZ27,'Existing Customers'!$A:$A,$JA$1)*$JA$4,$JB27*$JA$8),0)</f>
        <v>0</v>
      </c>
      <c r="JD27" s="94">
        <f>IFERROR(IF(AND($JA$2&lt;&gt;"Enter Spend&gt;&gt;&gt;",JB2="EXISTING"),SUMIFS('Existing Customers'!$P:$P,'Existing Customers'!$A:$A,$JA$1,'Existing Customers'!$H:$H,$IZ27)*$JA$4,$JA27/$JM27),0)</f>
        <v>0</v>
      </c>
      <c r="JE27" s="378">
        <f>IFERROR(IF(AND($JA$2&lt;&gt;"Enter Spend&gt;&gt;&gt;",JB2="EXISTING"),SUMIFS('Existing Customers'!$V:$V,'Existing Customers'!$H:$H,$IZ27,'Existing Customers'!$A:$A,$JA$1)*$JA$4,0),0)</f>
        <v>0</v>
      </c>
      <c r="JF27" s="95">
        <f>IFERROR(IF(AND($JA$2&lt;&gt;"Enter Spend&gt;&gt;&gt;",JB2="EXISTING"),SUMIFS('Existing Customers'!$R:$R,'Existing Customers'!$H:$H,$IZ27,'Existing Customers'!$A:$A,$JA$1)*$JA$4,0),0)</f>
        <v>0</v>
      </c>
      <c r="JG27" s="1065">
        <f>IFERROR(IF(AND($JA$2&lt;&gt;"Enter Spend&gt;&gt;&gt;",JB2="EXISTING"),SUMIFS('Existing Customers'!$S:$S,'Existing Customers'!$H:$H,$IZ27,'Existing Customers'!$A:$A,$JA$1),JQ27*JA27),0)</f>
        <v>0</v>
      </c>
      <c r="JH27" s="1065">
        <f>IFERROR(IF(AND($JA$2&lt;&gt;"Enter Spend&gt;&gt;&gt;",JB2="EXISTING"),SUMIFS('Existing Customers'!$U:$U,'Existing Customers'!$H:$H,$IZ27,'Existing Customers'!$A:$A,$JA$1),JR27*JA27),0)</f>
        <v>0</v>
      </c>
      <c r="JI27" s="1068" t="e">
        <f>_xlfn.CONCAT('Customer Inputs'!$AG$15,"_",IZ27)</f>
        <v>#N/A</v>
      </c>
      <c r="JJ27" s="1068">
        <f t="array" ref="JJ27">IFERROR(INDEX('Margin Guidence Table'!$A$1:$AD$30000,MATCH(1,('Margin Guidence Table'!$A$1:$A$10000=JI27)*('Margin Guidence Table'!$I$1:$I$10000&lt;=ROUND($JA$3,0))*('Margin Guidence Table'!$J$1:$J$10000&gt;=ROUND($JA$3,0)),0),MATCH("DATA_POINTS",'Margin Guidence Table'!$A$1:$AG$1,0)),0)</f>
        <v>0</v>
      </c>
      <c r="JK27" s="1065" t="str">
        <f t="shared" si="45"/>
        <v>DEFAULT</v>
      </c>
      <c r="JL27" s="1065">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65">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69">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69">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69">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69">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69">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69">
        <f t="array" ref="JS27">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101" t="s">
        <v>92</v>
      </c>
      <c r="JV27" s="96"/>
      <c r="JW27" s="88"/>
      <c r="JX27" s="88"/>
      <c r="JY27" s="88"/>
      <c r="JZ27" s="113"/>
      <c r="KA27" s="97"/>
      <c r="KB27" s="128"/>
      <c r="KD27" s="101" t="s">
        <v>92</v>
      </c>
      <c r="KE27" s="96"/>
      <c r="KF27" s="88"/>
      <c r="KG27" s="88"/>
      <c r="KH27" s="88"/>
      <c r="KI27" s="113"/>
      <c r="KJ27" s="97"/>
    </row>
    <row r="28" spans="2:296" ht="15.75" thickBot="1" x14ac:dyDescent="0.3">
      <c r="B28" s="101" t="s">
        <v>91</v>
      </c>
      <c r="C28" s="451">
        <f t="shared" si="11"/>
        <v>0</v>
      </c>
      <c r="D28" s="467">
        <f t="shared" si="12"/>
        <v>0</v>
      </c>
      <c r="E28" s="467">
        <f t="shared" si="13"/>
        <v>0</v>
      </c>
      <c r="F28" s="467">
        <f t="shared" si="14"/>
        <v>0</v>
      </c>
      <c r="G28" s="468">
        <f t="shared" si="15"/>
        <v>0</v>
      </c>
      <c r="H28" s="467">
        <f t="shared" si="16"/>
        <v>0</v>
      </c>
      <c r="I28" s="1061" t="e">
        <f t="shared" si="0"/>
        <v>#DIV/0!</v>
      </c>
      <c r="J28" s="1061" t="e">
        <f t="shared" si="1"/>
        <v>#DIV/0!</v>
      </c>
      <c r="K28" s="1061" t="e">
        <f t="shared" si="2"/>
        <v>#DIV/0!</v>
      </c>
      <c r="L28" s="467" t="e">
        <f t="shared" si="3"/>
        <v>#DIV/0!</v>
      </c>
      <c r="M28" s="467" t="e">
        <f t="shared" si="17"/>
        <v>#DIV/0!</v>
      </c>
      <c r="N28" s="1062" t="e">
        <f t="shared" si="4"/>
        <v>#DIV/0!</v>
      </c>
      <c r="P28" t="str">
        <f>'PIM Model'!E24</f>
        <v>INCLUDE</v>
      </c>
      <c r="Q28">
        <f t="shared" si="18"/>
        <v>0</v>
      </c>
      <c r="R28">
        <f t="shared" si="19"/>
        <v>0</v>
      </c>
      <c r="S28" s="101" t="s">
        <v>91</v>
      </c>
      <c r="T28" s="96">
        <f t="shared" si="20"/>
        <v>0</v>
      </c>
      <c r="U28" s="88">
        <f t="shared" si="5"/>
        <v>0</v>
      </c>
      <c r="V28" s="88">
        <f t="shared" si="6"/>
        <v>0</v>
      </c>
      <c r="W28" s="88">
        <f t="shared" si="7"/>
        <v>0</v>
      </c>
      <c r="X28" s="113">
        <f t="shared" si="8"/>
        <v>0</v>
      </c>
      <c r="Y28" s="116">
        <f t="shared" si="21"/>
        <v>0</v>
      </c>
      <c r="Z28" s="376"/>
      <c r="AA28" s="101" t="s">
        <v>91</v>
      </c>
      <c r="AB28" s="455">
        <f t="shared" si="9"/>
        <v>0</v>
      </c>
      <c r="AC28" s="456">
        <f t="shared" si="9"/>
        <v>0</v>
      </c>
      <c r="AD28" s="456">
        <f t="shared" si="9"/>
        <v>0</v>
      </c>
      <c r="AE28" s="457">
        <f t="shared" si="22"/>
        <v>0</v>
      </c>
      <c r="AF28" s="458">
        <f t="shared" si="23"/>
        <v>0</v>
      </c>
      <c r="AG28" s="376"/>
      <c r="AH28" s="101" t="s">
        <v>91</v>
      </c>
      <c r="AI28" s="455">
        <f t="shared" si="10"/>
        <v>0</v>
      </c>
      <c r="AJ28" s="452">
        <f t="shared" si="24"/>
        <v>0</v>
      </c>
      <c r="AK28" s="458"/>
      <c r="AL28" s="376"/>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76">
        <f>VLOOKUP($AH28&amp;$AM28,'IMargin Quartiles'!$A:$F,6,FALSE)</f>
        <v>0.16</v>
      </c>
      <c r="AO28" s="376"/>
      <c r="AP28"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Q28" s="376" t="e">
        <f t="shared" si="25"/>
        <v>#DIV/0!</v>
      </c>
      <c r="AR28">
        <f>'PIM Model'!C24</f>
        <v>0</v>
      </c>
      <c r="AS28" s="376"/>
      <c r="AT28" s="376"/>
      <c r="AU28" s="376" t="e">
        <f t="shared" si="46"/>
        <v>#DIV/0!</v>
      </c>
      <c r="AV28" s="376"/>
      <c r="AW28" s="376"/>
      <c r="AX28" s="107">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72" t="e">
        <f t="shared" si="26"/>
        <v>#DIV/0!</v>
      </c>
      <c r="BA28" s="101" t="s">
        <v>91</v>
      </c>
      <c r="BB28" s="93">
        <f>IFERROR(IF(AND($BB$2&lt;&gt;"Enter Spend&gt;&gt;&gt;",BC16="EXISTING"),SUMIFS('Existing Customers'!$Q:$Q,'Existing Customers'!$A:$A,$BB$1,'Existing Customers'!$H:$H,$BA28)*$BB$4,$BB$3*$AZ28),0)</f>
        <v>0</v>
      </c>
      <c r="BC28" s="94">
        <f>IFERROR(IF(AND($BB$2&lt;&gt;"Enter Spend&gt;&gt;&gt;",BC2="EXISTING"),SUMIFS('Existing Customers'!$N:$N,'Existing Customers'!$A:$A,$BB$1,'Existing Customers'!$H:$H,$BA28)*$BB$4,$BB28/$BM28),0)</f>
        <v>0</v>
      </c>
      <c r="BD28" s="94">
        <f>IFERROR(IF(AND($BB$2&lt;&gt;"Enter Spend&gt;&gt;&gt;",BC2="EXISTING"),SUMIFS('Existing Customers'!$O:$O,'Existing Customers'!$H:$H,$BA28,'Existing Customers'!$A:$A,$BB$1)*$BB$4,$BC28*$BB$8),0)</f>
        <v>0</v>
      </c>
      <c r="BE28" s="94">
        <f>IFERROR(IF(AND($BB$2&lt;&gt;"Enter Spend&gt;&gt;&gt;",BC2="EXISTING"),SUMIFS('Existing Customers'!$P:$P,'Existing Customers'!$A:$A,$BB$1,'Existing Customers'!$H:$H,$BA28)*$BB$4,$BB28/$BN28),0)</f>
        <v>0</v>
      </c>
      <c r="BF28" s="378">
        <f>IFERROR(IF(AND($BB$2&lt;&gt;"Enter Spend&gt;&gt;&gt;",BC2="EXISTING"),SUMIFS('Existing Customers'!$V:$V,'Existing Customers'!$H:$H,$BA28,'Existing Customers'!$A:$A,$BB$1)*$BB$4,0),0)</f>
        <v>0</v>
      </c>
      <c r="BG28" s="95">
        <f>IFERROR(IF(AND($BB$2&lt;&gt;"Enter Spend&gt;&gt;&gt;",BC2="EXISTING"),SUMIFS('Existing Customers'!$R:$R,'Existing Customers'!$H:$H,$BA28,'Existing Customers'!$A:$A,$BB$1)*$BB$4,0),0)</f>
        <v>0</v>
      </c>
      <c r="BH28" s="95">
        <f>IFERROR(IF(AND($BB$2&lt;&gt;"Enter Spend&gt;&gt;&gt;",BC2="EXISTING"),SUMIFS('Existing Customers'!$S:$S,'Existing Customers'!$H:$H,$BA28,'Existing Customers'!$A:$A,$BB$1),BR28*BB28),0)</f>
        <v>0</v>
      </c>
      <c r="BI28" s="95">
        <f>IFERROR(IF(AND($BB$2&lt;&gt;"Enter Spend&gt;&gt;&gt;",BC2="EXISTING"),SUMIFS('Existing Customers'!$U:$U,'Existing Customers'!$H:$H,$BA28,'Existing Customers'!$A:$A,$BB$1),BS28*BB28),0)</f>
        <v>0</v>
      </c>
      <c r="BJ28" s="1067" t="e">
        <f>_xlfn.CONCAT('Customer Inputs'!$AG$6,"_",BA28)</f>
        <v>#N/A</v>
      </c>
      <c r="BK28" s="1068">
        <f t="array" ref="BK28">IFERROR(INDEX('Margin Guidence Table'!$A$1:$AD$30000,MATCH(1,('Margin Guidence Table'!$A$1:$A$10000=$BJ28)*('Margin Guidence Table'!$I$1:$I$10000&lt;=ROUND($BB$3,0))*('Margin Guidence Table'!$J$1:$J$10000&gt;=ROUND($BB$3,0)),0),MATCH("DATA_POINTS",'Margin Guidence Table'!$A$1:$AG$1,0)),0)</f>
        <v>0</v>
      </c>
      <c r="BL28" s="1065" t="str">
        <f t="shared" si="27"/>
        <v>DEFAULT</v>
      </c>
      <c r="BM28" s="1065">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65">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69">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69">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69">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69">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69">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69">
        <f t="array" ref="BT28">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8"/>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72" t="e">
        <f t="shared" si="28"/>
        <v>#DIV/0!</v>
      </c>
      <c r="BX28" s="101" t="s">
        <v>91</v>
      </c>
      <c r="BY28" s="93">
        <f>IFERROR(IF(AND($BY$2&lt;&gt;"Enter Spend&gt;&gt;&gt;",BZ16="EXISTING"),SUMIFS('Existing Customers'!$Q:$Q,'Existing Customers'!$A:$A,$BY$1,'Existing Customers'!$H:$H,$BX28)*$BY$4,$BY$3*$BW28),0)</f>
        <v>0</v>
      </c>
      <c r="BZ28" s="88">
        <f>IFERROR(IF(AND($BY$2&lt;&gt;"Enter Spend&gt;&gt;&gt;",BZ2="EXISTING"),SUMIFS('Existing Customers'!$N:$N,'Existing Customers'!$A:$A,$BY$1,'Existing Customers'!$H:$H,$BX28)*$BY$4,$BY28/$CJ28),0)</f>
        <v>0</v>
      </c>
      <c r="CA28" s="94">
        <f>IFERROR(IF(AND($BY$2&lt;&gt;"Enter Spend&gt;&gt;&gt;",BZ2="EXISTING"),SUMIFS('Existing Customers'!$O:$O,'Existing Customers'!$H:$H,$BX28,'Existing Customers'!$A:$A,$BY$1)*$BY$4,$BZ28*$BY$8),0)</f>
        <v>0</v>
      </c>
      <c r="CB28" s="94">
        <f>IFERROR(IF(AND($BY$2&lt;&gt;"Enter Spend&gt;&gt;&gt;",BZ2="EXISTING"),SUMIFS('Existing Customers'!$P:$P,'Existing Customers'!$A:$A,$BY$1,'Existing Customers'!$H:$H,$BX28)*$BY$4,$BY28/$CK28),0)</f>
        <v>0</v>
      </c>
      <c r="CC28" s="95">
        <f>IFERROR(IF(AND($BY$2&lt;&gt;"Enter Spend&gt;&gt;&gt;",BZ2="EXISTING"),SUMIFS('Existing Customers'!$V:$V,'Existing Customers'!$H:$H,$BX28,'Existing Customers'!$A:$A,$BY$1)*$BY$4,0),0)</f>
        <v>0</v>
      </c>
      <c r="CD28" s="95">
        <f>IFERROR(IF(AND($BY$2&lt;&gt;"Enter Spend&gt;&gt;&gt;",BZ2="EXISTING"),SUMIFS('Existing Customers'!$R:$R,'Existing Customers'!$H:$H,$BX28,'Existing Customers'!$A:$A,$BY$1)*$BY$4,0),0)</f>
        <v>0</v>
      </c>
      <c r="CE28" s="1065">
        <f>IFERROR(IF(AND($BY$2&lt;&gt;"Enter Spend&gt;&gt;&gt;",BZ2="EXISTING"),SUMIFS('Existing Customers'!$S:$S,'Existing Customers'!$H:$H,$BX28,'Existing Customers'!$A:$A,$BY$1),CO28*BY28),0)</f>
        <v>0</v>
      </c>
      <c r="CF28" s="1065">
        <f>IFERROR(IF(AND($BY$2&lt;&gt;"Enter Spend&gt;&gt;&gt;",BZ2="EXISTING"),SUMIFS('Existing Customers'!$U:$U,'Existing Customers'!$H:$H,$BX28,'Existing Customers'!$A:$A,$BY$1),CP28*BY28),0)</f>
        <v>0</v>
      </c>
      <c r="CG28" s="1068" t="e">
        <f>_xlfn.CONCAT('Customer Inputs'!$AG$7,"_",BX28)</f>
        <v>#N/A</v>
      </c>
      <c r="CH28" s="1068">
        <f t="array" ref="CH28">IFERROR(INDEX('Margin Guidence Table'!$A$1:$AD$30000,MATCH(1,('Margin Guidence Table'!$A$1:$A$10000=$CG28)*('Margin Guidence Table'!$I$1:$I$10000&lt;=ROUND($BY$3,0))*('Margin Guidence Table'!$J$1:$J$10000&gt;=ROUND($BY$3,0)),0),MATCH("DATA_POINTS",'Margin Guidence Table'!$A$1:$AG$1,0)),0)</f>
        <v>0</v>
      </c>
      <c r="CI28" s="1065" t="str">
        <f t="shared" si="29"/>
        <v>DEFAULT</v>
      </c>
      <c r="CJ28" s="1065">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65">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69">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69">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69">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69">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69">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69">
        <f t="array" ref="CQ28">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8"/>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72" t="e">
        <f t="shared" si="30"/>
        <v>#DIV/0!</v>
      </c>
      <c r="CU28" s="101" t="s">
        <v>91</v>
      </c>
      <c r="CV28" s="93">
        <f>IFERROR(IF(AND($CV$2&lt;&gt;"Enter Spend&gt;&gt;&gt;",CW16="EXISTING"),SUMIFS('Existing Customers'!$Q:$Q,'Existing Customers'!$A:$A,$CV$1,'Existing Customers'!$H:$H,$CU28)*$CV$4,$CV$3*$CT28),0)</f>
        <v>0</v>
      </c>
      <c r="CW28" s="88">
        <f>IFERROR(IF(AND($CV$2&lt;&gt;"Enter Spend&gt;&gt;&gt;",CW2="EXISTING"),SUMIFS('Existing Customers'!$N:$N,'Existing Customers'!$A:$A,$CV$1,'Existing Customers'!$H:$H,$CU28)*$CV$4,$CV28/$DG28),0)</f>
        <v>0</v>
      </c>
      <c r="CX28" s="94">
        <f>IFERROR(IF(AND($CV$2&lt;&gt;"Enter Spend&gt;&gt;&gt;",BC28="EXISTING"),SUMIFS('Existing Customers'!$O:$O,'Existing Customers'!$H:$H,$CU28,'Existing Customers'!$A:$A,$CV$1)*$CV$4,$CW28*$CV$8),0)</f>
        <v>0</v>
      </c>
      <c r="CY28" s="94">
        <f>IFERROR(IF(AND($CV$2&lt;&gt;"Enter Spend&gt;&gt;&gt;",CW2="EXISTING"),SUMIFS('Existing Customers'!$P:$P,'Existing Customers'!$A:$A,$CV$1,'Existing Customers'!$H:$H,$CU28)*$CV$4,$CV28/$DH28),0)</f>
        <v>0</v>
      </c>
      <c r="CZ28" s="95">
        <f>IFERROR(IF(AND($CV$2&lt;&gt;"Enter Spend&gt;&gt;&gt;",CW2="EXISTING"),SUMIFS('Existing Customers'!$V:$V,'Existing Customers'!$H:$H,$CU28,'Existing Customers'!$A:$A,$CV$1)*$CV$4,0),0)</f>
        <v>0</v>
      </c>
      <c r="DA28" s="95">
        <f>IFERROR(IF(AND($CV$2&lt;&gt;"Enter Spend&gt;&gt;&gt;",CW2="EXISTING"),SUMIFS('Existing Customers'!$R:$R,'Existing Customers'!$H:$H,$BA28,'Existing Customers'!$A:$A,$CV$1)*$CV$4,0),0)</f>
        <v>0</v>
      </c>
      <c r="DB28" s="1065">
        <f>IFERROR(IF(AND($CV$2&lt;&gt;"Enter Spend&gt;&gt;&gt;",CW2="EXISTING"),SUMIFS('Existing Customers'!$S:$S,'Existing Customers'!$H:$H,$CU28,'Existing Customers'!$A:$A,$CV$1),DL28*CV28),0)</f>
        <v>0</v>
      </c>
      <c r="DC28" s="1065">
        <f>IFERROR(IF(AND($CV$2&lt;&gt;"Enter Spend&gt;&gt;&gt;",CW2="EXISTING"),SUMIFS('Existing Customers'!$U:$U,'Existing Customers'!$H:$H,$CU28,'Existing Customers'!$A:$A,$CV$1),DM28*CV28),0)</f>
        <v>0</v>
      </c>
      <c r="DD28" s="1068" t="e">
        <f>_xlfn.CONCAT('Customer Inputs'!$AG$8,"_",CU28)</f>
        <v>#N/A</v>
      </c>
      <c r="DE28" s="1068">
        <f t="array" ref="DE28">IFERROR(INDEX('Margin Guidence Table'!$A$1:$AD$30000,MATCH(1,('Margin Guidence Table'!$A$1:$A$10000=DD28)*('Margin Guidence Table'!$I$1:$I$10000&lt;=ROUND($CV$3,0))*('Margin Guidence Table'!$J$1:$J$10000&gt;=ROUND($CV$3,0)),0),MATCH("DATA_POINTS",'Margin Guidence Table'!$A$1:$AG$1,0)),0)</f>
        <v>0</v>
      </c>
      <c r="DF28" s="1065" t="str">
        <f t="shared" si="31"/>
        <v>DEFAULT</v>
      </c>
      <c r="DG28" s="1065">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65">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69">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69">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69">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69">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69">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69">
        <f t="array" ref="DN28">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8"/>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72" t="e">
        <f t="shared" si="32"/>
        <v>#DIV/0!</v>
      </c>
      <c r="DR28" s="101" t="s">
        <v>91</v>
      </c>
      <c r="DS28" s="93">
        <f>IFERROR(IF(AND($DS$2&lt;&gt;"Enter Spend&gt;&gt;&gt;",DT16="EXISTING"),SUMIFS('Existing Customers'!$Q:$Q,'Existing Customers'!$A:$A,$DS$1,'Existing Customers'!$H:$H,$DR28)*$DS$4,$DS$3*$DQ28),0)</f>
        <v>0</v>
      </c>
      <c r="DT28" s="88">
        <f>IFERROR(IF(AND($DS$2&lt;&gt;"Enter Spend&gt;&gt;&gt;",DT2="EXISTING"),SUMIFS('Existing Customers'!$N:$N,'Existing Customers'!$A:$A,$DS$1,'Existing Customers'!$H:$H,$DR28)*$DS$4,$DS28/$ED28),0)</f>
        <v>0</v>
      </c>
      <c r="DU28" s="94">
        <f>IFERROR(IF(AND($DS$2&lt;&gt;"Enter Spend&gt;&gt;&gt;",DT2="EXISTING"),SUMIFS('Existing Customers'!$O:$O,'Existing Customers'!$H:$H,$DR28,'Existing Customers'!$A:$A,$DS$1)*$DS$4,$DT28*$DS$8),0)</f>
        <v>0</v>
      </c>
      <c r="DV28" s="94">
        <f>IFERROR(IF(AND($DS$2&lt;&gt;"Enter Spend&gt;&gt;&gt;",DT2="EXISTING"),SUMIFS('Existing Customers'!$P:$P,'Existing Customers'!$A:$A,$DS$1,'Existing Customers'!$H:$H,$DR28)*$DS$4,$DS28/$EE28),0)</f>
        <v>0</v>
      </c>
      <c r="DW28" s="95">
        <f>IFERROR(IF(AND($DS$2&lt;&gt;"Enter Spend&gt;&gt;&gt;",EQ2="EXISTING"),SUMIFS('Existing Customers'!$V:$V,'Existing Customers'!$H:$H,$DR28,'Existing Customers'!$A:$A,$DS$1)*$DS$4,0),0)</f>
        <v>0</v>
      </c>
      <c r="DX28" s="95">
        <f>IFERROR(IF(AND($DS$2&lt;&gt;"Enter Spend&gt;&gt;&gt;",DT2="EXISTING"),SUMIFS('Existing Customers'!$R:$R,'Existing Customers'!$H:$H,$DR28,'Existing Customers'!$A:$A,$DS$1)*$DS$4,0),0)</f>
        <v>0</v>
      </c>
      <c r="DY28" s="1065">
        <f>IFERROR(IF(AND($DS$2&lt;&gt;"Enter Spend&gt;&gt;&gt;",DT2="EXISTING"),SUMIFS('Existing Customers'!$S:$S,'Existing Customers'!$H:$H,$DT28,'Existing Customers'!$A:$A,$DS$1),EI28*DS28),0)</f>
        <v>0</v>
      </c>
      <c r="DZ28" s="1065">
        <f>IFERROR(IF(AND($DS$2&lt;&gt;"Enter Spend&gt;&gt;&gt;",DT2="EXISTING"),SUMIFS('Existing Customers'!$U:$U,'Existing Customers'!$H:$H,$DR28,'Existing Customers'!$A:$A,$DS$1),EJ28*DS28),0)</f>
        <v>0</v>
      </c>
      <c r="EA28" s="1068" t="e">
        <f>_xlfn.CONCAT('Customer Inputs'!$AG$9,"_",DR28)</f>
        <v>#N/A</v>
      </c>
      <c r="EB28" s="1068">
        <f t="array" ref="EB28">IFERROR(INDEX('Margin Guidence Table'!$A$1:$AD$30000,MATCH(1,('Margin Guidence Table'!$A$1:$A$10000=EA28)*('Margin Guidence Table'!$I$1:$I$10000&lt;=ROUND($DS$3,0))*('Margin Guidence Table'!$J$1:$J$10000&gt;=ROUND($DS$3,0)),0),MATCH("DATA_POINTS",'Margin Guidence Table'!$A$1:$AG$1,0)),0)</f>
        <v>0</v>
      </c>
      <c r="EC28" s="1065" t="str">
        <f t="shared" si="33"/>
        <v>DEFAULT</v>
      </c>
      <c r="ED28" s="1065">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65">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69">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69">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69">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69">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69">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69">
        <f t="array" ref="EK28">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8"/>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72" t="e">
        <f t="shared" si="34"/>
        <v>#DIV/0!</v>
      </c>
      <c r="EO28" s="101" t="s">
        <v>91</v>
      </c>
      <c r="EP28" s="93">
        <f>IFERROR(IF(AND($EP$2&lt;&gt;"Enter Spend&gt;&gt;&gt;",EQ16="EXISTING"),SUMIFS('Existing Customers'!$Q:$Q,'Existing Customers'!$A:$A,$EP$1,'Existing Customers'!$H:$H,$EO28)*$EP$4,$EP$3*$EN28),0)</f>
        <v>0</v>
      </c>
      <c r="EQ28" s="88">
        <f>IFERROR(IF(AND($EP$2&lt;&gt;"Enter Spend&gt;&gt;&gt;",EQ2="EXISTING"),SUMIFS('Existing Customers'!$N:$N,'Existing Customers'!$A:$A,$EP$1,'Existing Customers'!$H:$H,$EO28)*$EP$4,$EP28/$FA28),0)</f>
        <v>0</v>
      </c>
      <c r="ER28" s="94">
        <f>IFERROR(IF(AND($EP$2&lt;&gt;"Enter Spend&gt;&gt;&gt;",EQ2="EXISTING"),SUMIFS('Existing Customers'!$O:$O,'Existing Customers'!$H:$H,$EO28,'Existing Customers'!$A:$A,$EP$1)*$EP$4,$EQ28*$EP$8),0)</f>
        <v>0</v>
      </c>
      <c r="ES28" s="94">
        <f>IFERROR(IF(AND($EP$2&lt;&gt;"Enter Spend&gt;&gt;&gt;",EQ2="EXISTING"),SUMIFS('Existing Customers'!$P:$P,'Existing Customers'!$A:$A,$EP$1,'Existing Customers'!$H:$H,$EO28)*$EP$4,$EP28/$FB28),0)</f>
        <v>0</v>
      </c>
      <c r="ET28" s="95">
        <f>IFERROR(IF(AND($EP$2&lt;&gt;"Enter Spend&gt;&gt;&gt;",EQ2="EXISTING"),SUMIFS('Existing Customers'!$V:$V,'Existing Customers'!$H:$H,$EO28,'Existing Customers'!$A:$A,$EP$1)*$EP$4,0),0)</f>
        <v>0</v>
      </c>
      <c r="EU28" s="95">
        <f>IFERROR(IF(AND($EP$2&lt;&gt;"Enter Spend&gt;&gt;&gt;",EQ2="EXISTING"),SUMIFS('Existing Customers'!$R:$R,'Existing Customers'!$H:$H,$EO28,'Existing Customers'!$A:$A,$EP$1)*$EP$4,0),0)</f>
        <v>0</v>
      </c>
      <c r="EV28" s="1065">
        <f>IFERROR(IF(AND($EP$2&lt;&gt;"Enter Spend&gt;&gt;&gt;",EQ2="EXISTING"),SUMIFS('Existing Customers'!$S:$S,'Existing Customers'!$H:$H,$EO28,'Existing Customers'!$A:$A,$EP$1),FF28*EP28),0)</f>
        <v>0</v>
      </c>
      <c r="EW28" s="1065">
        <f>IFERROR(IF(AND($EP$2&lt;&gt;"Enter Spend&gt;&gt;&gt;",EQ2="EXISTING"),SUMIFS('Existing Customers'!$U:$U,'Existing Customers'!$H:$H,$EO28,'Existing Customers'!$A:$A,$EP$1),FG28*EP28),0)</f>
        <v>0</v>
      </c>
      <c r="EX28" s="1068" t="e">
        <f>_xlfn.CONCAT('Customer Inputs'!$AG$10,"_",EO28)</f>
        <v>#N/A</v>
      </c>
      <c r="EY28" s="1068">
        <f t="array" ref="EY28">IFERROR(INDEX('Margin Guidence Table'!$A$1:$AD$30000,MATCH(1,('Margin Guidence Table'!$A$1:$A$10000=EX28)*('Margin Guidence Table'!$I$1:$I$10000&lt;=ROUND($EP$3,0))*('Margin Guidence Table'!$J$1:$J$10000&gt;=ROUND($EP$3,0)),0),MATCH("DATA_POINTS",'Margin Guidence Table'!$A$1:$AG$1,0)),0)</f>
        <v>0</v>
      </c>
      <c r="EZ28" s="1065" t="str">
        <f t="shared" si="35"/>
        <v>DEFAULT</v>
      </c>
      <c r="FA28" s="1065">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65"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69">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69">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69">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69">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69">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69">
        <f t="array" ref="FH28">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8"/>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72" t="e">
        <f t="shared" si="36"/>
        <v>#DIV/0!</v>
      </c>
      <c r="FL28" s="101" t="s">
        <v>91</v>
      </c>
      <c r="FM28" s="93">
        <f>IFERROR(IF(AND($FM$2&lt;&gt;"Enter Spend&gt;&gt;&gt;",FN16="EXISTING"),SUMIFS('Existing Customers'!$Q:$Q,'Existing Customers'!$A:$A,$FM$1,'Existing Customers'!$H:$H,$FL28)*$FM$4,$FM$3*$FK28),0)</f>
        <v>0</v>
      </c>
      <c r="FN28" s="88">
        <f>IFERROR(IF(AND($FM$2&lt;&gt;"Enter Spend&gt;&gt;&gt;",FN2="EXISTING"),SUMIFS('Existing Customers'!$N:$N,'Existing Customers'!$A:$A,$FM$1,'Existing Customers'!$H:$H,$FL28)*$FM$4,$FM28/$FX28),0)</f>
        <v>0</v>
      </c>
      <c r="FO28" s="94">
        <f>IFERROR(IF(AND($FM$2&lt;&gt;"Enter Spend&gt;&gt;&gt;",FN2="EXISTING"),SUMIFS('Existing Customers'!$O:$O,'Existing Customers'!$H:$H,$FL28,'Existing Customers'!$A:$A,$FM$1)*$FM$4,$FN28*$FM$8),0)</f>
        <v>0</v>
      </c>
      <c r="FP28" s="94">
        <f>IFERROR(IF(AND($FM$2&lt;&gt;"Enter Spend&gt;&gt;&gt;",FN2="EXISTING"),SUMIFS('Existing Customers'!$P:$P,'Existing Customers'!$A:$A,$FM$1,'Existing Customers'!$H:$H,$FL28)*$FM$4,$FM28/$FY28),0)</f>
        <v>0</v>
      </c>
      <c r="FQ28" s="95">
        <f>IFERROR(IF(AND($FM$2&lt;&gt;"Enter Spend&gt;&gt;&gt;",FN2="EXISTING"),SUMIFS('Existing Customers'!$V:$V,'Existing Customers'!$H:$H,$FL28,'Existing Customers'!$A:$A,$FM$1)*$FM$4,0),0)</f>
        <v>0</v>
      </c>
      <c r="FR28" s="95">
        <f>IFERROR(IF(AND($FM$2&lt;&gt;"Enter Spend&gt;&gt;&gt;",FN2="EXISTING"),SUMIFS('Existing Customers'!$R:$R,'Existing Customers'!$H:$H,$FL28,'Existing Customers'!$A:$A,$FM$1)*$FM$4,0),0)</f>
        <v>0</v>
      </c>
      <c r="FS28" s="1065">
        <f>IFERROR(IF(AND($FM$2&lt;&gt;"Enter Spend&gt;&gt;&gt;",FN2="EXISTING"),SUMIFS('Existing Customers'!$S:$S,'Existing Customers'!$H:$H,$FL28,'Existing Customers'!$A:$A,$FM$1),GC28*FM28),0)</f>
        <v>0</v>
      </c>
      <c r="FT28" s="1065">
        <f>IFERROR(IF(AND($FM$2&lt;&gt;"Enter Spend&gt;&gt;&gt;",FN2="EXISTING"),SUMIFS('Existing Customers'!$U:$U,'Existing Customers'!$H:$H,$FL28,'Existing Customers'!$A:$A,$FM$1),GD28*FM28),0)</f>
        <v>0</v>
      </c>
      <c r="FU28" s="1068" t="e">
        <f>_xlfn.CONCAT('Customer Inputs'!$AG$11,"_",FL28)</f>
        <v>#N/A</v>
      </c>
      <c r="FV28" s="1068">
        <f t="array" ref="FV28">IFERROR(INDEX('Margin Guidence Table'!$A$1:$AD$30000,MATCH(1,('Margin Guidence Table'!$A$1:$A$10000=FU28)*('Margin Guidence Table'!$I$1:$I$10000&lt;=ROUND($FM$3,0))*('Margin Guidence Table'!$J$1:$J$10000&gt;=ROUND($FM$3,0)),0),MATCH("DATA_POINTS",'Margin Guidence Table'!$A$1:$AG$1,0)),0)</f>
        <v>0</v>
      </c>
      <c r="FW28" s="1065" t="str">
        <f t="shared" si="37"/>
        <v>DEFAULT</v>
      </c>
      <c r="FX28" s="1065">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65">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69">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69">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69">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69">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69">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69">
        <f t="array" ref="GE28">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8"/>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72" t="e">
        <f t="shared" si="38"/>
        <v>#DIV/0!</v>
      </c>
      <c r="GI28" s="101" t="s">
        <v>91</v>
      </c>
      <c r="GJ28" s="93">
        <f>IFERROR(IF(AND($GJ$2&lt;&gt;"Enter Spend&gt;&gt;&gt;",GK16="EXISTING"),SUMIFS('Existing Customers'!$Q:$Q,'Existing Customers'!$A:$A,$GJ$1,'Existing Customers'!$H:$H,$GI28)*$GJ$4,$GJ$3*$GH28),0)</f>
        <v>0</v>
      </c>
      <c r="GK28" s="88">
        <f>IFERROR(IF(AND($GJ$2&lt;&gt;"Enter Spend&gt;&gt;&gt;",GK2="EXISTING"),SUMIFS('Existing Customers'!$N:$N,'Existing Customers'!$A:$A,$GJ$1,'Existing Customers'!$H:$H,$GI28)*$GJ$4,$GJ28/$GU28),0)</f>
        <v>0</v>
      </c>
      <c r="GL28" s="94">
        <f>IFERROR(IF(AND($GJ$2&lt;&gt;"Enter Spend&gt;&gt;&gt;",GK2="EXISTING"),SUMIFS('Existing Customers'!$O:$O,'Existing Customers'!$H:$H,$GI28,'Existing Customers'!$A:$A,$GJ$1)*$GJ$4,$GK28*$GJ$8),0)</f>
        <v>0</v>
      </c>
      <c r="GM28" s="94">
        <f>IFERROR(IF(AND($GJ$2&lt;&gt;"Enter Spend&gt;&gt;&gt;",GK2="EXISTING"),SUMIFS('Existing Customers'!$P:$P,'Existing Customers'!$A:$A,$GJ$1,'Existing Customers'!$H:$H,$GI28)*$GJ$4,$GJ28/$GV28),0)</f>
        <v>0</v>
      </c>
      <c r="GN28" s="95">
        <f>IFERROR(IF(AND($GJ$2&lt;&gt;"Enter Spend&gt;&gt;&gt;",GK2="EXISTING"),SUMIFS('Existing Customers'!$V:$V,'Existing Customers'!$H:$H,$GI28,'Existing Customers'!$A:$A,$GJ$1)*$GJ$4,0),0)</f>
        <v>0</v>
      </c>
      <c r="GO28" s="95">
        <f>IFERROR(IF(AND($GJ$2&lt;&gt;"Enter Spend&gt;&gt;&gt;",GK2="EXISTING"),SUMIFS('Existing Customers'!$R:$R,'Existing Customers'!$H:$H,$GI28,'Existing Customers'!$A:$A,$GJ$1)*$GJ$4,0),0)</f>
        <v>0</v>
      </c>
      <c r="GP28" s="1065">
        <f>IFERROR(IF(AND($GJ$2&lt;&gt;"Enter Spend&gt;&gt;&gt;",GK2="EXISTING"),SUMIFS('Existing Customers'!$S:$S,'Existing Customers'!$H:$H,$GI28,'Existing Customers'!$A:$A,$GJ$1),GZ28*GJ28),0)</f>
        <v>0</v>
      </c>
      <c r="GQ28" s="1065">
        <f>IFERROR(IF(AND($GJ$2&lt;&gt;"Enter Spend&gt;&gt;&gt;",GK2="EXISTING"),SUMIFS('Existing Customers'!$U:$U,'Existing Customers'!$H:$H,$GI28,'Existing Customers'!$A:$A,$GJ$1),HA28*GJ28),0)</f>
        <v>0</v>
      </c>
      <c r="GR28" s="1068" t="e">
        <f>_xlfn.CONCAT('Customer Inputs'!$AG$12,"_",GI28)</f>
        <v>#N/A</v>
      </c>
      <c r="GS28" s="1068">
        <f t="array" ref="GS28">IFERROR(INDEX('Margin Guidence Table'!$A$1:$AD$30000,MATCH(1,('Margin Guidence Table'!$A$1:$A$10000=GR28)*('Margin Guidence Table'!$I$1:$I$10000&lt;=ROUND($GJ$3,0))*('Margin Guidence Table'!$J$1:$J$10000&gt;=ROUND($GJ$3,0)),0),MATCH("DATA_POINTS",'Margin Guidence Table'!$A$1:$AG$1,0)),0)</f>
        <v>0</v>
      </c>
      <c r="GT28" s="1065" t="str">
        <f t="shared" si="39"/>
        <v>DEFAULT</v>
      </c>
      <c r="GU28" s="1065">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65">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69">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69">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69">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69">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69">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69">
        <f t="array" ref="HB28">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8"/>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72" t="e">
        <f t="shared" si="40"/>
        <v>#DIV/0!</v>
      </c>
      <c r="HF28" s="101" t="s">
        <v>91</v>
      </c>
      <c r="HG28" s="93">
        <f>IFERROR(IF(AND($HG$2&lt;&gt;"Enter Spend&gt;&gt;&gt;",HH16="EXISTING"),SUMIFS('Existing Customers'!$Q:$Q,'Existing Customers'!$A:$A,$HG$1,'Existing Customers'!$H:$H,$HF28)*$HG$4,$HG$3*$HE28),0)</f>
        <v>0</v>
      </c>
      <c r="HH28" s="88">
        <f>IFERROR(IF(AND($HG$2&lt;&gt;"Enter Spend&gt;&gt;&gt;",HH2="EXISTING"),SUMIFS('Existing Customers'!$N:$N,'Existing Customers'!$A:$A,$HG$1,'Existing Customers'!$H:$H,$HF28)*$HG$4,$HG28/$HR28),0)</f>
        <v>0</v>
      </c>
      <c r="HI28" s="94">
        <f>IFERROR(IF(AND($HG$2&lt;&gt;"Enter Spend&gt;&gt;&gt;",HH2="EXISTING"),SUMIFS('Existing Customers'!$O:$O,'Existing Customers'!$H:$H,$HF28,'Existing Customers'!$A:$A,$HG$1)*$HG$4,$HH28*$HG$8),0)</f>
        <v>0</v>
      </c>
      <c r="HJ28" s="94">
        <f>IFERROR(IF(AND($HG$2&lt;&gt;"Enter Spend&gt;&gt;&gt;",HH2="EXISTING"),SUMIFS('Existing Customers'!$P:$P,'Existing Customers'!$A:$A,$HG$1,'Existing Customers'!$H:$H,$HF28)*$HG$4,$HG28/$HS28),0)</f>
        <v>0</v>
      </c>
      <c r="HK28" s="95">
        <f>IFERROR(IF(AND($HG$2&lt;&gt;"Enter Spend&gt;&gt;&gt;",HH2="EXISTING"),SUMIFS('Existing Customers'!$V:$V,'Existing Customers'!$H:$H,$HF28,'Existing Customers'!$A:$A,$HG$1)*$HG$4,0),0)</f>
        <v>0</v>
      </c>
      <c r="HL28" s="95">
        <f>IFERROR(IF(AND($HG$2&lt;&gt;"Enter Spend&gt;&gt;&gt;",HH2="EXISTING"),SUMIFS('Existing Customers'!$R:$R,'Existing Customers'!$H:$H,$HF28,'Existing Customers'!$A:$A,$HG$1)*$HG$4,0),0)</f>
        <v>0</v>
      </c>
      <c r="HM28" s="1065">
        <f>IFERROR(IF(AND($HG$2&lt;&gt;"Enter Spend&gt;&gt;&gt;",HH2="EXISTING"),SUMIFS('Existing Customers'!$S:$S,'Existing Customers'!$H:$H,$HF28,'Existing Customers'!$A:$A,$HG$1),HW28*HG28),0)</f>
        <v>0</v>
      </c>
      <c r="HN28" s="1065">
        <f>IFERROR(IF(AND($HG$2&lt;&gt;"Enter Spend&gt;&gt;&gt;",HH2="EXISTING"),SUMIFS('Existing Customers'!$U:$U,'Existing Customers'!$H:$H,$HF28,'Existing Customers'!$A:$A,$HG$1),HX28*HG28),0)</f>
        <v>0</v>
      </c>
      <c r="HO28" s="1068" t="e">
        <f>_xlfn.CONCAT('Customer Inputs'!$AG$13,"_",HF28)</f>
        <v>#N/A</v>
      </c>
      <c r="HP28" s="1068">
        <f t="array" ref="HP28">IFERROR(INDEX('Margin Guidence Table'!$A$1:$AD$30000,MATCH(1,('Margin Guidence Table'!$A$1:$A$10000=HO28)*('Margin Guidence Table'!$I$1:$I$10000&lt;=ROUND($HG$3,0))*('Margin Guidence Table'!$J$1:$J$10000&gt;=ROUND($HG$3,0)),0),MATCH("DATA_POINTS",'Margin Guidence Table'!$A$1:$AG$1,0)),0)</f>
        <v>0</v>
      </c>
      <c r="HQ28" s="1065" t="str">
        <f t="shared" si="41"/>
        <v>DEFAULT</v>
      </c>
      <c r="HR28" s="1065">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65">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69">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69">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69">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69">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69">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69">
        <f t="array" ref="HY28">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8"/>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72" t="e">
        <f t="shared" si="42"/>
        <v>#DIV/0!</v>
      </c>
      <c r="IC28" s="101" t="s">
        <v>91</v>
      </c>
      <c r="ID28" s="93">
        <f>IFERROR(IF(AND($ID$2&lt;&gt;"Enter Spend&gt;&gt;&gt;",IE16="EXISTING"),SUMIFS('Existing Customers'!$Q:$Q,'Existing Customers'!$A:$A,$ID$1,'Existing Customers'!$H:$H,$IC28)*$ID$4,$ID$3*$IB28),0)</f>
        <v>0</v>
      </c>
      <c r="IE28" s="88">
        <f>IFERROR(IF(AND($ID$2&lt;&gt;"Enter Spend&gt;&gt;&gt;",IE2="EXISTING"),SUMIFS('Existing Customers'!$N:$N,'Existing Customers'!$A:$A,$ID$1,'Existing Customers'!$H:$H,$IC28)*$ID$4,$ID28/$IO28),0)</f>
        <v>0</v>
      </c>
      <c r="IF28" s="94">
        <f>IFERROR(IF(AND($ID$2&lt;&gt;"Enter Spend&gt;&gt;&gt;",IE2="EXISTING"),SUMIFS('Existing Customers'!$O:$O,'Existing Customers'!$H:$H,$IC28,'Existing Customers'!$A:$A,$ID$1)*$ID$4,$IE28*$ID$8),0)</f>
        <v>0</v>
      </c>
      <c r="IG28" s="94">
        <f>IFERROR(IF(AND($ID$2&lt;&gt;"Enter Spend&gt;&gt;&gt;",IE2="EXISTING"),SUMIFS('Existing Customers'!$P:$P,'Existing Customers'!$A:$A,$ID$1,'Existing Customers'!$H:$H,$IC28)*$ID$4,$ID28/$IP28),0)</f>
        <v>0</v>
      </c>
      <c r="IH28" s="378">
        <f>IFERROR(IF(AND($ID$2&lt;&gt;"Enter Spend&gt;&gt;&gt;",IE2="EXISTING"),SUMIFS('Existing Customers'!$V:$V,'Existing Customers'!$H:$H,$IC28,'Existing Customers'!$A:$A,$ID$1)*$ID$4,0),0)</f>
        <v>0</v>
      </c>
      <c r="II28" s="95">
        <f>IFERROR(IF(AND($ID$2&lt;&gt;"Enter Spend&gt;&gt;&gt;",IE2="EXISTING"),SUMIFS('Existing Customers'!$R:$R,'Existing Customers'!$H:$H,$IC28,'Existing Customers'!$A:$A,$ID$1)*$ID$4,0),0)</f>
        <v>0</v>
      </c>
      <c r="IJ28" s="1065">
        <f>IFERROR(IF(AND($ID$2&lt;&gt;"Enter Spend&gt;&gt;&gt;",IE2="EXISTING"),SUMIFS('Existing Customers'!$S:$S,'Existing Customers'!$H:$H,$IC28,'Existing Customers'!$A:$A,$ID$1),IT28*ID28),0)</f>
        <v>0</v>
      </c>
      <c r="IK28" s="1065">
        <f>IFERROR(IF(AND($ID$2&lt;&gt;"Enter Spend&gt;&gt;&gt;",IE2="EXISTING"),SUMIFS('Existing Customers'!$U:$U,'Existing Customers'!$H:$H,$IC28,'Existing Customers'!$A:$A,$ID$1),IU28*ID28),0)</f>
        <v>0</v>
      </c>
      <c r="IL28" s="1068" t="e">
        <f>_xlfn.CONCAT('Customer Inputs'!$AG$14,"_",IC28)</f>
        <v>#N/A</v>
      </c>
      <c r="IM28" s="1068">
        <f t="array" ref="IM28">IFERROR(INDEX('Margin Guidence Table'!$A$1:$AD$30000,MATCH(1,('Margin Guidence Table'!$A$1:$A$10000=IL28)*('Margin Guidence Table'!$I$1:$I$10000&lt;=ROUND($ID$3,0))*('Margin Guidence Table'!$J$1:$J$10000&gt;=ROUND($ID$3,0)),0),MATCH("DATA_POINTS",'Margin Guidence Table'!$A$1:$AG$1,0)),0)</f>
        <v>0</v>
      </c>
      <c r="IN28" s="1065" t="str">
        <f t="shared" si="43"/>
        <v>DEFAULT</v>
      </c>
      <c r="IO28" s="1065">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65">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69">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69">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69">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69">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69">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69">
        <f t="array" ref="IV28">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8"/>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72" t="e">
        <f t="shared" si="44"/>
        <v>#DIV/0!</v>
      </c>
      <c r="IZ28" s="101" t="s">
        <v>91</v>
      </c>
      <c r="JA28" s="93">
        <f>IFERROR(IF(AND($JA$2&lt;&gt;"Enter Spend&gt;&gt;&gt;",JB16="EXISTING"),SUMIFS('Existing Customers'!$Q:$Q,'Existing Customers'!$A:$A,$JA$1,'Existing Customers'!$H:$H,$IZ28)*$JA$4,$JA$3*$IY28),0)</f>
        <v>0</v>
      </c>
      <c r="JB28" s="88">
        <f>IFERROR(IF(AND($JA$2&lt;&gt;"Enter Spend&gt;&gt;&gt;",JB2="EXISTING"),SUMIFS('Existing Customers'!$N:$N,'Existing Customers'!$A:$A,$JA$1,'Existing Customers'!$H:$H,$IZ28)*$JA$4,$JA28/$JL28),0)</f>
        <v>0</v>
      </c>
      <c r="JC28" s="94">
        <f>IFERROR(IF(AND($JA$2&lt;&gt;"Enter Spend&gt;&gt;&gt;",JB2="EXISTING"),SUMIFS('Existing Customers'!$O:$O,'Existing Customers'!$H:$H,$IZ28,'Existing Customers'!$A:$A,$JA$1)*$JA$4,$JB28*$JA$8),0)</f>
        <v>0</v>
      </c>
      <c r="JD28" s="94">
        <f>IFERROR(IF(AND($JA$2&lt;&gt;"Enter Spend&gt;&gt;&gt;",JB2="EXISTING"),SUMIFS('Existing Customers'!$P:$P,'Existing Customers'!$A:$A,$JA$1,'Existing Customers'!$H:$H,$IZ28)*$JA$4,$JA28/$JM28),0)</f>
        <v>0</v>
      </c>
      <c r="JE28" s="378">
        <f>IFERROR(IF(AND($JA$2&lt;&gt;"Enter Spend&gt;&gt;&gt;",JB2="EXISTING"),SUMIFS('Existing Customers'!$V:$V,'Existing Customers'!$H:$H,$IZ28,'Existing Customers'!$A:$A,$JA$1)*$JA$4,0),0)</f>
        <v>0</v>
      </c>
      <c r="JF28" s="95">
        <f>IFERROR(IF(AND($JA$2&lt;&gt;"Enter Spend&gt;&gt;&gt;",JB2="EXISTING"),SUMIFS('Existing Customers'!$R:$R,'Existing Customers'!$H:$H,$IZ28,'Existing Customers'!$A:$A,$JA$1)*$JA$4,0),0)</f>
        <v>0</v>
      </c>
      <c r="JG28" s="1065">
        <f>IFERROR(IF(AND($JA$2&lt;&gt;"Enter Spend&gt;&gt;&gt;",JB2="EXISTING"),SUMIFS('Existing Customers'!$S:$S,'Existing Customers'!$H:$H,$IZ28,'Existing Customers'!$A:$A,$JA$1),JQ28*JA28),0)</f>
        <v>0</v>
      </c>
      <c r="JH28" s="1065">
        <f>IFERROR(IF(AND($JA$2&lt;&gt;"Enter Spend&gt;&gt;&gt;",JB2="EXISTING"),SUMIFS('Existing Customers'!$U:$U,'Existing Customers'!$H:$H,$IZ28,'Existing Customers'!$A:$A,$JA$1),JR28*JA28),0)</f>
        <v>0</v>
      </c>
      <c r="JI28" s="1068" t="e">
        <f>_xlfn.CONCAT('Customer Inputs'!$AG$15,"_",IZ28)</f>
        <v>#N/A</v>
      </c>
      <c r="JJ28" s="1068">
        <f t="array" ref="JJ28">IFERROR(INDEX('Margin Guidence Table'!$A$1:$AD$30000,MATCH(1,('Margin Guidence Table'!$A$1:$A$10000=JI28)*('Margin Guidence Table'!$I$1:$I$10000&lt;=ROUND($JA$3,0))*('Margin Guidence Table'!$J$1:$J$10000&gt;=ROUND($JA$3,0)),0),MATCH("DATA_POINTS",'Margin Guidence Table'!$A$1:$AG$1,0)),0)</f>
        <v>0</v>
      </c>
      <c r="JK28" s="1065" t="str">
        <f t="shared" si="45"/>
        <v>DEFAULT</v>
      </c>
      <c r="JL28" s="1065">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65">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69">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69">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69">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69">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69">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69">
        <f t="array" ref="JS28">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101" t="s">
        <v>91</v>
      </c>
      <c r="JV28" s="96"/>
      <c r="JW28" s="88"/>
      <c r="JX28" s="88"/>
      <c r="JY28" s="88"/>
      <c r="JZ28" s="113"/>
      <c r="KA28" s="97"/>
      <c r="KB28" s="128"/>
      <c r="KD28" s="101" t="s">
        <v>91</v>
      </c>
      <c r="KE28" s="96"/>
      <c r="KF28" s="88"/>
      <c r="KG28" s="88"/>
      <c r="KH28" s="88"/>
      <c r="KI28" s="113"/>
      <c r="KJ28" s="97"/>
    </row>
    <row r="29" spans="2:296" ht="15.75" thickBot="1" x14ac:dyDescent="0.3">
      <c r="B29" s="101" t="s">
        <v>90</v>
      </c>
      <c r="C29" s="451">
        <f t="shared" si="11"/>
        <v>0</v>
      </c>
      <c r="D29" s="467">
        <f t="shared" si="12"/>
        <v>0</v>
      </c>
      <c r="E29" s="467">
        <f t="shared" si="13"/>
        <v>0</v>
      </c>
      <c r="F29" s="467">
        <f t="shared" si="14"/>
        <v>0</v>
      </c>
      <c r="G29" s="468">
        <f t="shared" si="15"/>
        <v>0</v>
      </c>
      <c r="H29" s="467">
        <f t="shared" si="16"/>
        <v>0</v>
      </c>
      <c r="I29" s="1061" t="e">
        <f t="shared" si="0"/>
        <v>#DIV/0!</v>
      </c>
      <c r="J29" s="1061" t="e">
        <f t="shared" si="1"/>
        <v>#DIV/0!</v>
      </c>
      <c r="K29" s="1061" t="e">
        <f t="shared" si="2"/>
        <v>#DIV/0!</v>
      </c>
      <c r="L29" s="467" t="e">
        <f t="shared" si="3"/>
        <v>#DIV/0!</v>
      </c>
      <c r="M29" s="467" t="e">
        <f t="shared" si="17"/>
        <v>#DIV/0!</v>
      </c>
      <c r="N29" s="1062" t="e">
        <f t="shared" si="4"/>
        <v>#DIV/0!</v>
      </c>
      <c r="P29" t="str">
        <f>'PIM Model'!E25</f>
        <v>INCLUDE</v>
      </c>
      <c r="Q29">
        <f t="shared" si="18"/>
        <v>0</v>
      </c>
      <c r="R29">
        <f t="shared" si="19"/>
        <v>0</v>
      </c>
      <c r="S29" s="101" t="s">
        <v>90</v>
      </c>
      <c r="T29" s="96">
        <f t="shared" si="20"/>
        <v>0</v>
      </c>
      <c r="U29" s="88">
        <f t="shared" si="5"/>
        <v>0</v>
      </c>
      <c r="V29" s="88">
        <f t="shared" si="6"/>
        <v>0</v>
      </c>
      <c r="W29" s="88">
        <f t="shared" si="7"/>
        <v>0</v>
      </c>
      <c r="X29" s="113">
        <f t="shared" si="8"/>
        <v>0</v>
      </c>
      <c r="Y29" s="116">
        <f t="shared" si="21"/>
        <v>0</v>
      </c>
      <c r="Z29" s="376"/>
      <c r="AA29" s="101" t="s">
        <v>90</v>
      </c>
      <c r="AB29" s="455">
        <f t="shared" si="9"/>
        <v>0</v>
      </c>
      <c r="AC29" s="456">
        <f t="shared" si="9"/>
        <v>0</v>
      </c>
      <c r="AD29" s="456">
        <f t="shared" si="9"/>
        <v>0</v>
      </c>
      <c r="AE29" s="457">
        <f t="shared" si="22"/>
        <v>0</v>
      </c>
      <c r="AF29" s="458">
        <f t="shared" si="23"/>
        <v>0</v>
      </c>
      <c r="AG29" s="376"/>
      <c r="AH29" s="101" t="s">
        <v>90</v>
      </c>
      <c r="AI29" s="455">
        <f t="shared" si="10"/>
        <v>0</v>
      </c>
      <c r="AJ29" s="452">
        <f t="shared" si="24"/>
        <v>0</v>
      </c>
      <c r="AK29" s="458"/>
      <c r="AL29" s="376"/>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76">
        <f>VLOOKUP($AH29&amp;$AM29,'IMargin Quartiles'!$A:$F,6,FALSE)</f>
        <v>0.11</v>
      </c>
      <c r="AO29" s="376"/>
      <c r="AP29"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Q29" s="376" t="e">
        <f t="shared" si="25"/>
        <v>#DIV/0!</v>
      </c>
      <c r="AR29">
        <f>'PIM Model'!C25</f>
        <v>0</v>
      </c>
      <c r="AS29" s="376"/>
      <c r="AT29" s="376"/>
      <c r="AU29" s="376" t="e">
        <f t="shared" si="46"/>
        <v>#DIV/0!</v>
      </c>
      <c r="AV29" s="376"/>
      <c r="AW29" s="376"/>
      <c r="AX29" s="107">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72" t="e">
        <f t="shared" si="26"/>
        <v>#DIV/0!</v>
      </c>
      <c r="BA29" s="101" t="s">
        <v>90</v>
      </c>
      <c r="BB29" s="93">
        <f>IFERROR(IF(AND($BB$2&lt;&gt;"Enter Spend&gt;&gt;&gt;",BC17="EXISTING"),SUMIFS('Existing Customers'!$Q:$Q,'Existing Customers'!$A:$A,$BB$1,'Existing Customers'!$H:$H,$BA29)*$BB$4,$BB$3*$AZ29),0)</f>
        <v>0</v>
      </c>
      <c r="BC29" s="94">
        <f>IFERROR(IF(AND($BB$2&lt;&gt;"Enter Spend&gt;&gt;&gt;",BC2="EXISTING"),SUMIFS('Existing Customers'!$N:$N,'Existing Customers'!$A:$A,$BB$1,'Existing Customers'!$H:$H,$BA29)*$BB$4,$BB29/$BM29),0)</f>
        <v>0</v>
      </c>
      <c r="BD29" s="94">
        <f>IFERROR(IF(AND($BB$2&lt;&gt;"Enter Spend&gt;&gt;&gt;",BC2="EXISTING"),SUMIFS('Existing Customers'!$O:$O,'Existing Customers'!$H:$H,$BA29,'Existing Customers'!$A:$A,$BB$1)*$BB$4,$BC29*$BB$8),0)</f>
        <v>0</v>
      </c>
      <c r="BE29" s="94">
        <f>IFERROR(IF(AND($BB$2&lt;&gt;"Enter Spend&gt;&gt;&gt;",BC2="EXISTING"),SUMIFS('Existing Customers'!$P:$P,'Existing Customers'!$A:$A,$BB$1,'Existing Customers'!$H:$H,$BA29)*$BB$4,$BB29/$BN29),0)</f>
        <v>0</v>
      </c>
      <c r="BF29" s="378">
        <f>IFERROR(IF(AND($BB$2&lt;&gt;"Enter Spend&gt;&gt;&gt;",BC2="EXISTING"),SUMIFS('Existing Customers'!$V:$V,'Existing Customers'!$H:$H,$BA29,'Existing Customers'!$A:$A,$BB$1)*$BB$4,0),0)</f>
        <v>0</v>
      </c>
      <c r="BG29" s="95">
        <f>IFERROR(IF(AND($BB$2&lt;&gt;"Enter Spend&gt;&gt;&gt;",BC2="EXISTING"),SUMIFS('Existing Customers'!$R:$R,'Existing Customers'!$H:$H,$BA29,'Existing Customers'!$A:$A,$BB$1)*$BB$4,0),0)</f>
        <v>0</v>
      </c>
      <c r="BH29" s="95">
        <f>IFERROR(IF(AND($BB$2&lt;&gt;"Enter Spend&gt;&gt;&gt;",BC2="EXISTING"),SUMIFS('Existing Customers'!$S:$S,'Existing Customers'!$H:$H,$BA29,'Existing Customers'!$A:$A,$BB$1),BR29*BB29),0)</f>
        <v>0</v>
      </c>
      <c r="BI29" s="95">
        <f>IFERROR(IF(AND($BB$2&lt;&gt;"Enter Spend&gt;&gt;&gt;",BC2="EXISTING"),SUMIFS('Existing Customers'!$U:$U,'Existing Customers'!$H:$H,$BA29,'Existing Customers'!$A:$A,$BB$1),BS29*BB29),0)</f>
        <v>0</v>
      </c>
      <c r="BJ29" s="1067" t="e">
        <f>_xlfn.CONCAT('Customer Inputs'!$AG$6,"_",BA29)</f>
        <v>#N/A</v>
      </c>
      <c r="BK29" s="1068">
        <f t="array" ref="BK29">IFERROR(INDEX('Margin Guidence Table'!$A$1:$AD$30000,MATCH(1,('Margin Guidence Table'!$A$1:$A$10000=$BJ29)*('Margin Guidence Table'!$I$1:$I$10000&lt;=ROUND($BB$3,0))*('Margin Guidence Table'!$J$1:$J$10000&gt;=ROUND($BB$3,0)),0),MATCH("DATA_POINTS",'Margin Guidence Table'!$A$1:$AG$1,0)),0)</f>
        <v>0</v>
      </c>
      <c r="BL29" s="1065" t="str">
        <f t="shared" si="27"/>
        <v>DEFAULT</v>
      </c>
      <c r="BM29" s="1065">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65">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69">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69">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69">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69">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69">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69">
        <f t="array" ref="BT29">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8"/>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72" t="e">
        <f t="shared" si="28"/>
        <v>#DIV/0!</v>
      </c>
      <c r="BX29" s="101" t="s">
        <v>90</v>
      </c>
      <c r="BY29" s="93">
        <f>IFERROR(IF(AND($BY$2&lt;&gt;"Enter Spend&gt;&gt;&gt;",BZ17="EXISTING"),SUMIFS('Existing Customers'!$Q:$Q,'Existing Customers'!$A:$A,$BY$1,'Existing Customers'!$H:$H,$BX29)*$BY$4,$BY$3*$BW29),0)</f>
        <v>0</v>
      </c>
      <c r="BZ29" s="88">
        <f>IFERROR(IF(AND($BY$2&lt;&gt;"Enter Spend&gt;&gt;&gt;",BZ2="EXISTING"),SUMIFS('Existing Customers'!$N:$N,'Existing Customers'!$A:$A,$BY$1,'Existing Customers'!$H:$H,$BX29)*$BY$4,$BY29/$CJ29),0)</f>
        <v>0</v>
      </c>
      <c r="CA29" s="94">
        <f>IFERROR(IF(AND($BY$2&lt;&gt;"Enter Spend&gt;&gt;&gt;",BZ2="EXISTING"),SUMIFS('Existing Customers'!$O:$O,'Existing Customers'!$H:$H,$BX29,'Existing Customers'!$A:$A,$BY$1)*$BY$4,$BZ29*$BY$8),0)</f>
        <v>0</v>
      </c>
      <c r="CB29" s="94">
        <f>IFERROR(IF(AND($BY$2&lt;&gt;"Enter Spend&gt;&gt;&gt;",BZ2="EXISTING"),SUMIFS('Existing Customers'!$P:$P,'Existing Customers'!$A:$A,$BY$1,'Existing Customers'!$H:$H,$BX29)*$BY$4,$BY29/$CK29),0)</f>
        <v>0</v>
      </c>
      <c r="CC29" s="95">
        <f>IFERROR(IF(AND($BY$2&lt;&gt;"Enter Spend&gt;&gt;&gt;",BZ2="EXISTING"),SUMIFS('Existing Customers'!$V:$V,'Existing Customers'!$H:$H,$BX29,'Existing Customers'!$A:$A,$BY$1)*$BY$4,0),0)</f>
        <v>0</v>
      </c>
      <c r="CD29" s="95">
        <f>IFERROR(IF(AND($BY$2&lt;&gt;"Enter Spend&gt;&gt;&gt;",BZ2="EXISTING"),SUMIFS('Existing Customers'!$R:$R,'Existing Customers'!$H:$H,$BX29,'Existing Customers'!$A:$A,$BY$1)*$BY$4,0),0)</f>
        <v>0</v>
      </c>
      <c r="CE29" s="1065">
        <f>IFERROR(IF(AND($BY$2&lt;&gt;"Enter Spend&gt;&gt;&gt;",BZ2="EXISTING"),SUMIFS('Existing Customers'!$S:$S,'Existing Customers'!$H:$H,$BX29,'Existing Customers'!$A:$A,$BY$1),CO29*BY29),0)</f>
        <v>0</v>
      </c>
      <c r="CF29" s="1065">
        <f>IFERROR(IF(AND($BY$2&lt;&gt;"Enter Spend&gt;&gt;&gt;",BZ2="EXISTING"),SUMIFS('Existing Customers'!$U:$U,'Existing Customers'!$H:$H,$BX29,'Existing Customers'!$A:$A,$BY$1),CP29*BY29),0)</f>
        <v>0</v>
      </c>
      <c r="CG29" s="1068" t="e">
        <f>_xlfn.CONCAT('Customer Inputs'!$AG$7,"_",BX29)</f>
        <v>#N/A</v>
      </c>
      <c r="CH29" s="1068">
        <f t="array" ref="CH29">IFERROR(INDEX('Margin Guidence Table'!$A$1:$AD$30000,MATCH(1,('Margin Guidence Table'!$A$1:$A$10000=$CG29)*('Margin Guidence Table'!$I$1:$I$10000&lt;=ROUND($BY$3,0))*('Margin Guidence Table'!$J$1:$J$10000&gt;=ROUND($BY$3,0)),0),MATCH("DATA_POINTS",'Margin Guidence Table'!$A$1:$AG$1,0)),0)</f>
        <v>0</v>
      </c>
      <c r="CI29" s="1065" t="str">
        <f t="shared" si="29"/>
        <v>DEFAULT</v>
      </c>
      <c r="CJ29" s="1065">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65">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69">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69">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69">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69">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69">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69">
        <f t="array" ref="CQ29">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8"/>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72" t="e">
        <f t="shared" si="30"/>
        <v>#DIV/0!</v>
      </c>
      <c r="CU29" s="101" t="s">
        <v>90</v>
      </c>
      <c r="CV29" s="93">
        <f>IFERROR(IF(AND($CV$2&lt;&gt;"Enter Spend&gt;&gt;&gt;",CW17="EXISTING"),SUMIFS('Existing Customers'!$Q:$Q,'Existing Customers'!$A:$A,$CV$1,'Existing Customers'!$H:$H,$CU29)*$CV$4,$CV$3*$CT29),0)</f>
        <v>0</v>
      </c>
      <c r="CW29" s="88">
        <f>IFERROR(IF(AND($CV$2&lt;&gt;"Enter Spend&gt;&gt;&gt;",CW2="EXISTING"),SUMIFS('Existing Customers'!$N:$N,'Existing Customers'!$A:$A,$CV$1,'Existing Customers'!$H:$H,$CU29)*$CV$4,$CV29/$DG29),0)</f>
        <v>0</v>
      </c>
      <c r="CX29" s="94">
        <f>IFERROR(IF(AND($CV$2&lt;&gt;"Enter Spend&gt;&gt;&gt;",BC28="EXISTING"),SUMIFS('Existing Customers'!$O:$O,'Existing Customers'!$H:$H,$CU29,'Existing Customers'!$A:$A,$CV$1)*$CV$4,$CW29*$CV$8),0)</f>
        <v>0</v>
      </c>
      <c r="CY29" s="94">
        <f>IFERROR(IF(AND($CV$2&lt;&gt;"Enter Spend&gt;&gt;&gt;",CW2="EXISTING"),SUMIFS('Existing Customers'!$P:$P,'Existing Customers'!$A:$A,$CV$1,'Existing Customers'!$H:$H,$CU29)*$CV$4,$CV29/$DH29),0)</f>
        <v>0</v>
      </c>
      <c r="CZ29" s="95">
        <f>IFERROR(IF(AND($CV$2&lt;&gt;"Enter Spend&gt;&gt;&gt;",CW2="EXISTING"),SUMIFS('Existing Customers'!$V:$V,'Existing Customers'!$H:$H,$CU29,'Existing Customers'!$A:$A,$CV$1)*$CV$4,0),0)</f>
        <v>0</v>
      </c>
      <c r="DA29" s="95">
        <f>IFERROR(IF(AND($CV$2&lt;&gt;"Enter Spend&gt;&gt;&gt;",CW2="EXISTING"),SUMIFS('Existing Customers'!$R:$R,'Existing Customers'!$H:$H,$BA29,'Existing Customers'!$A:$A,$CV$1)*$CV$4,0),0)</f>
        <v>0</v>
      </c>
      <c r="DB29" s="1065">
        <f>IFERROR(IF(AND($CV$2&lt;&gt;"Enter Spend&gt;&gt;&gt;",CW2="EXISTING"),SUMIFS('Existing Customers'!$S:$S,'Existing Customers'!$H:$H,$CU29,'Existing Customers'!$A:$A,$CV$1),DL29*CV29),0)</f>
        <v>0</v>
      </c>
      <c r="DC29" s="1065">
        <f>IFERROR(IF(AND($CV$2&lt;&gt;"Enter Spend&gt;&gt;&gt;",CW2="EXISTING"),SUMIFS('Existing Customers'!$U:$U,'Existing Customers'!$H:$H,$CU29,'Existing Customers'!$A:$A,$CV$1),DM29*CV29),0)</f>
        <v>0</v>
      </c>
      <c r="DD29" s="1068" t="e">
        <f>_xlfn.CONCAT('Customer Inputs'!$AG$8,"_",CU29)</f>
        <v>#N/A</v>
      </c>
      <c r="DE29" s="1068">
        <f t="array" ref="DE29">IFERROR(INDEX('Margin Guidence Table'!$A$1:$AD$30000,MATCH(1,('Margin Guidence Table'!$A$1:$A$10000=DD29)*('Margin Guidence Table'!$I$1:$I$10000&lt;=ROUND($CV$3,0))*('Margin Guidence Table'!$J$1:$J$10000&gt;=ROUND($CV$3,0)),0),MATCH("DATA_POINTS",'Margin Guidence Table'!$A$1:$AG$1,0)),0)</f>
        <v>0</v>
      </c>
      <c r="DF29" s="1065" t="str">
        <f t="shared" si="31"/>
        <v>DEFAULT</v>
      </c>
      <c r="DG29" s="1065">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65">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69">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69">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69">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69">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69">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69">
        <f t="array" ref="DN29">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8"/>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72" t="e">
        <f t="shared" si="32"/>
        <v>#DIV/0!</v>
      </c>
      <c r="DR29" s="101" t="s">
        <v>90</v>
      </c>
      <c r="DS29" s="93">
        <f>IFERROR(IF(AND($DS$2&lt;&gt;"Enter Spend&gt;&gt;&gt;",DT17="EXISTING"),SUMIFS('Existing Customers'!$Q:$Q,'Existing Customers'!$A:$A,$DS$1,'Existing Customers'!$H:$H,$DR29)*$DS$4,$DS$3*$DQ29),0)</f>
        <v>0</v>
      </c>
      <c r="DT29" s="88">
        <f>IFERROR(IF(AND($DS$2&lt;&gt;"Enter Spend&gt;&gt;&gt;",DT2="EXISTING"),SUMIFS('Existing Customers'!$N:$N,'Existing Customers'!$A:$A,$DS$1,'Existing Customers'!$H:$H,$DR29)*$DS$4,$DS29/$ED29),0)</f>
        <v>0</v>
      </c>
      <c r="DU29" s="94">
        <f>IFERROR(IF(AND($DS$2&lt;&gt;"Enter Spend&gt;&gt;&gt;",DT2="EXISTING"),SUMIFS('Existing Customers'!$O:$O,'Existing Customers'!$H:$H,$DR29,'Existing Customers'!$A:$A,$DS$1)*$DS$4,$DT29*$DS$8),0)</f>
        <v>0</v>
      </c>
      <c r="DV29" s="94">
        <f>IFERROR(IF(AND($DS$2&lt;&gt;"Enter Spend&gt;&gt;&gt;",DT2="EXISTING"),SUMIFS('Existing Customers'!$P:$P,'Existing Customers'!$A:$A,$DS$1,'Existing Customers'!$H:$H,$DR29)*$DS$4,$DS29/$EE29),0)</f>
        <v>0</v>
      </c>
      <c r="DW29" s="95">
        <f>IFERROR(IF(AND($DS$2&lt;&gt;"Enter Spend&gt;&gt;&gt;",EQ2="EXISTING"),SUMIFS('Existing Customers'!$V:$V,'Existing Customers'!$H:$H,$DR29,'Existing Customers'!$A:$A,$DS$1)*$DS$4,0),0)</f>
        <v>0</v>
      </c>
      <c r="DX29" s="95">
        <f>IFERROR(IF(AND($DS$2&lt;&gt;"Enter Spend&gt;&gt;&gt;",DT2="EXISTING"),SUMIFS('Existing Customers'!$R:$R,'Existing Customers'!$H:$H,$DR29,'Existing Customers'!$A:$A,$DS$1)*$DS$4,0),0)</f>
        <v>0</v>
      </c>
      <c r="DY29" s="1065">
        <f>IFERROR(IF(AND($DS$2&lt;&gt;"Enter Spend&gt;&gt;&gt;",DT2="EXISTING"),SUMIFS('Existing Customers'!$S:$S,'Existing Customers'!$H:$H,$DT29,'Existing Customers'!$A:$A,$DS$1),EI29*DS29),0)</f>
        <v>0</v>
      </c>
      <c r="DZ29" s="1065">
        <f>IFERROR(IF(AND($DS$2&lt;&gt;"Enter Spend&gt;&gt;&gt;",DT2="EXISTING"),SUMIFS('Existing Customers'!$U:$U,'Existing Customers'!$H:$H,$DR29,'Existing Customers'!$A:$A,$DS$1),EJ29*DS29),0)</f>
        <v>0</v>
      </c>
      <c r="EA29" s="1068" t="e">
        <f>_xlfn.CONCAT('Customer Inputs'!$AG$9,"_",DR29)</f>
        <v>#N/A</v>
      </c>
      <c r="EB29" s="1068">
        <f t="array" ref="EB29">IFERROR(INDEX('Margin Guidence Table'!$A$1:$AD$30000,MATCH(1,('Margin Guidence Table'!$A$1:$A$10000=EA29)*('Margin Guidence Table'!$I$1:$I$10000&lt;=ROUND($DS$3,0))*('Margin Guidence Table'!$J$1:$J$10000&gt;=ROUND($DS$3,0)),0),MATCH("DATA_POINTS",'Margin Guidence Table'!$A$1:$AG$1,0)),0)</f>
        <v>0</v>
      </c>
      <c r="EC29" s="1065" t="str">
        <f t="shared" si="33"/>
        <v>DEFAULT</v>
      </c>
      <c r="ED29" s="1065">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65">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69">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69">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69">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69">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69">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69">
        <f t="array" ref="EK29">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8"/>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72" t="e">
        <f t="shared" si="34"/>
        <v>#DIV/0!</v>
      </c>
      <c r="EO29" s="101" t="s">
        <v>90</v>
      </c>
      <c r="EP29" s="93">
        <f>IFERROR(IF(AND($EP$2&lt;&gt;"Enter Spend&gt;&gt;&gt;",EQ17="EXISTING"),SUMIFS('Existing Customers'!$Q:$Q,'Existing Customers'!$A:$A,$EP$1,'Existing Customers'!$H:$H,$EO29)*$EP$4,$EP$3*$EN29),0)</f>
        <v>0</v>
      </c>
      <c r="EQ29" s="88">
        <f>IFERROR(IF(AND($EP$2&lt;&gt;"Enter Spend&gt;&gt;&gt;",EQ2="EXISTING"),SUMIFS('Existing Customers'!$N:$N,'Existing Customers'!$A:$A,$EP$1,'Existing Customers'!$H:$H,$EO29)*$EP$4,$EP29/$FA29),0)</f>
        <v>0</v>
      </c>
      <c r="ER29" s="94">
        <f>IFERROR(IF(AND($EP$2&lt;&gt;"Enter Spend&gt;&gt;&gt;",EQ2="EXISTING"),SUMIFS('Existing Customers'!$O:$O,'Existing Customers'!$H:$H,$EO29,'Existing Customers'!$A:$A,$EP$1)*$EP$4,$EQ29*$EP$8),0)</f>
        <v>0</v>
      </c>
      <c r="ES29" s="94">
        <f>IFERROR(IF(AND($EP$2&lt;&gt;"Enter Spend&gt;&gt;&gt;",EQ2="EXISTING"),SUMIFS('Existing Customers'!$P:$P,'Existing Customers'!$A:$A,$EP$1,'Existing Customers'!$H:$H,$EO29)*$EP$4,$EP29/$FB29),0)</f>
        <v>0</v>
      </c>
      <c r="ET29" s="95">
        <f>IFERROR(IF(AND($EP$2&lt;&gt;"Enter Spend&gt;&gt;&gt;",EQ2="EXISTING"),SUMIFS('Existing Customers'!$V:$V,'Existing Customers'!$H:$H,$EO29,'Existing Customers'!$A:$A,$EP$1)*$EP$4,0),0)</f>
        <v>0</v>
      </c>
      <c r="EU29" s="95">
        <f>IFERROR(IF(AND($EP$2&lt;&gt;"Enter Spend&gt;&gt;&gt;",EQ2="EXISTING"),SUMIFS('Existing Customers'!$R:$R,'Existing Customers'!$H:$H,$EO29,'Existing Customers'!$A:$A,$EP$1)*$EP$4,0),0)</f>
        <v>0</v>
      </c>
      <c r="EV29" s="1065">
        <f>IFERROR(IF(AND($EP$2&lt;&gt;"Enter Spend&gt;&gt;&gt;",EQ2="EXISTING"),SUMIFS('Existing Customers'!$S:$S,'Existing Customers'!$H:$H,$EO29,'Existing Customers'!$A:$A,$EP$1),FF29*EP29),0)</f>
        <v>0</v>
      </c>
      <c r="EW29" s="1065">
        <f>IFERROR(IF(AND($EP$2&lt;&gt;"Enter Spend&gt;&gt;&gt;",EQ2="EXISTING"),SUMIFS('Existing Customers'!$U:$U,'Existing Customers'!$H:$H,$EO29,'Existing Customers'!$A:$A,$EP$1),FG29*EP29),0)</f>
        <v>0</v>
      </c>
      <c r="EX29" s="1068" t="e">
        <f>_xlfn.CONCAT('Customer Inputs'!$AG$10,"_",EO29)</f>
        <v>#N/A</v>
      </c>
      <c r="EY29" s="1068">
        <f t="array" ref="EY29">IFERROR(INDEX('Margin Guidence Table'!$A$1:$AD$30000,MATCH(1,('Margin Guidence Table'!$A$1:$A$10000=EX29)*('Margin Guidence Table'!$I$1:$I$10000&lt;=ROUND($EP$3,0))*('Margin Guidence Table'!$J$1:$J$10000&gt;=ROUND($EP$3,0)),0),MATCH("DATA_POINTS",'Margin Guidence Table'!$A$1:$AG$1,0)),0)</f>
        <v>0</v>
      </c>
      <c r="EZ29" s="1065" t="str">
        <f t="shared" si="35"/>
        <v>DEFAULT</v>
      </c>
      <c r="FA29" s="1065">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65"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69">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69">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69">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69">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69">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69">
        <f t="array" ref="FH29">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8"/>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72" t="e">
        <f t="shared" si="36"/>
        <v>#DIV/0!</v>
      </c>
      <c r="FL29" s="101" t="s">
        <v>90</v>
      </c>
      <c r="FM29" s="93">
        <f>IFERROR(IF(AND($FM$2&lt;&gt;"Enter Spend&gt;&gt;&gt;",FN17="EXISTING"),SUMIFS('Existing Customers'!$Q:$Q,'Existing Customers'!$A:$A,$FM$1,'Existing Customers'!$H:$H,$FL29)*$FM$4,$FM$3*$FK29),0)</f>
        <v>0</v>
      </c>
      <c r="FN29" s="88">
        <f>IFERROR(IF(AND($FM$2&lt;&gt;"Enter Spend&gt;&gt;&gt;",FN2="EXISTING"),SUMIFS('Existing Customers'!$N:$N,'Existing Customers'!$A:$A,$FM$1,'Existing Customers'!$H:$H,$FL29)*$FM$4,$FM29/$FX29),0)</f>
        <v>0</v>
      </c>
      <c r="FO29" s="94">
        <f>IFERROR(IF(AND($FM$2&lt;&gt;"Enter Spend&gt;&gt;&gt;",FN2="EXISTING"),SUMIFS('Existing Customers'!$O:$O,'Existing Customers'!$H:$H,$FL29,'Existing Customers'!$A:$A,$FM$1)*$FM$4,$FN29*$FM$8),0)</f>
        <v>0</v>
      </c>
      <c r="FP29" s="94">
        <f>IFERROR(IF(AND($FM$2&lt;&gt;"Enter Spend&gt;&gt;&gt;",FN2="EXISTING"),SUMIFS('Existing Customers'!$P:$P,'Existing Customers'!$A:$A,$FM$1,'Existing Customers'!$H:$H,$FL29)*$FM$4,$FM29/$FY29),0)</f>
        <v>0</v>
      </c>
      <c r="FQ29" s="95">
        <f>IFERROR(IF(AND($FM$2&lt;&gt;"Enter Spend&gt;&gt;&gt;",FN2="EXISTING"),SUMIFS('Existing Customers'!$V:$V,'Existing Customers'!$H:$H,$FL29,'Existing Customers'!$A:$A,$FM$1)*$FM$4,0),0)</f>
        <v>0</v>
      </c>
      <c r="FR29" s="95">
        <f>IFERROR(IF(AND($FM$2&lt;&gt;"Enter Spend&gt;&gt;&gt;",FN2="EXISTING"),SUMIFS('Existing Customers'!$R:$R,'Existing Customers'!$H:$H,$FL29,'Existing Customers'!$A:$A,$FM$1)*$FM$4,0),0)</f>
        <v>0</v>
      </c>
      <c r="FS29" s="1065">
        <f>IFERROR(IF(AND($FM$2&lt;&gt;"Enter Spend&gt;&gt;&gt;",FN2="EXISTING"),SUMIFS('Existing Customers'!$S:$S,'Existing Customers'!$H:$H,$FL29,'Existing Customers'!$A:$A,$FM$1),GC29*FM29),0)</f>
        <v>0</v>
      </c>
      <c r="FT29" s="1065">
        <f>IFERROR(IF(AND($FM$2&lt;&gt;"Enter Spend&gt;&gt;&gt;",FN2="EXISTING"),SUMIFS('Existing Customers'!$U:$U,'Existing Customers'!$H:$H,$FL29,'Existing Customers'!$A:$A,$FM$1),GD29*FM29),0)</f>
        <v>0</v>
      </c>
      <c r="FU29" s="1068" t="e">
        <f>_xlfn.CONCAT('Customer Inputs'!$AG$11,"_",FL29)</f>
        <v>#N/A</v>
      </c>
      <c r="FV29" s="1068">
        <f t="array" ref="FV29">IFERROR(INDEX('Margin Guidence Table'!$A$1:$AD$30000,MATCH(1,('Margin Guidence Table'!$A$1:$A$10000=FU29)*('Margin Guidence Table'!$I$1:$I$10000&lt;=ROUND($FM$3,0))*('Margin Guidence Table'!$J$1:$J$10000&gt;=ROUND($FM$3,0)),0),MATCH("DATA_POINTS",'Margin Guidence Table'!$A$1:$AG$1,0)),0)</f>
        <v>0</v>
      </c>
      <c r="FW29" s="1065" t="str">
        <f t="shared" si="37"/>
        <v>DEFAULT</v>
      </c>
      <c r="FX29" s="1065">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65">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69">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69">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69">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69">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69">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69">
        <f t="array" ref="GE29">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8"/>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72" t="e">
        <f t="shared" si="38"/>
        <v>#DIV/0!</v>
      </c>
      <c r="GI29" s="101" t="s">
        <v>90</v>
      </c>
      <c r="GJ29" s="93">
        <f>IFERROR(IF(AND($GJ$2&lt;&gt;"Enter Spend&gt;&gt;&gt;",GK17="EXISTING"),SUMIFS('Existing Customers'!$Q:$Q,'Existing Customers'!$A:$A,$GJ$1,'Existing Customers'!$H:$H,$GI29)*$GJ$4,$GJ$3*$GH29),0)</f>
        <v>0</v>
      </c>
      <c r="GK29" s="88">
        <f>IFERROR(IF(AND($GJ$2&lt;&gt;"Enter Spend&gt;&gt;&gt;",GK2="EXISTING"),SUMIFS('Existing Customers'!$N:$N,'Existing Customers'!$A:$A,$GJ$1,'Existing Customers'!$H:$H,$GI29)*$GJ$4,$GJ29/$GU29),0)</f>
        <v>0</v>
      </c>
      <c r="GL29" s="94">
        <f>IFERROR(IF(AND($GJ$2&lt;&gt;"Enter Spend&gt;&gt;&gt;",GK2="EXISTING"),SUMIFS('Existing Customers'!$O:$O,'Existing Customers'!$H:$H,$GI29,'Existing Customers'!$A:$A,$GJ$1)*$GJ$4,$GK29*$GJ$8),0)</f>
        <v>0</v>
      </c>
      <c r="GM29" s="94">
        <f>IFERROR(IF(AND($GJ$2&lt;&gt;"Enter Spend&gt;&gt;&gt;",GK2="EXISTING"),SUMIFS('Existing Customers'!$P:$P,'Existing Customers'!$A:$A,$GJ$1,'Existing Customers'!$H:$H,$GI29)*$GJ$4,$GJ29/$GV29),0)</f>
        <v>0</v>
      </c>
      <c r="GN29" s="95">
        <f>IFERROR(IF(AND($GJ$2&lt;&gt;"Enter Spend&gt;&gt;&gt;",GK2="EXISTING"),SUMIFS('Existing Customers'!$V:$V,'Existing Customers'!$H:$H,$GI29,'Existing Customers'!$A:$A,$GJ$1)*$GJ$4,0),0)</f>
        <v>0</v>
      </c>
      <c r="GO29" s="95">
        <f>IFERROR(IF(AND($GJ$2&lt;&gt;"Enter Spend&gt;&gt;&gt;",GK2="EXISTING"),SUMIFS('Existing Customers'!$R:$R,'Existing Customers'!$H:$H,$GI29,'Existing Customers'!$A:$A,$GJ$1)*$GJ$4,0),0)</f>
        <v>0</v>
      </c>
      <c r="GP29" s="1065">
        <f>IFERROR(IF(AND($GJ$2&lt;&gt;"Enter Spend&gt;&gt;&gt;",GK2="EXISTING"),SUMIFS('Existing Customers'!$S:$S,'Existing Customers'!$H:$H,$GI29,'Existing Customers'!$A:$A,$GJ$1),GZ29*GJ29),0)</f>
        <v>0</v>
      </c>
      <c r="GQ29" s="1065">
        <f>IFERROR(IF(AND($GJ$2&lt;&gt;"Enter Spend&gt;&gt;&gt;",GK2="EXISTING"),SUMIFS('Existing Customers'!$U:$U,'Existing Customers'!$H:$H,$GI29,'Existing Customers'!$A:$A,$GJ$1),HA29*GJ29),0)</f>
        <v>0</v>
      </c>
      <c r="GR29" s="1068" t="e">
        <f>_xlfn.CONCAT('Customer Inputs'!$AG$12,"_",GI29)</f>
        <v>#N/A</v>
      </c>
      <c r="GS29" s="1068">
        <f t="array" ref="GS29">IFERROR(INDEX('Margin Guidence Table'!$A$1:$AD$30000,MATCH(1,('Margin Guidence Table'!$A$1:$A$10000=GR29)*('Margin Guidence Table'!$I$1:$I$10000&lt;=ROUND($GJ$3,0))*('Margin Guidence Table'!$J$1:$J$10000&gt;=ROUND($GJ$3,0)),0),MATCH("DATA_POINTS",'Margin Guidence Table'!$A$1:$AG$1,0)),0)</f>
        <v>0</v>
      </c>
      <c r="GT29" s="1065" t="str">
        <f t="shared" si="39"/>
        <v>DEFAULT</v>
      </c>
      <c r="GU29" s="1065">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65">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69">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69">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69">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69">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69">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69">
        <f t="array" ref="HB29">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8"/>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72" t="e">
        <f t="shared" si="40"/>
        <v>#DIV/0!</v>
      </c>
      <c r="HF29" s="101" t="s">
        <v>90</v>
      </c>
      <c r="HG29" s="93">
        <f>IFERROR(IF(AND($HG$2&lt;&gt;"Enter Spend&gt;&gt;&gt;",HH17="EXISTING"),SUMIFS('Existing Customers'!$Q:$Q,'Existing Customers'!$A:$A,$HG$1,'Existing Customers'!$H:$H,$HF29)*$HG$4,$HG$3*$HE29),0)</f>
        <v>0</v>
      </c>
      <c r="HH29" s="88">
        <f>IFERROR(IF(AND($HG$2&lt;&gt;"Enter Spend&gt;&gt;&gt;",HH2="EXISTING"),SUMIFS('Existing Customers'!$N:$N,'Existing Customers'!$A:$A,$HG$1,'Existing Customers'!$H:$H,$HF29)*$HG$4,$HG29/$HR29),0)</f>
        <v>0</v>
      </c>
      <c r="HI29" s="94">
        <f>IFERROR(IF(AND($HG$2&lt;&gt;"Enter Spend&gt;&gt;&gt;",HH2="EXISTING"),SUMIFS('Existing Customers'!$O:$O,'Existing Customers'!$H:$H,$HF29,'Existing Customers'!$A:$A,$HG$1)*$HG$4,$HH29*$HG$8),0)</f>
        <v>0</v>
      </c>
      <c r="HJ29" s="94">
        <f>IFERROR(IF(AND($HG$2&lt;&gt;"Enter Spend&gt;&gt;&gt;",HH2="EXISTING"),SUMIFS('Existing Customers'!$P:$P,'Existing Customers'!$A:$A,$HG$1,'Existing Customers'!$H:$H,$HF29)*$HG$4,$HG29/$HS29),0)</f>
        <v>0</v>
      </c>
      <c r="HK29" s="95">
        <f>IFERROR(IF(AND($HG$2&lt;&gt;"Enter Spend&gt;&gt;&gt;",HH2="EXISTING"),SUMIFS('Existing Customers'!$V:$V,'Existing Customers'!$H:$H,$HF29,'Existing Customers'!$A:$A,$HG$1)*$HG$4,0),0)</f>
        <v>0</v>
      </c>
      <c r="HL29" s="95">
        <f>IFERROR(IF(AND($HG$2&lt;&gt;"Enter Spend&gt;&gt;&gt;",HH2="EXISTING"),SUMIFS('Existing Customers'!$R:$R,'Existing Customers'!$H:$H,$HF29,'Existing Customers'!$A:$A,$HG$1)*$HG$4,0),0)</f>
        <v>0</v>
      </c>
      <c r="HM29" s="1065">
        <f>IFERROR(IF(AND($HG$2&lt;&gt;"Enter Spend&gt;&gt;&gt;",HH2="EXISTING"),SUMIFS('Existing Customers'!$S:$S,'Existing Customers'!$H:$H,$HF29,'Existing Customers'!$A:$A,$HG$1),HW29*HG29),0)</f>
        <v>0</v>
      </c>
      <c r="HN29" s="1065">
        <f>IFERROR(IF(AND($HG$2&lt;&gt;"Enter Spend&gt;&gt;&gt;",HH2="EXISTING"),SUMIFS('Existing Customers'!$U:$U,'Existing Customers'!$H:$H,$HF29,'Existing Customers'!$A:$A,$HG$1),HX29*HG29),0)</f>
        <v>0</v>
      </c>
      <c r="HO29" s="1068" t="e">
        <f>_xlfn.CONCAT('Customer Inputs'!$AG$13,"_",HF29)</f>
        <v>#N/A</v>
      </c>
      <c r="HP29" s="1068">
        <f t="array" ref="HP29">IFERROR(INDEX('Margin Guidence Table'!$A$1:$AD$30000,MATCH(1,('Margin Guidence Table'!$A$1:$A$10000=HO29)*('Margin Guidence Table'!$I$1:$I$10000&lt;=ROUND($HG$3,0))*('Margin Guidence Table'!$J$1:$J$10000&gt;=ROUND($HG$3,0)),0),MATCH("DATA_POINTS",'Margin Guidence Table'!$A$1:$AG$1,0)),0)</f>
        <v>0</v>
      </c>
      <c r="HQ29" s="1065" t="str">
        <f t="shared" si="41"/>
        <v>DEFAULT</v>
      </c>
      <c r="HR29" s="1065">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65">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69">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69">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69">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69">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69">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69">
        <f t="array" ref="HY29">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8"/>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72" t="e">
        <f t="shared" si="42"/>
        <v>#DIV/0!</v>
      </c>
      <c r="IC29" s="101" t="s">
        <v>90</v>
      </c>
      <c r="ID29" s="93">
        <f>IFERROR(IF(AND($ID$2&lt;&gt;"Enter Spend&gt;&gt;&gt;",IE17="EXISTING"),SUMIFS('Existing Customers'!$Q:$Q,'Existing Customers'!$A:$A,$ID$1,'Existing Customers'!$H:$H,$IC29)*$ID$4,$ID$3*$IB29),0)</f>
        <v>0</v>
      </c>
      <c r="IE29" s="88">
        <f>IFERROR(IF(AND($ID$2&lt;&gt;"Enter Spend&gt;&gt;&gt;",IE2="EXISTING"),SUMIFS('Existing Customers'!$N:$N,'Existing Customers'!$A:$A,$ID$1,'Existing Customers'!$H:$H,$IC29)*$ID$4,$ID29/$IO29),0)</f>
        <v>0</v>
      </c>
      <c r="IF29" s="94">
        <f>IFERROR(IF(AND($ID$2&lt;&gt;"Enter Spend&gt;&gt;&gt;",IE2="EXISTING"),SUMIFS('Existing Customers'!$O:$O,'Existing Customers'!$H:$H,$IC29,'Existing Customers'!$A:$A,$ID$1)*$ID$4,$IE29*$ID$8),0)</f>
        <v>0</v>
      </c>
      <c r="IG29" s="94">
        <f>IFERROR(IF(AND($ID$2&lt;&gt;"Enter Spend&gt;&gt;&gt;",IE2="EXISTING"),SUMIFS('Existing Customers'!$P:$P,'Existing Customers'!$A:$A,$ID$1,'Existing Customers'!$H:$H,$IC29)*$ID$4,$ID29/$IP29),0)</f>
        <v>0</v>
      </c>
      <c r="IH29" s="378">
        <f>IFERROR(IF(AND($ID$2&lt;&gt;"Enter Spend&gt;&gt;&gt;",IE2="EXISTING"),SUMIFS('Existing Customers'!$V:$V,'Existing Customers'!$H:$H,$IC29,'Existing Customers'!$A:$A,$ID$1)*$ID$4,0),0)</f>
        <v>0</v>
      </c>
      <c r="II29" s="95">
        <f>IFERROR(IF(AND($ID$2&lt;&gt;"Enter Spend&gt;&gt;&gt;",IE2="EXISTING"),SUMIFS('Existing Customers'!$R:$R,'Existing Customers'!$H:$H,$IC29,'Existing Customers'!$A:$A,$ID$1)*$ID$4,0),0)</f>
        <v>0</v>
      </c>
      <c r="IJ29" s="1065">
        <f>IFERROR(IF(AND($ID$2&lt;&gt;"Enter Spend&gt;&gt;&gt;",IE2="EXISTING"),SUMIFS('Existing Customers'!$S:$S,'Existing Customers'!$H:$H,$IC29,'Existing Customers'!$A:$A,$ID$1),IT29*ID29),0)</f>
        <v>0</v>
      </c>
      <c r="IK29" s="1065">
        <f>IFERROR(IF(AND($ID$2&lt;&gt;"Enter Spend&gt;&gt;&gt;",IE2="EXISTING"),SUMIFS('Existing Customers'!$U:$U,'Existing Customers'!$H:$H,$IC29,'Existing Customers'!$A:$A,$ID$1),IU29*ID29),0)</f>
        <v>0</v>
      </c>
      <c r="IL29" s="1068" t="e">
        <f>_xlfn.CONCAT('Customer Inputs'!$AG$14,"_",IC29)</f>
        <v>#N/A</v>
      </c>
      <c r="IM29" s="1068">
        <f t="array" ref="IM29">IFERROR(INDEX('Margin Guidence Table'!$A$1:$AD$30000,MATCH(1,('Margin Guidence Table'!$A$1:$A$10000=IL29)*('Margin Guidence Table'!$I$1:$I$10000&lt;=ROUND($ID$3,0))*('Margin Guidence Table'!$J$1:$J$10000&gt;=ROUND($ID$3,0)),0),MATCH("DATA_POINTS",'Margin Guidence Table'!$A$1:$AG$1,0)),0)</f>
        <v>0</v>
      </c>
      <c r="IN29" s="1065" t="str">
        <f t="shared" si="43"/>
        <v>DEFAULT</v>
      </c>
      <c r="IO29" s="1065">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65">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69">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69">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69">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69">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69">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69">
        <f t="array" ref="IV29">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8"/>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72" t="e">
        <f t="shared" si="44"/>
        <v>#DIV/0!</v>
      </c>
      <c r="IZ29" s="101" t="s">
        <v>90</v>
      </c>
      <c r="JA29" s="93">
        <f>IFERROR(IF(AND($JA$2&lt;&gt;"Enter Spend&gt;&gt;&gt;",JB17="EXISTING"),SUMIFS('Existing Customers'!$Q:$Q,'Existing Customers'!$A:$A,$JA$1,'Existing Customers'!$H:$H,$IZ29)*$JA$4,$JA$3*$IY29),0)</f>
        <v>0</v>
      </c>
      <c r="JB29" s="88">
        <f>IFERROR(IF(AND($JA$2&lt;&gt;"Enter Spend&gt;&gt;&gt;",JB2="EXISTING"),SUMIFS('Existing Customers'!$N:$N,'Existing Customers'!$A:$A,$JA$1,'Existing Customers'!$H:$H,$IZ29)*$JA$4,$JA29/$JL29),0)</f>
        <v>0</v>
      </c>
      <c r="JC29" s="94">
        <f>IFERROR(IF(AND($JA$2&lt;&gt;"Enter Spend&gt;&gt;&gt;",JB2="EXISTING"),SUMIFS('Existing Customers'!$O:$O,'Existing Customers'!$H:$H,$IZ29,'Existing Customers'!$A:$A,$JA$1)*$JA$4,$JB29*$JA$8),0)</f>
        <v>0</v>
      </c>
      <c r="JD29" s="94">
        <f>IFERROR(IF(AND($JA$2&lt;&gt;"Enter Spend&gt;&gt;&gt;",JB2="EXISTING"),SUMIFS('Existing Customers'!$P:$P,'Existing Customers'!$A:$A,$JA$1,'Existing Customers'!$H:$H,$IZ29)*$JA$4,$JA29/$JM29),0)</f>
        <v>0</v>
      </c>
      <c r="JE29" s="378">
        <f>IFERROR(IF(AND($JA$2&lt;&gt;"Enter Spend&gt;&gt;&gt;",JB2="EXISTING"),SUMIFS('Existing Customers'!$V:$V,'Existing Customers'!$H:$H,$IZ29,'Existing Customers'!$A:$A,$JA$1)*$JA$4,0),0)</f>
        <v>0</v>
      </c>
      <c r="JF29" s="95">
        <f>IFERROR(IF(AND($JA$2&lt;&gt;"Enter Spend&gt;&gt;&gt;",JB2="EXISTING"),SUMIFS('Existing Customers'!$R:$R,'Existing Customers'!$H:$H,$IZ29,'Existing Customers'!$A:$A,$JA$1)*$JA$4,0),0)</f>
        <v>0</v>
      </c>
      <c r="JG29" s="1065">
        <f>IFERROR(IF(AND($JA$2&lt;&gt;"Enter Spend&gt;&gt;&gt;",JB2="EXISTING"),SUMIFS('Existing Customers'!$S:$S,'Existing Customers'!$H:$H,$IZ29,'Existing Customers'!$A:$A,$JA$1),JQ29*JA29),0)</f>
        <v>0</v>
      </c>
      <c r="JH29" s="1065">
        <f>IFERROR(IF(AND($JA$2&lt;&gt;"Enter Spend&gt;&gt;&gt;",JB2="EXISTING"),SUMIFS('Existing Customers'!$U:$U,'Existing Customers'!$H:$H,$IZ29,'Existing Customers'!$A:$A,$JA$1),JR29*JA29),0)</f>
        <v>0</v>
      </c>
      <c r="JI29" s="1068" t="e">
        <f>_xlfn.CONCAT('Customer Inputs'!$AG$15,"_",IZ29)</f>
        <v>#N/A</v>
      </c>
      <c r="JJ29" s="1068">
        <f t="array" ref="JJ29">IFERROR(INDEX('Margin Guidence Table'!$A$1:$AD$30000,MATCH(1,('Margin Guidence Table'!$A$1:$A$10000=JI29)*('Margin Guidence Table'!$I$1:$I$10000&lt;=ROUND($JA$3,0))*('Margin Guidence Table'!$J$1:$J$10000&gt;=ROUND($JA$3,0)),0),MATCH("DATA_POINTS",'Margin Guidence Table'!$A$1:$AG$1,0)),0)</f>
        <v>0</v>
      </c>
      <c r="JK29" s="1065" t="str">
        <f t="shared" si="45"/>
        <v>DEFAULT</v>
      </c>
      <c r="JL29" s="1065">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65">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69">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69">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69">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69">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69">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69">
        <f t="array" ref="JS29">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101" t="s">
        <v>90</v>
      </c>
      <c r="JV29" s="96"/>
      <c r="JW29" s="88"/>
      <c r="JX29" s="88"/>
      <c r="JY29" s="88"/>
      <c r="JZ29" s="113"/>
      <c r="KA29" s="97"/>
      <c r="KB29" s="128"/>
      <c r="KD29" s="101" t="s">
        <v>90</v>
      </c>
      <c r="KE29" s="96"/>
      <c r="KF29" s="88"/>
      <c r="KG29" s="88"/>
      <c r="KH29" s="88"/>
      <c r="KI29" s="113"/>
      <c r="KJ29" s="97"/>
    </row>
    <row r="30" spans="2:296" ht="15.75" thickBot="1" x14ac:dyDescent="0.3">
      <c r="B30" s="101" t="s">
        <v>89</v>
      </c>
      <c r="C30" s="451">
        <f t="shared" si="11"/>
        <v>0</v>
      </c>
      <c r="D30" s="467">
        <f t="shared" si="12"/>
        <v>0</v>
      </c>
      <c r="E30" s="467">
        <f t="shared" si="13"/>
        <v>0</v>
      </c>
      <c r="F30" s="467">
        <f t="shared" si="14"/>
        <v>0</v>
      </c>
      <c r="G30" s="468">
        <f t="shared" si="15"/>
        <v>0</v>
      </c>
      <c r="H30" s="467">
        <f t="shared" si="16"/>
        <v>0</v>
      </c>
      <c r="I30" s="1061" t="e">
        <f t="shared" si="0"/>
        <v>#DIV/0!</v>
      </c>
      <c r="J30" s="1061" t="e">
        <f t="shared" si="1"/>
        <v>#DIV/0!</v>
      </c>
      <c r="K30" s="1061" t="e">
        <f t="shared" si="2"/>
        <v>#DIV/0!</v>
      </c>
      <c r="L30" s="467" t="e">
        <f t="shared" si="3"/>
        <v>#DIV/0!</v>
      </c>
      <c r="M30" s="467" t="e">
        <f t="shared" si="17"/>
        <v>#DIV/0!</v>
      </c>
      <c r="N30" s="1062" t="e">
        <f t="shared" si="4"/>
        <v>#DIV/0!</v>
      </c>
      <c r="P30" t="str">
        <f>'PIM Model'!E26</f>
        <v>INCLUDE</v>
      </c>
      <c r="Q30">
        <f t="shared" si="18"/>
        <v>0</v>
      </c>
      <c r="R30">
        <f t="shared" si="19"/>
        <v>0</v>
      </c>
      <c r="S30" s="101" t="s">
        <v>89</v>
      </c>
      <c r="T30" s="96">
        <f t="shared" si="20"/>
        <v>0</v>
      </c>
      <c r="U30" s="88">
        <f t="shared" si="5"/>
        <v>0</v>
      </c>
      <c r="V30" s="88">
        <f t="shared" si="6"/>
        <v>0</v>
      </c>
      <c r="W30" s="88">
        <f t="shared" si="7"/>
        <v>0</v>
      </c>
      <c r="X30" s="113">
        <f t="shared" si="8"/>
        <v>0</v>
      </c>
      <c r="Y30" s="116">
        <f t="shared" si="21"/>
        <v>0</v>
      </c>
      <c r="Z30" s="376"/>
      <c r="AA30" s="101" t="s">
        <v>89</v>
      </c>
      <c r="AB30" s="455">
        <f t="shared" si="9"/>
        <v>0</v>
      </c>
      <c r="AC30" s="456">
        <f t="shared" si="9"/>
        <v>0</v>
      </c>
      <c r="AD30" s="456">
        <f t="shared" si="9"/>
        <v>0</v>
      </c>
      <c r="AE30" s="457">
        <f t="shared" si="22"/>
        <v>0</v>
      </c>
      <c r="AF30" s="458">
        <f t="shared" si="23"/>
        <v>0</v>
      </c>
      <c r="AG30" s="376"/>
      <c r="AH30" s="101" t="s">
        <v>89</v>
      </c>
      <c r="AI30" s="455">
        <f t="shared" si="10"/>
        <v>0</v>
      </c>
      <c r="AJ30" s="452">
        <f t="shared" si="24"/>
        <v>0</v>
      </c>
      <c r="AK30" s="458"/>
      <c r="AL30" s="376"/>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76">
        <f>VLOOKUP($AH30&amp;$AM30,'IMargin Quartiles'!$A:$F,6,FALSE)</f>
        <v>0.17</v>
      </c>
      <c r="AO30" s="376"/>
      <c r="AP30"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Q30" s="376" t="e">
        <f t="shared" si="25"/>
        <v>#DIV/0!</v>
      </c>
      <c r="AR30">
        <f>'PIM Model'!C26</f>
        <v>0</v>
      </c>
      <c r="AS30" s="376"/>
      <c r="AT30" s="376"/>
      <c r="AU30" s="376" t="e">
        <f t="shared" si="46"/>
        <v>#DIV/0!</v>
      </c>
      <c r="AV30" s="376"/>
      <c r="AW30" s="376"/>
      <c r="AX30" s="107">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72" t="e">
        <f t="shared" si="26"/>
        <v>#DIV/0!</v>
      </c>
      <c r="BA30" s="101" t="s">
        <v>89</v>
      </c>
      <c r="BB30" s="93">
        <f>IFERROR(IF(AND($BB$2&lt;&gt;"Enter Spend&gt;&gt;&gt;",BC18="EXISTING"),SUMIFS('Existing Customers'!$Q:$Q,'Existing Customers'!$A:$A,$BB$1,'Existing Customers'!$H:$H,$BA30)*$BB$4,$BB$3*$AZ30),0)</f>
        <v>0</v>
      </c>
      <c r="BC30" s="94">
        <f>IFERROR(IF(AND($BB$2&lt;&gt;"Enter Spend&gt;&gt;&gt;",BC2="EXISTING"),SUMIFS('Existing Customers'!$N:$N,'Existing Customers'!$A:$A,$BB$1,'Existing Customers'!$H:$H,$BA30)*$BB$4,$BB30/$BM30),0)</f>
        <v>0</v>
      </c>
      <c r="BD30" s="94">
        <f>IFERROR(IF(AND($BB$2&lt;&gt;"Enter Spend&gt;&gt;&gt;",BC2="EXISTING"),SUMIFS('Existing Customers'!$O:$O,'Existing Customers'!$H:$H,$BA30,'Existing Customers'!$A:$A,$BB$1)*$BB$4,$BC30*$BB$8),0)</f>
        <v>0</v>
      </c>
      <c r="BE30" s="94">
        <f>IFERROR(IF(AND($BB$2&lt;&gt;"Enter Spend&gt;&gt;&gt;",BC2="EXISTING"),SUMIFS('Existing Customers'!$P:$P,'Existing Customers'!$A:$A,$BB$1,'Existing Customers'!$H:$H,$BA30)*$BB$4,$BB30/$BN30),0)</f>
        <v>0</v>
      </c>
      <c r="BF30" s="378">
        <f>IFERROR(IF(AND($BB$2&lt;&gt;"Enter Spend&gt;&gt;&gt;",BC2="EXISTING"),SUMIFS('Existing Customers'!$V:$V,'Existing Customers'!$H:$H,$BA30,'Existing Customers'!$A:$A,$BB$1)*$BB$4,0),0)</f>
        <v>0</v>
      </c>
      <c r="BG30" s="95">
        <f>IFERROR(IF(AND($BB$2&lt;&gt;"Enter Spend&gt;&gt;&gt;",BC2="EXISTING"),SUMIFS('Existing Customers'!$R:$R,'Existing Customers'!$H:$H,$BA30,'Existing Customers'!$A:$A,$BB$1)*$BB$4,0),0)</f>
        <v>0</v>
      </c>
      <c r="BH30" s="95">
        <f>IFERROR(IF(AND($BB$2&lt;&gt;"Enter Spend&gt;&gt;&gt;",BC2="EXISTING"),SUMIFS('Existing Customers'!$S:$S,'Existing Customers'!$H:$H,$BA30,'Existing Customers'!$A:$A,$BB$1),BR30*BB30),0)</f>
        <v>0</v>
      </c>
      <c r="BI30" s="95">
        <f>IFERROR(IF(AND($BB$2&lt;&gt;"Enter Spend&gt;&gt;&gt;",BC2="EXISTING"),SUMIFS('Existing Customers'!$U:$U,'Existing Customers'!$H:$H,$BA30,'Existing Customers'!$A:$A,$BB$1),BS30*BB30),0)</f>
        <v>0</v>
      </c>
      <c r="BJ30" s="1067" t="e">
        <f>_xlfn.CONCAT('Customer Inputs'!$AG$6,"_",BA30)</f>
        <v>#N/A</v>
      </c>
      <c r="BK30" s="1068">
        <f t="array" ref="BK30">IFERROR(INDEX('Margin Guidence Table'!$A$1:$AD$30000,MATCH(1,('Margin Guidence Table'!$A$1:$A$10000=$BJ30)*('Margin Guidence Table'!$I$1:$I$10000&lt;=ROUND($BB$3,0))*('Margin Guidence Table'!$J$1:$J$10000&gt;=ROUND($BB$3,0)),0),MATCH("DATA_POINTS",'Margin Guidence Table'!$A$1:$AG$1,0)),0)</f>
        <v>0</v>
      </c>
      <c r="BL30" s="1065" t="str">
        <f t="shared" si="27"/>
        <v>DEFAULT</v>
      </c>
      <c r="BM30" s="1065">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65">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69">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69">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69">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69">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69">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69">
        <f t="array" ref="BT3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8"/>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72" t="e">
        <f t="shared" si="28"/>
        <v>#DIV/0!</v>
      </c>
      <c r="BX30" s="101" t="s">
        <v>89</v>
      </c>
      <c r="BY30" s="93">
        <f>IFERROR(IF(AND($BY$2&lt;&gt;"Enter Spend&gt;&gt;&gt;",BZ18="EXISTING"),SUMIFS('Existing Customers'!$Q:$Q,'Existing Customers'!$A:$A,$BY$1,'Existing Customers'!$H:$H,$BX30)*$BY$4,$BY$3*$BW30),0)</f>
        <v>0</v>
      </c>
      <c r="BZ30" s="88">
        <f>IFERROR(IF(AND($BY$2&lt;&gt;"Enter Spend&gt;&gt;&gt;",BZ2="EXISTING"),SUMIFS('Existing Customers'!$N:$N,'Existing Customers'!$A:$A,$BY$1,'Existing Customers'!$H:$H,$BX30)*$BY$4,$BY30/$CJ30),0)</f>
        <v>0</v>
      </c>
      <c r="CA30" s="94">
        <f>IFERROR(IF(AND($BY$2&lt;&gt;"Enter Spend&gt;&gt;&gt;",BZ2="EXISTING"),SUMIFS('Existing Customers'!$O:$O,'Existing Customers'!$H:$H,$BX30,'Existing Customers'!$A:$A,$BY$1)*$BY$4,$BZ30*$BY$8),0)</f>
        <v>0</v>
      </c>
      <c r="CB30" s="94">
        <f>IFERROR(IF(AND($BY$2&lt;&gt;"Enter Spend&gt;&gt;&gt;",BZ2="EXISTING"),SUMIFS('Existing Customers'!$P:$P,'Existing Customers'!$A:$A,$BY$1,'Existing Customers'!$H:$H,$BX30)*$BY$4,$BY30/$CK30),0)</f>
        <v>0</v>
      </c>
      <c r="CC30" s="95">
        <f>IFERROR(IF(AND($BY$2&lt;&gt;"Enter Spend&gt;&gt;&gt;",BZ2="EXISTING"),SUMIFS('Existing Customers'!$V:$V,'Existing Customers'!$H:$H,$BX30,'Existing Customers'!$A:$A,$BY$1)*$BY$4,0),0)</f>
        <v>0</v>
      </c>
      <c r="CD30" s="95">
        <f>IFERROR(IF(AND($BY$2&lt;&gt;"Enter Spend&gt;&gt;&gt;",BZ2="EXISTING"),SUMIFS('Existing Customers'!$R:$R,'Existing Customers'!$H:$H,$BX30,'Existing Customers'!$A:$A,$BY$1)*$BY$4,0),0)</f>
        <v>0</v>
      </c>
      <c r="CE30" s="1065">
        <f>IFERROR(IF(AND($BY$2&lt;&gt;"Enter Spend&gt;&gt;&gt;",BZ2="EXISTING"),SUMIFS('Existing Customers'!$S:$S,'Existing Customers'!$H:$H,$BX30,'Existing Customers'!$A:$A,$BY$1),CO30*BY30),0)</f>
        <v>0</v>
      </c>
      <c r="CF30" s="1065">
        <f>IFERROR(IF(AND($BY$2&lt;&gt;"Enter Spend&gt;&gt;&gt;",BZ2="EXISTING"),SUMIFS('Existing Customers'!$U:$U,'Existing Customers'!$H:$H,$BX30,'Existing Customers'!$A:$A,$BY$1),CP30*BY30),0)</f>
        <v>0</v>
      </c>
      <c r="CG30" s="1068" t="e">
        <f>_xlfn.CONCAT('Customer Inputs'!$AG$7,"_",BX30)</f>
        <v>#N/A</v>
      </c>
      <c r="CH30" s="1068">
        <f t="array" ref="CH30">IFERROR(INDEX('Margin Guidence Table'!$A$1:$AD$30000,MATCH(1,('Margin Guidence Table'!$A$1:$A$10000=$CG30)*('Margin Guidence Table'!$I$1:$I$10000&lt;=ROUND($BY$3,0))*('Margin Guidence Table'!$J$1:$J$10000&gt;=ROUND($BY$3,0)),0),MATCH("DATA_POINTS",'Margin Guidence Table'!$A$1:$AG$1,0)),0)</f>
        <v>0</v>
      </c>
      <c r="CI30" s="1065" t="str">
        <f t="shared" si="29"/>
        <v>DEFAULT</v>
      </c>
      <c r="CJ30" s="1065">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65">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69">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69">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69">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69">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69">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69">
        <f t="array" ref="CQ3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8"/>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72" t="e">
        <f t="shared" si="30"/>
        <v>#DIV/0!</v>
      </c>
      <c r="CU30" s="101" t="s">
        <v>89</v>
      </c>
      <c r="CV30" s="93">
        <f>IFERROR(IF(AND($CV$2&lt;&gt;"Enter Spend&gt;&gt;&gt;",CW18="EXISTING"),SUMIFS('Existing Customers'!$Q:$Q,'Existing Customers'!$A:$A,$CV$1,'Existing Customers'!$H:$H,$CU30)*$CV$4,$CV$3*$CT30),0)</f>
        <v>0</v>
      </c>
      <c r="CW30" s="88">
        <f>IFERROR(IF(AND($CV$2&lt;&gt;"Enter Spend&gt;&gt;&gt;",CW2="EXISTING"),SUMIFS('Existing Customers'!$N:$N,'Existing Customers'!$A:$A,$CV$1,'Existing Customers'!$H:$H,$CU30)*$CV$4,$CV30/$DG30),0)</f>
        <v>0</v>
      </c>
      <c r="CX30" s="94">
        <f>IFERROR(IF(AND($CV$2&lt;&gt;"Enter Spend&gt;&gt;&gt;",BC28="EXISTING"),SUMIFS('Existing Customers'!$O:$O,'Existing Customers'!$H:$H,$CU30,'Existing Customers'!$A:$A,$CV$1)*$CV$4,$CW30*$CV$8),0)</f>
        <v>0</v>
      </c>
      <c r="CY30" s="94">
        <f>IFERROR(IF(AND($CV$2&lt;&gt;"Enter Spend&gt;&gt;&gt;",CW2="EXISTING"),SUMIFS('Existing Customers'!$P:$P,'Existing Customers'!$A:$A,$CV$1,'Existing Customers'!$H:$H,$CU30)*$CV$4,$CV30/$DH30),0)</f>
        <v>0</v>
      </c>
      <c r="CZ30" s="95">
        <f>IFERROR(IF(AND($CV$2&lt;&gt;"Enter Spend&gt;&gt;&gt;",CW2="EXISTING"),SUMIFS('Existing Customers'!$V:$V,'Existing Customers'!$H:$H,$CU30,'Existing Customers'!$A:$A,$CV$1)*$CV$4,0),0)</f>
        <v>0</v>
      </c>
      <c r="DA30" s="95">
        <f>IFERROR(IF(AND($CV$2&lt;&gt;"Enter Spend&gt;&gt;&gt;",CW2="EXISTING"),SUMIFS('Existing Customers'!$R:$R,'Existing Customers'!$H:$H,$BA30,'Existing Customers'!$A:$A,$CV$1)*$CV$4,0),0)</f>
        <v>0</v>
      </c>
      <c r="DB30" s="1065">
        <f>IFERROR(IF(AND($CV$2&lt;&gt;"Enter Spend&gt;&gt;&gt;",CW2="EXISTING"),SUMIFS('Existing Customers'!$S:$S,'Existing Customers'!$H:$H,$CU30,'Existing Customers'!$A:$A,$CV$1),DL30*CV30),0)</f>
        <v>0</v>
      </c>
      <c r="DC30" s="1065">
        <f>IFERROR(IF(AND($CV$2&lt;&gt;"Enter Spend&gt;&gt;&gt;",CW2="EXISTING"),SUMIFS('Existing Customers'!$U:$U,'Existing Customers'!$H:$H,$CU30,'Existing Customers'!$A:$A,$CV$1),DM30*CV30),0)</f>
        <v>0</v>
      </c>
      <c r="DD30" s="1068" t="e">
        <f>_xlfn.CONCAT('Customer Inputs'!$AG$8,"_",CU30)</f>
        <v>#N/A</v>
      </c>
      <c r="DE30" s="1068">
        <f t="array" ref="DE30">IFERROR(INDEX('Margin Guidence Table'!$A$1:$AD$30000,MATCH(1,('Margin Guidence Table'!$A$1:$A$10000=DD30)*('Margin Guidence Table'!$I$1:$I$10000&lt;=ROUND($CV$3,0))*('Margin Guidence Table'!$J$1:$J$10000&gt;=ROUND($CV$3,0)),0),MATCH("DATA_POINTS",'Margin Guidence Table'!$A$1:$AG$1,0)),0)</f>
        <v>0</v>
      </c>
      <c r="DF30" s="1065" t="str">
        <f t="shared" si="31"/>
        <v>DEFAULT</v>
      </c>
      <c r="DG30" s="1065">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65">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69">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69">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69">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69">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69">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69">
        <f t="array" ref="DN3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8"/>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72" t="e">
        <f t="shared" si="32"/>
        <v>#DIV/0!</v>
      </c>
      <c r="DR30" s="101" t="s">
        <v>89</v>
      </c>
      <c r="DS30" s="93">
        <f>IFERROR(IF(AND($DS$2&lt;&gt;"Enter Spend&gt;&gt;&gt;",DT18="EXISTING"),SUMIFS('Existing Customers'!$Q:$Q,'Existing Customers'!$A:$A,$DS$1,'Existing Customers'!$H:$H,$DR30)*$DS$4,$DS$3*$DQ30),0)</f>
        <v>0</v>
      </c>
      <c r="DT30" s="88">
        <f>IFERROR(IF(AND($DS$2&lt;&gt;"Enter Spend&gt;&gt;&gt;",DT2="EXISTING"),SUMIFS('Existing Customers'!$N:$N,'Existing Customers'!$A:$A,$DS$1,'Existing Customers'!$H:$H,$DR30)*$DS$4,$DS30/$ED30),0)</f>
        <v>0</v>
      </c>
      <c r="DU30" s="94">
        <f>IFERROR(IF(AND($DS$2&lt;&gt;"Enter Spend&gt;&gt;&gt;",DT2="EXISTING"),SUMIFS('Existing Customers'!$O:$O,'Existing Customers'!$H:$H,$DR30,'Existing Customers'!$A:$A,$DS$1)*$DS$4,$DT30*$DS$8),0)</f>
        <v>0</v>
      </c>
      <c r="DV30" s="94">
        <f>IFERROR(IF(AND($DS$2&lt;&gt;"Enter Spend&gt;&gt;&gt;",DT2="EXISTING"),SUMIFS('Existing Customers'!$P:$P,'Existing Customers'!$A:$A,$DS$1,'Existing Customers'!$H:$H,$DR30)*$DS$4,$DS30/$EE30),0)</f>
        <v>0</v>
      </c>
      <c r="DW30" s="95">
        <f>IFERROR(IF(AND($DS$2&lt;&gt;"Enter Spend&gt;&gt;&gt;",EQ2="EXISTING"),SUMIFS('Existing Customers'!$V:$V,'Existing Customers'!$H:$H,$DR30,'Existing Customers'!$A:$A,$DS$1)*$DS$4,0),0)</f>
        <v>0</v>
      </c>
      <c r="DX30" s="95">
        <f>IFERROR(IF(AND($DS$2&lt;&gt;"Enter Spend&gt;&gt;&gt;",DT2="EXISTING"),SUMIFS('Existing Customers'!$R:$R,'Existing Customers'!$H:$H,$DR30,'Existing Customers'!$A:$A,$DS$1)*$DS$4,0),0)</f>
        <v>0</v>
      </c>
      <c r="DY30" s="1065">
        <f>IFERROR(IF(AND($DS$2&lt;&gt;"Enter Spend&gt;&gt;&gt;",DT2="EXISTING"),SUMIFS('Existing Customers'!$S:$S,'Existing Customers'!$H:$H,$DT30,'Existing Customers'!$A:$A,$DS$1),EI30*DS30),0)</f>
        <v>0</v>
      </c>
      <c r="DZ30" s="1065">
        <f>IFERROR(IF(AND($DS$2&lt;&gt;"Enter Spend&gt;&gt;&gt;",DT2="EXISTING"),SUMIFS('Existing Customers'!$U:$U,'Existing Customers'!$H:$H,$DR30,'Existing Customers'!$A:$A,$DS$1),EJ30*DS30),0)</f>
        <v>0</v>
      </c>
      <c r="EA30" s="1068" t="e">
        <f>_xlfn.CONCAT('Customer Inputs'!$AG$9,"_",DR30)</f>
        <v>#N/A</v>
      </c>
      <c r="EB30" s="1068">
        <f t="array" ref="EB30">IFERROR(INDEX('Margin Guidence Table'!$A$1:$AD$30000,MATCH(1,('Margin Guidence Table'!$A$1:$A$10000=EA30)*('Margin Guidence Table'!$I$1:$I$10000&lt;=ROUND($DS$3,0))*('Margin Guidence Table'!$J$1:$J$10000&gt;=ROUND($DS$3,0)),0),MATCH("DATA_POINTS",'Margin Guidence Table'!$A$1:$AG$1,0)),0)</f>
        <v>0</v>
      </c>
      <c r="EC30" s="1065" t="str">
        <f t="shared" si="33"/>
        <v>DEFAULT</v>
      </c>
      <c r="ED30" s="1065">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65">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69">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69">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69">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69">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69">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69">
        <f t="array" ref="EK3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8"/>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72" t="e">
        <f t="shared" si="34"/>
        <v>#DIV/0!</v>
      </c>
      <c r="EO30" s="101" t="s">
        <v>89</v>
      </c>
      <c r="EP30" s="93">
        <f>IFERROR(IF(AND($EP$2&lt;&gt;"Enter Spend&gt;&gt;&gt;",EQ18="EXISTING"),SUMIFS('Existing Customers'!$Q:$Q,'Existing Customers'!$A:$A,$EP$1,'Existing Customers'!$H:$H,$EO30)*$EP$4,$EP$3*$EN30),0)</f>
        <v>0</v>
      </c>
      <c r="EQ30" s="88">
        <f>IFERROR(IF(AND($EP$2&lt;&gt;"Enter Spend&gt;&gt;&gt;",EQ2="EXISTING"),SUMIFS('Existing Customers'!$N:$N,'Existing Customers'!$A:$A,$EP$1,'Existing Customers'!$H:$H,$EO30)*$EP$4,$EP30/$FA30),0)</f>
        <v>0</v>
      </c>
      <c r="ER30" s="94">
        <f>IFERROR(IF(AND($EP$2&lt;&gt;"Enter Spend&gt;&gt;&gt;",EQ2="EXISTING"),SUMIFS('Existing Customers'!$O:$O,'Existing Customers'!$H:$H,$EO30,'Existing Customers'!$A:$A,$EP$1)*$EP$4,$EQ30*$EP$8),0)</f>
        <v>0</v>
      </c>
      <c r="ES30" s="94">
        <f>IFERROR(IF(AND($EP$2&lt;&gt;"Enter Spend&gt;&gt;&gt;",EQ2="EXISTING"),SUMIFS('Existing Customers'!$P:$P,'Existing Customers'!$A:$A,$EP$1,'Existing Customers'!$H:$H,$EO30)*$EP$4,$EP30/$FB30),0)</f>
        <v>0</v>
      </c>
      <c r="ET30" s="95">
        <f>IFERROR(IF(AND($EP$2&lt;&gt;"Enter Spend&gt;&gt;&gt;",EQ2="EXISTING"),SUMIFS('Existing Customers'!$V:$V,'Existing Customers'!$H:$H,$EO30,'Existing Customers'!$A:$A,$EP$1)*$EP$4,0),0)</f>
        <v>0</v>
      </c>
      <c r="EU30" s="95">
        <f>IFERROR(IF(AND($EP$2&lt;&gt;"Enter Spend&gt;&gt;&gt;",EQ2="EXISTING"),SUMIFS('Existing Customers'!$R:$R,'Existing Customers'!$H:$H,$EO30,'Existing Customers'!$A:$A,$EP$1)*$EP$4,0),0)</f>
        <v>0</v>
      </c>
      <c r="EV30" s="1065">
        <f>IFERROR(IF(AND($EP$2&lt;&gt;"Enter Spend&gt;&gt;&gt;",EQ2="EXISTING"),SUMIFS('Existing Customers'!$S:$S,'Existing Customers'!$H:$H,$EO30,'Existing Customers'!$A:$A,$EP$1),FF30*EP30),0)</f>
        <v>0</v>
      </c>
      <c r="EW30" s="1065">
        <f>IFERROR(IF(AND($EP$2&lt;&gt;"Enter Spend&gt;&gt;&gt;",EQ2="EXISTING"),SUMIFS('Existing Customers'!$U:$U,'Existing Customers'!$H:$H,$EO30,'Existing Customers'!$A:$A,$EP$1),FG30*EP30),0)</f>
        <v>0</v>
      </c>
      <c r="EX30" s="1068" t="e">
        <f>_xlfn.CONCAT('Customer Inputs'!$AG$10,"_",EO30)</f>
        <v>#N/A</v>
      </c>
      <c r="EY30" s="1068">
        <f t="array" ref="EY30">IFERROR(INDEX('Margin Guidence Table'!$A$1:$AD$30000,MATCH(1,('Margin Guidence Table'!$A$1:$A$10000=EX30)*('Margin Guidence Table'!$I$1:$I$10000&lt;=ROUND($EP$3,0))*('Margin Guidence Table'!$J$1:$J$10000&gt;=ROUND($EP$3,0)),0),MATCH("DATA_POINTS",'Margin Guidence Table'!$A$1:$AG$1,0)),0)</f>
        <v>0</v>
      </c>
      <c r="EZ30" s="1065" t="str">
        <f t="shared" si="35"/>
        <v>DEFAULT</v>
      </c>
      <c r="FA30" s="1065">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65"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69">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69">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69">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69">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69">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69">
        <f t="array" ref="FH3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8"/>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72" t="e">
        <f t="shared" si="36"/>
        <v>#DIV/0!</v>
      </c>
      <c r="FL30" s="101" t="s">
        <v>89</v>
      </c>
      <c r="FM30" s="93">
        <f>IFERROR(IF(AND($FM$2&lt;&gt;"Enter Spend&gt;&gt;&gt;",FN18="EXISTING"),SUMIFS('Existing Customers'!$Q:$Q,'Existing Customers'!$A:$A,$FM$1,'Existing Customers'!$H:$H,$FL30)*$FM$4,$FM$3*$FK30),0)</f>
        <v>0</v>
      </c>
      <c r="FN30" s="88">
        <f>IFERROR(IF(AND($FM$2&lt;&gt;"Enter Spend&gt;&gt;&gt;",FN2="EXISTING"),SUMIFS('Existing Customers'!$N:$N,'Existing Customers'!$A:$A,$FM$1,'Existing Customers'!$H:$H,$FL30)*$FM$4,$FM30/$FX30),0)</f>
        <v>0</v>
      </c>
      <c r="FO30" s="94">
        <f>IFERROR(IF(AND($FM$2&lt;&gt;"Enter Spend&gt;&gt;&gt;",FN2="EXISTING"),SUMIFS('Existing Customers'!$O:$O,'Existing Customers'!$H:$H,$FL30,'Existing Customers'!$A:$A,$FM$1)*$FM$4,$FN30*$FM$8),0)</f>
        <v>0</v>
      </c>
      <c r="FP30" s="94">
        <f>IFERROR(IF(AND($FM$2&lt;&gt;"Enter Spend&gt;&gt;&gt;",FN2="EXISTING"),SUMIFS('Existing Customers'!$P:$P,'Existing Customers'!$A:$A,$FM$1,'Existing Customers'!$H:$H,$FL30)*$FM$4,$FM30/$FY30),0)</f>
        <v>0</v>
      </c>
      <c r="FQ30" s="95">
        <f>IFERROR(IF(AND($FM$2&lt;&gt;"Enter Spend&gt;&gt;&gt;",FN2="EXISTING"),SUMIFS('Existing Customers'!$V:$V,'Existing Customers'!$H:$H,$FL30,'Existing Customers'!$A:$A,$FM$1)*$FM$4,0),0)</f>
        <v>0</v>
      </c>
      <c r="FR30" s="95">
        <f>IFERROR(IF(AND($FM$2&lt;&gt;"Enter Spend&gt;&gt;&gt;",FN2="EXISTING"),SUMIFS('Existing Customers'!$R:$R,'Existing Customers'!$H:$H,$FL30,'Existing Customers'!$A:$A,$FM$1)*$FM$4,0),0)</f>
        <v>0</v>
      </c>
      <c r="FS30" s="1065">
        <f>IFERROR(IF(AND($FM$2&lt;&gt;"Enter Spend&gt;&gt;&gt;",FN2="EXISTING"),SUMIFS('Existing Customers'!$S:$S,'Existing Customers'!$H:$H,$FL30,'Existing Customers'!$A:$A,$FM$1),GC30*FM30),0)</f>
        <v>0</v>
      </c>
      <c r="FT30" s="1065">
        <f>IFERROR(IF(AND($FM$2&lt;&gt;"Enter Spend&gt;&gt;&gt;",FN2="EXISTING"),SUMIFS('Existing Customers'!$U:$U,'Existing Customers'!$H:$H,$FL30,'Existing Customers'!$A:$A,$FM$1),GD30*FM30),0)</f>
        <v>0</v>
      </c>
      <c r="FU30" s="1068" t="e">
        <f>_xlfn.CONCAT('Customer Inputs'!$AG$11,"_",FL30)</f>
        <v>#N/A</v>
      </c>
      <c r="FV30" s="1068">
        <f t="array" ref="FV30">IFERROR(INDEX('Margin Guidence Table'!$A$1:$AD$30000,MATCH(1,('Margin Guidence Table'!$A$1:$A$10000=FU30)*('Margin Guidence Table'!$I$1:$I$10000&lt;=ROUND($FM$3,0))*('Margin Guidence Table'!$J$1:$J$10000&gt;=ROUND($FM$3,0)),0),MATCH("DATA_POINTS",'Margin Guidence Table'!$A$1:$AG$1,0)),0)</f>
        <v>0</v>
      </c>
      <c r="FW30" s="1065" t="str">
        <f t="shared" si="37"/>
        <v>DEFAULT</v>
      </c>
      <c r="FX30" s="1065">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65">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69">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69">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69">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69">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69">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69">
        <f t="array" ref="GE3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8"/>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72" t="e">
        <f t="shared" si="38"/>
        <v>#DIV/0!</v>
      </c>
      <c r="GI30" s="101" t="s">
        <v>89</v>
      </c>
      <c r="GJ30" s="93">
        <f>IFERROR(IF(AND($GJ$2&lt;&gt;"Enter Spend&gt;&gt;&gt;",GK18="EXISTING"),SUMIFS('Existing Customers'!$Q:$Q,'Existing Customers'!$A:$A,$GJ$1,'Existing Customers'!$H:$H,$GI30)*$GJ$4,$GJ$3*$GH30),0)</f>
        <v>0</v>
      </c>
      <c r="GK30" s="88">
        <f>IFERROR(IF(AND($GJ$2&lt;&gt;"Enter Spend&gt;&gt;&gt;",GK2="EXISTING"),SUMIFS('Existing Customers'!$N:$N,'Existing Customers'!$A:$A,$GJ$1,'Existing Customers'!$H:$H,$GI30)*$GJ$4,$GJ30/$GU30),0)</f>
        <v>0</v>
      </c>
      <c r="GL30" s="94">
        <f>IFERROR(IF(AND($GJ$2&lt;&gt;"Enter Spend&gt;&gt;&gt;",GK2="EXISTING"),SUMIFS('Existing Customers'!$O:$O,'Existing Customers'!$H:$H,$GI30,'Existing Customers'!$A:$A,$GJ$1)*$GJ$4,$GK30*$GJ$8),0)</f>
        <v>0</v>
      </c>
      <c r="GM30" s="94">
        <f>IFERROR(IF(AND($GJ$2&lt;&gt;"Enter Spend&gt;&gt;&gt;",GK2="EXISTING"),SUMIFS('Existing Customers'!$P:$P,'Existing Customers'!$A:$A,$GJ$1,'Existing Customers'!$H:$H,$GI30)*$GJ$4,$GJ30/$GV30),0)</f>
        <v>0</v>
      </c>
      <c r="GN30" s="95">
        <f>IFERROR(IF(AND($GJ$2&lt;&gt;"Enter Spend&gt;&gt;&gt;",GK2="EXISTING"),SUMIFS('Existing Customers'!$V:$V,'Existing Customers'!$H:$H,$GI30,'Existing Customers'!$A:$A,$GJ$1)*$GJ$4,0),0)</f>
        <v>0</v>
      </c>
      <c r="GO30" s="95">
        <f>IFERROR(IF(AND($GJ$2&lt;&gt;"Enter Spend&gt;&gt;&gt;",GK2="EXISTING"),SUMIFS('Existing Customers'!$R:$R,'Existing Customers'!$H:$H,$GI30,'Existing Customers'!$A:$A,$GJ$1)*$GJ$4,0),0)</f>
        <v>0</v>
      </c>
      <c r="GP30" s="1065">
        <f>IFERROR(IF(AND($GJ$2&lt;&gt;"Enter Spend&gt;&gt;&gt;",GK2="EXISTING"),SUMIFS('Existing Customers'!$S:$S,'Existing Customers'!$H:$H,$GI30,'Existing Customers'!$A:$A,$GJ$1),GZ30*GJ30),0)</f>
        <v>0</v>
      </c>
      <c r="GQ30" s="1065">
        <f>IFERROR(IF(AND($GJ$2&lt;&gt;"Enter Spend&gt;&gt;&gt;",GK2="EXISTING"),SUMIFS('Existing Customers'!$U:$U,'Existing Customers'!$H:$H,$GI30,'Existing Customers'!$A:$A,$GJ$1),HA30*GJ30),0)</f>
        <v>0</v>
      </c>
      <c r="GR30" s="1068" t="e">
        <f>_xlfn.CONCAT('Customer Inputs'!$AG$12,"_",GI30)</f>
        <v>#N/A</v>
      </c>
      <c r="GS30" s="1068">
        <f t="array" ref="GS30">IFERROR(INDEX('Margin Guidence Table'!$A$1:$AD$30000,MATCH(1,('Margin Guidence Table'!$A$1:$A$10000=GR30)*('Margin Guidence Table'!$I$1:$I$10000&lt;=ROUND($GJ$3,0))*('Margin Guidence Table'!$J$1:$J$10000&gt;=ROUND($GJ$3,0)),0),MATCH("DATA_POINTS",'Margin Guidence Table'!$A$1:$AG$1,0)),0)</f>
        <v>0</v>
      </c>
      <c r="GT30" s="1065" t="str">
        <f t="shared" si="39"/>
        <v>DEFAULT</v>
      </c>
      <c r="GU30" s="1065">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65">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69">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69">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69">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69">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69">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69">
        <f t="array" ref="HB3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8"/>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72" t="e">
        <f t="shared" si="40"/>
        <v>#DIV/0!</v>
      </c>
      <c r="HF30" s="101" t="s">
        <v>89</v>
      </c>
      <c r="HG30" s="93">
        <f>IFERROR(IF(AND($HG$2&lt;&gt;"Enter Spend&gt;&gt;&gt;",HH18="EXISTING"),SUMIFS('Existing Customers'!$Q:$Q,'Existing Customers'!$A:$A,$HG$1,'Existing Customers'!$H:$H,$HF30)*$HG$4,$HG$3*$HE30),0)</f>
        <v>0</v>
      </c>
      <c r="HH30" s="88">
        <f>IFERROR(IF(AND($HG$2&lt;&gt;"Enter Spend&gt;&gt;&gt;",HH2="EXISTING"),SUMIFS('Existing Customers'!$N:$N,'Existing Customers'!$A:$A,$HG$1,'Existing Customers'!$H:$H,$HF30)*$HG$4,$HG30/$HR30),0)</f>
        <v>0</v>
      </c>
      <c r="HI30" s="94">
        <f>IFERROR(IF(AND($HG$2&lt;&gt;"Enter Spend&gt;&gt;&gt;",HH2="EXISTING"),SUMIFS('Existing Customers'!$O:$O,'Existing Customers'!$H:$H,$HF30,'Existing Customers'!$A:$A,$HG$1)*$HG$4,$HH30*$HG$8),0)</f>
        <v>0</v>
      </c>
      <c r="HJ30" s="94">
        <f>IFERROR(IF(AND($HG$2&lt;&gt;"Enter Spend&gt;&gt;&gt;",HH2="EXISTING"),SUMIFS('Existing Customers'!$P:$P,'Existing Customers'!$A:$A,$HG$1,'Existing Customers'!$H:$H,$HF30)*$HG$4,$HG30/$HS30),0)</f>
        <v>0</v>
      </c>
      <c r="HK30" s="95">
        <f>IFERROR(IF(AND($HG$2&lt;&gt;"Enter Spend&gt;&gt;&gt;",HH2="EXISTING"),SUMIFS('Existing Customers'!$V:$V,'Existing Customers'!$H:$H,$HF30,'Existing Customers'!$A:$A,$HG$1)*$HG$4,0),0)</f>
        <v>0</v>
      </c>
      <c r="HL30" s="95">
        <f>IFERROR(IF(AND($HG$2&lt;&gt;"Enter Spend&gt;&gt;&gt;",HH2="EXISTING"),SUMIFS('Existing Customers'!$R:$R,'Existing Customers'!$H:$H,$HF30,'Existing Customers'!$A:$A,$HG$1)*$HG$4,0),0)</f>
        <v>0</v>
      </c>
      <c r="HM30" s="1065">
        <f>IFERROR(IF(AND($HG$2&lt;&gt;"Enter Spend&gt;&gt;&gt;",HH2="EXISTING"),SUMIFS('Existing Customers'!$S:$S,'Existing Customers'!$H:$H,$HF30,'Existing Customers'!$A:$A,$HG$1),HW30*HG30),0)</f>
        <v>0</v>
      </c>
      <c r="HN30" s="1065">
        <f>IFERROR(IF(AND($HG$2&lt;&gt;"Enter Spend&gt;&gt;&gt;",HH2="EXISTING"),SUMIFS('Existing Customers'!$U:$U,'Existing Customers'!$H:$H,$HF30,'Existing Customers'!$A:$A,$HG$1),HX30*HG30),0)</f>
        <v>0</v>
      </c>
      <c r="HO30" s="1068" t="e">
        <f>_xlfn.CONCAT('Customer Inputs'!$AG$13,"_",HF30)</f>
        <v>#N/A</v>
      </c>
      <c r="HP30" s="1068">
        <f t="array" ref="HP30">IFERROR(INDEX('Margin Guidence Table'!$A$1:$AD$30000,MATCH(1,('Margin Guidence Table'!$A$1:$A$10000=HO30)*('Margin Guidence Table'!$I$1:$I$10000&lt;=ROUND($HG$3,0))*('Margin Guidence Table'!$J$1:$J$10000&gt;=ROUND($HG$3,0)),0),MATCH("DATA_POINTS",'Margin Guidence Table'!$A$1:$AG$1,0)),0)</f>
        <v>0</v>
      </c>
      <c r="HQ30" s="1065" t="str">
        <f t="shared" si="41"/>
        <v>DEFAULT</v>
      </c>
      <c r="HR30" s="1065">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65">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69">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69">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69">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69">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69">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69">
        <f t="array" ref="HY3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8"/>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72" t="e">
        <f t="shared" si="42"/>
        <v>#DIV/0!</v>
      </c>
      <c r="IC30" s="101" t="s">
        <v>89</v>
      </c>
      <c r="ID30" s="93">
        <f>IFERROR(IF(AND($ID$2&lt;&gt;"Enter Spend&gt;&gt;&gt;",IE18="EXISTING"),SUMIFS('Existing Customers'!$Q:$Q,'Existing Customers'!$A:$A,$ID$1,'Existing Customers'!$H:$H,$IC30)*$ID$4,$ID$3*$IB30),0)</f>
        <v>0</v>
      </c>
      <c r="IE30" s="88">
        <f>IFERROR(IF(AND($ID$2&lt;&gt;"Enter Spend&gt;&gt;&gt;",IE2="EXISTING"),SUMIFS('Existing Customers'!$N:$N,'Existing Customers'!$A:$A,$ID$1,'Existing Customers'!$H:$H,$IC30)*$ID$4,$ID30/$IO30),0)</f>
        <v>0</v>
      </c>
      <c r="IF30" s="94">
        <f>IFERROR(IF(AND($ID$2&lt;&gt;"Enter Spend&gt;&gt;&gt;",IE2="EXISTING"),SUMIFS('Existing Customers'!$O:$O,'Existing Customers'!$H:$H,$IC30,'Existing Customers'!$A:$A,$ID$1)*$ID$4,$IE30*$ID$8),0)</f>
        <v>0</v>
      </c>
      <c r="IG30" s="94">
        <f>IFERROR(IF(AND($ID$2&lt;&gt;"Enter Spend&gt;&gt;&gt;",IE2="EXISTING"),SUMIFS('Existing Customers'!$P:$P,'Existing Customers'!$A:$A,$ID$1,'Existing Customers'!$H:$H,$IC30)*$ID$4,$ID30/$IP30),0)</f>
        <v>0</v>
      </c>
      <c r="IH30" s="378">
        <f>IFERROR(IF(AND($ID$2&lt;&gt;"Enter Spend&gt;&gt;&gt;",IE2="EXISTING"),SUMIFS('Existing Customers'!$V:$V,'Existing Customers'!$H:$H,$IC30,'Existing Customers'!$A:$A,$ID$1)*$ID$4,0),0)</f>
        <v>0</v>
      </c>
      <c r="II30" s="95">
        <f>IFERROR(IF(AND($ID$2&lt;&gt;"Enter Spend&gt;&gt;&gt;",IE2="EXISTING"),SUMIFS('Existing Customers'!$R:$R,'Existing Customers'!$H:$H,$IC30,'Existing Customers'!$A:$A,$ID$1)*$ID$4,0),0)</f>
        <v>0</v>
      </c>
      <c r="IJ30" s="1065">
        <f>IFERROR(IF(AND($ID$2&lt;&gt;"Enter Spend&gt;&gt;&gt;",IE2="EXISTING"),SUMIFS('Existing Customers'!$S:$S,'Existing Customers'!$H:$H,$IC30,'Existing Customers'!$A:$A,$ID$1),IT30*ID30),0)</f>
        <v>0</v>
      </c>
      <c r="IK30" s="1065">
        <f>IFERROR(IF(AND($ID$2&lt;&gt;"Enter Spend&gt;&gt;&gt;",IE2="EXISTING"),SUMIFS('Existing Customers'!$U:$U,'Existing Customers'!$H:$H,$IC30,'Existing Customers'!$A:$A,$ID$1),IU30*ID30),0)</f>
        <v>0</v>
      </c>
      <c r="IL30" s="1068" t="e">
        <f>_xlfn.CONCAT('Customer Inputs'!$AG$14,"_",IC30)</f>
        <v>#N/A</v>
      </c>
      <c r="IM30" s="1068">
        <f t="array" ref="IM30">IFERROR(INDEX('Margin Guidence Table'!$A$1:$AD$30000,MATCH(1,('Margin Guidence Table'!$A$1:$A$10000=IL30)*('Margin Guidence Table'!$I$1:$I$10000&lt;=ROUND($ID$3,0))*('Margin Guidence Table'!$J$1:$J$10000&gt;=ROUND($ID$3,0)),0),MATCH("DATA_POINTS",'Margin Guidence Table'!$A$1:$AG$1,0)),0)</f>
        <v>0</v>
      </c>
      <c r="IN30" s="1065" t="str">
        <f t="shared" si="43"/>
        <v>DEFAULT</v>
      </c>
      <c r="IO30" s="1065">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65">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69">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69">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69">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69">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69">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69">
        <f t="array" ref="IV3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8"/>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72" t="e">
        <f t="shared" si="44"/>
        <v>#DIV/0!</v>
      </c>
      <c r="IZ30" s="101" t="s">
        <v>89</v>
      </c>
      <c r="JA30" s="93">
        <f>IFERROR(IF(AND($JA$2&lt;&gt;"Enter Spend&gt;&gt;&gt;",JB18="EXISTING"),SUMIFS('Existing Customers'!$Q:$Q,'Existing Customers'!$A:$A,$JA$1,'Existing Customers'!$H:$H,$IZ30)*$JA$4,$JA$3*$IY30),0)</f>
        <v>0</v>
      </c>
      <c r="JB30" s="88">
        <f>IFERROR(IF(AND($JA$2&lt;&gt;"Enter Spend&gt;&gt;&gt;",JB2="EXISTING"),SUMIFS('Existing Customers'!$N:$N,'Existing Customers'!$A:$A,$JA$1,'Existing Customers'!$H:$H,$IZ30)*$JA$4,$JA30/$JL30),0)</f>
        <v>0</v>
      </c>
      <c r="JC30" s="94">
        <f>IFERROR(IF(AND($JA$2&lt;&gt;"Enter Spend&gt;&gt;&gt;",JB2="EXISTING"),SUMIFS('Existing Customers'!$O:$O,'Existing Customers'!$H:$H,$IZ30,'Existing Customers'!$A:$A,$JA$1)*$JA$4,$JB30*$JA$8),0)</f>
        <v>0</v>
      </c>
      <c r="JD30" s="94">
        <f>IFERROR(IF(AND($JA$2&lt;&gt;"Enter Spend&gt;&gt;&gt;",JB2="EXISTING"),SUMIFS('Existing Customers'!$P:$P,'Existing Customers'!$A:$A,$JA$1,'Existing Customers'!$H:$H,$IZ30)*$JA$4,$JA30/$JM30),0)</f>
        <v>0</v>
      </c>
      <c r="JE30" s="378">
        <f>IFERROR(IF(AND($JA$2&lt;&gt;"Enter Spend&gt;&gt;&gt;",JB2="EXISTING"),SUMIFS('Existing Customers'!$V:$V,'Existing Customers'!$H:$H,$IZ30,'Existing Customers'!$A:$A,$JA$1)*$JA$4,0),0)</f>
        <v>0</v>
      </c>
      <c r="JF30" s="95">
        <f>IFERROR(IF(AND($JA$2&lt;&gt;"Enter Spend&gt;&gt;&gt;",JB2="EXISTING"),SUMIFS('Existing Customers'!$R:$R,'Existing Customers'!$H:$H,$IZ30,'Existing Customers'!$A:$A,$JA$1)*$JA$4,0),0)</f>
        <v>0</v>
      </c>
      <c r="JG30" s="1065">
        <f>IFERROR(IF(AND($JA$2&lt;&gt;"Enter Spend&gt;&gt;&gt;",JB2="EXISTING"),SUMIFS('Existing Customers'!$S:$S,'Existing Customers'!$H:$H,$IZ30,'Existing Customers'!$A:$A,$JA$1),JQ30*JA30),0)</f>
        <v>0</v>
      </c>
      <c r="JH30" s="1065">
        <f>IFERROR(IF(AND($JA$2&lt;&gt;"Enter Spend&gt;&gt;&gt;",JB2="EXISTING"),SUMIFS('Existing Customers'!$U:$U,'Existing Customers'!$H:$H,$IZ30,'Existing Customers'!$A:$A,$JA$1),JR30*JA30),0)</f>
        <v>0</v>
      </c>
      <c r="JI30" s="1068" t="e">
        <f>_xlfn.CONCAT('Customer Inputs'!$AG$15,"_",IZ30)</f>
        <v>#N/A</v>
      </c>
      <c r="JJ30" s="1068">
        <f t="array" ref="JJ30">IFERROR(INDEX('Margin Guidence Table'!$A$1:$AD$30000,MATCH(1,('Margin Guidence Table'!$A$1:$A$10000=JI30)*('Margin Guidence Table'!$I$1:$I$10000&lt;=ROUND($JA$3,0))*('Margin Guidence Table'!$J$1:$J$10000&gt;=ROUND($JA$3,0)),0),MATCH("DATA_POINTS",'Margin Guidence Table'!$A$1:$AG$1,0)),0)</f>
        <v>0</v>
      </c>
      <c r="JK30" s="1065" t="str">
        <f t="shared" si="45"/>
        <v>DEFAULT</v>
      </c>
      <c r="JL30" s="1065">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65">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69">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69">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69">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69">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69">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69">
        <f t="array" ref="JS3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101" t="s">
        <v>89</v>
      </c>
      <c r="JV30" s="96"/>
      <c r="JW30" s="88"/>
      <c r="JX30" s="88"/>
      <c r="JY30" s="88"/>
      <c r="JZ30" s="113"/>
      <c r="KA30" s="97"/>
      <c r="KB30" s="128"/>
      <c r="KD30" s="101" t="s">
        <v>89</v>
      </c>
      <c r="KE30" s="96"/>
      <c r="KF30" s="88"/>
      <c r="KG30" s="88"/>
      <c r="KH30" s="88"/>
      <c r="KI30" s="113"/>
      <c r="KJ30" s="97"/>
    </row>
    <row r="31" spans="2:296" ht="15.75" thickBot="1" x14ac:dyDescent="0.3">
      <c r="B31" s="101" t="s">
        <v>94</v>
      </c>
      <c r="C31" s="451">
        <f t="shared" si="11"/>
        <v>0</v>
      </c>
      <c r="D31" s="467">
        <f t="shared" si="12"/>
        <v>0</v>
      </c>
      <c r="E31" s="467">
        <f t="shared" si="13"/>
        <v>0</v>
      </c>
      <c r="F31" s="467">
        <f t="shared" si="14"/>
        <v>0</v>
      </c>
      <c r="G31" s="468">
        <f t="shared" si="15"/>
        <v>0</v>
      </c>
      <c r="H31" s="467">
        <f t="shared" si="16"/>
        <v>0</v>
      </c>
      <c r="I31" s="1061" t="e">
        <f t="shared" si="0"/>
        <v>#DIV/0!</v>
      </c>
      <c r="J31" s="1061" t="e">
        <f t="shared" si="1"/>
        <v>#DIV/0!</v>
      </c>
      <c r="K31" s="1061" t="e">
        <f t="shared" si="2"/>
        <v>#DIV/0!</v>
      </c>
      <c r="L31" s="467" t="e">
        <f t="shared" si="3"/>
        <v>#DIV/0!</v>
      </c>
      <c r="M31" s="467" t="e">
        <f t="shared" si="17"/>
        <v>#DIV/0!</v>
      </c>
      <c r="N31" s="1062" t="e">
        <f t="shared" si="4"/>
        <v>#DIV/0!</v>
      </c>
      <c r="P31" t="str">
        <f>'PIM Model'!E27</f>
        <v>INCLUDE</v>
      </c>
      <c r="Q31">
        <f t="shared" si="18"/>
        <v>0</v>
      </c>
      <c r="R31">
        <f t="shared" si="19"/>
        <v>0</v>
      </c>
      <c r="S31" s="101" t="s">
        <v>94</v>
      </c>
      <c r="T31" s="96">
        <f t="shared" si="20"/>
        <v>0</v>
      </c>
      <c r="U31" s="88">
        <f t="shared" si="5"/>
        <v>0</v>
      </c>
      <c r="V31" s="88">
        <f t="shared" si="6"/>
        <v>0</v>
      </c>
      <c r="W31" s="88">
        <f t="shared" si="7"/>
        <v>0</v>
      </c>
      <c r="X31" s="113">
        <f t="shared" si="8"/>
        <v>0</v>
      </c>
      <c r="Y31" s="116">
        <f t="shared" si="21"/>
        <v>0</v>
      </c>
      <c r="Z31" s="376"/>
      <c r="AA31" s="101" t="s">
        <v>94</v>
      </c>
      <c r="AB31" s="455">
        <f t="shared" si="9"/>
        <v>0</v>
      </c>
      <c r="AC31" s="456">
        <f t="shared" si="9"/>
        <v>0</v>
      </c>
      <c r="AD31" s="456">
        <f t="shared" si="9"/>
        <v>0</v>
      </c>
      <c r="AE31" s="457">
        <f t="shared" si="22"/>
        <v>0</v>
      </c>
      <c r="AF31" s="458">
        <f t="shared" si="23"/>
        <v>0</v>
      </c>
      <c r="AG31" s="376"/>
      <c r="AH31" s="101" t="s">
        <v>94</v>
      </c>
      <c r="AI31" s="455">
        <f t="shared" si="10"/>
        <v>0</v>
      </c>
      <c r="AJ31" s="452">
        <f t="shared" si="24"/>
        <v>0</v>
      </c>
      <c r="AK31" s="458"/>
      <c r="AL31" s="376"/>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76">
        <f>VLOOKUP($AH31&amp;$AM31,'IMargin Quartiles'!$A:$F,6,FALSE)</f>
        <v>0.16</v>
      </c>
      <c r="AO31" s="376"/>
      <c r="AP31"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Q31" s="376" t="e">
        <f t="shared" si="25"/>
        <v>#DIV/0!</v>
      </c>
      <c r="AR31">
        <f>'PIM Model'!C27</f>
        <v>0</v>
      </c>
      <c r="AS31" s="376"/>
      <c r="AT31" s="376"/>
      <c r="AU31" s="376" t="e">
        <f t="shared" si="46"/>
        <v>#DIV/0!</v>
      </c>
      <c r="AV31" s="376"/>
      <c r="AW31" s="376"/>
      <c r="AX31" s="107">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72" t="e">
        <f t="shared" si="26"/>
        <v>#DIV/0!</v>
      </c>
      <c r="BA31" s="101" t="s">
        <v>94</v>
      </c>
      <c r="BB31" s="93">
        <f>IFERROR(IF(AND($BB$2&lt;&gt;"Enter Spend&gt;&gt;&gt;",BC19="EXISTING"),SUMIFS('Existing Customers'!$Q:$Q,'Existing Customers'!$A:$A,$BB$1,'Existing Customers'!$H:$H,$BA31)*$BB$4,$BB$3*$AZ31),0)</f>
        <v>0</v>
      </c>
      <c r="BC31" s="94">
        <f>IFERROR(IF(AND($BB$2&lt;&gt;"Enter Spend&gt;&gt;&gt;",BC2="EXISTING"),SUMIFS('Existing Customers'!$N:$N,'Existing Customers'!$A:$A,$BB$1,'Existing Customers'!$H:$H,$BA31)*$BB$4,$BB31/$BM31),0)</f>
        <v>0</v>
      </c>
      <c r="BD31" s="94">
        <f>IFERROR(IF(AND($BB$2&lt;&gt;"Enter Spend&gt;&gt;&gt;",BC2="EXISTING"),SUMIFS('Existing Customers'!$O:$O,'Existing Customers'!$H:$H,$BA31,'Existing Customers'!$A:$A,$BB$1)*$BB$4,$BC31*$BB$8),0)</f>
        <v>0</v>
      </c>
      <c r="BE31" s="94">
        <f>IFERROR(IF(AND($BB$2&lt;&gt;"Enter Spend&gt;&gt;&gt;",BC2="EXISTING"),SUMIFS('Existing Customers'!$P:$P,'Existing Customers'!$A:$A,$BB$1,'Existing Customers'!$H:$H,$BA31)*$BB$4,$BB31/$BN31),0)</f>
        <v>0</v>
      </c>
      <c r="BF31" s="378">
        <f>IFERROR(IF(AND($BB$2&lt;&gt;"Enter Spend&gt;&gt;&gt;",BC2="EXISTING"),SUMIFS('Existing Customers'!$V:$V,'Existing Customers'!$H:$H,$BA31,'Existing Customers'!$A:$A,$BB$1)*$BB$4,0),0)</f>
        <v>0</v>
      </c>
      <c r="BG31" s="95">
        <f>IFERROR(IF(AND($BB$2&lt;&gt;"Enter Spend&gt;&gt;&gt;",BC2="EXISTING"),SUMIFS('Existing Customers'!$R:$R,'Existing Customers'!$H:$H,$BA31,'Existing Customers'!$A:$A,$BB$1)*$BB$4,0),0)</f>
        <v>0</v>
      </c>
      <c r="BH31" s="95">
        <f>IFERROR(IF(AND($BB$2&lt;&gt;"Enter Spend&gt;&gt;&gt;",BC2="EXISTING"),SUMIFS('Existing Customers'!$S:$S,'Existing Customers'!$H:$H,$BA31,'Existing Customers'!$A:$A,$BB$1),BR31*BB31),0)</f>
        <v>0</v>
      </c>
      <c r="BI31" s="95">
        <f>IFERROR(IF(AND($BB$2&lt;&gt;"Enter Spend&gt;&gt;&gt;",BC2="EXISTING"),SUMIFS('Existing Customers'!$U:$U,'Existing Customers'!$H:$H,$BA31,'Existing Customers'!$A:$A,$BB$1),BS31*BB31),0)</f>
        <v>0</v>
      </c>
      <c r="BJ31" s="1067" t="e">
        <f>_xlfn.CONCAT('Customer Inputs'!$AG$6,"_",BA31)</f>
        <v>#N/A</v>
      </c>
      <c r="BK31" s="1068">
        <f t="array" ref="BK31">IFERROR(INDEX('Margin Guidence Table'!$A$1:$AD$30000,MATCH(1,('Margin Guidence Table'!$A$1:$A$10000=$BJ31)*('Margin Guidence Table'!$I$1:$I$10000&lt;=ROUND($BB$3,0))*('Margin Guidence Table'!$J$1:$J$10000&gt;=ROUND($BB$3,0)),0),MATCH("DATA_POINTS",'Margin Guidence Table'!$A$1:$AG$1,0)),0)</f>
        <v>0</v>
      </c>
      <c r="BL31" s="1065" t="str">
        <f t="shared" si="27"/>
        <v>DEFAULT</v>
      </c>
      <c r="BM31" s="1065">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65">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69">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69">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69">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69">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69">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69">
        <f t="array" ref="BT31">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8"/>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72" t="e">
        <f t="shared" si="28"/>
        <v>#DIV/0!</v>
      </c>
      <c r="BX31" s="101" t="s">
        <v>94</v>
      </c>
      <c r="BY31" s="93">
        <f>IFERROR(IF(AND($BY$2&lt;&gt;"Enter Spend&gt;&gt;&gt;",BZ19="EXISTING"),SUMIFS('Existing Customers'!$Q:$Q,'Existing Customers'!$A:$A,$BY$1,'Existing Customers'!$H:$H,$BX31)*$BY$4,$BY$3*$BW31),0)</f>
        <v>0</v>
      </c>
      <c r="BZ31" s="88">
        <f>IFERROR(IF(AND($BY$2&lt;&gt;"Enter Spend&gt;&gt;&gt;",BZ2="EXISTING"),SUMIFS('Existing Customers'!$N:$N,'Existing Customers'!$A:$A,$BY$1,'Existing Customers'!$H:$H,$BX31)*$BY$4,$BY31/$CJ31),0)</f>
        <v>0</v>
      </c>
      <c r="CA31" s="94">
        <f>IFERROR(IF(AND($BY$2&lt;&gt;"Enter Spend&gt;&gt;&gt;",BZ2="EXISTING"),SUMIFS('Existing Customers'!$O:$O,'Existing Customers'!$H:$H,$BX31,'Existing Customers'!$A:$A,$BY$1)*$BY$4,$BZ31*$BY$8),0)</f>
        <v>0</v>
      </c>
      <c r="CB31" s="94">
        <f>IFERROR(IF(AND($BY$2&lt;&gt;"Enter Spend&gt;&gt;&gt;",BZ2="EXISTING"),SUMIFS('Existing Customers'!$P:$P,'Existing Customers'!$A:$A,$BY$1,'Existing Customers'!$H:$H,$BX31)*$BY$4,$BY31/$CK31),0)</f>
        <v>0</v>
      </c>
      <c r="CC31" s="95">
        <f>IFERROR(IF(AND($BY$2&lt;&gt;"Enter Spend&gt;&gt;&gt;",BZ2="EXISTING"),SUMIFS('Existing Customers'!$V:$V,'Existing Customers'!$H:$H,$BX31,'Existing Customers'!$A:$A,$BY$1)*$BY$4,0),0)</f>
        <v>0</v>
      </c>
      <c r="CD31" s="95">
        <f>IFERROR(IF(AND($BY$2&lt;&gt;"Enter Spend&gt;&gt;&gt;",BZ2="EXISTING"),SUMIFS('Existing Customers'!$R:$R,'Existing Customers'!$H:$H,$BX31,'Existing Customers'!$A:$A,$BY$1)*$BY$4,0),0)</f>
        <v>0</v>
      </c>
      <c r="CE31" s="1065">
        <f>IFERROR(IF(AND($BY$2&lt;&gt;"Enter Spend&gt;&gt;&gt;",BZ2="EXISTING"),SUMIFS('Existing Customers'!$S:$S,'Existing Customers'!$H:$H,$BX31,'Existing Customers'!$A:$A,$BY$1),CO31*BY31),0)</f>
        <v>0</v>
      </c>
      <c r="CF31" s="1065">
        <f>IFERROR(IF(AND($BY$2&lt;&gt;"Enter Spend&gt;&gt;&gt;",BZ2="EXISTING"),SUMIFS('Existing Customers'!$U:$U,'Existing Customers'!$H:$H,$BX31,'Existing Customers'!$A:$A,$BY$1),CP31*BY31),0)</f>
        <v>0</v>
      </c>
      <c r="CG31" s="1068" t="e">
        <f>_xlfn.CONCAT('Customer Inputs'!$AG$7,"_",BX31)</f>
        <v>#N/A</v>
      </c>
      <c r="CH31" s="1068">
        <f t="array" ref="CH31">IFERROR(INDEX('Margin Guidence Table'!$A$1:$AD$30000,MATCH(1,('Margin Guidence Table'!$A$1:$A$10000=$CG31)*('Margin Guidence Table'!$I$1:$I$10000&lt;=ROUND($BY$3,0))*('Margin Guidence Table'!$J$1:$J$10000&gt;=ROUND($BY$3,0)),0),MATCH("DATA_POINTS",'Margin Guidence Table'!$A$1:$AG$1,0)),0)</f>
        <v>0</v>
      </c>
      <c r="CI31" s="1065" t="str">
        <f t="shared" si="29"/>
        <v>DEFAULT</v>
      </c>
      <c r="CJ31" s="1065">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65">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69">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69">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69">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69">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69">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69">
        <f t="array" ref="CQ31">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8"/>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72" t="e">
        <f t="shared" si="30"/>
        <v>#DIV/0!</v>
      </c>
      <c r="CU31" s="101" t="s">
        <v>94</v>
      </c>
      <c r="CV31" s="93">
        <f>IFERROR(IF(AND($CV$2&lt;&gt;"Enter Spend&gt;&gt;&gt;",CW19="EXISTING"),SUMIFS('Existing Customers'!$Q:$Q,'Existing Customers'!$A:$A,$CV$1,'Existing Customers'!$H:$H,$CU31)*$CV$4,$CV$3*$CT31),0)</f>
        <v>0</v>
      </c>
      <c r="CW31" s="88">
        <f>IFERROR(IF(AND($CV$2&lt;&gt;"Enter Spend&gt;&gt;&gt;",CW2="EXISTING"),SUMIFS('Existing Customers'!$N:$N,'Existing Customers'!$A:$A,$CV$1,'Existing Customers'!$H:$H,$CU31)*$CV$4,$CV31/$DG31),0)</f>
        <v>0</v>
      </c>
      <c r="CX31" s="94">
        <f>IFERROR(IF(AND($CV$2&lt;&gt;"Enter Spend&gt;&gt;&gt;",BC28="EXISTING"),SUMIFS('Existing Customers'!$O:$O,'Existing Customers'!$H:$H,$CU31,'Existing Customers'!$A:$A,$CV$1)*$CV$4,$CW31*$CV$8),0)</f>
        <v>0</v>
      </c>
      <c r="CY31" s="94">
        <f>IFERROR(IF(AND($CV$2&lt;&gt;"Enter Spend&gt;&gt;&gt;",CW2="EXISTING"),SUMIFS('Existing Customers'!$P:$P,'Existing Customers'!$A:$A,$CV$1,'Existing Customers'!$H:$H,$CU31)*$CV$4,$CV31/$DH31),0)</f>
        <v>0</v>
      </c>
      <c r="CZ31" s="95">
        <f>IFERROR(IF(AND($CV$2&lt;&gt;"Enter Spend&gt;&gt;&gt;",CW2="EXISTING"),SUMIFS('Existing Customers'!$V:$V,'Existing Customers'!$H:$H,$CU31,'Existing Customers'!$A:$A,$CV$1)*$CV$4,0),0)</f>
        <v>0</v>
      </c>
      <c r="DA31" s="95">
        <f>IFERROR(IF(AND($CV$2&lt;&gt;"Enter Spend&gt;&gt;&gt;",CW2="EXISTING"),SUMIFS('Existing Customers'!$R:$R,'Existing Customers'!$H:$H,$BA31,'Existing Customers'!$A:$A,$CV$1)*$CV$4,0),0)</f>
        <v>0</v>
      </c>
      <c r="DB31" s="1065">
        <f>IFERROR(IF(AND($CV$2&lt;&gt;"Enter Spend&gt;&gt;&gt;",CW2="EXISTING"),SUMIFS('Existing Customers'!$S:$S,'Existing Customers'!$H:$H,$CU31,'Existing Customers'!$A:$A,$CV$1),DL31*CV31),0)</f>
        <v>0</v>
      </c>
      <c r="DC31" s="1065">
        <f>IFERROR(IF(AND($CV$2&lt;&gt;"Enter Spend&gt;&gt;&gt;",CW2="EXISTING"),SUMIFS('Existing Customers'!$U:$U,'Existing Customers'!$H:$H,$CU31,'Existing Customers'!$A:$A,$CV$1),DM31*CV31),0)</f>
        <v>0</v>
      </c>
      <c r="DD31" s="1068" t="e">
        <f>_xlfn.CONCAT('Customer Inputs'!$AG$8,"_",CU31)</f>
        <v>#N/A</v>
      </c>
      <c r="DE31" s="1068">
        <f t="array" ref="DE31">IFERROR(INDEX('Margin Guidence Table'!$A$1:$AD$30000,MATCH(1,('Margin Guidence Table'!$A$1:$A$10000=DD31)*('Margin Guidence Table'!$I$1:$I$10000&lt;=ROUND($CV$3,0))*('Margin Guidence Table'!$J$1:$J$10000&gt;=ROUND($CV$3,0)),0),MATCH("DATA_POINTS",'Margin Guidence Table'!$A$1:$AG$1,0)),0)</f>
        <v>0</v>
      </c>
      <c r="DF31" s="1065" t="str">
        <f t="shared" si="31"/>
        <v>DEFAULT</v>
      </c>
      <c r="DG31" s="1065">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65">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69">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69">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69">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69">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69">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69">
        <f t="array" ref="DN31">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8"/>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72" t="e">
        <f t="shared" si="32"/>
        <v>#DIV/0!</v>
      </c>
      <c r="DR31" s="101" t="s">
        <v>94</v>
      </c>
      <c r="DS31" s="93">
        <f>IFERROR(IF(AND($DS$2&lt;&gt;"Enter Spend&gt;&gt;&gt;",DT19="EXISTING"),SUMIFS('Existing Customers'!$Q:$Q,'Existing Customers'!$A:$A,$DS$1,'Existing Customers'!$H:$H,$DR31)*$DS$4,$DS$3*$DQ31),0)</f>
        <v>0</v>
      </c>
      <c r="DT31" s="88">
        <f>IFERROR(IF(AND($DS$2&lt;&gt;"Enter Spend&gt;&gt;&gt;",DT2="EXISTING"),SUMIFS('Existing Customers'!$N:$N,'Existing Customers'!$A:$A,$DS$1,'Existing Customers'!$H:$H,$DR31)*$DS$4,$DS31/$ED31),0)</f>
        <v>0</v>
      </c>
      <c r="DU31" s="94">
        <f>IFERROR(IF(AND($DS$2&lt;&gt;"Enter Spend&gt;&gt;&gt;",DT2="EXISTING"),SUMIFS('Existing Customers'!$O:$O,'Existing Customers'!$H:$H,$DR31,'Existing Customers'!$A:$A,$DS$1)*$DS$4,$DT31*$DS$8),0)</f>
        <v>0</v>
      </c>
      <c r="DV31" s="94">
        <f>IFERROR(IF(AND($DS$2&lt;&gt;"Enter Spend&gt;&gt;&gt;",DT2="EXISTING"),SUMIFS('Existing Customers'!$P:$P,'Existing Customers'!$A:$A,$DS$1,'Existing Customers'!$H:$H,$DR31)*$DS$4,$DS31/$EE31),0)</f>
        <v>0</v>
      </c>
      <c r="DW31" s="95">
        <f>IFERROR(IF(AND($DS$2&lt;&gt;"Enter Spend&gt;&gt;&gt;",EQ2="EXISTING"),SUMIFS('Existing Customers'!$V:$V,'Existing Customers'!$H:$H,$DR31,'Existing Customers'!$A:$A,$DS$1)*$DS$4,0),0)</f>
        <v>0</v>
      </c>
      <c r="DX31" s="95">
        <f>IFERROR(IF(AND($DS$2&lt;&gt;"Enter Spend&gt;&gt;&gt;",DT2="EXISTING"),SUMIFS('Existing Customers'!$R:$R,'Existing Customers'!$H:$H,$DR31,'Existing Customers'!$A:$A,$DS$1)*$DS$4,0),0)</f>
        <v>0</v>
      </c>
      <c r="DY31" s="1065">
        <f>IFERROR(IF(AND($DS$2&lt;&gt;"Enter Spend&gt;&gt;&gt;",DT2="EXISTING"),SUMIFS('Existing Customers'!$S:$S,'Existing Customers'!$H:$H,$DT31,'Existing Customers'!$A:$A,$DS$1),EI31*DS31),0)</f>
        <v>0</v>
      </c>
      <c r="DZ31" s="1065">
        <f>IFERROR(IF(AND($DS$2&lt;&gt;"Enter Spend&gt;&gt;&gt;",DT2="EXISTING"),SUMIFS('Existing Customers'!$U:$U,'Existing Customers'!$H:$H,$DR31,'Existing Customers'!$A:$A,$DS$1),EJ31*DS31),0)</f>
        <v>0</v>
      </c>
      <c r="EA31" s="1068" t="e">
        <f>_xlfn.CONCAT('Customer Inputs'!$AG$9,"_",DR31)</f>
        <v>#N/A</v>
      </c>
      <c r="EB31" s="1068">
        <f t="array" ref="EB31">IFERROR(INDEX('Margin Guidence Table'!$A$1:$AD$30000,MATCH(1,('Margin Guidence Table'!$A$1:$A$10000=EA31)*('Margin Guidence Table'!$I$1:$I$10000&lt;=ROUND($DS$3,0))*('Margin Guidence Table'!$J$1:$J$10000&gt;=ROUND($DS$3,0)),0),MATCH("DATA_POINTS",'Margin Guidence Table'!$A$1:$AG$1,0)),0)</f>
        <v>0</v>
      </c>
      <c r="EC31" s="1065" t="str">
        <f t="shared" si="33"/>
        <v>DEFAULT</v>
      </c>
      <c r="ED31" s="1065">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65">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69">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69">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69">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69">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69">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69">
        <f t="array" ref="EK31">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8"/>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72" t="e">
        <f t="shared" si="34"/>
        <v>#DIV/0!</v>
      </c>
      <c r="EO31" s="101" t="s">
        <v>94</v>
      </c>
      <c r="EP31" s="93">
        <f>IFERROR(IF(AND($EP$2&lt;&gt;"Enter Spend&gt;&gt;&gt;",EQ19="EXISTING"),SUMIFS('Existing Customers'!$Q:$Q,'Existing Customers'!$A:$A,$EP$1,'Existing Customers'!$H:$H,$EO31)*$EP$4,$EP$3*$EN31),0)</f>
        <v>0</v>
      </c>
      <c r="EQ31" s="88">
        <f>IFERROR(IF(AND($EP$2&lt;&gt;"Enter Spend&gt;&gt;&gt;",EQ2="EXISTING"),SUMIFS('Existing Customers'!$N:$N,'Existing Customers'!$A:$A,$EP$1,'Existing Customers'!$H:$H,$EO31)*$EP$4,$EP31/$FA31),0)</f>
        <v>0</v>
      </c>
      <c r="ER31" s="94">
        <f>IFERROR(IF(AND($EP$2&lt;&gt;"Enter Spend&gt;&gt;&gt;",EQ2="EXISTING"),SUMIFS('Existing Customers'!$O:$O,'Existing Customers'!$H:$H,$EO31,'Existing Customers'!$A:$A,$EP$1)*$EP$4,$EQ31*$EP$8),0)</f>
        <v>0</v>
      </c>
      <c r="ES31" s="94">
        <f>IFERROR(IF(AND($EP$2&lt;&gt;"Enter Spend&gt;&gt;&gt;",EQ2="EXISTING"),SUMIFS('Existing Customers'!$P:$P,'Existing Customers'!$A:$A,$EP$1,'Existing Customers'!$H:$H,$EO31)*$EP$4,$EP31/$FB31),0)</f>
        <v>0</v>
      </c>
      <c r="ET31" s="95">
        <f>IFERROR(IF(AND($EP$2&lt;&gt;"Enter Spend&gt;&gt;&gt;",EQ2="EXISTING"),SUMIFS('Existing Customers'!$V:$V,'Existing Customers'!$H:$H,$EO31,'Existing Customers'!$A:$A,$EP$1)*$EP$4,0),0)</f>
        <v>0</v>
      </c>
      <c r="EU31" s="95">
        <f>IFERROR(IF(AND($EP$2&lt;&gt;"Enter Spend&gt;&gt;&gt;",EQ2="EXISTING"),SUMIFS('Existing Customers'!$R:$R,'Existing Customers'!$H:$H,$EO31,'Existing Customers'!$A:$A,$EP$1)*$EP$4,0),0)</f>
        <v>0</v>
      </c>
      <c r="EV31" s="1065">
        <f>IFERROR(IF(AND($EP$2&lt;&gt;"Enter Spend&gt;&gt;&gt;",EQ2="EXISTING"),SUMIFS('Existing Customers'!$S:$S,'Existing Customers'!$H:$H,$EO31,'Existing Customers'!$A:$A,$EP$1),FF31*EP31),0)</f>
        <v>0</v>
      </c>
      <c r="EW31" s="1065">
        <f>IFERROR(IF(AND($EP$2&lt;&gt;"Enter Spend&gt;&gt;&gt;",EQ2="EXISTING"),SUMIFS('Existing Customers'!$U:$U,'Existing Customers'!$H:$H,$EO31,'Existing Customers'!$A:$A,$EP$1),FG31*EP31),0)</f>
        <v>0</v>
      </c>
      <c r="EX31" s="1068" t="e">
        <f>_xlfn.CONCAT('Customer Inputs'!$AG$10,"_",EO31)</f>
        <v>#N/A</v>
      </c>
      <c r="EY31" s="1068">
        <f t="array" ref="EY31">IFERROR(INDEX('Margin Guidence Table'!$A$1:$AD$30000,MATCH(1,('Margin Guidence Table'!$A$1:$A$10000=EX31)*('Margin Guidence Table'!$I$1:$I$10000&lt;=ROUND($EP$3,0))*('Margin Guidence Table'!$J$1:$J$10000&gt;=ROUND($EP$3,0)),0),MATCH("DATA_POINTS",'Margin Guidence Table'!$A$1:$AG$1,0)),0)</f>
        <v>0</v>
      </c>
      <c r="EZ31" s="1065" t="str">
        <f t="shared" si="35"/>
        <v>DEFAULT</v>
      </c>
      <c r="FA31" s="1065">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65"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69">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69">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69">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69">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69">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69">
        <f t="array" ref="FH31">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8"/>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72" t="e">
        <f t="shared" si="36"/>
        <v>#DIV/0!</v>
      </c>
      <c r="FL31" s="101" t="s">
        <v>94</v>
      </c>
      <c r="FM31" s="93">
        <f>IFERROR(IF(AND($FM$2&lt;&gt;"Enter Spend&gt;&gt;&gt;",FN19="EXISTING"),SUMIFS('Existing Customers'!$Q:$Q,'Existing Customers'!$A:$A,$FM$1,'Existing Customers'!$H:$H,$FL31)*$FM$4,$FM$3*$FK31),0)</f>
        <v>0</v>
      </c>
      <c r="FN31" s="88">
        <f>IFERROR(IF(AND($FM$2&lt;&gt;"Enter Spend&gt;&gt;&gt;",FN2="EXISTING"),SUMIFS('Existing Customers'!$N:$N,'Existing Customers'!$A:$A,$FM$1,'Existing Customers'!$H:$H,$FL31)*$FM$4,$FM31/$FX31),0)</f>
        <v>0</v>
      </c>
      <c r="FO31" s="94">
        <f>IFERROR(IF(AND($FM$2&lt;&gt;"Enter Spend&gt;&gt;&gt;",FN2="EXISTING"),SUMIFS('Existing Customers'!$O:$O,'Existing Customers'!$H:$H,$FL31,'Existing Customers'!$A:$A,$FM$1)*$FM$4,$FN31*$FM$8),0)</f>
        <v>0</v>
      </c>
      <c r="FP31" s="94">
        <f>IFERROR(IF(AND($FM$2&lt;&gt;"Enter Spend&gt;&gt;&gt;",FN2="EXISTING"),SUMIFS('Existing Customers'!$P:$P,'Existing Customers'!$A:$A,$FM$1,'Existing Customers'!$H:$H,$FL31)*$FM$4,$FM31/$FY31),0)</f>
        <v>0</v>
      </c>
      <c r="FQ31" s="95">
        <f>IFERROR(IF(AND($FM$2&lt;&gt;"Enter Spend&gt;&gt;&gt;",FN2="EXISTING"),SUMIFS('Existing Customers'!$V:$V,'Existing Customers'!$H:$H,$FL31,'Existing Customers'!$A:$A,$FM$1)*$FM$4,0),0)</f>
        <v>0</v>
      </c>
      <c r="FR31" s="95">
        <f>IFERROR(IF(AND($FM$2&lt;&gt;"Enter Spend&gt;&gt;&gt;",FN2="EXISTING"),SUMIFS('Existing Customers'!$R:$R,'Existing Customers'!$H:$H,$FL31,'Existing Customers'!$A:$A,$FM$1)*$FM$4,0),0)</f>
        <v>0</v>
      </c>
      <c r="FS31" s="1065">
        <f>IFERROR(IF(AND($FM$2&lt;&gt;"Enter Spend&gt;&gt;&gt;",FN2="EXISTING"),SUMIFS('Existing Customers'!$S:$S,'Existing Customers'!$H:$H,$FL31,'Existing Customers'!$A:$A,$FM$1),GC31*FM31),0)</f>
        <v>0</v>
      </c>
      <c r="FT31" s="1065">
        <f>IFERROR(IF(AND($FM$2&lt;&gt;"Enter Spend&gt;&gt;&gt;",FN2="EXISTING"),SUMIFS('Existing Customers'!$U:$U,'Existing Customers'!$H:$H,$FL31,'Existing Customers'!$A:$A,$FM$1),GD31*FM31),0)</f>
        <v>0</v>
      </c>
      <c r="FU31" s="1068" t="e">
        <f>_xlfn.CONCAT('Customer Inputs'!$AG$11,"_",FL31)</f>
        <v>#N/A</v>
      </c>
      <c r="FV31" s="1068">
        <f t="array" ref="FV31">IFERROR(INDEX('Margin Guidence Table'!$A$1:$AD$30000,MATCH(1,('Margin Guidence Table'!$A$1:$A$10000=FU31)*('Margin Guidence Table'!$I$1:$I$10000&lt;=ROUND($FM$3,0))*('Margin Guidence Table'!$J$1:$J$10000&gt;=ROUND($FM$3,0)),0),MATCH("DATA_POINTS",'Margin Guidence Table'!$A$1:$AG$1,0)),0)</f>
        <v>0</v>
      </c>
      <c r="FW31" s="1065" t="str">
        <f t="shared" si="37"/>
        <v>DEFAULT</v>
      </c>
      <c r="FX31" s="1065">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65">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69">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69">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69">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69">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69">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69">
        <f t="array" ref="GE31">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8"/>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72" t="e">
        <f t="shared" si="38"/>
        <v>#DIV/0!</v>
      </c>
      <c r="GI31" s="101" t="s">
        <v>94</v>
      </c>
      <c r="GJ31" s="93">
        <f>IFERROR(IF(AND($GJ$2&lt;&gt;"Enter Spend&gt;&gt;&gt;",GK19="EXISTING"),SUMIFS('Existing Customers'!$Q:$Q,'Existing Customers'!$A:$A,$GJ$1,'Existing Customers'!$H:$H,$GI31)*$GJ$4,$GJ$3*$GH31),0)</f>
        <v>0</v>
      </c>
      <c r="GK31" s="88">
        <f>IFERROR(IF(AND($GJ$2&lt;&gt;"Enter Spend&gt;&gt;&gt;",GK2="EXISTING"),SUMIFS('Existing Customers'!$N:$N,'Existing Customers'!$A:$A,$GJ$1,'Existing Customers'!$H:$H,$GI31)*$GJ$4,$GJ31/$GU31),0)</f>
        <v>0</v>
      </c>
      <c r="GL31" s="94">
        <f>IFERROR(IF(AND($GJ$2&lt;&gt;"Enter Spend&gt;&gt;&gt;",GK2="EXISTING"),SUMIFS('Existing Customers'!$O:$O,'Existing Customers'!$H:$H,$GI31,'Existing Customers'!$A:$A,$GJ$1)*$GJ$4,$GK31*$GJ$8),0)</f>
        <v>0</v>
      </c>
      <c r="GM31" s="94">
        <f>IFERROR(IF(AND($GJ$2&lt;&gt;"Enter Spend&gt;&gt;&gt;",GK2="EXISTING"),SUMIFS('Existing Customers'!$P:$P,'Existing Customers'!$A:$A,$GJ$1,'Existing Customers'!$H:$H,$GI31)*$GJ$4,$GJ31/$GV31),0)</f>
        <v>0</v>
      </c>
      <c r="GN31" s="95">
        <f>IFERROR(IF(AND($GJ$2&lt;&gt;"Enter Spend&gt;&gt;&gt;",GK2="EXISTING"),SUMIFS('Existing Customers'!$V:$V,'Existing Customers'!$H:$H,$GI31,'Existing Customers'!$A:$A,$GJ$1)*$GJ$4,0),0)</f>
        <v>0</v>
      </c>
      <c r="GO31" s="95">
        <f>IFERROR(IF(AND($GJ$2&lt;&gt;"Enter Spend&gt;&gt;&gt;",GK2="EXISTING"),SUMIFS('Existing Customers'!$R:$R,'Existing Customers'!$H:$H,$GI31,'Existing Customers'!$A:$A,$GJ$1)*$GJ$4,0),0)</f>
        <v>0</v>
      </c>
      <c r="GP31" s="1065">
        <f>IFERROR(IF(AND($GJ$2&lt;&gt;"Enter Spend&gt;&gt;&gt;",GK2="EXISTING"),SUMIFS('Existing Customers'!$S:$S,'Existing Customers'!$H:$H,$GI31,'Existing Customers'!$A:$A,$GJ$1),GZ31*GJ31),0)</f>
        <v>0</v>
      </c>
      <c r="GQ31" s="1065">
        <f>IFERROR(IF(AND($GJ$2&lt;&gt;"Enter Spend&gt;&gt;&gt;",GK2="EXISTING"),SUMIFS('Existing Customers'!$U:$U,'Existing Customers'!$H:$H,$GI31,'Existing Customers'!$A:$A,$GJ$1),HA31*GJ31),0)</f>
        <v>0</v>
      </c>
      <c r="GR31" s="1068" t="e">
        <f>_xlfn.CONCAT('Customer Inputs'!$AG$12,"_",GI31)</f>
        <v>#N/A</v>
      </c>
      <c r="GS31" s="1068">
        <f t="array" ref="GS31">IFERROR(INDEX('Margin Guidence Table'!$A$1:$AD$30000,MATCH(1,('Margin Guidence Table'!$A$1:$A$10000=GR31)*('Margin Guidence Table'!$I$1:$I$10000&lt;=ROUND($GJ$3,0))*('Margin Guidence Table'!$J$1:$J$10000&gt;=ROUND($GJ$3,0)),0),MATCH("DATA_POINTS",'Margin Guidence Table'!$A$1:$AG$1,0)),0)</f>
        <v>0</v>
      </c>
      <c r="GT31" s="1065" t="str">
        <f t="shared" si="39"/>
        <v>DEFAULT</v>
      </c>
      <c r="GU31" s="1065">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65">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69">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69">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69">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69">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69">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69">
        <f t="array" ref="HB31">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8"/>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72" t="e">
        <f t="shared" si="40"/>
        <v>#DIV/0!</v>
      </c>
      <c r="HF31" s="101" t="s">
        <v>94</v>
      </c>
      <c r="HG31" s="93">
        <f>IFERROR(IF(AND($HG$2&lt;&gt;"Enter Spend&gt;&gt;&gt;",HH19="EXISTING"),SUMIFS('Existing Customers'!$Q:$Q,'Existing Customers'!$A:$A,$HG$1,'Existing Customers'!$H:$H,$HF31)*$HG$4,$HG$3*$HE31),0)</f>
        <v>0</v>
      </c>
      <c r="HH31" s="88">
        <f>IFERROR(IF(AND($HG$2&lt;&gt;"Enter Spend&gt;&gt;&gt;",HH2="EXISTING"),SUMIFS('Existing Customers'!$N:$N,'Existing Customers'!$A:$A,$HG$1,'Existing Customers'!$H:$H,$HF31)*$HG$4,$HG31/$HR31),0)</f>
        <v>0</v>
      </c>
      <c r="HI31" s="94">
        <f>IFERROR(IF(AND($HG$2&lt;&gt;"Enter Spend&gt;&gt;&gt;",HH2="EXISTING"),SUMIFS('Existing Customers'!$O:$O,'Existing Customers'!$H:$H,$HF31,'Existing Customers'!$A:$A,$HG$1)*$HG$4,$HH31*$HG$8),0)</f>
        <v>0</v>
      </c>
      <c r="HJ31" s="94">
        <f>IFERROR(IF(AND($HG$2&lt;&gt;"Enter Spend&gt;&gt;&gt;",HH2="EXISTING"),SUMIFS('Existing Customers'!$P:$P,'Existing Customers'!$A:$A,$HG$1,'Existing Customers'!$H:$H,$HF31)*$HG$4,$HG31/$HS31),0)</f>
        <v>0</v>
      </c>
      <c r="HK31" s="95">
        <f>IFERROR(IF(AND($HG$2&lt;&gt;"Enter Spend&gt;&gt;&gt;",HH2="EXISTING"),SUMIFS('Existing Customers'!$V:$V,'Existing Customers'!$H:$H,$HF31,'Existing Customers'!$A:$A,$HG$1)*$HG$4,0),0)</f>
        <v>0</v>
      </c>
      <c r="HL31" s="95">
        <f>IFERROR(IF(AND($HG$2&lt;&gt;"Enter Spend&gt;&gt;&gt;",HH2="EXISTING"),SUMIFS('Existing Customers'!$R:$R,'Existing Customers'!$H:$H,$HF31,'Existing Customers'!$A:$A,$HG$1)*$HG$4,0),0)</f>
        <v>0</v>
      </c>
      <c r="HM31" s="1065">
        <f>IFERROR(IF(AND($HG$2&lt;&gt;"Enter Spend&gt;&gt;&gt;",HH2="EXISTING"),SUMIFS('Existing Customers'!$S:$S,'Existing Customers'!$H:$H,$HF31,'Existing Customers'!$A:$A,$HG$1),HW31*HG31),0)</f>
        <v>0</v>
      </c>
      <c r="HN31" s="1065">
        <f>IFERROR(IF(AND($HG$2&lt;&gt;"Enter Spend&gt;&gt;&gt;",HH2="EXISTING"),SUMIFS('Existing Customers'!$U:$U,'Existing Customers'!$H:$H,$HF31,'Existing Customers'!$A:$A,$HG$1),HX31*HG31),0)</f>
        <v>0</v>
      </c>
      <c r="HO31" s="1068" t="e">
        <f>_xlfn.CONCAT('Customer Inputs'!$AG$13,"_",HF31)</f>
        <v>#N/A</v>
      </c>
      <c r="HP31" s="1068">
        <f t="array" ref="HP31">IFERROR(INDEX('Margin Guidence Table'!$A$1:$AD$30000,MATCH(1,('Margin Guidence Table'!$A$1:$A$10000=HO31)*('Margin Guidence Table'!$I$1:$I$10000&lt;=ROUND($HG$3,0))*('Margin Guidence Table'!$J$1:$J$10000&gt;=ROUND($HG$3,0)),0),MATCH("DATA_POINTS",'Margin Guidence Table'!$A$1:$AG$1,0)),0)</f>
        <v>0</v>
      </c>
      <c r="HQ31" s="1065" t="str">
        <f t="shared" si="41"/>
        <v>DEFAULT</v>
      </c>
      <c r="HR31" s="1065">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65">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69">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69">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69">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69">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69">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69">
        <f t="array" ref="HY31">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8"/>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72" t="e">
        <f t="shared" si="42"/>
        <v>#DIV/0!</v>
      </c>
      <c r="IC31" s="101" t="s">
        <v>94</v>
      </c>
      <c r="ID31" s="93">
        <f>IFERROR(IF(AND($ID$2&lt;&gt;"Enter Spend&gt;&gt;&gt;",IE19="EXISTING"),SUMIFS('Existing Customers'!$Q:$Q,'Existing Customers'!$A:$A,$ID$1,'Existing Customers'!$H:$H,$IC31)*$ID$4,$ID$3*$IB31),0)</f>
        <v>0</v>
      </c>
      <c r="IE31" s="88">
        <f>IFERROR(IF(AND($ID$2&lt;&gt;"Enter Spend&gt;&gt;&gt;",IE2="EXISTING"),SUMIFS('Existing Customers'!$N:$N,'Existing Customers'!$A:$A,$ID$1,'Existing Customers'!$H:$H,$IC31)*$ID$4,$ID31/$IO31),0)</f>
        <v>0</v>
      </c>
      <c r="IF31" s="94">
        <f>IFERROR(IF(AND($ID$2&lt;&gt;"Enter Spend&gt;&gt;&gt;",IE2="EXISTING"),SUMIFS('Existing Customers'!$O:$O,'Existing Customers'!$H:$H,$IC31,'Existing Customers'!$A:$A,$ID$1)*$ID$4,$IE31*$ID$8),0)</f>
        <v>0</v>
      </c>
      <c r="IG31" s="94">
        <f>IFERROR(IF(AND($ID$2&lt;&gt;"Enter Spend&gt;&gt;&gt;",IE2="EXISTING"),SUMIFS('Existing Customers'!$P:$P,'Existing Customers'!$A:$A,$ID$1,'Existing Customers'!$H:$H,$IC31)*$ID$4,$ID31/$IP31),0)</f>
        <v>0</v>
      </c>
      <c r="IH31" s="378">
        <f>IFERROR(IF(AND($ID$2&lt;&gt;"Enter Spend&gt;&gt;&gt;",IE2="EXISTING"),SUMIFS('Existing Customers'!$V:$V,'Existing Customers'!$H:$H,$IC31,'Existing Customers'!$A:$A,$ID$1)*$ID$4,0),0)</f>
        <v>0</v>
      </c>
      <c r="II31" s="95">
        <f>IFERROR(IF(AND($ID$2&lt;&gt;"Enter Spend&gt;&gt;&gt;",IE2="EXISTING"),SUMIFS('Existing Customers'!$R:$R,'Existing Customers'!$H:$H,$IC31,'Existing Customers'!$A:$A,$ID$1)*$ID$4,0),0)</f>
        <v>0</v>
      </c>
      <c r="IJ31" s="1065">
        <f>IFERROR(IF(AND($ID$2&lt;&gt;"Enter Spend&gt;&gt;&gt;",IE2="EXISTING"),SUMIFS('Existing Customers'!$S:$S,'Existing Customers'!$H:$H,$IC31,'Existing Customers'!$A:$A,$ID$1),IT31*ID31),0)</f>
        <v>0</v>
      </c>
      <c r="IK31" s="1065">
        <f>IFERROR(IF(AND($ID$2&lt;&gt;"Enter Spend&gt;&gt;&gt;",IE2="EXISTING"),SUMIFS('Existing Customers'!$U:$U,'Existing Customers'!$H:$H,$IC31,'Existing Customers'!$A:$A,$ID$1),IU31*ID31),0)</f>
        <v>0</v>
      </c>
      <c r="IL31" s="1068" t="e">
        <f>_xlfn.CONCAT('Customer Inputs'!$AG$14,"_",IC31)</f>
        <v>#N/A</v>
      </c>
      <c r="IM31" s="1068">
        <f t="array" ref="IM31">IFERROR(INDEX('Margin Guidence Table'!$A$1:$AD$30000,MATCH(1,('Margin Guidence Table'!$A$1:$A$10000=IL31)*('Margin Guidence Table'!$I$1:$I$10000&lt;=ROUND($ID$3,0))*('Margin Guidence Table'!$J$1:$J$10000&gt;=ROUND($ID$3,0)),0),MATCH("DATA_POINTS",'Margin Guidence Table'!$A$1:$AG$1,0)),0)</f>
        <v>0</v>
      </c>
      <c r="IN31" s="1065" t="str">
        <f t="shared" si="43"/>
        <v>DEFAULT</v>
      </c>
      <c r="IO31" s="1065">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65">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69">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69">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69">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69">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69">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69">
        <f t="array" ref="IV31">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8"/>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72" t="e">
        <f t="shared" si="44"/>
        <v>#DIV/0!</v>
      </c>
      <c r="IZ31" s="101" t="s">
        <v>94</v>
      </c>
      <c r="JA31" s="93">
        <f>IFERROR(IF(AND($JA$2&lt;&gt;"Enter Spend&gt;&gt;&gt;",JB19="EXISTING"),SUMIFS('Existing Customers'!$Q:$Q,'Existing Customers'!$A:$A,$JA$1,'Existing Customers'!$H:$H,$IZ31)*$JA$4,$JA$3*$IY31),0)</f>
        <v>0</v>
      </c>
      <c r="JB31" s="88">
        <f>IFERROR(IF(AND($JA$2&lt;&gt;"Enter Spend&gt;&gt;&gt;",JB2="EXISTING"),SUMIFS('Existing Customers'!$N:$N,'Existing Customers'!$A:$A,$JA$1,'Existing Customers'!$H:$H,$IZ31)*$JA$4,$JA31/$JL31),0)</f>
        <v>0</v>
      </c>
      <c r="JC31" s="94">
        <f>IFERROR(IF(AND($JA$2&lt;&gt;"Enter Spend&gt;&gt;&gt;",JB2="EXISTING"),SUMIFS('Existing Customers'!$O:$O,'Existing Customers'!$H:$H,$IZ31,'Existing Customers'!$A:$A,$JA$1)*$JA$4,$JB31*$JA$8),0)</f>
        <v>0</v>
      </c>
      <c r="JD31" s="94">
        <f>IFERROR(IF(AND($JA$2&lt;&gt;"Enter Spend&gt;&gt;&gt;",JB2="EXISTING"),SUMIFS('Existing Customers'!$P:$P,'Existing Customers'!$A:$A,$JA$1,'Existing Customers'!$H:$H,$IZ31)*$JA$4,$JA31/$JM31),0)</f>
        <v>0</v>
      </c>
      <c r="JE31" s="378">
        <f>IFERROR(IF(AND($JA$2&lt;&gt;"Enter Spend&gt;&gt;&gt;",JB2="EXISTING"),SUMIFS('Existing Customers'!$V:$V,'Existing Customers'!$H:$H,$IZ31,'Existing Customers'!$A:$A,$JA$1)*$JA$4,0),0)</f>
        <v>0</v>
      </c>
      <c r="JF31" s="95">
        <f>IFERROR(IF(AND($JA$2&lt;&gt;"Enter Spend&gt;&gt;&gt;",JB2="EXISTING"),SUMIFS('Existing Customers'!$R:$R,'Existing Customers'!$H:$H,$IZ31,'Existing Customers'!$A:$A,$JA$1)*$JA$4,0),0)</f>
        <v>0</v>
      </c>
      <c r="JG31" s="1065">
        <f>IFERROR(IF(AND($JA$2&lt;&gt;"Enter Spend&gt;&gt;&gt;",JB2="EXISTING"),SUMIFS('Existing Customers'!$S:$S,'Existing Customers'!$H:$H,$IZ31,'Existing Customers'!$A:$A,$JA$1),JQ31*JA31),0)</f>
        <v>0</v>
      </c>
      <c r="JH31" s="1065">
        <f>IFERROR(IF(AND($JA$2&lt;&gt;"Enter Spend&gt;&gt;&gt;",JB2="EXISTING"),SUMIFS('Existing Customers'!$U:$U,'Existing Customers'!$H:$H,$IZ31,'Existing Customers'!$A:$A,$JA$1),JR31*JA31),0)</f>
        <v>0</v>
      </c>
      <c r="JI31" s="1068" t="e">
        <f>_xlfn.CONCAT('Customer Inputs'!$AG$15,"_",IZ31)</f>
        <v>#N/A</v>
      </c>
      <c r="JJ31" s="1068">
        <f t="array" ref="JJ31">IFERROR(INDEX('Margin Guidence Table'!$A$1:$AD$30000,MATCH(1,('Margin Guidence Table'!$A$1:$A$10000=JI31)*('Margin Guidence Table'!$I$1:$I$10000&lt;=ROUND($JA$3,0))*('Margin Guidence Table'!$J$1:$J$10000&gt;=ROUND($JA$3,0)),0),MATCH("DATA_POINTS",'Margin Guidence Table'!$A$1:$AG$1,0)),0)</f>
        <v>0</v>
      </c>
      <c r="JK31" s="1065" t="str">
        <f t="shared" si="45"/>
        <v>DEFAULT</v>
      </c>
      <c r="JL31" s="1065">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65">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69">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69">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69">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69">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69">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69">
        <f t="array" ref="JS31">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101" t="s">
        <v>94</v>
      </c>
      <c r="JV31" s="96"/>
      <c r="JW31" s="88"/>
      <c r="JX31" s="88"/>
      <c r="JY31" s="88"/>
      <c r="JZ31" s="113"/>
      <c r="KA31" s="97"/>
      <c r="KB31" s="128"/>
      <c r="KD31" s="101" t="s">
        <v>94</v>
      </c>
      <c r="KE31" s="96"/>
      <c r="KF31" s="88"/>
      <c r="KG31" s="88"/>
      <c r="KH31" s="88"/>
      <c r="KI31" s="113"/>
      <c r="KJ31" s="97"/>
    </row>
    <row r="32" spans="2:296" ht="15.75" thickBot="1" x14ac:dyDescent="0.3">
      <c r="B32" s="101" t="s">
        <v>86</v>
      </c>
      <c r="C32" s="451">
        <f t="shared" si="11"/>
        <v>0</v>
      </c>
      <c r="D32" s="467">
        <f t="shared" si="12"/>
        <v>0</v>
      </c>
      <c r="E32" s="467">
        <f t="shared" si="13"/>
        <v>0</v>
      </c>
      <c r="F32" s="467">
        <f t="shared" si="14"/>
        <v>0</v>
      </c>
      <c r="G32" s="468">
        <f t="shared" si="15"/>
        <v>0</v>
      </c>
      <c r="H32" s="467">
        <f t="shared" si="16"/>
        <v>0</v>
      </c>
      <c r="I32" s="1061" t="e">
        <f t="shared" si="0"/>
        <v>#DIV/0!</v>
      </c>
      <c r="J32" s="1061" t="e">
        <f t="shared" si="1"/>
        <v>#DIV/0!</v>
      </c>
      <c r="K32" s="1061" t="e">
        <f t="shared" si="2"/>
        <v>#DIV/0!</v>
      </c>
      <c r="L32" s="467" t="e">
        <f t="shared" si="3"/>
        <v>#DIV/0!</v>
      </c>
      <c r="M32" s="467" t="e">
        <f t="shared" si="17"/>
        <v>#DIV/0!</v>
      </c>
      <c r="N32" s="1062" t="e">
        <f t="shared" si="4"/>
        <v>#DIV/0!</v>
      </c>
      <c r="P32" t="str">
        <f>'PIM Model'!E28</f>
        <v>INCLUDE</v>
      </c>
      <c r="Q32">
        <f t="shared" si="18"/>
        <v>0</v>
      </c>
      <c r="R32">
        <f t="shared" si="19"/>
        <v>0</v>
      </c>
      <c r="S32" s="101" t="s">
        <v>86</v>
      </c>
      <c r="T32" s="96">
        <f t="shared" si="20"/>
        <v>0</v>
      </c>
      <c r="U32" s="88">
        <f t="shared" si="5"/>
        <v>0</v>
      </c>
      <c r="V32" s="88">
        <f t="shared" si="6"/>
        <v>0</v>
      </c>
      <c r="W32" s="88">
        <f t="shared" si="7"/>
        <v>0</v>
      </c>
      <c r="X32" s="113">
        <f t="shared" si="8"/>
        <v>0</v>
      </c>
      <c r="Y32" s="116">
        <f t="shared" si="21"/>
        <v>0</v>
      </c>
      <c r="Z32" s="376"/>
      <c r="AA32" s="101" t="s">
        <v>86</v>
      </c>
      <c r="AB32" s="455">
        <f t="shared" si="9"/>
        <v>0</v>
      </c>
      <c r="AC32" s="456">
        <f t="shared" si="9"/>
        <v>0</v>
      </c>
      <c r="AD32" s="456">
        <f t="shared" si="9"/>
        <v>0</v>
      </c>
      <c r="AE32" s="457">
        <f t="shared" si="22"/>
        <v>0</v>
      </c>
      <c r="AF32" s="458">
        <f t="shared" si="23"/>
        <v>0</v>
      </c>
      <c r="AG32" s="376"/>
      <c r="AH32" s="101" t="s">
        <v>86</v>
      </c>
      <c r="AI32" s="455">
        <f t="shared" si="10"/>
        <v>0</v>
      </c>
      <c r="AJ32" s="452">
        <f t="shared" si="24"/>
        <v>0</v>
      </c>
      <c r="AK32" s="458"/>
      <c r="AL32" s="376"/>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76">
        <f>VLOOKUP($AH32&amp;$AM32,'IMargin Quartiles'!$A:$F,6,FALSE)</f>
        <v>0.17</v>
      </c>
      <c r="AO32" s="376"/>
      <c r="AP32"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Q32" s="376" t="e">
        <f t="shared" si="25"/>
        <v>#DIV/0!</v>
      </c>
      <c r="AR32">
        <f>'PIM Model'!C28</f>
        <v>0</v>
      </c>
      <c r="AS32" s="376"/>
      <c r="AT32" s="376"/>
      <c r="AU32" s="376" t="e">
        <f t="shared" si="46"/>
        <v>#DIV/0!</v>
      </c>
      <c r="AV32" s="376"/>
      <c r="AW32" s="376"/>
      <c r="AX32" s="107">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72" t="e">
        <f t="shared" si="26"/>
        <v>#DIV/0!</v>
      </c>
      <c r="BA32" s="101" t="s">
        <v>86</v>
      </c>
      <c r="BB32" s="93">
        <f>IFERROR(IF(AND($BB$2&lt;&gt;"Enter Spend&gt;&gt;&gt;",BC20="EXISTING"),SUMIFS('Existing Customers'!$Q:$Q,'Existing Customers'!$A:$A,$BB$1,'Existing Customers'!$H:$H,$BA32)*$BB$4,$BB$3*$AZ32),0)</f>
        <v>0</v>
      </c>
      <c r="BC32" s="94">
        <f>IFERROR(IF(AND($BB$2&lt;&gt;"Enter Spend&gt;&gt;&gt;",BC2="EXISTING"),SUMIFS('Existing Customers'!$N:$N,'Existing Customers'!$A:$A,$BB$1,'Existing Customers'!$H:$H,$BA32)*$BB$4,$BB32/$BM32),0)</f>
        <v>0</v>
      </c>
      <c r="BD32" s="94">
        <f>IFERROR(IF(AND($BB$2&lt;&gt;"Enter Spend&gt;&gt;&gt;",BC2="EXISTING"),SUMIFS('Existing Customers'!$O:$O,'Existing Customers'!$H:$H,$BA32,'Existing Customers'!$A:$A,$BB$1)*$BB$4,$BC32*$BB$8),0)</f>
        <v>0</v>
      </c>
      <c r="BE32" s="94">
        <f>IFERROR(IF(AND($BB$2&lt;&gt;"Enter Spend&gt;&gt;&gt;",BC2="EXISTING"),SUMIFS('Existing Customers'!$P:$P,'Existing Customers'!$A:$A,$BB$1,'Existing Customers'!$H:$H,$BA32)*$BB$4,$BB32/$BN32),0)</f>
        <v>0</v>
      </c>
      <c r="BF32" s="378">
        <f>IFERROR(IF(AND($BB$2&lt;&gt;"Enter Spend&gt;&gt;&gt;",BC2="EXISTING"),SUMIFS('Existing Customers'!$V:$V,'Existing Customers'!$H:$H,$BA32,'Existing Customers'!$A:$A,$BB$1)*$BB$4,0),0)</f>
        <v>0</v>
      </c>
      <c r="BG32" s="95">
        <f>IFERROR(IF(AND($BB$2&lt;&gt;"Enter Spend&gt;&gt;&gt;",BC2="EXISTING"),SUMIFS('Existing Customers'!$R:$R,'Existing Customers'!$H:$H,$BA32,'Existing Customers'!$A:$A,$BB$1)*$BB$4,0),0)</f>
        <v>0</v>
      </c>
      <c r="BH32" s="95">
        <f>IFERROR(IF(AND($BB$2&lt;&gt;"Enter Spend&gt;&gt;&gt;",BC2="EXISTING"),SUMIFS('Existing Customers'!$S:$S,'Existing Customers'!$H:$H,$BA32,'Existing Customers'!$A:$A,$BB$1),BR32*BB32),0)</f>
        <v>0</v>
      </c>
      <c r="BI32" s="95">
        <f>IFERROR(IF(AND($BB$2&lt;&gt;"Enter Spend&gt;&gt;&gt;",BC2="EXISTING"),SUMIFS('Existing Customers'!$U:$U,'Existing Customers'!$H:$H,$BA32,'Existing Customers'!$A:$A,$BB$1),BS32*BB32),0)</f>
        <v>0</v>
      </c>
      <c r="BJ32" s="1067" t="e">
        <f>_xlfn.CONCAT('Customer Inputs'!$AG$6,"_",BA32)</f>
        <v>#N/A</v>
      </c>
      <c r="BK32" s="1068">
        <f t="array" ref="BK32">IFERROR(INDEX('Margin Guidence Table'!$A$1:$AD$30000,MATCH(1,('Margin Guidence Table'!$A$1:$A$10000=$BJ32)*('Margin Guidence Table'!$I$1:$I$10000&lt;=ROUND($BB$3,0))*('Margin Guidence Table'!$J$1:$J$10000&gt;=ROUND($BB$3,0)),0),MATCH("DATA_POINTS",'Margin Guidence Table'!$A$1:$AG$1,0)),0)</f>
        <v>0</v>
      </c>
      <c r="BL32" s="1065" t="str">
        <f t="shared" si="27"/>
        <v>DEFAULT</v>
      </c>
      <c r="BM32" s="1065">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65">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69">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69">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69">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69">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69">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69">
        <f t="array" ref="BT32">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8"/>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72" t="e">
        <f t="shared" si="28"/>
        <v>#DIV/0!</v>
      </c>
      <c r="BX32" s="101" t="s">
        <v>86</v>
      </c>
      <c r="BY32" s="93">
        <f>IFERROR(IF(AND($BY$2&lt;&gt;"Enter Spend&gt;&gt;&gt;",BZ20="EXISTING"),SUMIFS('Existing Customers'!$Q:$Q,'Existing Customers'!$A:$A,$BY$1,'Existing Customers'!$H:$H,$BX32)*$BY$4,$BY$3*$BW32),0)</f>
        <v>0</v>
      </c>
      <c r="BZ32" s="88">
        <f>IFERROR(IF(AND($BY$2&lt;&gt;"Enter Spend&gt;&gt;&gt;",BZ2="EXISTING"),SUMIFS('Existing Customers'!$N:$N,'Existing Customers'!$A:$A,$BY$1,'Existing Customers'!$H:$H,$BX32)*$BY$4,$BY32/$CJ32),0)</f>
        <v>0</v>
      </c>
      <c r="CA32" s="94">
        <f>IFERROR(IF(AND($BY$2&lt;&gt;"Enter Spend&gt;&gt;&gt;",BZ2="EXISTING"),SUMIFS('Existing Customers'!$O:$O,'Existing Customers'!$H:$H,$BX32,'Existing Customers'!$A:$A,$BY$1)*$BY$4,$BZ32*$BY$8),0)</f>
        <v>0</v>
      </c>
      <c r="CB32" s="94">
        <f>IFERROR(IF(AND($BY$2&lt;&gt;"Enter Spend&gt;&gt;&gt;",BZ2="EXISTING"),SUMIFS('Existing Customers'!$P:$P,'Existing Customers'!$A:$A,$BY$1,'Existing Customers'!$H:$H,$BX32)*$BY$4,$BY32/$CK32),0)</f>
        <v>0</v>
      </c>
      <c r="CC32" s="95">
        <f>IFERROR(IF(AND($BY$2&lt;&gt;"Enter Spend&gt;&gt;&gt;",BZ2="EXISTING"),SUMIFS('Existing Customers'!$V:$V,'Existing Customers'!$H:$H,$BX32,'Existing Customers'!$A:$A,$BY$1)*$BY$4,0),0)</f>
        <v>0</v>
      </c>
      <c r="CD32" s="95">
        <f>IFERROR(IF(AND($BY$2&lt;&gt;"Enter Spend&gt;&gt;&gt;",BZ2="EXISTING"),SUMIFS('Existing Customers'!$R:$R,'Existing Customers'!$H:$H,$BX32,'Existing Customers'!$A:$A,$BY$1)*$BY$4,0),0)</f>
        <v>0</v>
      </c>
      <c r="CE32" s="1065">
        <f>IFERROR(IF(AND($BY$2&lt;&gt;"Enter Spend&gt;&gt;&gt;",BZ2="EXISTING"),SUMIFS('Existing Customers'!$S:$S,'Existing Customers'!$H:$H,$BX32,'Existing Customers'!$A:$A,$BY$1),CO32*BY32),0)</f>
        <v>0</v>
      </c>
      <c r="CF32" s="1065">
        <f>IFERROR(IF(AND($BY$2&lt;&gt;"Enter Spend&gt;&gt;&gt;",BZ2="EXISTING"),SUMIFS('Existing Customers'!$U:$U,'Existing Customers'!$H:$H,$BX32,'Existing Customers'!$A:$A,$BY$1),CP32*BY32),0)</f>
        <v>0</v>
      </c>
      <c r="CG32" s="1068" t="e">
        <f>_xlfn.CONCAT('Customer Inputs'!$AG$7,"_",BX32)</f>
        <v>#N/A</v>
      </c>
      <c r="CH32" s="1068">
        <f t="array" ref="CH32">IFERROR(INDEX('Margin Guidence Table'!$A$1:$AD$30000,MATCH(1,('Margin Guidence Table'!$A$1:$A$10000=$CG32)*('Margin Guidence Table'!$I$1:$I$10000&lt;=ROUND($BY$3,0))*('Margin Guidence Table'!$J$1:$J$10000&gt;=ROUND($BY$3,0)),0),MATCH("DATA_POINTS",'Margin Guidence Table'!$A$1:$AG$1,0)),0)</f>
        <v>0</v>
      </c>
      <c r="CI32" s="1065" t="str">
        <f t="shared" si="29"/>
        <v>DEFAULT</v>
      </c>
      <c r="CJ32" s="1065">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65">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69">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69">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69">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69">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69">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69">
        <f t="array" ref="CQ32">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8"/>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72" t="e">
        <f t="shared" si="30"/>
        <v>#DIV/0!</v>
      </c>
      <c r="CU32" s="101" t="s">
        <v>86</v>
      </c>
      <c r="CV32" s="93">
        <f>IFERROR(IF(AND($CV$2&lt;&gt;"Enter Spend&gt;&gt;&gt;",CW20="EXISTING"),SUMIFS('Existing Customers'!$Q:$Q,'Existing Customers'!$A:$A,$CV$1,'Existing Customers'!$H:$H,$CU32)*$CV$4,$CV$3*$CT32),0)</f>
        <v>0</v>
      </c>
      <c r="CW32" s="88">
        <f>IFERROR(IF(AND($CV$2&lt;&gt;"Enter Spend&gt;&gt;&gt;",CW2="EXISTING"),SUMIFS('Existing Customers'!$N:$N,'Existing Customers'!$A:$A,$CV$1,'Existing Customers'!$H:$H,$CU32)*$CV$4,$CV32/$DG32),0)</f>
        <v>0</v>
      </c>
      <c r="CX32" s="94">
        <f>IFERROR(IF(AND($CV$2&lt;&gt;"Enter Spend&gt;&gt;&gt;",BC28="EXISTING"),SUMIFS('Existing Customers'!$O:$O,'Existing Customers'!$H:$H,$CU32,'Existing Customers'!$A:$A,$CV$1)*$CV$4,$CW32*$CV$8),0)</f>
        <v>0</v>
      </c>
      <c r="CY32" s="94">
        <f>IFERROR(IF(AND($CV$2&lt;&gt;"Enter Spend&gt;&gt;&gt;",CW2="EXISTING"),SUMIFS('Existing Customers'!$P:$P,'Existing Customers'!$A:$A,$CV$1,'Existing Customers'!$H:$H,$CU32)*$CV$4,$CV32/$DH32),0)</f>
        <v>0</v>
      </c>
      <c r="CZ32" s="95">
        <f>IFERROR(IF(AND($CV$2&lt;&gt;"Enter Spend&gt;&gt;&gt;",CW2="EXISTING"),SUMIFS('Existing Customers'!$V:$V,'Existing Customers'!$H:$H,$CU32,'Existing Customers'!$A:$A,$CV$1)*$CV$4,0),0)</f>
        <v>0</v>
      </c>
      <c r="DA32" s="95">
        <f>IFERROR(IF(AND($CV$2&lt;&gt;"Enter Spend&gt;&gt;&gt;",CW2="EXISTING"),SUMIFS('Existing Customers'!$R:$R,'Existing Customers'!$H:$H,$BA32,'Existing Customers'!$A:$A,$CV$1)*$CV$4,0),0)</f>
        <v>0</v>
      </c>
      <c r="DB32" s="1065">
        <f>IFERROR(IF(AND($CV$2&lt;&gt;"Enter Spend&gt;&gt;&gt;",CW2="EXISTING"),SUMIFS('Existing Customers'!$S:$S,'Existing Customers'!$H:$H,$CU32,'Existing Customers'!$A:$A,$CV$1),DL32*CV32),0)</f>
        <v>0</v>
      </c>
      <c r="DC32" s="1065">
        <f>IFERROR(IF(AND($CV$2&lt;&gt;"Enter Spend&gt;&gt;&gt;",CW2="EXISTING"),SUMIFS('Existing Customers'!$U:$U,'Existing Customers'!$H:$H,$CU32,'Existing Customers'!$A:$A,$CV$1),DM32*CV32),0)</f>
        <v>0</v>
      </c>
      <c r="DD32" s="1068" t="e">
        <f>_xlfn.CONCAT('Customer Inputs'!$AG$8,"_",CU32)</f>
        <v>#N/A</v>
      </c>
      <c r="DE32" s="1068">
        <f t="array" ref="DE32">IFERROR(INDEX('Margin Guidence Table'!$A$1:$AD$30000,MATCH(1,('Margin Guidence Table'!$A$1:$A$10000=DD32)*('Margin Guidence Table'!$I$1:$I$10000&lt;=ROUND($CV$3,0))*('Margin Guidence Table'!$J$1:$J$10000&gt;=ROUND($CV$3,0)),0),MATCH("DATA_POINTS",'Margin Guidence Table'!$A$1:$AG$1,0)),0)</f>
        <v>0</v>
      </c>
      <c r="DF32" s="1065" t="str">
        <f t="shared" si="31"/>
        <v>DEFAULT</v>
      </c>
      <c r="DG32" s="1065">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65">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69">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69">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69">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69">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69">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69">
        <f t="array" ref="DN32">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8"/>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72" t="e">
        <f t="shared" si="32"/>
        <v>#DIV/0!</v>
      </c>
      <c r="DR32" s="101" t="s">
        <v>86</v>
      </c>
      <c r="DS32" s="93">
        <f>IFERROR(IF(AND($DS$2&lt;&gt;"Enter Spend&gt;&gt;&gt;",DT20="EXISTING"),SUMIFS('Existing Customers'!$Q:$Q,'Existing Customers'!$A:$A,$DS$1,'Existing Customers'!$H:$H,$DR32)*$DS$4,$DS$3*$DQ32),0)</f>
        <v>0</v>
      </c>
      <c r="DT32" s="88">
        <f>IFERROR(IF(AND($DS$2&lt;&gt;"Enter Spend&gt;&gt;&gt;",DT2="EXISTING"),SUMIFS('Existing Customers'!$N:$N,'Existing Customers'!$A:$A,$DS$1,'Existing Customers'!$H:$H,$DR32)*$DS$4,$DS32/$ED32),0)</f>
        <v>0</v>
      </c>
      <c r="DU32" s="94">
        <f>IFERROR(IF(AND($DS$2&lt;&gt;"Enter Spend&gt;&gt;&gt;",DT2="EXISTING"),SUMIFS('Existing Customers'!$O:$O,'Existing Customers'!$H:$H,$DR32,'Existing Customers'!$A:$A,$DS$1)*$DS$4,$DT32*$DS$8),0)</f>
        <v>0</v>
      </c>
      <c r="DV32" s="94">
        <f>IFERROR(IF(AND($DS$2&lt;&gt;"Enter Spend&gt;&gt;&gt;",DT2="EXISTING"),SUMIFS('Existing Customers'!$P:$P,'Existing Customers'!$A:$A,$DS$1,'Existing Customers'!$H:$H,$DR32)*$DS$4,$DS32/$EE32),0)</f>
        <v>0</v>
      </c>
      <c r="DW32" s="95">
        <f>IFERROR(IF(AND($DS$2&lt;&gt;"Enter Spend&gt;&gt;&gt;",EQ2="EXISTING"),SUMIFS('Existing Customers'!$V:$V,'Existing Customers'!$H:$H,$DR32,'Existing Customers'!$A:$A,$DS$1)*$DS$4,0),0)</f>
        <v>0</v>
      </c>
      <c r="DX32" s="95">
        <f>IFERROR(IF(AND($DS$2&lt;&gt;"Enter Spend&gt;&gt;&gt;",DT2="EXISTING"),SUMIFS('Existing Customers'!$R:$R,'Existing Customers'!$H:$H,$DR32,'Existing Customers'!$A:$A,$DS$1)*$DS$4,0),0)</f>
        <v>0</v>
      </c>
      <c r="DY32" s="1065">
        <f>IFERROR(IF(AND($DS$2&lt;&gt;"Enter Spend&gt;&gt;&gt;",DT2="EXISTING"),SUMIFS('Existing Customers'!$S:$S,'Existing Customers'!$H:$H,$DT32,'Existing Customers'!$A:$A,$DS$1),EI32*DS32),0)</f>
        <v>0</v>
      </c>
      <c r="DZ32" s="1065">
        <f>IFERROR(IF(AND($DS$2&lt;&gt;"Enter Spend&gt;&gt;&gt;",DT2="EXISTING"),SUMIFS('Existing Customers'!$U:$U,'Existing Customers'!$H:$H,$DR32,'Existing Customers'!$A:$A,$DS$1),EJ32*DS32),0)</f>
        <v>0</v>
      </c>
      <c r="EA32" s="1068" t="e">
        <f>_xlfn.CONCAT('Customer Inputs'!$AG$9,"_",DR32)</f>
        <v>#N/A</v>
      </c>
      <c r="EB32" s="1068">
        <f t="array" ref="EB32">IFERROR(INDEX('Margin Guidence Table'!$A$1:$AD$30000,MATCH(1,('Margin Guidence Table'!$A$1:$A$10000=EA32)*('Margin Guidence Table'!$I$1:$I$10000&lt;=ROUND($DS$3,0))*('Margin Guidence Table'!$J$1:$J$10000&gt;=ROUND($DS$3,0)),0),MATCH("DATA_POINTS",'Margin Guidence Table'!$A$1:$AG$1,0)),0)</f>
        <v>0</v>
      </c>
      <c r="EC32" s="1065" t="str">
        <f t="shared" si="33"/>
        <v>DEFAULT</v>
      </c>
      <c r="ED32" s="1065">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65">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69">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69">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69">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69">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69">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69">
        <f t="array" ref="EK32">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8"/>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72" t="e">
        <f t="shared" si="34"/>
        <v>#DIV/0!</v>
      </c>
      <c r="EO32" s="101" t="s">
        <v>86</v>
      </c>
      <c r="EP32" s="93">
        <f>IFERROR(IF(AND($EP$2&lt;&gt;"Enter Spend&gt;&gt;&gt;",EQ20="EXISTING"),SUMIFS('Existing Customers'!$Q:$Q,'Existing Customers'!$A:$A,$EP$1,'Existing Customers'!$H:$H,$EO32)*$EP$4,$EP$3*$EN32),0)</f>
        <v>0</v>
      </c>
      <c r="EQ32" s="88">
        <f>IFERROR(IF(AND($EP$2&lt;&gt;"Enter Spend&gt;&gt;&gt;",EQ2="EXISTING"),SUMIFS('Existing Customers'!$N:$N,'Existing Customers'!$A:$A,$EP$1,'Existing Customers'!$H:$H,$EO32)*$EP$4,$EP32/$FA32),0)</f>
        <v>0</v>
      </c>
      <c r="ER32" s="94">
        <f>IFERROR(IF(AND($EP$2&lt;&gt;"Enter Spend&gt;&gt;&gt;",EQ2="EXISTING"),SUMIFS('Existing Customers'!$O:$O,'Existing Customers'!$H:$H,$EO32,'Existing Customers'!$A:$A,$EP$1)*$EP$4,$EQ32*$EP$8),0)</f>
        <v>0</v>
      </c>
      <c r="ES32" s="94">
        <f>IFERROR(IF(AND($EP$2&lt;&gt;"Enter Spend&gt;&gt;&gt;",EQ2="EXISTING"),SUMIFS('Existing Customers'!$P:$P,'Existing Customers'!$A:$A,$EP$1,'Existing Customers'!$H:$H,$EO32)*$EP$4,$EP32/$FB32),0)</f>
        <v>0</v>
      </c>
      <c r="ET32" s="95">
        <f>IFERROR(IF(AND($EP$2&lt;&gt;"Enter Spend&gt;&gt;&gt;",EQ2="EXISTING"),SUMIFS('Existing Customers'!$V:$V,'Existing Customers'!$H:$H,$EO32,'Existing Customers'!$A:$A,$EP$1)*$EP$4,0),0)</f>
        <v>0</v>
      </c>
      <c r="EU32" s="95">
        <f>IFERROR(IF(AND($EP$2&lt;&gt;"Enter Spend&gt;&gt;&gt;",EQ2="EXISTING"),SUMIFS('Existing Customers'!$R:$R,'Existing Customers'!$H:$H,$EO32,'Existing Customers'!$A:$A,$EP$1)*$EP$4,0),0)</f>
        <v>0</v>
      </c>
      <c r="EV32" s="1065">
        <f>IFERROR(IF(AND($EP$2&lt;&gt;"Enter Spend&gt;&gt;&gt;",EQ2="EXISTING"),SUMIFS('Existing Customers'!$S:$S,'Existing Customers'!$H:$H,$EO32,'Existing Customers'!$A:$A,$EP$1),FF32*EP32),0)</f>
        <v>0</v>
      </c>
      <c r="EW32" s="1065">
        <f>IFERROR(IF(AND($EP$2&lt;&gt;"Enter Spend&gt;&gt;&gt;",EQ2="EXISTING"),SUMIFS('Existing Customers'!$U:$U,'Existing Customers'!$H:$H,$EO32,'Existing Customers'!$A:$A,$EP$1),FG32*EP32),0)</f>
        <v>0</v>
      </c>
      <c r="EX32" s="1068" t="e">
        <f>_xlfn.CONCAT('Customer Inputs'!$AG$10,"_",EO32)</f>
        <v>#N/A</v>
      </c>
      <c r="EY32" s="1068">
        <f t="array" ref="EY32">IFERROR(INDEX('Margin Guidence Table'!$A$1:$AD$30000,MATCH(1,('Margin Guidence Table'!$A$1:$A$10000=EX32)*('Margin Guidence Table'!$I$1:$I$10000&lt;=ROUND($EP$3,0))*('Margin Guidence Table'!$J$1:$J$10000&gt;=ROUND($EP$3,0)),0),MATCH("DATA_POINTS",'Margin Guidence Table'!$A$1:$AG$1,0)),0)</f>
        <v>0</v>
      </c>
      <c r="EZ32" s="1065" t="str">
        <f t="shared" si="35"/>
        <v>DEFAULT</v>
      </c>
      <c r="FA32" s="1065">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65"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69">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69">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69">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69">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69">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69">
        <f t="array" ref="FH32">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8"/>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72" t="e">
        <f t="shared" si="36"/>
        <v>#DIV/0!</v>
      </c>
      <c r="FL32" s="101" t="s">
        <v>86</v>
      </c>
      <c r="FM32" s="93">
        <f>IFERROR(IF(AND($FM$2&lt;&gt;"Enter Spend&gt;&gt;&gt;",FN20="EXISTING"),SUMIFS('Existing Customers'!$Q:$Q,'Existing Customers'!$A:$A,$FM$1,'Existing Customers'!$H:$H,$FL32)*$FM$4,$FM$3*$FK32),0)</f>
        <v>0</v>
      </c>
      <c r="FN32" s="88">
        <f>IFERROR(IF(AND($FM$2&lt;&gt;"Enter Spend&gt;&gt;&gt;",FN2="EXISTING"),SUMIFS('Existing Customers'!$N:$N,'Existing Customers'!$A:$A,$FM$1,'Existing Customers'!$H:$H,$FL32)*$FM$4,$FM32/$FX32),0)</f>
        <v>0</v>
      </c>
      <c r="FO32" s="94">
        <f>IFERROR(IF(AND($FM$2&lt;&gt;"Enter Spend&gt;&gt;&gt;",FN2="EXISTING"),SUMIFS('Existing Customers'!$O:$O,'Existing Customers'!$H:$H,$FL32,'Existing Customers'!$A:$A,$FM$1)*$FM$4,$FN32*$FM$8),0)</f>
        <v>0</v>
      </c>
      <c r="FP32" s="94">
        <f>IFERROR(IF(AND($FM$2&lt;&gt;"Enter Spend&gt;&gt;&gt;",FN2="EXISTING"),SUMIFS('Existing Customers'!$P:$P,'Existing Customers'!$A:$A,$FM$1,'Existing Customers'!$H:$H,$FL32)*$FM$4,$FM32/$FY32),0)</f>
        <v>0</v>
      </c>
      <c r="FQ32" s="95">
        <f>IFERROR(IF(AND($FM$2&lt;&gt;"Enter Spend&gt;&gt;&gt;",FN2="EXISTING"),SUMIFS('Existing Customers'!$V:$V,'Existing Customers'!$H:$H,$FL32,'Existing Customers'!$A:$A,$FM$1)*$FM$4,0),0)</f>
        <v>0</v>
      </c>
      <c r="FR32" s="95">
        <f>IFERROR(IF(AND($FM$2&lt;&gt;"Enter Spend&gt;&gt;&gt;",FN2="EXISTING"),SUMIFS('Existing Customers'!$R:$R,'Existing Customers'!$H:$H,$FL32,'Existing Customers'!$A:$A,$FM$1)*$FM$4,0),0)</f>
        <v>0</v>
      </c>
      <c r="FS32" s="1065">
        <f>IFERROR(IF(AND($FM$2&lt;&gt;"Enter Spend&gt;&gt;&gt;",FN2="EXISTING"),SUMIFS('Existing Customers'!$S:$S,'Existing Customers'!$H:$H,$FL32,'Existing Customers'!$A:$A,$FM$1),GC32*FM32),0)</f>
        <v>0</v>
      </c>
      <c r="FT32" s="1065">
        <f>IFERROR(IF(AND($FM$2&lt;&gt;"Enter Spend&gt;&gt;&gt;",FN2="EXISTING"),SUMIFS('Existing Customers'!$U:$U,'Existing Customers'!$H:$H,$FL32,'Existing Customers'!$A:$A,$FM$1),GD32*FM32),0)</f>
        <v>0</v>
      </c>
      <c r="FU32" s="1068" t="e">
        <f>_xlfn.CONCAT('Customer Inputs'!$AG$11,"_",FL32)</f>
        <v>#N/A</v>
      </c>
      <c r="FV32" s="1068">
        <f t="array" ref="FV32">IFERROR(INDEX('Margin Guidence Table'!$A$1:$AD$30000,MATCH(1,('Margin Guidence Table'!$A$1:$A$10000=FU32)*('Margin Guidence Table'!$I$1:$I$10000&lt;=ROUND($FM$3,0))*('Margin Guidence Table'!$J$1:$J$10000&gt;=ROUND($FM$3,0)),0),MATCH("DATA_POINTS",'Margin Guidence Table'!$A$1:$AG$1,0)),0)</f>
        <v>0</v>
      </c>
      <c r="FW32" s="1065" t="str">
        <f t="shared" si="37"/>
        <v>DEFAULT</v>
      </c>
      <c r="FX32" s="1065">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65">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69">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69">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69">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69">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69">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69">
        <f t="array" ref="GE32">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8"/>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72" t="e">
        <f t="shared" si="38"/>
        <v>#DIV/0!</v>
      </c>
      <c r="GI32" s="101" t="s">
        <v>86</v>
      </c>
      <c r="GJ32" s="93">
        <f>IFERROR(IF(AND($GJ$2&lt;&gt;"Enter Spend&gt;&gt;&gt;",GK20="EXISTING"),SUMIFS('Existing Customers'!$Q:$Q,'Existing Customers'!$A:$A,$GJ$1,'Existing Customers'!$H:$H,$GI32)*$GJ$4,$GJ$3*$GH32),0)</f>
        <v>0</v>
      </c>
      <c r="GK32" s="88">
        <f>IFERROR(IF(AND($GJ$2&lt;&gt;"Enter Spend&gt;&gt;&gt;",GK2="EXISTING"),SUMIFS('Existing Customers'!$N:$N,'Existing Customers'!$A:$A,$GJ$1,'Existing Customers'!$H:$H,$GI32)*$GJ$4,$GJ32/$GU32),0)</f>
        <v>0</v>
      </c>
      <c r="GL32" s="94">
        <f>IFERROR(IF(AND($GJ$2&lt;&gt;"Enter Spend&gt;&gt;&gt;",GK2="EXISTING"),SUMIFS('Existing Customers'!$O:$O,'Existing Customers'!$H:$H,$GI32,'Existing Customers'!$A:$A,$GJ$1)*$GJ$4,$GK32*$GJ$8),0)</f>
        <v>0</v>
      </c>
      <c r="GM32" s="94">
        <f>IFERROR(IF(AND($GJ$2&lt;&gt;"Enter Spend&gt;&gt;&gt;",GK2="EXISTING"),SUMIFS('Existing Customers'!$P:$P,'Existing Customers'!$A:$A,$GJ$1,'Existing Customers'!$H:$H,$GI32)*$GJ$4,$GJ32/$GV32),0)</f>
        <v>0</v>
      </c>
      <c r="GN32" s="95">
        <f>IFERROR(IF(AND($GJ$2&lt;&gt;"Enter Spend&gt;&gt;&gt;",GK2="EXISTING"),SUMIFS('Existing Customers'!$V:$V,'Existing Customers'!$H:$H,$GI32,'Existing Customers'!$A:$A,$GJ$1)*$GJ$4,0),0)</f>
        <v>0</v>
      </c>
      <c r="GO32" s="95">
        <f>IFERROR(IF(AND($GJ$2&lt;&gt;"Enter Spend&gt;&gt;&gt;",GK2="EXISTING"),SUMIFS('Existing Customers'!$R:$R,'Existing Customers'!$H:$H,$GI32,'Existing Customers'!$A:$A,$GJ$1)*$GJ$4,0),0)</f>
        <v>0</v>
      </c>
      <c r="GP32" s="1065">
        <f>IFERROR(IF(AND($GJ$2&lt;&gt;"Enter Spend&gt;&gt;&gt;",GK2="EXISTING"),SUMIFS('Existing Customers'!$S:$S,'Existing Customers'!$H:$H,$GI32,'Existing Customers'!$A:$A,$GJ$1),GZ32*GJ32),0)</f>
        <v>0</v>
      </c>
      <c r="GQ32" s="1065">
        <f>IFERROR(IF(AND($GJ$2&lt;&gt;"Enter Spend&gt;&gt;&gt;",GK2="EXISTING"),SUMIFS('Existing Customers'!$U:$U,'Existing Customers'!$H:$H,$GI32,'Existing Customers'!$A:$A,$GJ$1),HA32*GJ32),0)</f>
        <v>0</v>
      </c>
      <c r="GR32" s="1068" t="e">
        <f>_xlfn.CONCAT('Customer Inputs'!$AG$12,"_",GI32)</f>
        <v>#N/A</v>
      </c>
      <c r="GS32" s="1068">
        <f t="array" ref="GS32">IFERROR(INDEX('Margin Guidence Table'!$A$1:$AD$30000,MATCH(1,('Margin Guidence Table'!$A$1:$A$10000=GR32)*('Margin Guidence Table'!$I$1:$I$10000&lt;=ROUND($GJ$3,0))*('Margin Guidence Table'!$J$1:$J$10000&gt;=ROUND($GJ$3,0)),0),MATCH("DATA_POINTS",'Margin Guidence Table'!$A$1:$AG$1,0)),0)</f>
        <v>0</v>
      </c>
      <c r="GT32" s="1065" t="str">
        <f t="shared" si="39"/>
        <v>DEFAULT</v>
      </c>
      <c r="GU32" s="1065">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65">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69">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69">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69">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69">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69">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69">
        <f t="array" ref="HB32">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8"/>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72" t="e">
        <f t="shared" si="40"/>
        <v>#DIV/0!</v>
      </c>
      <c r="HF32" s="101" t="s">
        <v>86</v>
      </c>
      <c r="HG32" s="93">
        <f>IFERROR(IF(AND($HG$2&lt;&gt;"Enter Spend&gt;&gt;&gt;",HH20="EXISTING"),SUMIFS('Existing Customers'!$Q:$Q,'Existing Customers'!$A:$A,$HG$1,'Existing Customers'!$H:$H,$HF32)*$HG$4,$HG$3*$HE32),0)</f>
        <v>0</v>
      </c>
      <c r="HH32" s="88">
        <f>IFERROR(IF(AND($HG$2&lt;&gt;"Enter Spend&gt;&gt;&gt;",HH2="EXISTING"),SUMIFS('Existing Customers'!$N:$N,'Existing Customers'!$A:$A,$HG$1,'Existing Customers'!$H:$H,$HF32)*$HG$4,$HG32/$HR32),0)</f>
        <v>0</v>
      </c>
      <c r="HI32" s="94">
        <f>IFERROR(IF(AND($HG$2&lt;&gt;"Enter Spend&gt;&gt;&gt;",HH2="EXISTING"),SUMIFS('Existing Customers'!$O:$O,'Existing Customers'!$H:$H,$HF32,'Existing Customers'!$A:$A,$HG$1)*$HG$4,$HH32*$HG$8),0)</f>
        <v>0</v>
      </c>
      <c r="HJ32" s="94">
        <f>IFERROR(IF(AND($HG$2&lt;&gt;"Enter Spend&gt;&gt;&gt;",HH2="EXISTING"),SUMIFS('Existing Customers'!$P:$P,'Existing Customers'!$A:$A,$HG$1,'Existing Customers'!$H:$H,$HF32)*$HG$4,$HG32/$HS32),0)</f>
        <v>0</v>
      </c>
      <c r="HK32" s="95">
        <f>IFERROR(IF(AND($HG$2&lt;&gt;"Enter Spend&gt;&gt;&gt;",HH2="EXISTING"),SUMIFS('Existing Customers'!$V:$V,'Existing Customers'!$H:$H,$HF32,'Existing Customers'!$A:$A,$HG$1)*$HG$4,0),0)</f>
        <v>0</v>
      </c>
      <c r="HL32" s="95">
        <f>IFERROR(IF(AND($HG$2&lt;&gt;"Enter Spend&gt;&gt;&gt;",HH2="EXISTING"),SUMIFS('Existing Customers'!$R:$R,'Existing Customers'!$H:$H,$HF32,'Existing Customers'!$A:$A,$HG$1)*$HG$4,0),0)</f>
        <v>0</v>
      </c>
      <c r="HM32" s="1065">
        <f>IFERROR(IF(AND($HG$2&lt;&gt;"Enter Spend&gt;&gt;&gt;",HH2="EXISTING"),SUMIFS('Existing Customers'!$S:$S,'Existing Customers'!$H:$H,$HF32,'Existing Customers'!$A:$A,$HG$1),HW32*HG32),0)</f>
        <v>0</v>
      </c>
      <c r="HN32" s="1065">
        <f>IFERROR(IF(AND($HG$2&lt;&gt;"Enter Spend&gt;&gt;&gt;",HH2="EXISTING"),SUMIFS('Existing Customers'!$U:$U,'Existing Customers'!$H:$H,$HF32,'Existing Customers'!$A:$A,$HG$1),HX32*HG32),0)</f>
        <v>0</v>
      </c>
      <c r="HO32" s="1068" t="e">
        <f>_xlfn.CONCAT('Customer Inputs'!$AG$13,"_",HF32)</f>
        <v>#N/A</v>
      </c>
      <c r="HP32" s="1068">
        <f t="array" ref="HP32">IFERROR(INDEX('Margin Guidence Table'!$A$1:$AD$30000,MATCH(1,('Margin Guidence Table'!$A$1:$A$10000=HO32)*('Margin Guidence Table'!$I$1:$I$10000&lt;=ROUND($HG$3,0))*('Margin Guidence Table'!$J$1:$J$10000&gt;=ROUND($HG$3,0)),0),MATCH("DATA_POINTS",'Margin Guidence Table'!$A$1:$AG$1,0)),0)</f>
        <v>0</v>
      </c>
      <c r="HQ32" s="1065" t="str">
        <f t="shared" si="41"/>
        <v>DEFAULT</v>
      </c>
      <c r="HR32" s="1065">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65">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69">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69">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69">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69">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69">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69">
        <f t="array" ref="HY32">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8"/>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72" t="e">
        <f t="shared" si="42"/>
        <v>#DIV/0!</v>
      </c>
      <c r="IC32" s="101" t="s">
        <v>86</v>
      </c>
      <c r="ID32" s="93">
        <f>IFERROR(IF(AND($ID$2&lt;&gt;"Enter Spend&gt;&gt;&gt;",IE20="EXISTING"),SUMIFS('Existing Customers'!$Q:$Q,'Existing Customers'!$A:$A,$ID$1,'Existing Customers'!$H:$H,$IC32)*$ID$4,$ID$3*$IB32),0)</f>
        <v>0</v>
      </c>
      <c r="IE32" s="88">
        <f>IFERROR(IF(AND($ID$2&lt;&gt;"Enter Spend&gt;&gt;&gt;",IE2="EXISTING"),SUMIFS('Existing Customers'!$N:$N,'Existing Customers'!$A:$A,$ID$1,'Existing Customers'!$H:$H,$IC32)*$ID$4,$ID32/$IO32),0)</f>
        <v>0</v>
      </c>
      <c r="IF32" s="94">
        <f>IFERROR(IF(AND($ID$2&lt;&gt;"Enter Spend&gt;&gt;&gt;",IE2="EXISTING"),SUMIFS('Existing Customers'!$O:$O,'Existing Customers'!$H:$H,$IC32,'Existing Customers'!$A:$A,$ID$1)*$ID$4,$IE32*$ID$8),0)</f>
        <v>0</v>
      </c>
      <c r="IG32" s="94">
        <f>IFERROR(IF(AND($ID$2&lt;&gt;"Enter Spend&gt;&gt;&gt;",IE2="EXISTING"),SUMIFS('Existing Customers'!$P:$P,'Existing Customers'!$A:$A,$ID$1,'Existing Customers'!$H:$H,$IC32)*$ID$4,$ID32/$IP32),0)</f>
        <v>0</v>
      </c>
      <c r="IH32" s="378">
        <f>IFERROR(IF(AND($ID$2&lt;&gt;"Enter Spend&gt;&gt;&gt;",IE2="EXISTING"),SUMIFS('Existing Customers'!$V:$V,'Existing Customers'!$H:$H,$IC32,'Existing Customers'!$A:$A,$ID$1)*$ID$4,0),0)</f>
        <v>0</v>
      </c>
      <c r="II32" s="95">
        <f>IFERROR(IF(AND($ID$2&lt;&gt;"Enter Spend&gt;&gt;&gt;",IE2="EXISTING"),SUMIFS('Existing Customers'!$R:$R,'Existing Customers'!$H:$H,$IC32,'Existing Customers'!$A:$A,$ID$1)*$ID$4,0),0)</f>
        <v>0</v>
      </c>
      <c r="IJ32" s="1065">
        <f>IFERROR(IF(AND($ID$2&lt;&gt;"Enter Spend&gt;&gt;&gt;",IE2="EXISTING"),SUMIFS('Existing Customers'!$S:$S,'Existing Customers'!$H:$H,$IC32,'Existing Customers'!$A:$A,$ID$1),IT32*ID32),0)</f>
        <v>0</v>
      </c>
      <c r="IK32" s="1065">
        <f>IFERROR(IF(AND($ID$2&lt;&gt;"Enter Spend&gt;&gt;&gt;",IE2="EXISTING"),SUMIFS('Existing Customers'!$U:$U,'Existing Customers'!$H:$H,$IC32,'Existing Customers'!$A:$A,$ID$1),IU32*ID32),0)</f>
        <v>0</v>
      </c>
      <c r="IL32" s="1068" t="e">
        <f>_xlfn.CONCAT('Customer Inputs'!$AG$14,"_",IC32)</f>
        <v>#N/A</v>
      </c>
      <c r="IM32" s="1068">
        <f t="array" ref="IM32">IFERROR(INDEX('Margin Guidence Table'!$A$1:$AD$30000,MATCH(1,('Margin Guidence Table'!$A$1:$A$10000=IL32)*('Margin Guidence Table'!$I$1:$I$10000&lt;=ROUND($ID$3,0))*('Margin Guidence Table'!$J$1:$J$10000&gt;=ROUND($ID$3,0)),0),MATCH("DATA_POINTS",'Margin Guidence Table'!$A$1:$AG$1,0)),0)</f>
        <v>0</v>
      </c>
      <c r="IN32" s="1065" t="str">
        <f t="shared" si="43"/>
        <v>DEFAULT</v>
      </c>
      <c r="IO32" s="1065">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65">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69">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69">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69">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69">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69">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69">
        <f t="array" ref="IV32">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8"/>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72" t="e">
        <f t="shared" si="44"/>
        <v>#DIV/0!</v>
      </c>
      <c r="IZ32" s="101" t="s">
        <v>86</v>
      </c>
      <c r="JA32" s="93">
        <f>IFERROR(IF(AND($JA$2&lt;&gt;"Enter Spend&gt;&gt;&gt;",JB20="EXISTING"),SUMIFS('Existing Customers'!$Q:$Q,'Existing Customers'!$A:$A,$JA$1,'Existing Customers'!$H:$H,$IZ32)*$JA$4,$JA$3*$IY32),0)</f>
        <v>0</v>
      </c>
      <c r="JB32" s="88">
        <f>IFERROR(IF(AND($JA$2&lt;&gt;"Enter Spend&gt;&gt;&gt;",JB2="EXISTING"),SUMIFS('Existing Customers'!$N:$N,'Existing Customers'!$A:$A,$JA$1,'Existing Customers'!$H:$H,$IZ32)*$JA$4,$JA32/$JL32),0)</f>
        <v>0</v>
      </c>
      <c r="JC32" s="94">
        <f>IFERROR(IF(AND($JA$2&lt;&gt;"Enter Spend&gt;&gt;&gt;",JB2="EXISTING"),SUMIFS('Existing Customers'!$O:$O,'Existing Customers'!$H:$H,$IZ32,'Existing Customers'!$A:$A,$JA$1)*$JA$4,$JB32*$JA$8),0)</f>
        <v>0</v>
      </c>
      <c r="JD32" s="94">
        <f>IFERROR(IF(AND($JA$2&lt;&gt;"Enter Spend&gt;&gt;&gt;",JB2="EXISTING"),SUMIFS('Existing Customers'!$P:$P,'Existing Customers'!$A:$A,$JA$1,'Existing Customers'!$H:$H,$IZ32)*$JA$4,$JA32/$JM32),0)</f>
        <v>0</v>
      </c>
      <c r="JE32" s="378">
        <f>IFERROR(IF(AND($JA$2&lt;&gt;"Enter Spend&gt;&gt;&gt;",JB2="EXISTING"),SUMIFS('Existing Customers'!$V:$V,'Existing Customers'!$H:$H,$IZ32,'Existing Customers'!$A:$A,$JA$1)*$JA$4,0),0)</f>
        <v>0</v>
      </c>
      <c r="JF32" s="95">
        <f>IFERROR(IF(AND($JA$2&lt;&gt;"Enter Spend&gt;&gt;&gt;",JB2="EXISTING"),SUMIFS('Existing Customers'!$R:$R,'Existing Customers'!$H:$H,$IZ32,'Existing Customers'!$A:$A,$JA$1)*$JA$4,0),0)</f>
        <v>0</v>
      </c>
      <c r="JG32" s="1065">
        <f>IFERROR(IF(AND($JA$2&lt;&gt;"Enter Spend&gt;&gt;&gt;",JB2="EXISTING"),SUMIFS('Existing Customers'!$S:$S,'Existing Customers'!$H:$H,$IZ32,'Existing Customers'!$A:$A,$JA$1),JQ32*JA32),0)</f>
        <v>0</v>
      </c>
      <c r="JH32" s="1065">
        <f>IFERROR(IF(AND($JA$2&lt;&gt;"Enter Spend&gt;&gt;&gt;",JB2="EXISTING"),SUMIFS('Existing Customers'!$U:$U,'Existing Customers'!$H:$H,$IZ32,'Existing Customers'!$A:$A,$JA$1),JR32*JA32),0)</f>
        <v>0</v>
      </c>
      <c r="JI32" s="1068" t="e">
        <f>_xlfn.CONCAT('Customer Inputs'!$AG$15,"_",IZ32)</f>
        <v>#N/A</v>
      </c>
      <c r="JJ32" s="1068">
        <f t="array" ref="JJ32">IFERROR(INDEX('Margin Guidence Table'!$A$1:$AD$30000,MATCH(1,('Margin Guidence Table'!$A$1:$A$10000=JI32)*('Margin Guidence Table'!$I$1:$I$10000&lt;=ROUND($JA$3,0))*('Margin Guidence Table'!$J$1:$J$10000&gt;=ROUND($JA$3,0)),0),MATCH("DATA_POINTS",'Margin Guidence Table'!$A$1:$AG$1,0)),0)</f>
        <v>0</v>
      </c>
      <c r="JK32" s="1065" t="str">
        <f t="shared" si="45"/>
        <v>DEFAULT</v>
      </c>
      <c r="JL32" s="1065">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65">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69">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69">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69">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69">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69">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69">
        <f t="array" ref="JS32">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101" t="s">
        <v>86</v>
      </c>
      <c r="JV32" s="96"/>
      <c r="JW32" s="88"/>
      <c r="JX32" s="88"/>
      <c r="JY32" s="88"/>
      <c r="JZ32" s="113"/>
      <c r="KA32" s="97"/>
      <c r="KB32" s="128"/>
      <c r="KD32" s="101" t="s">
        <v>86</v>
      </c>
      <c r="KE32" s="96"/>
      <c r="KF32" s="88"/>
      <c r="KG32" s="88"/>
      <c r="KH32" s="88"/>
      <c r="KI32" s="113"/>
      <c r="KJ32" s="97"/>
    </row>
    <row r="33" spans="2:296" ht="15.75" thickBot="1" x14ac:dyDescent="0.3">
      <c r="B33" s="101" t="s">
        <v>88</v>
      </c>
      <c r="C33" s="451">
        <f t="shared" si="11"/>
        <v>0</v>
      </c>
      <c r="D33" s="467">
        <f t="shared" si="12"/>
        <v>0</v>
      </c>
      <c r="E33" s="467">
        <f t="shared" si="13"/>
        <v>0</v>
      </c>
      <c r="F33" s="467">
        <f t="shared" si="14"/>
        <v>0</v>
      </c>
      <c r="G33" s="468">
        <f t="shared" si="15"/>
        <v>0</v>
      </c>
      <c r="H33" s="467">
        <f t="shared" si="16"/>
        <v>0</v>
      </c>
      <c r="I33" s="1061" t="e">
        <f t="shared" si="0"/>
        <v>#DIV/0!</v>
      </c>
      <c r="J33" s="1061" t="e">
        <f t="shared" si="1"/>
        <v>#DIV/0!</v>
      </c>
      <c r="K33" s="1061" t="e">
        <f t="shared" si="2"/>
        <v>#DIV/0!</v>
      </c>
      <c r="L33" s="467" t="e">
        <f t="shared" si="3"/>
        <v>#DIV/0!</v>
      </c>
      <c r="M33" s="467" t="e">
        <f t="shared" si="17"/>
        <v>#DIV/0!</v>
      </c>
      <c r="N33" s="1062" t="e">
        <f t="shared" si="4"/>
        <v>#DIV/0!</v>
      </c>
      <c r="P33" t="str">
        <f>'PIM Model'!E29</f>
        <v>INCLUDE</v>
      </c>
      <c r="Q33">
        <f t="shared" si="18"/>
        <v>0</v>
      </c>
      <c r="R33">
        <f t="shared" si="19"/>
        <v>0</v>
      </c>
      <c r="S33" s="101" t="s">
        <v>88</v>
      </c>
      <c r="T33" s="96">
        <f t="shared" si="20"/>
        <v>0</v>
      </c>
      <c r="U33" s="88">
        <f t="shared" si="5"/>
        <v>0</v>
      </c>
      <c r="V33" s="88">
        <f t="shared" si="6"/>
        <v>0</v>
      </c>
      <c r="W33" s="88">
        <f t="shared" si="7"/>
        <v>0</v>
      </c>
      <c r="X33" s="113">
        <f t="shared" si="8"/>
        <v>0</v>
      </c>
      <c r="Y33" s="116">
        <f t="shared" si="21"/>
        <v>0</v>
      </c>
      <c r="Z33" s="376"/>
      <c r="AA33" s="101" t="s">
        <v>88</v>
      </c>
      <c r="AB33" s="455">
        <f t="shared" si="9"/>
        <v>0</v>
      </c>
      <c r="AC33" s="456">
        <f t="shared" si="9"/>
        <v>0</v>
      </c>
      <c r="AD33" s="456">
        <f t="shared" si="9"/>
        <v>0</v>
      </c>
      <c r="AE33" s="457">
        <f t="shared" si="22"/>
        <v>0</v>
      </c>
      <c r="AF33" s="458">
        <f t="shared" si="23"/>
        <v>0</v>
      </c>
      <c r="AG33" s="376"/>
      <c r="AH33" s="101" t="s">
        <v>88</v>
      </c>
      <c r="AI33" s="455">
        <f t="shared" si="10"/>
        <v>0</v>
      </c>
      <c r="AJ33" s="452">
        <f t="shared" si="24"/>
        <v>0</v>
      </c>
      <c r="AK33" s="458"/>
      <c r="AL33" s="376"/>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76">
        <f>VLOOKUP($AH33&amp;$AM33,'IMargin Quartiles'!$A:$F,6,FALSE)</f>
        <v>0.13</v>
      </c>
      <c r="AO33" s="376"/>
      <c r="AP33"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Q33" s="376" t="e">
        <f t="shared" si="25"/>
        <v>#DIV/0!</v>
      </c>
      <c r="AR33">
        <f>'PIM Model'!C29</f>
        <v>0</v>
      </c>
      <c r="AS33" s="376"/>
      <c r="AT33" s="376"/>
      <c r="AU33" s="376" t="e">
        <f t="shared" si="46"/>
        <v>#DIV/0!</v>
      </c>
      <c r="AV33" s="376"/>
      <c r="AW33" s="376"/>
      <c r="AX33" s="107">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72" t="e">
        <f t="shared" si="26"/>
        <v>#DIV/0!</v>
      </c>
      <c r="BA33" s="101" t="s">
        <v>88</v>
      </c>
      <c r="BB33" s="93">
        <f>IFERROR(IF(AND($BB$2&lt;&gt;"Enter Spend&gt;&gt;&gt;",BC21="EXISTING"),SUMIFS('Existing Customers'!$Q:$Q,'Existing Customers'!$A:$A,$BB$1,'Existing Customers'!$H:$H,$BA33)*$BB$4,$BB$3*$AZ33),0)</f>
        <v>0</v>
      </c>
      <c r="BC33" s="94">
        <f>IFERROR(IF(AND($BB$2&lt;&gt;"Enter Spend&gt;&gt;&gt;",BC2="EXISTING"),SUMIFS('Existing Customers'!$N:$N,'Existing Customers'!$A:$A,$BB$1,'Existing Customers'!$H:$H,$BA33)*$BB$4,$BB33/$BM33),0)</f>
        <v>0</v>
      </c>
      <c r="BD33" s="94">
        <f>IFERROR(IF(AND($BB$2&lt;&gt;"Enter Spend&gt;&gt;&gt;",BC2="EXISTING"),SUMIFS('Existing Customers'!$O:$O,'Existing Customers'!$H:$H,$BA33,'Existing Customers'!$A:$A,$BB$1)*$BB$4,$BC33*$BB$8),0)</f>
        <v>0</v>
      </c>
      <c r="BE33" s="94">
        <f>IFERROR(IF(AND($BB$2&lt;&gt;"Enter Spend&gt;&gt;&gt;",BC2="EXISTING"),SUMIFS('Existing Customers'!$P:$P,'Existing Customers'!$A:$A,$BB$1,'Existing Customers'!$H:$H,$BA33)*$BB$4,$BB33/$BN33),0)</f>
        <v>0</v>
      </c>
      <c r="BF33" s="378">
        <f>IFERROR(IF(AND($BB$2&lt;&gt;"Enter Spend&gt;&gt;&gt;",BC2="EXISTING"),SUMIFS('Existing Customers'!$V:$V,'Existing Customers'!$H:$H,$BA33,'Existing Customers'!$A:$A,$BB$1)*$BB$4,0),0)</f>
        <v>0</v>
      </c>
      <c r="BG33" s="95">
        <f>IFERROR(IF(AND($BB$2&lt;&gt;"Enter Spend&gt;&gt;&gt;",BC2="EXISTING"),SUMIFS('Existing Customers'!$R:$R,'Existing Customers'!$H:$H,$BA33,'Existing Customers'!$A:$A,$BB$1)*$BB$4,0),0)</f>
        <v>0</v>
      </c>
      <c r="BH33" s="95">
        <f>IFERROR(IF(AND($BB$2&lt;&gt;"Enter Spend&gt;&gt;&gt;",BC2="EXISTING"),SUMIFS('Existing Customers'!$S:$S,'Existing Customers'!$H:$H,$BA33,'Existing Customers'!$A:$A,$BB$1),BR33*BB33),0)</f>
        <v>0</v>
      </c>
      <c r="BI33" s="95">
        <f>IFERROR(IF(AND($BB$2&lt;&gt;"Enter Spend&gt;&gt;&gt;",BC2="EXISTING"),SUMIFS('Existing Customers'!$U:$U,'Existing Customers'!$H:$H,$BA33,'Existing Customers'!$A:$A,$BB$1),BS33*BB33),0)</f>
        <v>0</v>
      </c>
      <c r="BJ33" s="1067" t="e">
        <f>_xlfn.CONCAT('Customer Inputs'!$AG$6,"_",BA33)</f>
        <v>#N/A</v>
      </c>
      <c r="BK33" s="1068">
        <f t="array" ref="BK33">IFERROR(INDEX('Margin Guidence Table'!$A$1:$AD$30000,MATCH(1,('Margin Guidence Table'!$A$1:$A$10000=$BJ33)*('Margin Guidence Table'!$I$1:$I$10000&lt;=ROUND($BB$3,0))*('Margin Guidence Table'!$J$1:$J$10000&gt;=ROUND($BB$3,0)),0),MATCH("DATA_POINTS",'Margin Guidence Table'!$A$1:$AG$1,0)),0)</f>
        <v>0</v>
      </c>
      <c r="BL33" s="1065" t="str">
        <f t="shared" si="27"/>
        <v>DEFAULT</v>
      </c>
      <c r="BM33" s="1065">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65">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69">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69">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69">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69">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69">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69">
        <f t="array" ref="BT33">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8"/>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72" t="e">
        <f t="shared" si="28"/>
        <v>#DIV/0!</v>
      </c>
      <c r="BX33" s="101" t="s">
        <v>88</v>
      </c>
      <c r="BY33" s="93">
        <f>IFERROR(IF(AND($BY$2&lt;&gt;"Enter Spend&gt;&gt;&gt;",BZ21="EXISTING"),SUMIFS('Existing Customers'!$Q:$Q,'Existing Customers'!$A:$A,$BY$1,'Existing Customers'!$H:$H,$BX33)*$BY$4,$BY$3*$BW33),0)</f>
        <v>0</v>
      </c>
      <c r="BZ33" s="88">
        <f>IFERROR(IF(AND($BY$2&lt;&gt;"Enter Spend&gt;&gt;&gt;",BZ2="EXISTING"),SUMIFS('Existing Customers'!$N:$N,'Existing Customers'!$A:$A,$BY$1,'Existing Customers'!$H:$H,$BX33)*$BY$4,$BY33/$CJ33),0)</f>
        <v>0</v>
      </c>
      <c r="CA33" s="94">
        <f>IFERROR(IF(AND($BY$2&lt;&gt;"Enter Spend&gt;&gt;&gt;",BZ2="EXISTING"),SUMIFS('Existing Customers'!$O:$O,'Existing Customers'!$H:$H,$BX33,'Existing Customers'!$A:$A,$BY$1)*$BY$4,$BZ33*$BY$8),0)</f>
        <v>0</v>
      </c>
      <c r="CB33" s="94">
        <f>IFERROR(IF(AND($BY$2&lt;&gt;"Enter Spend&gt;&gt;&gt;",BZ2="EXISTING"),SUMIFS('Existing Customers'!$P:$P,'Existing Customers'!$A:$A,$BY$1,'Existing Customers'!$H:$H,$BX33)*$BY$4,$BY33/$CK33),0)</f>
        <v>0</v>
      </c>
      <c r="CC33" s="95">
        <f>IFERROR(IF(AND($BY$2&lt;&gt;"Enter Spend&gt;&gt;&gt;",BZ2="EXISTING"),SUMIFS('Existing Customers'!$V:$V,'Existing Customers'!$H:$H,$BX33,'Existing Customers'!$A:$A,$BY$1)*$BY$4,0),0)</f>
        <v>0</v>
      </c>
      <c r="CD33" s="95">
        <f>IFERROR(IF(AND($BY$2&lt;&gt;"Enter Spend&gt;&gt;&gt;",BZ2="EXISTING"),SUMIFS('Existing Customers'!$R:$R,'Existing Customers'!$H:$H,$BX33,'Existing Customers'!$A:$A,$BY$1)*$BY$4,0),0)</f>
        <v>0</v>
      </c>
      <c r="CE33" s="1065">
        <f>IFERROR(IF(AND($BY$2&lt;&gt;"Enter Spend&gt;&gt;&gt;",BZ2="EXISTING"),SUMIFS('Existing Customers'!$S:$S,'Existing Customers'!$H:$H,$BX33,'Existing Customers'!$A:$A,$BY$1),CO33*BY33),0)</f>
        <v>0</v>
      </c>
      <c r="CF33" s="1065">
        <f>IFERROR(IF(AND($BY$2&lt;&gt;"Enter Spend&gt;&gt;&gt;",BZ2="EXISTING"),SUMIFS('Existing Customers'!$U:$U,'Existing Customers'!$H:$H,$BX33,'Existing Customers'!$A:$A,$BY$1),CP33*BY33),0)</f>
        <v>0</v>
      </c>
      <c r="CG33" s="1068" t="e">
        <f>_xlfn.CONCAT('Customer Inputs'!$AG$7,"_",BX33)</f>
        <v>#N/A</v>
      </c>
      <c r="CH33" s="1068">
        <f t="array" ref="CH33">IFERROR(INDEX('Margin Guidence Table'!$A$1:$AD$30000,MATCH(1,('Margin Guidence Table'!$A$1:$A$10000=$CG33)*('Margin Guidence Table'!$I$1:$I$10000&lt;=ROUND($BY$3,0))*('Margin Guidence Table'!$J$1:$J$10000&gt;=ROUND($BY$3,0)),0),MATCH("DATA_POINTS",'Margin Guidence Table'!$A$1:$AG$1,0)),0)</f>
        <v>0</v>
      </c>
      <c r="CI33" s="1065" t="str">
        <f t="shared" si="29"/>
        <v>DEFAULT</v>
      </c>
      <c r="CJ33" s="1065">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65">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69">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69">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69">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69">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69">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69">
        <f t="array" ref="CQ33">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8"/>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72" t="e">
        <f t="shared" si="30"/>
        <v>#DIV/0!</v>
      </c>
      <c r="CU33" s="101" t="s">
        <v>88</v>
      </c>
      <c r="CV33" s="93">
        <f>IFERROR(IF(AND($CV$2&lt;&gt;"Enter Spend&gt;&gt;&gt;",CW21="EXISTING"),SUMIFS('Existing Customers'!$Q:$Q,'Existing Customers'!$A:$A,$CV$1,'Existing Customers'!$H:$H,$CU33)*$CV$4,$CV$3*$CT33),0)</f>
        <v>0</v>
      </c>
      <c r="CW33" s="88">
        <f>IFERROR(IF(AND($CV$2&lt;&gt;"Enter Spend&gt;&gt;&gt;",CW2="EXISTING"),SUMIFS('Existing Customers'!$N:$N,'Existing Customers'!$A:$A,$CV$1,'Existing Customers'!$H:$H,$CU33)*$CV$4,$CV33/$DG33),0)</f>
        <v>0</v>
      </c>
      <c r="CX33" s="94">
        <f>IFERROR(IF(AND($CV$2&lt;&gt;"Enter Spend&gt;&gt;&gt;",BC28="EXISTING"),SUMIFS('Existing Customers'!$O:$O,'Existing Customers'!$H:$H,$CU33,'Existing Customers'!$A:$A,$CV$1)*$CV$4,$CW33*$CV$8),0)</f>
        <v>0</v>
      </c>
      <c r="CY33" s="94">
        <f>IFERROR(IF(AND($CV$2&lt;&gt;"Enter Spend&gt;&gt;&gt;",CW2="EXISTING"),SUMIFS('Existing Customers'!$P:$P,'Existing Customers'!$A:$A,$CV$1,'Existing Customers'!$H:$H,$CU33)*$CV$4,$CV33/$DH33),0)</f>
        <v>0</v>
      </c>
      <c r="CZ33" s="95">
        <f>IFERROR(IF(AND($CV$2&lt;&gt;"Enter Spend&gt;&gt;&gt;",CW2="EXISTING"),SUMIFS('Existing Customers'!$V:$V,'Existing Customers'!$H:$H,$CU33,'Existing Customers'!$A:$A,$CV$1)*$CV$4,0),0)</f>
        <v>0</v>
      </c>
      <c r="DA33" s="95">
        <f>IFERROR(IF(AND($CV$2&lt;&gt;"Enter Spend&gt;&gt;&gt;",CW2="EXISTING"),SUMIFS('Existing Customers'!$R:$R,'Existing Customers'!$H:$H,$BA33,'Existing Customers'!$A:$A,$CV$1)*$CV$4,0),0)</f>
        <v>0</v>
      </c>
      <c r="DB33" s="1065">
        <f>IFERROR(IF(AND($CV$2&lt;&gt;"Enter Spend&gt;&gt;&gt;",CW2="EXISTING"),SUMIFS('Existing Customers'!$S:$S,'Existing Customers'!$H:$H,$CU33,'Existing Customers'!$A:$A,$CV$1),DL33*CV33),0)</f>
        <v>0</v>
      </c>
      <c r="DC33" s="1065">
        <f>IFERROR(IF(AND($CV$2&lt;&gt;"Enter Spend&gt;&gt;&gt;",CW2="EXISTING"),SUMIFS('Existing Customers'!$U:$U,'Existing Customers'!$H:$H,$CU33,'Existing Customers'!$A:$A,$CV$1),DM33*CV33),0)</f>
        <v>0</v>
      </c>
      <c r="DD33" s="1068" t="e">
        <f>_xlfn.CONCAT('Customer Inputs'!$AG$8,"_",CU33)</f>
        <v>#N/A</v>
      </c>
      <c r="DE33" s="1068">
        <f t="array" ref="DE33">IFERROR(INDEX('Margin Guidence Table'!$A$1:$AD$30000,MATCH(1,('Margin Guidence Table'!$A$1:$A$10000=DD33)*('Margin Guidence Table'!$I$1:$I$10000&lt;=ROUND($CV$3,0))*('Margin Guidence Table'!$J$1:$J$10000&gt;=ROUND($CV$3,0)),0),MATCH("DATA_POINTS",'Margin Guidence Table'!$A$1:$AG$1,0)),0)</f>
        <v>0</v>
      </c>
      <c r="DF33" s="1065" t="str">
        <f t="shared" si="31"/>
        <v>DEFAULT</v>
      </c>
      <c r="DG33" s="1065">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65">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69">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69">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69">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69">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69">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69">
        <f t="array" ref="DN33">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8"/>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72" t="e">
        <f t="shared" si="32"/>
        <v>#DIV/0!</v>
      </c>
      <c r="DR33" s="101" t="s">
        <v>88</v>
      </c>
      <c r="DS33" s="93">
        <f>IFERROR(IF(AND($DS$2&lt;&gt;"Enter Spend&gt;&gt;&gt;",DT21="EXISTING"),SUMIFS('Existing Customers'!$Q:$Q,'Existing Customers'!$A:$A,$DS$1,'Existing Customers'!$H:$H,$DR33)*$DS$4,$DS$3*$DQ33),0)</f>
        <v>0</v>
      </c>
      <c r="DT33" s="88">
        <f>IFERROR(IF(AND($DS$2&lt;&gt;"Enter Spend&gt;&gt;&gt;",DT2="EXISTING"),SUMIFS('Existing Customers'!$N:$N,'Existing Customers'!$A:$A,$DS$1,'Existing Customers'!$H:$H,$DR33)*$DS$4,$DS33/$ED33),0)</f>
        <v>0</v>
      </c>
      <c r="DU33" s="94">
        <f>IFERROR(IF(AND($DS$2&lt;&gt;"Enter Spend&gt;&gt;&gt;",DT2="EXISTING"),SUMIFS('Existing Customers'!$O:$O,'Existing Customers'!$H:$H,$DR33,'Existing Customers'!$A:$A,$DS$1)*$DS$4,$DT33*$DS$8),0)</f>
        <v>0</v>
      </c>
      <c r="DV33" s="94">
        <f>IFERROR(IF(AND($DS$2&lt;&gt;"Enter Spend&gt;&gt;&gt;",DT2="EXISTING"),SUMIFS('Existing Customers'!$P:$P,'Existing Customers'!$A:$A,$DS$1,'Existing Customers'!$H:$H,$DR33)*$DS$4,$DS33/$EE33),0)</f>
        <v>0</v>
      </c>
      <c r="DW33" s="95">
        <f>IFERROR(IF(AND($DS$2&lt;&gt;"Enter Spend&gt;&gt;&gt;",EQ2="EXISTING"),SUMIFS('Existing Customers'!$V:$V,'Existing Customers'!$H:$H,$DR33,'Existing Customers'!$A:$A,$DS$1)*$DS$4,0),0)</f>
        <v>0</v>
      </c>
      <c r="DX33" s="95">
        <f>IFERROR(IF(AND($DS$2&lt;&gt;"Enter Spend&gt;&gt;&gt;",DT2="EXISTING"),SUMIFS('Existing Customers'!$R:$R,'Existing Customers'!$H:$H,$DR33,'Existing Customers'!$A:$A,$DS$1)*$DS$4,0),0)</f>
        <v>0</v>
      </c>
      <c r="DY33" s="1065">
        <f>IFERROR(IF(AND($DS$2&lt;&gt;"Enter Spend&gt;&gt;&gt;",DT2="EXISTING"),SUMIFS('Existing Customers'!$S:$S,'Existing Customers'!$H:$H,$DT33,'Existing Customers'!$A:$A,$DS$1),EI33*DS33),0)</f>
        <v>0</v>
      </c>
      <c r="DZ33" s="1065">
        <f>IFERROR(IF(AND($DS$2&lt;&gt;"Enter Spend&gt;&gt;&gt;",DT2="EXISTING"),SUMIFS('Existing Customers'!$U:$U,'Existing Customers'!$H:$H,$DR33,'Existing Customers'!$A:$A,$DS$1),EJ33*DS33),0)</f>
        <v>0</v>
      </c>
      <c r="EA33" s="1068" t="e">
        <f>_xlfn.CONCAT('Customer Inputs'!$AG$9,"_",DR33)</f>
        <v>#N/A</v>
      </c>
      <c r="EB33" s="1068">
        <f t="array" ref="EB33">IFERROR(INDEX('Margin Guidence Table'!$A$1:$AD$30000,MATCH(1,('Margin Guidence Table'!$A$1:$A$10000=EA33)*('Margin Guidence Table'!$I$1:$I$10000&lt;=ROUND($DS$3,0))*('Margin Guidence Table'!$J$1:$J$10000&gt;=ROUND($DS$3,0)),0),MATCH("DATA_POINTS",'Margin Guidence Table'!$A$1:$AG$1,0)),0)</f>
        <v>0</v>
      </c>
      <c r="EC33" s="1065" t="str">
        <f t="shared" si="33"/>
        <v>DEFAULT</v>
      </c>
      <c r="ED33" s="1065">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65">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69">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69">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69">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69">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69">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69">
        <f t="array" ref="EK33">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8"/>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72" t="e">
        <f t="shared" si="34"/>
        <v>#DIV/0!</v>
      </c>
      <c r="EO33" s="101" t="s">
        <v>88</v>
      </c>
      <c r="EP33" s="93">
        <f>IFERROR(IF(AND($EP$2&lt;&gt;"Enter Spend&gt;&gt;&gt;",EQ21="EXISTING"),SUMIFS('Existing Customers'!$Q:$Q,'Existing Customers'!$A:$A,$EP$1,'Existing Customers'!$H:$H,$EO33)*$EP$4,$EP$3*$EN33),0)</f>
        <v>0</v>
      </c>
      <c r="EQ33" s="88">
        <f>IFERROR(IF(AND($EP$2&lt;&gt;"Enter Spend&gt;&gt;&gt;",EQ2="EXISTING"),SUMIFS('Existing Customers'!$N:$N,'Existing Customers'!$A:$A,$EP$1,'Existing Customers'!$H:$H,$EO33)*$EP$4,$EP33/$FA33),0)</f>
        <v>0</v>
      </c>
      <c r="ER33" s="94">
        <f>IFERROR(IF(AND($EP$2&lt;&gt;"Enter Spend&gt;&gt;&gt;",EQ2="EXISTING"),SUMIFS('Existing Customers'!$O:$O,'Existing Customers'!$H:$H,$EO33,'Existing Customers'!$A:$A,$EP$1)*$EP$4,$EQ33*$EP$8),0)</f>
        <v>0</v>
      </c>
      <c r="ES33" s="94">
        <f>IFERROR(IF(AND($EP$2&lt;&gt;"Enter Spend&gt;&gt;&gt;",EQ2="EXISTING"),SUMIFS('Existing Customers'!$P:$P,'Existing Customers'!$A:$A,$EP$1,'Existing Customers'!$H:$H,$EO33)*$EP$4,$EP33/$FB33),0)</f>
        <v>0</v>
      </c>
      <c r="ET33" s="95">
        <f>IFERROR(IF(AND($EP$2&lt;&gt;"Enter Spend&gt;&gt;&gt;",EQ2="EXISTING"),SUMIFS('Existing Customers'!$V:$V,'Existing Customers'!$H:$H,$EO33,'Existing Customers'!$A:$A,$EP$1)*$EP$4,0),0)</f>
        <v>0</v>
      </c>
      <c r="EU33" s="95">
        <f>IFERROR(IF(AND($EP$2&lt;&gt;"Enter Spend&gt;&gt;&gt;",EQ2="EXISTING"),SUMIFS('Existing Customers'!$R:$R,'Existing Customers'!$H:$H,$EO33,'Existing Customers'!$A:$A,$EP$1)*$EP$4,0),0)</f>
        <v>0</v>
      </c>
      <c r="EV33" s="1065">
        <f>IFERROR(IF(AND($EP$2&lt;&gt;"Enter Spend&gt;&gt;&gt;",EQ2="EXISTING"),SUMIFS('Existing Customers'!$S:$S,'Existing Customers'!$H:$H,$EO33,'Existing Customers'!$A:$A,$EP$1),FF33*EP33),0)</f>
        <v>0</v>
      </c>
      <c r="EW33" s="1065">
        <f>IFERROR(IF(AND($EP$2&lt;&gt;"Enter Spend&gt;&gt;&gt;",EQ2="EXISTING"),SUMIFS('Existing Customers'!$U:$U,'Existing Customers'!$H:$H,$EO33,'Existing Customers'!$A:$A,$EP$1),FG33*EP33),0)</f>
        <v>0</v>
      </c>
      <c r="EX33" s="1068" t="e">
        <f>_xlfn.CONCAT('Customer Inputs'!$AG$10,"_",EO33)</f>
        <v>#N/A</v>
      </c>
      <c r="EY33" s="1068">
        <f t="array" ref="EY33">IFERROR(INDEX('Margin Guidence Table'!$A$1:$AD$30000,MATCH(1,('Margin Guidence Table'!$A$1:$A$10000=EX33)*('Margin Guidence Table'!$I$1:$I$10000&lt;=ROUND($EP$3,0))*('Margin Guidence Table'!$J$1:$J$10000&gt;=ROUND($EP$3,0)),0),MATCH("DATA_POINTS",'Margin Guidence Table'!$A$1:$AG$1,0)),0)</f>
        <v>0</v>
      </c>
      <c r="EZ33" s="1065" t="str">
        <f t="shared" si="35"/>
        <v>DEFAULT</v>
      </c>
      <c r="FA33" s="1065">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65"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69">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69">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69">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69">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69">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69">
        <f t="array" ref="FH33">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8"/>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72" t="e">
        <f t="shared" si="36"/>
        <v>#DIV/0!</v>
      </c>
      <c r="FL33" s="101" t="s">
        <v>88</v>
      </c>
      <c r="FM33" s="93">
        <f>IFERROR(IF(AND($FM$2&lt;&gt;"Enter Spend&gt;&gt;&gt;",FN21="EXISTING"),SUMIFS('Existing Customers'!$Q:$Q,'Existing Customers'!$A:$A,$FM$1,'Existing Customers'!$H:$H,$FL33)*$FM$4,$FM$3*$FK33),0)</f>
        <v>0</v>
      </c>
      <c r="FN33" s="88">
        <f>IFERROR(IF(AND($FM$2&lt;&gt;"Enter Spend&gt;&gt;&gt;",FN2="EXISTING"),SUMIFS('Existing Customers'!$N:$N,'Existing Customers'!$A:$A,$FM$1,'Existing Customers'!$H:$H,$FL33)*$FM$4,$FM33/$FX33),0)</f>
        <v>0</v>
      </c>
      <c r="FO33" s="94">
        <f>IFERROR(IF(AND($FM$2&lt;&gt;"Enter Spend&gt;&gt;&gt;",FN2="EXISTING"),SUMIFS('Existing Customers'!$O:$O,'Existing Customers'!$H:$H,$FL33,'Existing Customers'!$A:$A,$FM$1)*$FM$4,$FN33*$FM$8),0)</f>
        <v>0</v>
      </c>
      <c r="FP33" s="94">
        <f>IFERROR(IF(AND($FM$2&lt;&gt;"Enter Spend&gt;&gt;&gt;",FN2="EXISTING"),SUMIFS('Existing Customers'!$P:$P,'Existing Customers'!$A:$A,$FM$1,'Existing Customers'!$H:$H,$FL33)*$FM$4,$FM33/$FY33),0)</f>
        <v>0</v>
      </c>
      <c r="FQ33" s="95">
        <f>IFERROR(IF(AND($FM$2&lt;&gt;"Enter Spend&gt;&gt;&gt;",FN2="EXISTING"),SUMIFS('Existing Customers'!$V:$V,'Existing Customers'!$H:$H,$FL33,'Existing Customers'!$A:$A,$FM$1)*$FM$4,0),0)</f>
        <v>0</v>
      </c>
      <c r="FR33" s="95">
        <f>IFERROR(IF(AND($FM$2&lt;&gt;"Enter Spend&gt;&gt;&gt;",FN2="EXISTING"),SUMIFS('Existing Customers'!$R:$R,'Existing Customers'!$H:$H,$FL33,'Existing Customers'!$A:$A,$FM$1)*$FM$4,0),0)</f>
        <v>0</v>
      </c>
      <c r="FS33" s="1065">
        <f>IFERROR(IF(AND($FM$2&lt;&gt;"Enter Spend&gt;&gt;&gt;",FN2="EXISTING"),SUMIFS('Existing Customers'!$S:$S,'Existing Customers'!$H:$H,$FL33,'Existing Customers'!$A:$A,$FM$1),GC33*FM33),0)</f>
        <v>0</v>
      </c>
      <c r="FT33" s="1065">
        <f>IFERROR(IF(AND($FM$2&lt;&gt;"Enter Spend&gt;&gt;&gt;",FN2="EXISTING"),SUMIFS('Existing Customers'!$U:$U,'Existing Customers'!$H:$H,$FL33,'Existing Customers'!$A:$A,$FM$1),GD33*FM33),0)</f>
        <v>0</v>
      </c>
      <c r="FU33" s="1068" t="e">
        <f>_xlfn.CONCAT('Customer Inputs'!$AG$11,"_",FL33)</f>
        <v>#N/A</v>
      </c>
      <c r="FV33" s="1068">
        <f t="array" ref="FV33">IFERROR(INDEX('Margin Guidence Table'!$A$1:$AD$30000,MATCH(1,('Margin Guidence Table'!$A$1:$A$10000=FU33)*('Margin Guidence Table'!$I$1:$I$10000&lt;=ROUND($FM$3,0))*('Margin Guidence Table'!$J$1:$J$10000&gt;=ROUND($FM$3,0)),0),MATCH("DATA_POINTS",'Margin Guidence Table'!$A$1:$AG$1,0)),0)</f>
        <v>0</v>
      </c>
      <c r="FW33" s="1065" t="str">
        <f t="shared" si="37"/>
        <v>DEFAULT</v>
      </c>
      <c r="FX33" s="1065">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65">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69">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69">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69">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69">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69">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69">
        <f t="array" ref="GE33">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8"/>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72" t="e">
        <f t="shared" si="38"/>
        <v>#DIV/0!</v>
      </c>
      <c r="GI33" s="101" t="s">
        <v>88</v>
      </c>
      <c r="GJ33" s="93">
        <f>IFERROR(IF(AND($GJ$2&lt;&gt;"Enter Spend&gt;&gt;&gt;",GK21="EXISTING"),SUMIFS('Existing Customers'!$Q:$Q,'Existing Customers'!$A:$A,$GJ$1,'Existing Customers'!$H:$H,$GI33)*$GJ$4,$GJ$3*$GH33),0)</f>
        <v>0</v>
      </c>
      <c r="GK33" s="88">
        <f>IFERROR(IF(AND($GJ$2&lt;&gt;"Enter Spend&gt;&gt;&gt;",GK2="EXISTING"),SUMIFS('Existing Customers'!$N:$N,'Existing Customers'!$A:$A,$GJ$1,'Existing Customers'!$H:$H,$GI33)*$GJ$4,$GJ33/$GU33),0)</f>
        <v>0</v>
      </c>
      <c r="GL33" s="94">
        <f>IFERROR(IF(AND($GJ$2&lt;&gt;"Enter Spend&gt;&gt;&gt;",GK2="EXISTING"),SUMIFS('Existing Customers'!$O:$O,'Existing Customers'!$H:$H,$GI33,'Existing Customers'!$A:$A,$GJ$1)*$GJ$4,$GK33*$GJ$8),0)</f>
        <v>0</v>
      </c>
      <c r="GM33" s="94">
        <f>IFERROR(IF(AND($GJ$2&lt;&gt;"Enter Spend&gt;&gt;&gt;",GK2="EXISTING"),SUMIFS('Existing Customers'!$P:$P,'Existing Customers'!$A:$A,$GJ$1,'Existing Customers'!$H:$H,$GI33)*$GJ$4,$GJ33/$GV33),0)</f>
        <v>0</v>
      </c>
      <c r="GN33" s="95">
        <f>IFERROR(IF(AND($GJ$2&lt;&gt;"Enter Spend&gt;&gt;&gt;",GK2="EXISTING"),SUMIFS('Existing Customers'!$V:$V,'Existing Customers'!$H:$H,$GI33,'Existing Customers'!$A:$A,$GJ$1)*$GJ$4,0),0)</f>
        <v>0</v>
      </c>
      <c r="GO33" s="95">
        <f>IFERROR(IF(AND($GJ$2&lt;&gt;"Enter Spend&gt;&gt;&gt;",GK2="EXISTING"),SUMIFS('Existing Customers'!$R:$R,'Existing Customers'!$H:$H,$GI33,'Existing Customers'!$A:$A,$GJ$1)*$GJ$4,0),0)</f>
        <v>0</v>
      </c>
      <c r="GP33" s="1065">
        <f>IFERROR(IF(AND($GJ$2&lt;&gt;"Enter Spend&gt;&gt;&gt;",GK2="EXISTING"),SUMIFS('Existing Customers'!$S:$S,'Existing Customers'!$H:$H,$GI33,'Existing Customers'!$A:$A,$GJ$1),GZ33*GJ33),0)</f>
        <v>0</v>
      </c>
      <c r="GQ33" s="1065">
        <f>IFERROR(IF(AND($GJ$2&lt;&gt;"Enter Spend&gt;&gt;&gt;",GK2="EXISTING"),SUMIFS('Existing Customers'!$U:$U,'Existing Customers'!$H:$H,$GI33,'Existing Customers'!$A:$A,$GJ$1),HA33*GJ33),0)</f>
        <v>0</v>
      </c>
      <c r="GR33" s="1068" t="e">
        <f>_xlfn.CONCAT('Customer Inputs'!$AG$12,"_",GI33)</f>
        <v>#N/A</v>
      </c>
      <c r="GS33" s="1068">
        <f t="array" ref="GS33">IFERROR(INDEX('Margin Guidence Table'!$A$1:$AD$30000,MATCH(1,('Margin Guidence Table'!$A$1:$A$10000=GR33)*('Margin Guidence Table'!$I$1:$I$10000&lt;=ROUND($GJ$3,0))*('Margin Guidence Table'!$J$1:$J$10000&gt;=ROUND($GJ$3,0)),0),MATCH("DATA_POINTS",'Margin Guidence Table'!$A$1:$AG$1,0)),0)</f>
        <v>0</v>
      </c>
      <c r="GT33" s="1065" t="str">
        <f t="shared" si="39"/>
        <v>DEFAULT</v>
      </c>
      <c r="GU33" s="1065">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65">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69">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69">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69">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69">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69">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69">
        <f t="array" ref="HB33">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8"/>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72" t="e">
        <f t="shared" si="40"/>
        <v>#DIV/0!</v>
      </c>
      <c r="HF33" s="101" t="s">
        <v>88</v>
      </c>
      <c r="HG33" s="93">
        <f>IFERROR(IF(AND($HG$2&lt;&gt;"Enter Spend&gt;&gt;&gt;",HH21="EXISTING"),SUMIFS('Existing Customers'!$Q:$Q,'Existing Customers'!$A:$A,$HG$1,'Existing Customers'!$H:$H,$HF33)*$HG$4,$HG$3*$HE33),0)</f>
        <v>0</v>
      </c>
      <c r="HH33" s="88">
        <f>IFERROR(IF(AND($HG$2&lt;&gt;"Enter Spend&gt;&gt;&gt;",HH2="EXISTING"),SUMIFS('Existing Customers'!$N:$N,'Existing Customers'!$A:$A,$HG$1,'Existing Customers'!$H:$H,$HF33)*$HG$4,$HG33/$HR33),0)</f>
        <v>0</v>
      </c>
      <c r="HI33" s="94">
        <f>IFERROR(IF(AND($HG$2&lt;&gt;"Enter Spend&gt;&gt;&gt;",HH2="EXISTING"),SUMIFS('Existing Customers'!$O:$O,'Existing Customers'!$H:$H,$HF33,'Existing Customers'!$A:$A,$HG$1)*$HG$4,$HH33*$HG$8),0)</f>
        <v>0</v>
      </c>
      <c r="HJ33" s="94">
        <f>IFERROR(IF(AND($HG$2&lt;&gt;"Enter Spend&gt;&gt;&gt;",HH2="EXISTING"),SUMIFS('Existing Customers'!$P:$P,'Existing Customers'!$A:$A,$HG$1,'Existing Customers'!$H:$H,$HF33)*$HG$4,$HG33/$HS33),0)</f>
        <v>0</v>
      </c>
      <c r="HK33" s="95">
        <f>IFERROR(IF(AND($HG$2&lt;&gt;"Enter Spend&gt;&gt;&gt;",HH2="EXISTING"),SUMIFS('Existing Customers'!$V:$V,'Existing Customers'!$H:$H,$HF33,'Existing Customers'!$A:$A,$HG$1)*$HG$4,0),0)</f>
        <v>0</v>
      </c>
      <c r="HL33" s="95">
        <f>IFERROR(IF(AND($HG$2&lt;&gt;"Enter Spend&gt;&gt;&gt;",HH2="EXISTING"),SUMIFS('Existing Customers'!$R:$R,'Existing Customers'!$H:$H,$HF33,'Existing Customers'!$A:$A,$HG$1)*$HG$4,0),0)</f>
        <v>0</v>
      </c>
      <c r="HM33" s="1065">
        <f>IFERROR(IF(AND($HG$2&lt;&gt;"Enter Spend&gt;&gt;&gt;",HH2="EXISTING"),SUMIFS('Existing Customers'!$S:$S,'Existing Customers'!$H:$H,$HF33,'Existing Customers'!$A:$A,$HG$1),HW33*HG33),0)</f>
        <v>0</v>
      </c>
      <c r="HN33" s="1065">
        <f>IFERROR(IF(AND($HG$2&lt;&gt;"Enter Spend&gt;&gt;&gt;",HH2="EXISTING"),SUMIFS('Existing Customers'!$U:$U,'Existing Customers'!$H:$H,$HF33,'Existing Customers'!$A:$A,$HG$1),HX33*HG33),0)</f>
        <v>0</v>
      </c>
      <c r="HO33" s="1068" t="e">
        <f>_xlfn.CONCAT('Customer Inputs'!$AG$13,"_",HF33)</f>
        <v>#N/A</v>
      </c>
      <c r="HP33" s="1068">
        <f t="array" ref="HP33">IFERROR(INDEX('Margin Guidence Table'!$A$1:$AD$30000,MATCH(1,('Margin Guidence Table'!$A$1:$A$10000=HO33)*('Margin Guidence Table'!$I$1:$I$10000&lt;=ROUND($HG$3,0))*('Margin Guidence Table'!$J$1:$J$10000&gt;=ROUND($HG$3,0)),0),MATCH("DATA_POINTS",'Margin Guidence Table'!$A$1:$AG$1,0)),0)</f>
        <v>0</v>
      </c>
      <c r="HQ33" s="1065" t="str">
        <f t="shared" si="41"/>
        <v>DEFAULT</v>
      </c>
      <c r="HR33" s="1065">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65">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69">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69">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69">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69">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69">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69">
        <f t="array" ref="HY33">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8"/>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72" t="e">
        <f t="shared" si="42"/>
        <v>#DIV/0!</v>
      </c>
      <c r="IC33" s="101" t="s">
        <v>88</v>
      </c>
      <c r="ID33" s="93">
        <f>IFERROR(IF(AND($ID$2&lt;&gt;"Enter Spend&gt;&gt;&gt;",IE21="EXISTING"),SUMIFS('Existing Customers'!$Q:$Q,'Existing Customers'!$A:$A,$ID$1,'Existing Customers'!$H:$H,$IC33)*$ID$4,$ID$3*$IB33),0)</f>
        <v>0</v>
      </c>
      <c r="IE33" s="88">
        <f>IFERROR(IF(AND($ID$2&lt;&gt;"Enter Spend&gt;&gt;&gt;",IE2="EXISTING"),SUMIFS('Existing Customers'!$N:$N,'Existing Customers'!$A:$A,$ID$1,'Existing Customers'!$H:$H,$IC33)*$ID$4,$ID33/$IO33),0)</f>
        <v>0</v>
      </c>
      <c r="IF33" s="94">
        <f>IFERROR(IF(AND($ID$2&lt;&gt;"Enter Spend&gt;&gt;&gt;",IE2="EXISTING"),SUMIFS('Existing Customers'!$O:$O,'Existing Customers'!$H:$H,$IC33,'Existing Customers'!$A:$A,$ID$1)*$ID$4,$IE33*$ID$8),0)</f>
        <v>0</v>
      </c>
      <c r="IG33" s="94">
        <f>IFERROR(IF(AND($ID$2&lt;&gt;"Enter Spend&gt;&gt;&gt;",IE2="EXISTING"),SUMIFS('Existing Customers'!$P:$P,'Existing Customers'!$A:$A,$ID$1,'Existing Customers'!$H:$H,$IC33)*$ID$4,$ID33/$IP33),0)</f>
        <v>0</v>
      </c>
      <c r="IH33" s="378">
        <f>IFERROR(IF(AND($ID$2&lt;&gt;"Enter Spend&gt;&gt;&gt;",IE2="EXISTING"),SUMIFS('Existing Customers'!$V:$V,'Existing Customers'!$H:$H,$IC33,'Existing Customers'!$A:$A,$ID$1)*$ID$4,0),0)</f>
        <v>0</v>
      </c>
      <c r="II33" s="95">
        <f>IFERROR(IF(AND($ID$2&lt;&gt;"Enter Spend&gt;&gt;&gt;",IE2="EXISTING"),SUMIFS('Existing Customers'!$R:$R,'Existing Customers'!$H:$H,$IC33,'Existing Customers'!$A:$A,$ID$1)*$ID$4,0),0)</f>
        <v>0</v>
      </c>
      <c r="IJ33" s="1065">
        <f>IFERROR(IF(AND($ID$2&lt;&gt;"Enter Spend&gt;&gt;&gt;",IE2="EXISTING"),SUMIFS('Existing Customers'!$S:$S,'Existing Customers'!$H:$H,$IC33,'Existing Customers'!$A:$A,$ID$1),IT33*ID33),0)</f>
        <v>0</v>
      </c>
      <c r="IK33" s="1065">
        <f>IFERROR(IF(AND($ID$2&lt;&gt;"Enter Spend&gt;&gt;&gt;",IE2="EXISTING"),SUMIFS('Existing Customers'!$U:$U,'Existing Customers'!$H:$H,$IC33,'Existing Customers'!$A:$A,$ID$1),IU33*ID33),0)</f>
        <v>0</v>
      </c>
      <c r="IL33" s="1068" t="e">
        <f>_xlfn.CONCAT('Customer Inputs'!$AG$14,"_",IC33)</f>
        <v>#N/A</v>
      </c>
      <c r="IM33" s="1068">
        <f t="array" ref="IM33">IFERROR(INDEX('Margin Guidence Table'!$A$1:$AD$30000,MATCH(1,('Margin Guidence Table'!$A$1:$A$10000=IL33)*('Margin Guidence Table'!$I$1:$I$10000&lt;=ROUND($ID$3,0))*('Margin Guidence Table'!$J$1:$J$10000&gt;=ROUND($ID$3,0)),0),MATCH("DATA_POINTS",'Margin Guidence Table'!$A$1:$AG$1,0)),0)</f>
        <v>0</v>
      </c>
      <c r="IN33" s="1065" t="str">
        <f t="shared" si="43"/>
        <v>DEFAULT</v>
      </c>
      <c r="IO33" s="1065">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65">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69">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69">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69">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69">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69">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69">
        <f t="array" ref="IV33">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8"/>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72" t="e">
        <f t="shared" si="44"/>
        <v>#DIV/0!</v>
      </c>
      <c r="IZ33" s="101" t="s">
        <v>88</v>
      </c>
      <c r="JA33" s="93">
        <f>IFERROR(IF(AND($JA$2&lt;&gt;"Enter Spend&gt;&gt;&gt;",JB21="EXISTING"),SUMIFS('Existing Customers'!$Q:$Q,'Existing Customers'!$A:$A,$JA$1,'Existing Customers'!$H:$H,$IZ33)*$JA$4,$JA$3*$IY33),0)</f>
        <v>0</v>
      </c>
      <c r="JB33" s="88">
        <f>IFERROR(IF(AND($JA$2&lt;&gt;"Enter Spend&gt;&gt;&gt;",JB2="EXISTING"),SUMIFS('Existing Customers'!$N:$N,'Existing Customers'!$A:$A,$JA$1,'Existing Customers'!$H:$H,$IZ33)*$JA$4,$JA33/$JL33),0)</f>
        <v>0</v>
      </c>
      <c r="JC33" s="94">
        <f>IFERROR(IF(AND($JA$2&lt;&gt;"Enter Spend&gt;&gt;&gt;",JB2="EXISTING"),SUMIFS('Existing Customers'!$O:$O,'Existing Customers'!$H:$H,$IZ33,'Existing Customers'!$A:$A,$JA$1)*$JA$4,$JB33*$JA$8),0)</f>
        <v>0</v>
      </c>
      <c r="JD33" s="94">
        <f>IFERROR(IF(AND($JA$2&lt;&gt;"Enter Spend&gt;&gt;&gt;",JB2="EXISTING"),SUMIFS('Existing Customers'!$P:$P,'Existing Customers'!$A:$A,$JA$1,'Existing Customers'!$H:$H,$IZ33)*$JA$4,$JA33/$JM33),0)</f>
        <v>0</v>
      </c>
      <c r="JE33" s="378">
        <f>IFERROR(IF(AND($JA$2&lt;&gt;"Enter Spend&gt;&gt;&gt;",JB2="EXISTING"),SUMIFS('Existing Customers'!$V:$V,'Existing Customers'!$H:$H,$IZ33,'Existing Customers'!$A:$A,$JA$1)*$JA$4,0),0)</f>
        <v>0</v>
      </c>
      <c r="JF33" s="95">
        <f>IFERROR(IF(AND($JA$2&lt;&gt;"Enter Spend&gt;&gt;&gt;",JB2="EXISTING"),SUMIFS('Existing Customers'!$R:$R,'Existing Customers'!$H:$H,$IZ33,'Existing Customers'!$A:$A,$JA$1)*$JA$4,0),0)</f>
        <v>0</v>
      </c>
      <c r="JG33" s="1065">
        <f>IFERROR(IF(AND($JA$2&lt;&gt;"Enter Spend&gt;&gt;&gt;",JB2="EXISTING"),SUMIFS('Existing Customers'!$S:$S,'Existing Customers'!$H:$H,$IZ33,'Existing Customers'!$A:$A,$JA$1),JQ33*JA33),0)</f>
        <v>0</v>
      </c>
      <c r="JH33" s="1065">
        <f>IFERROR(IF(AND($JA$2&lt;&gt;"Enter Spend&gt;&gt;&gt;",JB2="EXISTING"),SUMIFS('Existing Customers'!$U:$U,'Existing Customers'!$H:$H,$IZ33,'Existing Customers'!$A:$A,$JA$1),JR33*JA33),0)</f>
        <v>0</v>
      </c>
      <c r="JI33" s="1068" t="e">
        <f>_xlfn.CONCAT('Customer Inputs'!$AG$15,"_",IZ33)</f>
        <v>#N/A</v>
      </c>
      <c r="JJ33" s="1068">
        <f t="array" ref="JJ33">IFERROR(INDEX('Margin Guidence Table'!$A$1:$AD$30000,MATCH(1,('Margin Guidence Table'!$A$1:$A$10000=JI33)*('Margin Guidence Table'!$I$1:$I$10000&lt;=ROUND($JA$3,0))*('Margin Guidence Table'!$J$1:$J$10000&gt;=ROUND($JA$3,0)),0),MATCH("DATA_POINTS",'Margin Guidence Table'!$A$1:$AG$1,0)),0)</f>
        <v>0</v>
      </c>
      <c r="JK33" s="1065" t="str">
        <f t="shared" si="45"/>
        <v>DEFAULT</v>
      </c>
      <c r="JL33" s="1065">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65">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69">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69">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69">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69">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69">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69">
        <f t="array" ref="JS33">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101" t="s">
        <v>88</v>
      </c>
      <c r="JV33" s="96"/>
      <c r="JW33" s="88"/>
      <c r="JX33" s="88"/>
      <c r="JY33" s="88"/>
      <c r="JZ33" s="113"/>
      <c r="KA33" s="97"/>
      <c r="KB33" s="128"/>
      <c r="KD33" s="101" t="s">
        <v>88</v>
      </c>
      <c r="KE33" s="96"/>
      <c r="KF33" s="88"/>
      <c r="KG33" s="88"/>
      <c r="KH33" s="88"/>
      <c r="KI33" s="113"/>
      <c r="KJ33" s="97"/>
    </row>
    <row r="34" spans="2:296" ht="15.75" thickBot="1" x14ac:dyDescent="0.3">
      <c r="B34" s="102" t="s">
        <v>87</v>
      </c>
      <c r="C34" s="451">
        <f t="shared" si="11"/>
        <v>0</v>
      </c>
      <c r="D34" s="467">
        <f t="shared" si="12"/>
        <v>0</v>
      </c>
      <c r="E34" s="467">
        <f t="shared" si="13"/>
        <v>0</v>
      </c>
      <c r="F34" s="467">
        <f t="shared" si="14"/>
        <v>0</v>
      </c>
      <c r="G34" s="468">
        <f t="shared" si="15"/>
        <v>0</v>
      </c>
      <c r="H34" s="467">
        <f t="shared" si="16"/>
        <v>0</v>
      </c>
      <c r="I34" s="1061" t="e">
        <f t="shared" si="0"/>
        <v>#DIV/0!</v>
      </c>
      <c r="J34" s="1061" t="e">
        <f t="shared" si="1"/>
        <v>#DIV/0!</v>
      </c>
      <c r="K34" s="1061" t="e">
        <f t="shared" si="2"/>
        <v>#DIV/0!</v>
      </c>
      <c r="L34" s="467" t="e">
        <f t="shared" si="3"/>
        <v>#DIV/0!</v>
      </c>
      <c r="M34" s="467" t="e">
        <f t="shared" si="17"/>
        <v>#DIV/0!</v>
      </c>
      <c r="N34" s="1062" t="e">
        <f t="shared" si="4"/>
        <v>#DIV/0!</v>
      </c>
      <c r="P34" t="str">
        <f>'PIM Model'!E30</f>
        <v>INCLUDE</v>
      </c>
      <c r="Q34">
        <f t="shared" si="18"/>
        <v>0</v>
      </c>
      <c r="R34">
        <f t="shared" si="19"/>
        <v>0</v>
      </c>
      <c r="S34" s="102" t="s">
        <v>87</v>
      </c>
      <c r="T34" s="98">
        <f t="shared" si="20"/>
        <v>0</v>
      </c>
      <c r="U34" s="99">
        <f t="shared" si="5"/>
        <v>0</v>
      </c>
      <c r="V34" s="99">
        <f t="shared" si="6"/>
        <v>0</v>
      </c>
      <c r="W34" s="99">
        <f t="shared" si="7"/>
        <v>0</v>
      </c>
      <c r="X34" s="114">
        <f t="shared" si="8"/>
        <v>0</v>
      </c>
      <c r="Y34" s="117">
        <f t="shared" si="21"/>
        <v>0</v>
      </c>
      <c r="Z34" s="376"/>
      <c r="AA34" s="102" t="s">
        <v>87</v>
      </c>
      <c r="AB34" s="459">
        <f t="shared" si="9"/>
        <v>0</v>
      </c>
      <c r="AC34" s="460">
        <f t="shared" si="9"/>
        <v>0</v>
      </c>
      <c r="AD34" s="460">
        <f t="shared" si="9"/>
        <v>0</v>
      </c>
      <c r="AE34" s="461">
        <f t="shared" si="22"/>
        <v>0</v>
      </c>
      <c r="AF34" s="462">
        <f t="shared" si="23"/>
        <v>0</v>
      </c>
      <c r="AG34" s="376"/>
      <c r="AH34" s="102" t="s">
        <v>87</v>
      </c>
      <c r="AI34" s="459">
        <f t="shared" si="10"/>
        <v>0</v>
      </c>
      <c r="AJ34" s="452">
        <f t="shared" si="24"/>
        <v>0</v>
      </c>
      <c r="AK34" s="462"/>
      <c r="AL34" s="376"/>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76">
        <f>VLOOKUP($AH34&amp;$AM34,'IMargin Quartiles'!$A:$F,6,FALSE)</f>
        <v>0.11</v>
      </c>
      <c r="AO34" s="376"/>
      <c r="AP34"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Q34" s="376" t="e">
        <f t="shared" si="25"/>
        <v>#DIV/0!</v>
      </c>
      <c r="AR34">
        <f>'PIM Model'!C30</f>
        <v>0</v>
      </c>
      <c r="AS34" s="376"/>
      <c r="AT34" s="376"/>
      <c r="AU34" s="376" t="e">
        <f t="shared" si="46"/>
        <v>#DIV/0!</v>
      </c>
      <c r="AV34" s="376"/>
      <c r="AW34" s="376"/>
      <c r="AX34" s="107">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72" t="e">
        <f t="shared" si="26"/>
        <v>#DIV/0!</v>
      </c>
      <c r="BA34" s="102" t="s">
        <v>87</v>
      </c>
      <c r="BB34" s="93">
        <f>IFERROR(IF(AND($BB$2&lt;&gt;"Enter Spend&gt;&gt;&gt;",BC22="EXISTING"),SUMIFS('Existing Customers'!$Q:$Q,'Existing Customers'!$A:$A,$BB$1,'Existing Customers'!$H:$H,$BA34)*$BB$4,$BB$3*$AZ34),0)</f>
        <v>0</v>
      </c>
      <c r="BC34" s="94">
        <f>IFERROR(IF(AND($BB$2&lt;&gt;"Enter Spend&gt;&gt;&gt;",BC2="EXISTING"),SUMIFS('Existing Customers'!$N:$N,'Existing Customers'!$A:$A,$BB$1,'Existing Customers'!$H:$H,$BA34)*$BB$4,$BB34/$BM34),0)</f>
        <v>0</v>
      </c>
      <c r="BD34" s="94">
        <f>IFERROR(IF(AND($BB$2&lt;&gt;"Enter Spend&gt;&gt;&gt;",BC2="EXISTING"),SUMIFS('Existing Customers'!$O:$O,'Existing Customers'!$H:$H,$BA34,'Existing Customers'!$A:$A,$BB$1)*$BB$4,$BC34*$BB$8),0)</f>
        <v>0</v>
      </c>
      <c r="BE34" s="94">
        <f>IFERROR(IF(AND($BB$2&lt;&gt;"Enter Spend&gt;&gt;&gt;",BC2="EXISTING"),SUMIFS('Existing Customers'!$P:$P,'Existing Customers'!$A:$A,$BB$1,'Existing Customers'!$H:$H,$BA34)*$BB$4,$BB34/$BN34),0)</f>
        <v>0</v>
      </c>
      <c r="BF34" s="378">
        <f>IFERROR(IF(AND($BB$2&lt;&gt;"Enter Spend&gt;&gt;&gt;",BC2="EXISTING"),SUMIFS('Existing Customers'!$V:$V,'Existing Customers'!$H:$H,$BA34,'Existing Customers'!$A:$A,$BB$1)*$BB$4,0),0)</f>
        <v>0</v>
      </c>
      <c r="BG34" s="95">
        <f>IFERROR(IF(AND($BB$2&lt;&gt;"Enter Spend&gt;&gt;&gt;",BC2="EXISTING"),SUMIFS('Existing Customers'!$R:$R,'Existing Customers'!$H:$H,$BA34,'Existing Customers'!$A:$A,$BB$1)*$BB$4,0),0)</f>
        <v>0</v>
      </c>
      <c r="BH34" s="95">
        <f>IFERROR(IF(AND($BB$2&lt;&gt;"Enter Spend&gt;&gt;&gt;",BC2="EXISTING"),SUMIFS('Existing Customers'!$S:$S,'Existing Customers'!$H:$H,$BA34,'Existing Customers'!$A:$A,$BB$1),BR34*BB34),0)</f>
        <v>0</v>
      </c>
      <c r="BI34" s="95">
        <f>IFERROR(IF(AND($BB$2&lt;&gt;"Enter Spend&gt;&gt;&gt;",BC2="EXISTING"),SUMIFS('Existing Customers'!$U:$U,'Existing Customers'!$H:$H,$BA34,'Existing Customers'!$A:$A,$BB$1),BS34*BB34),0)</f>
        <v>0</v>
      </c>
      <c r="BJ34" s="1067" t="e">
        <f>_xlfn.CONCAT('Customer Inputs'!$AG$6,"_",BA34)</f>
        <v>#N/A</v>
      </c>
      <c r="BK34" s="1068">
        <f t="array" ref="BK34">IFERROR(INDEX('Margin Guidence Table'!$A$1:$AD$30000,MATCH(1,('Margin Guidence Table'!$A$1:$A$10000=$BJ34)*('Margin Guidence Table'!$I$1:$I$10000&lt;=ROUND($BB$3,0))*('Margin Guidence Table'!$J$1:$J$10000&gt;=ROUND($BB$3,0)),0),MATCH("DATA_POINTS",'Margin Guidence Table'!$A$1:$AG$1,0)),0)</f>
        <v>0</v>
      </c>
      <c r="BL34" s="1065" t="str">
        <f t="shared" si="27"/>
        <v>DEFAULT</v>
      </c>
      <c r="BM34" s="1065">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65">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69">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69">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69">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69">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69">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69">
        <f t="array" ref="BT34">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8"/>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72" t="e">
        <f t="shared" si="28"/>
        <v>#DIV/0!</v>
      </c>
      <c r="BX34" s="102" t="s">
        <v>87</v>
      </c>
      <c r="BY34" s="93">
        <f>IFERROR(IF(AND($BY$2&lt;&gt;"Enter Spend&gt;&gt;&gt;",BZ22="EXISTING"),SUMIFS('Existing Customers'!$Q:$Q,'Existing Customers'!$A:$A,$BY$1,'Existing Customers'!$H:$H,$BX34)*$BY$4,$BY$3*$BW34),0)</f>
        <v>0</v>
      </c>
      <c r="BZ34" s="88">
        <f>IFERROR(IF(AND($BY$2&lt;&gt;"Enter Spend&gt;&gt;&gt;",BZ2="EXISTING"),SUMIFS('Existing Customers'!$N:$N,'Existing Customers'!$A:$A,$BY$1,'Existing Customers'!$H:$H,$BX34)*$BY$4,$BY34/$CJ34),0)</f>
        <v>0</v>
      </c>
      <c r="CA34" s="94">
        <f>IFERROR(IF(AND($BY$2&lt;&gt;"Enter Spend&gt;&gt;&gt;",BZ2="EXISTING"),SUMIFS('Existing Customers'!$O:$O,'Existing Customers'!$H:$H,$BX34,'Existing Customers'!$A:$A,$BY$1)*$BY$4,$BZ34*$BY$8),0)</f>
        <v>0</v>
      </c>
      <c r="CB34" s="94">
        <f>IFERROR(IF(AND($BY$2&lt;&gt;"Enter Spend&gt;&gt;&gt;",BZ2="EXISTING"),SUMIFS('Existing Customers'!$P:$P,'Existing Customers'!$A:$A,$BY$1,'Existing Customers'!$H:$H,$BX34)*$BY$4,$BY34/$CK34),0)</f>
        <v>0</v>
      </c>
      <c r="CC34" s="95">
        <f>IFERROR(IF(AND($BY$2&lt;&gt;"Enter Spend&gt;&gt;&gt;",BZ2="EXISTING"),SUMIFS('Existing Customers'!$V:$V,'Existing Customers'!$H:$H,$BX34,'Existing Customers'!$A:$A,$BY$1)*$BY$4,0),0)</f>
        <v>0</v>
      </c>
      <c r="CD34" s="95">
        <f>IFERROR(IF(AND($BY$2&lt;&gt;"Enter Spend&gt;&gt;&gt;",BZ2="EXISTING"),SUMIFS('Existing Customers'!$R:$R,'Existing Customers'!$H:$H,$BX34,'Existing Customers'!$A:$A,$BY$1)*$BY$4,0),0)</f>
        <v>0</v>
      </c>
      <c r="CE34" s="1065">
        <f>IFERROR(IF(AND($BY$2&lt;&gt;"Enter Spend&gt;&gt;&gt;",BZ2="EXISTING"),SUMIFS('Existing Customers'!$S:$S,'Existing Customers'!$H:$H,$BX34,'Existing Customers'!$A:$A,$BY$1),CO34*BY34),0)</f>
        <v>0</v>
      </c>
      <c r="CF34" s="1065">
        <f>IFERROR(IF(AND($BY$2&lt;&gt;"Enter Spend&gt;&gt;&gt;",BZ2="EXISTING"),SUMIFS('Existing Customers'!$U:$U,'Existing Customers'!$H:$H,$BX34,'Existing Customers'!$A:$A,$BY$1),CP34*BY34),0)</f>
        <v>0</v>
      </c>
      <c r="CG34" s="1068" t="e">
        <f>_xlfn.CONCAT('Customer Inputs'!$AG$7,"_",BX34)</f>
        <v>#N/A</v>
      </c>
      <c r="CH34" s="1068">
        <f t="array" ref="CH34">IFERROR(INDEX('Margin Guidence Table'!$A$1:$AD$30000,MATCH(1,('Margin Guidence Table'!$A$1:$A$10000=$CG34)*('Margin Guidence Table'!$I$1:$I$10000&lt;=ROUND($BY$3,0))*('Margin Guidence Table'!$J$1:$J$10000&gt;=ROUND($BY$3,0)),0),MATCH("DATA_POINTS",'Margin Guidence Table'!$A$1:$AG$1,0)),0)</f>
        <v>0</v>
      </c>
      <c r="CI34" s="1065" t="str">
        <f t="shared" si="29"/>
        <v>DEFAULT</v>
      </c>
      <c r="CJ34" s="1065">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65">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69">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69">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69">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69">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69">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69">
        <f t="array" ref="CQ34">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8"/>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72" t="e">
        <f t="shared" si="30"/>
        <v>#DIV/0!</v>
      </c>
      <c r="CU34" s="102" t="s">
        <v>87</v>
      </c>
      <c r="CV34" s="93">
        <f>IFERROR(IF(AND($CV$2&lt;&gt;"Enter Spend&gt;&gt;&gt;",CW22="EXISTING"),SUMIFS('Existing Customers'!$Q:$Q,'Existing Customers'!$A:$A,$CV$1,'Existing Customers'!$H:$H,$CU34)*$CV$4,$CV$3*$CT34),0)</f>
        <v>0</v>
      </c>
      <c r="CW34" s="88">
        <f>IFERROR(IF(AND($CV$2&lt;&gt;"Enter Spend&gt;&gt;&gt;",CW2="EXISTING"),SUMIFS('Existing Customers'!$N:$N,'Existing Customers'!$A:$A,$CV$1,'Existing Customers'!$H:$H,$CU34)*$CV$4,$CV34/$DG34),0)</f>
        <v>0</v>
      </c>
      <c r="CX34" s="94">
        <f>IFERROR(IF(AND($CV$2&lt;&gt;"Enter Spend&gt;&gt;&gt;",BC28="EXISTING"),SUMIFS('Existing Customers'!$O:$O,'Existing Customers'!$H:$H,$CU34,'Existing Customers'!$A:$A,$CV$1)*$CV$4,$CW34*$CV$8),0)</f>
        <v>0</v>
      </c>
      <c r="CY34" s="94">
        <f>IFERROR(IF(AND($CV$2&lt;&gt;"Enter Spend&gt;&gt;&gt;",CW2="EXISTING"),SUMIFS('Existing Customers'!$P:$P,'Existing Customers'!$A:$A,$CV$1,'Existing Customers'!$H:$H,$CU34)*$CV$4,$CV34/$DH34),0)</f>
        <v>0</v>
      </c>
      <c r="CZ34" s="95">
        <f>IFERROR(IF(AND($CV$2&lt;&gt;"Enter Spend&gt;&gt;&gt;",CW2="EXISTING"),SUMIFS('Existing Customers'!$V:$V,'Existing Customers'!$H:$H,$CU34,'Existing Customers'!$A:$A,$CV$1)*$CV$4,0),0)</f>
        <v>0</v>
      </c>
      <c r="DA34" s="95">
        <f>IFERROR(IF(AND($CV$2&lt;&gt;"Enter Spend&gt;&gt;&gt;",CW2="EXISTING"),SUMIFS('Existing Customers'!$R:$R,'Existing Customers'!$H:$H,$BA34,'Existing Customers'!$A:$A,$CV$1)*$CV$4,0),0)</f>
        <v>0</v>
      </c>
      <c r="DB34" s="1065">
        <f>IFERROR(IF(AND($CV$2&lt;&gt;"Enter Spend&gt;&gt;&gt;",CW2="EXISTING"),SUMIFS('Existing Customers'!$S:$S,'Existing Customers'!$H:$H,$CU34,'Existing Customers'!$A:$A,$CV$1),DL34*CV34),0)</f>
        <v>0</v>
      </c>
      <c r="DC34" s="1065">
        <f>IFERROR(IF(AND($CV$2&lt;&gt;"Enter Spend&gt;&gt;&gt;",CW2="EXISTING"),SUMIFS('Existing Customers'!$U:$U,'Existing Customers'!$H:$H,$CU34,'Existing Customers'!$A:$A,$CV$1),DM34*CV34),0)</f>
        <v>0</v>
      </c>
      <c r="DD34" s="1068" t="e">
        <f>_xlfn.CONCAT('Customer Inputs'!$AG$8,"_",CU34)</f>
        <v>#N/A</v>
      </c>
      <c r="DE34" s="1068">
        <f t="array" ref="DE34">IFERROR(INDEX('Margin Guidence Table'!$A$1:$AD$30000,MATCH(1,('Margin Guidence Table'!$A$1:$A$10000=DD34)*('Margin Guidence Table'!$I$1:$I$10000&lt;=ROUND($CV$3,0))*('Margin Guidence Table'!$J$1:$J$10000&gt;=ROUND($CV$3,0)),0),MATCH("DATA_POINTS",'Margin Guidence Table'!$A$1:$AG$1,0)),0)</f>
        <v>0</v>
      </c>
      <c r="DF34" s="1065" t="str">
        <f t="shared" si="31"/>
        <v>DEFAULT</v>
      </c>
      <c r="DG34" s="1065">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65">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69">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69">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69">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69">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69">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69">
        <f t="array" ref="DN34">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8"/>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72" t="e">
        <f t="shared" si="32"/>
        <v>#DIV/0!</v>
      </c>
      <c r="DR34" s="102" t="s">
        <v>87</v>
      </c>
      <c r="DS34" s="93">
        <f>IFERROR(IF(AND($DS$2&lt;&gt;"Enter Spend&gt;&gt;&gt;",DT22="EXISTING"),SUMIFS('Existing Customers'!$Q:$Q,'Existing Customers'!$A:$A,$DS$1,'Existing Customers'!$H:$H,$DR34)*$DS$4,$DS$3*$DQ34),0)</f>
        <v>0</v>
      </c>
      <c r="DT34" s="88">
        <f>IFERROR(IF(AND($DS$2&lt;&gt;"Enter Spend&gt;&gt;&gt;",DT2="EXISTING"),SUMIFS('Existing Customers'!$N:$N,'Existing Customers'!$A:$A,$DS$1,'Existing Customers'!$H:$H,$DR34)*$DS$4,$DS34/$ED34),0)</f>
        <v>0</v>
      </c>
      <c r="DU34" s="94">
        <f>IFERROR(IF(AND($DS$2&lt;&gt;"Enter Spend&gt;&gt;&gt;",DT2="EXISTING"),SUMIFS('Existing Customers'!$O:$O,'Existing Customers'!$H:$H,$DR34,'Existing Customers'!$A:$A,$DS$1)*$DS$4,$DT34*$DS$8),0)</f>
        <v>0</v>
      </c>
      <c r="DV34" s="94">
        <f>IFERROR(IF(AND($DS$2&lt;&gt;"Enter Spend&gt;&gt;&gt;",DT2="EXISTING"),SUMIFS('Existing Customers'!$P:$P,'Existing Customers'!$A:$A,$DS$1,'Existing Customers'!$H:$H,$DR34)*$DS$4,$DS34/$EE34),0)</f>
        <v>0</v>
      </c>
      <c r="DW34" s="95">
        <f>IFERROR(IF(AND($DS$2&lt;&gt;"Enter Spend&gt;&gt;&gt;",EQ2="EXISTING"),SUMIFS('Existing Customers'!$V:$V,'Existing Customers'!$H:$H,$DR34,'Existing Customers'!$A:$A,$DS$1)*$DS$4,0),0)</f>
        <v>0</v>
      </c>
      <c r="DX34" s="95">
        <f>IFERROR(IF(AND($DS$2&lt;&gt;"Enter Spend&gt;&gt;&gt;",DT2="EXISTING"),SUMIFS('Existing Customers'!$R:$R,'Existing Customers'!$H:$H,$DR34,'Existing Customers'!$A:$A,$DS$1)*$DS$4,0),0)</f>
        <v>0</v>
      </c>
      <c r="DY34" s="1065">
        <f>IFERROR(IF(AND($DS$2&lt;&gt;"Enter Spend&gt;&gt;&gt;",DT2="EXISTING"),SUMIFS('Existing Customers'!$S:$S,'Existing Customers'!$H:$H,$DT34,'Existing Customers'!$A:$A,$DS$1),EI34*DS34),0)</f>
        <v>0</v>
      </c>
      <c r="DZ34" s="1065">
        <f>IFERROR(IF(AND($DS$2&lt;&gt;"Enter Spend&gt;&gt;&gt;",DT2="EXISTING"),SUMIFS('Existing Customers'!$U:$U,'Existing Customers'!$H:$H,$DR34,'Existing Customers'!$A:$A,$DS$1),EJ34*DS34),0)</f>
        <v>0</v>
      </c>
      <c r="EA34" s="1068" t="e">
        <f>_xlfn.CONCAT('Customer Inputs'!$AG$9,"_",DR34)</f>
        <v>#N/A</v>
      </c>
      <c r="EB34" s="1068">
        <f t="array" ref="EB34">IFERROR(INDEX('Margin Guidence Table'!$A$1:$AD$30000,MATCH(1,('Margin Guidence Table'!$A$1:$A$10000=EA34)*('Margin Guidence Table'!$I$1:$I$10000&lt;=ROUND($DS$3,0))*('Margin Guidence Table'!$J$1:$J$10000&gt;=ROUND($DS$3,0)),0),MATCH("DATA_POINTS",'Margin Guidence Table'!$A$1:$AG$1,0)),0)</f>
        <v>0</v>
      </c>
      <c r="EC34" s="1065" t="str">
        <f t="shared" si="33"/>
        <v>DEFAULT</v>
      </c>
      <c r="ED34" s="1065">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65">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69">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69">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69">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69">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69">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69">
        <f t="array" ref="EK34">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8"/>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72" t="e">
        <f t="shared" si="34"/>
        <v>#DIV/0!</v>
      </c>
      <c r="EO34" s="102" t="s">
        <v>87</v>
      </c>
      <c r="EP34" s="93">
        <f>IFERROR(IF(AND($EP$2&lt;&gt;"Enter Spend&gt;&gt;&gt;",EQ22="EXISTING"),SUMIFS('Existing Customers'!$Q:$Q,'Existing Customers'!$A:$A,$EP$1,'Existing Customers'!$H:$H,$EO34)*$EP$4,$EP$3*$EN34),0)</f>
        <v>0</v>
      </c>
      <c r="EQ34" s="88">
        <f>IFERROR(IF(AND($EP$2&lt;&gt;"Enter Spend&gt;&gt;&gt;",EQ2="EXISTING"),SUMIFS('Existing Customers'!$N:$N,'Existing Customers'!$A:$A,$EP$1,'Existing Customers'!$H:$H,$EO34)*$EP$4,$EP34/$FA34),0)</f>
        <v>0</v>
      </c>
      <c r="ER34" s="94">
        <f>IFERROR(IF(AND($EP$2&lt;&gt;"Enter Spend&gt;&gt;&gt;",EQ2="EXISTING"),SUMIFS('Existing Customers'!$O:$O,'Existing Customers'!$H:$H,$EO34,'Existing Customers'!$A:$A,$EP$1)*$EP$4,$EQ34*$EP$8),0)</f>
        <v>0</v>
      </c>
      <c r="ES34" s="94">
        <f>IFERROR(IF(AND($EP$2&lt;&gt;"Enter Spend&gt;&gt;&gt;",EQ2="EXISTING"),SUMIFS('Existing Customers'!$P:$P,'Existing Customers'!$A:$A,$EP$1,'Existing Customers'!$H:$H,$EO34)*$EP$4,$EP34/$FB34),0)</f>
        <v>0</v>
      </c>
      <c r="ET34" s="95">
        <f>IFERROR(IF(AND($EP$2&lt;&gt;"Enter Spend&gt;&gt;&gt;",EQ2="EXISTING"),SUMIFS('Existing Customers'!$V:$V,'Existing Customers'!$H:$H,$EO34,'Existing Customers'!$A:$A,$EP$1)*$EP$4,0),0)</f>
        <v>0</v>
      </c>
      <c r="EU34" s="95">
        <f>IFERROR(IF(AND($EP$2&lt;&gt;"Enter Spend&gt;&gt;&gt;",EQ2="EXISTING"),SUMIFS('Existing Customers'!$R:$R,'Existing Customers'!$H:$H,$EO34,'Existing Customers'!$A:$A,$EP$1)*$EP$4,0),0)</f>
        <v>0</v>
      </c>
      <c r="EV34" s="1065">
        <f>IFERROR(IF(AND($EP$2&lt;&gt;"Enter Spend&gt;&gt;&gt;",EQ2="EXISTING"),SUMIFS('Existing Customers'!$S:$S,'Existing Customers'!$H:$H,$EO34,'Existing Customers'!$A:$A,$EP$1),FF34*EP34),0)</f>
        <v>0</v>
      </c>
      <c r="EW34" s="1065">
        <f>IFERROR(IF(AND($EP$2&lt;&gt;"Enter Spend&gt;&gt;&gt;",EQ2="EXISTING"),SUMIFS('Existing Customers'!$U:$U,'Existing Customers'!$H:$H,$EO34,'Existing Customers'!$A:$A,$EP$1),FG34*EP34),0)</f>
        <v>0</v>
      </c>
      <c r="EX34" s="1068" t="e">
        <f>_xlfn.CONCAT('Customer Inputs'!$AG$10,"_",EO34)</f>
        <v>#N/A</v>
      </c>
      <c r="EY34" s="1068">
        <f t="array" ref="EY34">IFERROR(INDEX('Margin Guidence Table'!$A$1:$AD$30000,MATCH(1,('Margin Guidence Table'!$A$1:$A$10000=EX34)*('Margin Guidence Table'!$I$1:$I$10000&lt;=ROUND($EP$3,0))*('Margin Guidence Table'!$J$1:$J$10000&gt;=ROUND($EP$3,0)),0),MATCH("DATA_POINTS",'Margin Guidence Table'!$A$1:$AG$1,0)),0)</f>
        <v>0</v>
      </c>
      <c r="EZ34" s="1065" t="str">
        <f t="shared" si="35"/>
        <v>DEFAULT</v>
      </c>
      <c r="FA34" s="1065">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65"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69">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69">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69">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69">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69">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69">
        <f t="array" ref="FH34">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8"/>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72" t="e">
        <f t="shared" si="36"/>
        <v>#DIV/0!</v>
      </c>
      <c r="FL34" s="102" t="s">
        <v>87</v>
      </c>
      <c r="FM34" s="93">
        <f>IFERROR(IF(AND($FM$2&lt;&gt;"Enter Spend&gt;&gt;&gt;",FN22="EXISTING"),SUMIFS('Existing Customers'!$Q:$Q,'Existing Customers'!$A:$A,$FM$1,'Existing Customers'!$H:$H,$FL34)*$FM$4,$FM$3*$FK34),0)</f>
        <v>0</v>
      </c>
      <c r="FN34" s="88">
        <f>IFERROR(IF(AND($FM$2&lt;&gt;"Enter Spend&gt;&gt;&gt;",FN2="EXISTING"),SUMIFS('Existing Customers'!$N:$N,'Existing Customers'!$A:$A,$FM$1,'Existing Customers'!$H:$H,$FL34)*$FM$4,$FM34/$FX34),0)</f>
        <v>0</v>
      </c>
      <c r="FO34" s="94">
        <f>IFERROR(IF(AND($FM$2&lt;&gt;"Enter Spend&gt;&gt;&gt;",FN2="EXISTING"),SUMIFS('Existing Customers'!$O:$O,'Existing Customers'!$H:$H,$FL34,'Existing Customers'!$A:$A,$FM$1)*$FM$4,$FN34*$FM$8),0)</f>
        <v>0</v>
      </c>
      <c r="FP34" s="94">
        <f>IFERROR(IF(AND($FM$2&lt;&gt;"Enter Spend&gt;&gt;&gt;",FN2="EXISTING"),SUMIFS('Existing Customers'!$P:$P,'Existing Customers'!$A:$A,$FM$1,'Existing Customers'!$H:$H,$FL34)*$FM$4,$FM34/$FY34),0)</f>
        <v>0</v>
      </c>
      <c r="FQ34" s="95">
        <f>IFERROR(IF(AND($FM$2&lt;&gt;"Enter Spend&gt;&gt;&gt;",FN2="EXISTING"),SUMIFS('Existing Customers'!$V:$V,'Existing Customers'!$H:$H,$FL34,'Existing Customers'!$A:$A,$FM$1)*$FM$4,0),0)</f>
        <v>0</v>
      </c>
      <c r="FR34" s="95">
        <f>IFERROR(IF(AND($FM$2&lt;&gt;"Enter Spend&gt;&gt;&gt;",FN2="EXISTING"),SUMIFS('Existing Customers'!$R:$R,'Existing Customers'!$H:$H,$FL34,'Existing Customers'!$A:$A,$FM$1)*$FM$4,0),0)</f>
        <v>0</v>
      </c>
      <c r="FS34" s="1065">
        <f>IFERROR(IF(AND($FM$2&lt;&gt;"Enter Spend&gt;&gt;&gt;",FN2="EXISTING"),SUMIFS('Existing Customers'!$S:$S,'Existing Customers'!$H:$H,$FL34,'Existing Customers'!$A:$A,$FM$1),GC34*FM34),0)</f>
        <v>0</v>
      </c>
      <c r="FT34" s="1065">
        <f>IFERROR(IF(AND($FM$2&lt;&gt;"Enter Spend&gt;&gt;&gt;",FN2="EXISTING"),SUMIFS('Existing Customers'!$U:$U,'Existing Customers'!$H:$H,$FL34,'Existing Customers'!$A:$A,$FM$1),GD34*FM34),0)</f>
        <v>0</v>
      </c>
      <c r="FU34" s="1068" t="e">
        <f>_xlfn.CONCAT('Customer Inputs'!$AG$11,"_",FL34)</f>
        <v>#N/A</v>
      </c>
      <c r="FV34" s="1068">
        <f t="array" ref="FV34">IFERROR(INDEX('Margin Guidence Table'!$A$1:$AD$30000,MATCH(1,('Margin Guidence Table'!$A$1:$A$10000=FU34)*('Margin Guidence Table'!$I$1:$I$10000&lt;=ROUND($FM$3,0))*('Margin Guidence Table'!$J$1:$J$10000&gt;=ROUND($FM$3,0)),0),MATCH("DATA_POINTS",'Margin Guidence Table'!$A$1:$AG$1,0)),0)</f>
        <v>0</v>
      </c>
      <c r="FW34" s="1065" t="str">
        <f t="shared" si="37"/>
        <v>DEFAULT</v>
      </c>
      <c r="FX34" s="1065">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65">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69">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69">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69">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69">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69">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69">
        <f t="array" ref="GE34">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8"/>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72" t="e">
        <f t="shared" si="38"/>
        <v>#DIV/0!</v>
      </c>
      <c r="GI34" s="102" t="s">
        <v>87</v>
      </c>
      <c r="GJ34" s="93">
        <f>IFERROR(IF(AND($GJ$2&lt;&gt;"Enter Spend&gt;&gt;&gt;",GK22="EXISTING"),SUMIFS('Existing Customers'!$Q:$Q,'Existing Customers'!$A:$A,$GJ$1,'Existing Customers'!$H:$H,$GI34)*$GJ$4,$GJ$3*$GH34),0)</f>
        <v>0</v>
      </c>
      <c r="GK34" s="88">
        <f>IFERROR(IF(AND($GJ$2&lt;&gt;"Enter Spend&gt;&gt;&gt;",GK2="EXISTING"),SUMIFS('Existing Customers'!$N:$N,'Existing Customers'!$A:$A,$GJ$1,'Existing Customers'!$H:$H,$GI34)*$GJ$4,$GJ34/$GU34),0)</f>
        <v>0</v>
      </c>
      <c r="GL34" s="94">
        <f>IFERROR(IF(AND($GJ$2&lt;&gt;"Enter Spend&gt;&gt;&gt;",GK2="EXISTING"),SUMIFS('Existing Customers'!$O:$O,'Existing Customers'!$H:$H,$GI34,'Existing Customers'!$A:$A,$GJ$1)*$GJ$4,$GK34*$GJ$8),0)</f>
        <v>0</v>
      </c>
      <c r="GM34" s="94">
        <f>IFERROR(IF(AND($GJ$2&lt;&gt;"Enter Spend&gt;&gt;&gt;",GK2="EXISTING"),SUMIFS('Existing Customers'!$P:$P,'Existing Customers'!$A:$A,$GJ$1,'Existing Customers'!$H:$H,$GI34)*$GJ$4,$GJ34/$GV34),0)</f>
        <v>0</v>
      </c>
      <c r="GN34" s="95">
        <f>IFERROR(IF(AND($GJ$2&lt;&gt;"Enter Spend&gt;&gt;&gt;",GK2="EXISTING"),SUMIFS('Existing Customers'!$V:$V,'Existing Customers'!$H:$H,$GI34,'Existing Customers'!$A:$A,$GJ$1)*$GJ$4,0),0)</f>
        <v>0</v>
      </c>
      <c r="GO34" s="95">
        <f>IFERROR(IF(AND($GJ$2&lt;&gt;"Enter Spend&gt;&gt;&gt;",GK2="EXISTING"),SUMIFS('Existing Customers'!$R:$R,'Existing Customers'!$H:$H,$GI34,'Existing Customers'!$A:$A,$GJ$1)*$GJ$4,0),0)</f>
        <v>0</v>
      </c>
      <c r="GP34" s="1065">
        <f>IFERROR(IF(AND($GJ$2&lt;&gt;"Enter Spend&gt;&gt;&gt;",GK2="EXISTING"),SUMIFS('Existing Customers'!$S:$S,'Existing Customers'!$H:$H,$GI34,'Existing Customers'!$A:$A,$GJ$1),GZ34*GJ34),0)</f>
        <v>0</v>
      </c>
      <c r="GQ34" s="1065">
        <f>IFERROR(IF(AND($GJ$2&lt;&gt;"Enter Spend&gt;&gt;&gt;",GK2="EXISTING"),SUMIFS('Existing Customers'!$U:$U,'Existing Customers'!$H:$H,$GI34,'Existing Customers'!$A:$A,$GJ$1),HA34*GJ34),0)</f>
        <v>0</v>
      </c>
      <c r="GR34" s="1068" t="e">
        <f>_xlfn.CONCAT('Customer Inputs'!$AG$12,"_",GI34)</f>
        <v>#N/A</v>
      </c>
      <c r="GS34" s="1068">
        <f t="array" ref="GS34">IFERROR(INDEX('Margin Guidence Table'!$A$1:$AD$30000,MATCH(1,('Margin Guidence Table'!$A$1:$A$10000=GR34)*('Margin Guidence Table'!$I$1:$I$10000&lt;=ROUND($GJ$3,0))*('Margin Guidence Table'!$J$1:$J$10000&gt;=ROUND($GJ$3,0)),0),MATCH("DATA_POINTS",'Margin Guidence Table'!$A$1:$AG$1,0)),0)</f>
        <v>0</v>
      </c>
      <c r="GT34" s="1065" t="str">
        <f t="shared" si="39"/>
        <v>DEFAULT</v>
      </c>
      <c r="GU34" s="1065">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65">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69">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69">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69">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69">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69">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69">
        <f t="array" ref="HB34">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8"/>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72" t="e">
        <f t="shared" si="40"/>
        <v>#DIV/0!</v>
      </c>
      <c r="HF34" s="102" t="s">
        <v>87</v>
      </c>
      <c r="HG34" s="93">
        <f>IFERROR(IF(AND($HG$2&lt;&gt;"Enter Spend&gt;&gt;&gt;",HH22="EXISTING"),SUMIFS('Existing Customers'!$Q:$Q,'Existing Customers'!$A:$A,$HG$1,'Existing Customers'!$H:$H,$HF34)*$HG$4,$HG$3*$HE34),0)</f>
        <v>0</v>
      </c>
      <c r="HH34" s="88">
        <f>IFERROR(IF(AND($HG$2&lt;&gt;"Enter Spend&gt;&gt;&gt;",HH2="EXISTING"),SUMIFS('Existing Customers'!$N:$N,'Existing Customers'!$A:$A,$HG$1,'Existing Customers'!$H:$H,$HF34)*$HG$4,$HG34/$HR34),0)</f>
        <v>0</v>
      </c>
      <c r="HI34" s="94">
        <f>IFERROR(IF(AND($HG$2&lt;&gt;"Enter Spend&gt;&gt;&gt;",HH2="EXISTING"),SUMIFS('Existing Customers'!$O:$O,'Existing Customers'!$H:$H,$HF34,'Existing Customers'!$A:$A,$HG$1)*$HG$4,$HH34*$HG$8),0)</f>
        <v>0</v>
      </c>
      <c r="HJ34" s="94">
        <f>IFERROR(IF(AND($HG$2&lt;&gt;"Enter Spend&gt;&gt;&gt;",HH2="EXISTING"),SUMIFS('Existing Customers'!$P:$P,'Existing Customers'!$A:$A,$HG$1,'Existing Customers'!$H:$H,$HF34)*$HG$4,$HG34/$HS34),0)</f>
        <v>0</v>
      </c>
      <c r="HK34" s="95">
        <f>IFERROR(IF(AND($HG$2&lt;&gt;"Enter Spend&gt;&gt;&gt;",HH2="EXISTING"),SUMIFS('Existing Customers'!$V:$V,'Existing Customers'!$H:$H,$HF34,'Existing Customers'!$A:$A,$HG$1)*$HG$4,0),0)</f>
        <v>0</v>
      </c>
      <c r="HL34" s="95">
        <f>IFERROR(IF(AND($HG$2&lt;&gt;"Enter Spend&gt;&gt;&gt;",HH2="EXISTING"),SUMIFS('Existing Customers'!$R:$R,'Existing Customers'!$H:$H,$HF34,'Existing Customers'!$A:$A,$HG$1)*$HG$4,0),0)</f>
        <v>0</v>
      </c>
      <c r="HM34" s="1065">
        <f>IFERROR(IF(AND($HG$2&lt;&gt;"Enter Spend&gt;&gt;&gt;",HH2="EXISTING"),SUMIFS('Existing Customers'!$S:$S,'Existing Customers'!$H:$H,$HF34,'Existing Customers'!$A:$A,$HG$1),HW34*HG34),0)</f>
        <v>0</v>
      </c>
      <c r="HN34" s="1065">
        <f>IFERROR(IF(AND($HG$2&lt;&gt;"Enter Spend&gt;&gt;&gt;",HH2="EXISTING"),SUMIFS('Existing Customers'!$U:$U,'Existing Customers'!$H:$H,$HF34,'Existing Customers'!$A:$A,$HG$1),HX34*HG34),0)</f>
        <v>0</v>
      </c>
      <c r="HO34" s="1068" t="e">
        <f>_xlfn.CONCAT('Customer Inputs'!$AG$13,"_",HF34)</f>
        <v>#N/A</v>
      </c>
      <c r="HP34" s="1068">
        <f t="array" ref="HP34">IFERROR(INDEX('Margin Guidence Table'!$A$1:$AD$30000,MATCH(1,('Margin Guidence Table'!$A$1:$A$10000=HO34)*('Margin Guidence Table'!$I$1:$I$10000&lt;=ROUND($HG$3,0))*('Margin Guidence Table'!$J$1:$J$10000&gt;=ROUND($HG$3,0)),0),MATCH("DATA_POINTS",'Margin Guidence Table'!$A$1:$AG$1,0)),0)</f>
        <v>0</v>
      </c>
      <c r="HQ34" s="1065" t="str">
        <f t="shared" si="41"/>
        <v>DEFAULT</v>
      </c>
      <c r="HR34" s="1065">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65">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69">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69">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69">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69">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69">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69">
        <f t="array" ref="HY34">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8"/>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72" t="e">
        <f t="shared" si="42"/>
        <v>#DIV/0!</v>
      </c>
      <c r="IC34" s="102" t="s">
        <v>87</v>
      </c>
      <c r="ID34" s="93">
        <f>IFERROR(IF(AND($ID$2&lt;&gt;"Enter Spend&gt;&gt;&gt;",IE22="EXISTING"),SUMIFS('Existing Customers'!$Q:$Q,'Existing Customers'!$A:$A,$ID$1,'Existing Customers'!$H:$H,$IC34)*$ID$4,$ID$3*$IB34),0)</f>
        <v>0</v>
      </c>
      <c r="IE34" s="88">
        <f>IFERROR(IF(AND($ID$2&lt;&gt;"Enter Spend&gt;&gt;&gt;",IE2="EXISTING"),SUMIFS('Existing Customers'!$N:$N,'Existing Customers'!$A:$A,$ID$1,'Existing Customers'!$H:$H,$IC34)*$ID$4,$ID34/$IO34),0)</f>
        <v>0</v>
      </c>
      <c r="IF34" s="94">
        <f>IFERROR(IF(AND($ID$2&lt;&gt;"Enter Spend&gt;&gt;&gt;",IE2="EXISTING"),SUMIFS('Existing Customers'!$O:$O,'Existing Customers'!$H:$H,$IC34,'Existing Customers'!$A:$A,$ID$1)*$ID$4,$IE34*$ID$8),0)</f>
        <v>0</v>
      </c>
      <c r="IG34" s="94">
        <f>IFERROR(IF(AND($ID$2&lt;&gt;"Enter Spend&gt;&gt;&gt;",IE2="EXISTING"),SUMIFS('Existing Customers'!$P:$P,'Existing Customers'!$A:$A,$ID$1,'Existing Customers'!$H:$H,$IC34)*$ID$4,$ID34/$IP34),0)</f>
        <v>0</v>
      </c>
      <c r="IH34" s="378">
        <f>IFERROR(IF(AND($ID$2&lt;&gt;"Enter Spend&gt;&gt;&gt;",IE2="EXISTING"),SUMIFS('Existing Customers'!$V:$V,'Existing Customers'!$H:$H,$IC34,'Existing Customers'!$A:$A,$ID$1)*$ID$4,0),0)</f>
        <v>0</v>
      </c>
      <c r="II34" s="95">
        <f>IFERROR(IF(AND($ID$2&lt;&gt;"Enter Spend&gt;&gt;&gt;",IE2="EXISTING"),SUMIFS('Existing Customers'!$R:$R,'Existing Customers'!$H:$H,$IC34,'Existing Customers'!$A:$A,$ID$1)*$ID$4,0),0)</f>
        <v>0</v>
      </c>
      <c r="IJ34" s="1065">
        <f>IFERROR(IF(AND($ID$2&lt;&gt;"Enter Spend&gt;&gt;&gt;",IE2="EXISTING"),SUMIFS('Existing Customers'!$S:$S,'Existing Customers'!$H:$H,$IC34,'Existing Customers'!$A:$A,$ID$1),IT34*ID34),0)</f>
        <v>0</v>
      </c>
      <c r="IK34" s="1065">
        <f>IFERROR(IF(AND($ID$2&lt;&gt;"Enter Spend&gt;&gt;&gt;",IE2="EXISTING"),SUMIFS('Existing Customers'!$U:$U,'Existing Customers'!$H:$H,$IC34,'Existing Customers'!$A:$A,$ID$1),IU34*ID34),0)</f>
        <v>0</v>
      </c>
      <c r="IL34" s="1068" t="e">
        <f>_xlfn.CONCAT('Customer Inputs'!$AG$14,"_",IC34)</f>
        <v>#N/A</v>
      </c>
      <c r="IM34" s="1068">
        <f t="array" ref="IM34">IFERROR(INDEX('Margin Guidence Table'!$A$1:$AD$30000,MATCH(1,('Margin Guidence Table'!$A$1:$A$10000=IL34)*('Margin Guidence Table'!$I$1:$I$10000&lt;=ROUND($ID$3,0))*('Margin Guidence Table'!$J$1:$J$10000&gt;=ROUND($ID$3,0)),0),MATCH("DATA_POINTS",'Margin Guidence Table'!$A$1:$AG$1,0)),0)</f>
        <v>0</v>
      </c>
      <c r="IN34" s="1065" t="str">
        <f t="shared" si="43"/>
        <v>DEFAULT</v>
      </c>
      <c r="IO34" s="1065">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65">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69">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69">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69">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69">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69">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69">
        <f t="array" ref="IV34">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8"/>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72" t="e">
        <f t="shared" si="44"/>
        <v>#DIV/0!</v>
      </c>
      <c r="IZ34" s="102" t="s">
        <v>87</v>
      </c>
      <c r="JA34" s="93">
        <f>IFERROR(IF(AND($JA$2&lt;&gt;"Enter Spend&gt;&gt;&gt;",JB22="EXISTING"),SUMIFS('Existing Customers'!$Q:$Q,'Existing Customers'!$A:$A,$JA$1,'Existing Customers'!$H:$H,$IZ34)*$JA$4,$JA$3*$IY34),0)</f>
        <v>0</v>
      </c>
      <c r="JB34" s="88">
        <f>IFERROR(IF(AND($JA$2&lt;&gt;"Enter Spend&gt;&gt;&gt;",JB2="EXISTING"),SUMIFS('Existing Customers'!$N:$N,'Existing Customers'!$A:$A,$JA$1,'Existing Customers'!$H:$H,$IZ34)*$JA$4,$JA34/$JL34),0)</f>
        <v>0</v>
      </c>
      <c r="JC34" s="94">
        <f>IFERROR(IF(AND($JA$2&lt;&gt;"Enter Spend&gt;&gt;&gt;",JB2="EXISTING"),SUMIFS('Existing Customers'!$O:$O,'Existing Customers'!$H:$H,$IZ34,'Existing Customers'!$A:$A,$JA$1)*$JA$4,$JB34*$JA$8),0)</f>
        <v>0</v>
      </c>
      <c r="JD34" s="94">
        <f>IFERROR(IF(AND($JA$2&lt;&gt;"Enter Spend&gt;&gt;&gt;",JB2="EXISTING"),SUMIFS('Existing Customers'!$P:$P,'Existing Customers'!$A:$A,$JA$1,'Existing Customers'!$H:$H,$IZ34)*$JA$4,$JA34/$JM34),0)</f>
        <v>0</v>
      </c>
      <c r="JE34" s="378">
        <f>IFERROR(IF(AND($JA$2&lt;&gt;"Enter Spend&gt;&gt;&gt;",JB2="EXISTING"),SUMIFS('Existing Customers'!$V:$V,'Existing Customers'!$H:$H,$IZ34,'Existing Customers'!$A:$A,$JA$1)*$JA$4,0),0)</f>
        <v>0</v>
      </c>
      <c r="JF34" s="95">
        <f>IFERROR(IF(AND($JA$2&lt;&gt;"Enter Spend&gt;&gt;&gt;",JB2="EXISTING"),SUMIFS('Existing Customers'!$R:$R,'Existing Customers'!$H:$H,$IZ34,'Existing Customers'!$A:$A,$JA$1)*$JA$4,0),0)</f>
        <v>0</v>
      </c>
      <c r="JG34" s="1065">
        <f>IFERROR(IF(AND($JA$2&lt;&gt;"Enter Spend&gt;&gt;&gt;",JB2="EXISTING"),SUMIFS('Existing Customers'!$S:$S,'Existing Customers'!$H:$H,$IZ34,'Existing Customers'!$A:$A,$JA$1),JQ34*JA34),0)</f>
        <v>0</v>
      </c>
      <c r="JH34" s="1065">
        <f>IFERROR(IF(AND($JA$2&lt;&gt;"Enter Spend&gt;&gt;&gt;",JB2="EXISTING"),SUMIFS('Existing Customers'!$U:$U,'Existing Customers'!$H:$H,$IZ34,'Existing Customers'!$A:$A,$JA$1),JR34*JA34),0)</f>
        <v>0</v>
      </c>
      <c r="JI34" s="1068" t="e">
        <f>_xlfn.CONCAT('Customer Inputs'!$AG$15,"_",IZ34)</f>
        <v>#N/A</v>
      </c>
      <c r="JJ34" s="1068">
        <f t="array" ref="JJ34">IFERROR(INDEX('Margin Guidence Table'!$A$1:$AD$30000,MATCH(1,('Margin Guidence Table'!$A$1:$A$10000=JI34)*('Margin Guidence Table'!$I$1:$I$10000&lt;=ROUND($JA$3,0))*('Margin Guidence Table'!$J$1:$J$10000&gt;=ROUND($JA$3,0)),0),MATCH("DATA_POINTS",'Margin Guidence Table'!$A$1:$AG$1,0)),0)</f>
        <v>0</v>
      </c>
      <c r="JK34" s="1065" t="str">
        <f t="shared" si="45"/>
        <v>DEFAULT</v>
      </c>
      <c r="JL34" s="1065">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65">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69">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69">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69">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69">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69">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69">
        <f t="array" ref="JS34">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2" t="s">
        <v>87</v>
      </c>
      <c r="JV34" s="98"/>
      <c r="JW34" s="88"/>
      <c r="JX34" s="99"/>
      <c r="JY34" s="99"/>
      <c r="JZ34" s="114"/>
      <c r="KA34" s="100"/>
      <c r="KB34" s="128"/>
      <c r="KD34" s="102" t="s">
        <v>87</v>
      </c>
      <c r="KE34" s="98"/>
      <c r="KF34" s="88"/>
      <c r="KG34" s="99"/>
      <c r="KH34" s="99"/>
      <c r="KI34" s="114"/>
      <c r="KJ34" s="100"/>
    </row>
    <row r="35" spans="2:296" ht="15.75" thickBot="1" x14ac:dyDescent="0.3">
      <c r="C35" s="104">
        <f>SUM(C14:C34)</f>
        <v>0</v>
      </c>
      <c r="D35" s="105">
        <f>SUM(D14:D34)</f>
        <v>0</v>
      </c>
      <c r="E35" s="105">
        <f>SUM(E14:E34)</f>
        <v>0</v>
      </c>
      <c r="F35" s="105">
        <f>SUM(F14:F34)</f>
        <v>0</v>
      </c>
      <c r="G35" s="106">
        <f>SUM(G14:G34)</f>
        <v>0</v>
      </c>
      <c r="H35" s="107"/>
      <c r="I35" s="1063" t="e">
        <f t="shared" si="0"/>
        <v>#DIV/0!</v>
      </c>
      <c r="J35" s="1063" t="e">
        <f t="shared" si="1"/>
        <v>#DIV/0!</v>
      </c>
      <c r="K35" s="1063" t="e">
        <f t="shared" si="2"/>
        <v>#DIV/0!</v>
      </c>
      <c r="L35" s="1064" t="e">
        <f>SUM(L14:L34)</f>
        <v>#DIV/0!</v>
      </c>
      <c r="M35" s="1063" t="e">
        <f t="shared" si="17"/>
        <v>#DIV/0!</v>
      </c>
      <c r="N35" s="467" t="e">
        <f t="shared" si="4"/>
        <v>#DIV/0!</v>
      </c>
      <c r="Q35">
        <f>SUM(Q14:Q34)</f>
        <v>0</v>
      </c>
      <c r="R35">
        <f>SUM(R14:R34)</f>
        <v>0</v>
      </c>
      <c r="T35" s="104">
        <f>SUM(T14:T34)</f>
        <v>0</v>
      </c>
      <c r="U35" s="105">
        <f>SUM(U14:U34)</f>
        <v>0</v>
      </c>
      <c r="V35" s="105">
        <f>SUM(V14:V34)</f>
        <v>0</v>
      </c>
      <c r="W35" s="105">
        <f>SUM(W14:W34)</f>
        <v>0</v>
      </c>
      <c r="X35" s="106">
        <f>SUM(X14:X34)</f>
        <v>0</v>
      </c>
      <c r="Y35" s="107"/>
      <c r="Z35" s="107"/>
      <c r="AA35" s="107"/>
      <c r="AB35" s="463">
        <f>SUM(AB14:AB34)</f>
        <v>0</v>
      </c>
      <c r="AC35" s="464">
        <f>SUM(AC14:AC34)</f>
        <v>0</v>
      </c>
      <c r="AD35" s="464">
        <f>SUM(AD14:AD34)</f>
        <v>0</v>
      </c>
      <c r="AE35" s="465">
        <f t="shared" ref="AE35" si="47">IFERROR(AC35/AB35,0)</f>
        <v>0</v>
      </c>
      <c r="AF35" s="466">
        <f t="shared" ref="AF35" si="48">IFERROR(AD35/AB35,0)</f>
        <v>0</v>
      </c>
      <c r="AG35" s="107"/>
      <c r="AH35" s="107"/>
      <c r="AI35" s="463">
        <f>SUM(AI14:AI34)</f>
        <v>0</v>
      </c>
      <c r="AJ35" s="623">
        <f>SUM(AJ14:AJ34)</f>
        <v>0</v>
      </c>
      <c r="AK35" s="466">
        <f>IFERROR(#REF!/AI35,0)</f>
        <v>0</v>
      </c>
      <c r="AL35" s="107"/>
      <c r="AM35" s="107"/>
      <c r="AN35" s="107"/>
      <c r="AO35" s="107"/>
      <c r="AP35" s="107"/>
      <c r="AQ35" s="107"/>
      <c r="AR35" s="107"/>
      <c r="AS35" s="107"/>
      <c r="AT35" s="107"/>
      <c r="AU35" s="107"/>
      <c r="AV35" s="107"/>
      <c r="AW35" s="107"/>
      <c r="AX35" s="107"/>
      <c r="AY35" s="372">
        <f>SUM(AY14:AY34)</f>
        <v>0</v>
      </c>
      <c r="AZ35" s="372" t="e">
        <f>SUM(AZ14:AZ34)</f>
        <v>#DIV/0!</v>
      </c>
      <c r="BB35" s="104">
        <f t="shared" ref="BB35:BG35" si="49">SUM(BB14:BB34)</f>
        <v>0</v>
      </c>
      <c r="BC35" s="105">
        <f t="shared" si="49"/>
        <v>0</v>
      </c>
      <c r="BD35" s="105">
        <f t="shared" si="49"/>
        <v>0</v>
      </c>
      <c r="BE35" s="105">
        <f t="shared" si="49"/>
        <v>0</v>
      </c>
      <c r="BF35" s="379">
        <f t="shared" si="49"/>
        <v>0</v>
      </c>
      <c r="BG35" s="106">
        <f t="shared" si="49"/>
        <v>0</v>
      </c>
      <c r="BH35" s="95">
        <f>SUM(BH14:BH34)</f>
        <v>0</v>
      </c>
      <c r="BI35" s="95">
        <f>SUM(BI14:BI34)</f>
        <v>0</v>
      </c>
      <c r="BJ35" s="1059"/>
      <c r="BK35" s="1059"/>
      <c r="BL35" s="1059"/>
      <c r="BM35" s="1059"/>
      <c r="BN35" s="1059"/>
      <c r="BO35" s="1059"/>
      <c r="BP35" s="1059"/>
      <c r="BQ35" s="1059"/>
      <c r="BR35" s="1059"/>
      <c r="BS35" s="1059"/>
      <c r="BT35" s="1059"/>
      <c r="BU35" s="372"/>
      <c r="BV35" s="372">
        <f>SUM(BV14:BV34)</f>
        <v>0</v>
      </c>
      <c r="BW35" s="372" t="e">
        <f>SUM(BW14:BW34)</f>
        <v>#DIV/0!</v>
      </c>
      <c r="BY35" s="104">
        <f t="shared" ref="BY35:CD35" si="50">SUM(BY14:BY34)</f>
        <v>0</v>
      </c>
      <c r="BZ35" s="105">
        <f t="shared" si="50"/>
        <v>0</v>
      </c>
      <c r="CA35" s="105">
        <f t="shared" si="50"/>
        <v>0</v>
      </c>
      <c r="CB35" s="105">
        <f t="shared" si="50"/>
        <v>0</v>
      </c>
      <c r="CC35" s="106">
        <f t="shared" si="50"/>
        <v>0</v>
      </c>
      <c r="CD35" s="106">
        <f t="shared" si="50"/>
        <v>0</v>
      </c>
      <c r="CE35" s="106">
        <f t="shared" ref="CE35:CF35" si="51">SUM(CE14:CE34)</f>
        <v>0</v>
      </c>
      <c r="CF35" s="106">
        <f t="shared" si="51"/>
        <v>0</v>
      </c>
      <c r="CG35" s="1059"/>
      <c r="CH35" s="1059"/>
      <c r="CI35" s="1059"/>
      <c r="CJ35" s="1059"/>
      <c r="CK35" s="1059"/>
      <c r="CL35" s="1059"/>
      <c r="CM35" s="1059"/>
      <c r="CN35" s="1059"/>
      <c r="CO35" s="1059"/>
      <c r="CP35" s="1059"/>
      <c r="CQ35" s="1059"/>
      <c r="CR35" s="107"/>
      <c r="CS35" s="372">
        <f>SUM(CS14:CS34)</f>
        <v>0</v>
      </c>
      <c r="CT35" s="372" t="e">
        <f>SUM(CT14:CT34)</f>
        <v>#DIV/0!</v>
      </c>
      <c r="CV35" s="104">
        <f t="shared" ref="CV35:DA35" si="52">SUM(CV14:CV34)</f>
        <v>0</v>
      </c>
      <c r="CW35" s="105">
        <f t="shared" si="52"/>
        <v>0</v>
      </c>
      <c r="CX35" s="105">
        <f t="shared" si="52"/>
        <v>0</v>
      </c>
      <c r="CY35" s="105">
        <f t="shared" si="52"/>
        <v>0</v>
      </c>
      <c r="CZ35" s="106">
        <f t="shared" si="52"/>
        <v>0</v>
      </c>
      <c r="DA35" s="106">
        <f t="shared" si="52"/>
        <v>0</v>
      </c>
      <c r="DB35" s="106">
        <f t="shared" ref="DB35:DC35" si="53">SUM(DB14:DB34)</f>
        <v>0</v>
      </c>
      <c r="DC35" s="106">
        <f t="shared" si="53"/>
        <v>0</v>
      </c>
      <c r="DD35" s="1059"/>
      <c r="DE35" s="1059"/>
      <c r="DF35" s="1059"/>
      <c r="DG35" s="1059"/>
      <c r="DH35" s="1059"/>
      <c r="DI35" s="1059"/>
      <c r="DJ35" s="1059"/>
      <c r="DK35" s="1059"/>
      <c r="DL35" s="1059"/>
      <c r="DM35" s="1059"/>
      <c r="DN35" s="1059"/>
      <c r="DO35" s="107"/>
      <c r="DP35" s="372">
        <f>SUM(DP14:DP34)</f>
        <v>0</v>
      </c>
      <c r="DQ35" s="372" t="e">
        <f>SUM(DQ14:DQ34)</f>
        <v>#DIV/0!</v>
      </c>
      <c r="DS35" s="104">
        <f t="shared" ref="DS35:DX35" si="54">SUM(DS14:DS34)</f>
        <v>0</v>
      </c>
      <c r="DT35" s="105">
        <f t="shared" si="54"/>
        <v>0</v>
      </c>
      <c r="DU35" s="105">
        <f t="shared" si="54"/>
        <v>0</v>
      </c>
      <c r="DV35" s="105">
        <f t="shared" si="54"/>
        <v>0</v>
      </c>
      <c r="DW35" s="106">
        <f t="shared" si="54"/>
        <v>0</v>
      </c>
      <c r="DX35" s="106">
        <f t="shared" si="54"/>
        <v>0</v>
      </c>
      <c r="DY35" s="106">
        <f t="shared" ref="DY35:DZ35" si="55">SUM(DY14:DY34)</f>
        <v>0</v>
      </c>
      <c r="DZ35" s="106">
        <f t="shared" si="55"/>
        <v>0</v>
      </c>
      <c r="EA35" s="1059"/>
      <c r="EB35" s="1059"/>
      <c r="EC35" s="1059"/>
      <c r="ED35" s="1059"/>
      <c r="EE35" s="1059"/>
      <c r="EF35" s="1059"/>
      <c r="EG35" s="1059"/>
      <c r="EH35" s="1059"/>
      <c r="EI35" s="1059"/>
      <c r="EJ35" s="1059"/>
      <c r="EK35" s="1059"/>
      <c r="EL35" s="107"/>
      <c r="EM35" s="372">
        <f>SUM(EM14:EM34)</f>
        <v>0</v>
      </c>
      <c r="EN35" s="372" t="e">
        <f>SUM(EN14:EN34)</f>
        <v>#DIV/0!</v>
      </c>
      <c r="EP35" s="104">
        <f t="shared" ref="EP35:EU35" si="56">SUM(EP14:EP34)</f>
        <v>0</v>
      </c>
      <c r="EQ35" s="105">
        <f t="shared" si="56"/>
        <v>0</v>
      </c>
      <c r="ER35" s="105">
        <f t="shared" si="56"/>
        <v>0</v>
      </c>
      <c r="ES35" s="105">
        <f t="shared" si="56"/>
        <v>0</v>
      </c>
      <c r="ET35" s="106">
        <f t="shared" si="56"/>
        <v>0</v>
      </c>
      <c r="EU35" s="106">
        <f t="shared" si="56"/>
        <v>0</v>
      </c>
      <c r="EV35" s="106">
        <f t="shared" ref="EV35:EW35" si="57">SUM(EV14:EV34)</f>
        <v>0</v>
      </c>
      <c r="EW35" s="106">
        <f t="shared" si="57"/>
        <v>0</v>
      </c>
      <c r="EX35" s="1059"/>
      <c r="EY35" s="1059"/>
      <c r="EZ35" s="1059"/>
      <c r="FA35" s="1059"/>
      <c r="FB35" s="1059"/>
      <c r="FC35" s="1059"/>
      <c r="FD35" s="1059"/>
      <c r="FE35" s="1059"/>
      <c r="FF35" s="1059"/>
      <c r="FG35" s="1059"/>
      <c r="FH35" s="1059"/>
      <c r="FI35" s="107"/>
      <c r="FJ35" s="372">
        <f>SUM(FJ14:FJ34)</f>
        <v>0</v>
      </c>
      <c r="FK35" s="372" t="e">
        <f>SUM(FK14:FK34)</f>
        <v>#DIV/0!</v>
      </c>
      <c r="FM35" s="104">
        <f t="shared" ref="FM35:FR35" si="58">SUM(FM14:FM34)</f>
        <v>0</v>
      </c>
      <c r="FN35" s="105">
        <f t="shared" si="58"/>
        <v>0</v>
      </c>
      <c r="FO35" s="105">
        <f t="shared" si="58"/>
        <v>0</v>
      </c>
      <c r="FP35" s="105">
        <f t="shared" si="58"/>
        <v>0</v>
      </c>
      <c r="FQ35" s="106">
        <f t="shared" si="58"/>
        <v>0</v>
      </c>
      <c r="FR35" s="106">
        <f t="shared" si="58"/>
        <v>0</v>
      </c>
      <c r="FS35" s="106">
        <f t="shared" ref="FS35:FT35" si="59">SUM(FS14:FS34)</f>
        <v>0</v>
      </c>
      <c r="FT35" s="106">
        <f t="shared" si="59"/>
        <v>0</v>
      </c>
      <c r="FU35" s="1059"/>
      <c r="FV35" s="1059"/>
      <c r="FW35" s="1059"/>
      <c r="FX35" s="1059"/>
      <c r="FY35" s="1059"/>
      <c r="FZ35" s="1059"/>
      <c r="GA35" s="1059"/>
      <c r="GB35" s="1059"/>
      <c r="GC35" s="1059"/>
      <c r="GD35" s="1059"/>
      <c r="GE35" s="1059"/>
      <c r="GF35" s="107"/>
      <c r="GG35" s="372">
        <f>SUM(GG14:GG34)</f>
        <v>0</v>
      </c>
      <c r="GH35" s="372" t="e">
        <f>SUM(GH14:GH34)</f>
        <v>#DIV/0!</v>
      </c>
      <c r="GJ35" s="104">
        <f t="shared" ref="GJ35:GO35" si="60">SUM(GJ14:GJ34)</f>
        <v>0</v>
      </c>
      <c r="GK35" s="105">
        <f t="shared" si="60"/>
        <v>0</v>
      </c>
      <c r="GL35" s="105">
        <f t="shared" si="60"/>
        <v>0</v>
      </c>
      <c r="GM35" s="105">
        <f t="shared" si="60"/>
        <v>0</v>
      </c>
      <c r="GN35" s="106">
        <f t="shared" si="60"/>
        <v>0</v>
      </c>
      <c r="GO35" s="106">
        <f t="shared" si="60"/>
        <v>0</v>
      </c>
      <c r="GP35" s="106">
        <f t="shared" ref="GP35:GQ35" si="61">SUM(GP14:GP34)</f>
        <v>0</v>
      </c>
      <c r="GQ35" s="106">
        <f t="shared" si="61"/>
        <v>0</v>
      </c>
      <c r="GR35" s="1059"/>
      <c r="GS35" s="1059"/>
      <c r="GT35" s="1059"/>
      <c r="GU35" s="1059"/>
      <c r="GV35" s="1059"/>
      <c r="GW35" s="1059"/>
      <c r="GX35" s="1059"/>
      <c r="GY35" s="1059"/>
      <c r="GZ35" s="1059"/>
      <c r="HA35" s="1059"/>
      <c r="HB35" s="1059"/>
      <c r="HC35" s="107"/>
      <c r="HD35" s="372">
        <f>SUM(HD14:HD34)</f>
        <v>0</v>
      </c>
      <c r="HE35" s="372" t="e">
        <f>SUM(HE14:HE34)</f>
        <v>#DIV/0!</v>
      </c>
      <c r="HG35" s="104">
        <f t="shared" ref="HG35:HL35" si="62">SUM(HG14:HG34)</f>
        <v>0</v>
      </c>
      <c r="HH35" s="105">
        <f t="shared" si="62"/>
        <v>0</v>
      </c>
      <c r="HI35" s="105">
        <f t="shared" si="62"/>
        <v>0</v>
      </c>
      <c r="HJ35" s="105">
        <f t="shared" si="62"/>
        <v>0</v>
      </c>
      <c r="HK35" s="106">
        <f t="shared" si="62"/>
        <v>0</v>
      </c>
      <c r="HL35" s="106">
        <f t="shared" si="62"/>
        <v>0</v>
      </c>
      <c r="HM35" s="106">
        <f t="shared" ref="HM35:HN35" si="63">SUM(HM14:HM34)</f>
        <v>0</v>
      </c>
      <c r="HN35" s="106">
        <f t="shared" si="63"/>
        <v>0</v>
      </c>
      <c r="HO35" s="1059"/>
      <c r="HP35" s="1059"/>
      <c r="HQ35" s="1059"/>
      <c r="HR35" s="1059"/>
      <c r="HS35" s="1059"/>
      <c r="HT35" s="1059"/>
      <c r="HU35" s="1059"/>
      <c r="HV35" s="1059"/>
      <c r="HW35" s="1059"/>
      <c r="HX35" s="1059"/>
      <c r="HY35" s="1059"/>
      <c r="HZ35" s="107"/>
      <c r="IA35" s="372">
        <f>SUM(IA14:IA34)</f>
        <v>0</v>
      </c>
      <c r="IB35" s="372" t="e">
        <f>SUM(IB14:IB34)</f>
        <v>#DIV/0!</v>
      </c>
      <c r="ID35" s="104">
        <f t="shared" ref="ID35:II35" si="64">SUM(ID14:ID34)</f>
        <v>0</v>
      </c>
      <c r="IE35" s="105">
        <f t="shared" si="64"/>
        <v>0</v>
      </c>
      <c r="IF35" s="105">
        <f t="shared" si="64"/>
        <v>0</v>
      </c>
      <c r="IG35" s="105">
        <f t="shared" si="64"/>
        <v>0</v>
      </c>
      <c r="IH35" s="379">
        <f t="shared" si="64"/>
        <v>0</v>
      </c>
      <c r="II35" s="106">
        <f t="shared" si="64"/>
        <v>0</v>
      </c>
      <c r="IJ35" s="106">
        <f t="shared" ref="IJ35:IK35" si="65">SUM(IJ14:IJ34)</f>
        <v>0</v>
      </c>
      <c r="IK35" s="106">
        <f t="shared" si="65"/>
        <v>0</v>
      </c>
      <c r="IL35" s="1059"/>
      <c r="IM35" s="1059"/>
      <c r="IN35" s="1059"/>
      <c r="IO35" s="1059"/>
      <c r="IP35" s="1059"/>
      <c r="IQ35" s="1059"/>
      <c r="IR35" s="1059"/>
      <c r="IS35" s="1059"/>
      <c r="IT35" s="1059"/>
      <c r="IU35" s="1059"/>
      <c r="IV35" s="1059"/>
      <c r="IW35" s="107"/>
      <c r="IX35" s="372">
        <f>SUM(IX14:IX34)</f>
        <v>0</v>
      </c>
      <c r="IY35" s="372" t="e">
        <f>SUM(IY14:IY34)</f>
        <v>#DIV/0!</v>
      </c>
      <c r="JA35" s="104">
        <f t="shared" ref="JA35:JF35" si="66">SUM(JA14:JA34)</f>
        <v>0</v>
      </c>
      <c r="JB35" s="105">
        <f t="shared" si="66"/>
        <v>0</v>
      </c>
      <c r="JC35" s="105">
        <f t="shared" si="66"/>
        <v>0</v>
      </c>
      <c r="JD35" s="105">
        <f t="shared" si="66"/>
        <v>0</v>
      </c>
      <c r="JE35" s="379">
        <f t="shared" si="66"/>
        <v>0</v>
      </c>
      <c r="JF35" s="106">
        <f t="shared" si="66"/>
        <v>0</v>
      </c>
      <c r="JG35" s="106">
        <f t="shared" ref="JG35:JH35" si="67">SUM(JG14:JG34)</f>
        <v>0</v>
      </c>
      <c r="JH35" s="106">
        <f t="shared" si="67"/>
        <v>0</v>
      </c>
      <c r="JI35" s="1059"/>
      <c r="JJ35" s="1059"/>
      <c r="JK35" s="1059"/>
      <c r="JL35" s="1059"/>
      <c r="JM35" s="1059"/>
      <c r="JN35" s="1059"/>
      <c r="JO35" s="1059"/>
      <c r="JP35" s="1059"/>
      <c r="JQ35" s="1059"/>
      <c r="JR35" s="1059"/>
      <c r="JS35" s="1059"/>
      <c r="JV35" s="104"/>
      <c r="JW35" s="105"/>
      <c r="JX35" s="105"/>
      <c r="JY35" s="105"/>
      <c r="JZ35" s="379"/>
      <c r="KA35" s="106"/>
      <c r="KB35" s="107"/>
      <c r="KE35" s="104"/>
      <c r="KF35" s="105"/>
      <c r="KG35" s="105"/>
      <c r="KH35" s="105"/>
      <c r="KI35" s="379"/>
      <c r="KJ35" s="106"/>
    </row>
    <row r="36" spans="2:296" ht="15.75" thickBot="1" x14ac:dyDescent="0.3">
      <c r="C36" s="23"/>
      <c r="E36" s="430" t="e">
        <f>E35/D35</f>
        <v>#DIV/0!</v>
      </c>
      <c r="BC36" s="470"/>
    </row>
    <row r="37" spans="2:296" x14ac:dyDescent="0.25">
      <c r="R37" s="336"/>
      <c r="S37" s="432" t="s">
        <v>838</v>
      </c>
      <c r="T37" s="339"/>
      <c r="Z37" s="438">
        <f>RANK(AB37,$AB$36:$AB$38)</f>
        <v>1</v>
      </c>
      <c r="AA37" s="432" t="s">
        <v>1438</v>
      </c>
      <c r="AB37" s="439">
        <f>COUNTIF($BA$51:$IZ$51,AA37)</f>
        <v>0</v>
      </c>
      <c r="AG37" s="336">
        <v>1</v>
      </c>
      <c r="AH37" s="1051" t="str">
        <f>IF($AH$38&gt;1,"MULTIPLE TYPES",VLOOKUP(AG37,$Z$38:$AA$65,2,FALSE))</f>
        <v>MULTIPLE TYPES</v>
      </c>
      <c r="AI37" s="339"/>
    </row>
    <row r="38" spans="2:296" x14ac:dyDescent="0.25">
      <c r="R38" s="433">
        <f>RANK(T38,$T$39:$T$43)</f>
        <v>1</v>
      </c>
      <c r="S38" s="431" t="s">
        <v>929</v>
      </c>
      <c r="T38" s="434">
        <f t="shared" ref="T38" si="68">COUNTIF($BB$47:$JA$47,S38)</f>
        <v>0</v>
      </c>
      <c r="Z38" s="433">
        <f>RANK(AB38,$AB$38:$AB$38)</f>
        <v>1</v>
      </c>
      <c r="AA38" s="431" t="s">
        <v>929</v>
      </c>
      <c r="AB38" s="434">
        <f>COUNTIF($AZ$53:$IP$53,AA38)</f>
        <v>0</v>
      </c>
      <c r="AG38" s="440" t="s">
        <v>843</v>
      </c>
      <c r="AH38" s="441">
        <f>COUNTIF($Z$38:$Z$65,1)</f>
        <v>2</v>
      </c>
      <c r="AI38" s="140"/>
      <c r="BA38" s="103" t="s">
        <v>825</v>
      </c>
      <c r="BB38" s="85">
        <f>BB1</f>
        <v>0</v>
      </c>
      <c r="BX38" s="103" t="s">
        <v>825</v>
      </c>
      <c r="BY38" s="85">
        <f>BY1</f>
        <v>0</v>
      </c>
      <c r="CU38" s="103" t="s">
        <v>825</v>
      </c>
      <c r="CV38" s="85">
        <f>CV1</f>
        <v>0</v>
      </c>
      <c r="DR38" s="103" t="s">
        <v>825</v>
      </c>
      <c r="DS38" s="85">
        <f>DS1</f>
        <v>0</v>
      </c>
      <c r="EO38" s="103" t="s">
        <v>825</v>
      </c>
      <c r="EP38" s="85">
        <f>EP1</f>
        <v>0</v>
      </c>
      <c r="FL38" s="103" t="s">
        <v>825</v>
      </c>
      <c r="FM38" s="85">
        <f>FM1</f>
        <v>0</v>
      </c>
      <c r="GI38" s="103" t="s">
        <v>825</v>
      </c>
      <c r="GJ38" s="85">
        <f>GJ1</f>
        <v>0</v>
      </c>
      <c r="HF38" s="103" t="s">
        <v>825</v>
      </c>
      <c r="HG38" s="85">
        <f>HG1</f>
        <v>0</v>
      </c>
      <c r="IC38" s="103" t="s">
        <v>825</v>
      </c>
      <c r="ID38" s="85">
        <f>ID1</f>
        <v>0</v>
      </c>
      <c r="IZ38" s="103" t="s">
        <v>825</v>
      </c>
      <c r="JA38" s="85">
        <f>JA1</f>
        <v>0</v>
      </c>
    </row>
    <row r="39" spans="2:296" x14ac:dyDescent="0.25">
      <c r="R39" s="433">
        <f t="shared" ref="R39:R47" si="69">RANK(T39,$T$39:$T$47)</f>
        <v>1</v>
      </c>
      <c r="S39" s="431" t="s">
        <v>1</v>
      </c>
      <c r="T39" s="434">
        <f>COUNTIF('Variable Costs (Back)'!$C$15:$C$24,S39)</f>
        <v>0</v>
      </c>
      <c r="Z39" s="433">
        <f t="shared" ref="Z39:Z65" si="70">RANK(AB39,$AB$38:$AB$65)</f>
        <v>1</v>
      </c>
      <c r="AA39" s="431" t="str" cm="1">
        <f t="array" ref="AA39">IF(_xlfn.UNIQUE('Margin Guidence Table'!F2:F1000000)&lt;&gt;0,_xlfn._xlws.SORT(_xlfn.UNIQUE('Margin Guidence Table'!F2:F1000000)),"")</f>
        <v/>
      </c>
      <c r="AB39" s="434">
        <f t="shared" ref="AB39:AB65" si="71">COUNTIF($BA$53:$IZ$53,AA39)</f>
        <v>189</v>
      </c>
      <c r="AG39" s="440" t="s">
        <v>842</v>
      </c>
      <c r="AH39" s="441" t="str">
        <f>VLOOKUP(AG37,$Z$38:$AA$65,2,FALSE)</f>
        <v>Enter Customer(s)</v>
      </c>
      <c r="AI39" s="140"/>
      <c r="BA39" s="103" t="s">
        <v>826</v>
      </c>
      <c r="BB39" s="85" t="e">
        <f>VLOOKUP(BB$1,'Existing Customers'!$A:$AA,2,FALSE)</f>
        <v>#N/A</v>
      </c>
      <c r="BX39" s="103" t="s">
        <v>826</v>
      </c>
      <c r="BY39" s="85" t="e">
        <f>VLOOKUP(BY$1,'Existing Customers'!$A:$AA,2,FALSE)</f>
        <v>#N/A</v>
      </c>
      <c r="CU39" s="103" t="s">
        <v>826</v>
      </c>
      <c r="CV39" s="85" t="e">
        <f>VLOOKUP(CV$1,'Existing Customers'!$A:$AA,2,FALSE)</f>
        <v>#N/A</v>
      </c>
      <c r="DR39" s="103" t="s">
        <v>826</v>
      </c>
      <c r="DS39" s="85" t="e">
        <f>VLOOKUP(DS$1,'Existing Customers'!$A:$AA,2,FALSE)</f>
        <v>#N/A</v>
      </c>
      <c r="EO39" s="103" t="s">
        <v>826</v>
      </c>
      <c r="EP39" s="85" t="e">
        <f>VLOOKUP(EP$1,'Existing Customers'!$A:$AA,2,FALSE)</f>
        <v>#N/A</v>
      </c>
      <c r="FL39" s="103" t="s">
        <v>826</v>
      </c>
      <c r="FM39" s="85" t="e">
        <f>VLOOKUP(FM$1,'Existing Customers'!$A:$AA,2,FALSE)</f>
        <v>#N/A</v>
      </c>
      <c r="GI39" s="103" t="s">
        <v>826</v>
      </c>
      <c r="GJ39" s="85" t="e">
        <f>VLOOKUP(GJ$1,'Existing Customers'!$A:$AA,2,FALSE)</f>
        <v>#N/A</v>
      </c>
      <c r="HF39" s="103" t="s">
        <v>826</v>
      </c>
      <c r="HG39" s="85" t="e">
        <f>VLOOKUP(HG$1,'Existing Customers'!$A:$AA,2,FALSE)</f>
        <v>#N/A</v>
      </c>
      <c r="IC39" s="103" t="s">
        <v>826</v>
      </c>
      <c r="ID39" s="85" t="e">
        <f>VLOOKUP(ID$1,'Existing Customers'!$A:$AA,2,FALSE)</f>
        <v>#N/A</v>
      </c>
      <c r="IZ39" s="103" t="s">
        <v>826</v>
      </c>
      <c r="JA39" s="85" t="e">
        <f>VLOOKUP(JA$1,'Existing Customers'!$A:$AA,2,FALSE)</f>
        <v>#N/A</v>
      </c>
    </row>
    <row r="40" spans="2:296" ht="15.75" thickBot="1" x14ac:dyDescent="0.3">
      <c r="R40" s="433">
        <f t="shared" si="69"/>
        <v>1</v>
      </c>
      <c r="S40" s="431" t="s">
        <v>114</v>
      </c>
      <c r="T40" s="434">
        <f>COUNTIF('Variable Costs (Back)'!$C$15:$C$24,S40)</f>
        <v>0</v>
      </c>
      <c r="Z40" s="433">
        <f t="shared" si="70"/>
        <v>2</v>
      </c>
      <c r="AA40" s="431"/>
      <c r="AB40" s="434">
        <f t="shared" si="71"/>
        <v>9</v>
      </c>
      <c r="AG40" s="442" t="s">
        <v>949</v>
      </c>
      <c r="AH40" s="443" t="str">
        <f>IF(COUNTIF($AB$39:$AB$65,"&gt;0")&gt;1,"MULTIPLE TYPES",$AH$37)</f>
        <v>MULTIPLE TYPES</v>
      </c>
      <c r="AI40" s="269"/>
      <c r="BA40" s="103" t="s">
        <v>120</v>
      </c>
      <c r="BB40" s="85" t="e">
        <f>VLOOKUP(BB$1,'Existing Customers'!$A:$AA,12,FALSE)</f>
        <v>#N/A</v>
      </c>
      <c r="BX40" s="103" t="s">
        <v>120</v>
      </c>
      <c r="BY40" s="85" t="e">
        <f>VLOOKUP(BY$1,'Existing Customers'!$A:$AA,12,FALSE)</f>
        <v>#N/A</v>
      </c>
      <c r="CU40" s="103" t="s">
        <v>120</v>
      </c>
      <c r="CV40" s="85" t="e">
        <f>VLOOKUP(CV$1,'Existing Customers'!$A:$AA,12,FALSE)</f>
        <v>#N/A</v>
      </c>
      <c r="DR40" s="103" t="s">
        <v>120</v>
      </c>
      <c r="DS40" s="85" t="e">
        <f>VLOOKUP(DS$1,'Existing Customers'!$A:$AA,12,FALSE)</f>
        <v>#N/A</v>
      </c>
      <c r="EO40" s="103" t="s">
        <v>120</v>
      </c>
      <c r="EP40" s="85" t="e">
        <f>VLOOKUP(EP$1,'Existing Customers'!$A:$AA,12,FALSE)</f>
        <v>#N/A</v>
      </c>
      <c r="FL40" s="103" t="s">
        <v>120</v>
      </c>
      <c r="FM40" s="85" t="e">
        <f>VLOOKUP(FM$1,'Existing Customers'!$A:$AA,12,FALSE)</f>
        <v>#N/A</v>
      </c>
      <c r="GI40" s="103" t="s">
        <v>120</v>
      </c>
      <c r="GJ40" s="85" t="e">
        <f>VLOOKUP(GJ$1,'Existing Customers'!$A:$AA,12,FALSE)</f>
        <v>#N/A</v>
      </c>
      <c r="HF40" s="103" t="s">
        <v>120</v>
      </c>
      <c r="HG40" s="85" t="e">
        <f>VLOOKUP(HG$1,'Existing Customers'!$A:$AA,12,FALSE)</f>
        <v>#N/A</v>
      </c>
      <c r="IC40" s="103" t="s">
        <v>120</v>
      </c>
      <c r="ID40" s="85" t="e">
        <f>VLOOKUP(ID$1,'Existing Customers'!$A:$AA,12,FALSE)</f>
        <v>#N/A</v>
      </c>
      <c r="IZ40" s="103" t="s">
        <v>120</v>
      </c>
      <c r="JA40" s="85" t="e">
        <f>VLOOKUP(JA$1,'Existing Customers'!$A:$AA,12,FALSE)</f>
        <v>#N/A</v>
      </c>
    </row>
    <row r="41" spans="2:296" x14ac:dyDescent="0.25">
      <c r="R41" s="433">
        <f t="shared" si="69"/>
        <v>1</v>
      </c>
      <c r="S41" s="431" t="s">
        <v>116</v>
      </c>
      <c r="T41" s="434">
        <f>COUNTIF('Variable Costs (Back)'!$C$15:$C$24,S41)</f>
        <v>0</v>
      </c>
      <c r="Z41" s="433">
        <f t="shared" si="70"/>
        <v>2</v>
      </c>
      <c r="AA41" s="431"/>
      <c r="AB41" s="434">
        <f t="shared" si="71"/>
        <v>9</v>
      </c>
      <c r="AG41" s="1046"/>
      <c r="AH41" s="1046"/>
      <c r="AI41" s="1046"/>
      <c r="BA41" s="103" t="s">
        <v>827</v>
      </c>
      <c r="BB41" s="85" t="e">
        <f>VLOOKUP(BB$1,'Existing Customers'!$A:$AA,25,FALSE)</f>
        <v>#N/A</v>
      </c>
      <c r="BX41" s="103" t="s">
        <v>827</v>
      </c>
      <c r="BY41" s="85" t="e">
        <f>VLOOKUP(BY$1,'Existing Customers'!$A:$AA,25,FALSE)</f>
        <v>#N/A</v>
      </c>
      <c r="CU41" s="103" t="s">
        <v>827</v>
      </c>
      <c r="CV41" s="85" t="e">
        <f>VLOOKUP(CV$1,'Existing Customers'!$A:$AA,25,FALSE)</f>
        <v>#N/A</v>
      </c>
      <c r="DR41" s="103" t="s">
        <v>827</v>
      </c>
      <c r="DS41" s="85" t="e">
        <f>VLOOKUP(DS$1,'Existing Customers'!$A:$AA,25,FALSE)</f>
        <v>#N/A</v>
      </c>
      <c r="EO41" s="103" t="s">
        <v>827</v>
      </c>
      <c r="EP41" s="85" t="e">
        <f>VLOOKUP(EP$1,'Existing Customers'!$A:$AA,25,FALSE)</f>
        <v>#N/A</v>
      </c>
      <c r="FL41" s="103" t="s">
        <v>827</v>
      </c>
      <c r="FM41" s="85" t="e">
        <f>VLOOKUP(FM$1,'Existing Customers'!$A:$AA,25,FALSE)</f>
        <v>#N/A</v>
      </c>
      <c r="GI41" s="103" t="s">
        <v>827</v>
      </c>
      <c r="GJ41" s="85" t="e">
        <f>VLOOKUP(GJ$1,'Existing Customers'!$A:$AA,25,FALSE)</f>
        <v>#N/A</v>
      </c>
      <c r="HF41" s="103" t="s">
        <v>827</v>
      </c>
      <c r="HG41" s="85" t="e">
        <f>VLOOKUP(HG$1,'Existing Customers'!$A:$AA,25,FALSE)</f>
        <v>#N/A</v>
      </c>
      <c r="IC41" s="103" t="s">
        <v>827</v>
      </c>
      <c r="ID41" s="85" t="e">
        <f>VLOOKUP(ID$1,'Existing Customers'!$A:$AA,25,FALSE)</f>
        <v>#N/A</v>
      </c>
      <c r="IZ41" s="103" t="s">
        <v>827</v>
      </c>
      <c r="JA41" s="85" t="e">
        <f>VLOOKUP(JA$1,'Existing Customers'!$A:$AA,25,FALSE)</f>
        <v>#N/A</v>
      </c>
    </row>
    <row r="42" spans="2:296" x14ac:dyDescent="0.25">
      <c r="R42" s="433">
        <f t="shared" si="69"/>
        <v>1</v>
      </c>
      <c r="S42" s="431" t="s">
        <v>112</v>
      </c>
      <c r="T42" s="434">
        <f>COUNTIF('Variable Costs (Back)'!$C$15:$C$24,S42)</f>
        <v>0</v>
      </c>
      <c r="Z42" s="433">
        <f t="shared" si="70"/>
        <v>2</v>
      </c>
      <c r="AA42" s="431"/>
      <c r="AB42" s="434">
        <f t="shared" si="71"/>
        <v>9</v>
      </c>
      <c r="BA42" s="103" t="s">
        <v>828</v>
      </c>
      <c r="BB42" s="85" t="e">
        <f>VLOOKUP(BB$1,'Existing Customers'!$A:$AA,26,FALSE)</f>
        <v>#N/A</v>
      </c>
      <c r="BX42" s="103" t="s">
        <v>828</v>
      </c>
      <c r="BY42" s="85" t="e">
        <f>VLOOKUP(BY$1,'Existing Customers'!$A:$AA,26,FALSE)</f>
        <v>#N/A</v>
      </c>
      <c r="CU42" s="103" t="s">
        <v>828</v>
      </c>
      <c r="CV42" s="85" t="e">
        <f>VLOOKUP(CV$1,'Existing Customers'!$A:$AA,26,FALSE)</f>
        <v>#N/A</v>
      </c>
      <c r="DR42" s="103" t="s">
        <v>828</v>
      </c>
      <c r="DS42" s="85" t="e">
        <f>VLOOKUP(DS$1,'Existing Customers'!$A:$AA,26,FALSE)</f>
        <v>#N/A</v>
      </c>
      <c r="EO42" s="103" t="s">
        <v>828</v>
      </c>
      <c r="EP42" s="85" t="e">
        <f>VLOOKUP(EP$1,'Existing Customers'!$A:$AA,26,FALSE)</f>
        <v>#N/A</v>
      </c>
      <c r="FL42" s="103" t="s">
        <v>828</v>
      </c>
      <c r="FM42" s="85" t="e">
        <f>VLOOKUP(FM$1,'Existing Customers'!$A:$AA,26,FALSE)</f>
        <v>#N/A</v>
      </c>
      <c r="GI42" s="103" t="s">
        <v>828</v>
      </c>
      <c r="GJ42" s="85" t="e">
        <f>VLOOKUP(GJ$1,'Existing Customers'!$A:$AA,26,FALSE)</f>
        <v>#N/A</v>
      </c>
      <c r="HF42" s="103" t="s">
        <v>828</v>
      </c>
      <c r="HG42" s="85" t="e">
        <f>VLOOKUP(HG$1,'Existing Customers'!$A:$AA,26,FALSE)</f>
        <v>#N/A</v>
      </c>
      <c r="IC42" s="103" t="s">
        <v>828</v>
      </c>
      <c r="ID42" s="85" t="e">
        <f>VLOOKUP(ID$1,'Existing Customers'!$A:$AA,26,FALSE)</f>
        <v>#N/A</v>
      </c>
      <c r="IZ42" s="103" t="s">
        <v>828</v>
      </c>
      <c r="JA42" s="85" t="e">
        <f>VLOOKUP(JA$1,'Existing Customers'!$A:$AA,26,FALSE)</f>
        <v>#N/A</v>
      </c>
    </row>
    <row r="43" spans="2:296" x14ac:dyDescent="0.25">
      <c r="R43" s="433">
        <f t="shared" si="69"/>
        <v>1</v>
      </c>
      <c r="S43" s="431" t="s">
        <v>113</v>
      </c>
      <c r="T43" s="434">
        <f>COUNTIF('Variable Costs (Back)'!$C$15:$C$24,S43)</f>
        <v>0</v>
      </c>
      <c r="Z43" s="433">
        <f t="shared" si="70"/>
        <v>2</v>
      </c>
      <c r="AA43" s="431"/>
      <c r="AB43" s="434">
        <f t="shared" si="71"/>
        <v>9</v>
      </c>
      <c r="BA43" s="103" t="s">
        <v>829</v>
      </c>
      <c r="BB43" s="85" t="e">
        <f>VLOOKUP(BB$1,'Existing Customers'!$A:$AA,23,FALSE)</f>
        <v>#N/A</v>
      </c>
      <c r="BX43" s="103" t="s">
        <v>829</v>
      </c>
      <c r="BY43" s="85" t="e">
        <f>VLOOKUP(BY$1,'Existing Customers'!$A:$AA,23,FALSE)</f>
        <v>#N/A</v>
      </c>
      <c r="CU43" s="103" t="s">
        <v>829</v>
      </c>
      <c r="CV43" s="85" t="e">
        <f>VLOOKUP(CV$1,'Existing Customers'!$A:$AA,23,FALSE)</f>
        <v>#N/A</v>
      </c>
      <c r="DR43" s="103" t="s">
        <v>829</v>
      </c>
      <c r="DS43" s="85" t="e">
        <f>VLOOKUP(DS$1,'Existing Customers'!$A:$AA,23,FALSE)</f>
        <v>#N/A</v>
      </c>
      <c r="EO43" s="103" t="s">
        <v>829</v>
      </c>
      <c r="EP43" s="85" t="e">
        <f>VLOOKUP(EP$1,'Existing Customers'!$A:$AA,23,FALSE)</f>
        <v>#N/A</v>
      </c>
      <c r="FL43" s="103" t="s">
        <v>829</v>
      </c>
      <c r="FM43" s="85" t="e">
        <f>VLOOKUP(FM$1,'Existing Customers'!$A:$AA,23,FALSE)</f>
        <v>#N/A</v>
      </c>
      <c r="GI43" s="103" t="s">
        <v>829</v>
      </c>
      <c r="GJ43" s="85" t="e">
        <f>VLOOKUP(GJ$1,'Existing Customers'!$A:$AA,23,FALSE)</f>
        <v>#N/A</v>
      </c>
      <c r="HF43" s="103" t="s">
        <v>829</v>
      </c>
      <c r="HG43" s="85" t="e">
        <f>VLOOKUP(HG$1,'Existing Customers'!$A:$AA,23,FALSE)</f>
        <v>#N/A</v>
      </c>
      <c r="IC43" s="103" t="s">
        <v>829</v>
      </c>
      <c r="ID43" s="85" t="e">
        <f>VLOOKUP(ID$1,'Existing Customers'!$A:$AA,23,FALSE)</f>
        <v>#N/A</v>
      </c>
      <c r="IZ43" s="103" t="s">
        <v>829</v>
      </c>
      <c r="JA43" s="85" t="e">
        <f>VLOOKUP(JA$1,'Existing Customers'!$A:$AA,23,FALSE)</f>
        <v>#N/A</v>
      </c>
    </row>
    <row r="44" spans="2:296" x14ac:dyDescent="0.25">
      <c r="R44" s="433">
        <f t="shared" si="69"/>
        <v>1</v>
      </c>
      <c r="S44" s="431" t="s">
        <v>111</v>
      </c>
      <c r="T44" s="434">
        <f>COUNTIF('Variable Costs (Back)'!$C$15:$C$24,S44)</f>
        <v>0</v>
      </c>
      <c r="Z44" s="433">
        <f t="shared" si="70"/>
        <v>2</v>
      </c>
      <c r="AA44" s="431"/>
      <c r="AB44" s="434">
        <f t="shared" si="71"/>
        <v>9</v>
      </c>
      <c r="BA44" s="103" t="s">
        <v>830</v>
      </c>
      <c r="BB44" s="85" t="e">
        <f>VLOOKUP(BB$1,'Existing Customers'!$A:$AA,24,FALSE)</f>
        <v>#N/A</v>
      </c>
      <c r="BX44" s="103" t="s">
        <v>830</v>
      </c>
      <c r="BY44" s="85" t="e">
        <f>VLOOKUP(BY$1,'Existing Customers'!$A:$AA,24,FALSE)</f>
        <v>#N/A</v>
      </c>
      <c r="CU44" s="103" t="s">
        <v>830</v>
      </c>
      <c r="CV44" s="85" t="e">
        <f>VLOOKUP(CV$1,'Existing Customers'!$A:$AA,24,FALSE)</f>
        <v>#N/A</v>
      </c>
      <c r="DR44" s="103" t="s">
        <v>830</v>
      </c>
      <c r="DS44" s="85" t="e">
        <f>VLOOKUP(DS$1,'Existing Customers'!$A:$AA,24,FALSE)</f>
        <v>#N/A</v>
      </c>
      <c r="EO44" s="103" t="s">
        <v>830</v>
      </c>
      <c r="EP44" s="85" t="e">
        <f>VLOOKUP(EP$1,'Existing Customers'!$A:$AA,24,FALSE)</f>
        <v>#N/A</v>
      </c>
      <c r="FL44" s="103" t="s">
        <v>830</v>
      </c>
      <c r="FM44" s="85" t="e">
        <f>VLOOKUP(FM$1,'Existing Customers'!$A:$AA,24,FALSE)</f>
        <v>#N/A</v>
      </c>
      <c r="GI44" s="103" t="s">
        <v>830</v>
      </c>
      <c r="GJ44" s="85" t="e">
        <f>VLOOKUP(GJ$1,'Existing Customers'!$A:$AA,24,FALSE)</f>
        <v>#N/A</v>
      </c>
      <c r="HF44" s="103" t="s">
        <v>830</v>
      </c>
      <c r="HG44" s="85" t="e">
        <f>VLOOKUP(HG$1,'Existing Customers'!$A:$AA,24,FALSE)</f>
        <v>#N/A</v>
      </c>
      <c r="IC44" s="103" t="s">
        <v>830</v>
      </c>
      <c r="ID44" s="85" t="e">
        <f>VLOOKUP(ID$1,'Existing Customers'!$A:$AA,24,FALSE)</f>
        <v>#N/A</v>
      </c>
      <c r="IZ44" s="103" t="s">
        <v>830</v>
      </c>
      <c r="JA44" s="85" t="e">
        <f>VLOOKUP(JA$1,'Existing Customers'!$A:$AA,24,FALSE)</f>
        <v>#N/A</v>
      </c>
    </row>
    <row r="45" spans="2:296" x14ac:dyDescent="0.25">
      <c r="R45" s="433">
        <f t="shared" si="69"/>
        <v>1</v>
      </c>
      <c r="S45" s="431" t="s">
        <v>118</v>
      </c>
      <c r="T45" s="434">
        <f>COUNTIF('Variable Costs (Back)'!$C$15:$C$24,S45)</f>
        <v>0</v>
      </c>
      <c r="Z45" s="433">
        <f t="shared" si="70"/>
        <v>2</v>
      </c>
      <c r="AA45" s="431"/>
      <c r="AB45" s="434">
        <f t="shared" si="71"/>
        <v>9</v>
      </c>
      <c r="BA45" s="103" t="s">
        <v>831</v>
      </c>
      <c r="BB45" s="85" t="e">
        <f>VLOOKUP(BB$1,'Existing Customers'!$A:$AA,9,FALSE)</f>
        <v>#N/A</v>
      </c>
      <c r="BX45" s="103" t="s">
        <v>831</v>
      </c>
      <c r="BY45" s="85" t="e">
        <f>VLOOKUP(BY$1,'Existing Customers'!$A:$AA,9,FALSE)</f>
        <v>#N/A</v>
      </c>
      <c r="CU45" s="103" t="s">
        <v>831</v>
      </c>
      <c r="CV45" s="85" t="e">
        <f>VLOOKUP(CV$1,'Existing Customers'!$A:$AA,9,FALSE)</f>
        <v>#N/A</v>
      </c>
      <c r="DR45" s="103" t="s">
        <v>831</v>
      </c>
      <c r="DS45" s="85" t="e">
        <f>VLOOKUP(DS$1,'Existing Customers'!$A:$AA,9,FALSE)</f>
        <v>#N/A</v>
      </c>
      <c r="EO45" s="103" t="s">
        <v>831</v>
      </c>
      <c r="EP45" s="85" t="e">
        <f>VLOOKUP(EP$1,'Existing Customers'!$A:$AA,9,FALSE)</f>
        <v>#N/A</v>
      </c>
      <c r="FL45" s="103" t="s">
        <v>831</v>
      </c>
      <c r="FM45" s="85" t="e">
        <f>VLOOKUP(FM$1,'Existing Customers'!$A:$AA,9,FALSE)</f>
        <v>#N/A</v>
      </c>
      <c r="GI45" s="103" t="s">
        <v>831</v>
      </c>
      <c r="GJ45" s="85" t="e">
        <f>VLOOKUP(GJ$1,'Existing Customers'!$A:$AA,9,FALSE)</f>
        <v>#N/A</v>
      </c>
      <c r="HF45" s="103" t="s">
        <v>831</v>
      </c>
      <c r="HG45" s="85" t="e">
        <f>VLOOKUP(HG$1,'Existing Customers'!$A:$AA,9,FALSE)</f>
        <v>#N/A</v>
      </c>
      <c r="IC45" s="103" t="s">
        <v>831</v>
      </c>
      <c r="ID45" s="85" t="e">
        <f>VLOOKUP(ID$1,'Existing Customers'!$A:$AA,9,FALSE)</f>
        <v>#N/A</v>
      </c>
      <c r="IZ45" s="103" t="s">
        <v>831</v>
      </c>
      <c r="JA45" s="85" t="e">
        <f>VLOOKUP(JA$1,'Existing Customers'!$A:$AA,9,FALSE)</f>
        <v>#N/A</v>
      </c>
    </row>
    <row r="46" spans="2:296" x14ac:dyDescent="0.25">
      <c r="R46" s="433">
        <f t="shared" si="69"/>
        <v>1</v>
      </c>
      <c r="S46" s="431" t="s">
        <v>115</v>
      </c>
      <c r="T46" s="434">
        <f>COUNTIF('Variable Costs (Back)'!$C$15:$C$24,S46)</f>
        <v>0</v>
      </c>
      <c r="Z46" s="433">
        <f t="shared" si="70"/>
        <v>2</v>
      </c>
      <c r="AA46" s="431"/>
      <c r="AB46" s="434">
        <f t="shared" si="71"/>
        <v>9</v>
      </c>
      <c r="BA46" s="103" t="s">
        <v>832</v>
      </c>
      <c r="BB46" s="85" t="e">
        <f>VLOOKUP(BB$1,'Existing Customers'!$A:$AA,27,FALSE)</f>
        <v>#N/A</v>
      </c>
      <c r="BX46" s="103" t="s">
        <v>832</v>
      </c>
      <c r="BY46" s="85" t="e">
        <f>VLOOKUP(BY$1,'Existing Customers'!$A:$AA,27,FALSE)</f>
        <v>#N/A</v>
      </c>
      <c r="CU46" s="103" t="s">
        <v>832</v>
      </c>
      <c r="CV46" s="85" t="e">
        <f>VLOOKUP(CV$1,'Existing Customers'!$A:$AA,27,FALSE)</f>
        <v>#N/A</v>
      </c>
      <c r="DR46" s="103" t="s">
        <v>832</v>
      </c>
      <c r="DS46" s="85" t="e">
        <f>VLOOKUP(DS$1,'Existing Customers'!$A:$AA,27,FALSE)</f>
        <v>#N/A</v>
      </c>
      <c r="EO46" s="103" t="s">
        <v>832</v>
      </c>
      <c r="EP46" s="85" t="e">
        <f>VLOOKUP(EP$1,'Existing Customers'!$A:$AA,27,FALSE)</f>
        <v>#N/A</v>
      </c>
      <c r="FL46" s="103" t="s">
        <v>832</v>
      </c>
      <c r="FM46" s="85" t="e">
        <f>VLOOKUP(FM$1,'Existing Customers'!$A:$AA,27,FALSE)</f>
        <v>#N/A</v>
      </c>
      <c r="GI46" s="103" t="s">
        <v>832</v>
      </c>
      <c r="GJ46" s="85" t="e">
        <f>VLOOKUP(GJ$1,'Existing Customers'!$A:$AA,27,FALSE)</f>
        <v>#N/A</v>
      </c>
      <c r="HF46" s="103" t="s">
        <v>832</v>
      </c>
      <c r="HG46" s="85" t="e">
        <f>VLOOKUP(HG$1,'Existing Customers'!$A:$AA,27,FALSE)</f>
        <v>#N/A</v>
      </c>
      <c r="IC46" s="103" t="s">
        <v>832</v>
      </c>
      <c r="ID46" s="85" t="e">
        <f>VLOOKUP(ID$1,'Existing Customers'!$A:$AA,27,FALSE)</f>
        <v>#N/A</v>
      </c>
      <c r="IZ46" s="103" t="s">
        <v>832</v>
      </c>
      <c r="JA46" s="85" t="e">
        <f>VLOOKUP(JA$1,'Existing Customers'!$A:$AA,27,FALSE)</f>
        <v>#N/A</v>
      </c>
    </row>
    <row r="47" spans="2:296" x14ac:dyDescent="0.25">
      <c r="R47" s="433">
        <f t="shared" si="69"/>
        <v>1</v>
      </c>
      <c r="S47" s="431" t="s">
        <v>117</v>
      </c>
      <c r="T47" s="434">
        <f>COUNTIF('Variable Costs (Back)'!$C$15:$C$24,S47)</f>
        <v>0</v>
      </c>
      <c r="Z47" s="433">
        <f t="shared" si="70"/>
        <v>2</v>
      </c>
      <c r="AA47" s="431"/>
      <c r="AB47" s="434">
        <f t="shared" si="71"/>
        <v>9</v>
      </c>
      <c r="BA47" s="103" t="s">
        <v>976</v>
      </c>
      <c r="BB47" s="85" t="e">
        <f>VLOOKUP(BB$1,'Existing Customers'!$A:$AA,4,FALSE)</f>
        <v>#N/A</v>
      </c>
      <c r="BX47" s="103" t="s">
        <v>107</v>
      </c>
      <c r="BY47" s="85" t="e">
        <f>VLOOKUP(BY$1,'Existing Customers'!$A:$AA,4,FALSE)</f>
        <v>#N/A</v>
      </c>
      <c r="CU47" s="103" t="s">
        <v>107</v>
      </c>
      <c r="CV47" s="85" t="e">
        <f>VLOOKUP(CV$1,'Existing Customers'!$A:$AA,4,FALSE)</f>
        <v>#N/A</v>
      </c>
      <c r="DR47" s="103" t="s">
        <v>107</v>
      </c>
      <c r="DS47" s="85" t="e">
        <f>VLOOKUP(DS$1,'Existing Customers'!$A:$AA,4,FALSE)</f>
        <v>#N/A</v>
      </c>
      <c r="EO47" s="103" t="s">
        <v>107</v>
      </c>
      <c r="EP47" s="85" t="e">
        <f>VLOOKUP(EP$1,'Existing Customers'!$A:$AA,4,FALSE)</f>
        <v>#N/A</v>
      </c>
      <c r="FL47" s="103" t="s">
        <v>107</v>
      </c>
      <c r="FM47" s="85" t="e">
        <f>VLOOKUP(FM$1,'Existing Customers'!$A:$AA,4,FALSE)</f>
        <v>#N/A</v>
      </c>
      <c r="GI47" s="103" t="s">
        <v>107</v>
      </c>
      <c r="GJ47" s="85" t="e">
        <f>VLOOKUP(GJ$1,'Existing Customers'!$A:$AA,4,FALSE)</f>
        <v>#N/A</v>
      </c>
      <c r="HF47" s="103" t="s">
        <v>107</v>
      </c>
      <c r="HG47" s="85" t="e">
        <f>VLOOKUP(HG$1,'Existing Customers'!$A:$AA,4,FALSE)</f>
        <v>#N/A</v>
      </c>
      <c r="IC47" s="103" t="s">
        <v>107</v>
      </c>
      <c r="ID47" s="85" t="e">
        <f>VLOOKUP(ID$1,'Existing Customers'!$A:$AA,4,FALSE)</f>
        <v>#N/A</v>
      </c>
      <c r="IZ47" s="103" t="s">
        <v>107</v>
      </c>
      <c r="JA47" s="85" t="e">
        <f>VLOOKUP(JA$1,'Existing Customers'!$A:$AA,4,FALSE)</f>
        <v>#N/A</v>
      </c>
    </row>
    <row r="48" spans="2:296" x14ac:dyDescent="0.25">
      <c r="R48" s="139"/>
      <c r="T48" s="140"/>
      <c r="Z48" s="433">
        <f t="shared" si="70"/>
        <v>2</v>
      </c>
      <c r="AA48" s="431"/>
      <c r="AB48" s="434">
        <f t="shared" si="71"/>
        <v>9</v>
      </c>
      <c r="BA48" s="103" t="s">
        <v>837</v>
      </c>
      <c r="BB48" s="85">
        <f>IFERROR(VLOOKUP(BB$1,'Existing Customers'!$A:$AA,6,FALSE),BB6)</f>
        <v>0</v>
      </c>
      <c r="BX48" s="103" t="s">
        <v>837</v>
      </c>
      <c r="BY48" s="85">
        <f>IFERROR(VLOOKUP(BY$1,'Existing Customers'!$A:$AA,6,FALSE),BY5)</f>
        <v>0</v>
      </c>
      <c r="CU48" s="103" t="s">
        <v>837</v>
      </c>
      <c r="CV48" s="85">
        <f>IFERROR(VLOOKUP(CV$1,'Existing Customers'!$A:$AA,6,FALSE),CV6)</f>
        <v>0</v>
      </c>
      <c r="DR48" s="103" t="s">
        <v>837</v>
      </c>
      <c r="DS48" s="85">
        <f>IFERROR(VLOOKUP(DS$1,'Existing Customers'!$A:$AA,6,FALSE),DS6)</f>
        <v>0</v>
      </c>
      <c r="EO48" s="103" t="s">
        <v>837</v>
      </c>
      <c r="EP48" s="85">
        <f>IFERROR(VLOOKUP(EP$1,'Existing Customers'!$A:$AA,6,FALSE),EP6)</f>
        <v>0</v>
      </c>
      <c r="FL48" s="103" t="s">
        <v>837</v>
      </c>
      <c r="FM48" s="85">
        <f>IFERROR(VLOOKUP(FM$1,'Existing Customers'!$A:$AA,6,FALSE),FM6)</f>
        <v>0</v>
      </c>
      <c r="GI48" s="103" t="s">
        <v>837</v>
      </c>
      <c r="GJ48" s="85">
        <f>IFERROR(VLOOKUP(GJ$1,'Existing Customers'!$A:$AA,6,FALSE),GJ6)</f>
        <v>0</v>
      </c>
      <c r="HF48" s="103" t="s">
        <v>837</v>
      </c>
      <c r="HG48" s="85">
        <f>IFERROR(VLOOKUP(HG$1,'Existing Customers'!$A:$AA,6,FALSE),HG6)</f>
        <v>0</v>
      </c>
      <c r="IC48" s="103" t="s">
        <v>837</v>
      </c>
      <c r="ID48" s="85">
        <f>IFERROR(VLOOKUP(ID$1,'Existing Customers'!$A:$AA,6,FALSE),ID6)</f>
        <v>0</v>
      </c>
      <c r="IZ48" s="103" t="s">
        <v>837</v>
      </c>
      <c r="JA48" s="85">
        <f>IFERROR(VLOOKUP(JA$1,'Existing Customers'!$A:$AA,6,FALSE),JA6)</f>
        <v>0</v>
      </c>
    </row>
    <row r="49" spans="18:261" ht="15.75" thickBot="1" x14ac:dyDescent="0.3">
      <c r="R49" s="435">
        <v>1</v>
      </c>
      <c r="S49" s="436" t="str">
        <f>IF(COUNTIF($T$38:$T$47,"&gt;0")&gt;1,"MULTIPLE PYRAMID SEGMENTS",VLOOKUP(R49,$R$38:$S$47,2,FALSE))</f>
        <v>Enter Customer(s)</v>
      </c>
      <c r="T49" s="437"/>
      <c r="Z49" s="433">
        <f t="shared" si="70"/>
        <v>2</v>
      </c>
      <c r="AA49" s="431"/>
      <c r="AB49" s="434">
        <f t="shared" si="71"/>
        <v>9</v>
      </c>
      <c r="BA49" s="103" t="s">
        <v>975</v>
      </c>
      <c r="BB49" s="85" t="str">
        <f>IFERROR(ROUND(VLOOKUP(BB38,'Existing Customer Variable Exp'!$B:$F,5,FALSE)/52,1),"Enter Drops &gt;")</f>
        <v>Enter Drops &gt;</v>
      </c>
      <c r="BX49" s="103" t="s">
        <v>841</v>
      </c>
      <c r="BY49" s="85" t="str">
        <f>IFERROR(ROUND(VLOOKUP(BY38,'Existing Customer Variable Exp'!$B:$F,5,FALSE)/52,1),"Enter Drops &gt;")</f>
        <v>Enter Drops &gt;</v>
      </c>
      <c r="CU49" s="103" t="s">
        <v>841</v>
      </c>
      <c r="CV49" s="85" t="str">
        <f>IFERROR(ROUND(VLOOKUP(CV38,'Existing Customer Variable Exp'!$B:$F,5,FALSE)/52,1),"Enter Drops &gt;")</f>
        <v>Enter Drops &gt;</v>
      </c>
      <c r="DR49" s="103" t="s">
        <v>841</v>
      </c>
      <c r="DS49" s="85" t="str">
        <f>IFERROR(ROUND(VLOOKUP(DS38,'Existing Customer Variable Exp'!$B:$F,5,FALSE)/52,1),"Enter Drops &gt;")</f>
        <v>Enter Drops &gt;</v>
      </c>
      <c r="EO49" s="103" t="s">
        <v>841</v>
      </c>
      <c r="EP49" s="85" t="str">
        <f>IFERROR(ROUND(VLOOKUP(EP38,'Existing Customer Variable Exp'!$B:$F,5,FALSE)/52,1),"Enter Drops &gt;")</f>
        <v>Enter Drops &gt;</v>
      </c>
      <c r="FL49" s="103" t="s">
        <v>841</v>
      </c>
      <c r="FM49" s="85" t="str">
        <f>IFERROR(ROUND(VLOOKUP(FM38,'Existing Customer Variable Exp'!$B:$F,5,FALSE)/52,1),"Enter Drops &gt;")</f>
        <v>Enter Drops &gt;</v>
      </c>
      <c r="GI49" s="103" t="s">
        <v>841</v>
      </c>
      <c r="GJ49" s="85" t="str">
        <f>IFERROR(ROUND(VLOOKUP(GJ38,'Existing Customer Variable Exp'!$B:$F,5,FALSE)/52,1),"Enter Drops &gt;")</f>
        <v>Enter Drops &gt;</v>
      </c>
      <c r="HF49" s="103" t="s">
        <v>841</v>
      </c>
      <c r="HG49" s="85" t="str">
        <f>IFERROR(ROUND(VLOOKUP(HG38,'Existing Customer Variable Exp'!$B:$F,5,FALSE)/52,1),"Enter Drops &gt;")</f>
        <v>Enter Drops &gt;</v>
      </c>
      <c r="IC49" s="103" t="s">
        <v>841</v>
      </c>
      <c r="ID49" s="85" t="str">
        <f>IFERROR(ROUND(VLOOKUP(ID38,'Existing Customer Variable Exp'!$B:$F,5,FALSE)/52,1),"Enter Drops &gt;")</f>
        <v>Enter Drops &gt;</v>
      </c>
      <c r="IZ49" s="103" t="s">
        <v>841</v>
      </c>
      <c r="JA49" s="85" t="str">
        <f>IFERROR(ROUND(VLOOKUP(JA38,'Existing Customer Variable Exp'!$B:$F,5,FALSE)/52,1),"Enter Drops &gt;")</f>
        <v>Enter Drops &gt;</v>
      </c>
    </row>
    <row r="50" spans="18:261" x14ac:dyDescent="0.25">
      <c r="W50" s="103"/>
      <c r="X50" s="128"/>
      <c r="Z50" s="433">
        <f t="shared" si="70"/>
        <v>2</v>
      </c>
      <c r="AA50" s="431"/>
      <c r="AB50" s="434">
        <f t="shared" si="71"/>
        <v>9</v>
      </c>
      <c r="BA50" s="103" t="s">
        <v>465</v>
      </c>
      <c r="BB50" s="129">
        <f>IF(BB2="Enter Spend&gt;&gt;&gt;","Enter EB % &gt;",BB$7)</f>
        <v>0</v>
      </c>
      <c r="BX50" s="103" t="s">
        <v>465</v>
      </c>
      <c r="BY50" s="129">
        <f>IF(BY2="Enter Spend&gt;&gt;&gt;","Enter EB % &gt;",BY$7)</f>
        <v>0</v>
      </c>
      <c r="CU50" s="103" t="s">
        <v>465</v>
      </c>
      <c r="CV50" s="129">
        <f>IF(CV2="Enter Spend&gt;&gt;&gt;","Enter EB % &gt;",CV$7)</f>
        <v>0</v>
      </c>
      <c r="DR50" s="103" t="s">
        <v>465</v>
      </c>
      <c r="DS50" s="129">
        <f>IF(DS2="Enter Spend&gt;&gt;&gt;","Enter EB % &gt;",DS$7)</f>
        <v>0</v>
      </c>
      <c r="EO50" s="103" t="s">
        <v>465</v>
      </c>
      <c r="EP50" s="129">
        <f>IF(EP2="Enter Spend&gt;&gt;&gt;","Enter EB % &gt;",EP$7)</f>
        <v>0</v>
      </c>
      <c r="FL50" s="103" t="s">
        <v>465</v>
      </c>
      <c r="FM50" s="129">
        <f>IF(FM2="Enter Spend&gt;&gt;&gt;","Enter EB % &gt;",FM$7)</f>
        <v>0</v>
      </c>
      <c r="GI50" s="103" t="s">
        <v>465</v>
      </c>
      <c r="GJ50" s="129">
        <f>IF(GJ2="Enter Spend&gt;&gt;&gt;","Enter EB % &gt;",GJ$7)</f>
        <v>0</v>
      </c>
      <c r="HF50" s="103" t="s">
        <v>465</v>
      </c>
      <c r="HG50" s="129">
        <f>IF(HG2="Enter Spend&gt;&gt;&gt;","Enter EB % &gt;",HG$7)</f>
        <v>0</v>
      </c>
      <c r="IC50" s="103" t="s">
        <v>465</v>
      </c>
      <c r="ID50" s="129">
        <f>IF(ID2="Enter Spend&gt;&gt;&gt;","Enter EB % &gt;",ID$7)</f>
        <v>0</v>
      </c>
      <c r="IZ50" s="103" t="s">
        <v>465</v>
      </c>
      <c r="JA50" s="129">
        <f>IF(JA2="Enter Spend&gt;&gt;&gt;","Enter EB % &gt;",JA$7)</f>
        <v>0</v>
      </c>
    </row>
    <row r="51" spans="18:261" x14ac:dyDescent="0.25">
      <c r="R51" s="1046"/>
      <c r="S51" s="1046"/>
      <c r="T51" s="103"/>
      <c r="W51" s="103"/>
      <c r="X51" s="128"/>
      <c r="Z51" s="433">
        <f t="shared" si="70"/>
        <v>2</v>
      </c>
      <c r="AA51" s="431"/>
      <c r="AB51" s="434">
        <f t="shared" si="71"/>
        <v>9</v>
      </c>
      <c r="BA51" s="103" t="s">
        <v>974</v>
      </c>
      <c r="BB51" s="107">
        <f>SUMIFS('Existing Customers'!$N:$N,'Existing Customers'!$A:$A,'Multi-Customer'!BB$38)</f>
        <v>0</v>
      </c>
      <c r="BX51" s="103" t="s">
        <v>968</v>
      </c>
      <c r="BY51" s="107">
        <f>SUMIFS('Existing Customers'!$N:$N,'Existing Customers'!$A:$A,'Multi-Customer'!BY$38)</f>
        <v>0</v>
      </c>
      <c r="CU51" s="103" t="s">
        <v>968</v>
      </c>
      <c r="CV51" s="107">
        <f>SUMIFS('Existing Customers'!$N:$N,'Existing Customers'!$A:$A,'Multi-Customer'!CV$38)</f>
        <v>0</v>
      </c>
      <c r="DR51" s="103" t="s">
        <v>968</v>
      </c>
      <c r="DS51" s="107">
        <f>SUMIFS('Existing Customers'!$N:$N,'Existing Customers'!$A:$A,'Multi-Customer'!DS$38)</f>
        <v>0</v>
      </c>
      <c r="EO51" s="103" t="s">
        <v>968</v>
      </c>
      <c r="EP51" s="107">
        <f>SUMIFS('Existing Customers'!$N:$N,'Existing Customers'!$A:$A,'Multi-Customer'!EP$38)</f>
        <v>0</v>
      </c>
      <c r="FL51" s="103" t="s">
        <v>968</v>
      </c>
      <c r="FM51" s="107">
        <f>SUMIFS('Existing Customers'!$N:$N,'Existing Customers'!$A:$A,'Multi-Customer'!FM$38)</f>
        <v>0</v>
      </c>
      <c r="GI51" s="103" t="s">
        <v>968</v>
      </c>
      <c r="GJ51" s="107">
        <f>SUMIFS('Existing Customers'!$N:$N,'Existing Customers'!$A:$A,'Multi-Customer'!GJ$38)</f>
        <v>0</v>
      </c>
      <c r="HF51" s="103" t="s">
        <v>968</v>
      </c>
      <c r="HG51" s="107">
        <f>SUMIFS('Existing Customers'!$N:$N,'Existing Customers'!$A:$A,'Multi-Customer'!HG$38)</f>
        <v>0</v>
      </c>
      <c r="IC51" s="103" t="s">
        <v>968</v>
      </c>
      <c r="ID51" s="107">
        <f>SUMIFS('Existing Customers'!$N:$N,'Existing Customers'!$A:$A,'Multi-Customer'!ID$38)</f>
        <v>0</v>
      </c>
      <c r="IZ51" s="103" t="s">
        <v>968</v>
      </c>
      <c r="JA51" s="107">
        <f>SUMIFS('Existing Customers'!$N:$N,'Existing Customers'!$A:$A,'Multi-Customer'!JA$38)</f>
        <v>0</v>
      </c>
    </row>
    <row r="52" spans="18:261" x14ac:dyDescent="0.25">
      <c r="R52" s="1046"/>
      <c r="S52" s="1046"/>
      <c r="T52" s="103"/>
      <c r="W52" s="103"/>
      <c r="X52" s="129"/>
      <c r="Z52" s="433">
        <f t="shared" si="70"/>
        <v>2</v>
      </c>
      <c r="AA52" s="431"/>
      <c r="AB52" s="434">
        <f t="shared" si="71"/>
        <v>9</v>
      </c>
      <c r="BA52" s="103" t="s">
        <v>973</v>
      </c>
      <c r="BB52" s="107">
        <f>IFERROR(VLOOKUP(BB$38,'Existing Customer Variable Exp'!$B:$F,5,FALSE),0)</f>
        <v>0</v>
      </c>
      <c r="BX52" s="103" t="s">
        <v>973</v>
      </c>
      <c r="BY52" s="107">
        <f>IFERROR(VLOOKUP(BY$38,'Existing Customer Variable Exp'!$B:$F,5,FALSE),0)</f>
        <v>0</v>
      </c>
      <c r="CU52" s="103" t="s">
        <v>973</v>
      </c>
      <c r="CV52" s="107">
        <f>IFERROR(VLOOKUP(CV$38,'Existing Customer Variable Exp'!$B:$F,5,FALSE),0)</f>
        <v>0</v>
      </c>
      <c r="DR52" s="103" t="s">
        <v>973</v>
      </c>
      <c r="DS52" s="107">
        <f>IFERROR(VLOOKUP(DS$38,'Existing Customer Variable Exp'!$B:$F,5,FALSE),0)</f>
        <v>0</v>
      </c>
      <c r="EO52" s="103" t="s">
        <v>973</v>
      </c>
      <c r="EP52" s="107">
        <f>IFERROR(VLOOKUP(EP$38,'Existing Customer Variable Exp'!$B:$F,5,FALSE),0)</f>
        <v>0</v>
      </c>
      <c r="FL52" s="103" t="s">
        <v>973</v>
      </c>
      <c r="FM52" s="107">
        <f>IFERROR(VLOOKUP(FM$38,'Existing Customer Variable Exp'!$B:$F,5,FALSE),0)</f>
        <v>0</v>
      </c>
      <c r="GI52" s="103" t="s">
        <v>973</v>
      </c>
      <c r="GJ52" s="107">
        <f>IFERROR(VLOOKUP(GJ$38,'Existing Customer Variable Exp'!$B:$F,5,FALSE),0)</f>
        <v>0</v>
      </c>
      <c r="HF52" s="103" t="s">
        <v>973</v>
      </c>
      <c r="HG52" s="107">
        <f>IFERROR(VLOOKUP(HG$38,'Existing Customer Variable Exp'!$B:$F,5,FALSE),0)</f>
        <v>0</v>
      </c>
      <c r="IC52" s="103" t="s">
        <v>973</v>
      </c>
      <c r="ID52" s="107">
        <f>IFERROR(VLOOKUP(ID$38,'Existing Customer Variable Exp'!$B:$F,5,FALSE),0)</f>
        <v>0</v>
      </c>
      <c r="IZ52" s="103" t="s">
        <v>973</v>
      </c>
      <c r="JA52" s="107">
        <f>IFERROR(VLOOKUP(JA$38,'Existing Customer Variable Exp'!$B:$F,5,FALSE),0)</f>
        <v>0</v>
      </c>
    </row>
    <row r="53" spans="18:261" x14ac:dyDescent="0.25">
      <c r="R53" s="1046"/>
      <c r="S53" s="1046"/>
      <c r="T53" s="1046"/>
      <c r="Z53" s="433">
        <f t="shared" si="70"/>
        <v>2</v>
      </c>
      <c r="AA53" s="431"/>
      <c r="AB53" s="434">
        <f t="shared" si="71"/>
        <v>9</v>
      </c>
      <c r="BA53" s="103" t="s">
        <v>1437</v>
      </c>
      <c r="BB53" s="85">
        <f>IFERROR(VLOOKUP(BB$1,'Existing Customers'!$A:$AD,30,FALSE),BB6)</f>
        <v>0</v>
      </c>
      <c r="BC53" s="1046"/>
      <c r="BD53" s="1046"/>
      <c r="BE53" s="1046"/>
      <c r="BF53" s="1046"/>
      <c r="BG53" s="1046"/>
      <c r="BU53" s="1046"/>
      <c r="BV53" s="1046"/>
      <c r="BX53" s="103" t="s">
        <v>1437</v>
      </c>
      <c r="BY53" s="85">
        <f>IFERROR(VLOOKUP(BY$1,'Existing Customers'!$A:$AD,30,FALSE),BY6)</f>
        <v>0</v>
      </c>
      <c r="BZ53" s="1046"/>
      <c r="CA53" s="1046"/>
      <c r="CB53" s="1046"/>
      <c r="CC53" s="1046"/>
      <c r="CD53" s="1046"/>
      <c r="CR53" s="1046"/>
      <c r="CS53" s="1046"/>
      <c r="CU53" s="103" t="s">
        <v>1437</v>
      </c>
      <c r="CV53" s="85">
        <f>IFERROR(VLOOKUP(CV$1,'Existing Customers'!$A:$AD,30,FALSE),CV6)</f>
        <v>0</v>
      </c>
      <c r="CW53" s="1046"/>
      <c r="CX53" s="1046"/>
      <c r="CY53" s="1046"/>
      <c r="CZ53" s="1046"/>
      <c r="DA53" s="1046"/>
      <c r="DO53" s="1046"/>
      <c r="DP53" s="1046"/>
      <c r="DR53" s="103" t="s">
        <v>1437</v>
      </c>
      <c r="DS53" s="85">
        <f>IFERROR(VLOOKUP(DS$1,'Existing Customers'!$A:$AD,30,FALSE),DS6)</f>
        <v>0</v>
      </c>
      <c r="DT53" s="1046"/>
      <c r="DU53" s="1046"/>
      <c r="DV53" s="1046"/>
      <c r="DW53" s="1046"/>
      <c r="DX53" s="1046"/>
      <c r="EL53" s="1046"/>
      <c r="EM53" s="1046"/>
      <c r="EO53" s="103" t="s">
        <v>1437</v>
      </c>
      <c r="EP53" s="85">
        <f>IFERROR(VLOOKUP(EP$1,'Existing Customers'!$A:$AD,30,FALSE),EP6)</f>
        <v>0</v>
      </c>
      <c r="EQ53" s="1046"/>
      <c r="ER53" s="1046"/>
      <c r="ES53" s="1046"/>
      <c r="ET53" s="1046"/>
      <c r="EU53" s="1046"/>
      <c r="FI53" s="1046"/>
      <c r="FJ53" s="1046"/>
      <c r="FL53" s="103" t="s">
        <v>1437</v>
      </c>
      <c r="FM53" s="85">
        <f>IFERROR(VLOOKUP(FM$1,'Existing Customers'!$A:$AD,30,FALSE),FM6)</f>
        <v>0</v>
      </c>
      <c r="FN53" s="1046"/>
      <c r="FO53" s="1046"/>
      <c r="FP53" s="1046"/>
      <c r="FQ53" s="1046"/>
      <c r="FR53" s="1046"/>
      <c r="GF53" s="1046"/>
      <c r="GG53" s="1046"/>
      <c r="GI53" s="103" t="s">
        <v>1437</v>
      </c>
      <c r="GJ53" s="85">
        <f>IFERROR(VLOOKUP(GJ$1,'Existing Customers'!$A:$AD,30,FALSE),GJ6)</f>
        <v>0</v>
      </c>
      <c r="GK53" s="1046"/>
      <c r="GL53" s="1046"/>
      <c r="GM53" s="1046"/>
      <c r="GN53" s="1046"/>
      <c r="GO53" s="1046"/>
      <c r="HC53" s="1046"/>
      <c r="HD53" s="1046"/>
      <c r="HF53" s="103" t="s">
        <v>1437</v>
      </c>
      <c r="HG53" s="85">
        <f>IFERROR(VLOOKUP(HG$1,'Existing Customers'!$A:$AD,30,FALSE),HG6)</f>
        <v>0</v>
      </c>
      <c r="HH53" s="1046"/>
      <c r="HI53" s="1046"/>
      <c r="HJ53" s="1046"/>
      <c r="HK53" s="1046"/>
      <c r="HL53" s="1046"/>
      <c r="HZ53" s="1046"/>
      <c r="IA53" s="1046"/>
      <c r="IC53" s="103" t="s">
        <v>1437</v>
      </c>
      <c r="ID53" s="85">
        <f>IFERROR(VLOOKUP(ID$1,'Existing Customers'!$A:$AD,30,FALSE),ID6)</f>
        <v>0</v>
      </c>
      <c r="IE53" s="1046"/>
      <c r="IF53" s="1046"/>
      <c r="IG53" s="1046"/>
      <c r="IH53" s="1046"/>
      <c r="II53" s="1046"/>
      <c r="IW53" s="1046"/>
      <c r="IX53" s="1046"/>
      <c r="IZ53" s="103" t="s">
        <v>1437</v>
      </c>
      <c r="JA53" s="85">
        <f>IFERROR(VLOOKUP(JA$1,'Existing Customers'!$A:$AD,30,FALSE),JA6)</f>
        <v>0</v>
      </c>
    </row>
    <row r="54" spans="18:261" x14ac:dyDescent="0.25">
      <c r="R54" s="1046"/>
      <c r="S54" s="1046"/>
      <c r="T54" s="1046"/>
      <c r="Z54" s="433">
        <f t="shared" si="70"/>
        <v>2</v>
      </c>
      <c r="AA54" s="431"/>
      <c r="AB54" s="434">
        <f t="shared" si="71"/>
        <v>9</v>
      </c>
    </row>
    <row r="55" spans="18:261" x14ac:dyDescent="0.25">
      <c r="R55" s="1046"/>
      <c r="S55" s="1046"/>
      <c r="T55" s="1046"/>
      <c r="Z55" s="433">
        <f t="shared" si="70"/>
        <v>2</v>
      </c>
      <c r="AA55" s="431"/>
      <c r="AB55" s="434">
        <f t="shared" si="71"/>
        <v>9</v>
      </c>
    </row>
    <row r="56" spans="18:261" x14ac:dyDescent="0.25">
      <c r="R56" s="1046"/>
      <c r="S56" s="1046"/>
      <c r="T56" s="1046"/>
      <c r="Z56" s="433">
        <f t="shared" si="70"/>
        <v>2</v>
      </c>
      <c r="AA56" s="431"/>
      <c r="AB56" s="434">
        <f t="shared" si="71"/>
        <v>9</v>
      </c>
    </row>
    <row r="57" spans="18:261" x14ac:dyDescent="0.25">
      <c r="R57" s="1046"/>
      <c r="S57" s="1046"/>
      <c r="T57" s="1046"/>
      <c r="Z57" s="433">
        <f t="shared" si="70"/>
        <v>2</v>
      </c>
      <c r="AA57" s="431"/>
      <c r="AB57" s="434">
        <f t="shared" si="71"/>
        <v>9</v>
      </c>
    </row>
    <row r="58" spans="18:261" x14ac:dyDescent="0.25">
      <c r="R58" s="1046"/>
      <c r="S58" s="1046"/>
      <c r="T58" s="1046"/>
      <c r="Z58" s="433">
        <f t="shared" si="70"/>
        <v>2</v>
      </c>
      <c r="AA58" s="431"/>
      <c r="AB58" s="434">
        <f t="shared" si="71"/>
        <v>9</v>
      </c>
    </row>
    <row r="59" spans="18:261" x14ac:dyDescent="0.25">
      <c r="R59" s="1046"/>
      <c r="S59" s="1046"/>
      <c r="T59" s="1046"/>
      <c r="Z59" s="433">
        <f t="shared" si="70"/>
        <v>2</v>
      </c>
      <c r="AA59" s="431"/>
      <c r="AB59" s="434">
        <f t="shared" si="71"/>
        <v>9</v>
      </c>
    </row>
    <row r="60" spans="18:261" x14ac:dyDescent="0.25">
      <c r="R60" s="1046"/>
      <c r="S60" s="1046"/>
      <c r="T60" s="1046"/>
      <c r="Z60" s="433">
        <f t="shared" si="70"/>
        <v>2</v>
      </c>
      <c r="AA60" s="431"/>
      <c r="AB60" s="434">
        <f t="shared" si="71"/>
        <v>9</v>
      </c>
    </row>
    <row r="61" spans="18:261" x14ac:dyDescent="0.25">
      <c r="R61" s="1046"/>
      <c r="S61" s="1046"/>
      <c r="T61" s="1046"/>
      <c r="Z61" s="433">
        <f t="shared" si="70"/>
        <v>2</v>
      </c>
      <c r="AA61" s="431"/>
      <c r="AB61" s="434">
        <f t="shared" si="71"/>
        <v>9</v>
      </c>
    </row>
    <row r="62" spans="18:261" x14ac:dyDescent="0.25">
      <c r="R62" s="1046"/>
      <c r="S62" s="1046"/>
      <c r="T62" s="1046"/>
      <c r="Z62" s="433">
        <f t="shared" si="70"/>
        <v>2</v>
      </c>
      <c r="AA62" s="431"/>
      <c r="AB62" s="434">
        <f t="shared" si="71"/>
        <v>9</v>
      </c>
    </row>
    <row r="63" spans="18:261" x14ac:dyDescent="0.25">
      <c r="R63" s="1046"/>
      <c r="S63" s="1046"/>
      <c r="T63" s="1046"/>
      <c r="Z63" s="433">
        <f t="shared" si="70"/>
        <v>2</v>
      </c>
      <c r="AA63" s="431"/>
      <c r="AB63" s="434">
        <f t="shared" si="71"/>
        <v>9</v>
      </c>
    </row>
    <row r="64" spans="18:261" x14ac:dyDescent="0.25">
      <c r="R64" s="1046"/>
      <c r="S64" s="1046"/>
      <c r="T64" s="1046"/>
      <c r="Z64" s="433">
        <f t="shared" si="70"/>
        <v>2</v>
      </c>
      <c r="AA64" s="431"/>
      <c r="AB64" s="434">
        <f t="shared" si="71"/>
        <v>9</v>
      </c>
    </row>
    <row r="65" spans="18:28" x14ac:dyDescent="0.25">
      <c r="R65" s="1046"/>
      <c r="S65" s="1046"/>
      <c r="T65" s="1046"/>
      <c r="Z65" s="433">
        <f t="shared" si="70"/>
        <v>2</v>
      </c>
      <c r="AA65" s="431"/>
      <c r="AB65" s="434">
        <f t="shared" si="71"/>
        <v>9</v>
      </c>
    </row>
    <row r="66" spans="18:28" x14ac:dyDescent="0.25">
      <c r="R66" s="1046"/>
      <c r="S66" s="1046"/>
      <c r="T66" s="1046"/>
      <c r="Z66" s="433"/>
      <c r="AA66" s="431"/>
      <c r="AB66" s="434"/>
    </row>
    <row r="67" spans="18:28" x14ac:dyDescent="0.25">
      <c r="R67" s="1046"/>
      <c r="S67" s="1046"/>
      <c r="T67" s="1046"/>
      <c r="Z67" s="1047"/>
      <c r="AA67" s="1048"/>
      <c r="AB67" s="1049"/>
    </row>
    <row r="68" spans="18:28" x14ac:dyDescent="0.25">
      <c r="R68" s="1046"/>
      <c r="S68" s="1046"/>
      <c r="T68" s="1046"/>
      <c r="Z68" s="1047"/>
      <c r="AA68" s="1048"/>
      <c r="AB68" s="1049"/>
    </row>
    <row r="69" spans="18:28" x14ac:dyDescent="0.25">
      <c r="R69" s="1046"/>
      <c r="S69" s="1046"/>
      <c r="T69" s="1046"/>
      <c r="Z69" s="1047"/>
      <c r="AA69" s="1048"/>
      <c r="AB69" s="1049"/>
    </row>
    <row r="70" spans="18:28" x14ac:dyDescent="0.25">
      <c r="R70" s="1046"/>
      <c r="S70" s="1046"/>
      <c r="T70" s="1046"/>
      <c r="Z70" s="1047"/>
      <c r="AA70" s="1048"/>
      <c r="AB70" s="1049"/>
    </row>
    <row r="71" spans="18:28" x14ac:dyDescent="0.25">
      <c r="R71" s="1046"/>
      <c r="S71" s="1046"/>
      <c r="T71" s="1046"/>
      <c r="Z71" s="1047"/>
      <c r="AA71" s="1048"/>
      <c r="AB71" s="1049"/>
    </row>
    <row r="72" spans="18:28" x14ac:dyDescent="0.25">
      <c r="R72" s="1046"/>
      <c r="S72" s="1046"/>
      <c r="T72" s="1046"/>
      <c r="Z72" s="1047"/>
      <c r="AA72" s="1048"/>
      <c r="AB72" s="1049"/>
    </row>
    <row r="73" spans="18:28" x14ac:dyDescent="0.25">
      <c r="R73" s="1046"/>
      <c r="S73" s="1046"/>
      <c r="T73" s="1046"/>
      <c r="Z73" s="1047"/>
      <c r="AA73" s="1048"/>
      <c r="AB73" s="1049"/>
    </row>
    <row r="74" spans="18:28" x14ac:dyDescent="0.25">
      <c r="R74" s="1046"/>
      <c r="S74" s="1046"/>
      <c r="T74" s="1046"/>
      <c r="Z74" s="1047"/>
      <c r="AA74" s="1048"/>
      <c r="AB74" s="1049"/>
    </row>
    <row r="75" spans="18:28" x14ac:dyDescent="0.25">
      <c r="R75" s="1046"/>
      <c r="S75" s="1046"/>
      <c r="T75" s="1046"/>
      <c r="Z75" s="1047"/>
      <c r="AA75" s="1048"/>
      <c r="AB75" s="1049"/>
    </row>
    <row r="76" spans="18:28" ht="15.75" thickBot="1" x14ac:dyDescent="0.3">
      <c r="R76" s="1046"/>
      <c r="S76" s="1046"/>
      <c r="T76" s="1046"/>
      <c r="Z76" s="32"/>
      <c r="AA76" s="1050"/>
      <c r="AB76" s="1052"/>
    </row>
    <row r="77" spans="18:28" x14ac:dyDescent="0.25">
      <c r="R77" s="1046"/>
      <c r="S77" s="1046"/>
      <c r="T77" s="1046"/>
    </row>
    <row r="78" spans="18:28" x14ac:dyDescent="0.25">
      <c r="R78" s="1046"/>
      <c r="S78" s="1046"/>
      <c r="T78" s="1046"/>
    </row>
    <row r="79" spans="18:28" x14ac:dyDescent="0.25">
      <c r="R79" s="1046"/>
      <c r="S79" s="1046"/>
      <c r="T79" s="1046"/>
    </row>
    <row r="80" spans="18:28" x14ac:dyDescent="0.25">
      <c r="R80" s="1046"/>
      <c r="S80" s="1046"/>
      <c r="T80" s="1046"/>
    </row>
    <row r="81" spans="18:20" x14ac:dyDescent="0.25">
      <c r="R81" s="1046"/>
      <c r="S81" s="1046"/>
      <c r="T81" s="1046"/>
    </row>
    <row r="82" spans="18:20" x14ac:dyDescent="0.25">
      <c r="R82" s="1046"/>
      <c r="S82" s="1046"/>
      <c r="T82" s="1046"/>
    </row>
    <row r="83" spans="18:20" x14ac:dyDescent="0.25">
      <c r="R83" s="1046"/>
      <c r="S83" s="1046"/>
      <c r="T83" s="1046"/>
    </row>
    <row r="84" spans="18:20" x14ac:dyDescent="0.25">
      <c r="R84" s="1046"/>
      <c r="S84" s="1046"/>
      <c r="T84" s="1046"/>
    </row>
    <row r="85" spans="18:20" x14ac:dyDescent="0.25">
      <c r="R85" s="1046"/>
      <c r="S85" s="1046"/>
      <c r="T85" s="1046"/>
    </row>
    <row r="87" spans="18:20" x14ac:dyDescent="0.25">
      <c r="S87" s="103"/>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7" workbookViewId="0">
      <selection activeCell="A12" sqref="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4" t="s">
        <v>930</v>
      </c>
      <c r="AU2" s="38" t="e">
        <f>$AL$33</f>
        <v>#DIV/0!</v>
      </c>
      <c r="AY2" s="496" t="s">
        <v>965</v>
      </c>
      <c r="AZ2" s="268"/>
      <c r="BA2" s="268"/>
      <c r="BB2" s="268"/>
      <c r="BC2" s="268"/>
      <c r="BD2" s="268"/>
      <c r="BE2" s="268"/>
      <c r="BF2" s="268"/>
      <c r="BK2" s="496" t="s">
        <v>965</v>
      </c>
    </row>
    <row r="3" spans="1:70" x14ac:dyDescent="0.25">
      <c r="AT3" s="84" t="s">
        <v>465</v>
      </c>
      <c r="AU3" s="24">
        <f>'Customer Inputs'!$AB$16</f>
        <v>0</v>
      </c>
      <c r="AY3" s="498">
        <v>334319</v>
      </c>
      <c r="AZ3" s="497" t="s">
        <v>212</v>
      </c>
      <c r="BA3" s="51" t="s">
        <v>212</v>
      </c>
      <c r="BB3" s="490">
        <v>0.04</v>
      </c>
      <c r="BC3" s="490">
        <v>0.08</v>
      </c>
      <c r="BD3" s="490">
        <v>9.2999999999999999E-2</v>
      </c>
      <c r="BE3" s="490">
        <v>0.11</v>
      </c>
      <c r="BF3" s="491">
        <v>0.153</v>
      </c>
      <c r="BK3" s="498">
        <v>301441</v>
      </c>
      <c r="BL3" s="497" t="s">
        <v>212</v>
      </c>
      <c r="BM3" s="51" t="s">
        <v>212</v>
      </c>
      <c r="BN3" s="490">
        <v>4.5999999999999999E-2</v>
      </c>
      <c r="BO3" s="490">
        <v>8.8999999999999996E-2</v>
      </c>
      <c r="BP3" s="490">
        <v>0.107</v>
      </c>
      <c r="BQ3" s="490">
        <v>0.127</v>
      </c>
      <c r="BR3" s="490">
        <v>0.17100000000000001</v>
      </c>
    </row>
    <row r="4" spans="1:70" ht="15.75" thickBot="1" x14ac:dyDescent="0.3">
      <c r="AY4" s="499">
        <v>723899</v>
      </c>
      <c r="AZ4" s="293" t="s">
        <v>213</v>
      </c>
      <c r="BA4" s="1" t="s">
        <v>213</v>
      </c>
      <c r="BB4" s="492">
        <v>4.2000000000000003E-2</v>
      </c>
      <c r="BC4" s="492">
        <v>7.4999999999999997E-2</v>
      </c>
      <c r="BD4" s="492">
        <v>8.6999999999999994E-2</v>
      </c>
      <c r="BE4" s="492">
        <v>0.1</v>
      </c>
      <c r="BF4" s="493">
        <v>0.13600000000000001</v>
      </c>
      <c r="BK4" s="499">
        <v>684993</v>
      </c>
      <c r="BL4" s="293" t="s">
        <v>213</v>
      </c>
      <c r="BM4" s="1" t="s">
        <v>213</v>
      </c>
      <c r="BN4" s="492">
        <v>4.8000000000000001E-2</v>
      </c>
      <c r="BO4" s="492">
        <v>8.3000000000000004E-2</v>
      </c>
      <c r="BP4" s="492">
        <v>0.1</v>
      </c>
      <c r="BQ4" s="492">
        <v>0.115</v>
      </c>
      <c r="BR4" s="492">
        <v>0.152</v>
      </c>
    </row>
    <row r="5" spans="1:70" ht="15.75" thickBot="1" x14ac:dyDescent="0.3">
      <c r="AW5" s="1380" t="s">
        <v>963</v>
      </c>
      <c r="AX5" s="1381"/>
      <c r="AY5" s="499">
        <v>1757315</v>
      </c>
      <c r="AZ5" s="293" t="s">
        <v>214</v>
      </c>
      <c r="BA5" s="1" t="s">
        <v>214</v>
      </c>
      <c r="BB5" s="492">
        <v>3.2000000000000001E-2</v>
      </c>
      <c r="BC5" s="492">
        <v>6.9000000000000006E-2</v>
      </c>
      <c r="BD5" s="492">
        <v>8.2000000000000003E-2</v>
      </c>
      <c r="BE5" s="492">
        <v>9.6000000000000002E-2</v>
      </c>
      <c r="BF5" s="493">
        <v>0.13300000000000001</v>
      </c>
      <c r="BI5" s="1380" t="s">
        <v>964</v>
      </c>
      <c r="BJ5" s="1381"/>
      <c r="BK5" s="499">
        <v>1554219</v>
      </c>
      <c r="BL5" s="293" t="s">
        <v>214</v>
      </c>
      <c r="BM5" s="1" t="s">
        <v>214</v>
      </c>
      <c r="BN5" s="492">
        <v>3.6999999999999998E-2</v>
      </c>
      <c r="BO5" s="492">
        <v>7.8E-2</v>
      </c>
      <c r="BP5" s="492">
        <v>9.4E-2</v>
      </c>
      <c r="BQ5" s="492">
        <v>0.11</v>
      </c>
      <c r="BR5" s="492">
        <v>0.151</v>
      </c>
    </row>
    <row r="6" spans="1:70" ht="15.75" thickBot="1" x14ac:dyDescent="0.3">
      <c r="AW6" s="47" t="s">
        <v>495</v>
      </c>
      <c r="AX6" s="48" t="e">
        <f>IF($AU$2&lt;$AY$3,$AZ$3,IF($AU$2&lt;$AY$4,$AZ$4,IF($AU$2&lt;$AY$5,$AZ$5,IF($AU$2&lt;$AY$6,$AZ$6,$AZ$7))))</f>
        <v>#DIV/0!</v>
      </c>
      <c r="AY6" s="499">
        <v>3873056</v>
      </c>
      <c r="AZ6" s="293" t="s">
        <v>267</v>
      </c>
      <c r="BA6" s="1" t="s">
        <v>267</v>
      </c>
      <c r="BB6" s="492">
        <v>2.5000000000000001E-2</v>
      </c>
      <c r="BC6" s="492">
        <v>6.3E-2</v>
      </c>
      <c r="BD6" s="492">
        <v>7.5999999999999998E-2</v>
      </c>
      <c r="BE6" s="492">
        <v>0.09</v>
      </c>
      <c r="BF6" s="493">
        <v>0.13</v>
      </c>
      <c r="BI6" s="47" t="s">
        <v>495</v>
      </c>
      <c r="BJ6" s="48" t="e">
        <f>IF($AU$2&lt;$AY$3,$AZ$3,IF($AU$2&lt;$AY$4,$AZ$4,IF($AU$2&lt;$AY$5,$AZ$5,IF($AU$2&lt;$AY$6,$AZ$6,$AZ$7))))</f>
        <v>#DIV/0!</v>
      </c>
      <c r="BK6" s="499">
        <v>3316405</v>
      </c>
      <c r="BL6" s="293" t="s">
        <v>267</v>
      </c>
      <c r="BM6" s="1" t="s">
        <v>267</v>
      </c>
      <c r="BN6" s="492">
        <v>3.1E-2</v>
      </c>
      <c r="BO6" s="492">
        <v>7.0000000000000007E-2</v>
      </c>
      <c r="BP6" s="492">
        <v>8.6999999999999994E-2</v>
      </c>
      <c r="BQ6" s="492">
        <v>0.104</v>
      </c>
      <c r="BR6" s="492">
        <v>0.14899999999999999</v>
      </c>
    </row>
    <row r="7" spans="1:70" ht="15.75" thickBot="1" x14ac:dyDescent="0.3">
      <c r="AW7" s="47" t="s">
        <v>496</v>
      </c>
      <c r="AX7" s="49" t="e">
        <f>VLOOKUP($AX$6,$BA$3:$BF$7,3,FALSE)</f>
        <v>#DIV/0!</v>
      </c>
      <c r="AY7" s="500"/>
      <c r="AZ7" s="422" t="s">
        <v>268</v>
      </c>
      <c r="BA7" s="33" t="s">
        <v>268</v>
      </c>
      <c r="BB7" s="494">
        <v>2.5999999999999999E-2</v>
      </c>
      <c r="BC7" s="494">
        <v>5.6000000000000001E-2</v>
      </c>
      <c r="BD7" s="494">
        <v>6.8000000000000005E-2</v>
      </c>
      <c r="BE7" s="494">
        <v>8.3000000000000004E-2</v>
      </c>
      <c r="BF7" s="495">
        <v>0.114</v>
      </c>
      <c r="BI7" s="47" t="s">
        <v>496</v>
      </c>
      <c r="BJ7" s="49" t="e">
        <f>VLOOKUP($BJ$6,$BM$3:$BO$7,3,FALSE)</f>
        <v>#DIV/0!</v>
      </c>
      <c r="BK7" s="501"/>
      <c r="BL7" s="422" t="s">
        <v>268</v>
      </c>
      <c r="BM7" s="33" t="s">
        <v>268</v>
      </c>
      <c r="BN7" s="494">
        <v>0.03</v>
      </c>
      <c r="BO7" s="494">
        <v>6.4000000000000001E-2</v>
      </c>
      <c r="BP7" s="494">
        <v>7.8E-2</v>
      </c>
      <c r="BQ7" s="494">
        <v>9.5000000000000001E-2</v>
      </c>
      <c r="BR7" s="494">
        <v>0.13100000000000001</v>
      </c>
    </row>
    <row r="8" spans="1:70" x14ac:dyDescent="0.25">
      <c r="AU8" s="39"/>
    </row>
    <row r="10" spans="1:70" ht="15.75" x14ac:dyDescent="0.25">
      <c r="C10" s="469" t="s">
        <v>955</v>
      </c>
      <c r="D10" s="2" t="s">
        <v>464</v>
      </c>
      <c r="E10" s="2" t="s">
        <v>464</v>
      </c>
      <c r="F10" s="2" t="s">
        <v>464</v>
      </c>
      <c r="G10" s="2" t="s">
        <v>464</v>
      </c>
      <c r="H10" s="2" t="s">
        <v>464</v>
      </c>
      <c r="I10" s="2" t="s">
        <v>464</v>
      </c>
      <c r="J10" s="2"/>
      <c r="K10" s="2"/>
      <c r="L10" s="2"/>
      <c r="N10" s="469" t="s">
        <v>956</v>
      </c>
      <c r="O10" s="2" t="s">
        <v>464</v>
      </c>
      <c r="P10" s="2" t="s">
        <v>464</v>
      </c>
      <c r="Q10" s="2" t="s">
        <v>464</v>
      </c>
      <c r="R10" s="2" t="s">
        <v>464</v>
      </c>
      <c r="S10" s="2" t="s">
        <v>464</v>
      </c>
      <c r="T10" s="2" t="s">
        <v>464</v>
      </c>
      <c r="U10" s="2"/>
      <c r="V10" s="2"/>
      <c r="W10" s="380" t="str">
        <f>IF('Multi-Customer'!$AH$37="MULTIPLE MENU TYPES","INDEPENDENT RESTAURATEURS (PYR)",'Multi-Customer'!$AH$37)</f>
        <v>MULTIPLE TYPES</v>
      </c>
      <c r="X10" s="2"/>
      <c r="Y10" s="2"/>
      <c r="Z10" s="2"/>
      <c r="AA10" s="2"/>
      <c r="AB10" s="2"/>
      <c r="AC10" s="2"/>
      <c r="AD10" s="2" t="s">
        <v>1001</v>
      </c>
      <c r="AE10" s="2"/>
      <c r="AF10" s="2"/>
      <c r="AG10" s="2"/>
      <c r="AH10" s="2"/>
      <c r="AI10" s="2"/>
      <c r="AJ10" s="2"/>
      <c r="AK10" s="469" t="s">
        <v>958</v>
      </c>
      <c r="AL10" s="40" t="s">
        <v>464</v>
      </c>
      <c r="AM10" s="40" t="s">
        <v>464</v>
      </c>
      <c r="AN10" s="40" t="s">
        <v>464</v>
      </c>
      <c r="AO10" s="40" t="s">
        <v>464</v>
      </c>
      <c r="AP10" s="40" t="s">
        <v>464</v>
      </c>
      <c r="AQ10" s="1383" t="s">
        <v>962</v>
      </c>
      <c r="AR10" s="1383"/>
      <c r="AW10" s="1382" t="s">
        <v>960</v>
      </c>
      <c r="AX10" s="1382"/>
      <c r="AY10" s="1382"/>
      <c r="AZ10" s="1382"/>
      <c r="BA10" s="1382"/>
      <c r="BD10" s="1382" t="s">
        <v>961</v>
      </c>
      <c r="BE10" s="1382"/>
      <c r="BF10" s="1382"/>
      <c r="BG10" s="1382"/>
      <c r="BH10" s="1382"/>
    </row>
    <row r="11" spans="1:70" x14ac:dyDescent="0.25">
      <c r="A11" s="2" t="s">
        <v>908</v>
      </c>
      <c r="C11" t="s">
        <v>254</v>
      </c>
      <c r="D11" s="2" t="s">
        <v>398</v>
      </c>
      <c r="E11" s="2" t="s">
        <v>83</v>
      </c>
      <c r="F11" s="2" t="s">
        <v>399</v>
      </c>
      <c r="G11" s="2" t="s">
        <v>502</v>
      </c>
      <c r="H11" s="2" t="s">
        <v>505</v>
      </c>
      <c r="I11" s="2" t="s">
        <v>503</v>
      </c>
      <c r="J11" s="2"/>
      <c r="K11" s="2"/>
      <c r="L11" s="2" t="s">
        <v>908</v>
      </c>
      <c r="N11" s="2" t="s">
        <v>254</v>
      </c>
      <c r="O11" s="2" t="s">
        <v>398</v>
      </c>
      <c r="P11" s="2" t="s">
        <v>83</v>
      </c>
      <c r="Q11" s="2" t="s">
        <v>399</v>
      </c>
      <c r="R11" s="2" t="s">
        <v>502</v>
      </c>
      <c r="S11" s="2" t="s">
        <v>505</v>
      </c>
      <c r="T11" s="2" t="s">
        <v>503</v>
      </c>
      <c r="U11" s="2"/>
      <c r="V11" s="2" t="s">
        <v>995</v>
      </c>
      <c r="W11" s="2" t="s">
        <v>996</v>
      </c>
      <c r="X11" s="2" t="s">
        <v>997</v>
      </c>
      <c r="Y11" s="2"/>
      <c r="Z11" s="2"/>
      <c r="AA11" s="2" t="s">
        <v>957</v>
      </c>
      <c r="AB11" s="2" t="s">
        <v>1000</v>
      </c>
      <c r="AC11" s="2" t="s">
        <v>998</v>
      </c>
      <c r="AD11" s="2" t="s">
        <v>999</v>
      </c>
      <c r="AE11" s="2"/>
      <c r="AF11" s="2" t="s">
        <v>957</v>
      </c>
      <c r="AG11" s="2"/>
      <c r="AH11" s="2"/>
      <c r="AI11" s="2"/>
      <c r="AJ11" s="2"/>
      <c r="AK11" s="40" t="s">
        <v>254</v>
      </c>
      <c r="AL11" s="40" t="s">
        <v>398</v>
      </c>
      <c r="AM11" s="40" t="s">
        <v>83</v>
      </c>
      <c r="AN11" s="40" t="s">
        <v>502</v>
      </c>
      <c r="AO11" s="40" t="s">
        <v>505</v>
      </c>
      <c r="AP11" s="40" t="s">
        <v>503</v>
      </c>
      <c r="AQ11" s="482" t="s">
        <v>374</v>
      </c>
      <c r="AR11" s="482" t="s">
        <v>994</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t="e">
        <f>D12/$D$33</f>
        <v>#DIV/0!</v>
      </c>
      <c r="B12">
        <v>3</v>
      </c>
      <c r="C12" t="s">
        <v>99</v>
      </c>
      <c r="D12" s="25">
        <f>'Multi-Customer'!C14</f>
        <v>0</v>
      </c>
      <c r="E12">
        <f>'Multi-Customer'!D14</f>
        <v>0</v>
      </c>
      <c r="F12">
        <f>'Multi-Customer'!E14</f>
        <v>0</v>
      </c>
      <c r="G12" s="330">
        <f>'Multi-Customer'!F14</f>
        <v>0</v>
      </c>
      <c r="H12" s="19">
        <f>IFERROR(D12/E12,0)</f>
        <v>0</v>
      </c>
      <c r="I12" s="19">
        <f>IFERROR(D12/G12,0)</f>
        <v>0</v>
      </c>
      <c r="J12" s="330"/>
      <c r="K12" s="330" t="str">
        <f>'PIM Model'!E10</f>
        <v>INCLUDE</v>
      </c>
      <c r="L12" s="330" t="e">
        <f t="shared" ref="L12:L32" si="0">IF($K12="Exclude",0,$A12)</f>
        <v>#DIV/0!</v>
      </c>
      <c r="M12">
        <v>3</v>
      </c>
      <c r="N12" s="330" t="s">
        <v>99</v>
      </c>
      <c r="O12" s="330" t="e">
        <f t="shared" ref="O12:O32" si="1">IF($K12="Exclude",0,D12/$L$33)</f>
        <v>#DIV/0!</v>
      </c>
      <c r="P12" s="330" t="e">
        <f t="shared" ref="P12:P32" si="2">IF($K12="Exclude",0,E12/$L$33)</f>
        <v>#DIV/0!</v>
      </c>
      <c r="Q12" s="330" t="e">
        <f t="shared" ref="Q12:Q32" si="3">IF($K12="Exclude",0,F12/$L$33)</f>
        <v>#DIV/0!</v>
      </c>
      <c r="R12" s="330" t="e">
        <f t="shared" ref="R12:R32" si="4">IF($K12="Exclude",0,G12/$L$33)</f>
        <v>#DIV/0!</v>
      </c>
      <c r="S12" s="330">
        <f>IFERROR(O12/P12,0)</f>
        <v>0</v>
      </c>
      <c r="T12" s="19">
        <f>IFERROR(O12/R12,0)</f>
        <v>0</v>
      </c>
      <c r="U12" s="19"/>
      <c r="V12" s="2">
        <f>'PIM Model'!$C$10</f>
        <v>0</v>
      </c>
      <c r="W12" s="613" t="e">
        <f>'Multi-Customer'!M14</f>
        <v>#DIV/0!</v>
      </c>
      <c r="X12" s="19" t="e">
        <f>$W12*$Z$33</f>
        <v>#DIV/0!</v>
      </c>
      <c r="Y12" s="330" t="e">
        <f>IF(V12="AVG",X12,O12)</f>
        <v>#DIV/0!</v>
      </c>
      <c r="Z12" s="330" t="e">
        <f>IF($V12="AVG",0,$Y12)</f>
        <v>#DIV/0!</v>
      </c>
      <c r="AA12" s="330" t="e">
        <f>IF($V12="AVG",IF($O12=0,$X12,$X12-$O12),Y12)</f>
        <v>#DIV/0!</v>
      </c>
      <c r="AB12" s="614" t="e">
        <f>$X12/$X$33</f>
        <v>#DIV/0!</v>
      </c>
      <c r="AC12" s="614" t="e">
        <f>IF($AA12=0,AB12,0)</f>
        <v>#DIV/0!</v>
      </c>
      <c r="AD12" s="330" t="e">
        <f t="shared" ref="AD12:AD32" si="5">IF($AA12=0,$O12-($AA$33*($AC12/$AC$33)),$Y12)</f>
        <v>#DIV/0!</v>
      </c>
      <c r="AE12" s="330"/>
      <c r="AF12" s="330" t="e">
        <f>AD12*(1+$AG12)-AD12</f>
        <v>#DIV/0!</v>
      </c>
      <c r="AG12" s="39">
        <f>'PIM Model'!B10</f>
        <v>0</v>
      </c>
      <c r="AH12" s="470" t="e">
        <f t="shared" ref="AH12:AH32" si="6">L12*(1+AG12)</f>
        <v>#DIV/0!</v>
      </c>
      <c r="AI12" s="470" t="e">
        <f>IF(AF12=0,AH12,0)</f>
        <v>#DIV/0!</v>
      </c>
      <c r="AJ12">
        <v>3</v>
      </c>
      <c r="AK12" s="471" t="s">
        <v>99</v>
      </c>
      <c r="AL12" s="471" t="e">
        <f t="shared" ref="AL12:AL32" si="7">IF($AG12=0,$AD12-($AF$33*($AI12/$AI$33)),$AD12+$AF12)</f>
        <v>#DIV/0!</v>
      </c>
      <c r="AM12" s="471">
        <f t="shared" ref="AM12:AM32" si="8">IFERROR($AL12/AO12,0)</f>
        <v>0</v>
      </c>
      <c r="AN12" s="471">
        <f t="shared" ref="AN12:AN32" si="9">IFERROR($AL12/AP12,0)</f>
        <v>0</v>
      </c>
      <c r="AO12" s="472">
        <f t="shared" ref="AO12:AO32" si="10">S12</f>
        <v>0</v>
      </c>
      <c r="AP12" s="472">
        <f t="shared" ref="AP12:AP32" si="11">T12</f>
        <v>0</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02"/>
      <c r="AW12" s="52" t="s">
        <v>99</v>
      </c>
      <c r="AX12" s="503">
        <v>6992</v>
      </c>
      <c r="AY12" s="503">
        <v>18976</v>
      </c>
      <c r="AZ12" s="503">
        <v>35942</v>
      </c>
      <c r="BA12" s="503">
        <v>79246</v>
      </c>
      <c r="BC12" s="2"/>
      <c r="BD12" s="52" t="s">
        <v>99</v>
      </c>
      <c r="BE12" s="503">
        <v>13830</v>
      </c>
      <c r="BF12" s="503">
        <v>40121</v>
      </c>
      <c r="BG12" s="503">
        <v>106847</v>
      </c>
      <c r="BH12" s="503">
        <v>246211</v>
      </c>
    </row>
    <row r="13" spans="1:70" x14ac:dyDescent="0.25">
      <c r="A13" t="e">
        <f t="shared" ref="A13:A32" si="13">D13/$D$33</f>
        <v>#DIV/0!</v>
      </c>
      <c r="B13">
        <v>4</v>
      </c>
      <c r="C13" t="s">
        <v>103</v>
      </c>
      <c r="D13" s="25">
        <f>'Multi-Customer'!C15</f>
        <v>0</v>
      </c>
      <c r="E13">
        <f>'Multi-Customer'!D15</f>
        <v>0</v>
      </c>
      <c r="F13">
        <f>'Multi-Customer'!E15</f>
        <v>0</v>
      </c>
      <c r="G13" s="330">
        <f>'Multi-Customer'!F15</f>
        <v>0</v>
      </c>
      <c r="H13" s="19">
        <f t="shared" ref="H13:H32" si="14">IFERROR(D13/E13,0)</f>
        <v>0</v>
      </c>
      <c r="I13" s="19">
        <f t="shared" ref="I13:I32" si="15">IFERROR(D13/G13,0)</f>
        <v>0</v>
      </c>
      <c r="J13" s="330"/>
      <c r="K13" s="330" t="str">
        <f>'PIM Model'!E11</f>
        <v>INCLUDE</v>
      </c>
      <c r="L13" s="330" t="e">
        <f t="shared" si="0"/>
        <v>#DIV/0!</v>
      </c>
      <c r="M13">
        <v>4</v>
      </c>
      <c r="N13" s="330" t="s">
        <v>103</v>
      </c>
      <c r="O13" s="330" t="e">
        <f t="shared" si="1"/>
        <v>#DIV/0!</v>
      </c>
      <c r="P13" s="330" t="e">
        <f t="shared" si="2"/>
        <v>#DIV/0!</v>
      </c>
      <c r="Q13" s="330" t="e">
        <f t="shared" si="3"/>
        <v>#DIV/0!</v>
      </c>
      <c r="R13" s="330" t="e">
        <f t="shared" si="4"/>
        <v>#DIV/0!</v>
      </c>
      <c r="S13" s="330">
        <f t="shared" ref="S13:S32" si="16">IFERROR(O13/P13,0)</f>
        <v>0</v>
      </c>
      <c r="T13" s="19">
        <f t="shared" ref="T13:T32" si="17">IFERROR(O13/R13,0)</f>
        <v>0</v>
      </c>
      <c r="U13" s="19"/>
      <c r="V13" s="2">
        <f>'PIM Model'!$C$11</f>
        <v>0</v>
      </c>
      <c r="W13" s="613" t="e">
        <f>'Multi-Customer'!M15</f>
        <v>#DIV/0!</v>
      </c>
      <c r="X13" s="19" t="e">
        <f t="shared" ref="X13:X32" si="18">$W13*$Z$33</f>
        <v>#DIV/0!</v>
      </c>
      <c r="Y13" s="330" t="e">
        <f t="shared" ref="Y13:Y32" si="19">IF(V13="AVG",X13,O13)</f>
        <v>#DIV/0!</v>
      </c>
      <c r="Z13" s="330" t="e">
        <f t="shared" ref="Z13:Z32" si="20">IF($V13="AVG",0,$Y13)</f>
        <v>#DIV/0!</v>
      </c>
      <c r="AA13" s="330" t="e">
        <f t="shared" ref="AA13:AA32" si="21">IF($V13="AVG",IF($O13=0,$X13,$X13-$O13),Y13)</f>
        <v>#DIV/0!</v>
      </c>
      <c r="AB13" s="614" t="e">
        <f t="shared" ref="AB13:AB32" si="22">$X13/$X$33</f>
        <v>#DIV/0!</v>
      </c>
      <c r="AC13" s="614" t="e">
        <f t="shared" ref="AC13:AC32" si="23">IF($AA13=0,AB13,0)</f>
        <v>#DIV/0!</v>
      </c>
      <c r="AD13" s="330" t="e">
        <f t="shared" si="5"/>
        <v>#DIV/0!</v>
      </c>
      <c r="AE13" s="330"/>
      <c r="AF13" s="330" t="e">
        <f t="shared" ref="AF13:AF32" si="24">AD13*(1+$AG13)-AD13</f>
        <v>#DIV/0!</v>
      </c>
      <c r="AG13" s="39">
        <f>'PIM Model'!B11</f>
        <v>0</v>
      </c>
      <c r="AH13" s="470" t="e">
        <f t="shared" si="6"/>
        <v>#DIV/0!</v>
      </c>
      <c r="AI13" s="470" t="e">
        <f t="shared" ref="AI13:AI32" si="25">IF(AF13=0,AH13,0)</f>
        <v>#DIV/0!</v>
      </c>
      <c r="AJ13">
        <v>4</v>
      </c>
      <c r="AK13" s="471" t="s">
        <v>103</v>
      </c>
      <c r="AL13" s="471" t="e">
        <f t="shared" si="7"/>
        <v>#DIV/0!</v>
      </c>
      <c r="AM13" s="471">
        <f t="shared" si="8"/>
        <v>0</v>
      </c>
      <c r="AN13" s="471">
        <f t="shared" si="9"/>
        <v>0</v>
      </c>
      <c r="AO13" s="472">
        <f>S13</f>
        <v>0</v>
      </c>
      <c r="AP13" s="472">
        <f t="shared" si="11"/>
        <v>0</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02"/>
      <c r="AW13" s="56" t="s">
        <v>103</v>
      </c>
      <c r="AX13" s="503">
        <v>9726</v>
      </c>
      <c r="AY13" s="503">
        <v>36145</v>
      </c>
      <c r="AZ13" s="503">
        <v>112255</v>
      </c>
      <c r="BA13" s="503">
        <v>235495</v>
      </c>
      <c r="BD13" s="56" t="s">
        <v>103</v>
      </c>
      <c r="BE13" s="503">
        <v>10238</v>
      </c>
      <c r="BF13" s="503">
        <v>41074</v>
      </c>
      <c r="BG13" s="503">
        <v>127563</v>
      </c>
      <c r="BH13" s="503">
        <v>301917</v>
      </c>
    </row>
    <row r="14" spans="1:70" x14ac:dyDescent="0.25">
      <c r="A14" t="e">
        <f t="shared" si="13"/>
        <v>#DIV/0!</v>
      </c>
      <c r="B14">
        <v>5</v>
      </c>
      <c r="C14" t="s">
        <v>1415</v>
      </c>
      <c r="D14" s="25">
        <f>'Multi-Customer'!C16</f>
        <v>0</v>
      </c>
      <c r="E14">
        <f>'Multi-Customer'!D16</f>
        <v>0</v>
      </c>
      <c r="F14">
        <f>'Multi-Customer'!E16</f>
        <v>0</v>
      </c>
      <c r="G14" s="330">
        <f>'Multi-Customer'!F16</f>
        <v>0</v>
      </c>
      <c r="H14" s="19">
        <f t="shared" si="14"/>
        <v>0</v>
      </c>
      <c r="I14" s="19">
        <f t="shared" si="15"/>
        <v>0</v>
      </c>
      <c r="J14" s="330"/>
      <c r="K14" s="330" t="str">
        <f>'PIM Model'!E12</f>
        <v>INCLUDE</v>
      </c>
      <c r="L14" s="330" t="e">
        <f t="shared" si="0"/>
        <v>#DIV/0!</v>
      </c>
      <c r="M14">
        <v>5</v>
      </c>
      <c r="N14" s="330" t="s">
        <v>1415</v>
      </c>
      <c r="O14" s="330" t="e">
        <f t="shared" si="1"/>
        <v>#DIV/0!</v>
      </c>
      <c r="P14" s="330" t="e">
        <f t="shared" si="2"/>
        <v>#DIV/0!</v>
      </c>
      <c r="Q14" s="330" t="e">
        <f t="shared" si="3"/>
        <v>#DIV/0!</v>
      </c>
      <c r="R14" s="330" t="e">
        <f t="shared" si="4"/>
        <v>#DIV/0!</v>
      </c>
      <c r="S14" s="330">
        <f t="shared" si="16"/>
        <v>0</v>
      </c>
      <c r="T14" s="19">
        <f t="shared" si="17"/>
        <v>0</v>
      </c>
      <c r="U14" s="19"/>
      <c r="V14" s="2">
        <f>'PIM Model'!$C$12</f>
        <v>0</v>
      </c>
      <c r="W14" s="613" t="e">
        <f>'Multi-Customer'!M16</f>
        <v>#DIV/0!</v>
      </c>
      <c r="X14" s="19" t="e">
        <f t="shared" si="18"/>
        <v>#DIV/0!</v>
      </c>
      <c r="Y14" s="330" t="e">
        <f t="shared" si="19"/>
        <v>#DIV/0!</v>
      </c>
      <c r="Z14" s="330" t="e">
        <f t="shared" si="20"/>
        <v>#DIV/0!</v>
      </c>
      <c r="AA14" s="330" t="e">
        <f t="shared" si="21"/>
        <v>#DIV/0!</v>
      </c>
      <c r="AB14" s="614" t="e">
        <f t="shared" si="22"/>
        <v>#DIV/0!</v>
      </c>
      <c r="AC14" s="614" t="e">
        <f t="shared" si="23"/>
        <v>#DIV/0!</v>
      </c>
      <c r="AD14" s="330" t="e">
        <f t="shared" si="5"/>
        <v>#DIV/0!</v>
      </c>
      <c r="AE14" s="330"/>
      <c r="AF14" s="330" t="e">
        <f t="shared" si="24"/>
        <v>#DIV/0!</v>
      </c>
      <c r="AG14" s="39">
        <f>'PIM Model'!B12</f>
        <v>0</v>
      </c>
      <c r="AH14" s="470" t="e">
        <f t="shared" si="6"/>
        <v>#DIV/0!</v>
      </c>
      <c r="AI14" s="470" t="e">
        <f t="shared" si="25"/>
        <v>#DIV/0!</v>
      </c>
      <c r="AJ14">
        <v>5</v>
      </c>
      <c r="AK14" s="471" t="s">
        <v>1415</v>
      </c>
      <c r="AL14" s="471" t="e">
        <f t="shared" si="7"/>
        <v>#DIV/0!</v>
      </c>
      <c r="AM14" s="471">
        <f t="shared" si="8"/>
        <v>0</v>
      </c>
      <c r="AN14" s="471">
        <f t="shared" si="9"/>
        <v>0</v>
      </c>
      <c r="AO14" s="472">
        <f t="shared" si="10"/>
        <v>0</v>
      </c>
      <c r="AP14" s="472">
        <f t="shared" si="11"/>
        <v>0</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02"/>
      <c r="AW14" s="56" t="s">
        <v>1415</v>
      </c>
      <c r="AX14" s="503">
        <v>7627</v>
      </c>
      <c r="AY14" s="503">
        <v>25048</v>
      </c>
      <c r="AZ14" s="503">
        <v>65918</v>
      </c>
      <c r="BA14" s="503">
        <v>149490</v>
      </c>
      <c r="BD14" s="56" t="s">
        <v>1415</v>
      </c>
      <c r="BE14" s="503">
        <v>8381</v>
      </c>
      <c r="BF14" s="503">
        <v>27692</v>
      </c>
      <c r="BG14" s="503">
        <v>73242</v>
      </c>
      <c r="BH14" s="503">
        <v>169875</v>
      </c>
    </row>
    <row r="15" spans="1:70" x14ac:dyDescent="0.25">
      <c r="A15" t="e">
        <f t="shared" si="13"/>
        <v>#DIV/0!</v>
      </c>
      <c r="B15">
        <v>6</v>
      </c>
      <c r="C15" t="s">
        <v>102</v>
      </c>
      <c r="D15" s="25">
        <f>'Multi-Customer'!C17</f>
        <v>0</v>
      </c>
      <c r="E15">
        <f>'Multi-Customer'!D17</f>
        <v>0</v>
      </c>
      <c r="F15">
        <f>'Multi-Customer'!E17</f>
        <v>0</v>
      </c>
      <c r="G15" s="330">
        <f>'Multi-Customer'!F17</f>
        <v>0</v>
      </c>
      <c r="H15" s="19">
        <f t="shared" si="14"/>
        <v>0</v>
      </c>
      <c r="I15" s="19">
        <f t="shared" si="15"/>
        <v>0</v>
      </c>
      <c r="J15" s="330"/>
      <c r="K15" s="330" t="str">
        <f>'PIM Model'!E13</f>
        <v>INCLUDE</v>
      </c>
      <c r="L15" s="330" t="e">
        <f t="shared" si="0"/>
        <v>#DIV/0!</v>
      </c>
      <c r="M15">
        <v>6</v>
      </c>
      <c r="N15" s="330" t="s">
        <v>102</v>
      </c>
      <c r="O15" s="330" t="e">
        <f t="shared" si="1"/>
        <v>#DIV/0!</v>
      </c>
      <c r="P15" s="330" t="e">
        <f t="shared" si="2"/>
        <v>#DIV/0!</v>
      </c>
      <c r="Q15" s="330" t="e">
        <f t="shared" si="3"/>
        <v>#DIV/0!</v>
      </c>
      <c r="R15" s="330" t="e">
        <f t="shared" si="4"/>
        <v>#DIV/0!</v>
      </c>
      <c r="S15" s="330">
        <f t="shared" si="16"/>
        <v>0</v>
      </c>
      <c r="T15" s="19">
        <f t="shared" si="17"/>
        <v>0</v>
      </c>
      <c r="U15" s="19"/>
      <c r="V15" s="2">
        <f>'PIM Model'!$C$13</f>
        <v>0</v>
      </c>
      <c r="W15" s="613" t="e">
        <f>'Multi-Customer'!M17</f>
        <v>#DIV/0!</v>
      </c>
      <c r="X15" s="19" t="e">
        <f t="shared" si="18"/>
        <v>#DIV/0!</v>
      </c>
      <c r="Y15" s="330" t="e">
        <f t="shared" si="19"/>
        <v>#DIV/0!</v>
      </c>
      <c r="Z15" s="330" t="e">
        <f t="shared" si="20"/>
        <v>#DIV/0!</v>
      </c>
      <c r="AA15" s="330" t="e">
        <f t="shared" si="21"/>
        <v>#DIV/0!</v>
      </c>
      <c r="AB15" s="614" t="e">
        <f t="shared" si="22"/>
        <v>#DIV/0!</v>
      </c>
      <c r="AC15" s="614" t="e">
        <f t="shared" si="23"/>
        <v>#DIV/0!</v>
      </c>
      <c r="AD15" s="330" t="e">
        <f t="shared" si="5"/>
        <v>#DIV/0!</v>
      </c>
      <c r="AE15" s="330"/>
      <c r="AF15" s="330" t="e">
        <f t="shared" si="24"/>
        <v>#DIV/0!</v>
      </c>
      <c r="AG15" s="39">
        <f>'PIM Model'!B13</f>
        <v>0</v>
      </c>
      <c r="AH15" s="470" t="e">
        <f t="shared" si="6"/>
        <v>#DIV/0!</v>
      </c>
      <c r="AI15" s="470" t="e">
        <f t="shared" si="25"/>
        <v>#DIV/0!</v>
      </c>
      <c r="AJ15">
        <v>6</v>
      </c>
      <c r="AK15" s="471" t="s">
        <v>102</v>
      </c>
      <c r="AL15" s="471" t="e">
        <f t="shared" si="7"/>
        <v>#DIV/0!</v>
      </c>
      <c r="AM15" s="471">
        <f t="shared" si="8"/>
        <v>0</v>
      </c>
      <c r="AN15" s="471">
        <f t="shared" si="9"/>
        <v>0</v>
      </c>
      <c r="AO15" s="472">
        <f t="shared" si="10"/>
        <v>0</v>
      </c>
      <c r="AP15" s="472">
        <f t="shared" si="11"/>
        <v>0</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02"/>
      <c r="AW15" s="52" t="s">
        <v>102</v>
      </c>
      <c r="AX15" s="503">
        <v>2926</v>
      </c>
      <c r="AY15" s="503">
        <v>7075</v>
      </c>
      <c r="AZ15" s="503">
        <v>14145</v>
      </c>
      <c r="BA15" s="503">
        <v>30916</v>
      </c>
      <c r="BD15" s="52" t="s">
        <v>102</v>
      </c>
      <c r="BE15" s="503">
        <v>5828</v>
      </c>
      <c r="BF15" s="503">
        <v>18598</v>
      </c>
      <c r="BG15" s="503">
        <v>52273</v>
      </c>
      <c r="BH15" s="503">
        <v>121106</v>
      </c>
    </row>
    <row r="16" spans="1:70" x14ac:dyDescent="0.25">
      <c r="A16" t="e">
        <f t="shared" si="13"/>
        <v>#DIV/0!</v>
      </c>
      <c r="B16">
        <v>7</v>
      </c>
      <c r="C16" t="s">
        <v>100</v>
      </c>
      <c r="D16" s="25">
        <f>'Multi-Customer'!C18</f>
        <v>0</v>
      </c>
      <c r="E16">
        <f>'Multi-Customer'!D18</f>
        <v>0</v>
      </c>
      <c r="F16">
        <f>'Multi-Customer'!E18</f>
        <v>0</v>
      </c>
      <c r="G16" s="330">
        <f>'Multi-Customer'!F18</f>
        <v>0</v>
      </c>
      <c r="H16" s="19">
        <f t="shared" si="14"/>
        <v>0</v>
      </c>
      <c r="I16" s="19">
        <f t="shared" si="15"/>
        <v>0</v>
      </c>
      <c r="J16" s="330"/>
      <c r="K16" s="330" t="str">
        <f>'PIM Model'!E14</f>
        <v>INCLUDE</v>
      </c>
      <c r="L16" s="330" t="e">
        <f t="shared" si="0"/>
        <v>#DIV/0!</v>
      </c>
      <c r="M16">
        <v>7</v>
      </c>
      <c r="N16" s="330" t="s">
        <v>100</v>
      </c>
      <c r="O16" s="330" t="e">
        <f t="shared" si="1"/>
        <v>#DIV/0!</v>
      </c>
      <c r="P16" s="330" t="e">
        <f t="shared" si="2"/>
        <v>#DIV/0!</v>
      </c>
      <c r="Q16" s="330" t="e">
        <f t="shared" si="3"/>
        <v>#DIV/0!</v>
      </c>
      <c r="R16" s="330" t="e">
        <f t="shared" si="4"/>
        <v>#DIV/0!</v>
      </c>
      <c r="S16" s="330">
        <f t="shared" si="16"/>
        <v>0</v>
      </c>
      <c r="T16" s="19">
        <f t="shared" si="17"/>
        <v>0</v>
      </c>
      <c r="U16" s="19"/>
      <c r="V16" s="2">
        <f>'PIM Model'!$C$14</f>
        <v>0</v>
      </c>
      <c r="W16" s="613" t="e">
        <f>'Multi-Customer'!M18</f>
        <v>#DIV/0!</v>
      </c>
      <c r="X16" s="19" t="e">
        <f t="shared" si="18"/>
        <v>#DIV/0!</v>
      </c>
      <c r="Y16" s="330" t="e">
        <f t="shared" si="19"/>
        <v>#DIV/0!</v>
      </c>
      <c r="Z16" s="330" t="e">
        <f t="shared" si="20"/>
        <v>#DIV/0!</v>
      </c>
      <c r="AA16" s="330" t="e">
        <f t="shared" si="21"/>
        <v>#DIV/0!</v>
      </c>
      <c r="AB16" s="614" t="e">
        <f t="shared" si="22"/>
        <v>#DIV/0!</v>
      </c>
      <c r="AC16" s="614" t="e">
        <f t="shared" si="23"/>
        <v>#DIV/0!</v>
      </c>
      <c r="AD16" s="330" t="e">
        <f t="shared" si="5"/>
        <v>#DIV/0!</v>
      </c>
      <c r="AE16" s="330"/>
      <c r="AF16" s="330" t="e">
        <f t="shared" si="24"/>
        <v>#DIV/0!</v>
      </c>
      <c r="AG16" s="39">
        <f>'PIM Model'!B14</f>
        <v>0</v>
      </c>
      <c r="AH16" s="470" t="e">
        <f t="shared" si="6"/>
        <v>#DIV/0!</v>
      </c>
      <c r="AI16" s="470" t="e">
        <f t="shared" si="25"/>
        <v>#DIV/0!</v>
      </c>
      <c r="AJ16">
        <v>7</v>
      </c>
      <c r="AK16" s="471" t="s">
        <v>100</v>
      </c>
      <c r="AL16" s="471" t="e">
        <f t="shared" si="7"/>
        <v>#DIV/0!</v>
      </c>
      <c r="AM16" s="471">
        <f t="shared" si="8"/>
        <v>0</v>
      </c>
      <c r="AN16" s="471">
        <f t="shared" si="9"/>
        <v>0</v>
      </c>
      <c r="AO16" s="472">
        <f t="shared" si="10"/>
        <v>0</v>
      </c>
      <c r="AP16" s="472">
        <f t="shared" si="11"/>
        <v>0</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02"/>
      <c r="AW16" s="52" t="s">
        <v>100</v>
      </c>
      <c r="AX16" s="503">
        <v>9661</v>
      </c>
      <c r="AY16" s="503">
        <v>18992</v>
      </c>
      <c r="AZ16" s="503">
        <v>36524</v>
      </c>
      <c r="BA16" s="503">
        <v>76773</v>
      </c>
      <c r="BD16" s="52" t="s">
        <v>100</v>
      </c>
      <c r="BE16" s="503">
        <v>14922</v>
      </c>
      <c r="BF16" s="503">
        <v>36880</v>
      </c>
      <c r="BG16" s="503">
        <v>97878</v>
      </c>
      <c r="BH16" s="503">
        <v>221341</v>
      </c>
    </row>
    <row r="17" spans="1:60" x14ac:dyDescent="0.25">
      <c r="A17" t="e">
        <f t="shared" si="13"/>
        <v>#DIV/0!</v>
      </c>
      <c r="B17">
        <v>8</v>
      </c>
      <c r="C17" t="s">
        <v>104</v>
      </c>
      <c r="D17" s="25">
        <f>'Multi-Customer'!C19</f>
        <v>0</v>
      </c>
      <c r="E17">
        <f>'Multi-Customer'!D19</f>
        <v>0</v>
      </c>
      <c r="F17">
        <f>'Multi-Customer'!E19</f>
        <v>0</v>
      </c>
      <c r="G17" s="330">
        <f>'Multi-Customer'!F19</f>
        <v>0</v>
      </c>
      <c r="H17" s="19">
        <f t="shared" si="14"/>
        <v>0</v>
      </c>
      <c r="I17" s="19">
        <f t="shared" si="15"/>
        <v>0</v>
      </c>
      <c r="J17" s="330"/>
      <c r="K17" s="330" t="str">
        <f>'PIM Model'!E15</f>
        <v>INCLUDE</v>
      </c>
      <c r="L17" s="330" t="e">
        <f t="shared" si="0"/>
        <v>#DIV/0!</v>
      </c>
      <c r="M17">
        <v>8</v>
      </c>
      <c r="N17" s="330" t="s">
        <v>104</v>
      </c>
      <c r="O17" s="330" t="e">
        <f t="shared" si="1"/>
        <v>#DIV/0!</v>
      </c>
      <c r="P17" s="330" t="e">
        <f t="shared" si="2"/>
        <v>#DIV/0!</v>
      </c>
      <c r="Q17" s="330" t="e">
        <f t="shared" si="3"/>
        <v>#DIV/0!</v>
      </c>
      <c r="R17" s="330" t="e">
        <f t="shared" si="4"/>
        <v>#DIV/0!</v>
      </c>
      <c r="S17" s="330">
        <f t="shared" si="16"/>
        <v>0</v>
      </c>
      <c r="T17" s="19">
        <f t="shared" si="17"/>
        <v>0</v>
      </c>
      <c r="U17" s="19"/>
      <c r="V17" s="2">
        <f>'PIM Model'!$C$15</f>
        <v>0</v>
      </c>
      <c r="W17" s="613" t="e">
        <f>'Multi-Customer'!M19</f>
        <v>#DIV/0!</v>
      </c>
      <c r="X17" s="19" t="e">
        <f t="shared" si="18"/>
        <v>#DIV/0!</v>
      </c>
      <c r="Y17" s="330" t="e">
        <f t="shared" si="19"/>
        <v>#DIV/0!</v>
      </c>
      <c r="Z17" s="330" t="e">
        <f t="shared" si="20"/>
        <v>#DIV/0!</v>
      </c>
      <c r="AA17" s="330" t="e">
        <f t="shared" si="21"/>
        <v>#DIV/0!</v>
      </c>
      <c r="AB17" s="614" t="e">
        <f t="shared" si="22"/>
        <v>#DIV/0!</v>
      </c>
      <c r="AC17" s="614" t="e">
        <f t="shared" si="23"/>
        <v>#DIV/0!</v>
      </c>
      <c r="AD17" s="330" t="e">
        <f t="shared" si="5"/>
        <v>#DIV/0!</v>
      </c>
      <c r="AE17" s="330"/>
      <c r="AF17" s="330" t="e">
        <f t="shared" si="24"/>
        <v>#DIV/0!</v>
      </c>
      <c r="AG17" s="39">
        <f>'PIM Model'!B15</f>
        <v>0</v>
      </c>
      <c r="AH17" s="470" t="e">
        <f t="shared" si="6"/>
        <v>#DIV/0!</v>
      </c>
      <c r="AI17" s="470" t="e">
        <f t="shared" si="25"/>
        <v>#DIV/0!</v>
      </c>
      <c r="AJ17">
        <v>8</v>
      </c>
      <c r="AK17" s="471" t="s">
        <v>104</v>
      </c>
      <c r="AL17" s="471" t="e">
        <f t="shared" si="7"/>
        <v>#DIV/0!</v>
      </c>
      <c r="AM17" s="471">
        <f t="shared" si="8"/>
        <v>0</v>
      </c>
      <c r="AN17" s="471">
        <f t="shared" si="9"/>
        <v>0</v>
      </c>
      <c r="AO17" s="472">
        <f t="shared" si="10"/>
        <v>0</v>
      </c>
      <c r="AP17" s="472">
        <f t="shared" si="11"/>
        <v>0</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02"/>
      <c r="AW17" s="52" t="s">
        <v>104</v>
      </c>
      <c r="AX17" s="503">
        <v>1374</v>
      </c>
      <c r="AY17" s="503">
        <v>4152</v>
      </c>
      <c r="AZ17" s="503">
        <v>8859</v>
      </c>
      <c r="BA17" s="503">
        <v>20083</v>
      </c>
      <c r="BD17" s="52" t="s">
        <v>104</v>
      </c>
      <c r="BE17" s="503">
        <v>2515</v>
      </c>
      <c r="BF17" s="503">
        <v>9191</v>
      </c>
      <c r="BG17" s="503">
        <v>28229</v>
      </c>
      <c r="BH17" s="503">
        <v>66332</v>
      </c>
    </row>
    <row r="18" spans="1:60" x14ac:dyDescent="0.25">
      <c r="A18" t="e">
        <f t="shared" si="13"/>
        <v>#DIV/0!</v>
      </c>
      <c r="B18">
        <v>9</v>
      </c>
      <c r="C18" t="s">
        <v>98</v>
      </c>
      <c r="D18" s="25">
        <f>'Multi-Customer'!C20</f>
        <v>0</v>
      </c>
      <c r="E18">
        <f>'Multi-Customer'!D20</f>
        <v>0</v>
      </c>
      <c r="F18">
        <f>'Multi-Customer'!E20</f>
        <v>0</v>
      </c>
      <c r="G18" s="330">
        <f>'Multi-Customer'!F20</f>
        <v>0</v>
      </c>
      <c r="H18" s="19">
        <f t="shared" si="14"/>
        <v>0</v>
      </c>
      <c r="I18" s="19">
        <f t="shared" si="15"/>
        <v>0</v>
      </c>
      <c r="J18" s="330"/>
      <c r="K18" s="330" t="str">
        <f>'PIM Model'!E16</f>
        <v>INCLUDE</v>
      </c>
      <c r="L18" s="330" t="e">
        <f t="shared" si="0"/>
        <v>#DIV/0!</v>
      </c>
      <c r="M18">
        <v>9</v>
      </c>
      <c r="N18" s="330" t="s">
        <v>98</v>
      </c>
      <c r="O18" s="330" t="e">
        <f t="shared" si="1"/>
        <v>#DIV/0!</v>
      </c>
      <c r="P18" s="330" t="e">
        <f t="shared" si="2"/>
        <v>#DIV/0!</v>
      </c>
      <c r="Q18" s="330" t="e">
        <f t="shared" si="3"/>
        <v>#DIV/0!</v>
      </c>
      <c r="R18" s="330" t="e">
        <f t="shared" si="4"/>
        <v>#DIV/0!</v>
      </c>
      <c r="S18" s="330">
        <f t="shared" si="16"/>
        <v>0</v>
      </c>
      <c r="T18" s="19">
        <f t="shared" si="17"/>
        <v>0</v>
      </c>
      <c r="U18" s="19"/>
      <c r="V18" s="2">
        <f>'PIM Model'!$C$16</f>
        <v>0</v>
      </c>
      <c r="W18" s="613" t="e">
        <f>'Multi-Customer'!M20</f>
        <v>#DIV/0!</v>
      </c>
      <c r="X18" s="19" t="e">
        <f t="shared" si="18"/>
        <v>#DIV/0!</v>
      </c>
      <c r="Y18" s="330" t="e">
        <f t="shared" si="19"/>
        <v>#DIV/0!</v>
      </c>
      <c r="Z18" s="330" t="e">
        <f t="shared" si="20"/>
        <v>#DIV/0!</v>
      </c>
      <c r="AA18" s="330" t="e">
        <f t="shared" si="21"/>
        <v>#DIV/0!</v>
      </c>
      <c r="AB18" s="614" t="e">
        <f t="shared" si="22"/>
        <v>#DIV/0!</v>
      </c>
      <c r="AC18" s="614" t="e">
        <f t="shared" si="23"/>
        <v>#DIV/0!</v>
      </c>
      <c r="AD18" s="330" t="e">
        <f t="shared" si="5"/>
        <v>#DIV/0!</v>
      </c>
      <c r="AE18" s="330"/>
      <c r="AF18" s="330" t="e">
        <f t="shared" si="24"/>
        <v>#DIV/0!</v>
      </c>
      <c r="AG18" s="39">
        <f>'PIM Model'!B16</f>
        <v>0</v>
      </c>
      <c r="AH18" s="470" t="e">
        <f t="shared" si="6"/>
        <v>#DIV/0!</v>
      </c>
      <c r="AI18" s="470" t="e">
        <f t="shared" si="25"/>
        <v>#DIV/0!</v>
      </c>
      <c r="AJ18">
        <v>9</v>
      </c>
      <c r="AK18" s="471" t="s">
        <v>98</v>
      </c>
      <c r="AL18" s="471" t="e">
        <f t="shared" si="7"/>
        <v>#DIV/0!</v>
      </c>
      <c r="AM18" s="471">
        <f t="shared" si="8"/>
        <v>0</v>
      </c>
      <c r="AN18" s="471">
        <f t="shared" si="9"/>
        <v>0</v>
      </c>
      <c r="AO18" s="472">
        <f t="shared" si="10"/>
        <v>0</v>
      </c>
      <c r="AP18" s="472">
        <f t="shared" si="11"/>
        <v>0</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02"/>
      <c r="AW18" s="52" t="s">
        <v>98</v>
      </c>
      <c r="AX18" s="503">
        <v>5735</v>
      </c>
      <c r="AY18" s="503">
        <v>12048</v>
      </c>
      <c r="AZ18" s="503">
        <v>22223</v>
      </c>
      <c r="BA18" s="503">
        <v>46885</v>
      </c>
      <c r="BD18" s="52" t="s">
        <v>98</v>
      </c>
      <c r="BE18" s="503">
        <v>11588</v>
      </c>
      <c r="BF18" s="503">
        <v>31399</v>
      </c>
      <c r="BG18" s="503">
        <v>78180</v>
      </c>
      <c r="BH18" s="503">
        <v>177577</v>
      </c>
    </row>
    <row r="19" spans="1:60" x14ac:dyDescent="0.25">
      <c r="A19" t="e">
        <f t="shared" si="13"/>
        <v>#DIV/0!</v>
      </c>
      <c r="B19">
        <v>10</v>
      </c>
      <c r="C19" t="s">
        <v>95</v>
      </c>
      <c r="D19" s="25">
        <f>'Multi-Customer'!C21</f>
        <v>0</v>
      </c>
      <c r="E19">
        <f>'Multi-Customer'!D21</f>
        <v>0</v>
      </c>
      <c r="F19">
        <f>'Multi-Customer'!E21</f>
        <v>0</v>
      </c>
      <c r="G19" s="330">
        <f>'Multi-Customer'!F21</f>
        <v>0</v>
      </c>
      <c r="H19" s="19">
        <f t="shared" si="14"/>
        <v>0</v>
      </c>
      <c r="I19" s="19">
        <f t="shared" si="15"/>
        <v>0</v>
      </c>
      <c r="J19" s="330"/>
      <c r="K19" s="330" t="str">
        <f>'PIM Model'!E17</f>
        <v>INCLUDE</v>
      </c>
      <c r="L19" s="330" t="e">
        <f t="shared" si="0"/>
        <v>#DIV/0!</v>
      </c>
      <c r="M19">
        <v>10</v>
      </c>
      <c r="N19" s="330" t="s">
        <v>95</v>
      </c>
      <c r="O19" s="330" t="e">
        <f t="shared" si="1"/>
        <v>#DIV/0!</v>
      </c>
      <c r="P19" s="330" t="e">
        <f t="shared" si="2"/>
        <v>#DIV/0!</v>
      </c>
      <c r="Q19" s="330" t="e">
        <f t="shared" si="3"/>
        <v>#DIV/0!</v>
      </c>
      <c r="R19" s="330" t="e">
        <f t="shared" si="4"/>
        <v>#DIV/0!</v>
      </c>
      <c r="S19" s="330">
        <f t="shared" si="16"/>
        <v>0</v>
      </c>
      <c r="T19" s="19">
        <f t="shared" si="17"/>
        <v>0</v>
      </c>
      <c r="U19" s="19"/>
      <c r="V19" s="2">
        <f>'PIM Model'!$C$17</f>
        <v>0</v>
      </c>
      <c r="W19" s="613" t="e">
        <f>'Multi-Customer'!M21</f>
        <v>#DIV/0!</v>
      </c>
      <c r="X19" s="19" t="e">
        <f t="shared" si="18"/>
        <v>#DIV/0!</v>
      </c>
      <c r="Y19" s="330" t="e">
        <f t="shared" si="19"/>
        <v>#DIV/0!</v>
      </c>
      <c r="Z19" s="330" t="e">
        <f t="shared" si="20"/>
        <v>#DIV/0!</v>
      </c>
      <c r="AA19" s="330" t="e">
        <f t="shared" si="21"/>
        <v>#DIV/0!</v>
      </c>
      <c r="AB19" s="614" t="e">
        <f t="shared" si="22"/>
        <v>#DIV/0!</v>
      </c>
      <c r="AC19" s="614" t="e">
        <f t="shared" si="23"/>
        <v>#DIV/0!</v>
      </c>
      <c r="AD19" s="330" t="e">
        <f t="shared" si="5"/>
        <v>#DIV/0!</v>
      </c>
      <c r="AE19" s="330"/>
      <c r="AF19" s="330" t="e">
        <f t="shared" si="24"/>
        <v>#DIV/0!</v>
      </c>
      <c r="AG19" s="39">
        <f>'PIM Model'!B17</f>
        <v>0</v>
      </c>
      <c r="AH19" s="470" t="e">
        <f t="shared" si="6"/>
        <v>#DIV/0!</v>
      </c>
      <c r="AI19" s="470" t="e">
        <f t="shared" si="25"/>
        <v>#DIV/0!</v>
      </c>
      <c r="AJ19">
        <v>10</v>
      </c>
      <c r="AK19" s="471" t="s">
        <v>95</v>
      </c>
      <c r="AL19" s="471" t="e">
        <f t="shared" si="7"/>
        <v>#DIV/0!</v>
      </c>
      <c r="AM19" s="471">
        <f t="shared" si="8"/>
        <v>0</v>
      </c>
      <c r="AN19" s="471">
        <f t="shared" si="9"/>
        <v>0</v>
      </c>
      <c r="AO19" s="472">
        <f t="shared" si="10"/>
        <v>0</v>
      </c>
      <c r="AP19" s="472">
        <f t="shared" si="11"/>
        <v>0</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02"/>
      <c r="AW19" s="52" t="s">
        <v>95</v>
      </c>
      <c r="AX19" s="503">
        <v>5783</v>
      </c>
      <c r="AY19" s="503">
        <v>15190</v>
      </c>
      <c r="AZ19" s="503">
        <v>28191</v>
      </c>
      <c r="BA19" s="503">
        <v>61587</v>
      </c>
      <c r="BD19" s="52" t="s">
        <v>95</v>
      </c>
      <c r="BE19" s="503">
        <v>11697</v>
      </c>
      <c r="BF19" s="503">
        <v>35019</v>
      </c>
      <c r="BG19" s="503">
        <v>103570</v>
      </c>
      <c r="BH19" s="503">
        <v>238698</v>
      </c>
    </row>
    <row r="20" spans="1:60" x14ac:dyDescent="0.25">
      <c r="A20" t="e">
        <f t="shared" si="13"/>
        <v>#DIV/0!</v>
      </c>
      <c r="B20">
        <v>11</v>
      </c>
      <c r="C20" t="s">
        <v>96</v>
      </c>
      <c r="D20" s="25">
        <f>'Multi-Customer'!C22</f>
        <v>0</v>
      </c>
      <c r="E20">
        <f>'Multi-Customer'!D22</f>
        <v>0</v>
      </c>
      <c r="F20">
        <f>'Multi-Customer'!E22</f>
        <v>0</v>
      </c>
      <c r="G20" s="330">
        <f>'Multi-Customer'!F22</f>
        <v>0</v>
      </c>
      <c r="H20" s="19">
        <f t="shared" si="14"/>
        <v>0</v>
      </c>
      <c r="I20" s="19">
        <f t="shared" si="15"/>
        <v>0</v>
      </c>
      <c r="J20" s="330"/>
      <c r="K20" s="330" t="str">
        <f>'PIM Model'!E18</f>
        <v>INCLUDE</v>
      </c>
      <c r="L20" s="330" t="e">
        <f t="shared" si="0"/>
        <v>#DIV/0!</v>
      </c>
      <c r="M20">
        <v>11</v>
      </c>
      <c r="N20" s="330" t="s">
        <v>96</v>
      </c>
      <c r="O20" s="330" t="e">
        <f t="shared" si="1"/>
        <v>#DIV/0!</v>
      </c>
      <c r="P20" s="330" t="e">
        <f t="shared" si="2"/>
        <v>#DIV/0!</v>
      </c>
      <c r="Q20" s="330" t="e">
        <f t="shared" si="3"/>
        <v>#DIV/0!</v>
      </c>
      <c r="R20" s="330" t="e">
        <f t="shared" si="4"/>
        <v>#DIV/0!</v>
      </c>
      <c r="S20" s="330">
        <f t="shared" si="16"/>
        <v>0</v>
      </c>
      <c r="T20" s="19">
        <f t="shared" si="17"/>
        <v>0</v>
      </c>
      <c r="U20" s="19"/>
      <c r="V20" s="2">
        <f>'PIM Model'!$C$18</f>
        <v>0</v>
      </c>
      <c r="W20" s="613" t="e">
        <f>'Multi-Customer'!M22</f>
        <v>#DIV/0!</v>
      </c>
      <c r="X20" s="19" t="e">
        <f t="shared" si="18"/>
        <v>#DIV/0!</v>
      </c>
      <c r="Y20" s="330" t="e">
        <f t="shared" si="19"/>
        <v>#DIV/0!</v>
      </c>
      <c r="Z20" s="330" t="e">
        <f t="shared" si="20"/>
        <v>#DIV/0!</v>
      </c>
      <c r="AA20" s="330" t="e">
        <f t="shared" si="21"/>
        <v>#DIV/0!</v>
      </c>
      <c r="AB20" s="614" t="e">
        <f t="shared" si="22"/>
        <v>#DIV/0!</v>
      </c>
      <c r="AC20" s="614" t="e">
        <f t="shared" si="23"/>
        <v>#DIV/0!</v>
      </c>
      <c r="AD20" s="330" t="e">
        <f t="shared" si="5"/>
        <v>#DIV/0!</v>
      </c>
      <c r="AE20" s="330"/>
      <c r="AF20" s="330" t="e">
        <f t="shared" si="24"/>
        <v>#DIV/0!</v>
      </c>
      <c r="AG20" s="39">
        <f>'PIM Model'!B18</f>
        <v>0</v>
      </c>
      <c r="AH20" s="470" t="e">
        <f t="shared" si="6"/>
        <v>#DIV/0!</v>
      </c>
      <c r="AI20" s="470" t="e">
        <f t="shared" si="25"/>
        <v>#DIV/0!</v>
      </c>
      <c r="AJ20">
        <v>11</v>
      </c>
      <c r="AK20" s="471" t="s">
        <v>96</v>
      </c>
      <c r="AL20" s="471" t="e">
        <f t="shared" si="7"/>
        <v>#DIV/0!</v>
      </c>
      <c r="AM20" s="471">
        <f t="shared" si="8"/>
        <v>0</v>
      </c>
      <c r="AN20" s="471">
        <f t="shared" si="9"/>
        <v>0</v>
      </c>
      <c r="AO20" s="472">
        <f t="shared" si="10"/>
        <v>0</v>
      </c>
      <c r="AP20" s="472">
        <f t="shared" si="11"/>
        <v>0</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02"/>
      <c r="AW20" s="52" t="s">
        <v>96</v>
      </c>
      <c r="AX20" s="503">
        <v>830</v>
      </c>
      <c r="AY20" s="503">
        <v>2480</v>
      </c>
      <c r="AZ20" s="503">
        <v>6004</v>
      </c>
      <c r="BA20" s="503">
        <v>13761</v>
      </c>
      <c r="BD20" s="52" t="s">
        <v>96</v>
      </c>
      <c r="BE20" s="503">
        <v>1562</v>
      </c>
      <c r="BF20" s="503">
        <v>5701</v>
      </c>
      <c r="BG20" s="503">
        <v>19578</v>
      </c>
      <c r="BH20" s="503">
        <v>45979</v>
      </c>
    </row>
    <row r="21" spans="1:60" x14ac:dyDescent="0.25">
      <c r="A21" t="e">
        <f t="shared" si="13"/>
        <v>#DIV/0!</v>
      </c>
      <c r="B21">
        <v>12</v>
      </c>
      <c r="C21" t="s">
        <v>101</v>
      </c>
      <c r="D21" s="25">
        <f>'Multi-Customer'!C23</f>
        <v>0</v>
      </c>
      <c r="E21">
        <f>'Multi-Customer'!D23</f>
        <v>0</v>
      </c>
      <c r="F21">
        <f>'Multi-Customer'!E23</f>
        <v>0</v>
      </c>
      <c r="G21" s="330">
        <f>'Multi-Customer'!F23</f>
        <v>0</v>
      </c>
      <c r="H21" s="19">
        <f t="shared" si="14"/>
        <v>0</v>
      </c>
      <c r="I21" s="19">
        <f t="shared" si="15"/>
        <v>0</v>
      </c>
      <c r="J21" s="330"/>
      <c r="K21" s="330" t="str">
        <f>'PIM Model'!E19</f>
        <v>INCLUDE</v>
      </c>
      <c r="L21" s="330" t="e">
        <f t="shared" si="0"/>
        <v>#DIV/0!</v>
      </c>
      <c r="M21">
        <v>12</v>
      </c>
      <c r="N21" s="330" t="s">
        <v>101</v>
      </c>
      <c r="O21" s="330" t="e">
        <f t="shared" si="1"/>
        <v>#DIV/0!</v>
      </c>
      <c r="P21" s="330" t="e">
        <f t="shared" si="2"/>
        <v>#DIV/0!</v>
      </c>
      <c r="Q21" s="330" t="e">
        <f t="shared" si="3"/>
        <v>#DIV/0!</v>
      </c>
      <c r="R21" s="330" t="e">
        <f t="shared" si="4"/>
        <v>#DIV/0!</v>
      </c>
      <c r="S21" s="330">
        <f t="shared" si="16"/>
        <v>0</v>
      </c>
      <c r="T21" s="19">
        <f t="shared" si="17"/>
        <v>0</v>
      </c>
      <c r="U21" s="19"/>
      <c r="V21" s="2">
        <f>'PIM Model'!$C$19</f>
        <v>0</v>
      </c>
      <c r="W21" s="613" t="e">
        <f>'Multi-Customer'!M23</f>
        <v>#DIV/0!</v>
      </c>
      <c r="X21" s="19" t="e">
        <f t="shared" si="18"/>
        <v>#DIV/0!</v>
      </c>
      <c r="Y21" s="330" t="e">
        <f t="shared" si="19"/>
        <v>#DIV/0!</v>
      </c>
      <c r="Z21" s="330" t="e">
        <f t="shared" si="20"/>
        <v>#DIV/0!</v>
      </c>
      <c r="AA21" s="330" t="e">
        <f t="shared" si="21"/>
        <v>#DIV/0!</v>
      </c>
      <c r="AB21" s="614" t="e">
        <f t="shared" si="22"/>
        <v>#DIV/0!</v>
      </c>
      <c r="AC21" s="614" t="e">
        <f t="shared" si="23"/>
        <v>#DIV/0!</v>
      </c>
      <c r="AD21" s="330" t="e">
        <f t="shared" si="5"/>
        <v>#DIV/0!</v>
      </c>
      <c r="AE21" s="330"/>
      <c r="AF21" s="330" t="e">
        <f t="shared" si="24"/>
        <v>#DIV/0!</v>
      </c>
      <c r="AG21" s="39">
        <f>'PIM Model'!B19</f>
        <v>0</v>
      </c>
      <c r="AH21" s="470" t="e">
        <f t="shared" si="6"/>
        <v>#DIV/0!</v>
      </c>
      <c r="AI21" s="470" t="e">
        <f t="shared" si="25"/>
        <v>#DIV/0!</v>
      </c>
      <c r="AJ21">
        <v>12</v>
      </c>
      <c r="AK21" s="471" t="s">
        <v>101</v>
      </c>
      <c r="AL21" s="471" t="e">
        <f t="shared" si="7"/>
        <v>#DIV/0!</v>
      </c>
      <c r="AM21" s="471">
        <f t="shared" si="8"/>
        <v>0</v>
      </c>
      <c r="AN21" s="471">
        <f t="shared" si="9"/>
        <v>0</v>
      </c>
      <c r="AO21" s="472">
        <f t="shared" si="10"/>
        <v>0</v>
      </c>
      <c r="AP21" s="472">
        <f t="shared" si="11"/>
        <v>0</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02"/>
      <c r="AW21" s="52" t="s">
        <v>101</v>
      </c>
      <c r="AX21" s="503">
        <v>2353</v>
      </c>
      <c r="AY21" s="503">
        <v>5189</v>
      </c>
      <c r="AZ21" s="503">
        <v>10687</v>
      </c>
      <c r="BA21" s="503">
        <v>23163</v>
      </c>
      <c r="BD21" s="52" t="s">
        <v>101</v>
      </c>
      <c r="BE21" s="503">
        <v>3473</v>
      </c>
      <c r="BF21" s="503">
        <v>9790</v>
      </c>
      <c r="BG21" s="503">
        <v>29037</v>
      </c>
      <c r="BH21" s="503">
        <v>66663</v>
      </c>
    </row>
    <row r="22" spans="1:60" x14ac:dyDescent="0.25">
      <c r="A22" t="e">
        <f t="shared" si="13"/>
        <v>#DIV/0!</v>
      </c>
      <c r="B22">
        <v>13</v>
      </c>
      <c r="C22" t="s">
        <v>97</v>
      </c>
      <c r="D22" s="25">
        <f>'Multi-Customer'!C24</f>
        <v>0</v>
      </c>
      <c r="E22">
        <f>'Multi-Customer'!D24</f>
        <v>0</v>
      </c>
      <c r="F22">
        <f>'Multi-Customer'!E24</f>
        <v>0</v>
      </c>
      <c r="G22" s="330">
        <f>'Multi-Customer'!F24</f>
        <v>0</v>
      </c>
      <c r="H22" s="19">
        <f t="shared" si="14"/>
        <v>0</v>
      </c>
      <c r="I22" s="19">
        <f t="shared" si="15"/>
        <v>0</v>
      </c>
      <c r="J22" s="330"/>
      <c r="K22" s="330" t="str">
        <f>'PIM Model'!E20</f>
        <v>INCLUDE</v>
      </c>
      <c r="L22" s="330" t="e">
        <f t="shared" si="0"/>
        <v>#DIV/0!</v>
      </c>
      <c r="M22">
        <v>13</v>
      </c>
      <c r="N22" s="330" t="s">
        <v>97</v>
      </c>
      <c r="O22" s="330" t="e">
        <f t="shared" si="1"/>
        <v>#DIV/0!</v>
      </c>
      <c r="P22" s="330" t="e">
        <f t="shared" si="2"/>
        <v>#DIV/0!</v>
      </c>
      <c r="Q22" s="330" t="e">
        <f t="shared" si="3"/>
        <v>#DIV/0!</v>
      </c>
      <c r="R22" s="330" t="e">
        <f t="shared" si="4"/>
        <v>#DIV/0!</v>
      </c>
      <c r="S22" s="330">
        <f t="shared" si="16"/>
        <v>0</v>
      </c>
      <c r="T22" s="19">
        <f t="shared" si="17"/>
        <v>0</v>
      </c>
      <c r="U22" s="19"/>
      <c r="V22" s="2">
        <f>'PIM Model'!$C$20</f>
        <v>0</v>
      </c>
      <c r="W22" s="613" t="e">
        <f>'Multi-Customer'!M24</f>
        <v>#DIV/0!</v>
      </c>
      <c r="X22" s="19" t="e">
        <f t="shared" si="18"/>
        <v>#DIV/0!</v>
      </c>
      <c r="Y22" s="330" t="e">
        <f t="shared" si="19"/>
        <v>#DIV/0!</v>
      </c>
      <c r="Z22" s="330" t="e">
        <f t="shared" si="20"/>
        <v>#DIV/0!</v>
      </c>
      <c r="AA22" s="330" t="e">
        <f t="shared" si="21"/>
        <v>#DIV/0!</v>
      </c>
      <c r="AB22" s="614" t="e">
        <f t="shared" si="22"/>
        <v>#DIV/0!</v>
      </c>
      <c r="AC22" s="614" t="e">
        <f t="shared" si="23"/>
        <v>#DIV/0!</v>
      </c>
      <c r="AD22" s="330" t="e">
        <f t="shared" si="5"/>
        <v>#DIV/0!</v>
      </c>
      <c r="AE22" s="330"/>
      <c r="AF22" s="330" t="e">
        <f t="shared" si="24"/>
        <v>#DIV/0!</v>
      </c>
      <c r="AG22" s="39">
        <f>'PIM Model'!B20</f>
        <v>0</v>
      </c>
      <c r="AH22" s="470" t="e">
        <f t="shared" si="6"/>
        <v>#DIV/0!</v>
      </c>
      <c r="AI22" s="470" t="e">
        <f t="shared" si="25"/>
        <v>#DIV/0!</v>
      </c>
      <c r="AJ22">
        <v>13</v>
      </c>
      <c r="AK22" s="471" t="s">
        <v>97</v>
      </c>
      <c r="AL22" s="471" t="e">
        <f t="shared" si="7"/>
        <v>#DIV/0!</v>
      </c>
      <c r="AM22" s="471">
        <f t="shared" si="8"/>
        <v>0</v>
      </c>
      <c r="AN22" s="471">
        <f t="shared" si="9"/>
        <v>0</v>
      </c>
      <c r="AO22" s="472">
        <f t="shared" si="10"/>
        <v>0</v>
      </c>
      <c r="AP22" s="472">
        <f t="shared" si="11"/>
        <v>0</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02"/>
      <c r="AW22" s="52" t="s">
        <v>97</v>
      </c>
      <c r="AX22" s="503">
        <v>26250</v>
      </c>
      <c r="AY22" s="503">
        <v>37715</v>
      </c>
      <c r="AZ22" s="503">
        <v>54986</v>
      </c>
      <c r="BA22" s="503">
        <v>98006</v>
      </c>
      <c r="BD22" s="52" t="s">
        <v>97</v>
      </c>
      <c r="BE22" s="503">
        <v>34732</v>
      </c>
      <c r="BF22" s="503">
        <v>78310</v>
      </c>
      <c r="BG22" s="503">
        <v>203159</v>
      </c>
      <c r="BH22" s="503">
        <v>451886</v>
      </c>
    </row>
    <row r="23" spans="1:60" x14ac:dyDescent="0.25">
      <c r="A23" t="e">
        <f t="shared" si="13"/>
        <v>#DIV/0!</v>
      </c>
      <c r="B23">
        <v>14</v>
      </c>
      <c r="C23" t="s">
        <v>93</v>
      </c>
      <c r="D23" s="25">
        <f>'Multi-Customer'!C25</f>
        <v>0</v>
      </c>
      <c r="E23">
        <f>'Multi-Customer'!D25</f>
        <v>0</v>
      </c>
      <c r="F23">
        <f>'Multi-Customer'!E25</f>
        <v>0</v>
      </c>
      <c r="G23" s="330">
        <f>'Multi-Customer'!F25</f>
        <v>0</v>
      </c>
      <c r="H23" s="19">
        <f t="shared" si="14"/>
        <v>0</v>
      </c>
      <c r="I23" s="19">
        <f t="shared" si="15"/>
        <v>0</v>
      </c>
      <c r="J23" s="330"/>
      <c r="K23" s="330" t="str">
        <f>'PIM Model'!E21</f>
        <v>INCLUDE</v>
      </c>
      <c r="L23" s="330" t="e">
        <f t="shared" si="0"/>
        <v>#DIV/0!</v>
      </c>
      <c r="M23">
        <v>14</v>
      </c>
      <c r="N23" s="330" t="s">
        <v>93</v>
      </c>
      <c r="O23" s="330" t="e">
        <f t="shared" si="1"/>
        <v>#DIV/0!</v>
      </c>
      <c r="P23" s="330" t="e">
        <f t="shared" si="2"/>
        <v>#DIV/0!</v>
      </c>
      <c r="Q23" s="330" t="e">
        <f t="shared" si="3"/>
        <v>#DIV/0!</v>
      </c>
      <c r="R23" s="330" t="e">
        <f t="shared" si="4"/>
        <v>#DIV/0!</v>
      </c>
      <c r="S23" s="330">
        <f t="shared" si="16"/>
        <v>0</v>
      </c>
      <c r="T23" s="19">
        <f t="shared" si="17"/>
        <v>0</v>
      </c>
      <c r="U23" s="19"/>
      <c r="V23" s="2">
        <f>'PIM Model'!$C$21</f>
        <v>0</v>
      </c>
      <c r="W23" s="613" t="e">
        <f>'Multi-Customer'!M25</f>
        <v>#DIV/0!</v>
      </c>
      <c r="X23" s="19" t="e">
        <f t="shared" si="18"/>
        <v>#DIV/0!</v>
      </c>
      <c r="Y23" s="330" t="e">
        <f t="shared" si="19"/>
        <v>#DIV/0!</v>
      </c>
      <c r="Z23" s="330" t="e">
        <f t="shared" si="20"/>
        <v>#DIV/0!</v>
      </c>
      <c r="AA23" s="330" t="e">
        <f t="shared" si="21"/>
        <v>#DIV/0!</v>
      </c>
      <c r="AB23" s="614" t="e">
        <f t="shared" si="22"/>
        <v>#DIV/0!</v>
      </c>
      <c r="AC23" s="614" t="e">
        <f t="shared" si="23"/>
        <v>#DIV/0!</v>
      </c>
      <c r="AD23" s="330" t="e">
        <f t="shared" si="5"/>
        <v>#DIV/0!</v>
      </c>
      <c r="AE23" s="330"/>
      <c r="AF23" s="330" t="e">
        <f t="shared" si="24"/>
        <v>#DIV/0!</v>
      </c>
      <c r="AG23" s="39">
        <f>'PIM Model'!B21</f>
        <v>0</v>
      </c>
      <c r="AH23" s="470" t="e">
        <f t="shared" si="6"/>
        <v>#DIV/0!</v>
      </c>
      <c r="AI23" s="470" t="e">
        <f t="shared" si="25"/>
        <v>#DIV/0!</v>
      </c>
      <c r="AJ23">
        <v>14</v>
      </c>
      <c r="AK23" s="471" t="s">
        <v>93</v>
      </c>
      <c r="AL23" s="471" t="e">
        <f t="shared" si="7"/>
        <v>#DIV/0!</v>
      </c>
      <c r="AM23" s="471">
        <f t="shared" si="8"/>
        <v>0</v>
      </c>
      <c r="AN23" s="471">
        <f t="shared" si="9"/>
        <v>0</v>
      </c>
      <c r="AO23" s="472">
        <f t="shared" si="10"/>
        <v>0</v>
      </c>
      <c r="AP23" s="472">
        <f t="shared" si="11"/>
        <v>0</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02"/>
      <c r="AW23" s="52" t="s">
        <v>93</v>
      </c>
      <c r="AX23" s="503">
        <v>9242</v>
      </c>
      <c r="AY23" s="503">
        <v>18705</v>
      </c>
      <c r="AZ23" s="503">
        <v>31626</v>
      </c>
      <c r="BA23" s="503">
        <v>65192</v>
      </c>
      <c r="BD23" s="52" t="s">
        <v>93</v>
      </c>
      <c r="BE23" s="503">
        <v>19767</v>
      </c>
      <c r="BF23" s="503">
        <v>50065</v>
      </c>
      <c r="BG23" s="503">
        <v>124322</v>
      </c>
      <c r="BH23" s="503">
        <v>278212</v>
      </c>
    </row>
    <row r="24" spans="1:60" x14ac:dyDescent="0.25">
      <c r="A24" t="e">
        <f t="shared" si="13"/>
        <v>#DIV/0!</v>
      </c>
      <c r="B24">
        <v>15</v>
      </c>
      <c r="C24" t="s">
        <v>105</v>
      </c>
      <c r="D24" s="25">
        <f>'Multi-Customer'!C26</f>
        <v>0</v>
      </c>
      <c r="E24">
        <f>'Multi-Customer'!D26</f>
        <v>0</v>
      </c>
      <c r="F24">
        <f>'Multi-Customer'!E26</f>
        <v>0</v>
      </c>
      <c r="G24" s="330">
        <f>'Multi-Customer'!F26</f>
        <v>0</v>
      </c>
      <c r="H24" s="19">
        <f t="shared" si="14"/>
        <v>0</v>
      </c>
      <c r="I24" s="19">
        <f t="shared" si="15"/>
        <v>0</v>
      </c>
      <c r="J24" s="330"/>
      <c r="K24" s="330" t="str">
        <f>'PIM Model'!E22</f>
        <v>INCLUDE</v>
      </c>
      <c r="L24" s="330" t="e">
        <f t="shared" si="0"/>
        <v>#DIV/0!</v>
      </c>
      <c r="M24">
        <v>15</v>
      </c>
      <c r="N24" s="330" t="s">
        <v>105</v>
      </c>
      <c r="O24" s="330" t="e">
        <f t="shared" si="1"/>
        <v>#DIV/0!</v>
      </c>
      <c r="P24" s="330" t="e">
        <f t="shared" si="2"/>
        <v>#DIV/0!</v>
      </c>
      <c r="Q24" s="330" t="e">
        <f t="shared" si="3"/>
        <v>#DIV/0!</v>
      </c>
      <c r="R24" s="330" t="e">
        <f t="shared" si="4"/>
        <v>#DIV/0!</v>
      </c>
      <c r="S24" s="330">
        <f t="shared" si="16"/>
        <v>0</v>
      </c>
      <c r="T24" s="19">
        <f t="shared" si="17"/>
        <v>0</v>
      </c>
      <c r="U24" s="19"/>
      <c r="V24" s="2">
        <f>'PIM Model'!$C$22</f>
        <v>0</v>
      </c>
      <c r="W24" s="613" t="e">
        <f>'Multi-Customer'!M26</f>
        <v>#DIV/0!</v>
      </c>
      <c r="X24" s="19" t="e">
        <f t="shared" si="18"/>
        <v>#DIV/0!</v>
      </c>
      <c r="Y24" s="330" t="e">
        <f t="shared" si="19"/>
        <v>#DIV/0!</v>
      </c>
      <c r="Z24" s="330" t="e">
        <f t="shared" si="20"/>
        <v>#DIV/0!</v>
      </c>
      <c r="AA24" s="330" t="e">
        <f t="shared" si="21"/>
        <v>#DIV/0!</v>
      </c>
      <c r="AB24" s="614" t="e">
        <f t="shared" si="22"/>
        <v>#DIV/0!</v>
      </c>
      <c r="AC24" s="614" t="e">
        <f t="shared" si="23"/>
        <v>#DIV/0!</v>
      </c>
      <c r="AD24" s="330" t="e">
        <f t="shared" si="5"/>
        <v>#DIV/0!</v>
      </c>
      <c r="AE24" s="330"/>
      <c r="AF24" s="330" t="e">
        <f t="shared" si="24"/>
        <v>#DIV/0!</v>
      </c>
      <c r="AG24" s="39">
        <f>'PIM Model'!B22</f>
        <v>0</v>
      </c>
      <c r="AH24" s="470" t="e">
        <f t="shared" si="6"/>
        <v>#DIV/0!</v>
      </c>
      <c r="AI24" s="470" t="e">
        <f t="shared" si="25"/>
        <v>#DIV/0!</v>
      </c>
      <c r="AJ24">
        <v>15</v>
      </c>
      <c r="AK24" s="471" t="s">
        <v>105</v>
      </c>
      <c r="AL24" s="471" t="e">
        <f t="shared" si="7"/>
        <v>#DIV/0!</v>
      </c>
      <c r="AM24" s="471">
        <f t="shared" si="8"/>
        <v>0</v>
      </c>
      <c r="AN24" s="471">
        <f t="shared" si="9"/>
        <v>0</v>
      </c>
      <c r="AO24" s="472">
        <f t="shared" si="10"/>
        <v>0</v>
      </c>
      <c r="AP24" s="472">
        <f t="shared" si="11"/>
        <v>0</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02"/>
      <c r="AW24" s="52" t="s">
        <v>105</v>
      </c>
      <c r="AX24" s="503">
        <v>142</v>
      </c>
      <c r="AY24" s="503">
        <v>469</v>
      </c>
      <c r="AZ24" s="503">
        <v>1089</v>
      </c>
      <c r="BA24" s="503">
        <v>2473</v>
      </c>
      <c r="BD24" s="52" t="s">
        <v>105</v>
      </c>
      <c r="BE24" s="503">
        <v>179</v>
      </c>
      <c r="BF24" s="503">
        <v>732</v>
      </c>
      <c r="BG24" s="503">
        <v>2385</v>
      </c>
      <c r="BH24" s="503">
        <v>5645</v>
      </c>
    </row>
    <row r="25" spans="1:60" x14ac:dyDescent="0.25">
      <c r="A25" t="e">
        <f t="shared" si="13"/>
        <v>#DIV/0!</v>
      </c>
      <c r="B25">
        <v>16</v>
      </c>
      <c r="C25" t="s">
        <v>92</v>
      </c>
      <c r="D25" s="25">
        <f>'Multi-Customer'!C27</f>
        <v>0</v>
      </c>
      <c r="E25">
        <f>'Multi-Customer'!D27</f>
        <v>0</v>
      </c>
      <c r="F25">
        <f>'Multi-Customer'!E27</f>
        <v>0</v>
      </c>
      <c r="G25" s="330">
        <f>'Multi-Customer'!F27</f>
        <v>0</v>
      </c>
      <c r="H25" s="19">
        <f>IFERROR(D25/E25,0)</f>
        <v>0</v>
      </c>
      <c r="I25" s="19">
        <f>IFERROR(D25/G25,0)</f>
        <v>0</v>
      </c>
      <c r="J25" s="330"/>
      <c r="K25" s="330" t="str">
        <f>'PIM Model'!E23</f>
        <v>INCLUDE</v>
      </c>
      <c r="L25" s="330" t="e">
        <f t="shared" si="0"/>
        <v>#DIV/0!</v>
      </c>
      <c r="M25">
        <v>16</v>
      </c>
      <c r="N25" s="330" t="s">
        <v>92</v>
      </c>
      <c r="O25" s="330" t="e">
        <f t="shared" si="1"/>
        <v>#DIV/0!</v>
      </c>
      <c r="P25" s="330" t="e">
        <f t="shared" si="2"/>
        <v>#DIV/0!</v>
      </c>
      <c r="Q25" s="330" t="e">
        <f t="shared" si="3"/>
        <v>#DIV/0!</v>
      </c>
      <c r="R25" s="330" t="e">
        <f t="shared" si="4"/>
        <v>#DIV/0!</v>
      </c>
      <c r="S25" s="330">
        <f t="shared" si="16"/>
        <v>0</v>
      </c>
      <c r="T25" s="19">
        <f t="shared" si="17"/>
        <v>0</v>
      </c>
      <c r="U25" s="19"/>
      <c r="V25" s="2">
        <f>'PIM Model'!$C$23</f>
        <v>0</v>
      </c>
      <c r="W25" s="613" t="e">
        <f>'Multi-Customer'!M27</f>
        <v>#DIV/0!</v>
      </c>
      <c r="X25" s="19" t="e">
        <f t="shared" si="18"/>
        <v>#DIV/0!</v>
      </c>
      <c r="Y25" s="330" t="e">
        <f t="shared" si="19"/>
        <v>#DIV/0!</v>
      </c>
      <c r="Z25" s="330" t="e">
        <f t="shared" si="20"/>
        <v>#DIV/0!</v>
      </c>
      <c r="AA25" s="330" t="e">
        <f t="shared" si="21"/>
        <v>#DIV/0!</v>
      </c>
      <c r="AB25" s="614" t="e">
        <f t="shared" si="22"/>
        <v>#DIV/0!</v>
      </c>
      <c r="AC25" s="614" t="e">
        <f t="shared" si="23"/>
        <v>#DIV/0!</v>
      </c>
      <c r="AD25" s="330" t="e">
        <f t="shared" si="5"/>
        <v>#DIV/0!</v>
      </c>
      <c r="AE25" s="330"/>
      <c r="AF25" s="330" t="e">
        <f t="shared" si="24"/>
        <v>#DIV/0!</v>
      </c>
      <c r="AG25" s="39">
        <f>'PIM Model'!B23</f>
        <v>0</v>
      </c>
      <c r="AH25" s="470" t="e">
        <f t="shared" si="6"/>
        <v>#DIV/0!</v>
      </c>
      <c r="AI25" s="470" t="e">
        <f t="shared" si="25"/>
        <v>#DIV/0!</v>
      </c>
      <c r="AJ25">
        <v>16</v>
      </c>
      <c r="AK25" s="471" t="s">
        <v>92</v>
      </c>
      <c r="AL25" s="471" t="e">
        <f t="shared" si="7"/>
        <v>#DIV/0!</v>
      </c>
      <c r="AM25" s="471">
        <f t="shared" si="8"/>
        <v>0</v>
      </c>
      <c r="AN25" s="471">
        <f t="shared" si="9"/>
        <v>0</v>
      </c>
      <c r="AO25" s="472">
        <f t="shared" si="10"/>
        <v>0</v>
      </c>
      <c r="AP25" s="472">
        <f t="shared" si="11"/>
        <v>0</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02"/>
      <c r="AW25" s="52" t="s">
        <v>92</v>
      </c>
      <c r="AX25" s="503">
        <v>6610</v>
      </c>
      <c r="AY25" s="503">
        <v>11026</v>
      </c>
      <c r="AZ25" s="503">
        <v>16902</v>
      </c>
      <c r="BA25" s="503">
        <v>32235</v>
      </c>
      <c r="BD25" s="52" t="s">
        <v>92</v>
      </c>
      <c r="BE25" s="503">
        <v>7323</v>
      </c>
      <c r="BF25" s="503">
        <v>19194</v>
      </c>
      <c r="BG25" s="503">
        <v>47517</v>
      </c>
      <c r="BH25" s="503">
        <v>107183</v>
      </c>
    </row>
    <row r="26" spans="1:60" x14ac:dyDescent="0.25">
      <c r="A26" t="e">
        <f t="shared" si="13"/>
        <v>#DIV/0!</v>
      </c>
      <c r="B26">
        <v>17</v>
      </c>
      <c r="C26" t="s">
        <v>91</v>
      </c>
      <c r="D26" s="25">
        <f>'Multi-Customer'!C28</f>
        <v>0</v>
      </c>
      <c r="E26">
        <f>'Multi-Customer'!D28</f>
        <v>0</v>
      </c>
      <c r="F26">
        <f>'Multi-Customer'!E28</f>
        <v>0</v>
      </c>
      <c r="G26" s="330">
        <f>'Multi-Customer'!F28</f>
        <v>0</v>
      </c>
      <c r="H26" s="19">
        <f t="shared" si="14"/>
        <v>0</v>
      </c>
      <c r="I26" s="19">
        <f t="shared" si="15"/>
        <v>0</v>
      </c>
      <c r="J26" s="330"/>
      <c r="K26" s="330" t="str">
        <f>'PIM Model'!E24</f>
        <v>INCLUDE</v>
      </c>
      <c r="L26" s="330" t="e">
        <f t="shared" si="0"/>
        <v>#DIV/0!</v>
      </c>
      <c r="M26">
        <v>17</v>
      </c>
      <c r="N26" s="330" t="s">
        <v>91</v>
      </c>
      <c r="O26" s="330" t="e">
        <f t="shared" si="1"/>
        <v>#DIV/0!</v>
      </c>
      <c r="P26" s="330" t="e">
        <f t="shared" si="2"/>
        <v>#DIV/0!</v>
      </c>
      <c r="Q26" s="330" t="e">
        <f t="shared" si="3"/>
        <v>#DIV/0!</v>
      </c>
      <c r="R26" s="330" t="e">
        <f t="shared" si="4"/>
        <v>#DIV/0!</v>
      </c>
      <c r="S26" s="330">
        <f t="shared" si="16"/>
        <v>0</v>
      </c>
      <c r="T26" s="19">
        <f t="shared" si="17"/>
        <v>0</v>
      </c>
      <c r="U26" s="19"/>
      <c r="V26" s="2">
        <f>'PIM Model'!$C$24</f>
        <v>0</v>
      </c>
      <c r="W26" s="613" t="e">
        <f>'Multi-Customer'!M28</f>
        <v>#DIV/0!</v>
      </c>
      <c r="X26" s="19" t="e">
        <f t="shared" si="18"/>
        <v>#DIV/0!</v>
      </c>
      <c r="Y26" s="330" t="e">
        <f t="shared" si="19"/>
        <v>#DIV/0!</v>
      </c>
      <c r="Z26" s="330" t="e">
        <f t="shared" si="20"/>
        <v>#DIV/0!</v>
      </c>
      <c r="AA26" s="330" t="e">
        <f t="shared" si="21"/>
        <v>#DIV/0!</v>
      </c>
      <c r="AB26" s="614" t="e">
        <f t="shared" si="22"/>
        <v>#DIV/0!</v>
      </c>
      <c r="AC26" s="614" t="e">
        <f t="shared" si="23"/>
        <v>#DIV/0!</v>
      </c>
      <c r="AD26" s="330" t="e">
        <f t="shared" si="5"/>
        <v>#DIV/0!</v>
      </c>
      <c r="AE26" s="330"/>
      <c r="AF26" s="330" t="e">
        <f t="shared" si="24"/>
        <v>#DIV/0!</v>
      </c>
      <c r="AG26" s="39">
        <f>'PIM Model'!B24</f>
        <v>0</v>
      </c>
      <c r="AH26" s="470" t="e">
        <f t="shared" si="6"/>
        <v>#DIV/0!</v>
      </c>
      <c r="AI26" s="470" t="e">
        <f t="shared" si="25"/>
        <v>#DIV/0!</v>
      </c>
      <c r="AJ26">
        <v>17</v>
      </c>
      <c r="AK26" s="471" t="s">
        <v>91</v>
      </c>
      <c r="AL26" s="471" t="e">
        <f t="shared" si="7"/>
        <v>#DIV/0!</v>
      </c>
      <c r="AM26" s="471">
        <f t="shared" si="8"/>
        <v>0</v>
      </c>
      <c r="AN26" s="471">
        <f t="shared" si="9"/>
        <v>0</v>
      </c>
      <c r="AO26" s="472">
        <f t="shared" si="10"/>
        <v>0</v>
      </c>
      <c r="AP26" s="472">
        <f t="shared" si="11"/>
        <v>0</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02"/>
      <c r="AW26" s="52" t="s">
        <v>91</v>
      </c>
      <c r="AX26" s="503">
        <v>7459</v>
      </c>
      <c r="AY26" s="503">
        <v>15542</v>
      </c>
      <c r="AZ26" s="503">
        <v>28734</v>
      </c>
      <c r="BA26" s="503">
        <v>60450</v>
      </c>
      <c r="BD26" s="52" t="s">
        <v>91</v>
      </c>
      <c r="BE26" s="503">
        <v>13315</v>
      </c>
      <c r="BF26" s="503">
        <v>33760</v>
      </c>
      <c r="BG26" s="503">
        <v>91382</v>
      </c>
      <c r="BH26" s="503">
        <v>208294</v>
      </c>
    </row>
    <row r="27" spans="1:60" x14ac:dyDescent="0.25">
      <c r="A27" t="e">
        <f t="shared" si="13"/>
        <v>#DIV/0!</v>
      </c>
      <c r="B27">
        <v>18</v>
      </c>
      <c r="C27" t="s">
        <v>90</v>
      </c>
      <c r="D27" s="25">
        <f>'Multi-Customer'!C29</f>
        <v>0</v>
      </c>
      <c r="E27">
        <f>'Multi-Customer'!D29</f>
        <v>0</v>
      </c>
      <c r="F27">
        <f>'Multi-Customer'!E29</f>
        <v>0</v>
      </c>
      <c r="G27" s="330">
        <f>'Multi-Customer'!F29</f>
        <v>0</v>
      </c>
      <c r="H27" s="19">
        <f t="shared" si="14"/>
        <v>0</v>
      </c>
      <c r="I27" s="19">
        <f t="shared" si="15"/>
        <v>0</v>
      </c>
      <c r="J27" s="330"/>
      <c r="K27" s="330" t="str">
        <f>'PIM Model'!E25</f>
        <v>INCLUDE</v>
      </c>
      <c r="L27" s="330" t="e">
        <f t="shared" si="0"/>
        <v>#DIV/0!</v>
      </c>
      <c r="M27">
        <v>18</v>
      </c>
      <c r="N27" s="330" t="s">
        <v>90</v>
      </c>
      <c r="O27" s="330" t="e">
        <f t="shared" si="1"/>
        <v>#DIV/0!</v>
      </c>
      <c r="P27" s="330" t="e">
        <f t="shared" si="2"/>
        <v>#DIV/0!</v>
      </c>
      <c r="Q27" s="330" t="e">
        <f t="shared" si="3"/>
        <v>#DIV/0!</v>
      </c>
      <c r="R27" s="330" t="e">
        <f t="shared" si="4"/>
        <v>#DIV/0!</v>
      </c>
      <c r="S27" s="330">
        <f t="shared" si="16"/>
        <v>0</v>
      </c>
      <c r="T27" s="19">
        <f t="shared" si="17"/>
        <v>0</v>
      </c>
      <c r="U27" s="19"/>
      <c r="V27" s="2">
        <f>'PIM Model'!$C$25</f>
        <v>0</v>
      </c>
      <c r="W27" s="613" t="e">
        <f>'Multi-Customer'!M29</f>
        <v>#DIV/0!</v>
      </c>
      <c r="X27" s="19" t="e">
        <f t="shared" si="18"/>
        <v>#DIV/0!</v>
      </c>
      <c r="Y27" s="330" t="e">
        <f t="shared" si="19"/>
        <v>#DIV/0!</v>
      </c>
      <c r="Z27" s="330" t="e">
        <f t="shared" si="20"/>
        <v>#DIV/0!</v>
      </c>
      <c r="AA27" s="330" t="e">
        <f t="shared" si="21"/>
        <v>#DIV/0!</v>
      </c>
      <c r="AB27" s="614" t="e">
        <f t="shared" si="22"/>
        <v>#DIV/0!</v>
      </c>
      <c r="AC27" s="614" t="e">
        <f t="shared" si="23"/>
        <v>#DIV/0!</v>
      </c>
      <c r="AD27" s="330" t="e">
        <f t="shared" si="5"/>
        <v>#DIV/0!</v>
      </c>
      <c r="AE27" s="330"/>
      <c r="AF27" s="330" t="e">
        <f t="shared" si="24"/>
        <v>#DIV/0!</v>
      </c>
      <c r="AG27" s="39">
        <f>'PIM Model'!B25</f>
        <v>0</v>
      </c>
      <c r="AH27" s="470" t="e">
        <f t="shared" si="6"/>
        <v>#DIV/0!</v>
      </c>
      <c r="AI27" s="470" t="e">
        <f t="shared" si="25"/>
        <v>#DIV/0!</v>
      </c>
      <c r="AJ27">
        <v>18</v>
      </c>
      <c r="AK27" s="471" t="s">
        <v>90</v>
      </c>
      <c r="AL27" s="471" t="e">
        <f t="shared" si="7"/>
        <v>#DIV/0!</v>
      </c>
      <c r="AM27" s="471">
        <f t="shared" si="8"/>
        <v>0</v>
      </c>
      <c r="AN27" s="471">
        <f t="shared" si="9"/>
        <v>0</v>
      </c>
      <c r="AO27" s="472">
        <f t="shared" si="10"/>
        <v>0</v>
      </c>
      <c r="AP27" s="472">
        <f t="shared" si="11"/>
        <v>0</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02"/>
      <c r="AW27" s="52" t="s">
        <v>90</v>
      </c>
      <c r="AX27" s="503">
        <v>17969</v>
      </c>
      <c r="AY27" s="503">
        <v>34626</v>
      </c>
      <c r="AZ27" s="503">
        <v>59214</v>
      </c>
      <c r="BA27" s="503">
        <v>120996</v>
      </c>
      <c r="BD27" s="52" t="s">
        <v>90</v>
      </c>
      <c r="BE27" s="503">
        <v>25337</v>
      </c>
      <c r="BF27" s="503">
        <v>62445</v>
      </c>
      <c r="BG27" s="503">
        <v>178249</v>
      </c>
      <c r="BH27" s="503">
        <v>407116</v>
      </c>
    </row>
    <row r="28" spans="1:60" x14ac:dyDescent="0.25">
      <c r="A28" t="e">
        <f t="shared" si="13"/>
        <v>#DIV/0!</v>
      </c>
      <c r="B28">
        <v>19</v>
      </c>
      <c r="C28" t="s">
        <v>89</v>
      </c>
      <c r="D28" s="25">
        <f>'Multi-Customer'!C30</f>
        <v>0</v>
      </c>
      <c r="E28">
        <f>'Multi-Customer'!D30</f>
        <v>0</v>
      </c>
      <c r="F28">
        <f>'Multi-Customer'!E30</f>
        <v>0</v>
      </c>
      <c r="G28" s="330">
        <f>'Multi-Customer'!F30</f>
        <v>0</v>
      </c>
      <c r="H28" s="19">
        <f t="shared" si="14"/>
        <v>0</v>
      </c>
      <c r="I28" s="19">
        <f t="shared" si="15"/>
        <v>0</v>
      </c>
      <c r="J28" s="330"/>
      <c r="K28" s="330" t="str">
        <f>'PIM Model'!E26</f>
        <v>INCLUDE</v>
      </c>
      <c r="L28" s="330" t="e">
        <f t="shared" si="0"/>
        <v>#DIV/0!</v>
      </c>
      <c r="M28">
        <v>19</v>
      </c>
      <c r="N28" s="330" t="s">
        <v>89</v>
      </c>
      <c r="O28" s="330" t="e">
        <f t="shared" si="1"/>
        <v>#DIV/0!</v>
      </c>
      <c r="P28" s="330" t="e">
        <f t="shared" si="2"/>
        <v>#DIV/0!</v>
      </c>
      <c r="Q28" s="330" t="e">
        <f t="shared" si="3"/>
        <v>#DIV/0!</v>
      </c>
      <c r="R28" s="330" t="e">
        <f t="shared" si="4"/>
        <v>#DIV/0!</v>
      </c>
      <c r="S28" s="330">
        <f t="shared" si="16"/>
        <v>0</v>
      </c>
      <c r="T28" s="19">
        <f t="shared" si="17"/>
        <v>0</v>
      </c>
      <c r="U28" s="19"/>
      <c r="V28" s="2">
        <f>'PIM Model'!$C$26</f>
        <v>0</v>
      </c>
      <c r="W28" s="613" t="e">
        <f>'Multi-Customer'!M30</f>
        <v>#DIV/0!</v>
      </c>
      <c r="X28" s="19" t="e">
        <f t="shared" si="18"/>
        <v>#DIV/0!</v>
      </c>
      <c r="Y28" s="330" t="e">
        <f t="shared" si="19"/>
        <v>#DIV/0!</v>
      </c>
      <c r="Z28" s="330" t="e">
        <f t="shared" si="20"/>
        <v>#DIV/0!</v>
      </c>
      <c r="AA28" s="330" t="e">
        <f t="shared" si="21"/>
        <v>#DIV/0!</v>
      </c>
      <c r="AB28" s="614" t="e">
        <f t="shared" si="22"/>
        <v>#DIV/0!</v>
      </c>
      <c r="AC28" s="614" t="e">
        <f t="shared" si="23"/>
        <v>#DIV/0!</v>
      </c>
      <c r="AD28" s="330" t="e">
        <f t="shared" si="5"/>
        <v>#DIV/0!</v>
      </c>
      <c r="AE28" s="330"/>
      <c r="AF28" s="330" t="e">
        <f t="shared" si="24"/>
        <v>#DIV/0!</v>
      </c>
      <c r="AG28" s="39">
        <f>'PIM Model'!B26</f>
        <v>0</v>
      </c>
      <c r="AH28" s="470" t="e">
        <f t="shared" si="6"/>
        <v>#DIV/0!</v>
      </c>
      <c r="AI28" s="470" t="e">
        <f t="shared" si="25"/>
        <v>#DIV/0!</v>
      </c>
      <c r="AJ28">
        <v>19</v>
      </c>
      <c r="AK28" s="471" t="s">
        <v>89</v>
      </c>
      <c r="AL28" s="471" t="e">
        <f t="shared" si="7"/>
        <v>#DIV/0!</v>
      </c>
      <c r="AM28" s="471">
        <f t="shared" si="8"/>
        <v>0</v>
      </c>
      <c r="AN28" s="471">
        <f t="shared" si="9"/>
        <v>0</v>
      </c>
      <c r="AO28" s="472">
        <f t="shared" si="10"/>
        <v>0</v>
      </c>
      <c r="AP28" s="472">
        <f t="shared" si="11"/>
        <v>0</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02"/>
      <c r="AW28" s="52" t="s">
        <v>89</v>
      </c>
      <c r="AX28" s="503">
        <v>1058</v>
      </c>
      <c r="AY28" s="503">
        <v>3034</v>
      </c>
      <c r="AZ28" s="503">
        <v>8013</v>
      </c>
      <c r="BA28" s="503">
        <v>18443</v>
      </c>
      <c r="BD28" s="52" t="s">
        <v>89</v>
      </c>
      <c r="BE28" s="503">
        <v>2315</v>
      </c>
      <c r="BF28" s="503">
        <v>7746</v>
      </c>
      <c r="BG28" s="503">
        <v>24790</v>
      </c>
      <c r="BH28" s="503">
        <v>58388</v>
      </c>
    </row>
    <row r="29" spans="1:60" x14ac:dyDescent="0.25">
      <c r="A29" t="e">
        <f t="shared" si="13"/>
        <v>#DIV/0!</v>
      </c>
      <c r="B29">
        <v>20</v>
      </c>
      <c r="C29" t="s">
        <v>94</v>
      </c>
      <c r="D29" s="25">
        <f>'Multi-Customer'!C31</f>
        <v>0</v>
      </c>
      <c r="E29">
        <f>'Multi-Customer'!D31</f>
        <v>0</v>
      </c>
      <c r="F29">
        <f>'Multi-Customer'!E31</f>
        <v>0</v>
      </c>
      <c r="G29" s="330">
        <f>'Multi-Customer'!F31</f>
        <v>0</v>
      </c>
      <c r="H29" s="19">
        <f t="shared" si="14"/>
        <v>0</v>
      </c>
      <c r="I29" s="19">
        <f t="shared" si="15"/>
        <v>0</v>
      </c>
      <c r="J29" s="330"/>
      <c r="K29" s="330" t="str">
        <f>'PIM Model'!E27</f>
        <v>INCLUDE</v>
      </c>
      <c r="L29" s="330" t="e">
        <f t="shared" si="0"/>
        <v>#DIV/0!</v>
      </c>
      <c r="M29">
        <v>20</v>
      </c>
      <c r="N29" s="330" t="s">
        <v>94</v>
      </c>
      <c r="O29" s="330" t="e">
        <f t="shared" si="1"/>
        <v>#DIV/0!</v>
      </c>
      <c r="P29" s="330" t="e">
        <f t="shared" si="2"/>
        <v>#DIV/0!</v>
      </c>
      <c r="Q29" s="330" t="e">
        <f t="shared" si="3"/>
        <v>#DIV/0!</v>
      </c>
      <c r="R29" s="330" t="e">
        <f t="shared" si="4"/>
        <v>#DIV/0!</v>
      </c>
      <c r="S29" s="330">
        <f t="shared" si="16"/>
        <v>0</v>
      </c>
      <c r="T29" s="19">
        <f t="shared" si="17"/>
        <v>0</v>
      </c>
      <c r="U29" s="19"/>
      <c r="V29" s="2">
        <f>'PIM Model'!$C$27</f>
        <v>0</v>
      </c>
      <c r="W29" s="613" t="e">
        <f>'Multi-Customer'!M31</f>
        <v>#DIV/0!</v>
      </c>
      <c r="X29" s="19" t="e">
        <f t="shared" si="18"/>
        <v>#DIV/0!</v>
      </c>
      <c r="Y29" s="330" t="e">
        <f t="shared" si="19"/>
        <v>#DIV/0!</v>
      </c>
      <c r="Z29" s="330" t="e">
        <f t="shared" si="20"/>
        <v>#DIV/0!</v>
      </c>
      <c r="AA29" s="330" t="e">
        <f t="shared" si="21"/>
        <v>#DIV/0!</v>
      </c>
      <c r="AB29" s="614" t="e">
        <f t="shared" si="22"/>
        <v>#DIV/0!</v>
      </c>
      <c r="AC29" s="614" t="e">
        <f t="shared" si="23"/>
        <v>#DIV/0!</v>
      </c>
      <c r="AD29" s="330" t="e">
        <f t="shared" si="5"/>
        <v>#DIV/0!</v>
      </c>
      <c r="AE29" s="330"/>
      <c r="AF29" s="330" t="e">
        <f t="shared" si="24"/>
        <v>#DIV/0!</v>
      </c>
      <c r="AG29" s="39">
        <f>'PIM Model'!B27</f>
        <v>0</v>
      </c>
      <c r="AH29" s="470" t="e">
        <f t="shared" si="6"/>
        <v>#DIV/0!</v>
      </c>
      <c r="AI29" s="470" t="e">
        <f t="shared" si="25"/>
        <v>#DIV/0!</v>
      </c>
      <c r="AJ29">
        <v>20</v>
      </c>
      <c r="AK29" s="471" t="s">
        <v>94</v>
      </c>
      <c r="AL29" s="471" t="e">
        <f t="shared" si="7"/>
        <v>#DIV/0!</v>
      </c>
      <c r="AM29" s="471">
        <f t="shared" si="8"/>
        <v>0</v>
      </c>
      <c r="AN29" s="471">
        <f t="shared" si="9"/>
        <v>0</v>
      </c>
      <c r="AO29" s="472">
        <f t="shared" si="10"/>
        <v>0</v>
      </c>
      <c r="AP29" s="472">
        <f t="shared" si="11"/>
        <v>0</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02"/>
      <c r="AW29" s="52" t="s">
        <v>94</v>
      </c>
      <c r="AX29" s="503">
        <v>6052</v>
      </c>
      <c r="AY29" s="503">
        <v>19330</v>
      </c>
      <c r="AZ29" s="503">
        <v>36449</v>
      </c>
      <c r="BA29" s="503">
        <v>81904</v>
      </c>
      <c r="BD29" s="52" t="s">
        <v>94</v>
      </c>
      <c r="BE29" s="503">
        <v>8676</v>
      </c>
      <c r="BF29" s="503">
        <v>33383</v>
      </c>
      <c r="BG29" s="503">
        <v>87871</v>
      </c>
      <c r="BH29" s="503">
        <v>205967</v>
      </c>
    </row>
    <row r="30" spans="1:60" x14ac:dyDescent="0.25">
      <c r="A30" t="e">
        <f t="shared" si="13"/>
        <v>#DIV/0!</v>
      </c>
      <c r="B30">
        <v>21</v>
      </c>
      <c r="C30" t="s">
        <v>86</v>
      </c>
      <c r="D30" s="25">
        <f>'Multi-Customer'!C32</f>
        <v>0</v>
      </c>
      <c r="E30">
        <f>'Multi-Customer'!D32</f>
        <v>0</v>
      </c>
      <c r="F30">
        <f>'Multi-Customer'!E32</f>
        <v>0</v>
      </c>
      <c r="G30" s="330">
        <f>'Multi-Customer'!F32</f>
        <v>0</v>
      </c>
      <c r="H30" s="19">
        <f t="shared" si="14"/>
        <v>0</v>
      </c>
      <c r="I30" s="19">
        <f t="shared" si="15"/>
        <v>0</v>
      </c>
      <c r="J30" s="330"/>
      <c r="K30" s="330" t="str">
        <f>'PIM Model'!E28</f>
        <v>INCLUDE</v>
      </c>
      <c r="L30" s="330" t="e">
        <f t="shared" si="0"/>
        <v>#DIV/0!</v>
      </c>
      <c r="M30">
        <v>21</v>
      </c>
      <c r="N30" s="330" t="s">
        <v>86</v>
      </c>
      <c r="O30" s="330" t="e">
        <f t="shared" si="1"/>
        <v>#DIV/0!</v>
      </c>
      <c r="P30" s="330" t="e">
        <f t="shared" si="2"/>
        <v>#DIV/0!</v>
      </c>
      <c r="Q30" s="330" t="e">
        <f t="shared" si="3"/>
        <v>#DIV/0!</v>
      </c>
      <c r="R30" s="330" t="e">
        <f t="shared" si="4"/>
        <v>#DIV/0!</v>
      </c>
      <c r="S30" s="330">
        <f t="shared" si="16"/>
        <v>0</v>
      </c>
      <c r="T30" s="19">
        <f t="shared" si="17"/>
        <v>0</v>
      </c>
      <c r="U30" s="19"/>
      <c r="V30" s="2">
        <f>'PIM Model'!$C$28</f>
        <v>0</v>
      </c>
      <c r="W30" s="613" t="e">
        <f>'Multi-Customer'!M32</f>
        <v>#DIV/0!</v>
      </c>
      <c r="X30" s="19" t="e">
        <f t="shared" si="18"/>
        <v>#DIV/0!</v>
      </c>
      <c r="Y30" s="330" t="e">
        <f t="shared" si="19"/>
        <v>#DIV/0!</v>
      </c>
      <c r="Z30" s="330" t="e">
        <f t="shared" si="20"/>
        <v>#DIV/0!</v>
      </c>
      <c r="AA30" s="330" t="e">
        <f t="shared" si="21"/>
        <v>#DIV/0!</v>
      </c>
      <c r="AB30" s="614" t="e">
        <f t="shared" si="22"/>
        <v>#DIV/0!</v>
      </c>
      <c r="AC30" s="614" t="e">
        <f t="shared" si="23"/>
        <v>#DIV/0!</v>
      </c>
      <c r="AD30" s="330" t="e">
        <f t="shared" si="5"/>
        <v>#DIV/0!</v>
      </c>
      <c r="AE30" s="330"/>
      <c r="AF30" s="330" t="e">
        <f t="shared" si="24"/>
        <v>#DIV/0!</v>
      </c>
      <c r="AG30" s="39">
        <f>'PIM Model'!B28</f>
        <v>0</v>
      </c>
      <c r="AH30" s="470" t="e">
        <f t="shared" si="6"/>
        <v>#DIV/0!</v>
      </c>
      <c r="AI30" s="470" t="e">
        <f t="shared" si="25"/>
        <v>#DIV/0!</v>
      </c>
      <c r="AJ30">
        <v>21</v>
      </c>
      <c r="AK30" s="471" t="s">
        <v>86</v>
      </c>
      <c r="AL30" s="471" t="e">
        <f t="shared" si="7"/>
        <v>#DIV/0!</v>
      </c>
      <c r="AM30" s="471">
        <f t="shared" si="8"/>
        <v>0</v>
      </c>
      <c r="AN30" s="471">
        <f t="shared" si="9"/>
        <v>0</v>
      </c>
      <c r="AO30" s="472">
        <f t="shared" si="10"/>
        <v>0</v>
      </c>
      <c r="AP30" s="472">
        <f t="shared" si="11"/>
        <v>0</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02"/>
      <c r="AW30" s="52" t="s">
        <v>86</v>
      </c>
      <c r="AX30" s="503">
        <v>88</v>
      </c>
      <c r="AY30" s="503">
        <v>544</v>
      </c>
      <c r="AZ30" s="503">
        <v>2063</v>
      </c>
      <c r="BA30" s="503">
        <v>4981</v>
      </c>
      <c r="BD30" s="52" t="s">
        <v>86</v>
      </c>
      <c r="BE30" s="503">
        <v>151</v>
      </c>
      <c r="BF30" s="503">
        <v>808</v>
      </c>
      <c r="BG30" s="503">
        <v>4097</v>
      </c>
      <c r="BH30" s="503">
        <v>9886</v>
      </c>
    </row>
    <row r="31" spans="1:60" x14ac:dyDescent="0.25">
      <c r="A31" t="e">
        <f t="shared" si="13"/>
        <v>#DIV/0!</v>
      </c>
      <c r="B31">
        <v>22</v>
      </c>
      <c r="C31" t="s">
        <v>88</v>
      </c>
      <c r="D31" s="25">
        <f>'Multi-Customer'!C33</f>
        <v>0</v>
      </c>
      <c r="E31">
        <f>'Multi-Customer'!D33</f>
        <v>0</v>
      </c>
      <c r="F31">
        <f>'Multi-Customer'!E33</f>
        <v>0</v>
      </c>
      <c r="G31" s="330">
        <f>'Multi-Customer'!F33</f>
        <v>0</v>
      </c>
      <c r="H31" s="19">
        <f t="shared" si="14"/>
        <v>0</v>
      </c>
      <c r="I31" s="19">
        <f t="shared" si="15"/>
        <v>0</v>
      </c>
      <c r="J31" s="330"/>
      <c r="K31" s="330" t="str">
        <f>'PIM Model'!E29</f>
        <v>INCLUDE</v>
      </c>
      <c r="L31" s="330" t="e">
        <f t="shared" si="0"/>
        <v>#DIV/0!</v>
      </c>
      <c r="M31">
        <v>22</v>
      </c>
      <c r="N31" s="330" t="s">
        <v>88</v>
      </c>
      <c r="O31" s="330" t="e">
        <f t="shared" si="1"/>
        <v>#DIV/0!</v>
      </c>
      <c r="P31" s="330" t="e">
        <f t="shared" si="2"/>
        <v>#DIV/0!</v>
      </c>
      <c r="Q31" s="330" t="e">
        <f t="shared" si="3"/>
        <v>#DIV/0!</v>
      </c>
      <c r="R31" s="330" t="e">
        <f t="shared" si="4"/>
        <v>#DIV/0!</v>
      </c>
      <c r="S31" s="330">
        <f t="shared" si="16"/>
        <v>0</v>
      </c>
      <c r="T31" s="19">
        <f t="shared" si="17"/>
        <v>0</v>
      </c>
      <c r="U31" s="19"/>
      <c r="V31" s="2">
        <f>'PIM Model'!$C$29</f>
        <v>0</v>
      </c>
      <c r="W31" s="613" t="e">
        <f>'Multi-Customer'!M33</f>
        <v>#DIV/0!</v>
      </c>
      <c r="X31" s="19" t="e">
        <f t="shared" si="18"/>
        <v>#DIV/0!</v>
      </c>
      <c r="Y31" s="330" t="e">
        <f t="shared" si="19"/>
        <v>#DIV/0!</v>
      </c>
      <c r="Z31" s="330" t="e">
        <f t="shared" si="20"/>
        <v>#DIV/0!</v>
      </c>
      <c r="AA31" s="330" t="e">
        <f t="shared" si="21"/>
        <v>#DIV/0!</v>
      </c>
      <c r="AB31" s="614" t="e">
        <f t="shared" si="22"/>
        <v>#DIV/0!</v>
      </c>
      <c r="AC31" s="614" t="e">
        <f t="shared" si="23"/>
        <v>#DIV/0!</v>
      </c>
      <c r="AD31" s="330" t="e">
        <f t="shared" si="5"/>
        <v>#DIV/0!</v>
      </c>
      <c r="AE31" s="330"/>
      <c r="AF31" s="330" t="e">
        <f t="shared" si="24"/>
        <v>#DIV/0!</v>
      </c>
      <c r="AG31" s="39">
        <f>'PIM Model'!B29</f>
        <v>0</v>
      </c>
      <c r="AH31" s="470" t="e">
        <f t="shared" si="6"/>
        <v>#DIV/0!</v>
      </c>
      <c r="AI31" s="470" t="e">
        <f t="shared" si="25"/>
        <v>#DIV/0!</v>
      </c>
      <c r="AJ31">
        <v>22</v>
      </c>
      <c r="AK31" s="471" t="s">
        <v>88</v>
      </c>
      <c r="AL31" s="471" t="e">
        <f t="shared" si="7"/>
        <v>#DIV/0!</v>
      </c>
      <c r="AM31" s="471">
        <f t="shared" si="8"/>
        <v>0</v>
      </c>
      <c r="AN31" s="471">
        <f t="shared" si="9"/>
        <v>0</v>
      </c>
      <c r="AO31" s="472">
        <f t="shared" si="10"/>
        <v>0</v>
      </c>
      <c r="AP31" s="472">
        <f t="shared" si="11"/>
        <v>0</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02"/>
      <c r="AW31" s="52" t="s">
        <v>88</v>
      </c>
      <c r="AX31" s="503">
        <v>6782</v>
      </c>
      <c r="AY31" s="503">
        <v>19966</v>
      </c>
      <c r="AZ31" s="503">
        <v>43486</v>
      </c>
      <c r="BA31" s="503">
        <v>97858</v>
      </c>
      <c r="BD31" s="52" t="s">
        <v>88</v>
      </c>
      <c r="BE31" s="503">
        <v>8688</v>
      </c>
      <c r="BF31" s="503">
        <v>30144</v>
      </c>
      <c r="BG31" s="503">
        <v>100469</v>
      </c>
      <c r="BH31" s="503">
        <v>234604</v>
      </c>
    </row>
    <row r="32" spans="1:60" x14ac:dyDescent="0.25">
      <c r="A32" t="e">
        <f t="shared" si="13"/>
        <v>#DIV/0!</v>
      </c>
      <c r="B32">
        <v>23</v>
      </c>
      <c r="C32" t="s">
        <v>87</v>
      </c>
      <c r="D32" s="25">
        <f>'Multi-Customer'!C34</f>
        <v>0</v>
      </c>
      <c r="E32">
        <f>'Multi-Customer'!D34</f>
        <v>0</v>
      </c>
      <c r="F32">
        <f>'Multi-Customer'!E34</f>
        <v>0</v>
      </c>
      <c r="G32" s="330">
        <f>'Multi-Customer'!F34</f>
        <v>0</v>
      </c>
      <c r="H32" s="19">
        <f t="shared" si="14"/>
        <v>0</v>
      </c>
      <c r="I32" s="19">
        <f t="shared" si="15"/>
        <v>0</v>
      </c>
      <c r="J32" s="330"/>
      <c r="K32" s="330" t="str">
        <f>'PIM Model'!E30</f>
        <v>INCLUDE</v>
      </c>
      <c r="L32" s="330" t="e">
        <f t="shared" si="0"/>
        <v>#DIV/0!</v>
      </c>
      <c r="M32">
        <v>23</v>
      </c>
      <c r="N32" s="330" t="s">
        <v>87</v>
      </c>
      <c r="O32" s="330" t="e">
        <f t="shared" si="1"/>
        <v>#DIV/0!</v>
      </c>
      <c r="P32" s="330" t="e">
        <f t="shared" si="2"/>
        <v>#DIV/0!</v>
      </c>
      <c r="Q32" s="330" t="e">
        <f t="shared" si="3"/>
        <v>#DIV/0!</v>
      </c>
      <c r="R32" s="330" t="e">
        <f t="shared" si="4"/>
        <v>#DIV/0!</v>
      </c>
      <c r="S32" s="330">
        <f t="shared" si="16"/>
        <v>0</v>
      </c>
      <c r="T32" s="19">
        <f t="shared" si="17"/>
        <v>0</v>
      </c>
      <c r="U32" s="19"/>
      <c r="V32" s="2">
        <f>'PIM Model'!$C$30</f>
        <v>0</v>
      </c>
      <c r="W32" s="613" t="e">
        <f>'Multi-Customer'!M34</f>
        <v>#DIV/0!</v>
      </c>
      <c r="X32" s="19" t="e">
        <f t="shared" si="18"/>
        <v>#DIV/0!</v>
      </c>
      <c r="Y32" s="330" t="e">
        <f t="shared" si="19"/>
        <v>#DIV/0!</v>
      </c>
      <c r="Z32" s="330" t="e">
        <f t="shared" si="20"/>
        <v>#DIV/0!</v>
      </c>
      <c r="AA32" s="330" t="e">
        <f t="shared" si="21"/>
        <v>#DIV/0!</v>
      </c>
      <c r="AB32" s="614" t="e">
        <f t="shared" si="22"/>
        <v>#DIV/0!</v>
      </c>
      <c r="AC32" s="614" t="e">
        <f t="shared" si="23"/>
        <v>#DIV/0!</v>
      </c>
      <c r="AD32" s="330" t="e">
        <f t="shared" si="5"/>
        <v>#DIV/0!</v>
      </c>
      <c r="AE32" s="330"/>
      <c r="AF32" s="330" t="e">
        <f t="shared" si="24"/>
        <v>#DIV/0!</v>
      </c>
      <c r="AG32" s="39">
        <f>'PIM Model'!B30</f>
        <v>0</v>
      </c>
      <c r="AH32" s="470" t="e">
        <f t="shared" si="6"/>
        <v>#DIV/0!</v>
      </c>
      <c r="AI32" s="470" t="e">
        <f t="shared" si="25"/>
        <v>#DIV/0!</v>
      </c>
      <c r="AJ32">
        <v>23</v>
      </c>
      <c r="AK32" s="471" t="s">
        <v>87</v>
      </c>
      <c r="AL32" s="471" t="e">
        <f t="shared" si="7"/>
        <v>#DIV/0!</v>
      </c>
      <c r="AM32" s="471">
        <f t="shared" si="8"/>
        <v>0</v>
      </c>
      <c r="AN32" s="471">
        <f t="shared" si="9"/>
        <v>0</v>
      </c>
      <c r="AO32" s="472">
        <f t="shared" si="10"/>
        <v>0</v>
      </c>
      <c r="AP32" s="472">
        <f t="shared" si="11"/>
        <v>0</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02"/>
      <c r="AW32" s="52" t="s">
        <v>87</v>
      </c>
      <c r="AX32" s="503">
        <v>317</v>
      </c>
      <c r="AY32" s="503">
        <v>1177</v>
      </c>
      <c r="AZ32" s="503">
        <v>4361</v>
      </c>
      <c r="BA32" s="503">
        <v>10380</v>
      </c>
      <c r="BD32" s="52" t="s">
        <v>87</v>
      </c>
      <c r="BE32" s="503">
        <v>496</v>
      </c>
      <c r="BF32" s="503">
        <v>2401</v>
      </c>
      <c r="BG32" s="503">
        <v>10817</v>
      </c>
      <c r="BH32" s="503">
        <v>25725</v>
      </c>
    </row>
    <row r="33" spans="1:60" x14ac:dyDescent="0.25">
      <c r="A33" t="e">
        <f>SUM(A12:A32)</f>
        <v>#DIV/0!</v>
      </c>
      <c r="D33" s="25">
        <f>SUM(D$12:D$32)</f>
        <v>0</v>
      </c>
      <c r="E33">
        <f>SUM(E$12:E$32)</f>
        <v>0</v>
      </c>
      <c r="F33">
        <f>SUM(F$12:F$32)</f>
        <v>0</v>
      </c>
      <c r="G33">
        <f>SUM(G$12:G$32)</f>
        <v>0</v>
      </c>
      <c r="L33" s="330" t="e">
        <f>SUM(L12:L32)</f>
        <v>#DIV/0!</v>
      </c>
      <c r="O33" s="25" t="e">
        <f>SUM(O$12:O$32)</f>
        <v>#DIV/0!</v>
      </c>
      <c r="P33" t="e">
        <f>SUM(P$12:P$32)</f>
        <v>#DIV/0!</v>
      </c>
      <c r="Q33" t="e">
        <f>SUM(Q$12:Q$32)</f>
        <v>#DIV/0!</v>
      </c>
      <c r="R33" t="e">
        <f>SUM(R$12:R$32)</f>
        <v>#DIV/0!</v>
      </c>
      <c r="W33" s="330" t="e">
        <f>SUM($W$12:$W$32)</f>
        <v>#DIV/0!</v>
      </c>
      <c r="X33" s="330" t="e">
        <f>SUM(X12:X32)</f>
        <v>#DIV/0!</v>
      </c>
      <c r="Y33" s="330" t="e">
        <f>SUM(Y12:Y32)</f>
        <v>#DIV/0!</v>
      </c>
      <c r="Z33" s="330" t="e">
        <f>SUM($Z$12:$Z$32)</f>
        <v>#DIV/0!</v>
      </c>
      <c r="AA33" s="330" t="e">
        <f>SUM(AA12:AA32)</f>
        <v>#DIV/0!</v>
      </c>
      <c r="AB33" s="614" t="e">
        <f>SUM(AB12:AB32)</f>
        <v>#DIV/0!</v>
      </c>
      <c r="AC33" s="614" t="e">
        <f>SUM(AC12:AC32)</f>
        <v>#DIV/0!</v>
      </c>
      <c r="AD33" s="330" t="e">
        <f>SUM(AD12:AD32)</f>
        <v>#DIV/0!</v>
      </c>
      <c r="AF33" s="330" t="e">
        <f>SUM(AF12:AF32)</f>
        <v>#DIV/0!</v>
      </c>
      <c r="AH33" s="330" t="e">
        <f>SUM(AH12:AH32)</f>
        <v>#DIV/0!</v>
      </c>
      <c r="AI33" s="330" t="e">
        <f>SUM(AI12:AI32)</f>
        <v>#DIV/0!</v>
      </c>
      <c r="AL33" s="330" t="e">
        <f>SUM(AL12:AL32)</f>
        <v>#DIV/0!</v>
      </c>
      <c r="AM33" s="330">
        <f t="shared" ref="AM33:AN33" si="26">SUM(AM12:AM32)</f>
        <v>0</v>
      </c>
      <c r="AN33" s="330">
        <f t="shared" si="26"/>
        <v>0</v>
      </c>
      <c r="AV33" s="502"/>
      <c r="AW33" s="52" t="s">
        <v>255</v>
      </c>
      <c r="AX33" s="503">
        <v>3824</v>
      </c>
      <c r="AY33" s="503">
        <v>15819</v>
      </c>
      <c r="AZ33" s="503">
        <v>31421</v>
      </c>
      <c r="BA33" s="503">
        <v>38852</v>
      </c>
      <c r="BD33" s="52" t="s">
        <v>255</v>
      </c>
      <c r="BE33" s="503">
        <v>3824</v>
      </c>
      <c r="BF33" s="503">
        <v>15819</v>
      </c>
      <c r="BG33" s="503">
        <v>31421</v>
      </c>
      <c r="BH33" s="503">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4D3C8-FE08-4380-B614-B5597F8ED35D}">
  <sheetPr codeName="Sheet35">
    <tabColor rgb="FFFF0000"/>
    <pageSetUpPr fitToPage="1"/>
  </sheetPr>
  <dimension ref="A1:W84"/>
  <sheetViews>
    <sheetView showFormulas="1" topLeftCell="A37" zoomScaleNormal="100" workbookViewId="0">
      <selection activeCell="C48" sqref="C48"/>
    </sheetView>
  </sheetViews>
  <sheetFormatPr defaultColWidth="8.85546875" defaultRowHeight="15" x14ac:dyDescent="0.25"/>
  <cols>
    <col min="1" max="1" width="16.85546875" style="1090" bestFit="1" customWidth="1"/>
    <col min="2" max="2" width="23.5703125" style="1090" bestFit="1" customWidth="1"/>
    <col min="3" max="3" width="18.7109375" style="1090" customWidth="1"/>
    <col min="4" max="4" width="16.5703125" style="1090" bestFit="1" customWidth="1"/>
    <col min="5" max="5" width="1.7109375" style="287" customWidth="1"/>
    <col min="6" max="6" width="14.140625" style="1090" customWidth="1"/>
    <col min="7" max="7" width="11.5703125" style="1090" bestFit="1" customWidth="1"/>
    <col min="8" max="8" width="1.7109375" style="288" customWidth="1"/>
    <col min="9" max="9" width="8.140625" style="1090" customWidth="1"/>
    <col min="10" max="10" width="20.28515625" style="1090" bestFit="1" customWidth="1"/>
    <col min="11" max="11" width="20.7109375" style="1090" bestFit="1" customWidth="1"/>
    <col min="12" max="12" width="12.5703125" style="1090" customWidth="1"/>
    <col min="13" max="13" width="1.7109375" style="288" customWidth="1"/>
    <col min="14" max="14" width="9.5703125" style="1090" customWidth="1"/>
    <col min="15" max="15" width="13.7109375" style="1090" customWidth="1"/>
    <col min="16" max="17" width="14.7109375" style="1090" customWidth="1"/>
    <col min="18" max="18" width="1.7109375" style="288" customWidth="1"/>
    <col min="19" max="19" width="8.140625" style="1090" customWidth="1"/>
    <col min="20" max="20" width="15.85546875" style="1090" customWidth="1"/>
    <col min="21" max="21" width="12.140625" style="1090" bestFit="1" customWidth="1"/>
    <col min="22" max="22" width="14.7109375" style="1090" customWidth="1"/>
    <col min="23" max="23" width="1.7109375" style="288" customWidth="1"/>
    <col min="24" max="16384" width="8.85546875" style="1090"/>
  </cols>
  <sheetData>
    <row r="1" spans="1:23" ht="29.25" thickBot="1" x14ac:dyDescent="0.5">
      <c r="A1" s="1418" t="s">
        <v>801</v>
      </c>
      <c r="B1" s="1418"/>
      <c r="C1" s="1418"/>
      <c r="D1" s="1418"/>
      <c r="F1" s="1419" t="s">
        <v>730</v>
      </c>
      <c r="G1" s="1419"/>
      <c r="I1" s="1420" t="s">
        <v>800</v>
      </c>
      <c r="J1" s="1421"/>
      <c r="K1" s="1421"/>
      <c r="L1" s="1421"/>
      <c r="M1" s="1421"/>
      <c r="N1" s="1421"/>
      <c r="O1" s="1421"/>
      <c r="P1" s="1421"/>
      <c r="Q1" s="1421"/>
      <c r="R1" s="1421"/>
      <c r="S1" s="1421"/>
      <c r="T1" s="1421"/>
      <c r="U1" s="1421"/>
      <c r="V1" s="1422"/>
    </row>
    <row r="2" spans="1:23" x14ac:dyDescent="0.25">
      <c r="I2" s="336"/>
      <c r="J2" s="137"/>
      <c r="K2" s="137"/>
      <c r="L2" s="137"/>
      <c r="M2" s="137"/>
      <c r="N2" s="137"/>
      <c r="O2" s="137"/>
      <c r="P2" s="137"/>
      <c r="Q2" s="137"/>
      <c r="R2" s="137"/>
      <c r="S2" s="137"/>
      <c r="T2" s="137"/>
      <c r="U2" s="137"/>
      <c r="V2" s="339"/>
    </row>
    <row r="3" spans="1:23" x14ac:dyDescent="0.25">
      <c r="A3" s="1090" t="s">
        <v>245</v>
      </c>
      <c r="B3" s="1413">
        <f>Welcome!$D$4</f>
        <v>0</v>
      </c>
      <c r="C3" s="1413"/>
      <c r="I3" s="332">
        <v>1</v>
      </c>
      <c r="J3" s="1090" t="s">
        <v>756</v>
      </c>
      <c r="L3" s="1413" t="str">
        <f>"ALC "&amp;'Required Info to Submit'!$F$6</f>
        <v xml:space="preserve">ALC </v>
      </c>
      <c r="M3" s="1413"/>
      <c r="N3" s="1413"/>
      <c r="O3" s="1413"/>
      <c r="P3" s="1413"/>
      <c r="R3" s="1090"/>
      <c r="V3" s="140"/>
    </row>
    <row r="4" spans="1:23" ht="45" x14ac:dyDescent="0.25">
      <c r="A4" s="1090" t="s">
        <v>737</v>
      </c>
      <c r="B4" s="1423">
        <f>'Required Info to Submit'!$F$6</f>
        <v>0</v>
      </c>
      <c r="C4" s="1423"/>
      <c r="D4" s="1100" t="s">
        <v>891</v>
      </c>
      <c r="F4" s="251" t="s">
        <v>731</v>
      </c>
      <c r="G4" s="644">
        <f>Incentives!$H$9</f>
        <v>0</v>
      </c>
      <c r="H4" s="290"/>
      <c r="I4" s="332">
        <v>2</v>
      </c>
      <c r="J4" s="1090" t="s">
        <v>732</v>
      </c>
      <c r="L4" s="340">
        <f>'Required Info to Submit'!$F$14</f>
        <v>0</v>
      </c>
      <c r="M4" s="340"/>
      <c r="N4" s="340"/>
      <c r="O4" s="341">
        <v>3</v>
      </c>
      <c r="P4" s="1413" t="s">
        <v>734</v>
      </c>
      <c r="Q4" s="1413"/>
      <c r="R4" s="1413"/>
      <c r="S4" s="1424" t="e">
        <f>$L$4+(364*$G$5)+6</f>
        <v>#VALUE!</v>
      </c>
      <c r="T4" s="1424"/>
      <c r="U4" s="340"/>
      <c r="V4" s="140"/>
    </row>
    <row r="5" spans="1:23" x14ac:dyDescent="0.25">
      <c r="A5" s="1090" t="s">
        <v>1020</v>
      </c>
      <c r="B5" s="1415">
        <f>'Required Info to Submit'!$F$8</f>
        <v>0</v>
      </c>
      <c r="C5" s="1415"/>
      <c r="D5" s="1090" t="e">
        <f>G5*12</f>
        <v>#VALUE!</v>
      </c>
      <c r="F5" s="251" t="s">
        <v>733</v>
      </c>
      <c r="G5" s="289" t="str">
        <f>Welcome!$D$12</f>
        <v>Select Term</v>
      </c>
      <c r="H5" s="290"/>
      <c r="I5" s="1103"/>
      <c r="M5" s="1090"/>
      <c r="O5" s="1100"/>
      <c r="P5" s="1095"/>
      <c r="Q5" s="1095"/>
      <c r="R5" s="1095"/>
      <c r="S5" s="1095"/>
      <c r="T5" s="1095"/>
      <c r="V5" s="140"/>
    </row>
    <row r="6" spans="1:23" x14ac:dyDescent="0.25">
      <c r="A6" s="1090" t="s">
        <v>795</v>
      </c>
      <c r="B6" s="1416">
        <f>'Required Info to Submit'!$F$14</f>
        <v>0</v>
      </c>
      <c r="C6" s="1416"/>
      <c r="F6" s="1090" t="s">
        <v>735</v>
      </c>
      <c r="G6" s="738">
        <f>IF(L4&lt;43827,43827-L4+1,IF(L4&lt;43918,43918-L4+1,IF(L4&lt;44009,44009-L4+1,IF(L4&lt;44198,44198-L4+1,IF(L4&lt;44289,44289-L4+1,IF(L4&lt;44380,44380-L4+1,IF(L4&lt;44471,44471-L4+1,44562-L4+1)))))))/7</f>
        <v>6261.1428571428569</v>
      </c>
      <c r="H6" s="291"/>
      <c r="I6" s="332">
        <v>5</v>
      </c>
      <c r="J6" s="1090" t="s">
        <v>736</v>
      </c>
      <c r="L6" s="1095">
        <f>'MDA Worksheet'!$D$95</f>
        <v>0</v>
      </c>
      <c r="M6" s="1090"/>
      <c r="O6" s="341">
        <v>7</v>
      </c>
      <c r="P6" s="1413" t="s">
        <v>757</v>
      </c>
      <c r="Q6" s="1413"/>
      <c r="R6" s="1413"/>
      <c r="S6" s="1417">
        <f>-('Tracking &amp; Profitability'!$E$22)</f>
        <v>0</v>
      </c>
      <c r="T6" s="1417"/>
      <c r="U6" s="20"/>
      <c r="V6" s="140"/>
    </row>
    <row r="7" spans="1:23" x14ac:dyDescent="0.25">
      <c r="A7" s="1090" t="s">
        <v>796</v>
      </c>
      <c r="B7" s="1413">
        <f>'Required Info to Submit'!$F$10</f>
        <v>0</v>
      </c>
      <c r="C7" s="1413"/>
      <c r="F7" s="1100" t="str">
        <f>IF(Incentives!E15="Yes","VB","")</f>
        <v/>
      </c>
      <c r="G7" s="1100" t="str">
        <f>IF(Incentives!E57="YES","DS","")</f>
        <v/>
      </c>
      <c r="I7" s="332">
        <v>6</v>
      </c>
      <c r="J7" s="1090" t="s">
        <v>758</v>
      </c>
      <c r="L7" s="1413" t="str">
        <f>'MDA Worksheet'!$K$95</f>
        <v/>
      </c>
      <c r="M7" s="1413"/>
      <c r="N7" s="1413"/>
      <c r="O7" s="341">
        <v>8</v>
      </c>
      <c r="P7" s="1413" t="s">
        <v>871</v>
      </c>
      <c r="Q7" s="1413"/>
      <c r="R7" s="1413"/>
      <c r="S7" s="1413">
        <f>'Required Info to Submit'!$F$10</f>
        <v>0</v>
      </c>
      <c r="T7" s="1413"/>
      <c r="V7" s="140"/>
    </row>
    <row r="8" spans="1:23" x14ac:dyDescent="0.25">
      <c r="A8" s="1090" t="s">
        <v>797</v>
      </c>
      <c r="B8" s="1413">
        <f>'Required Info to Submit'!$F$9</f>
        <v>0</v>
      </c>
      <c r="C8" s="1413"/>
      <c r="F8" s="1100" t="str">
        <f>IF(Incentives!E85="Yes","EB","")</f>
        <v/>
      </c>
      <c r="G8" s="1100" t="str">
        <f>IF(Incentives!E113="Yes","SG","")</f>
        <v/>
      </c>
      <c r="I8" s="139"/>
      <c r="M8" s="1090"/>
      <c r="R8" s="1090"/>
      <c r="V8" s="140"/>
    </row>
    <row r="9" spans="1:23" x14ac:dyDescent="0.25">
      <c r="A9" s="1090" t="s">
        <v>656</v>
      </c>
      <c r="B9" s="1413">
        <f>'Required Info to Submit'!$F$12</f>
        <v>0</v>
      </c>
      <c r="C9" s="1413"/>
      <c r="F9" s="1100" t="str">
        <f>IF(Incentives!E121="Yes","EC","")</f>
        <v/>
      </c>
      <c r="G9" s="1100" t="str">
        <f>IF(Incentives!E170="Yes","CC","")</f>
        <v/>
      </c>
      <c r="I9" s="342" t="s">
        <v>873</v>
      </c>
      <c r="J9" s="1096" t="s">
        <v>928</v>
      </c>
      <c r="K9" s="292" t="s">
        <v>862</v>
      </c>
      <c r="L9" s="1096" t="s">
        <v>874</v>
      </c>
      <c r="M9" s="1096"/>
      <c r="N9" s="1096"/>
      <c r="O9" s="292" t="s">
        <v>875</v>
      </c>
      <c r="P9" s="1096"/>
      <c r="Q9" s="1097"/>
      <c r="R9" s="1090"/>
      <c r="V9" s="140"/>
    </row>
    <row r="10" spans="1:23" ht="15.75" thickBot="1" x14ac:dyDescent="0.3">
      <c r="A10" s="1090" t="s">
        <v>798</v>
      </c>
      <c r="B10" s="1413">
        <f>'Required Info to Submit'!$F$11</f>
        <v>0</v>
      </c>
      <c r="C10" s="1413"/>
      <c r="F10" s="1100" t="str">
        <f>IF(Incentives!E153="Yes","PP","")</f>
        <v/>
      </c>
      <c r="G10" s="1100" t="e">
        <f>IF(Incentives!#REF!="Yes","CBT","")</f>
        <v>#REF!</v>
      </c>
      <c r="I10" s="267"/>
      <c r="J10" s="268"/>
      <c r="K10" s="268"/>
      <c r="L10" s="268"/>
      <c r="M10" s="268"/>
      <c r="N10" s="268"/>
      <c r="O10" s="268"/>
      <c r="P10" s="268"/>
      <c r="Q10" s="268"/>
      <c r="R10" s="268"/>
      <c r="S10" s="268"/>
      <c r="T10" s="268"/>
      <c r="U10" s="268"/>
      <c r="V10" s="269"/>
    </row>
    <row r="11" spans="1:23" ht="16.5" thickBot="1" x14ac:dyDescent="0.3">
      <c r="B11" s="1414"/>
      <c r="C11" s="1414"/>
      <c r="F11" s="1100" t="str">
        <f>IF(Incentives!E161="Yes","Roll","")</f>
        <v/>
      </c>
      <c r="I11" s="1398" t="s">
        <v>738</v>
      </c>
      <c r="J11" s="1399"/>
      <c r="K11" s="1399"/>
      <c r="L11" s="1400"/>
      <c r="M11" s="295"/>
      <c r="N11" s="1398" t="s">
        <v>479</v>
      </c>
      <c r="O11" s="1399"/>
      <c r="P11" s="1399"/>
      <c r="Q11" s="1400"/>
      <c r="R11" s="295"/>
      <c r="S11" s="1398" t="s">
        <v>531</v>
      </c>
      <c r="T11" s="1399"/>
      <c r="U11" s="1399"/>
      <c r="V11" s="1400"/>
    </row>
    <row r="12" spans="1:23" ht="15.75" thickBot="1" x14ac:dyDescent="0.3">
      <c r="A12" s="1384" t="s">
        <v>738</v>
      </c>
      <c r="B12" s="1385"/>
      <c r="C12" s="1385"/>
      <c r="D12" s="1386"/>
      <c r="E12" s="840"/>
      <c r="F12" s="137"/>
      <c r="G12" s="137"/>
      <c r="H12" s="793"/>
      <c r="I12" s="1387" t="s">
        <v>739</v>
      </c>
      <c r="J12" s="1388"/>
      <c r="K12" s="1388"/>
      <c r="L12" s="1389"/>
      <c r="M12" s="295"/>
      <c r="N12" s="1387" t="s">
        <v>740</v>
      </c>
      <c r="O12" s="1388"/>
      <c r="P12" s="1388"/>
      <c r="Q12" s="1389"/>
      <c r="R12" s="295"/>
      <c r="S12" s="1387" t="s">
        <v>741</v>
      </c>
      <c r="T12" s="1388"/>
      <c r="U12" s="1388"/>
      <c r="V12" s="1389"/>
    </row>
    <row r="13" spans="1:23" x14ac:dyDescent="0.25">
      <c r="A13" s="296" t="s">
        <v>742</v>
      </c>
      <c r="B13" s="297">
        <f>$L$4</f>
        <v>0</v>
      </c>
      <c r="C13" s="298" t="s">
        <v>743</v>
      </c>
      <c r="D13" s="302" t="e">
        <f>$S$4</f>
        <v>#VALUE!</v>
      </c>
      <c r="E13" s="299"/>
      <c r="F13" s="298"/>
      <c r="G13" s="298"/>
      <c r="H13" s="300"/>
      <c r="I13" s="333" t="s">
        <v>744</v>
      </c>
      <c r="J13" s="297">
        <f>L4</f>
        <v>0</v>
      </c>
      <c r="K13" s="301" t="s">
        <v>745</v>
      </c>
      <c r="L13" s="302" t="e">
        <f>D13</f>
        <v>#VALUE!</v>
      </c>
      <c r="M13" s="300"/>
      <c r="N13" s="1102" t="s">
        <v>744</v>
      </c>
      <c r="O13" s="304">
        <f>$L$4</f>
        <v>0</v>
      </c>
      <c r="P13" s="1094" t="s">
        <v>745</v>
      </c>
      <c r="Q13" s="327" t="e">
        <f>$S$4</f>
        <v>#VALUE!</v>
      </c>
      <c r="R13" s="300"/>
      <c r="S13" s="139" t="s">
        <v>744</v>
      </c>
      <c r="T13" s="304">
        <f>$L$4</f>
        <v>0</v>
      </c>
      <c r="U13" s="1094" t="s">
        <v>745</v>
      </c>
      <c r="V13" s="327" t="e">
        <f>$S$4</f>
        <v>#VALUE!</v>
      </c>
      <c r="W13" s="290"/>
    </row>
    <row r="14" spans="1:23" ht="45" x14ac:dyDescent="0.25">
      <c r="A14" s="303" t="s">
        <v>875</v>
      </c>
      <c r="B14" s="304">
        <f>Incentives!$I$14</f>
        <v>0</v>
      </c>
      <c r="C14" s="251"/>
      <c r="D14" s="308"/>
      <c r="E14" s="305"/>
      <c r="F14" s="251"/>
      <c r="G14" s="251"/>
      <c r="H14" s="290"/>
      <c r="I14" s="334" t="s">
        <v>893</v>
      </c>
      <c r="J14" s="304">
        <f>Incentives!$I$14</f>
        <v>0</v>
      </c>
      <c r="K14" s="307" t="str">
        <f>IF(J14="Check","Check","Credit Memo")</f>
        <v>Credit Memo</v>
      </c>
      <c r="L14" s="645">
        <f>Incentives!$K$14</f>
        <v>0</v>
      </c>
      <c r="M14" s="290"/>
      <c r="N14" s="334" t="s">
        <v>894</v>
      </c>
      <c r="O14" s="304">
        <f>Incentives!$I$56</f>
        <v>0</v>
      </c>
      <c r="P14" s="307" t="str">
        <f>IF(O14="Check","Check","Credit Memo")</f>
        <v>Credit Memo</v>
      </c>
      <c r="Q14" s="645">
        <f>Incentives!$K$56</f>
        <v>0</v>
      </c>
      <c r="R14" s="290"/>
      <c r="S14" s="303" t="s">
        <v>894</v>
      </c>
      <c r="T14" s="304">
        <f>Incentives!$I$84</f>
        <v>0</v>
      </c>
      <c r="U14" s="307" t="str">
        <f>IF(T14="Check","Check","Credit Memo")</f>
        <v>Credit Memo</v>
      </c>
      <c r="V14" s="645">
        <f>Incentives!$K$84</f>
        <v>0</v>
      </c>
      <c r="W14" s="290"/>
    </row>
    <row r="15" spans="1:23" x14ac:dyDescent="0.25">
      <c r="A15" s="303" t="s">
        <v>1190</v>
      </c>
      <c r="B15" s="304">
        <f>Incentives!$G$14</f>
        <v>0</v>
      </c>
      <c r="C15" s="251"/>
      <c r="D15" s="308"/>
      <c r="E15" s="305"/>
      <c r="F15" s="251"/>
      <c r="G15" s="251"/>
      <c r="H15" s="290"/>
      <c r="I15" s="729" t="s">
        <v>1190</v>
      </c>
      <c r="J15" s="304">
        <f>B15</f>
        <v>0</v>
      </c>
      <c r="K15" s="307"/>
      <c r="L15" s="308"/>
      <c r="M15" s="290"/>
      <c r="N15" s="139"/>
      <c r="O15" s="1094" t="s">
        <v>887</v>
      </c>
      <c r="P15" s="1090" t="s">
        <v>888</v>
      </c>
      <c r="Q15" s="140"/>
      <c r="R15" s="290"/>
      <c r="S15" s="139"/>
      <c r="T15" s="1094" t="s">
        <v>887</v>
      </c>
      <c r="U15" s="1090" t="s">
        <v>888</v>
      </c>
      <c r="V15" s="140"/>
      <c r="W15" s="290"/>
    </row>
    <row r="16" spans="1:23" x14ac:dyDescent="0.25">
      <c r="A16" s="303"/>
      <c r="B16" s="304"/>
      <c r="C16" s="251"/>
      <c r="D16" s="308"/>
      <c r="E16" s="305"/>
      <c r="F16" s="251"/>
      <c r="G16" s="251"/>
      <c r="H16" s="290"/>
      <c r="I16" s="334"/>
      <c r="J16" s="1094" t="s">
        <v>886</v>
      </c>
      <c r="K16" s="306">
        <f>Incentives!$I$20</f>
        <v>0</v>
      </c>
      <c r="L16" s="308"/>
      <c r="M16" s="290"/>
      <c r="N16" s="729" t="s">
        <v>1190</v>
      </c>
      <c r="O16" s="1090">
        <f>B27</f>
        <v>0</v>
      </c>
      <c r="P16" s="307"/>
      <c r="Q16" s="308"/>
      <c r="R16" s="290"/>
      <c r="S16" s="729" t="s">
        <v>1190</v>
      </c>
      <c r="T16" s="1090">
        <f>B37</f>
        <v>0</v>
      </c>
      <c r="U16" s="307"/>
      <c r="V16" s="308"/>
      <c r="W16" s="290"/>
    </row>
    <row r="17" spans="1:23" x14ac:dyDescent="0.25">
      <c r="A17" s="139"/>
      <c r="D17" s="140"/>
      <c r="I17" s="139"/>
      <c r="J17" s="1094" t="s">
        <v>887</v>
      </c>
      <c r="K17" s="1090" t="s">
        <v>888</v>
      </c>
      <c r="L17" s="140"/>
      <c r="M17" s="309"/>
      <c r="N17" s="139"/>
      <c r="Q17" s="335"/>
      <c r="S17" s="139"/>
      <c r="V17" s="140"/>
    </row>
    <row r="18" spans="1:23" ht="30" x14ac:dyDescent="0.25">
      <c r="A18" s="310"/>
      <c r="B18" s="311" t="s">
        <v>746</v>
      </c>
      <c r="C18" s="311" t="s">
        <v>747</v>
      </c>
      <c r="D18" s="714" t="s">
        <v>748</v>
      </c>
      <c r="E18" s="312"/>
      <c r="F18" s="313"/>
      <c r="G18" s="313" t="s">
        <v>749</v>
      </c>
      <c r="H18" s="314"/>
      <c r="I18" s="729">
        <v>3</v>
      </c>
      <c r="J18" s="313"/>
      <c r="K18" s="730" t="s">
        <v>1055</v>
      </c>
      <c r="L18" s="731" t="s">
        <v>1056</v>
      </c>
      <c r="M18" s="314"/>
      <c r="N18" s="729">
        <v>3</v>
      </c>
      <c r="P18" s="730" t="s">
        <v>1055</v>
      </c>
      <c r="Q18" s="731" t="s">
        <v>1056</v>
      </c>
      <c r="R18" s="314"/>
      <c r="S18" s="729">
        <v>2</v>
      </c>
      <c r="U18" s="730" t="s">
        <v>1057</v>
      </c>
      <c r="V18" s="731" t="s">
        <v>1058</v>
      </c>
      <c r="W18" s="314"/>
    </row>
    <row r="19" spans="1:23" x14ac:dyDescent="0.25">
      <c r="A19" s="139"/>
      <c r="B19" s="1098">
        <v>0</v>
      </c>
      <c r="C19" s="351">
        <f>IF(ISERROR(B20-0.01),"",B20-0.01)</f>
        <v>-0.01</v>
      </c>
      <c r="D19" s="841">
        <f>Incentives!$K$17</f>
        <v>0</v>
      </c>
      <c r="E19" s="316"/>
      <c r="I19" s="1103" t="s">
        <v>1051</v>
      </c>
      <c r="K19" s="1090">
        <v>0</v>
      </c>
      <c r="L19" s="718">
        <f>D19</f>
        <v>0</v>
      </c>
      <c r="N19" s="1103" t="s">
        <v>1051</v>
      </c>
      <c r="P19" s="348">
        <f>B29</f>
        <v>0</v>
      </c>
      <c r="Q19" s="719">
        <f>D29</f>
        <v>0</v>
      </c>
      <c r="S19" s="1103" t="s">
        <v>1051</v>
      </c>
      <c r="U19" s="24">
        <f>B39</f>
        <v>0</v>
      </c>
      <c r="V19" s="719">
        <f>D39</f>
        <v>0</v>
      </c>
    </row>
    <row r="20" spans="1:23" x14ac:dyDescent="0.25">
      <c r="A20" s="139"/>
      <c r="B20" s="345">
        <f>ROUND(Incentives!$G$19,0)</f>
        <v>0</v>
      </c>
      <c r="C20" s="351" t="str">
        <f>IF(ISERROR(B21-0.01),"",B21-0.01)</f>
        <v/>
      </c>
      <c r="D20" s="841">
        <f>Incentives!$K$19</f>
        <v>0</v>
      </c>
      <c r="E20" s="316"/>
      <c r="F20" s="1090">
        <v>1</v>
      </c>
      <c r="G20" s="317">
        <f>Incentives!$E$20</f>
        <v>0</v>
      </c>
      <c r="H20" s="318"/>
      <c r="I20" s="1103" t="s">
        <v>1052</v>
      </c>
      <c r="J20" s="1090">
        <f>IF(AND($B$20=0, B21=0),"Flat Rate",0)</f>
        <v>0</v>
      </c>
      <c r="K20" s="1090" t="str">
        <f>IF($B$20=0,"",ROUND($B$20,0))</f>
        <v/>
      </c>
      <c r="L20" s="719">
        <f t="shared" ref="L20:L22" si="0">D20</f>
        <v>0</v>
      </c>
      <c r="N20" s="1103" t="s">
        <v>1052</v>
      </c>
      <c r="P20" s="349">
        <f>B30</f>
        <v>0</v>
      </c>
      <c r="Q20" s="719">
        <f>D30</f>
        <v>0</v>
      </c>
      <c r="S20" s="1103" t="s">
        <v>1052</v>
      </c>
      <c r="U20" s="24">
        <f>B40</f>
        <v>0</v>
      </c>
      <c r="V20" s="719">
        <f>D40</f>
        <v>0</v>
      </c>
    </row>
    <row r="21" spans="1:23" x14ac:dyDescent="0.25">
      <c r="A21" s="139"/>
      <c r="B21" s="345" t="str">
        <f>IF(D21=0,"",ROUND(Incentives!$G$20,0))</f>
        <v/>
      </c>
      <c r="C21" s="351" t="str">
        <f>IF(OR(ISERROR(B22-0.01),B22=0),"",B22-0.01)</f>
        <v/>
      </c>
      <c r="D21" s="841">
        <f>Incentives!$K$20</f>
        <v>0</v>
      </c>
      <c r="E21" s="316"/>
      <c r="F21" s="1090">
        <v>2</v>
      </c>
      <c r="G21" s="317">
        <f>Incentives!$E$21</f>
        <v>0</v>
      </c>
      <c r="H21" s="318"/>
      <c r="I21" s="1103" t="s">
        <v>1053</v>
      </c>
      <c r="K21" s="1090" t="str">
        <f>IF($B$21="","",ROUND($B$21,0))</f>
        <v/>
      </c>
      <c r="L21" s="719">
        <f t="shared" si="0"/>
        <v>0</v>
      </c>
      <c r="N21" s="1103" t="s">
        <v>1053</v>
      </c>
      <c r="P21" s="349">
        <f>B31</f>
        <v>0</v>
      </c>
      <c r="Q21" s="719">
        <f>D31</f>
        <v>0</v>
      </c>
      <c r="S21" s="1103" t="s">
        <v>1053</v>
      </c>
      <c r="U21" s="55">
        <f>B41</f>
        <v>0</v>
      </c>
      <c r="V21" s="718">
        <f>D41</f>
        <v>0</v>
      </c>
    </row>
    <row r="22" spans="1:23" ht="15.75" thickBot="1" x14ac:dyDescent="0.3">
      <c r="A22" s="267"/>
      <c r="B22" s="346" t="str">
        <f>IF(D22=0,"",Incentives!$G$21)</f>
        <v/>
      </c>
      <c r="C22" s="320">
        <v>999999.99</v>
      </c>
      <c r="D22" s="842">
        <f>Incentives!$K$21</f>
        <v>0</v>
      </c>
      <c r="E22" s="322"/>
      <c r="F22" s="268">
        <v>3</v>
      </c>
      <c r="G22" s="323">
        <f>Incentives!$E$23</f>
        <v>0</v>
      </c>
      <c r="H22" s="324"/>
      <c r="I22" s="1103" t="s">
        <v>1054</v>
      </c>
      <c r="J22" s="268"/>
      <c r="K22" s="268" t="str">
        <f>IF($B$22="","",ROUND($B$22,0))</f>
        <v/>
      </c>
      <c r="L22" s="801">
        <f t="shared" si="0"/>
        <v>0</v>
      </c>
      <c r="M22" s="325"/>
      <c r="N22" s="1103" t="s">
        <v>1054</v>
      </c>
      <c r="O22" s="268"/>
      <c r="P22" s="350">
        <f>B32</f>
        <v>0</v>
      </c>
      <c r="Q22" s="801">
        <f>D32</f>
        <v>0</v>
      </c>
      <c r="R22" s="325"/>
      <c r="S22" s="1103" t="s">
        <v>1054</v>
      </c>
      <c r="U22" s="55">
        <f>B42</f>
        <v>0</v>
      </c>
      <c r="V22" s="718">
        <f>D42</f>
        <v>0</v>
      </c>
    </row>
    <row r="23" spans="1:23" ht="16.5" thickBot="1" x14ac:dyDescent="0.3">
      <c r="E23" s="835"/>
      <c r="H23" s="793"/>
      <c r="I23" s="1398" t="s">
        <v>1181</v>
      </c>
      <c r="J23" s="1399"/>
      <c r="K23" s="1399"/>
      <c r="L23" s="1400"/>
      <c r="M23" s="792"/>
      <c r="N23" s="1410" t="s">
        <v>1182</v>
      </c>
      <c r="O23" s="1411"/>
      <c r="P23" s="1411"/>
      <c r="Q23" s="1412"/>
      <c r="R23" s="792"/>
      <c r="S23" s="1398" t="s">
        <v>1170</v>
      </c>
      <c r="T23" s="1399"/>
      <c r="U23" s="1399"/>
      <c r="V23" s="1400"/>
    </row>
    <row r="24" spans="1:23" ht="15.75" thickBot="1" x14ac:dyDescent="0.3">
      <c r="A24" s="1384" t="s">
        <v>479</v>
      </c>
      <c r="B24" s="1385"/>
      <c r="C24" s="1385"/>
      <c r="D24" s="1386"/>
      <c r="E24" s="294"/>
      <c r="F24" s="137"/>
      <c r="G24" s="137"/>
      <c r="H24" s="295"/>
      <c r="I24" s="1387" t="s">
        <v>750</v>
      </c>
      <c r="J24" s="1388"/>
      <c r="K24" s="1388"/>
      <c r="L24" s="1389"/>
      <c r="M24" s="792"/>
      <c r="N24" s="1401" t="s">
        <v>750</v>
      </c>
      <c r="O24" s="1402"/>
      <c r="P24" s="1402"/>
      <c r="Q24" s="1403"/>
      <c r="R24" s="792"/>
      <c r="S24" s="1387" t="s">
        <v>751</v>
      </c>
      <c r="T24" s="1388"/>
      <c r="U24" s="1388"/>
      <c r="V24" s="1389"/>
    </row>
    <row r="25" spans="1:23" x14ac:dyDescent="0.25">
      <c r="A25" s="303" t="s">
        <v>732</v>
      </c>
      <c r="B25" s="304">
        <f>$L$4</f>
        <v>0</v>
      </c>
      <c r="C25" s="251" t="s">
        <v>743</v>
      </c>
      <c r="D25" s="308" t="e">
        <f>$S$4</f>
        <v>#VALUE!</v>
      </c>
      <c r="I25" s="852" t="s">
        <v>744</v>
      </c>
      <c r="J25" s="297">
        <f>$L$4</f>
        <v>0</v>
      </c>
      <c r="K25" s="337" t="s">
        <v>745</v>
      </c>
      <c r="L25" s="338" t="e">
        <f>$S$4</f>
        <v>#VALUE!</v>
      </c>
      <c r="N25" s="139"/>
      <c r="Q25" s="140"/>
      <c r="S25" s="139" t="s">
        <v>744</v>
      </c>
      <c r="T25" s="304">
        <f>$L$4</f>
        <v>0</v>
      </c>
      <c r="U25" s="1094" t="s">
        <v>745</v>
      </c>
      <c r="V25" s="327" t="e">
        <f>$S$4</f>
        <v>#VALUE!</v>
      </c>
    </row>
    <row r="26" spans="1:23" ht="30" x14ac:dyDescent="0.25">
      <c r="A26" s="303" t="s">
        <v>875</v>
      </c>
      <c r="B26" s="304">
        <f>Incentives!$I$56</f>
        <v>0</v>
      </c>
      <c r="C26" s="251"/>
      <c r="D26" s="308"/>
      <c r="I26" s="1102"/>
      <c r="J26" s="1094" t="str">
        <f>IF(Incentives!$I$152="Check","Check","Credit Memo")</f>
        <v>Credit Memo</v>
      </c>
      <c r="K26" s="1090" t="str">
        <f>Incentives!$K$152</f>
        <v>Corporate Office</v>
      </c>
      <c r="L26" s="327"/>
      <c r="N26" s="139"/>
      <c r="O26" s="707" t="s">
        <v>1163</v>
      </c>
      <c r="P26" s="707"/>
      <c r="Q26" s="782">
        <f>D62</f>
        <v>0</v>
      </c>
      <c r="S26" s="303" t="s">
        <v>894</v>
      </c>
      <c r="T26" s="304" t="e">
        <f>Incentives!#REF!</f>
        <v>#REF!</v>
      </c>
      <c r="U26" s="307" t="e">
        <f>IF($T$26="Check","Check","Credit Memo")</f>
        <v>#REF!</v>
      </c>
      <c r="V26" s="645" t="e">
        <f>Incentives!#REF!</f>
        <v>#REF!</v>
      </c>
    </row>
    <row r="27" spans="1:23" x14ac:dyDescent="0.25">
      <c r="A27" s="139" t="s">
        <v>1190</v>
      </c>
      <c r="B27" s="1090">
        <f>Incentives!$G$56</f>
        <v>0</v>
      </c>
      <c r="D27" s="140"/>
      <c r="I27" s="139"/>
      <c r="L27" s="140"/>
      <c r="N27" s="783" t="s">
        <v>1162</v>
      </c>
      <c r="O27" s="707" t="s">
        <v>744</v>
      </c>
      <c r="P27" s="707" t="s">
        <v>745</v>
      </c>
      <c r="Q27" s="784"/>
      <c r="S27" s="139"/>
      <c r="T27" s="1090" t="s">
        <v>872</v>
      </c>
      <c r="V27" s="140"/>
    </row>
    <row r="28" spans="1:23" ht="30" x14ac:dyDescent="0.25">
      <c r="A28" s="139"/>
      <c r="B28" s="311" t="s">
        <v>126</v>
      </c>
      <c r="C28" s="311" t="s">
        <v>128</v>
      </c>
      <c r="D28" s="714" t="s">
        <v>748</v>
      </c>
      <c r="E28" s="328"/>
      <c r="I28" s="139"/>
      <c r="L28" s="140"/>
      <c r="N28" s="785" t="s">
        <v>1165</v>
      </c>
      <c r="O28" s="1177">
        <f>L4</f>
        <v>0</v>
      </c>
      <c r="P28" s="1177">
        <f>O28+363</f>
        <v>363</v>
      </c>
      <c r="Q28" s="786" t="e">
        <f>$C$62/$B$62</f>
        <v>#VALUE!</v>
      </c>
      <c r="S28" s="139"/>
      <c r="V28" s="140"/>
    </row>
    <row r="29" spans="1:23" ht="30" x14ac:dyDescent="0.25">
      <c r="A29" s="139"/>
      <c r="B29" s="347">
        <v>0</v>
      </c>
      <c r="C29" s="351">
        <f>ROUND(IF(ISERROR(B30-0.01),"",B30-0.01),2)</f>
        <v>-0.01</v>
      </c>
      <c r="D29" s="717">
        <f>Incentives!$K$59</f>
        <v>0</v>
      </c>
      <c r="I29" s="332">
        <v>1</v>
      </c>
      <c r="J29" s="313" t="s">
        <v>753</v>
      </c>
      <c r="K29" s="780">
        <f>IF(B60="YES - Purchase Commitment",Incentives!$M$155,Incentives!$K$155)</f>
        <v>0</v>
      </c>
      <c r="L29" s="140"/>
      <c r="N29" s="785" t="s">
        <v>1166</v>
      </c>
      <c r="O29" s="1177">
        <f>P28+1</f>
        <v>364</v>
      </c>
      <c r="P29" s="1177">
        <f>O29+370</f>
        <v>734</v>
      </c>
      <c r="Q29" s="786" t="e">
        <f>$C$62/$B$62</f>
        <v>#VALUE!</v>
      </c>
      <c r="S29" s="332">
        <v>2</v>
      </c>
      <c r="T29" s="313" t="s">
        <v>753</v>
      </c>
      <c r="U29" s="780" t="e">
        <f>Incentives!#REF!</f>
        <v>#REF!</v>
      </c>
      <c r="V29" s="140"/>
    </row>
    <row r="30" spans="1:23" x14ac:dyDescent="0.25">
      <c r="A30" s="139"/>
      <c r="B30" s="345">
        <f>ROUND(Incentives!$G$61,0)</f>
        <v>0</v>
      </c>
      <c r="C30" s="351">
        <f t="shared" ref="C30:C31" si="1">ROUND(IF(ISERROR(B31-0.01),"",B31-0.01),2)</f>
        <v>-0.01</v>
      </c>
      <c r="D30" s="717">
        <f>Incentives!$K$61</f>
        <v>0</v>
      </c>
      <c r="I30" s="853" t="str">
        <f>IF($B$60="YES - Purchase Commitment",3,"")</f>
        <v/>
      </c>
      <c r="J30" s="313" t="str">
        <f>IF($B$60="YES - Purchase Commitment","Min Sales Required","")</f>
        <v/>
      </c>
      <c r="K30" s="781">
        <f>$G$4</f>
        <v>0</v>
      </c>
      <c r="L30" s="140" t="s">
        <v>876</v>
      </c>
      <c r="N30" s="785" t="s">
        <v>1167</v>
      </c>
      <c r="O30" s="1177">
        <f>P29+1</f>
        <v>735</v>
      </c>
      <c r="P30" s="1177">
        <f>O30+363</f>
        <v>1098</v>
      </c>
      <c r="Q30" s="786" t="e">
        <f>$C$62/$B$62</f>
        <v>#VALUE!</v>
      </c>
      <c r="S30" s="139"/>
      <c r="V30" s="140"/>
    </row>
    <row r="31" spans="1:23" x14ac:dyDescent="0.25">
      <c r="A31" s="139"/>
      <c r="B31" s="345">
        <f>ROUND(Incentives!$G$62,0)</f>
        <v>0</v>
      </c>
      <c r="C31" s="351">
        <f t="shared" si="1"/>
        <v>-0.01</v>
      </c>
      <c r="D31" s="717">
        <f>Incentives!$K$62</f>
        <v>0</v>
      </c>
      <c r="I31" s="853">
        <f>IF($B$60="YES - Purchase Commitment"," ",3)</f>
        <v>3</v>
      </c>
      <c r="J31" s="313" t="str">
        <f>IF($B$60="YES - Purchase Commitment"," ","Min Sales Required")</f>
        <v>Min Sales Required</v>
      </c>
      <c r="K31" s="781" t="e">
        <f>IF($B$60="YES - Purchase Commitment","",$G$4*$G$5)</f>
        <v>#VALUE!</v>
      </c>
      <c r="L31" s="645" t="s">
        <v>759</v>
      </c>
      <c r="N31" s="785" t="s">
        <v>1168</v>
      </c>
      <c r="O31" s="1177">
        <f>P30+1</f>
        <v>1099</v>
      </c>
      <c r="P31" s="1177">
        <f>O31+363</f>
        <v>1462</v>
      </c>
      <c r="Q31" s="786" t="e">
        <f>$C$62/$B$62</f>
        <v>#VALUE!</v>
      </c>
      <c r="S31" s="139"/>
      <c r="V31" s="140"/>
    </row>
    <row r="32" spans="1:23" ht="15.75" thickBot="1" x14ac:dyDescent="0.3">
      <c r="A32" s="267"/>
      <c r="B32" s="346">
        <f>ROUND(Incentives!$G$63,0)</f>
        <v>0</v>
      </c>
      <c r="C32" s="320">
        <v>999999.99</v>
      </c>
      <c r="D32" s="716">
        <f>Incentives!$K$63</f>
        <v>0</v>
      </c>
      <c r="E32" s="329"/>
      <c r="F32" s="268"/>
      <c r="G32" s="268"/>
      <c r="H32" s="325"/>
      <c r="I32" s="267"/>
      <c r="J32" s="268"/>
      <c r="K32" s="268"/>
      <c r="L32" s="269"/>
      <c r="N32" s="787" t="s">
        <v>1169</v>
      </c>
      <c r="O32" s="788">
        <f>P31+1</f>
        <v>1463</v>
      </c>
      <c r="P32" s="788">
        <f>O32+363</f>
        <v>1826</v>
      </c>
      <c r="Q32" s="789" t="e">
        <f>$C$62/$B$62</f>
        <v>#VALUE!</v>
      </c>
      <c r="S32" s="267"/>
      <c r="T32" s="268"/>
      <c r="U32" s="268"/>
      <c r="V32" s="269"/>
    </row>
    <row r="33" spans="1:22" ht="16.5" thickBot="1" x14ac:dyDescent="0.3">
      <c r="E33" s="835"/>
      <c r="H33" s="793"/>
      <c r="I33" s="1404" t="s">
        <v>752</v>
      </c>
      <c r="J33" s="1405"/>
      <c r="K33" s="1405"/>
      <c r="L33" s="1406"/>
      <c r="M33" s="793"/>
      <c r="N33" s="1407" t="s">
        <v>1063</v>
      </c>
      <c r="O33" s="1408"/>
      <c r="P33" s="1408"/>
      <c r="Q33" s="1409"/>
      <c r="R33" s="793"/>
      <c r="S33" s="1407" t="s">
        <v>1191</v>
      </c>
      <c r="T33" s="1408"/>
      <c r="U33" s="1408"/>
      <c r="V33" s="1409"/>
    </row>
    <row r="34" spans="1:22" ht="15.75" thickBot="1" x14ac:dyDescent="0.3">
      <c r="A34" s="1384" t="s">
        <v>531</v>
      </c>
      <c r="B34" s="1385"/>
      <c r="C34" s="1385"/>
      <c r="D34" s="1386"/>
      <c r="E34" s="294"/>
      <c r="F34" s="137"/>
      <c r="G34" s="137"/>
      <c r="H34" s="295"/>
      <c r="I34" s="1392" t="s">
        <v>755</v>
      </c>
      <c r="J34" s="1393"/>
      <c r="K34" s="1393"/>
      <c r="L34" s="1394"/>
      <c r="M34" s="793"/>
      <c r="N34" s="1395" t="s">
        <v>754</v>
      </c>
      <c r="O34" s="1396"/>
      <c r="P34" s="1396"/>
      <c r="Q34" s="1397"/>
      <c r="R34" s="793"/>
      <c r="S34" s="1387" t="s">
        <v>1197</v>
      </c>
      <c r="T34" s="1388"/>
      <c r="U34" s="1388"/>
      <c r="V34" s="1389"/>
    </row>
    <row r="35" spans="1:22" x14ac:dyDescent="0.25">
      <c r="A35" s="303" t="s">
        <v>732</v>
      </c>
      <c r="B35" s="304">
        <f>$L$4</f>
        <v>0</v>
      </c>
      <c r="C35" s="251" t="s">
        <v>743</v>
      </c>
      <c r="D35" s="308" t="e">
        <f>$S$4</f>
        <v>#VALUE!</v>
      </c>
      <c r="I35" s="336" t="s">
        <v>744</v>
      </c>
      <c r="J35" s="297">
        <f>$L$4</f>
        <v>0</v>
      </c>
      <c r="K35" s="337" t="s">
        <v>745</v>
      </c>
      <c r="L35" s="338" t="e">
        <f>$S$4</f>
        <v>#VALUE!</v>
      </c>
      <c r="N35" s="139" t="s">
        <v>1064</v>
      </c>
      <c r="O35" s="340">
        <f>$L$4</f>
        <v>0</v>
      </c>
      <c r="P35" s="1090" t="s">
        <v>745</v>
      </c>
      <c r="Q35" s="327" t="e">
        <f>$S$4</f>
        <v>#VALUE!</v>
      </c>
      <c r="S35" s="139" t="s">
        <v>803</v>
      </c>
      <c r="T35" s="340">
        <f>$L$4</f>
        <v>0</v>
      </c>
      <c r="U35" s="1094" t="s">
        <v>745</v>
      </c>
      <c r="V35" s="327" t="e">
        <f>$S$4</f>
        <v>#VALUE!</v>
      </c>
    </row>
    <row r="36" spans="1:22" ht="45" x14ac:dyDescent="0.25">
      <c r="A36" s="303" t="s">
        <v>895</v>
      </c>
      <c r="B36" s="304">
        <f>Incentives!$I$84</f>
        <v>0</v>
      </c>
      <c r="C36" s="251"/>
      <c r="D36" s="308"/>
      <c r="I36" s="303" t="s">
        <v>894</v>
      </c>
      <c r="J36" s="304">
        <f>Incentives!$I$120</f>
        <v>0</v>
      </c>
      <c r="K36" s="307" t="str">
        <f>IF(J36="Check","Check","Credit Memo")</f>
        <v>Credit Memo</v>
      </c>
      <c r="L36" s="645">
        <f>Incentives!$K$120</f>
        <v>0</v>
      </c>
      <c r="N36" s="303" t="s">
        <v>894</v>
      </c>
      <c r="O36" s="251" t="str">
        <f>$B$82</f>
        <v>Select Payment Method</v>
      </c>
      <c r="Q36" s="140"/>
      <c r="S36" s="303" t="s">
        <v>1193</v>
      </c>
      <c r="T36" s="251">
        <f>$B$46</f>
        <v>0</v>
      </c>
      <c r="V36" s="140"/>
    </row>
    <row r="37" spans="1:22" x14ac:dyDescent="0.25">
      <c r="A37" s="139" t="s">
        <v>1190</v>
      </c>
      <c r="B37" s="1090">
        <f>Incentives!$G$84</f>
        <v>0</v>
      </c>
      <c r="D37" s="140"/>
      <c r="I37" s="729" t="s">
        <v>1190</v>
      </c>
      <c r="J37" s="1090">
        <f>B54</f>
        <v>0</v>
      </c>
      <c r="L37" s="140"/>
      <c r="N37" s="139"/>
      <c r="Q37" s="140"/>
      <c r="S37" s="139" t="s">
        <v>1194</v>
      </c>
      <c r="T37" s="1090">
        <f>$B$47</f>
        <v>0</v>
      </c>
      <c r="V37" s="140"/>
    </row>
    <row r="38" spans="1:22" ht="30" x14ac:dyDescent="0.25">
      <c r="A38" s="139"/>
      <c r="B38" s="311" t="s">
        <v>126</v>
      </c>
      <c r="C38" s="311" t="s">
        <v>128</v>
      </c>
      <c r="D38" s="714" t="s">
        <v>522</v>
      </c>
      <c r="I38" s="729">
        <v>3</v>
      </c>
      <c r="J38" s="313" t="s">
        <v>1196</v>
      </c>
      <c r="K38" s="18">
        <f>D55</f>
        <v>0</v>
      </c>
      <c r="L38" s="140"/>
      <c r="N38" s="139"/>
      <c r="O38" s="1090" t="s">
        <v>753</v>
      </c>
      <c r="P38" s="22">
        <f>D84</f>
        <v>0</v>
      </c>
      <c r="Q38" s="140"/>
      <c r="S38" s="139"/>
      <c r="U38" s="1090" t="s">
        <v>1188</v>
      </c>
      <c r="V38" s="807">
        <f>$C$48</f>
        <v>0</v>
      </c>
    </row>
    <row r="39" spans="1:22" x14ac:dyDescent="0.25">
      <c r="A39" s="139"/>
      <c r="B39" s="712">
        <v>0</v>
      </c>
      <c r="C39" s="713">
        <f>IF(ISERROR(B40-0.01),"",(B40-0.0001))</f>
        <v>-1E-4</v>
      </c>
      <c r="D39" s="715">
        <v>0</v>
      </c>
      <c r="I39" s="729">
        <v>4</v>
      </c>
      <c r="J39" s="313" t="s">
        <v>1195</v>
      </c>
      <c r="K39" s="18">
        <f>$C$55</f>
        <v>0</v>
      </c>
      <c r="L39" s="140"/>
      <c r="N39" s="139"/>
      <c r="Q39" s="140"/>
      <c r="S39" s="139"/>
      <c r="U39" s="1090" t="s">
        <v>1189</v>
      </c>
      <c r="V39" s="718">
        <f>D48</f>
        <v>0</v>
      </c>
    </row>
    <row r="40" spans="1:22" ht="15.75" thickBot="1" x14ac:dyDescent="0.3">
      <c r="A40" s="139"/>
      <c r="B40" s="315">
        <f>Incentives!$G$89</f>
        <v>0</v>
      </c>
      <c r="C40" s="713" t="str">
        <f>IF(OR(ISERROR(B41-0.01),B41=0),"",(B41-0.0001))</f>
        <v/>
      </c>
      <c r="D40" s="717">
        <f>Incentives!$K$89</f>
        <v>0</v>
      </c>
      <c r="I40" s="267"/>
      <c r="J40" s="268"/>
      <c r="K40" s="268"/>
      <c r="L40" s="269"/>
      <c r="N40" s="267"/>
      <c r="O40" s="268"/>
      <c r="P40" s="268"/>
      <c r="Q40" s="269"/>
      <c r="S40" s="267"/>
      <c r="T40" s="268"/>
      <c r="U40" s="268"/>
      <c r="V40" s="269"/>
    </row>
    <row r="41" spans="1:22" ht="16.5" thickBot="1" x14ac:dyDescent="0.3">
      <c r="A41" s="139"/>
      <c r="B41" s="315">
        <f>Incentives!$G$90</f>
        <v>0</v>
      </c>
      <c r="C41" s="713" t="str">
        <f>IF(OR(ISERROR(B42-0.01),B42=0),"",(B42-0.0001))</f>
        <v/>
      </c>
      <c r="D41" s="717">
        <f>Incentives!$K$90</f>
        <v>0</v>
      </c>
      <c r="H41" s="832"/>
      <c r="N41" s="1398" t="s">
        <v>1238</v>
      </c>
      <c r="O41" s="1399"/>
      <c r="P41" s="1399"/>
      <c r="Q41" s="1400"/>
      <c r="S41" s="1398"/>
      <c r="T41" s="1399"/>
      <c r="U41" s="1399"/>
      <c r="V41" s="1400"/>
    </row>
    <row r="42" spans="1:22" ht="15.75" thickBot="1" x14ac:dyDescent="0.3">
      <c r="A42" s="267"/>
      <c r="B42" s="321">
        <f>Incentives!$G$91</f>
        <v>0</v>
      </c>
      <c r="C42" s="331">
        <v>1</v>
      </c>
      <c r="D42" s="716">
        <f>Incentives!$K$91</f>
        <v>0</v>
      </c>
      <c r="E42" s="329"/>
      <c r="N42" s="1387" t="s">
        <v>1239</v>
      </c>
      <c r="O42" s="1388"/>
      <c r="P42" s="1388"/>
      <c r="Q42" s="1389"/>
      <c r="S42" s="1387"/>
      <c r="T42" s="1388"/>
      <c r="U42" s="1388"/>
      <c r="V42" s="1389"/>
    </row>
    <row r="43" spans="1:22" ht="15.75" thickBot="1" x14ac:dyDescent="0.3">
      <c r="E43" s="835"/>
      <c r="F43" s="836"/>
      <c r="G43" s="838"/>
      <c r="H43" s="793"/>
      <c r="I43" s="790"/>
      <c r="J43" s="344" t="s">
        <v>736</v>
      </c>
      <c r="K43" s="791" t="s">
        <v>737</v>
      </c>
      <c r="L43" s="747"/>
      <c r="N43" s="852" t="s">
        <v>744</v>
      </c>
      <c r="O43" s="297">
        <f>$L$4</f>
        <v>0</v>
      </c>
      <c r="P43" s="337" t="s">
        <v>745</v>
      </c>
      <c r="Q43" s="338" t="e">
        <f>$S$4</f>
        <v>#VALUE!</v>
      </c>
      <c r="S43" s="852"/>
      <c r="T43" s="297"/>
      <c r="U43" s="337"/>
      <c r="V43" s="338"/>
    </row>
    <row r="44" spans="1:22" x14ac:dyDescent="0.25">
      <c r="A44" s="1384" t="s">
        <v>1191</v>
      </c>
      <c r="B44" s="1385"/>
      <c r="C44" s="1385"/>
      <c r="D44" s="1386"/>
      <c r="E44" s="294"/>
      <c r="I44" s="833">
        <v>1</v>
      </c>
      <c r="J44" s="273">
        <f>IFERROR('MDA Worksheet'!D95,"")</f>
        <v>0</v>
      </c>
      <c r="K44" s="702" t="str">
        <f>IFERROR('MDA Worksheet'!$K$95,"")</f>
        <v/>
      </c>
      <c r="N44" s="139"/>
      <c r="Q44" s="140"/>
      <c r="S44" s="139"/>
      <c r="V44" s="140"/>
    </row>
    <row r="45" spans="1:22" x14ac:dyDescent="0.25">
      <c r="A45" s="139" t="s">
        <v>742</v>
      </c>
      <c r="B45" s="304">
        <f>$L$4</f>
        <v>0</v>
      </c>
      <c r="D45" s="308" t="e">
        <f>$S$4</f>
        <v>#VALUE!</v>
      </c>
      <c r="I45" s="834">
        <v>2</v>
      </c>
      <c r="J45" s="274">
        <f>IFERROR('MDA Worksheet'!D96,"")</f>
        <v>0</v>
      </c>
      <c r="K45" s="1098" t="str">
        <f>IFERROR('MDA Worksheet'!K96,"")</f>
        <v/>
      </c>
      <c r="N45" s="139"/>
      <c r="O45" s="1090" t="str">
        <f>B68</f>
        <v>Select Payment Method</v>
      </c>
      <c r="Q45" s="140"/>
      <c r="S45" s="139"/>
      <c r="V45" s="140"/>
    </row>
    <row r="46" spans="1:22" x14ac:dyDescent="0.25">
      <c r="A46" s="814" t="s">
        <v>875</v>
      </c>
      <c r="B46" s="1090">
        <f>Incentives!$I$112</f>
        <v>0</v>
      </c>
      <c r="D46" s="140"/>
      <c r="I46" s="834">
        <v>3</v>
      </c>
      <c r="J46" s="274">
        <f>IFERROR('MDA Worksheet'!D97,"")</f>
        <v>0</v>
      </c>
      <c r="K46" s="1098" t="str">
        <f>IFERROR('MDA Worksheet'!K97,"")</f>
        <v/>
      </c>
      <c r="N46" s="139"/>
      <c r="Q46" s="140"/>
      <c r="S46" s="139"/>
      <c r="V46" s="140"/>
    </row>
    <row r="47" spans="1:22" ht="30" x14ac:dyDescent="0.25">
      <c r="A47" s="814" t="s">
        <v>1190</v>
      </c>
      <c r="B47" s="1090">
        <f>Incentives!$G$112</f>
        <v>0</v>
      </c>
      <c r="C47" s="747" t="s">
        <v>1188</v>
      </c>
      <c r="D47" s="815" t="s">
        <v>1189</v>
      </c>
      <c r="I47" s="834">
        <v>4</v>
      </c>
      <c r="J47" s="274">
        <f>IFERROR('MDA Worksheet'!D98,"")</f>
        <v>0</v>
      </c>
      <c r="K47" s="1098" t="str">
        <f>IFERROR('MDA Worksheet'!K98,"")</f>
        <v/>
      </c>
      <c r="N47" s="332">
        <v>1</v>
      </c>
      <c r="O47" s="313" t="s">
        <v>753</v>
      </c>
      <c r="P47" s="866">
        <f>B69</f>
        <v>0</v>
      </c>
      <c r="Q47" s="140"/>
      <c r="S47" s="1103"/>
      <c r="T47" s="313"/>
      <c r="U47" s="892"/>
      <c r="V47" s="140"/>
    </row>
    <row r="48" spans="1:22" x14ac:dyDescent="0.25">
      <c r="A48" s="139"/>
      <c r="C48" s="781">
        <f>Incentives!$G$115</f>
        <v>0</v>
      </c>
      <c r="D48" s="719">
        <f>Incentives!$I$115</f>
        <v>0</v>
      </c>
      <c r="I48" s="834">
        <v>5</v>
      </c>
      <c r="J48" s="274">
        <f>IFERROR('MDA Worksheet'!D99,"")</f>
        <v>0</v>
      </c>
      <c r="K48" s="1098" t="str">
        <f>IFERROR('MDA Worksheet'!K99,"")</f>
        <v/>
      </c>
      <c r="N48" s="853" t="str">
        <f>IF($B$60="YES - Purchase Commitment",3,"")</f>
        <v/>
      </c>
      <c r="O48" s="313" t="str">
        <f>IF($B$60="YES - Purchase Commitment","Min Sales Required","")</f>
        <v/>
      </c>
      <c r="P48" s="781">
        <f>$G$4</f>
        <v>0</v>
      </c>
      <c r="Q48" s="140" t="s">
        <v>876</v>
      </c>
      <c r="S48" s="853"/>
      <c r="T48" s="313"/>
      <c r="U48" s="893"/>
      <c r="V48" s="140"/>
    </row>
    <row r="49" spans="1:22" ht="30.75" thickBot="1" x14ac:dyDescent="0.3">
      <c r="A49" s="267"/>
      <c r="B49" s="268"/>
      <c r="C49" s="268"/>
      <c r="D49" s="269"/>
      <c r="E49" s="329"/>
      <c r="I49" s="834">
        <v>6</v>
      </c>
      <c r="J49" s="274">
        <f>IFERROR('MDA Worksheet'!D100,"")</f>
        <v>0</v>
      </c>
      <c r="K49" s="1098" t="str">
        <f>IFERROR('MDA Worksheet'!K100,"")</f>
        <v/>
      </c>
      <c r="N49" s="865">
        <f>IF($B$60="YES - Purchase Commitment"," ",3)</f>
        <v>3</v>
      </c>
      <c r="O49" s="313" t="str">
        <f>IF($B$60="YES - Purchase Commitment"," ","Min Sales Required")</f>
        <v>Min Sales Required</v>
      </c>
      <c r="P49" s="781" t="e">
        <f>$D$72</f>
        <v>#VALUE!</v>
      </c>
      <c r="Q49" s="645" t="s">
        <v>759</v>
      </c>
      <c r="S49" s="853"/>
      <c r="T49" s="313"/>
      <c r="U49" s="893"/>
      <c r="V49" s="645"/>
    </row>
    <row r="50" spans="1:22" ht="15.75" thickBot="1" x14ac:dyDescent="0.3">
      <c r="E50" s="835"/>
      <c r="F50" s="836"/>
      <c r="G50" s="838"/>
      <c r="H50" s="793"/>
      <c r="I50" s="834">
        <v>7</v>
      </c>
      <c r="J50" s="274">
        <f>IFERROR('MDA Worksheet'!D101,"")</f>
        <v>0</v>
      </c>
      <c r="K50" s="1098" t="str">
        <f>IFERROR('MDA Worksheet'!K101,"")</f>
        <v/>
      </c>
      <c r="N50" s="139"/>
      <c r="Q50" s="140"/>
      <c r="S50" s="139"/>
      <c r="V50" s="140"/>
    </row>
    <row r="51" spans="1:22" x14ac:dyDescent="0.25">
      <c r="A51" s="1384" t="s">
        <v>752</v>
      </c>
      <c r="B51" s="1385"/>
      <c r="C51" s="1385"/>
      <c r="D51" s="1386"/>
      <c r="E51" s="294"/>
      <c r="I51" s="834">
        <v>8</v>
      </c>
      <c r="J51" s="274">
        <f>IFERROR('MDA Worksheet'!D102,"")</f>
        <v>0</v>
      </c>
      <c r="K51" s="1098" t="str">
        <f>IFERROR('MDA Worksheet'!K102,"")</f>
        <v/>
      </c>
      <c r="N51" s="139" t="s">
        <v>1241</v>
      </c>
      <c r="O51" s="1390" t="str">
        <f>"Amount to be paid to the customer $ "&amp;TEXT(D69,"#,###,###.00")</f>
        <v>Amount to be paid to the customer $ .00</v>
      </c>
      <c r="P51" s="1390"/>
      <c r="Q51" s="1391"/>
      <c r="S51" s="139"/>
      <c r="T51" s="1178"/>
      <c r="U51" s="1178"/>
      <c r="V51" s="1179"/>
    </row>
    <row r="52" spans="1:22" x14ac:dyDescent="0.25">
      <c r="A52" s="303" t="s">
        <v>732</v>
      </c>
      <c r="B52" s="304">
        <f>$L$4</f>
        <v>0</v>
      </c>
      <c r="C52" s="251" t="s">
        <v>743</v>
      </c>
      <c r="D52" s="308" t="e">
        <f>$S$4</f>
        <v>#VALUE!</v>
      </c>
      <c r="I52" s="834">
        <v>9</v>
      </c>
      <c r="J52" s="274">
        <f>IFERROR('MDA Worksheet'!D103,"")</f>
        <v>0</v>
      </c>
      <c r="K52" s="1098" t="str">
        <f>IFERROR('MDA Worksheet'!K103,"")</f>
        <v/>
      </c>
      <c r="N52" s="139"/>
      <c r="O52" s="1390" t="str">
        <f>"Claw Back Amount $ "&amp;TEXT(D71,"#,###,###.00")</f>
        <v>Claw Back Amount $ .00</v>
      </c>
      <c r="P52" s="1390"/>
      <c r="Q52" s="1391"/>
      <c r="S52" s="139"/>
      <c r="T52" s="1178"/>
      <c r="U52" s="1178"/>
      <c r="V52" s="1179"/>
    </row>
    <row r="53" spans="1:22" ht="15.75" thickBot="1" x14ac:dyDescent="0.3">
      <c r="A53" s="139" t="s">
        <v>875</v>
      </c>
      <c r="B53" s="1090">
        <f>Incentives!$I$120</f>
        <v>0</v>
      </c>
      <c r="D53" s="140"/>
      <c r="I53" s="500">
        <v>10</v>
      </c>
      <c r="J53" s="276">
        <f>IFERROR('MDA Worksheet'!D104,"")</f>
        <v>0</v>
      </c>
      <c r="K53" s="1104" t="str">
        <f>IFERROR('MDA Worksheet'!K104,"")</f>
        <v/>
      </c>
      <c r="L53" s="268"/>
      <c r="M53" s="325"/>
      <c r="N53" s="267"/>
      <c r="O53" s="867"/>
      <c r="P53" s="867"/>
      <c r="Q53" s="868"/>
      <c r="R53" s="325"/>
      <c r="S53" s="267"/>
      <c r="T53" s="1180"/>
      <c r="U53" s="1180"/>
      <c r="V53" s="1181"/>
    </row>
    <row r="54" spans="1:22" x14ac:dyDescent="0.25">
      <c r="A54" s="139" t="s">
        <v>1190</v>
      </c>
      <c r="B54" s="1090">
        <f>Incentives!$G$120</f>
        <v>0</v>
      </c>
      <c r="C54" s="311" t="s">
        <v>522</v>
      </c>
      <c r="D54" s="813" t="s">
        <v>229</v>
      </c>
    </row>
    <row r="55" spans="1:22" ht="15.75" thickBot="1" x14ac:dyDescent="0.3">
      <c r="A55" s="267"/>
      <c r="B55" s="268"/>
      <c r="C55" s="803">
        <f>Incentives!$K$123</f>
        <v>0</v>
      </c>
      <c r="D55" s="716">
        <f>Incentives!$G$123</f>
        <v>0</v>
      </c>
    </row>
    <row r="56" spans="1:22" ht="15.75" thickBot="1" x14ac:dyDescent="0.3">
      <c r="E56" s="835"/>
      <c r="F56" s="836"/>
      <c r="G56" s="838"/>
      <c r="H56" s="793"/>
    </row>
    <row r="57" spans="1:22" x14ac:dyDescent="0.25">
      <c r="A57" s="1384" t="s">
        <v>1181</v>
      </c>
      <c r="B57" s="1385"/>
      <c r="C57" s="1385"/>
      <c r="D57" s="1386"/>
    </row>
    <row r="58" spans="1:22" x14ac:dyDescent="0.25">
      <c r="A58" s="303" t="s">
        <v>732</v>
      </c>
      <c r="B58" s="304">
        <f>$L$4</f>
        <v>0</v>
      </c>
      <c r="C58" s="251" t="s">
        <v>743</v>
      </c>
      <c r="D58" s="308" t="e">
        <f>$S$4</f>
        <v>#VALUE!</v>
      </c>
    </row>
    <row r="59" spans="1:22" x14ac:dyDescent="0.25">
      <c r="A59" s="139" t="s">
        <v>875</v>
      </c>
      <c r="B59" s="1090">
        <f>Incentives!$I$152</f>
        <v>0</v>
      </c>
      <c r="D59" s="140"/>
    </row>
    <row r="60" spans="1:22" x14ac:dyDescent="0.25">
      <c r="A60" s="139" t="s">
        <v>1142</v>
      </c>
      <c r="B60" s="1090" t="str">
        <f>Incentives!G152</f>
        <v>Program</v>
      </c>
      <c r="D60" s="140"/>
    </row>
    <row r="61" spans="1:22" x14ac:dyDescent="0.25">
      <c r="A61" s="139"/>
      <c r="B61" s="859" t="s">
        <v>1236</v>
      </c>
      <c r="C61" s="859" t="s">
        <v>753</v>
      </c>
      <c r="D61" s="813" t="s">
        <v>799</v>
      </c>
    </row>
    <row r="62" spans="1:22" x14ac:dyDescent="0.25">
      <c r="A62" s="139"/>
      <c r="B62" s="858" t="str">
        <f>IF(B60="No","",Welcome!D12)</f>
        <v>Select Term</v>
      </c>
      <c r="C62" s="862">
        <f>IF($B$60="YES - Purchase Commitment",Incentives!$K$155/$G$5,Incentives!$K$155)</f>
        <v>0</v>
      </c>
      <c r="D62" s="863">
        <f>$G$4</f>
        <v>0</v>
      </c>
    </row>
    <row r="63" spans="1:22" x14ac:dyDescent="0.25">
      <c r="A63" s="139"/>
      <c r="C63" s="855"/>
      <c r="D63" s="864" t="s">
        <v>1237</v>
      </c>
    </row>
    <row r="64" spans="1:22" x14ac:dyDescent="0.25">
      <c r="A64" s="139"/>
      <c r="C64" s="855"/>
      <c r="D64" s="717" t="e">
        <f>Incentives!$K$155/(Incentives!$G$5*Incentives!$G$4)</f>
        <v>#VALUE!</v>
      </c>
    </row>
    <row r="65" spans="1:8" ht="15.75" thickBot="1" x14ac:dyDescent="0.3">
      <c r="A65" s="267"/>
      <c r="B65" s="268"/>
      <c r="C65" s="268"/>
      <c r="D65" s="269"/>
    </row>
    <row r="66" spans="1:8" ht="15.75" thickBot="1" x14ac:dyDescent="0.3">
      <c r="A66" s="1384" t="s">
        <v>1224</v>
      </c>
      <c r="B66" s="1385"/>
      <c r="C66" s="1385"/>
      <c r="D66" s="1386"/>
      <c r="E66" s="835"/>
      <c r="F66" s="836"/>
      <c r="G66" s="838"/>
      <c r="H66" s="793"/>
    </row>
    <row r="67" spans="1:8" x14ac:dyDescent="0.25">
      <c r="A67" s="296" t="s">
        <v>732</v>
      </c>
      <c r="B67" s="297">
        <f>$L$4</f>
        <v>0</v>
      </c>
      <c r="C67" s="298" t="s">
        <v>743</v>
      </c>
      <c r="D67" s="302" t="e">
        <f>$S$4</f>
        <v>#VALUE!</v>
      </c>
    </row>
    <row r="68" spans="1:8" x14ac:dyDescent="0.25">
      <c r="A68" s="139" t="s">
        <v>875</v>
      </c>
      <c r="B68" s="1098" t="str">
        <f>Incentives!$I$160</f>
        <v>Select Payment Method</v>
      </c>
      <c r="D68" s="140"/>
    </row>
    <row r="69" spans="1:8" x14ac:dyDescent="0.25">
      <c r="A69" s="1182" t="s">
        <v>1234</v>
      </c>
      <c r="B69" s="1183">
        <f>Incentives!$M$160</f>
        <v>0</v>
      </c>
      <c r="C69" s="859" t="s">
        <v>1230</v>
      </c>
      <c r="D69" s="856">
        <f>Incentives!$G$160</f>
        <v>0</v>
      </c>
    </row>
    <row r="70" spans="1:8" x14ac:dyDescent="0.25">
      <c r="A70" s="1182" t="s">
        <v>1231</v>
      </c>
      <c r="B70" s="1184">
        <f>Incentives!$G$164</f>
        <v>0</v>
      </c>
      <c r="C70" s="860" t="s">
        <v>795</v>
      </c>
      <c r="D70" s="1185">
        <f>Incentives!$I$164</f>
        <v>0</v>
      </c>
    </row>
    <row r="71" spans="1:8" x14ac:dyDescent="0.25">
      <c r="A71" s="1182" t="s">
        <v>1232</v>
      </c>
      <c r="B71" s="1186">
        <f>Incentives!$K$164</f>
        <v>0</v>
      </c>
      <c r="C71" s="860" t="s">
        <v>1233</v>
      </c>
      <c r="D71" s="856">
        <f>Incentives!$K$160</f>
        <v>0</v>
      </c>
    </row>
    <row r="72" spans="1:8" ht="15.75" thickBot="1" x14ac:dyDescent="0.3">
      <c r="A72" s="267"/>
      <c r="B72" s="268"/>
      <c r="C72" s="861" t="s">
        <v>1235</v>
      </c>
      <c r="D72" s="857" t="e">
        <f>Incentives!$G$5*Incentives!$G$4</f>
        <v>#VALUE!</v>
      </c>
    </row>
    <row r="73" spans="1:8" ht="15.75" thickBot="1" x14ac:dyDescent="0.3"/>
    <row r="74" spans="1:8" x14ac:dyDescent="0.25">
      <c r="A74" s="1384" t="e">
        <f>Incentives!#REF!</f>
        <v>#REF!</v>
      </c>
      <c r="B74" s="1385"/>
      <c r="C74" s="1385"/>
      <c r="D74" s="1385"/>
    </row>
    <row r="75" spans="1:8" x14ac:dyDescent="0.25">
      <c r="A75" s="303" t="s">
        <v>732</v>
      </c>
      <c r="B75" s="304">
        <f>$L$4</f>
        <v>0</v>
      </c>
      <c r="C75" s="251" t="s">
        <v>743</v>
      </c>
      <c r="D75" s="304" t="e">
        <f>$S$4</f>
        <v>#VALUE!</v>
      </c>
    </row>
    <row r="76" spans="1:8" x14ac:dyDescent="0.25">
      <c r="A76" s="139" t="s">
        <v>875</v>
      </c>
      <c r="B76" s="1090" t="e">
        <f>Incentives!#REF!</f>
        <v>#REF!</v>
      </c>
    </row>
    <row r="77" spans="1:8" x14ac:dyDescent="0.25">
      <c r="A77" s="139"/>
      <c r="C77" s="1098" t="s">
        <v>799</v>
      </c>
      <c r="D77" s="1098" t="s">
        <v>753</v>
      </c>
    </row>
    <row r="78" spans="1:8" ht="15.75" thickBot="1" x14ac:dyDescent="0.3">
      <c r="A78" s="267"/>
      <c r="B78" s="268"/>
      <c r="C78" s="343">
        <f>Incentives!$H$9</f>
        <v>0</v>
      </c>
      <c r="D78" s="319" t="e">
        <f>Incentives!#REF!</f>
        <v>#REF!</v>
      </c>
    </row>
    <row r="79" spans="1:8" ht="15.75" thickBot="1" x14ac:dyDescent="0.3"/>
    <row r="80" spans="1:8" ht="15.75" thickBot="1" x14ac:dyDescent="0.3">
      <c r="A80" s="1384" t="s">
        <v>1060</v>
      </c>
      <c r="B80" s="1385"/>
      <c r="C80" s="1385"/>
      <c r="D80" s="1386"/>
      <c r="E80" s="835"/>
      <c r="F80" s="836"/>
      <c r="G80" s="837"/>
      <c r="H80" s="839"/>
    </row>
    <row r="81" spans="1:4" x14ac:dyDescent="0.25">
      <c r="A81" s="139" t="s">
        <v>732</v>
      </c>
      <c r="C81" s="1090" t="s">
        <v>734</v>
      </c>
      <c r="D81" s="140"/>
    </row>
    <row r="82" spans="1:4" x14ac:dyDescent="0.25">
      <c r="A82" s="139" t="s">
        <v>895</v>
      </c>
      <c r="B82" s="1090" t="str">
        <f>Incentives!$I$169</f>
        <v>Select Payment Method</v>
      </c>
      <c r="D82" s="140"/>
    </row>
    <row r="83" spans="1:4" x14ac:dyDescent="0.25">
      <c r="A83" s="139"/>
      <c r="C83" s="1098"/>
      <c r="D83" s="1099" t="s">
        <v>753</v>
      </c>
    </row>
    <row r="84" spans="1:4" ht="15.75" thickBot="1" x14ac:dyDescent="0.3">
      <c r="A84" s="267"/>
      <c r="B84" s="268"/>
      <c r="C84" s="1104"/>
      <c r="D84" s="843">
        <f>Incentives!$G$172</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26" priority="16">
      <formula>$B$60="YES - Annual"</formula>
    </cfRule>
  </conditionalFormatting>
  <conditionalFormatting sqref="B60">
    <cfRule type="cellIs" dxfId="25" priority="19" operator="equal">
      <formula>"YES"</formula>
    </cfRule>
  </conditionalFormatting>
  <conditionalFormatting sqref="N23:Q23">
    <cfRule type="expression" dxfId="24" priority="15">
      <formula>$B$60="Yes"</formula>
    </cfRule>
  </conditionalFormatting>
  <conditionalFormatting sqref="B15 J15">
    <cfRule type="expression" dxfId="23" priority="22">
      <formula>$B$15="Annually"</formula>
    </cfRule>
  </conditionalFormatting>
  <conditionalFormatting sqref="B47">
    <cfRule type="expression" dxfId="22" priority="12">
      <formula>$B$47="Annually"</formula>
    </cfRule>
  </conditionalFormatting>
  <conditionalFormatting sqref="S36:V36">
    <cfRule type="expression" dxfId="21" priority="13">
      <formula>$T$36="Check"</formula>
    </cfRule>
  </conditionalFormatting>
  <conditionalFormatting sqref="B27">
    <cfRule type="cellIs" dxfId="20" priority="11" operator="equal">
      <formula>"Annually"</formula>
    </cfRule>
  </conditionalFormatting>
  <conditionalFormatting sqref="B37">
    <cfRule type="cellIs" dxfId="19" priority="21" operator="equal">
      <formula>"Annually"</formula>
    </cfRule>
  </conditionalFormatting>
  <conditionalFormatting sqref="B54">
    <cfRule type="cellIs" dxfId="18" priority="20" operator="equal">
      <formula>"Annually"</formula>
    </cfRule>
  </conditionalFormatting>
  <conditionalFormatting sqref="O16">
    <cfRule type="cellIs" dxfId="17" priority="10" operator="equal">
      <formula>"Annually"</formula>
    </cfRule>
  </conditionalFormatting>
  <conditionalFormatting sqref="T16">
    <cfRule type="cellIs" dxfId="16" priority="9" operator="equal">
      <formula>"Annually"</formula>
    </cfRule>
  </conditionalFormatting>
  <conditionalFormatting sqref="J37">
    <cfRule type="cellIs" dxfId="15" priority="18" operator="equal">
      <formula>"Annually"</formula>
    </cfRule>
  </conditionalFormatting>
  <conditionalFormatting sqref="T37">
    <cfRule type="expression" dxfId="14" priority="8">
      <formula>$B$47="Annually"</formula>
    </cfRule>
  </conditionalFormatting>
  <conditionalFormatting sqref="I30">
    <cfRule type="expression" dxfId="13" priority="7">
      <formula>$I$30=3</formula>
    </cfRule>
  </conditionalFormatting>
  <conditionalFormatting sqref="I31">
    <cfRule type="expression" dxfId="12" priority="6">
      <formula>$I$31=3</formula>
    </cfRule>
  </conditionalFormatting>
  <conditionalFormatting sqref="B62:B64">
    <cfRule type="expression" dxfId="11" priority="5">
      <formula>$B$60="YES - Annual"</formula>
    </cfRule>
    <cfRule type="expression" dxfId="10" priority="17">
      <formula>$B$60="No"</formula>
    </cfRule>
  </conditionalFormatting>
  <conditionalFormatting sqref="N32:Q32">
    <cfRule type="expression" dxfId="9" priority="14">
      <formula>$B$62=4</formula>
    </cfRule>
  </conditionalFormatting>
  <conditionalFormatting sqref="N31:Q32">
    <cfRule type="expression" dxfId="8" priority="23">
      <formula>$B$62=3</formula>
    </cfRule>
  </conditionalFormatting>
  <conditionalFormatting sqref="N30:Q32">
    <cfRule type="expression" dxfId="7" priority="24">
      <formula>$B$62=2</formula>
    </cfRule>
  </conditionalFormatting>
  <conditionalFormatting sqref="B61:B62">
    <cfRule type="expression" dxfId="6" priority="4">
      <formula>$B$60="NO"</formula>
    </cfRule>
  </conditionalFormatting>
  <conditionalFormatting sqref="B61">
    <cfRule type="expression" dxfId="5" priority="3">
      <formula>$B$60="YES - Annual"</formula>
    </cfRule>
  </conditionalFormatting>
  <conditionalFormatting sqref="D63:D64">
    <cfRule type="expression" dxfId="4" priority="2">
      <formula>$B$60&lt;&gt;"Yes - Purchase Commitment"</formula>
    </cfRule>
  </conditionalFormatting>
  <conditionalFormatting sqref="O45">
    <cfRule type="expression" dxfId="3"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36"/>
      <c r="C1" s="137"/>
      <c r="D1" s="137"/>
      <c r="E1" s="137"/>
      <c r="F1" s="137"/>
      <c r="G1" s="137"/>
      <c r="H1" s="137"/>
      <c r="I1" s="137"/>
      <c r="J1" s="137"/>
      <c r="K1" s="137"/>
      <c r="L1" s="137"/>
      <c r="M1" s="137"/>
      <c r="N1" s="137"/>
      <c r="O1" s="137"/>
      <c r="P1" s="137"/>
      <c r="Q1" s="137"/>
      <c r="R1" s="137"/>
      <c r="S1" s="137"/>
      <c r="T1" s="137"/>
      <c r="U1" s="137"/>
      <c r="V1" s="137"/>
      <c r="W1" s="137"/>
      <c r="X1" s="137"/>
      <c r="Y1" s="137"/>
      <c r="Z1" s="137"/>
      <c r="AA1" s="137"/>
      <c r="AB1" s="137"/>
      <c r="AC1" s="137"/>
      <c r="AD1" s="137"/>
      <c r="AE1" s="137"/>
      <c r="AF1" s="137"/>
      <c r="AG1" s="137"/>
      <c r="AH1" s="137"/>
      <c r="AI1" s="137"/>
      <c r="AJ1" s="137"/>
      <c r="AK1" s="137"/>
      <c r="AL1" s="137"/>
      <c r="AM1" s="137"/>
      <c r="AN1" s="137"/>
      <c r="AO1" s="137"/>
      <c r="AP1" s="137"/>
      <c r="AQ1" s="137"/>
      <c r="AR1" s="137"/>
      <c r="AS1" s="137"/>
      <c r="AT1" s="137"/>
      <c r="AU1" s="137"/>
      <c r="AV1" s="137"/>
      <c r="AW1" s="137"/>
      <c r="AX1" s="137"/>
      <c r="AY1" s="137"/>
      <c r="AZ1" s="137"/>
      <c r="BA1" s="137"/>
      <c r="BB1" s="137"/>
      <c r="BC1" s="137"/>
      <c r="BD1" s="137"/>
      <c r="BE1" s="137"/>
      <c r="BF1" s="339"/>
    </row>
    <row r="2" spans="2:68" ht="36" x14ac:dyDescent="0.55000000000000004">
      <c r="B2" s="1511" t="s">
        <v>724</v>
      </c>
      <c r="C2" s="1512"/>
      <c r="D2" s="1512"/>
      <c r="E2" s="1512"/>
      <c r="F2" s="1512"/>
      <c r="G2" s="1512"/>
      <c r="H2" s="1512"/>
      <c r="I2" s="1512"/>
      <c r="J2" s="1512"/>
      <c r="K2" s="1512"/>
      <c r="L2" s="1512"/>
      <c r="M2" s="1512"/>
      <c r="N2" s="1512"/>
      <c r="O2" s="1512"/>
      <c r="P2" s="1512"/>
      <c r="Q2" s="1512"/>
      <c r="R2" s="1512"/>
      <c r="S2" s="1512"/>
      <c r="T2" s="1512"/>
      <c r="U2" s="1512"/>
      <c r="V2" s="1512"/>
      <c r="W2" s="1512"/>
      <c r="X2" s="1512"/>
      <c r="Y2" s="1512"/>
      <c r="Z2" s="1512"/>
      <c r="AA2" s="1512"/>
      <c r="AB2" s="1512"/>
      <c r="AC2" s="1512"/>
      <c r="AD2" s="1512"/>
      <c r="AE2" s="1512"/>
      <c r="AF2" s="1512"/>
      <c r="AG2" s="1512"/>
      <c r="AH2" s="1512"/>
      <c r="AI2" s="1512"/>
      <c r="AJ2" s="1512"/>
      <c r="AK2" s="1512"/>
      <c r="AL2" s="1512"/>
      <c r="AM2" s="1512"/>
      <c r="AN2" s="1512"/>
      <c r="AO2" s="1512"/>
      <c r="AP2" s="1512"/>
      <c r="AQ2" s="1512"/>
      <c r="AR2" s="1512"/>
      <c r="AS2" s="1512"/>
      <c r="AT2" s="1512"/>
      <c r="AU2" s="1512"/>
      <c r="AV2" s="1512"/>
      <c r="AW2" s="1512"/>
      <c r="AX2" s="1512"/>
      <c r="AY2" s="1512"/>
      <c r="AZ2" s="1512"/>
      <c r="BA2" s="1512"/>
      <c r="BB2" s="1512"/>
      <c r="BC2" s="1512"/>
      <c r="BD2" s="1512"/>
      <c r="BE2" s="1512"/>
      <c r="BF2" s="1513"/>
    </row>
    <row r="3" spans="2:68" x14ac:dyDescent="0.25">
      <c r="B3" s="1514"/>
      <c r="C3" s="1479"/>
      <c r="D3" s="1479"/>
      <c r="E3" s="1479"/>
      <c r="F3" s="1479"/>
      <c r="G3" s="1479"/>
      <c r="H3" s="1479"/>
      <c r="I3" s="1479"/>
      <c r="J3" s="1479"/>
      <c r="K3" s="1479"/>
      <c r="L3" s="1479"/>
      <c r="M3" s="1479"/>
      <c r="N3" s="1479"/>
      <c r="O3" s="1479"/>
      <c r="P3" s="1479"/>
      <c r="Q3" s="1479"/>
      <c r="R3" s="1479"/>
      <c r="S3" s="1479"/>
      <c r="T3" s="1479"/>
      <c r="U3" s="1479"/>
      <c r="V3" s="1479"/>
      <c r="W3" s="1479"/>
      <c r="X3" s="1479"/>
      <c r="Y3" s="1479"/>
      <c r="Z3" s="1479"/>
      <c r="AA3" s="1479"/>
      <c r="AB3" s="1479"/>
      <c r="AC3" s="1479"/>
      <c r="AD3" s="1479"/>
      <c r="AE3" s="1479"/>
      <c r="AF3" s="1479"/>
      <c r="AG3" s="1479"/>
      <c r="AH3" s="1479"/>
      <c r="AI3" s="1479"/>
      <c r="AJ3" s="1479"/>
      <c r="AK3" s="1479"/>
      <c r="AL3" s="1479"/>
      <c r="AM3" s="1479"/>
      <c r="AN3" s="1479"/>
      <c r="AO3" s="1479"/>
      <c r="AP3" s="1479"/>
      <c r="AQ3" s="1479"/>
      <c r="AR3" s="1479"/>
      <c r="AS3" s="1479"/>
      <c r="AT3" s="1479"/>
      <c r="AU3" s="1479"/>
      <c r="AV3" s="1479"/>
      <c r="AW3" s="1479"/>
      <c r="AX3" s="1479"/>
      <c r="AY3" s="1479"/>
      <c r="AZ3" s="1479"/>
      <c r="BA3" s="1479"/>
      <c r="BB3" s="1479"/>
      <c r="BC3" s="1479"/>
      <c r="BD3" s="1479"/>
      <c r="BE3" s="1479"/>
      <c r="BF3" s="1515"/>
    </row>
    <row r="4" spans="2:68" x14ac:dyDescent="0.25">
      <c r="B4" s="139"/>
      <c r="BF4" s="140"/>
    </row>
    <row r="5" spans="2:68" x14ac:dyDescent="0.25">
      <c r="B5" s="139"/>
      <c r="BF5" s="140"/>
    </row>
    <row r="6" spans="2:68" x14ac:dyDescent="0.25">
      <c r="B6" s="139"/>
      <c r="BF6" s="140"/>
    </row>
    <row r="7" spans="2:68" x14ac:dyDescent="0.25">
      <c r="B7" s="139"/>
      <c r="BF7" s="140"/>
    </row>
    <row r="8" spans="2:68" ht="18.75" x14ac:dyDescent="0.3">
      <c r="B8" s="1495" t="s">
        <v>651</v>
      </c>
      <c r="C8" s="1496"/>
      <c r="D8" s="1496"/>
      <c r="E8" s="1496"/>
      <c r="F8" s="1496"/>
      <c r="G8" s="1496"/>
      <c r="H8" s="1496"/>
      <c r="I8" s="1496"/>
      <c r="J8" s="1496"/>
      <c r="K8" s="1496"/>
      <c r="L8" s="1496"/>
      <c r="M8" s="1496"/>
      <c r="N8" s="1496"/>
      <c r="O8" s="1496"/>
      <c r="P8" s="1496"/>
      <c r="Q8" s="1496"/>
      <c r="R8" s="1496"/>
      <c r="S8" s="1496"/>
      <c r="T8" s="1496"/>
      <c r="U8" s="1496"/>
      <c r="V8" s="1496"/>
      <c r="W8" s="1496"/>
      <c r="X8" s="1496"/>
      <c r="Y8" s="1496"/>
      <c r="Z8" s="1496"/>
      <c r="AA8" s="1496"/>
      <c r="AB8" s="1496"/>
      <c r="AC8" s="1496"/>
      <c r="AD8" s="1496"/>
      <c r="AE8" s="1496"/>
      <c r="AF8" s="1496"/>
      <c r="AG8" s="1496"/>
      <c r="AH8" s="1496"/>
      <c r="AI8" s="1496"/>
      <c r="AJ8" s="1496"/>
      <c r="AK8" s="1496"/>
      <c r="AL8" s="1496"/>
      <c r="AM8" s="1496"/>
      <c r="AN8" s="1496"/>
      <c r="AO8" s="1496"/>
      <c r="AP8" s="1496"/>
      <c r="AQ8" s="1496"/>
      <c r="AR8" s="1496"/>
      <c r="AS8" s="1496"/>
      <c r="AT8" s="1496"/>
      <c r="AU8" s="1496"/>
      <c r="AV8" s="1496"/>
      <c r="AW8" s="1496"/>
      <c r="AX8" s="1496"/>
      <c r="AY8" s="1496"/>
      <c r="AZ8" s="1496"/>
      <c r="BA8" s="1496"/>
      <c r="BB8" s="1496"/>
      <c r="BC8" s="1496"/>
      <c r="BD8" s="1496"/>
      <c r="BE8" s="1496"/>
      <c r="BF8" s="1497"/>
    </row>
    <row r="9" spans="2:68" x14ac:dyDescent="0.25">
      <c r="B9" s="682"/>
      <c r="C9" s="275"/>
      <c r="D9" s="275"/>
      <c r="E9" s="275"/>
      <c r="F9" s="275"/>
      <c r="G9" s="275"/>
      <c r="H9" s="275"/>
      <c r="I9" s="275"/>
      <c r="J9" s="275"/>
      <c r="K9" s="275"/>
      <c r="L9" s="275"/>
      <c r="M9" s="275"/>
      <c r="N9" s="275"/>
      <c r="O9" s="275"/>
      <c r="P9" s="275"/>
      <c r="Q9" s="275"/>
      <c r="R9" s="275"/>
      <c r="S9" s="275"/>
      <c r="T9" s="275"/>
      <c r="U9" s="275"/>
      <c r="V9" s="275"/>
      <c r="W9" s="275"/>
      <c r="X9" s="275"/>
      <c r="Y9" s="275"/>
      <c r="Z9" s="275"/>
      <c r="AA9" s="275"/>
      <c r="AB9" s="275"/>
      <c r="AC9" s="275"/>
      <c r="AD9" s="275"/>
      <c r="AE9" s="275"/>
      <c r="AF9" s="275"/>
      <c r="AG9" s="275"/>
      <c r="AH9" s="275"/>
      <c r="AI9" s="275"/>
      <c r="AJ9" s="275"/>
      <c r="AK9" s="275"/>
      <c r="AL9" s="272"/>
      <c r="AM9" s="272"/>
      <c r="AN9" s="272"/>
      <c r="AO9" s="272"/>
      <c r="AP9" s="272"/>
      <c r="AQ9" s="272"/>
      <c r="AR9" s="272"/>
      <c r="AS9" s="272"/>
      <c r="AT9" s="272"/>
      <c r="AU9" s="272"/>
      <c r="AV9" s="272"/>
      <c r="AW9" s="272"/>
      <c r="AX9" s="272"/>
      <c r="AY9" s="272"/>
      <c r="AZ9" s="272"/>
      <c r="BA9" s="272"/>
      <c r="BB9" s="272"/>
      <c r="BC9" s="275"/>
      <c r="BD9" s="275"/>
      <c r="BE9" s="275"/>
      <c r="BF9" s="683"/>
    </row>
    <row r="10" spans="2:68" x14ac:dyDescent="0.25">
      <c r="B10" s="1491" t="s">
        <v>883</v>
      </c>
      <c r="C10" s="1378"/>
      <c r="D10" s="1378"/>
      <c r="E10" s="1378"/>
      <c r="F10" s="1378"/>
      <c r="G10" s="1378"/>
      <c r="H10" s="1378"/>
      <c r="I10" s="1378"/>
      <c r="J10" s="1378"/>
      <c r="K10" s="1487">
        <f>'Tracking &amp; Profitability'!$H$5</f>
        <v>0</v>
      </c>
      <c r="L10" s="1487"/>
      <c r="M10" s="1487"/>
      <c r="N10" s="1487"/>
      <c r="O10" s="1487"/>
      <c r="P10" s="1487"/>
      <c r="Q10" s="1487"/>
      <c r="R10" s="1487"/>
      <c r="S10" s="1487"/>
      <c r="T10" s="1487"/>
      <c r="U10" s="1487"/>
      <c r="V10" s="1487"/>
      <c r="W10" s="1487"/>
      <c r="X10" s="1487"/>
      <c r="Y10" s="1487"/>
      <c r="Z10" s="1487"/>
      <c r="AA10" s="1487"/>
      <c r="AB10" s="1487"/>
      <c r="AC10" s="1487"/>
      <c r="AD10" s="1487"/>
      <c r="AE10" s="1487"/>
      <c r="AI10" s="1378" t="s">
        <v>723</v>
      </c>
      <c r="AJ10" s="1378"/>
      <c r="AK10" s="1378"/>
      <c r="AL10" s="1378"/>
      <c r="AM10" s="1378"/>
      <c r="AN10" s="1378"/>
      <c r="AO10" s="1378"/>
      <c r="AP10" s="1378"/>
      <c r="AQ10" s="1378"/>
      <c r="AR10" s="1378"/>
      <c r="AT10" s="1506"/>
      <c r="AU10" s="1506"/>
      <c r="AV10" s="1506"/>
      <c r="AW10" s="1506"/>
      <c r="AX10" s="1506"/>
      <c r="AY10" s="1506"/>
      <c r="AZ10" s="1506"/>
      <c r="BA10" s="1506"/>
      <c r="BB10" s="1506"/>
      <c r="BC10" s="1506"/>
      <c r="BD10" s="1506"/>
      <c r="BF10" s="140"/>
    </row>
    <row r="11" spans="2:68" x14ac:dyDescent="0.25">
      <c r="B11" s="139"/>
      <c r="AL11" s="2"/>
      <c r="AM11" s="2"/>
      <c r="AN11" s="2"/>
      <c r="AO11" s="2"/>
      <c r="AP11" s="2"/>
      <c r="AQ11" s="2"/>
      <c r="AR11" s="2"/>
      <c r="AS11" s="2"/>
      <c r="AT11" s="2"/>
      <c r="AU11" s="2"/>
      <c r="AV11" s="2"/>
      <c r="BF11" s="140"/>
    </row>
    <row r="12" spans="2:68" x14ac:dyDescent="0.25">
      <c r="B12" s="1490" t="s">
        <v>884</v>
      </c>
      <c r="C12" s="1483"/>
      <c r="D12" s="1483"/>
      <c r="E12" s="1483"/>
      <c r="F12" s="1483"/>
      <c r="G12" s="1483"/>
      <c r="H12" s="1483"/>
      <c r="I12" s="1483"/>
      <c r="J12" s="1483"/>
      <c r="K12" s="1462">
        <f>'Required Info to Submit'!$F$4</f>
        <v>0</v>
      </c>
      <c r="L12" s="1462"/>
      <c r="M12" s="1462"/>
      <c r="N12" s="1462"/>
      <c r="O12" s="1462"/>
      <c r="P12" s="1462"/>
      <c r="Q12" s="1462"/>
      <c r="R12" s="1462"/>
      <c r="S12" s="1462"/>
      <c r="T12" s="1462"/>
      <c r="U12" s="1462"/>
      <c r="V12" s="1462"/>
      <c r="W12" s="1462"/>
      <c r="X12" s="1462"/>
      <c r="Y12" s="1462"/>
      <c r="Z12" s="1462"/>
      <c r="AA12" s="1462"/>
      <c r="AB12" s="1462"/>
      <c r="AC12" s="1462"/>
      <c r="AD12" s="1462"/>
      <c r="AE12" s="1462"/>
      <c r="AL12" s="2"/>
      <c r="AM12" s="2"/>
      <c r="AN12" s="2"/>
      <c r="AO12" s="2"/>
      <c r="AP12" s="2"/>
      <c r="AQ12" s="2"/>
      <c r="AR12" s="2"/>
      <c r="AS12" s="2"/>
      <c r="AT12" s="2"/>
      <c r="AU12" s="2"/>
      <c r="AV12" s="2"/>
      <c r="BF12" s="140"/>
    </row>
    <row r="13" spans="2:68" x14ac:dyDescent="0.25">
      <c r="B13" s="139"/>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0"/>
    </row>
    <row r="14" spans="2:68" x14ac:dyDescent="0.25">
      <c r="B14" s="1490" t="s">
        <v>902</v>
      </c>
      <c r="C14" s="1483"/>
      <c r="D14" s="1483"/>
      <c r="E14" s="1483"/>
      <c r="F14" s="1483"/>
      <c r="G14" s="1483"/>
      <c r="H14" s="1483"/>
      <c r="I14" s="1483"/>
      <c r="J14" s="1483"/>
      <c r="K14" s="1483"/>
      <c r="L14" s="1483"/>
      <c r="M14" s="1483"/>
      <c r="N14" s="1483"/>
      <c r="O14" s="1483"/>
      <c r="P14" s="1483"/>
      <c r="Q14" s="1483"/>
      <c r="R14" s="1501">
        <f>'Required Info to Submit'!$F$6</f>
        <v>0</v>
      </c>
      <c r="S14" s="1501"/>
      <c r="T14" s="1501"/>
      <c r="U14" s="1501"/>
      <c r="V14" s="1501"/>
      <c r="W14" s="1501"/>
      <c r="X14" s="1501"/>
      <c r="Y14" s="1501"/>
      <c r="Z14" s="1501"/>
      <c r="AA14" s="1501"/>
      <c r="AB14" s="1501"/>
      <c r="AC14" s="1501"/>
      <c r="AD14" s="1501"/>
      <c r="AE14" s="1501"/>
      <c r="AF14" s="1501"/>
      <c r="AG14" s="1501"/>
      <c r="AH14" s="1501"/>
      <c r="AI14" s="1501"/>
      <c r="AJ14" s="1501"/>
      <c r="AK14" s="1501"/>
      <c r="AL14" s="1501"/>
      <c r="AM14" s="1501"/>
      <c r="AN14" s="1501"/>
      <c r="AO14" s="1501"/>
      <c r="AP14" s="1501"/>
      <c r="AQ14" s="1501"/>
      <c r="AR14" s="1501"/>
      <c r="AS14" s="1501"/>
      <c r="AT14" s="1501"/>
      <c r="AU14" s="1501"/>
      <c r="AV14" s="1501"/>
      <c r="AW14" s="1501"/>
      <c r="AX14" s="1501"/>
      <c r="AY14" s="1501"/>
      <c r="AZ14" s="1501"/>
      <c r="BA14" s="1501"/>
      <c r="BB14" s="1501"/>
      <c r="BC14" s="1501"/>
      <c r="BD14" s="1501"/>
      <c r="BF14" s="140"/>
    </row>
    <row r="15" spans="2:68" x14ac:dyDescent="0.25">
      <c r="B15" s="631"/>
      <c r="C15" s="136"/>
      <c r="D15" s="136"/>
      <c r="E15" s="136"/>
      <c r="F15" s="136"/>
      <c r="G15" s="136"/>
      <c r="H15" s="136"/>
      <c r="I15" s="136"/>
      <c r="J15" s="136"/>
      <c r="K15" s="136"/>
      <c r="L15" s="136"/>
      <c r="M15" s="136"/>
      <c r="N15" s="136"/>
      <c r="O15" s="136"/>
      <c r="P15" s="136"/>
      <c r="Q15" s="136"/>
      <c r="BF15" s="140"/>
    </row>
    <row r="16" spans="2:68" x14ac:dyDescent="0.25">
      <c r="B16" s="1490" t="s">
        <v>722</v>
      </c>
      <c r="C16" s="1483"/>
      <c r="D16" s="1483"/>
      <c r="E16" s="1483"/>
      <c r="F16" s="1483"/>
      <c r="G16" s="1483"/>
      <c r="H16" s="1483"/>
      <c r="I16" s="1483"/>
      <c r="J16" s="1483"/>
      <c r="K16" s="1483"/>
      <c r="L16" s="1483"/>
      <c r="M16" s="1483"/>
      <c r="N16" s="1483"/>
      <c r="O16" s="1483"/>
      <c r="P16" s="1483"/>
      <c r="Q16" s="1483"/>
      <c r="R16" s="1462" t="s">
        <v>241</v>
      </c>
      <c r="S16" s="1462"/>
      <c r="T16" s="1479" t="s">
        <v>652</v>
      </c>
      <c r="U16" s="1479"/>
      <c r="V16" s="1479"/>
      <c r="W16" s="1479"/>
      <c r="X16" s="1479"/>
      <c r="Y16" s="1479"/>
      <c r="Z16" s="1479"/>
      <c r="AA16" s="1479"/>
      <c r="AB16" s="1479"/>
      <c r="AC16" s="1479"/>
      <c r="AD16" s="1479"/>
      <c r="AE16" s="1479"/>
      <c r="AF16" s="1479"/>
      <c r="AG16" s="1479"/>
      <c r="AH16" s="1479"/>
      <c r="AI16" s="1479"/>
      <c r="AJ16" s="1479"/>
      <c r="AK16" s="1479"/>
      <c r="AL16" s="1479"/>
      <c r="AO16" s="1479"/>
      <c r="AP16" s="1479"/>
      <c r="BF16" s="140"/>
      <c r="BP16" s="277"/>
    </row>
    <row r="17" spans="2:68" x14ac:dyDescent="0.25">
      <c r="B17" s="631"/>
      <c r="C17" s="136"/>
      <c r="D17" s="136"/>
      <c r="E17" s="136"/>
      <c r="F17" s="136"/>
      <c r="G17" s="136"/>
      <c r="H17" s="136"/>
      <c r="I17" s="136"/>
      <c r="J17" s="136"/>
      <c r="K17" s="136"/>
      <c r="L17" s="136"/>
      <c r="M17" s="136"/>
      <c r="N17" s="136"/>
      <c r="O17" s="136"/>
      <c r="P17" s="136"/>
      <c r="Q17" s="136"/>
      <c r="BF17" s="140"/>
    </row>
    <row r="18" spans="2:68" x14ac:dyDescent="0.25">
      <c r="B18" s="1502" t="s">
        <v>877</v>
      </c>
      <c r="C18" s="1503"/>
      <c r="D18" s="1503"/>
      <c r="E18" s="1503"/>
      <c r="F18" s="1503"/>
      <c r="G18" s="1503"/>
      <c r="H18" s="1503"/>
      <c r="I18" s="1503"/>
      <c r="J18" s="1503"/>
      <c r="K18" s="1503"/>
      <c r="L18" s="1503"/>
      <c r="M18" s="1503"/>
      <c r="N18" s="1503"/>
      <c r="O18" s="1503"/>
      <c r="P18" s="1503"/>
      <c r="Q18" s="1503"/>
      <c r="R18" s="1487">
        <f>'Required Info to Submit'!$F$8</f>
        <v>0</v>
      </c>
      <c r="S18" s="1487"/>
      <c r="T18" s="1487"/>
      <c r="U18" s="1487"/>
      <c r="V18" s="1487"/>
      <c r="W18" s="1487"/>
      <c r="X18" s="1487"/>
      <c r="Y18" s="1487"/>
      <c r="Z18" s="1487"/>
      <c r="AA18" s="1487"/>
      <c r="AB18" s="1487"/>
      <c r="AC18" s="1487"/>
      <c r="AD18" s="1487"/>
      <c r="AE18" s="1487"/>
      <c r="AF18" s="1487"/>
      <c r="AG18" s="1487"/>
      <c r="AH18" s="1487"/>
      <c r="AI18" s="1487"/>
      <c r="AJ18" s="1487"/>
      <c r="AK18" s="1487"/>
      <c r="AL18" s="1487"/>
      <c r="AN18" s="1483" t="s">
        <v>879</v>
      </c>
      <c r="AO18" s="1483"/>
      <c r="AP18" s="1483"/>
      <c r="AQ18" s="1483"/>
      <c r="AR18" s="1483"/>
      <c r="AS18" s="1483"/>
      <c r="AT18" s="1483"/>
      <c r="AU18" s="1483"/>
      <c r="AV18" s="1487">
        <f>'Required Info to Submit'!F10</f>
        <v>0</v>
      </c>
      <c r="AW18" s="1487"/>
      <c r="AX18" s="1487"/>
      <c r="AY18" s="1487"/>
      <c r="AZ18" s="1487"/>
      <c r="BA18" s="1487"/>
      <c r="BB18" s="1487"/>
      <c r="BC18" s="1487"/>
      <c r="BD18" s="1487"/>
      <c r="BF18" s="140"/>
      <c r="BP18" s="277"/>
    </row>
    <row r="19" spans="2:68" x14ac:dyDescent="0.25">
      <c r="B19" s="631"/>
      <c r="C19" s="136"/>
      <c r="D19" s="136"/>
      <c r="E19" s="136"/>
      <c r="F19" s="136"/>
      <c r="G19" s="136"/>
      <c r="H19" s="136"/>
      <c r="I19" s="136"/>
      <c r="J19" s="136"/>
      <c r="K19" s="136"/>
      <c r="L19" s="136"/>
      <c r="M19" s="136"/>
      <c r="N19" s="136"/>
      <c r="O19" s="136"/>
      <c r="P19" s="136"/>
      <c r="Q19" s="136"/>
      <c r="AN19" s="136"/>
      <c r="AO19" s="136"/>
      <c r="AP19" s="136"/>
      <c r="AQ19" s="136"/>
      <c r="AR19" s="136"/>
      <c r="AS19" s="136"/>
      <c r="AT19" s="136"/>
      <c r="AU19" s="136"/>
      <c r="BF19" s="140"/>
    </row>
    <row r="20" spans="2:68" x14ac:dyDescent="0.25">
      <c r="B20" s="1490" t="s">
        <v>878</v>
      </c>
      <c r="C20" s="1483"/>
      <c r="D20" s="1483"/>
      <c r="E20" s="1483"/>
      <c r="F20" s="1483"/>
      <c r="G20" s="1483"/>
      <c r="H20" s="1483"/>
      <c r="I20" s="1483"/>
      <c r="J20" s="1483"/>
      <c r="K20" s="1483"/>
      <c r="L20" s="1483"/>
      <c r="M20" s="1483"/>
      <c r="N20" s="1483"/>
      <c r="O20" s="1483"/>
      <c r="P20" s="1483"/>
      <c r="Q20" s="1483"/>
      <c r="R20" s="1487">
        <f>'Required Info to Submit'!F9</f>
        <v>0</v>
      </c>
      <c r="S20" s="1487"/>
      <c r="T20" s="1487"/>
      <c r="U20" s="1487"/>
      <c r="V20" s="1487"/>
      <c r="W20" s="1487"/>
      <c r="X20" s="1487"/>
      <c r="Y20" s="1487"/>
      <c r="Z20" s="1487"/>
      <c r="AA20" s="1487"/>
      <c r="AB20" s="1487"/>
      <c r="AC20" s="1487"/>
      <c r="AD20" s="1487"/>
      <c r="AE20" s="1487"/>
      <c r="AF20" s="1487"/>
      <c r="AG20" s="1487"/>
      <c r="AH20" s="1487"/>
      <c r="AI20" s="1487"/>
      <c r="AJ20" s="1487"/>
      <c r="AK20" s="1487"/>
      <c r="AL20" s="1487"/>
      <c r="AN20" s="1483" t="s">
        <v>832</v>
      </c>
      <c r="AO20" s="1483"/>
      <c r="AP20" s="1483"/>
      <c r="AQ20" s="1483"/>
      <c r="AR20" s="1483"/>
      <c r="AS20" s="1483"/>
      <c r="AT20" s="1483"/>
      <c r="AU20" s="1483"/>
      <c r="AV20" s="1487">
        <f>'Required Info to Submit'!F11</f>
        <v>0</v>
      </c>
      <c r="AW20" s="1487"/>
      <c r="AX20" s="1487"/>
      <c r="AY20" s="1487"/>
      <c r="AZ20" s="1487"/>
      <c r="BA20" s="1487"/>
      <c r="BB20" s="1487"/>
      <c r="BC20" s="1487"/>
      <c r="BD20" s="1487"/>
      <c r="BF20" s="140"/>
      <c r="BP20" s="277"/>
    </row>
    <row r="21" spans="2:68" x14ac:dyDescent="0.25">
      <c r="B21" s="631"/>
      <c r="C21" s="136"/>
      <c r="D21" s="136"/>
      <c r="E21" s="136"/>
      <c r="F21" s="136"/>
      <c r="G21" s="136"/>
      <c r="H21" s="136"/>
      <c r="I21" s="136"/>
      <c r="J21" s="136"/>
      <c r="K21" s="136"/>
      <c r="L21" s="136"/>
      <c r="M21" s="136"/>
      <c r="N21" s="136"/>
      <c r="O21" s="136"/>
      <c r="P21" s="136"/>
      <c r="Q21" s="136"/>
      <c r="AN21" s="136"/>
      <c r="AO21" s="136"/>
      <c r="AP21" s="136"/>
      <c r="AQ21" s="136"/>
      <c r="AR21" s="136"/>
      <c r="AS21" s="136"/>
      <c r="AT21" s="136"/>
      <c r="AU21" s="136"/>
      <c r="BF21" s="140"/>
    </row>
    <row r="22" spans="2:68" x14ac:dyDescent="0.25">
      <c r="B22" s="1490" t="s">
        <v>880</v>
      </c>
      <c r="C22" s="1483"/>
      <c r="D22" s="1483"/>
      <c r="E22" s="1483"/>
      <c r="F22" s="1483"/>
      <c r="G22" s="1483"/>
      <c r="H22" s="1483"/>
      <c r="I22" s="1483"/>
      <c r="J22" s="1483"/>
      <c r="K22" s="1483"/>
      <c r="L22" s="1483"/>
      <c r="M22" s="1483"/>
      <c r="N22" s="1483"/>
      <c r="O22" s="1483"/>
      <c r="P22" s="1483"/>
      <c r="Q22" s="1483"/>
      <c r="R22" s="1487">
        <f>'Required Info to Submit'!F12</f>
        <v>0</v>
      </c>
      <c r="S22" s="1487"/>
      <c r="T22" s="1487"/>
      <c r="U22" s="1487"/>
      <c r="V22" s="1487"/>
      <c r="W22" s="1487"/>
      <c r="X22" s="1487"/>
      <c r="Y22" s="1487"/>
      <c r="Z22" s="1487"/>
      <c r="AA22" s="1487"/>
      <c r="AB22" s="1487"/>
      <c r="AC22" s="1487"/>
      <c r="AD22" s="1487"/>
      <c r="AE22" s="1487"/>
      <c r="AF22" s="1487"/>
      <c r="AG22" s="1487"/>
      <c r="AH22" s="1487"/>
      <c r="AI22" s="1487"/>
      <c r="AJ22" s="1487"/>
      <c r="AK22" s="1487"/>
      <c r="AL22" s="1487"/>
      <c r="AN22" s="1483"/>
      <c r="AO22" s="1483"/>
      <c r="AP22" s="1483"/>
      <c r="AQ22" s="1483"/>
      <c r="AR22" s="1483"/>
      <c r="AS22" s="1483"/>
      <c r="AT22" s="1483"/>
      <c r="AU22" s="1483"/>
      <c r="AV22" s="1504"/>
      <c r="AW22" s="1504"/>
      <c r="AX22" s="1504"/>
      <c r="AY22" s="1504"/>
      <c r="AZ22" s="1504"/>
      <c r="BA22" s="1504"/>
      <c r="BB22" s="1504"/>
      <c r="BC22" s="1504"/>
      <c r="BD22" s="1504"/>
      <c r="BF22" s="140"/>
      <c r="BP22" s="277"/>
    </row>
    <row r="23" spans="2:68" x14ac:dyDescent="0.25">
      <c r="B23" s="631"/>
      <c r="C23" s="136"/>
      <c r="D23" s="136"/>
      <c r="E23" s="136"/>
      <c r="F23" s="136"/>
      <c r="G23" s="136"/>
      <c r="H23" s="136"/>
      <c r="I23" s="136"/>
      <c r="J23" s="136"/>
      <c r="K23" s="136"/>
      <c r="L23" s="136"/>
      <c r="M23" s="136"/>
      <c r="N23" s="136"/>
      <c r="O23" s="136"/>
      <c r="P23" s="136"/>
      <c r="Q23" s="136"/>
      <c r="BF23" s="140"/>
    </row>
    <row r="24" spans="2:68" x14ac:dyDescent="0.25">
      <c r="B24" s="1490" t="s">
        <v>881</v>
      </c>
      <c r="C24" s="1483"/>
      <c r="D24" s="1483"/>
      <c r="E24" s="1483"/>
      <c r="F24" s="1483"/>
      <c r="G24" s="1483"/>
      <c r="H24" s="1483"/>
      <c r="I24" s="1483"/>
      <c r="J24" s="1483"/>
      <c r="K24" s="1483"/>
      <c r="L24" s="1483"/>
      <c r="M24" s="1483"/>
      <c r="N24" s="1483"/>
      <c r="O24" s="1483"/>
      <c r="P24" s="1483"/>
      <c r="Q24" s="1483"/>
      <c r="R24" s="1499">
        <f>'Required Info to Submit'!$F$14</f>
        <v>0</v>
      </c>
      <c r="S24" s="1499"/>
      <c r="T24" s="1499"/>
      <c r="U24" s="1499"/>
      <c r="V24" s="1499"/>
      <c r="W24" s="1499"/>
      <c r="X24" s="1499"/>
      <c r="Y24" s="1499"/>
      <c r="Z24" s="1499"/>
      <c r="AA24" s="1499"/>
      <c r="AB24" s="1499"/>
      <c r="AC24" s="1499"/>
      <c r="AN24" s="1378" t="s">
        <v>885</v>
      </c>
      <c r="AO24" s="1378"/>
      <c r="AP24" s="1378"/>
      <c r="AQ24" s="1378"/>
      <c r="AR24" s="1378"/>
      <c r="AS24" s="1378"/>
      <c r="AT24" s="1378"/>
      <c r="AU24" s="1378"/>
      <c r="AV24" s="1505" t="e">
        <f>#REF!</f>
        <v>#REF!</v>
      </c>
      <c r="AW24" s="1505"/>
      <c r="AX24" s="1505"/>
      <c r="AY24" s="1505"/>
      <c r="AZ24" s="1505"/>
      <c r="BA24" s="1505"/>
      <c r="BB24" s="1505"/>
      <c r="BC24" s="1505"/>
      <c r="BD24" s="1505"/>
      <c r="BF24" s="140"/>
    </row>
    <row r="25" spans="2:68" ht="17.25" x14ac:dyDescent="0.25">
      <c r="B25" s="139"/>
      <c r="C25" s="278"/>
      <c r="D25" s="278"/>
      <c r="E25" s="278"/>
      <c r="F25" s="278"/>
      <c r="G25" s="278"/>
      <c r="H25" s="1498" t="s">
        <v>721</v>
      </c>
      <c r="I25" s="1498"/>
      <c r="J25" s="1498"/>
      <c r="K25" s="1498"/>
      <c r="L25" s="1498"/>
      <c r="M25" s="1498"/>
      <c r="N25" s="1498"/>
      <c r="O25" s="1498"/>
      <c r="P25" s="1498"/>
      <c r="Q25" s="278"/>
      <c r="AN25" s="1498" t="s">
        <v>720</v>
      </c>
      <c r="AO25" s="1498"/>
      <c r="AP25" s="1498"/>
      <c r="AQ25" s="1498"/>
      <c r="AR25" s="1498"/>
      <c r="AS25" s="1498"/>
      <c r="AT25" s="1498"/>
      <c r="BF25" s="140"/>
    </row>
    <row r="26" spans="2:68" ht="18.75" x14ac:dyDescent="0.3">
      <c r="B26" s="1495" t="s">
        <v>657</v>
      </c>
      <c r="C26" s="1496"/>
      <c r="D26" s="1496"/>
      <c r="E26" s="1496"/>
      <c r="F26" s="1496"/>
      <c r="G26" s="1496"/>
      <c r="H26" s="1496"/>
      <c r="I26" s="1496"/>
      <c r="J26" s="1496"/>
      <c r="K26" s="1496"/>
      <c r="L26" s="1496"/>
      <c r="M26" s="1496"/>
      <c r="N26" s="1496"/>
      <c r="O26" s="1496"/>
      <c r="P26" s="1496"/>
      <c r="Q26" s="1496"/>
      <c r="R26" s="1496"/>
      <c r="S26" s="1496"/>
      <c r="T26" s="1496"/>
      <c r="U26" s="1496"/>
      <c r="V26" s="1496"/>
      <c r="W26" s="1496"/>
      <c r="X26" s="1496"/>
      <c r="Y26" s="1496"/>
      <c r="Z26" s="1496"/>
      <c r="AA26" s="1496"/>
      <c r="AB26" s="1496"/>
      <c r="AC26" s="1496"/>
      <c r="AD26" s="1496"/>
      <c r="AE26" s="1496"/>
      <c r="AF26" s="1496"/>
      <c r="AG26" s="1496"/>
      <c r="AH26" s="1496"/>
      <c r="AI26" s="1496"/>
      <c r="AJ26" s="1496"/>
      <c r="AK26" s="1496"/>
      <c r="AL26" s="1496"/>
      <c r="AM26" s="1496"/>
      <c r="AN26" s="1496"/>
      <c r="AO26" s="1496"/>
      <c r="AP26" s="1496"/>
      <c r="AQ26" s="1496"/>
      <c r="AR26" s="1496"/>
      <c r="AS26" s="1496"/>
      <c r="AT26" s="1496"/>
      <c r="AU26" s="1496"/>
      <c r="AV26" s="1496"/>
      <c r="AW26" s="1496"/>
      <c r="AX26" s="1496"/>
      <c r="AY26" s="1496"/>
      <c r="AZ26" s="1496"/>
      <c r="BA26" s="1496"/>
      <c r="BB26" s="1496"/>
      <c r="BC26" s="1496"/>
      <c r="BD26" s="1496"/>
      <c r="BE26" s="1496"/>
      <c r="BF26" s="1497"/>
      <c r="BP26" s="277"/>
    </row>
    <row r="27" spans="2:68" x14ac:dyDescent="0.25">
      <c r="B27" s="624"/>
      <c r="C27" s="272"/>
      <c r="D27" s="272"/>
      <c r="E27" s="272"/>
      <c r="F27" s="272"/>
      <c r="G27" s="272"/>
      <c r="H27" s="272"/>
      <c r="I27" s="272"/>
      <c r="J27" s="272"/>
      <c r="K27" s="272"/>
      <c r="L27" s="272"/>
      <c r="M27" s="272"/>
      <c r="N27" s="272"/>
      <c r="O27" s="272"/>
      <c r="P27" s="272"/>
      <c r="Q27" s="272"/>
      <c r="R27" s="272"/>
      <c r="S27" s="272"/>
      <c r="T27" s="272"/>
      <c r="U27" s="272"/>
      <c r="V27" s="272"/>
      <c r="W27" s="272"/>
      <c r="X27" s="272"/>
      <c r="Y27" s="272"/>
      <c r="Z27" s="272"/>
      <c r="AA27" s="272"/>
      <c r="AB27" s="272"/>
      <c r="AC27" s="272"/>
      <c r="AD27" s="272"/>
      <c r="AE27" s="272"/>
      <c r="AF27" s="272"/>
      <c r="AG27" s="272"/>
      <c r="AH27" s="272"/>
      <c r="AI27" s="272"/>
      <c r="AJ27" s="272"/>
      <c r="AK27" s="272"/>
      <c r="AL27" s="272"/>
      <c r="AM27" s="272"/>
      <c r="AN27" s="272"/>
      <c r="AO27" s="272"/>
      <c r="AP27" s="272"/>
      <c r="AQ27" s="272"/>
      <c r="AR27" s="272"/>
      <c r="AS27" s="272"/>
      <c r="AT27" s="272"/>
      <c r="AU27" s="272"/>
      <c r="AV27" s="272"/>
      <c r="AW27" s="272"/>
      <c r="AX27" s="272"/>
      <c r="AY27" s="272"/>
      <c r="AZ27" s="272"/>
      <c r="BA27" s="272"/>
      <c r="BB27" s="272"/>
      <c r="BC27" s="272"/>
      <c r="BD27" s="272"/>
      <c r="BE27" s="272"/>
      <c r="BF27" s="625"/>
    </row>
    <row r="28" spans="2:68" x14ac:dyDescent="0.25">
      <c r="B28" s="1488" t="s">
        <v>658</v>
      </c>
      <c r="C28" s="1489"/>
      <c r="D28" s="1489"/>
      <c r="E28" s="1489"/>
      <c r="F28" s="1489"/>
      <c r="G28" s="1489"/>
      <c r="H28" s="1489"/>
      <c r="I28" s="1489"/>
      <c r="J28" s="1489"/>
      <c r="K28" s="1489"/>
      <c r="L28" s="1489"/>
      <c r="M28" s="1489"/>
      <c r="N28" s="1489"/>
      <c r="O28" s="1489"/>
      <c r="P28" s="1489"/>
      <c r="Q28" s="1489"/>
      <c r="T28" s="1492">
        <f>'Tracking &amp; Profitability'!$E$6</f>
        <v>0</v>
      </c>
      <c r="U28" s="1492"/>
      <c r="V28" s="1492"/>
      <c r="W28" s="1492"/>
      <c r="X28" s="1492"/>
      <c r="Y28" s="1492"/>
      <c r="Z28" s="1492"/>
      <c r="AA28" s="1492"/>
      <c r="AB28" s="1492"/>
      <c r="AF28" t="s">
        <v>719</v>
      </c>
      <c r="AO28" s="1462">
        <v>5</v>
      </c>
      <c r="AP28" s="1462"/>
      <c r="AQ28" s="1462"/>
      <c r="AR28" s="1479" t="s">
        <v>659</v>
      </c>
      <c r="AS28" s="1479"/>
      <c r="AU28" s="1462">
        <v>5</v>
      </c>
      <c r="AV28" s="1462"/>
      <c r="AW28" s="1462"/>
      <c r="AX28" s="1479" t="s">
        <v>718</v>
      </c>
      <c r="AY28" s="1479"/>
      <c r="BA28" s="1462">
        <v>5</v>
      </c>
      <c r="BB28" s="1462"/>
      <c r="BC28" s="1462"/>
      <c r="BD28" s="1479" t="s">
        <v>660</v>
      </c>
      <c r="BE28" s="1479"/>
      <c r="BF28" s="140"/>
    </row>
    <row r="29" spans="2:68" ht="17.25" x14ac:dyDescent="0.25">
      <c r="B29" s="139"/>
      <c r="T29" s="136"/>
      <c r="U29" s="136"/>
      <c r="V29" s="136"/>
      <c r="W29" s="136"/>
      <c r="X29" s="136"/>
      <c r="Y29" s="136"/>
      <c r="Z29" s="136"/>
      <c r="AA29" s="136"/>
      <c r="AB29" s="136"/>
      <c r="AF29" s="1498" t="s">
        <v>717</v>
      </c>
      <c r="AG29" s="1498"/>
      <c r="AH29" s="1498"/>
      <c r="AI29" s="1498"/>
      <c r="AJ29" s="1498"/>
      <c r="AK29" s="1498"/>
      <c r="AL29" s="1498"/>
      <c r="AM29" s="1498"/>
      <c r="AN29" s="1498"/>
      <c r="AO29" s="1498"/>
      <c r="AP29" s="1498"/>
      <c r="AQ29" s="1498"/>
      <c r="AR29" s="1498"/>
      <c r="AS29" s="1498"/>
      <c r="AT29" s="1498"/>
      <c r="AU29" s="1498"/>
      <c r="AV29" s="1498"/>
      <c r="AW29" s="1498"/>
      <c r="AX29" s="1498"/>
      <c r="AY29" s="1498"/>
      <c r="AZ29" s="1498"/>
      <c r="BA29" s="1498"/>
      <c r="BB29" s="1498"/>
      <c r="BC29" s="1498"/>
      <c r="BD29" s="1498"/>
      <c r="BE29" s="1498"/>
      <c r="BF29" s="140"/>
    </row>
    <row r="30" spans="2:68" x14ac:dyDescent="0.25">
      <c r="B30" s="1491" t="s">
        <v>714</v>
      </c>
      <c r="C30" s="1378"/>
      <c r="D30" s="1378"/>
      <c r="E30" s="1378"/>
      <c r="F30" s="1378"/>
      <c r="G30" s="1378"/>
      <c r="H30" s="1378"/>
      <c r="I30" s="1378"/>
      <c r="J30" s="1378"/>
      <c r="K30" s="1378"/>
      <c r="L30" s="1378"/>
      <c r="M30" s="1378"/>
      <c r="N30" s="1378"/>
      <c r="O30" s="1378"/>
      <c r="P30" s="1378"/>
      <c r="Q30" s="1378"/>
      <c r="T30" s="1494">
        <v>1</v>
      </c>
      <c r="U30" s="1494"/>
      <c r="V30" s="1494"/>
      <c r="W30" s="1494"/>
      <c r="AF30" s="1413" t="s">
        <v>716</v>
      </c>
      <c r="AG30" s="1413"/>
      <c r="AH30" s="1413"/>
      <c r="AI30" s="1413"/>
      <c r="AJ30" s="1413"/>
      <c r="AK30" s="1413"/>
      <c r="AL30" s="1413"/>
      <c r="AM30" s="1413"/>
      <c r="AN30" s="1413"/>
      <c r="AO30" s="1413"/>
      <c r="AP30" s="1462" t="s">
        <v>1047</v>
      </c>
      <c r="AQ30" s="1462"/>
      <c r="AR30" s="1462"/>
      <c r="AT30" s="1413" t="s">
        <v>715</v>
      </c>
      <c r="AU30" s="1413"/>
      <c r="AV30" s="1413"/>
      <c r="AW30" s="1413"/>
      <c r="AX30" s="1413"/>
      <c r="AY30" s="1413"/>
      <c r="AZ30" s="1413"/>
      <c r="BA30" s="1413"/>
      <c r="BB30" s="1413"/>
      <c r="BC30" s="1413"/>
      <c r="BF30" s="140"/>
    </row>
    <row r="31" spans="2:68" x14ac:dyDescent="0.25">
      <c r="B31" s="139"/>
      <c r="BF31" s="140"/>
      <c r="BP31" s="277"/>
    </row>
    <row r="32" spans="2:68" x14ac:dyDescent="0.25">
      <c r="B32" s="1491" t="s">
        <v>711</v>
      </c>
      <c r="C32" s="1378"/>
      <c r="D32" s="1378"/>
      <c r="E32" s="1378"/>
      <c r="F32" s="1378"/>
      <c r="G32" s="1378"/>
      <c r="H32" s="1378"/>
      <c r="I32" s="1378"/>
      <c r="J32" s="1378"/>
      <c r="K32" s="1378"/>
      <c r="L32" s="1378"/>
      <c r="M32" s="1378"/>
      <c r="N32" s="1378"/>
      <c r="O32" s="1378"/>
      <c r="P32" s="1378"/>
      <c r="Q32" s="1378"/>
      <c r="T32" s="1500" t="s">
        <v>1021</v>
      </c>
      <c r="U32" s="1500"/>
      <c r="V32" s="1500"/>
      <c r="W32" s="1500"/>
      <c r="X32" s="1500"/>
      <c r="Y32" s="1500"/>
      <c r="Z32" s="1500"/>
      <c r="AA32" s="1500"/>
      <c r="AB32" s="1500"/>
      <c r="AC32" s="1500"/>
      <c r="AD32" s="1500"/>
      <c r="AE32" s="1500"/>
      <c r="AF32" s="1500"/>
      <c r="AG32" s="1500"/>
      <c r="AH32" s="1500"/>
      <c r="AI32" s="1500"/>
      <c r="AJ32" s="1500"/>
      <c r="AK32" s="1500"/>
      <c r="AL32" s="1500"/>
      <c r="AM32" s="1500"/>
      <c r="AN32" s="1500"/>
      <c r="AO32" s="1500"/>
      <c r="BF32" s="140"/>
    </row>
    <row r="33" spans="2:92" x14ac:dyDescent="0.25">
      <c r="B33" s="139"/>
      <c r="BF33" s="140"/>
    </row>
    <row r="34" spans="2:92" x14ac:dyDescent="0.25">
      <c r="B34" s="139"/>
      <c r="C34" s="84"/>
      <c r="D34" s="84"/>
      <c r="E34" s="84"/>
      <c r="F34" s="84"/>
      <c r="G34" s="84"/>
      <c r="H34" s="84"/>
      <c r="I34" s="1462"/>
      <c r="J34" s="1462"/>
      <c r="K34" s="1479" t="s">
        <v>486</v>
      </c>
      <c r="L34" s="1479"/>
      <c r="M34" s="1479"/>
      <c r="N34" s="1479"/>
      <c r="O34" s="1479"/>
      <c r="P34" s="1479"/>
      <c r="Q34" s="1479"/>
      <c r="R34" s="1462" t="s">
        <v>241</v>
      </c>
      <c r="S34" s="1462"/>
      <c r="T34" s="1479" t="s">
        <v>485</v>
      </c>
      <c r="U34" s="1479"/>
      <c r="V34" s="1479"/>
      <c r="W34" s="1479"/>
      <c r="X34" s="1462"/>
      <c r="Y34" s="1462"/>
      <c r="Z34" s="1479" t="s">
        <v>484</v>
      </c>
      <c r="AA34" s="1479"/>
      <c r="AB34" s="1479"/>
      <c r="AF34" t="s">
        <v>713</v>
      </c>
      <c r="AL34" s="1462">
        <v>5</v>
      </c>
      <c r="AM34" s="1462"/>
      <c r="AN34" s="1462"/>
      <c r="AO34" t="s">
        <v>712</v>
      </c>
      <c r="BF34" s="140"/>
    </row>
    <row r="35" spans="2:92" x14ac:dyDescent="0.25">
      <c r="B35" s="139"/>
      <c r="BF35" s="140"/>
      <c r="BP35" s="279"/>
      <c r="CN35" s="277"/>
    </row>
    <row r="36" spans="2:92" x14ac:dyDescent="0.25">
      <c r="B36" s="1488" t="s">
        <v>710</v>
      </c>
      <c r="C36" s="1489"/>
      <c r="D36" s="1489"/>
      <c r="E36" s="1489"/>
      <c r="F36" s="1489"/>
      <c r="G36" s="1489"/>
      <c r="H36" s="1489"/>
      <c r="I36" s="1489"/>
      <c r="J36" s="1489"/>
      <c r="K36" s="1489"/>
      <c r="L36" s="1489"/>
      <c r="M36" s="1489"/>
      <c r="N36" s="1489"/>
      <c r="O36" s="1489"/>
      <c r="P36" s="1489"/>
      <c r="Q36" s="1489"/>
      <c r="R36" s="1489"/>
      <c r="T36" s="1470" t="str">
        <f>IFERROR($T$28/('Tracking &amp; Profitability'!$E$7*52*Welcome!$D$14),"Error on A La Carte")</f>
        <v>Error on A La Carte</v>
      </c>
      <c r="U36" s="1470"/>
      <c r="V36" s="1470"/>
      <c r="W36" s="1470"/>
      <c r="X36" s="1470"/>
      <c r="Y36" s="1470"/>
      <c r="Z36" s="1470"/>
      <c r="AA36" s="1470"/>
      <c r="AB36" s="1470"/>
      <c r="AF36" s="1489" t="s">
        <v>481</v>
      </c>
      <c r="AG36" s="1489"/>
      <c r="AH36" s="1489"/>
      <c r="AI36" s="1489"/>
      <c r="AJ36" s="1489"/>
      <c r="AK36" s="1489"/>
      <c r="AL36" s="1489"/>
      <c r="AM36" s="1489"/>
      <c r="AN36" s="1489"/>
      <c r="AO36" s="1489"/>
      <c r="AP36" s="1489"/>
      <c r="AQ36" s="1489"/>
      <c r="AR36" s="1489"/>
      <c r="AS36" s="1489"/>
      <c r="AU36" s="1462" t="e">
        <f>ROUND(((1-(('PIM Model'!$G$15+'PIM Model'!$G$17+'PIM Model'!$G$18)/'PIM Model'!$G$31))*100),0)&amp;"%/"&amp;ROUND((('PIM Model'!$G$15+'PIM Model'!$G$17+'PIM Model'!$G$18)/'PIM Model'!$G$31*100),0)&amp;"%"</f>
        <v>#DIV/0!</v>
      </c>
      <c r="AV36" s="1462"/>
      <c r="AW36" s="1462"/>
      <c r="AX36" s="1462"/>
      <c r="AY36" s="1462"/>
      <c r="AZ36" s="1462"/>
      <c r="BF36" s="140"/>
    </row>
    <row r="37" spans="2:92" x14ac:dyDescent="0.25">
      <c r="B37" s="326"/>
      <c r="C37" s="84"/>
      <c r="D37" s="84"/>
      <c r="E37" s="84"/>
      <c r="F37" s="84"/>
      <c r="G37" s="84"/>
      <c r="H37" s="84"/>
      <c r="I37" s="84"/>
      <c r="J37" s="84"/>
      <c r="K37" s="84"/>
      <c r="L37" s="84"/>
      <c r="M37" s="84"/>
      <c r="N37" s="84"/>
      <c r="O37" s="84"/>
      <c r="P37" s="84"/>
      <c r="Q37" s="84"/>
      <c r="T37" s="280"/>
      <c r="U37" s="280"/>
      <c r="V37" s="280"/>
      <c r="W37" s="280"/>
      <c r="X37" s="280"/>
      <c r="Y37" s="280"/>
      <c r="Z37" s="280"/>
      <c r="AA37" s="280"/>
      <c r="AB37" s="280"/>
      <c r="AC37" s="280"/>
      <c r="AD37" s="280"/>
      <c r="AF37" s="2"/>
      <c r="AG37" s="2"/>
      <c r="AH37" s="2"/>
      <c r="AI37" s="2"/>
      <c r="AJ37" s="2"/>
      <c r="AK37" s="2"/>
      <c r="AL37" s="2"/>
      <c r="AM37" s="2"/>
      <c r="AN37" s="2"/>
      <c r="AO37" s="2"/>
      <c r="AP37" s="2"/>
      <c r="AQ37" s="2"/>
      <c r="AR37" s="2"/>
      <c r="AS37" s="2"/>
      <c r="AT37" s="2"/>
      <c r="AU37" s="2"/>
      <c r="AV37" s="2"/>
      <c r="AW37" s="2"/>
      <c r="AX37" s="2"/>
      <c r="AY37" s="2"/>
      <c r="BF37" s="140"/>
      <c r="BP37" s="279"/>
      <c r="CN37" s="277"/>
    </row>
    <row r="38" spans="2:92" x14ac:dyDescent="0.25">
      <c r="B38" s="1488" t="s">
        <v>708</v>
      </c>
      <c r="C38" s="1489"/>
      <c r="D38" s="1489"/>
      <c r="E38" s="1489"/>
      <c r="F38" s="1489"/>
      <c r="G38" s="1489"/>
      <c r="H38" s="1489"/>
      <c r="I38" s="1489"/>
      <c r="J38" s="1489"/>
      <c r="K38" s="1489"/>
      <c r="L38" s="1489"/>
      <c r="M38" s="1489"/>
      <c r="N38" s="1489"/>
      <c r="O38" s="1489"/>
      <c r="P38" s="1489"/>
      <c r="Q38" s="1489"/>
      <c r="R38" s="1489"/>
      <c r="T38" s="1471" t="str">
        <f>IFERROR('PIM Model'!$H$31/('PIM Model'!$E$6*52*Welcome!$D$14),"Error on A La Carte")</f>
        <v>Error on A La Carte</v>
      </c>
      <c r="U38" s="1471"/>
      <c r="V38" s="1471"/>
      <c r="W38" s="1471"/>
      <c r="X38" s="1471"/>
      <c r="Y38" s="1471"/>
      <c r="Z38" s="1471"/>
      <c r="AA38" s="1471"/>
      <c r="AB38" s="1471"/>
      <c r="AC38" s="280"/>
      <c r="AD38" s="280"/>
      <c r="AF38" s="1378" t="s">
        <v>661</v>
      </c>
      <c r="AG38" s="1378"/>
      <c r="AH38" s="1378"/>
      <c r="AI38" s="1378"/>
      <c r="AJ38" s="1378"/>
      <c r="AK38" s="1378"/>
      <c r="AL38" s="1378"/>
      <c r="AM38" s="1378"/>
      <c r="AN38" s="1378"/>
      <c r="AO38" s="1378"/>
      <c r="AP38" s="1378"/>
      <c r="AQ38" s="1378"/>
      <c r="AR38" s="1378"/>
      <c r="AS38" s="1378"/>
      <c r="AU38" s="1462">
        <f>COUNTIF('PIM Model'!$E$10:$E$30,"Include")</f>
        <v>21</v>
      </c>
      <c r="AV38" s="1462"/>
      <c r="AW38" s="1462"/>
      <c r="AX38" s="1462"/>
      <c r="AY38" s="1462"/>
      <c r="AZ38" s="1462"/>
      <c r="BF38" s="140"/>
    </row>
    <row r="39" spans="2:92" x14ac:dyDescent="0.25">
      <c r="B39" s="139"/>
      <c r="BF39" s="140"/>
    </row>
    <row r="40" spans="2:92" x14ac:dyDescent="0.25">
      <c r="B40" s="1488" t="s">
        <v>706</v>
      </c>
      <c r="C40" s="1489"/>
      <c r="D40" s="1489"/>
      <c r="E40" s="1489"/>
      <c r="F40" s="1489"/>
      <c r="G40" s="1489"/>
      <c r="H40" s="1489"/>
      <c r="I40" s="1489"/>
      <c r="J40" s="1489"/>
      <c r="K40" s="1489"/>
      <c r="L40" s="1489"/>
      <c r="M40" s="1489"/>
      <c r="N40" s="1489"/>
      <c r="O40" s="1489"/>
      <c r="P40" s="1489"/>
      <c r="Q40" s="1489"/>
      <c r="R40" s="1489"/>
      <c r="T40" s="1492">
        <f>IFERROR('PIM Model'!$G$31/'PIM Model'!$H$31,0)</f>
        <v>0</v>
      </c>
      <c r="U40" s="1492"/>
      <c r="V40" s="1492"/>
      <c r="W40" s="1492"/>
      <c r="X40" s="1492"/>
      <c r="Y40" s="1492"/>
      <c r="Z40" s="1492"/>
      <c r="AA40" s="1492"/>
      <c r="AB40" s="1492"/>
      <c r="AF40" s="1378" t="s">
        <v>709</v>
      </c>
      <c r="AG40" s="1378"/>
      <c r="AH40" s="1378"/>
      <c r="AI40" s="1378"/>
      <c r="AJ40" s="1378"/>
      <c r="AK40" s="1378"/>
      <c r="AL40" s="1378"/>
      <c r="AM40" s="1378"/>
      <c r="AN40" s="1378"/>
      <c r="AO40" s="1378"/>
      <c r="AP40" s="1378"/>
      <c r="AQ40" s="1378"/>
      <c r="AR40" s="1378"/>
      <c r="AS40" s="1378"/>
      <c r="AU40" s="1462">
        <f>$AO$28+$AU$28+$BA$28</f>
        <v>15</v>
      </c>
      <c r="AV40" s="1462"/>
      <c r="AW40" s="1462"/>
      <c r="BC40" s="1479"/>
      <c r="BD40" s="1479"/>
      <c r="BE40" s="1479"/>
      <c r="BF40" s="140"/>
    </row>
    <row r="41" spans="2:92" x14ac:dyDescent="0.25">
      <c r="B41" s="139"/>
      <c r="BF41" s="140"/>
      <c r="BP41" s="277"/>
      <c r="CN41" s="279"/>
    </row>
    <row r="42" spans="2:92" x14ac:dyDescent="0.25">
      <c r="B42" s="1491" t="s">
        <v>704</v>
      </c>
      <c r="C42" s="1378"/>
      <c r="D42" s="1378"/>
      <c r="E42" s="1378"/>
      <c r="F42" s="1378"/>
      <c r="G42" s="1378"/>
      <c r="H42" s="1378"/>
      <c r="I42" s="1378"/>
      <c r="J42" s="1378"/>
      <c r="K42" s="1378"/>
      <c r="L42" s="1378"/>
      <c r="M42" s="1378"/>
      <c r="N42" s="1378"/>
      <c r="O42" s="1378"/>
      <c r="P42" s="1378"/>
      <c r="Q42" s="1378"/>
      <c r="R42" s="1378"/>
      <c r="T42" s="1492" t="s">
        <v>760</v>
      </c>
      <c r="U42" s="1492"/>
      <c r="V42" s="1492"/>
      <c r="W42" s="1492"/>
      <c r="X42" s="1492"/>
      <c r="Y42" s="1492"/>
      <c r="Z42" s="1492"/>
      <c r="AA42" s="1492"/>
      <c r="AB42" s="1492"/>
      <c r="AF42" s="1378" t="s">
        <v>707</v>
      </c>
      <c r="AG42" s="1378"/>
      <c r="AH42" s="1378"/>
      <c r="AI42" s="1378"/>
      <c r="AJ42" s="1378"/>
      <c r="AK42" s="1378"/>
      <c r="AL42" s="1378"/>
      <c r="AM42" s="1378"/>
      <c r="AN42" s="1378"/>
      <c r="AO42" s="1378"/>
      <c r="AP42" s="1378"/>
      <c r="AQ42" s="1378"/>
      <c r="AR42" s="1378"/>
      <c r="AS42" s="1378"/>
      <c r="AU42" s="1462" t="s">
        <v>653</v>
      </c>
      <c r="AV42" s="1462"/>
      <c r="AW42" s="1462"/>
      <c r="BC42" s="1479"/>
      <c r="BD42" s="1479"/>
      <c r="BE42" s="1479"/>
      <c r="BF42" s="140"/>
    </row>
    <row r="43" spans="2:92" x14ac:dyDescent="0.25">
      <c r="B43" s="139"/>
      <c r="BF43" s="140"/>
      <c r="BP43" s="277"/>
      <c r="CN43" s="279"/>
    </row>
    <row r="44" spans="2:92" x14ac:dyDescent="0.25">
      <c r="B44" s="1488" t="s">
        <v>702</v>
      </c>
      <c r="C44" s="1489"/>
      <c r="D44" s="1489"/>
      <c r="E44" s="1489"/>
      <c r="F44" s="1489"/>
      <c r="G44" s="1489"/>
      <c r="H44" s="1489"/>
      <c r="I44" s="1489"/>
      <c r="J44" s="1489"/>
      <c r="K44" s="1489"/>
      <c r="L44" s="1489"/>
      <c r="M44" s="1489"/>
      <c r="N44" s="1489"/>
      <c r="O44" s="1489"/>
      <c r="P44" s="1489"/>
      <c r="Q44" s="1489"/>
      <c r="R44" s="1489"/>
      <c r="T44" s="1493">
        <f>'Tracking &amp; Profitability'!$E$7</f>
        <v>0</v>
      </c>
      <c r="U44" s="1493"/>
      <c r="V44" s="1493"/>
      <c r="W44" s="1493"/>
      <c r="X44" s="1493"/>
      <c r="Y44" s="1493"/>
      <c r="Z44" s="1493"/>
      <c r="AA44" s="1493"/>
      <c r="AB44" s="1493"/>
      <c r="AF44" s="1378" t="s">
        <v>705</v>
      </c>
      <c r="AG44" s="1378"/>
      <c r="AH44" s="1378"/>
      <c r="AI44" s="1378"/>
      <c r="AJ44" s="1378"/>
      <c r="AK44" s="1378"/>
      <c r="AL44" s="1378"/>
      <c r="AM44" s="1378"/>
      <c r="AN44" s="1378"/>
      <c r="AO44" s="1378"/>
      <c r="AP44" s="1378"/>
      <c r="AQ44" s="1378"/>
      <c r="AR44" s="1378"/>
      <c r="AS44" s="1378"/>
      <c r="AU44" s="1462" t="s">
        <v>653</v>
      </c>
      <c r="AV44" s="1462"/>
      <c r="AW44" s="1462"/>
      <c r="BC44" s="1479"/>
      <c r="BD44" s="1479"/>
      <c r="BE44" s="1479"/>
      <c r="BF44" s="140"/>
    </row>
    <row r="45" spans="2:92" x14ac:dyDescent="0.25">
      <c r="B45" s="139"/>
      <c r="BF45" s="140"/>
      <c r="CN45" s="279"/>
    </row>
    <row r="46" spans="2:92" x14ac:dyDescent="0.25">
      <c r="B46" s="1485" t="s">
        <v>662</v>
      </c>
      <c r="C46" s="1486"/>
      <c r="D46" s="1486"/>
      <c r="E46" s="1486"/>
      <c r="F46" s="1486"/>
      <c r="G46" s="1486"/>
      <c r="H46" s="1486"/>
      <c r="I46" s="1486"/>
      <c r="J46" s="1486"/>
      <c r="K46" s="1486"/>
      <c r="L46" s="1486"/>
      <c r="M46" s="1486"/>
      <c r="N46" s="1486"/>
      <c r="O46" s="1486"/>
      <c r="P46" s="1486"/>
      <c r="Q46" s="1486"/>
      <c r="R46" s="1486"/>
      <c r="T46" s="1487">
        <v>150</v>
      </c>
      <c r="U46" s="1487"/>
      <c r="V46" s="1487"/>
      <c r="W46" s="1487"/>
      <c r="X46" s="1487"/>
      <c r="Y46" s="1487"/>
      <c r="Z46" s="1487"/>
      <c r="AA46" s="1487"/>
      <c r="AB46" s="1487"/>
      <c r="AF46" s="1468" t="s">
        <v>703</v>
      </c>
      <c r="AG46" s="1468"/>
      <c r="AH46" s="1468"/>
      <c r="AI46" s="1468"/>
      <c r="AJ46" s="1468"/>
      <c r="AK46" s="1468"/>
      <c r="AL46" s="1468"/>
      <c r="AM46" s="1468"/>
      <c r="AN46" s="1468"/>
      <c r="AO46" s="1468"/>
      <c r="AP46" s="1468"/>
      <c r="AQ46" s="1468"/>
      <c r="AR46" s="1468"/>
      <c r="AS46" s="1468"/>
      <c r="AU46" s="1475">
        <v>0.3</v>
      </c>
      <c r="AV46" s="1475"/>
      <c r="AW46" s="1475"/>
      <c r="AX46" s="1475"/>
      <c r="AY46" s="1475"/>
      <c r="AZ46" s="1475"/>
      <c r="BF46" s="140"/>
    </row>
    <row r="47" spans="2:92" x14ac:dyDescent="0.25">
      <c r="B47" s="139"/>
      <c r="BF47" s="140"/>
      <c r="CN47" s="279"/>
    </row>
    <row r="48" spans="2:92" x14ac:dyDescent="0.25">
      <c r="B48" s="1488" t="s">
        <v>482</v>
      </c>
      <c r="C48" s="1489"/>
      <c r="D48" s="1489"/>
      <c r="E48" s="1489"/>
      <c r="F48" s="1489"/>
      <c r="G48" s="1489"/>
      <c r="H48" s="1489"/>
      <c r="I48" s="1489"/>
      <c r="J48" s="1489"/>
      <c r="K48" s="1489"/>
      <c r="L48" s="1489"/>
      <c r="M48" s="1489"/>
      <c r="N48" s="1489"/>
      <c r="O48" s="1489"/>
      <c r="P48" s="1489"/>
      <c r="Q48" s="1489"/>
      <c r="R48" s="1489"/>
      <c r="T48" s="1487">
        <f>$K$10</f>
        <v>0</v>
      </c>
      <c r="U48" s="1487"/>
      <c r="V48" s="1487"/>
      <c r="W48" s="1487"/>
      <c r="X48" s="1487"/>
      <c r="Y48" s="1487"/>
      <c r="Z48" s="1487"/>
      <c r="AA48" s="1487"/>
      <c r="AB48" s="1487"/>
      <c r="AF48" s="1468" t="s">
        <v>701</v>
      </c>
      <c r="AG48" s="1468"/>
      <c r="AH48" s="1468"/>
      <c r="AI48" s="1468"/>
      <c r="AJ48" s="1468"/>
      <c r="AK48" s="1468"/>
      <c r="AL48" s="1468"/>
      <c r="AM48" s="1468"/>
      <c r="AN48" s="1468"/>
      <c r="AO48" s="1468"/>
      <c r="AP48" s="1468"/>
      <c r="AQ48" s="1468"/>
      <c r="AR48" s="1468"/>
      <c r="AS48" s="1468"/>
      <c r="AU48" s="1460">
        <v>2.25</v>
      </c>
      <c r="AV48" s="1461"/>
      <c r="AW48" s="1461"/>
      <c r="AX48" s="1461"/>
      <c r="AY48" s="1461"/>
      <c r="AZ48" s="1461"/>
      <c r="BF48" s="140"/>
    </row>
    <row r="49" spans="2:92" x14ac:dyDescent="0.25">
      <c r="B49" s="139"/>
      <c r="BF49" s="140"/>
      <c r="CN49" s="279"/>
    </row>
    <row r="50" spans="2:92" x14ac:dyDescent="0.25">
      <c r="B50" s="1467" t="s">
        <v>700</v>
      </c>
      <c r="C50" s="1468"/>
      <c r="D50" s="1468"/>
      <c r="E50" s="1468"/>
      <c r="F50" s="1468"/>
      <c r="G50" s="1468"/>
      <c r="H50" s="1468"/>
      <c r="I50" s="1468"/>
      <c r="J50" s="1468"/>
      <c r="K50" s="1468"/>
      <c r="L50" s="1468"/>
      <c r="M50" s="1468"/>
      <c r="N50" s="1468"/>
      <c r="O50" s="1468"/>
      <c r="P50" s="1468"/>
      <c r="Q50" s="1468"/>
      <c r="R50" s="1468"/>
      <c r="T50" s="1469">
        <v>500</v>
      </c>
      <c r="U50" s="1469"/>
      <c r="V50" s="1469"/>
      <c r="W50" s="1469"/>
      <c r="X50" s="1469"/>
      <c r="Y50" s="1469"/>
      <c r="Z50" s="1378" t="s">
        <v>699</v>
      </c>
      <c r="AA50" s="1378"/>
      <c r="AB50" s="1378"/>
      <c r="AC50" s="1469">
        <v>35</v>
      </c>
      <c r="AD50" s="1469"/>
      <c r="AE50" s="1469"/>
      <c r="AF50" s="1469"/>
      <c r="AG50" s="1469"/>
      <c r="BF50" s="140"/>
    </row>
    <row r="51" spans="2:92" x14ac:dyDescent="0.25">
      <c r="B51" s="139"/>
      <c r="BF51" s="140"/>
      <c r="BP51" s="277"/>
      <c r="CN51" s="279"/>
    </row>
    <row r="52" spans="2:92" ht="15.75" thickBot="1" x14ac:dyDescent="0.3">
      <c r="B52" s="267"/>
      <c r="C52" s="268"/>
      <c r="D52" s="268"/>
      <c r="E52" s="268"/>
      <c r="F52" s="268"/>
      <c r="G52" s="268"/>
      <c r="H52" s="268"/>
      <c r="I52" s="268"/>
      <c r="J52" s="268"/>
      <c r="K52" s="268"/>
      <c r="L52" s="268"/>
      <c r="M52" s="268"/>
      <c r="N52" s="268"/>
      <c r="O52" s="268"/>
      <c r="P52" s="268"/>
      <c r="Q52" s="268"/>
      <c r="R52" s="268"/>
      <c r="S52" s="268"/>
      <c r="T52" s="268"/>
      <c r="U52" s="268"/>
      <c r="V52" s="268"/>
      <c r="W52" s="268"/>
      <c r="X52" s="268"/>
      <c r="Y52" s="268"/>
      <c r="Z52" s="268"/>
      <c r="AA52" s="268"/>
      <c r="AB52" s="268"/>
      <c r="AC52" s="268"/>
      <c r="AD52" s="268"/>
      <c r="AE52" s="268"/>
      <c r="AF52" s="268"/>
      <c r="AG52" s="268"/>
      <c r="AH52" s="268"/>
      <c r="AI52" s="268"/>
      <c r="AJ52" s="268"/>
      <c r="AK52" s="268"/>
      <c r="AL52" s="268"/>
      <c r="AM52" s="268"/>
      <c r="AN52" s="268"/>
      <c r="AO52" s="268"/>
      <c r="AP52" s="268"/>
      <c r="AQ52" s="268"/>
      <c r="AR52" s="268"/>
      <c r="AS52" s="268"/>
      <c r="AT52" s="268"/>
      <c r="AU52" s="268"/>
      <c r="AV52" s="268"/>
      <c r="AW52" s="268"/>
      <c r="AX52" s="268"/>
      <c r="AY52" s="268"/>
      <c r="AZ52" s="268"/>
      <c r="BA52" s="268"/>
      <c r="BB52" s="268"/>
      <c r="BC52" s="268"/>
      <c r="BD52" s="268"/>
      <c r="BE52" s="268"/>
      <c r="BF52" s="269"/>
    </row>
    <row r="53" spans="2:92" ht="18.75" x14ac:dyDescent="0.3">
      <c r="B53" s="1472" t="s">
        <v>683</v>
      </c>
      <c r="C53" s="1473"/>
      <c r="D53" s="1473"/>
      <c r="E53" s="1473"/>
      <c r="F53" s="1473"/>
      <c r="G53" s="1473"/>
      <c r="H53" s="1473"/>
      <c r="I53" s="1473"/>
      <c r="J53" s="1473"/>
      <c r="K53" s="1473"/>
      <c r="L53" s="1473"/>
      <c r="M53" s="1473"/>
      <c r="N53" s="1473"/>
      <c r="O53" s="1473"/>
      <c r="P53" s="1473"/>
      <c r="Q53" s="1473"/>
      <c r="R53" s="1473"/>
      <c r="S53" s="1473"/>
      <c r="T53" s="1473"/>
      <c r="U53" s="1473"/>
      <c r="V53" s="1473"/>
      <c r="W53" s="1473"/>
      <c r="X53" s="1473"/>
      <c r="Y53" s="1473"/>
      <c r="Z53" s="1473"/>
      <c r="AA53" s="1473"/>
      <c r="AB53" s="1473"/>
      <c r="AC53" s="1473"/>
      <c r="AD53" s="1473"/>
      <c r="AE53" s="1473"/>
      <c r="AF53" s="1473"/>
      <c r="AG53" s="1473"/>
      <c r="AH53" s="1473"/>
      <c r="AI53" s="1473"/>
      <c r="AJ53" s="1473"/>
      <c r="AK53" s="1473"/>
      <c r="AL53" s="1473"/>
      <c r="AM53" s="1473"/>
      <c r="AN53" s="1473"/>
      <c r="AO53" s="1473"/>
      <c r="AP53" s="1473"/>
      <c r="AQ53" s="1473"/>
      <c r="AR53" s="1473"/>
      <c r="AS53" s="1473"/>
      <c r="AT53" s="1473"/>
      <c r="AU53" s="1473"/>
      <c r="AV53" s="1473"/>
      <c r="AW53" s="1473"/>
      <c r="AX53" s="1473"/>
      <c r="AY53" s="1473"/>
      <c r="AZ53" s="1473"/>
      <c r="BA53" s="1473"/>
      <c r="BB53" s="1473"/>
      <c r="BC53" s="1473"/>
      <c r="BD53" s="1473"/>
      <c r="BE53" s="1473"/>
      <c r="BF53" s="1474"/>
    </row>
    <row r="54" spans="2:92" x14ac:dyDescent="0.25">
      <c r="B54" s="1476" t="s">
        <v>698</v>
      </c>
      <c r="C54" s="1477"/>
      <c r="D54" s="1477"/>
      <c r="E54" s="1477"/>
      <c r="F54" s="1477"/>
      <c r="G54" s="1477"/>
      <c r="H54" s="1477"/>
      <c r="I54" s="1477"/>
      <c r="J54" s="1477"/>
      <c r="K54" s="1477"/>
      <c r="L54" s="1477"/>
      <c r="M54" s="1477"/>
      <c r="N54" s="1477"/>
      <c r="O54" s="1477"/>
      <c r="P54" s="1477"/>
      <c r="Q54" s="1477"/>
      <c r="R54" s="1477"/>
      <c r="S54" s="1477"/>
      <c r="T54" s="1477"/>
      <c r="U54" s="1477"/>
      <c r="V54" s="1477"/>
      <c r="W54" s="1477"/>
      <c r="X54" s="1477"/>
      <c r="Y54" s="1477"/>
      <c r="Z54" s="1477"/>
      <c r="AA54" s="1477"/>
      <c r="AB54" s="1477"/>
      <c r="AC54" s="1477"/>
      <c r="AD54" s="1477"/>
      <c r="AE54" s="1477"/>
      <c r="AF54" s="1477"/>
      <c r="AG54" s="1477"/>
      <c r="AH54" s="1477"/>
      <c r="AI54" s="1477"/>
      <c r="AJ54" s="1477"/>
      <c r="AK54" s="1477"/>
      <c r="AL54" s="1477"/>
      <c r="AM54" s="1477"/>
      <c r="AN54" s="1477"/>
      <c r="AO54" s="1477"/>
      <c r="AP54" s="1477"/>
      <c r="AQ54" s="1477"/>
      <c r="AR54" s="1477"/>
      <c r="AS54" s="1477"/>
      <c r="AT54" s="1477"/>
      <c r="AU54" s="1477"/>
      <c r="AV54" s="1477"/>
      <c r="AW54" s="1477"/>
      <c r="AX54" s="1477"/>
      <c r="AY54" s="1477"/>
      <c r="AZ54" s="1477"/>
      <c r="BA54" s="1477"/>
      <c r="BB54" s="1477"/>
      <c r="BC54" s="1477"/>
      <c r="BD54" s="1477"/>
      <c r="BE54" s="1477"/>
      <c r="BF54" s="1478"/>
      <c r="BP54" s="277"/>
    </row>
    <row r="55" spans="2:92" x14ac:dyDescent="0.25">
      <c r="B55" s="139"/>
      <c r="AC55" s="282"/>
      <c r="AD55" s="282"/>
      <c r="AE55" s="282"/>
      <c r="AF55" s="282"/>
      <c r="AG55" s="282"/>
      <c r="AH55" s="282"/>
      <c r="AK55" s="1483"/>
      <c r="AL55" s="1483"/>
      <c r="AM55" s="1483"/>
      <c r="AN55" s="1483"/>
      <c r="AO55" s="1355"/>
      <c r="AP55" s="1355"/>
      <c r="AQ55" s="1355"/>
      <c r="AR55" s="136"/>
      <c r="AS55" s="136"/>
      <c r="AT55" s="1355"/>
      <c r="AU55" s="1355"/>
      <c r="AV55" s="1355"/>
      <c r="AW55" s="136"/>
      <c r="AX55" s="136"/>
      <c r="AY55" s="1355"/>
      <c r="AZ55" s="1355"/>
      <c r="BA55" s="1355"/>
      <c r="BB55" s="136"/>
      <c r="BC55" s="136"/>
      <c r="BD55" s="1355"/>
      <c r="BE55" s="1355"/>
      <c r="BF55" s="1459"/>
      <c r="BP55" s="283"/>
    </row>
    <row r="56" spans="2:92" x14ac:dyDescent="0.25">
      <c r="B56" s="139"/>
      <c r="C56" s="1413" t="s">
        <v>103</v>
      </c>
      <c r="D56" s="1413"/>
      <c r="E56" s="1413"/>
      <c r="F56" s="1413"/>
      <c r="G56" s="1413"/>
      <c r="H56" s="1413"/>
      <c r="I56" s="1413"/>
      <c r="J56" s="1413"/>
      <c r="K56" s="1413"/>
      <c r="L56" s="1413"/>
      <c r="M56" s="1413"/>
      <c r="N56" s="1413"/>
      <c r="O56" s="1413"/>
      <c r="P56" s="1413"/>
      <c r="Q56" s="1413"/>
      <c r="R56" s="1413"/>
      <c r="S56" s="1413"/>
      <c r="T56" s="1413"/>
      <c r="U56" s="1413"/>
      <c r="V56" s="1413"/>
      <c r="W56" s="1413"/>
      <c r="X56" s="1413"/>
      <c r="Y56" s="1413"/>
      <c r="Z56" s="1413"/>
      <c r="AC56" s="1462" t="str">
        <f>'PIM Model'!$AD$11</f>
        <v/>
      </c>
      <c r="AD56" s="1462"/>
      <c r="AE56" s="1462" t="str">
        <f>'PIM Model'!$D$11</f>
        <v>%</v>
      </c>
      <c r="AF56" s="1462"/>
      <c r="AG56" s="1462" t="str">
        <f>'PIM Model'!$D$11</f>
        <v>%</v>
      </c>
      <c r="AH56" s="1462"/>
      <c r="AI56" s="1479" t="str">
        <f>'PIM Model'!$D$11</f>
        <v>%</v>
      </c>
      <c r="AJ56" s="1479"/>
      <c r="AK56" s="136"/>
      <c r="AL56" s="136"/>
      <c r="AM56" s="136"/>
      <c r="AN56" s="136"/>
      <c r="AO56" s="1355"/>
      <c r="AP56" s="1355"/>
      <c r="AQ56" s="1355"/>
      <c r="AR56" s="136"/>
      <c r="AS56" s="136"/>
      <c r="AT56" s="1355"/>
      <c r="AU56" s="1355"/>
      <c r="AV56" s="1355"/>
      <c r="AW56" s="136"/>
      <c r="AX56" s="136"/>
      <c r="AY56" s="1355"/>
      <c r="AZ56" s="1355"/>
      <c r="BA56" s="1355"/>
      <c r="BB56" s="136"/>
      <c r="BC56" s="136"/>
      <c r="BD56" s="1355"/>
      <c r="BE56" s="1355"/>
      <c r="BF56" s="1459"/>
      <c r="BP56" s="277"/>
    </row>
    <row r="57" spans="2:92" x14ac:dyDescent="0.25">
      <c r="B57" s="139"/>
      <c r="C57" s="1413" t="s">
        <v>102</v>
      </c>
      <c r="D57" s="1413"/>
      <c r="E57" s="1413"/>
      <c r="F57" s="1413"/>
      <c r="G57" s="1413"/>
      <c r="H57" s="1413"/>
      <c r="I57" s="1413"/>
      <c r="J57" s="1413"/>
      <c r="K57" s="1413"/>
      <c r="L57" s="1413"/>
      <c r="M57" s="1413"/>
      <c r="N57" s="1413"/>
      <c r="O57" s="1413"/>
      <c r="P57" s="1413"/>
      <c r="Q57" s="1413"/>
      <c r="R57" s="1413"/>
      <c r="S57" s="1413"/>
      <c r="T57" s="1413"/>
      <c r="U57" s="1413"/>
      <c r="V57" s="1413"/>
      <c r="W57" s="1413"/>
      <c r="X57" s="1413"/>
      <c r="Y57" s="1413"/>
      <c r="Z57" s="1413"/>
      <c r="AC57" s="1482" t="str">
        <f>'PIM Model'!$AD$13</f>
        <v/>
      </c>
      <c r="AD57" s="1482"/>
      <c r="AE57" s="1482" t="str">
        <f>'PIM Model'!$D$13</f>
        <v>%</v>
      </c>
      <c r="AF57" s="1482"/>
      <c r="AG57" s="1482" t="str">
        <f>'PIM Model'!$D$13</f>
        <v>%</v>
      </c>
      <c r="AH57" s="1482"/>
      <c r="AI57" s="1479" t="str">
        <f>'PIM Model'!$D$13</f>
        <v>%</v>
      </c>
      <c r="AJ57" s="1479"/>
      <c r="AK57" s="136"/>
      <c r="AL57" s="136"/>
      <c r="AM57" s="136"/>
      <c r="AN57" s="136"/>
      <c r="AO57" s="136"/>
      <c r="AP57" s="136"/>
      <c r="AQ57" s="136"/>
      <c r="AR57" s="136"/>
      <c r="AS57" s="136"/>
      <c r="AT57" s="136"/>
      <c r="AU57" s="136"/>
      <c r="AV57" s="136"/>
      <c r="AW57" s="136"/>
      <c r="AX57" s="136"/>
      <c r="AY57" s="136"/>
      <c r="AZ57" s="136"/>
      <c r="BA57" s="136"/>
      <c r="BB57" s="136"/>
      <c r="BC57" s="136"/>
      <c r="BD57" s="136"/>
      <c r="BE57" s="136"/>
      <c r="BF57" s="632"/>
    </row>
    <row r="58" spans="2:92" x14ac:dyDescent="0.25">
      <c r="B58" s="139"/>
      <c r="C58" s="1413" t="s">
        <v>101</v>
      </c>
      <c r="D58" s="1413"/>
      <c r="E58" s="1413"/>
      <c r="F58" s="1413"/>
      <c r="G58" s="1413"/>
      <c r="H58" s="1413"/>
      <c r="I58" s="1413"/>
      <c r="J58" s="1413"/>
      <c r="K58" s="1413"/>
      <c r="L58" s="1413"/>
      <c r="M58" s="1413"/>
      <c r="N58" s="1413"/>
      <c r="O58" s="1413"/>
      <c r="P58" s="1413"/>
      <c r="Q58" s="1413"/>
      <c r="R58" s="1413"/>
      <c r="S58" s="1413"/>
      <c r="T58" s="1413"/>
      <c r="U58" s="1413"/>
      <c r="V58" s="1413"/>
      <c r="W58" s="1413"/>
      <c r="X58" s="1413"/>
      <c r="Y58" s="1413"/>
      <c r="Z58" s="1413"/>
      <c r="AC58" s="1482" t="str">
        <f>'PIM Model'!$AD$19</f>
        <v/>
      </c>
      <c r="AD58" s="1482"/>
      <c r="AE58" s="1482" t="str">
        <f>'PIM Model'!$D$19</f>
        <v>%</v>
      </c>
      <c r="AF58" s="1482"/>
      <c r="AG58" s="1482" t="str">
        <f>'PIM Model'!$D$19</f>
        <v>%</v>
      </c>
      <c r="AH58" s="1482"/>
      <c r="AI58" s="1479" t="str">
        <f>'PIM Model'!$D$19</f>
        <v>%</v>
      </c>
      <c r="AJ58" s="1479"/>
      <c r="AK58" s="136"/>
      <c r="AL58" s="136"/>
      <c r="AM58" s="136"/>
      <c r="AN58" s="136"/>
      <c r="AO58" s="136"/>
      <c r="AP58" s="136"/>
      <c r="AQ58" s="136"/>
      <c r="AR58" s="136"/>
      <c r="AS58" s="136"/>
      <c r="AT58" s="136"/>
      <c r="AU58" s="136"/>
      <c r="AV58" s="136"/>
      <c r="AW58" s="136"/>
      <c r="AX58" s="136"/>
      <c r="AY58" s="136"/>
      <c r="AZ58" s="136"/>
      <c r="BA58" s="136"/>
      <c r="BB58" s="136"/>
      <c r="BC58" s="136"/>
      <c r="BD58" s="136"/>
      <c r="BE58" s="136"/>
      <c r="BF58" s="632"/>
      <c r="BP58" s="277"/>
    </row>
    <row r="59" spans="2:92" x14ac:dyDescent="0.25">
      <c r="B59" s="139"/>
      <c r="C59" s="1413" t="s">
        <v>100</v>
      </c>
      <c r="D59" s="1413"/>
      <c r="E59" s="1413"/>
      <c r="F59" s="1413"/>
      <c r="G59" s="1413"/>
      <c r="H59" s="1413"/>
      <c r="I59" s="1413"/>
      <c r="J59" s="1413"/>
      <c r="K59" s="1413"/>
      <c r="L59" s="1413"/>
      <c r="M59" s="1413"/>
      <c r="N59" s="1413"/>
      <c r="O59" s="1413"/>
      <c r="P59" s="1413"/>
      <c r="Q59" s="1413"/>
      <c r="R59" s="1413"/>
      <c r="S59" s="1413"/>
      <c r="T59" s="1413"/>
      <c r="U59" s="1413"/>
      <c r="V59" s="1413"/>
      <c r="W59" s="1413"/>
      <c r="X59" s="1413"/>
      <c r="Y59" s="1413"/>
      <c r="Z59" s="1413"/>
      <c r="AC59" s="1482" t="str">
        <f>'PIM Model'!$AD$14</f>
        <v/>
      </c>
      <c r="AD59" s="1482"/>
      <c r="AE59" s="1482" t="str">
        <f>'PIM Model'!$D$14</f>
        <v>%</v>
      </c>
      <c r="AF59" s="1482"/>
      <c r="AG59" s="1482" t="str">
        <f>'PIM Model'!$D$14</f>
        <v>%</v>
      </c>
      <c r="AH59" s="1482"/>
      <c r="AI59" s="1479" t="str">
        <f>'PIM Model'!$D$14</f>
        <v>%</v>
      </c>
      <c r="AJ59" s="1479"/>
      <c r="AK59" s="136"/>
      <c r="AL59" s="136"/>
      <c r="AM59" s="136"/>
      <c r="AN59" s="136"/>
      <c r="AO59" s="136"/>
      <c r="AP59" s="136"/>
      <c r="AQ59" s="136"/>
      <c r="AR59" s="136"/>
      <c r="AS59" s="136"/>
      <c r="AT59" s="136"/>
      <c r="AU59" s="136"/>
      <c r="AV59" s="136"/>
      <c r="AW59" s="136"/>
      <c r="AX59" s="136"/>
      <c r="AY59" s="136"/>
      <c r="AZ59" s="136"/>
      <c r="BA59" s="136"/>
      <c r="BB59" s="136"/>
      <c r="BC59" s="136"/>
      <c r="BD59" s="136"/>
      <c r="BE59" s="136"/>
      <c r="BF59" s="632"/>
    </row>
    <row r="60" spans="2:92" x14ac:dyDescent="0.25">
      <c r="B60" s="139"/>
      <c r="C60" s="1413" t="s">
        <v>104</v>
      </c>
      <c r="D60" s="1413"/>
      <c r="E60" s="1413"/>
      <c r="F60" s="1413"/>
      <c r="G60" s="1413"/>
      <c r="H60" s="1413"/>
      <c r="I60" s="1413"/>
      <c r="J60" s="1413"/>
      <c r="K60" s="1413"/>
      <c r="L60" s="1413"/>
      <c r="M60" s="1413"/>
      <c r="N60" s="1413"/>
      <c r="O60" s="1413"/>
      <c r="P60" s="1413"/>
      <c r="Q60" s="1413"/>
      <c r="R60" s="1413"/>
      <c r="S60" s="1413"/>
      <c r="T60" s="1413"/>
      <c r="U60" s="1413"/>
      <c r="V60" s="1413"/>
      <c r="W60" s="1413"/>
      <c r="X60" s="1413"/>
      <c r="Y60" s="1413"/>
      <c r="Z60" s="1413"/>
      <c r="AC60" s="1482" t="str">
        <f>'PIM Model'!$AD$15</f>
        <v/>
      </c>
      <c r="AD60" s="1482"/>
      <c r="AE60" s="1482" t="str">
        <f>'PIM Model'!$D$15</f>
        <v>%</v>
      </c>
      <c r="AF60" s="1482"/>
      <c r="AG60" s="1482" t="str">
        <f>'PIM Model'!$D$15</f>
        <v>%</v>
      </c>
      <c r="AH60" s="1482"/>
      <c r="AI60" s="1479" t="str">
        <f>'PIM Model'!$D$15</f>
        <v>%</v>
      </c>
      <c r="AJ60" s="1479"/>
      <c r="AK60" s="136"/>
      <c r="AL60" s="136"/>
      <c r="AM60" s="136"/>
      <c r="AN60" s="136"/>
      <c r="AO60" s="136"/>
      <c r="AP60" s="136"/>
      <c r="AQ60" s="136"/>
      <c r="AR60" s="136"/>
      <c r="AS60" s="136"/>
      <c r="AT60" s="136"/>
      <c r="AU60" s="136"/>
      <c r="AV60" s="136"/>
      <c r="AW60" s="136"/>
      <c r="AX60" s="136"/>
      <c r="AY60" s="136"/>
      <c r="AZ60" s="136"/>
      <c r="BA60" s="136"/>
      <c r="BB60" s="136"/>
      <c r="BC60" s="136"/>
      <c r="BD60" s="136"/>
      <c r="BE60" s="136"/>
      <c r="BF60" s="632"/>
    </row>
    <row r="61" spans="2:92" x14ac:dyDescent="0.25">
      <c r="B61" s="139"/>
      <c r="C61" s="1413" t="s">
        <v>99</v>
      </c>
      <c r="D61" s="1413"/>
      <c r="E61" s="1413"/>
      <c r="F61" s="1413"/>
      <c r="G61" s="1413"/>
      <c r="H61" s="1413"/>
      <c r="I61" s="1413"/>
      <c r="J61" s="1413"/>
      <c r="K61" s="1413"/>
      <c r="L61" s="1413"/>
      <c r="M61" s="1413"/>
      <c r="N61" s="1413"/>
      <c r="O61" s="1413"/>
      <c r="P61" s="1413"/>
      <c r="Q61" s="1413"/>
      <c r="R61" s="1413"/>
      <c r="S61" s="1413"/>
      <c r="T61" s="1413"/>
      <c r="U61" s="1413"/>
      <c r="V61" s="1413"/>
      <c r="W61" s="1413"/>
      <c r="X61" s="1413"/>
      <c r="Y61" s="1413"/>
      <c r="Z61" s="1413"/>
      <c r="AC61" s="1482" t="str">
        <f>'PIM Model'!$AD$10</f>
        <v/>
      </c>
      <c r="AD61" s="1482"/>
      <c r="AE61" s="1482" t="str">
        <f>'PIM Model'!$D$10</f>
        <v>%</v>
      </c>
      <c r="AF61" s="1482"/>
      <c r="AG61" s="1482" t="str">
        <f>'PIM Model'!$D$10</f>
        <v>%</v>
      </c>
      <c r="AH61" s="1482"/>
      <c r="AI61" s="1479" t="str">
        <f>'PIM Model'!$D$10</f>
        <v>%</v>
      </c>
      <c r="AJ61" s="1479"/>
      <c r="AK61" s="136"/>
      <c r="AL61" s="136"/>
      <c r="AM61" s="136"/>
      <c r="AN61" s="136"/>
      <c r="AO61" s="136"/>
      <c r="AP61" s="136"/>
      <c r="AQ61" s="136"/>
      <c r="AR61" s="136"/>
      <c r="AS61" s="136"/>
      <c r="AT61" s="136"/>
      <c r="AU61" s="136"/>
      <c r="AV61" s="136"/>
      <c r="AW61" s="136"/>
      <c r="AX61" s="136"/>
      <c r="AY61" s="136"/>
      <c r="AZ61" s="136"/>
      <c r="BA61" s="136"/>
      <c r="BB61" s="136"/>
      <c r="BC61" s="136"/>
      <c r="BD61" s="136"/>
      <c r="BE61" s="136"/>
      <c r="BF61" s="632"/>
    </row>
    <row r="62" spans="2:92" x14ac:dyDescent="0.25">
      <c r="B62" s="139"/>
      <c r="C62" s="1284" t="s">
        <v>98</v>
      </c>
      <c r="D62" s="1284"/>
      <c r="E62" s="1284"/>
      <c r="F62" s="1284"/>
      <c r="G62" s="1284"/>
      <c r="H62" s="1284"/>
      <c r="I62" s="1284"/>
      <c r="J62" s="1284"/>
      <c r="K62" s="1284"/>
      <c r="L62" s="1284"/>
      <c r="M62" s="1284"/>
      <c r="N62" s="1284"/>
      <c r="O62" s="1284"/>
      <c r="P62" s="1284"/>
      <c r="Q62" s="1284"/>
      <c r="R62" s="1284"/>
      <c r="S62" s="1284"/>
      <c r="T62" s="1284"/>
      <c r="U62" s="1284"/>
      <c r="V62" s="1284"/>
      <c r="W62" s="1284"/>
      <c r="X62" s="1284"/>
      <c r="Y62" s="1284"/>
      <c r="Z62" s="1284"/>
      <c r="AC62" s="1482" t="str">
        <f>'PIM Model'!$AD$16</f>
        <v/>
      </c>
      <c r="AD62" s="1482"/>
      <c r="AE62" s="1482" t="str">
        <f>'PIM Model'!$D$16</f>
        <v>%</v>
      </c>
      <c r="AF62" s="1482"/>
      <c r="AG62" s="1482" t="str">
        <f>'PIM Model'!$D$16</f>
        <v>%</v>
      </c>
      <c r="AH62" s="1482"/>
      <c r="AI62" s="1479" t="str">
        <f>'PIM Model'!$D$16</f>
        <v>%</v>
      </c>
      <c r="AJ62" s="1479"/>
      <c r="AK62" s="136"/>
      <c r="AL62" s="136"/>
      <c r="AM62" s="136"/>
      <c r="AN62" s="136"/>
      <c r="AO62" s="136"/>
      <c r="AP62" s="136"/>
      <c r="AQ62" s="136"/>
      <c r="AR62" s="136"/>
      <c r="AS62" s="136"/>
      <c r="AT62" s="136"/>
      <c r="AU62" s="136"/>
      <c r="AV62" s="136"/>
      <c r="AW62" s="136"/>
      <c r="AX62" s="136"/>
      <c r="AY62" s="136"/>
      <c r="AZ62" s="136"/>
      <c r="BA62" s="136"/>
      <c r="BB62" s="136"/>
      <c r="BC62" s="136"/>
      <c r="BD62" s="136"/>
      <c r="BE62" s="136"/>
      <c r="BF62" s="632"/>
    </row>
    <row r="63" spans="2:92" x14ac:dyDescent="0.25">
      <c r="B63" s="139"/>
      <c r="C63" s="1284" t="s">
        <v>97</v>
      </c>
      <c r="D63" s="1284"/>
      <c r="E63" s="1284"/>
      <c r="F63" s="1284"/>
      <c r="G63" s="1284"/>
      <c r="H63" s="1284"/>
      <c r="I63" s="1284"/>
      <c r="J63" s="1284"/>
      <c r="K63" s="1284"/>
      <c r="L63" s="1284"/>
      <c r="M63" s="1284"/>
      <c r="N63" s="1284"/>
      <c r="O63" s="1284"/>
      <c r="P63" s="1284"/>
      <c r="Q63" s="1284"/>
      <c r="R63" s="1284"/>
      <c r="S63" s="1284"/>
      <c r="T63" s="1284"/>
      <c r="U63" s="1284"/>
      <c r="V63" s="1284"/>
      <c r="W63" s="1284"/>
      <c r="X63" s="1284"/>
      <c r="Y63" s="1284"/>
      <c r="Z63" s="1284"/>
      <c r="AC63" s="1482" t="str">
        <f>'PIM Model'!$AD$20</f>
        <v/>
      </c>
      <c r="AD63" s="1482"/>
      <c r="AE63" s="1482" t="str">
        <f>'PIM Model'!$D$20</f>
        <v>%</v>
      </c>
      <c r="AF63" s="1482"/>
      <c r="AG63" s="1482" t="str">
        <f>'PIM Model'!$D$20</f>
        <v>%</v>
      </c>
      <c r="AH63" s="1482"/>
      <c r="AI63" s="1479" t="str">
        <f>'PIM Model'!$D$20</f>
        <v>%</v>
      </c>
      <c r="AJ63" s="1479"/>
      <c r="AK63" s="136"/>
      <c r="AL63" s="136"/>
      <c r="AM63" s="136"/>
      <c r="AN63" s="136"/>
      <c r="AO63" s="136"/>
      <c r="AP63" s="136"/>
      <c r="AQ63" s="136"/>
      <c r="AR63" s="136"/>
      <c r="AS63" s="136"/>
      <c r="AT63" s="136"/>
      <c r="AU63" s="136"/>
      <c r="AV63" s="136"/>
      <c r="AW63" s="136"/>
      <c r="AX63" s="136"/>
      <c r="AY63" s="136"/>
      <c r="AZ63" s="136"/>
      <c r="BA63" s="136"/>
      <c r="BB63" s="136"/>
      <c r="BC63" s="136"/>
      <c r="BD63" s="136"/>
      <c r="BE63" s="136"/>
      <c r="BF63" s="632"/>
    </row>
    <row r="64" spans="2:92" x14ac:dyDescent="0.25">
      <c r="B64" s="139"/>
      <c r="C64" s="1284" t="s">
        <v>96</v>
      </c>
      <c r="D64" s="1284"/>
      <c r="E64" s="1284"/>
      <c r="F64" s="1284"/>
      <c r="G64" s="1284"/>
      <c r="H64" s="1284"/>
      <c r="I64" s="1284"/>
      <c r="J64" s="1284"/>
      <c r="K64" s="1284"/>
      <c r="L64" s="1284"/>
      <c r="M64" s="1284"/>
      <c r="N64" s="1284"/>
      <c r="O64" s="1284"/>
      <c r="P64" s="1284"/>
      <c r="Q64" s="1284"/>
      <c r="R64" s="1284"/>
      <c r="S64" s="1284"/>
      <c r="T64" s="1284"/>
      <c r="U64" s="1284"/>
      <c r="V64" s="1284"/>
      <c r="W64" s="1284"/>
      <c r="X64" s="1284"/>
      <c r="Y64" s="1284"/>
      <c r="Z64" s="1284"/>
      <c r="AC64" s="1482" t="str">
        <f>'PIM Model'!$AD$18</f>
        <v/>
      </c>
      <c r="AD64" s="1482"/>
      <c r="AE64" s="1482" t="str">
        <f>'PIM Model'!$D$18</f>
        <v>%</v>
      </c>
      <c r="AF64" s="1482"/>
      <c r="AG64" s="1482" t="str">
        <f>'PIM Model'!$D$18</f>
        <v>%</v>
      </c>
      <c r="AH64" s="1482"/>
      <c r="AI64" s="1479" t="str">
        <f>'PIM Model'!$D$18</f>
        <v>%</v>
      </c>
      <c r="AJ64" s="1479"/>
      <c r="AK64" s="136"/>
      <c r="AL64" s="136"/>
      <c r="AM64" s="136"/>
      <c r="AN64" s="136"/>
      <c r="AO64" s="136"/>
      <c r="AP64" s="136"/>
      <c r="AQ64" s="136"/>
      <c r="AR64" s="136"/>
      <c r="AS64" s="136"/>
      <c r="AT64" s="136"/>
      <c r="AU64" s="136"/>
      <c r="AV64" s="136"/>
      <c r="AW64" s="136"/>
      <c r="AX64" s="136"/>
      <c r="AY64" s="136"/>
      <c r="AZ64" s="136"/>
      <c r="BA64" s="136"/>
      <c r="BB64" s="136"/>
      <c r="BC64" s="136"/>
      <c r="BD64" s="136"/>
      <c r="BE64" s="136"/>
      <c r="BF64" s="632"/>
    </row>
    <row r="65" spans="2:70" x14ac:dyDescent="0.25">
      <c r="B65" s="139"/>
      <c r="C65" s="1284" t="s">
        <v>95</v>
      </c>
      <c r="D65" s="1284"/>
      <c r="E65" s="1284"/>
      <c r="F65" s="1284"/>
      <c r="G65" s="1284"/>
      <c r="H65" s="1284"/>
      <c r="I65" s="1284"/>
      <c r="J65" s="1284"/>
      <c r="K65" s="1284"/>
      <c r="L65" s="1284"/>
      <c r="M65" s="1284"/>
      <c r="N65" s="1284"/>
      <c r="O65" s="1284"/>
      <c r="P65" s="1284"/>
      <c r="Q65" s="1284"/>
      <c r="R65" s="1284"/>
      <c r="S65" s="1284"/>
      <c r="T65" s="1284"/>
      <c r="U65" s="1284"/>
      <c r="V65" s="1284"/>
      <c r="W65" s="1284"/>
      <c r="X65" s="1284"/>
      <c r="Y65" s="1284"/>
      <c r="Z65" s="1284"/>
      <c r="AC65" s="1482" t="str">
        <f>'PIM Model'!$AD$17</f>
        <v/>
      </c>
      <c r="AD65" s="1482"/>
      <c r="AE65" s="1482" t="str">
        <f>'PIM Model'!$D$17</f>
        <v>%</v>
      </c>
      <c r="AF65" s="1482"/>
      <c r="AG65" s="1482" t="str">
        <f>'PIM Model'!$D$17</f>
        <v>%</v>
      </c>
      <c r="AH65" s="1482"/>
      <c r="AI65" s="1479" t="str">
        <f>'PIM Model'!$D$17</f>
        <v>%</v>
      </c>
      <c r="AJ65" s="1479"/>
      <c r="AK65" s="136"/>
      <c r="AL65" s="136"/>
      <c r="AM65" s="136"/>
      <c r="AN65" s="136"/>
      <c r="AO65" s="136"/>
      <c r="AP65" s="136"/>
      <c r="AQ65" s="136"/>
      <c r="AR65" s="136"/>
      <c r="AS65" s="136"/>
      <c r="AT65" s="136"/>
      <c r="AU65" s="136"/>
      <c r="AV65" s="136"/>
      <c r="AW65" s="136"/>
      <c r="AX65" s="136"/>
      <c r="AY65" s="136"/>
      <c r="AZ65" s="136"/>
      <c r="BA65" s="136"/>
      <c r="BB65" s="136"/>
      <c r="BC65" s="136"/>
      <c r="BD65" s="136"/>
      <c r="BE65" s="136"/>
      <c r="BF65" s="632"/>
    </row>
    <row r="66" spans="2:70" x14ac:dyDescent="0.25">
      <c r="B66" s="139"/>
      <c r="C66" s="1284" t="s">
        <v>94</v>
      </c>
      <c r="D66" s="1284"/>
      <c r="E66" s="1284"/>
      <c r="F66" s="1284"/>
      <c r="G66" s="1284"/>
      <c r="H66" s="1284"/>
      <c r="I66" s="1284"/>
      <c r="J66" s="1284"/>
      <c r="K66" s="1284"/>
      <c r="L66" s="1284"/>
      <c r="M66" s="1284"/>
      <c r="N66" s="1284"/>
      <c r="O66" s="1284"/>
      <c r="P66" s="1284"/>
      <c r="Q66" s="1284"/>
      <c r="R66" s="1284"/>
      <c r="S66" s="1284"/>
      <c r="T66" s="1284"/>
      <c r="U66" s="1284"/>
      <c r="V66" s="1284"/>
      <c r="W66" s="1284"/>
      <c r="X66" s="1284"/>
      <c r="Y66" s="1284"/>
      <c r="Z66" s="1284"/>
      <c r="AC66" s="1482" t="str">
        <f>'PIM Model'!$AD$27</f>
        <v/>
      </c>
      <c r="AD66" s="1482"/>
      <c r="AE66" s="1482" t="str">
        <f>'PIM Model'!$D$27</f>
        <v>%</v>
      </c>
      <c r="AF66" s="1482"/>
      <c r="AG66" s="1482" t="str">
        <f>'PIM Model'!$D$27</f>
        <v>%</v>
      </c>
      <c r="AH66" s="1482"/>
      <c r="AI66" s="1479" t="str">
        <f>'PIM Model'!$D$27</f>
        <v>%</v>
      </c>
      <c r="AJ66" s="1479"/>
      <c r="AK66" s="136"/>
      <c r="AL66" s="136"/>
      <c r="AM66" s="136"/>
      <c r="AN66" s="136"/>
      <c r="AO66" s="136"/>
      <c r="AP66" s="136"/>
      <c r="AQ66" s="136"/>
      <c r="AR66" s="136"/>
      <c r="AS66" s="136"/>
      <c r="AT66" s="136"/>
      <c r="AU66" s="136"/>
      <c r="AV66" s="136"/>
      <c r="AW66" s="136"/>
      <c r="AX66" s="136"/>
      <c r="AY66" s="136"/>
      <c r="AZ66" s="136"/>
      <c r="BA66" s="136"/>
      <c r="BB66" s="136"/>
      <c r="BC66" s="136"/>
      <c r="BD66" s="136"/>
      <c r="BE66" s="136"/>
      <c r="BF66" s="632"/>
    </row>
    <row r="67" spans="2:70" x14ac:dyDescent="0.25">
      <c r="B67" s="139"/>
      <c r="E67" s="1479" t="s">
        <v>697</v>
      </c>
      <c r="F67" s="1479"/>
      <c r="G67" s="1479"/>
      <c r="H67" s="1479"/>
      <c r="I67" s="1479"/>
      <c r="J67" s="1479"/>
      <c r="K67" s="1479"/>
      <c r="M67" s="1480" t="s">
        <v>241</v>
      </c>
      <c r="N67" s="1480"/>
      <c r="O67" s="1480"/>
      <c r="P67" t="s">
        <v>653</v>
      </c>
      <c r="S67" s="1481"/>
      <c r="T67" s="1481"/>
      <c r="U67" s="1481"/>
      <c r="V67" s="1479" t="s">
        <v>655</v>
      </c>
      <c r="W67" s="1479"/>
      <c r="AJ67" s="136"/>
      <c r="AK67" s="136"/>
      <c r="AL67" s="136"/>
      <c r="AM67" s="136"/>
      <c r="AN67" s="136"/>
      <c r="AO67" s="136"/>
      <c r="AP67" s="136"/>
      <c r="AQ67" s="136"/>
      <c r="AR67" s="136"/>
      <c r="AS67" s="136"/>
      <c r="AT67" s="136"/>
      <c r="AU67" s="136"/>
      <c r="AV67" s="136"/>
      <c r="AW67" s="136"/>
      <c r="AX67" s="136"/>
      <c r="AY67" s="136"/>
      <c r="AZ67" s="136"/>
      <c r="BA67" s="136"/>
      <c r="BB67" s="136"/>
      <c r="BC67" s="136"/>
      <c r="BD67" s="136"/>
      <c r="BE67" s="136"/>
      <c r="BF67" s="632"/>
    </row>
    <row r="68" spans="2:70" x14ac:dyDescent="0.25">
      <c r="B68" s="139"/>
      <c r="C68" s="1284" t="s">
        <v>93</v>
      </c>
      <c r="D68" s="1284"/>
      <c r="E68" s="1284"/>
      <c r="F68" s="1284"/>
      <c r="G68" s="1284"/>
      <c r="H68" s="1284"/>
      <c r="I68" s="1284"/>
      <c r="J68" s="1284"/>
      <c r="K68" s="1284"/>
      <c r="L68" s="1284"/>
      <c r="M68" s="1284"/>
      <c r="N68" s="1284"/>
      <c r="O68" s="1284"/>
      <c r="P68" s="1284"/>
      <c r="Q68" s="1284"/>
      <c r="R68" s="1284"/>
      <c r="S68" s="1284"/>
      <c r="T68" s="1284"/>
      <c r="U68" s="1284"/>
      <c r="V68" s="1284"/>
      <c r="W68" s="1284"/>
      <c r="X68" s="1284"/>
      <c r="Y68" s="1284"/>
      <c r="Z68" s="1284"/>
      <c r="AC68" s="1482" t="str">
        <f>'PIM Model'!$AD$21</f>
        <v/>
      </c>
      <c r="AD68" s="1482"/>
      <c r="AE68" s="1482" t="str">
        <f>'PIM Model'!$D$21</f>
        <v>%</v>
      </c>
      <c r="AF68" s="1482"/>
      <c r="AG68" s="1482" t="str">
        <f>'PIM Model'!$D$21</f>
        <v>%</v>
      </c>
      <c r="AH68" s="1482"/>
      <c r="AI68" s="1479" t="str">
        <f>'PIM Model'!$D$21</f>
        <v>%</v>
      </c>
      <c r="AJ68" s="1479"/>
      <c r="AK68" s="136"/>
      <c r="AL68" s="136"/>
      <c r="AM68" s="136"/>
      <c r="AN68" s="136"/>
      <c r="AO68" s="136"/>
      <c r="AP68" s="136"/>
      <c r="AQ68" s="136"/>
      <c r="AR68" s="136"/>
      <c r="AS68" s="136"/>
      <c r="AT68" s="136"/>
      <c r="AU68" s="136"/>
      <c r="AV68" s="136"/>
      <c r="AW68" s="136"/>
      <c r="AX68" s="136"/>
      <c r="AY68" s="136"/>
      <c r="AZ68" s="136"/>
      <c r="BA68" s="136"/>
      <c r="BB68" s="136"/>
      <c r="BC68" s="136"/>
      <c r="BD68" s="136"/>
      <c r="BE68" s="136"/>
      <c r="BF68" s="632"/>
    </row>
    <row r="69" spans="2:70" x14ac:dyDescent="0.25">
      <c r="B69" s="139"/>
      <c r="C69" s="1284" t="s">
        <v>92</v>
      </c>
      <c r="D69" s="1284"/>
      <c r="E69" s="1284"/>
      <c r="F69" s="1284"/>
      <c r="G69" s="1284"/>
      <c r="H69" s="1284"/>
      <c r="I69" s="1284"/>
      <c r="J69" s="1284"/>
      <c r="K69" s="1284"/>
      <c r="L69" s="1284"/>
      <c r="M69" s="1284"/>
      <c r="N69" s="1284"/>
      <c r="O69" s="1284"/>
      <c r="P69" s="1284"/>
      <c r="Q69" s="1284"/>
      <c r="R69" s="1284"/>
      <c r="S69" s="1284"/>
      <c r="T69" s="1284"/>
      <c r="U69" s="1284"/>
      <c r="V69" s="1284"/>
      <c r="W69" s="1284"/>
      <c r="X69" s="1284"/>
      <c r="Y69" s="1284"/>
      <c r="Z69" s="1284"/>
      <c r="AC69" s="1482" t="str">
        <f>'PIM Model'!$AD$23</f>
        <v/>
      </c>
      <c r="AD69" s="1482"/>
      <c r="AE69" s="1482" t="str">
        <f>'PIM Model'!$D$23</f>
        <v>%</v>
      </c>
      <c r="AF69" s="1482"/>
      <c r="AG69" s="1482" t="str">
        <f>'PIM Model'!$D$23</f>
        <v>%</v>
      </c>
      <c r="AH69" s="1482"/>
      <c r="AI69" s="1479" t="str">
        <f>'PIM Model'!$D$23</f>
        <v>%</v>
      </c>
      <c r="AJ69" s="1479"/>
      <c r="AK69" s="136"/>
      <c r="AL69" s="136"/>
      <c r="AM69" s="136"/>
      <c r="AN69" s="136"/>
      <c r="AO69" s="136"/>
      <c r="AP69" s="136"/>
      <c r="AQ69" s="136"/>
      <c r="AR69" s="136"/>
      <c r="AS69" s="136"/>
      <c r="AT69" s="136"/>
      <c r="AU69" s="136"/>
      <c r="AV69" s="136"/>
      <c r="AW69" s="136"/>
      <c r="AX69" s="136"/>
      <c r="AY69" s="136"/>
      <c r="AZ69" s="136"/>
      <c r="BA69" s="136"/>
      <c r="BB69" s="136"/>
      <c r="BC69" s="136"/>
      <c r="BD69" s="136"/>
      <c r="BE69" s="136"/>
      <c r="BF69" s="632"/>
    </row>
    <row r="70" spans="2:70" x14ac:dyDescent="0.25">
      <c r="B70" s="139"/>
      <c r="C70" s="1284" t="s">
        <v>91</v>
      </c>
      <c r="D70" s="1284"/>
      <c r="E70" s="1284"/>
      <c r="F70" s="1284"/>
      <c r="G70" s="1284"/>
      <c r="H70" s="1284"/>
      <c r="I70" s="1284"/>
      <c r="J70" s="1284"/>
      <c r="K70" s="1284"/>
      <c r="L70" s="1284"/>
      <c r="M70" s="1284"/>
      <c r="N70" s="1284"/>
      <c r="O70" s="1284"/>
      <c r="P70" s="1284"/>
      <c r="Q70" s="1284"/>
      <c r="R70" s="1284"/>
      <c r="S70" s="1284"/>
      <c r="T70" s="1284"/>
      <c r="U70" s="1284"/>
      <c r="V70" s="1284"/>
      <c r="W70" s="1284"/>
      <c r="X70" s="1284"/>
      <c r="Y70" s="1284"/>
      <c r="Z70" s="1284"/>
      <c r="AC70" s="1482" t="str">
        <f>'PIM Model'!$AD$24</f>
        <v/>
      </c>
      <c r="AD70" s="1482"/>
      <c r="AE70" s="1482" t="str">
        <f>'PIM Model'!$D$24</f>
        <v>%</v>
      </c>
      <c r="AF70" s="1482"/>
      <c r="AG70" s="1482" t="str">
        <f>'PIM Model'!$D$24</f>
        <v>%</v>
      </c>
      <c r="AH70" s="1482"/>
      <c r="AI70" s="1479" t="str">
        <f>'PIM Model'!$D$24</f>
        <v>%</v>
      </c>
      <c r="AJ70" s="1479"/>
      <c r="AK70" s="136"/>
      <c r="AL70" s="136"/>
      <c r="AM70" s="136"/>
      <c r="AN70" s="136"/>
      <c r="AO70" s="1355"/>
      <c r="AP70" s="1355"/>
      <c r="AQ70" s="1355"/>
      <c r="AR70" s="136"/>
      <c r="AS70" s="136"/>
      <c r="AT70" s="1355"/>
      <c r="AU70" s="1355"/>
      <c r="AV70" s="1355"/>
      <c r="AW70" s="136"/>
      <c r="AX70" s="136"/>
      <c r="AY70" s="1355"/>
      <c r="AZ70" s="1355"/>
      <c r="BA70" s="1355"/>
      <c r="BB70" s="136"/>
      <c r="BC70" s="136"/>
      <c r="BD70" s="1355"/>
      <c r="BE70" s="1355"/>
      <c r="BF70" s="1459"/>
    </row>
    <row r="71" spans="2:70" x14ac:dyDescent="0.25">
      <c r="B71" s="139"/>
      <c r="C71" s="1284" t="s">
        <v>90</v>
      </c>
      <c r="D71" s="1284"/>
      <c r="E71" s="1284"/>
      <c r="F71" s="1284"/>
      <c r="G71" s="1284"/>
      <c r="H71" s="1284"/>
      <c r="I71" s="1284"/>
      <c r="J71" s="1284"/>
      <c r="K71" s="1284"/>
      <c r="L71" s="1284"/>
      <c r="M71" s="1284"/>
      <c r="N71" s="1284"/>
      <c r="O71" s="1284"/>
      <c r="P71" s="1284"/>
      <c r="Q71" s="1284"/>
      <c r="R71" s="1284"/>
      <c r="S71" s="1284"/>
      <c r="T71" s="1284"/>
      <c r="U71" s="1284"/>
      <c r="V71" s="1284"/>
      <c r="W71" s="1284"/>
      <c r="X71" s="1284"/>
      <c r="Y71" s="1284"/>
      <c r="Z71" s="1284"/>
      <c r="AC71" s="1482" t="str">
        <f>'PIM Model'!$AD$25</f>
        <v/>
      </c>
      <c r="AD71" s="1482"/>
      <c r="AE71" s="1482" t="str">
        <f>'PIM Model'!$D$25</f>
        <v>%</v>
      </c>
      <c r="AF71" s="1482"/>
      <c r="AG71" s="1482" t="str">
        <f>'PIM Model'!$D$25</f>
        <v>%</v>
      </c>
      <c r="AH71" s="1482"/>
      <c r="AI71" s="1479" t="str">
        <f>'PIM Model'!$D$25</f>
        <v>%</v>
      </c>
      <c r="AJ71" s="1479"/>
      <c r="AK71" s="136"/>
      <c r="AL71" s="136"/>
      <c r="AM71" s="136"/>
      <c r="AN71" s="136"/>
      <c r="AO71" s="1355"/>
      <c r="AP71" s="1355"/>
      <c r="AQ71" s="1355"/>
      <c r="AR71" s="136"/>
      <c r="AS71" s="136"/>
      <c r="AT71" s="1355"/>
      <c r="AU71" s="1355"/>
      <c r="AV71" s="1355"/>
      <c r="AW71" s="136"/>
      <c r="AX71" s="136"/>
      <c r="AY71" s="1355"/>
      <c r="AZ71" s="1355"/>
      <c r="BA71" s="1355"/>
      <c r="BB71" s="136"/>
      <c r="BC71" s="136"/>
      <c r="BD71" s="1355"/>
      <c r="BE71" s="1355"/>
      <c r="BF71" s="1459"/>
    </row>
    <row r="72" spans="2:70" x14ac:dyDescent="0.25">
      <c r="B72" s="139"/>
      <c r="C72" s="1284" t="s">
        <v>89</v>
      </c>
      <c r="D72" s="1284"/>
      <c r="E72" s="1284"/>
      <c r="F72" s="1284"/>
      <c r="G72" s="1284"/>
      <c r="H72" s="1284"/>
      <c r="I72" s="1284"/>
      <c r="J72" s="1284"/>
      <c r="K72" s="1284"/>
      <c r="L72" s="1284"/>
      <c r="M72" s="1284"/>
      <c r="N72" s="1284"/>
      <c r="O72" s="1284"/>
      <c r="P72" s="1284"/>
      <c r="Q72" s="1284"/>
      <c r="R72" s="1284"/>
      <c r="S72" s="1284"/>
      <c r="T72" s="1284"/>
      <c r="U72" s="1284"/>
      <c r="V72" s="1284"/>
      <c r="W72" s="1284"/>
      <c r="X72" s="1284"/>
      <c r="Y72" s="1284"/>
      <c r="Z72" s="1284"/>
      <c r="AC72" s="1482" t="str">
        <f>'PIM Model'!$AD$26</f>
        <v/>
      </c>
      <c r="AD72" s="1482"/>
      <c r="AE72" s="1482" t="str">
        <f>'PIM Model'!$D$26</f>
        <v>%</v>
      </c>
      <c r="AF72" s="1482"/>
      <c r="AG72" s="1482" t="str">
        <f>'PIM Model'!$D$26</f>
        <v>%</v>
      </c>
      <c r="AH72" s="1482"/>
      <c r="AI72" s="1479" t="str">
        <f>'PIM Model'!$D$26</f>
        <v>%</v>
      </c>
      <c r="AJ72" s="1479"/>
      <c r="AK72" s="136"/>
      <c r="AL72" s="136"/>
      <c r="AM72" s="136"/>
      <c r="AN72" s="136"/>
      <c r="AO72" s="1355"/>
      <c r="AP72" s="1355"/>
      <c r="AQ72" s="1355"/>
      <c r="AR72" s="136"/>
      <c r="AS72" s="136"/>
      <c r="AT72" s="1355"/>
      <c r="AU72" s="1355"/>
      <c r="AV72" s="1355"/>
      <c r="AW72" s="136"/>
      <c r="AX72" s="136"/>
      <c r="AY72" s="1355"/>
      <c r="AZ72" s="1355"/>
      <c r="BA72" s="1355"/>
      <c r="BB72" s="136"/>
      <c r="BC72" s="136"/>
      <c r="BD72" s="1355"/>
      <c r="BE72" s="1355"/>
      <c r="BF72" s="1459"/>
    </row>
    <row r="73" spans="2:70" x14ac:dyDescent="0.25">
      <c r="B73" s="139"/>
      <c r="C73" s="1284" t="s">
        <v>88</v>
      </c>
      <c r="D73" s="1284"/>
      <c r="E73" s="1284"/>
      <c r="F73" s="1284"/>
      <c r="G73" s="1284"/>
      <c r="H73" s="1284"/>
      <c r="I73" s="1284"/>
      <c r="J73" s="1284"/>
      <c r="K73" s="1284"/>
      <c r="L73" s="1284"/>
      <c r="M73" s="1284"/>
      <c r="N73" s="1284"/>
      <c r="O73" s="1284"/>
      <c r="P73" s="1284"/>
      <c r="Q73" s="1284"/>
      <c r="R73" s="1284"/>
      <c r="S73" s="1284"/>
      <c r="T73" s="1284"/>
      <c r="U73" s="1284"/>
      <c r="V73" s="1284"/>
      <c r="W73" s="1284"/>
      <c r="X73" s="1284"/>
      <c r="Y73" s="1284"/>
      <c r="Z73" s="1284"/>
      <c r="AC73" s="1482" t="str">
        <f>'PIM Model'!$AD$29</f>
        <v/>
      </c>
      <c r="AD73" s="1482"/>
      <c r="AE73" s="1482" t="str">
        <f>'PIM Model'!$D$29</f>
        <v>%</v>
      </c>
      <c r="AF73" s="1482"/>
      <c r="AG73" s="1482" t="str">
        <f>'PIM Model'!$D$29</f>
        <v>%</v>
      </c>
      <c r="AH73" s="1482"/>
      <c r="AI73" s="1479" t="str">
        <f>'PIM Model'!$D$29</f>
        <v>%</v>
      </c>
      <c r="AJ73" s="1479"/>
      <c r="AK73" s="136"/>
      <c r="AL73" s="136"/>
      <c r="AM73" s="136"/>
      <c r="AN73" s="136"/>
      <c r="AO73" s="1355"/>
      <c r="AP73" s="1355"/>
      <c r="AQ73" s="1355"/>
      <c r="AR73" s="136"/>
      <c r="AS73" s="136"/>
      <c r="AT73" s="1355"/>
      <c r="AU73" s="1355"/>
      <c r="AV73" s="1355"/>
      <c r="AW73" s="136"/>
      <c r="AX73" s="136"/>
      <c r="AY73" s="1355"/>
      <c r="AZ73" s="1355"/>
      <c r="BA73" s="1355"/>
      <c r="BB73" s="136"/>
      <c r="BC73" s="136"/>
      <c r="BD73" s="1355"/>
      <c r="BE73" s="1355"/>
      <c r="BF73" s="1459"/>
    </row>
    <row r="74" spans="2:70" x14ac:dyDescent="0.25">
      <c r="B74" s="139"/>
      <c r="C74" s="1284" t="s">
        <v>87</v>
      </c>
      <c r="D74" s="1284"/>
      <c r="E74" s="1284"/>
      <c r="F74" s="1284"/>
      <c r="G74" s="1284"/>
      <c r="H74" s="1284"/>
      <c r="I74" s="1284"/>
      <c r="J74" s="1284"/>
      <c r="K74" s="1284"/>
      <c r="L74" s="1284"/>
      <c r="M74" s="1284"/>
      <c r="N74" s="1284"/>
      <c r="O74" s="1284"/>
      <c r="P74" s="1284"/>
      <c r="Q74" s="1284"/>
      <c r="R74" s="1284"/>
      <c r="S74" s="1284"/>
      <c r="T74" s="1284"/>
      <c r="U74" s="1284"/>
      <c r="V74" s="1284"/>
      <c r="W74" s="1284"/>
      <c r="X74" s="1284"/>
      <c r="Y74" s="1284"/>
      <c r="Z74" s="1284"/>
      <c r="AC74" s="1482" t="str">
        <f>'PIM Model'!$AD$30</f>
        <v/>
      </c>
      <c r="AD74" s="1482"/>
      <c r="AE74" s="1482" t="str">
        <f>'PIM Model'!$D$30</f>
        <v>%</v>
      </c>
      <c r="AF74" s="1482"/>
      <c r="AG74" s="1482" t="str">
        <f>'PIM Model'!$D$30</f>
        <v>%</v>
      </c>
      <c r="AH74" s="1482"/>
      <c r="AI74" s="1479" t="str">
        <f>'PIM Model'!$D$30</f>
        <v>%</v>
      </c>
      <c r="AJ74" s="1479"/>
      <c r="AK74" s="136"/>
      <c r="AL74" s="136"/>
      <c r="AM74" s="136"/>
      <c r="AN74" s="136"/>
      <c r="AO74" s="1355"/>
      <c r="AP74" s="1355"/>
      <c r="AQ74" s="1355"/>
      <c r="AR74" s="136"/>
      <c r="AS74" s="136"/>
      <c r="AT74" s="1355"/>
      <c r="AU74" s="1355"/>
      <c r="AV74" s="1355"/>
      <c r="AW74" s="136"/>
      <c r="AX74" s="136"/>
      <c r="AY74" s="1355"/>
      <c r="AZ74" s="1355"/>
      <c r="BA74" s="1355"/>
      <c r="BB74" s="136"/>
      <c r="BC74" s="136"/>
      <c r="BD74" s="1355"/>
      <c r="BE74" s="1355"/>
      <c r="BF74" s="1459"/>
    </row>
    <row r="75" spans="2:70" x14ac:dyDescent="0.25">
      <c r="B75" s="139"/>
      <c r="C75" s="1284" t="s">
        <v>86</v>
      </c>
      <c r="D75" s="1284"/>
      <c r="E75" s="1284"/>
      <c r="F75" s="1284"/>
      <c r="G75" s="1284"/>
      <c r="H75" s="1284"/>
      <c r="I75" s="1284"/>
      <c r="J75" s="1284"/>
      <c r="K75" s="1284"/>
      <c r="L75" s="1284"/>
      <c r="M75" s="1284"/>
      <c r="N75" s="1284"/>
      <c r="O75" s="1284"/>
      <c r="P75" s="1284"/>
      <c r="Q75" s="1284"/>
      <c r="R75" s="1284"/>
      <c r="S75" s="1284"/>
      <c r="T75" s="1284"/>
      <c r="U75" s="1284"/>
      <c r="V75" s="1284"/>
      <c r="W75" s="1284"/>
      <c r="X75" s="1284"/>
      <c r="Y75" s="1284"/>
      <c r="Z75" s="1284"/>
      <c r="AC75" s="1482" t="str">
        <f>'PIM Model'!$AD$28</f>
        <v/>
      </c>
      <c r="AD75" s="1482"/>
      <c r="AE75" s="1482" t="str">
        <f>'PIM Model'!$D$28</f>
        <v>%</v>
      </c>
      <c r="AF75" s="1482"/>
      <c r="AG75" s="1482" t="str">
        <f>'PIM Model'!$D$28</f>
        <v>%</v>
      </c>
      <c r="AH75" s="1482"/>
      <c r="AI75" s="1479" t="str">
        <f>'PIM Model'!$D$28</f>
        <v>%</v>
      </c>
      <c r="AJ75" s="1479"/>
      <c r="BF75" s="140"/>
    </row>
    <row r="76" spans="2:70" x14ac:dyDescent="0.25">
      <c r="B76" s="139"/>
      <c r="C76" s="1284" t="s">
        <v>105</v>
      </c>
      <c r="D76" s="1284"/>
      <c r="E76" s="1284"/>
      <c r="F76" s="1284"/>
      <c r="G76" s="1284"/>
      <c r="H76" s="1284"/>
      <c r="I76" s="1284"/>
      <c r="J76" s="1284"/>
      <c r="K76" s="1284"/>
      <c r="L76" s="1284"/>
      <c r="M76" s="1284"/>
      <c r="N76" s="1284"/>
      <c r="O76" s="1284"/>
      <c r="P76" s="1284"/>
      <c r="Q76" s="1284"/>
      <c r="R76" s="1284"/>
      <c r="S76" s="1284"/>
      <c r="T76" s="1284"/>
      <c r="U76" s="1284"/>
      <c r="V76" s="1284"/>
      <c r="W76" s="1284"/>
      <c r="X76" s="1284"/>
      <c r="Y76" s="1284"/>
      <c r="Z76" s="1284"/>
      <c r="AC76" s="1482" t="str">
        <f>'PIM Model'!$AD$22</f>
        <v/>
      </c>
      <c r="AD76" s="1482"/>
      <c r="AE76" s="1482" t="str">
        <f>'PIM Model'!$D$22</f>
        <v>%</v>
      </c>
      <c r="AF76" s="1482"/>
      <c r="AG76" s="1482" t="str">
        <f>'PIM Model'!$D$22</f>
        <v>%</v>
      </c>
      <c r="AH76" s="1482"/>
      <c r="AI76" s="1479" t="str">
        <f>'PIM Model'!$D$22</f>
        <v>%</v>
      </c>
      <c r="AJ76" s="1479"/>
      <c r="BF76" s="140"/>
    </row>
    <row r="77" spans="2:70" x14ac:dyDescent="0.25">
      <c r="B77" s="684"/>
      <c r="C77" s="1484" t="s">
        <v>728</v>
      </c>
      <c r="D77" s="1484"/>
      <c r="E77" s="1484"/>
      <c r="F77" s="1484"/>
      <c r="G77" s="1484"/>
      <c r="H77" s="1484"/>
      <c r="I77" s="1484"/>
      <c r="J77" s="1484"/>
      <c r="K77" s="1484"/>
      <c r="L77" s="1484"/>
      <c r="M77" s="1484"/>
      <c r="N77" s="1484"/>
      <c r="O77" s="1484"/>
      <c r="P77" s="1484"/>
      <c r="Q77" s="1484"/>
      <c r="R77" s="1484"/>
      <c r="S77" s="1484"/>
      <c r="T77" s="1484"/>
      <c r="U77" s="1484"/>
      <c r="V77" s="1484"/>
      <c r="W77" s="1484"/>
      <c r="X77" s="1484"/>
      <c r="Y77" s="1484"/>
      <c r="Z77" s="1484"/>
      <c r="AC77" s="1482" t="str">
        <f>'PIM Model'!$AD$12</f>
        <v/>
      </c>
      <c r="AD77" s="1482"/>
      <c r="AE77" s="1482" t="str">
        <f>'PIM Model'!$D$12</f>
        <v>%</v>
      </c>
      <c r="AF77" s="1482"/>
      <c r="AG77" s="1482" t="str">
        <f>'PIM Model'!$D$12</f>
        <v>%</v>
      </c>
      <c r="AH77" s="1482"/>
      <c r="AI77" s="1479" t="str">
        <f>'PIM Model'!$D$12</f>
        <v>%</v>
      </c>
      <c r="AJ77" s="1479"/>
      <c r="BF77" s="140"/>
    </row>
    <row r="78" spans="2:70" x14ac:dyDescent="0.25">
      <c r="B78" s="139"/>
      <c r="C78" s="1484" t="s">
        <v>729</v>
      </c>
      <c r="D78" s="1484"/>
      <c r="E78" s="1484"/>
      <c r="F78" s="1484"/>
      <c r="G78" s="1484"/>
      <c r="H78" s="1484"/>
      <c r="I78" s="1484"/>
      <c r="J78" s="1484"/>
      <c r="K78" s="1484"/>
      <c r="L78" s="1484"/>
      <c r="M78" s="1484"/>
      <c r="N78" s="1484"/>
      <c r="O78" s="1484"/>
      <c r="P78" s="1484"/>
      <c r="Q78" s="1484"/>
      <c r="R78" s="1484"/>
      <c r="S78" s="1484"/>
      <c r="T78" s="1484"/>
      <c r="U78" s="1484"/>
      <c r="V78" s="1484"/>
      <c r="W78" s="1484"/>
      <c r="X78" s="1484"/>
      <c r="Y78" s="1484"/>
      <c r="Z78" s="1484"/>
      <c r="AC78" s="667"/>
      <c r="AD78" s="667"/>
      <c r="AE78" s="667"/>
      <c r="AF78" s="667"/>
      <c r="AG78" s="667"/>
      <c r="AH78" s="667"/>
      <c r="BF78" s="140"/>
      <c r="BR78" s="277"/>
    </row>
    <row r="79" spans="2:70" x14ac:dyDescent="0.25">
      <c r="B79" s="139"/>
      <c r="BF79" s="140"/>
    </row>
    <row r="80" spans="2:70" x14ac:dyDescent="0.25">
      <c r="B80" s="139"/>
      <c r="BF80" s="140"/>
    </row>
    <row r="81" spans="1:70" x14ac:dyDescent="0.25">
      <c r="B81" s="139"/>
      <c r="D81" s="1479" t="s">
        <v>696</v>
      </c>
      <c r="E81" s="1479"/>
      <c r="F81" s="1479"/>
      <c r="G81" s="1479"/>
      <c r="H81" s="1479"/>
      <c r="I81" s="1479"/>
      <c r="J81" s="1479"/>
      <c r="K81" s="1479"/>
      <c r="L81" s="1479"/>
      <c r="M81" s="1479"/>
      <c r="N81" s="1479"/>
      <c r="O81" s="1479"/>
      <c r="P81" s="1479"/>
      <c r="Q81" s="1479"/>
      <c r="R81" s="1479"/>
      <c r="S81" s="1479"/>
      <c r="T81" s="1479"/>
      <c r="U81" s="1479"/>
      <c r="V81" s="1479"/>
      <c r="W81" s="1479"/>
      <c r="X81" s="1479"/>
      <c r="Y81" s="1479"/>
      <c r="Z81" s="1479"/>
      <c r="AA81" s="1479"/>
      <c r="AB81" s="1479"/>
      <c r="AC81" s="1479"/>
      <c r="AD81" s="1479"/>
      <c r="AE81" s="1479"/>
      <c r="AF81" s="1479"/>
      <c r="AG81" s="1479"/>
      <c r="AH81" s="1479"/>
      <c r="AI81" s="1479"/>
      <c r="AJ81" s="1479"/>
      <c r="AK81" s="1479"/>
      <c r="AL81" s="1479"/>
      <c r="AM81" s="1479"/>
      <c r="AN81" s="1479"/>
      <c r="AO81" s="1479"/>
      <c r="AP81" s="1479"/>
      <c r="AQ81" s="1479"/>
      <c r="AR81" s="1479"/>
      <c r="AS81" s="1479"/>
      <c r="AT81" s="1479"/>
      <c r="AU81" s="1479"/>
      <c r="AV81" s="1479"/>
      <c r="AW81" s="1479"/>
      <c r="AX81" s="1479"/>
      <c r="AY81" s="1479"/>
      <c r="AZ81" s="1479"/>
      <c r="BA81" s="1479"/>
      <c r="BB81" s="1479"/>
      <c r="BC81" s="1479"/>
      <c r="BD81" s="1479"/>
      <c r="BF81" s="140"/>
    </row>
    <row r="82" spans="1:70" x14ac:dyDescent="0.25">
      <c r="B82" s="139"/>
      <c r="D82" s="1480" t="s">
        <v>241</v>
      </c>
      <c r="E82" s="1480"/>
      <c r="F82" s="1479" t="s">
        <v>695</v>
      </c>
      <c r="G82" s="1479"/>
      <c r="H82" s="1479"/>
      <c r="I82" s="1479"/>
      <c r="J82" s="1479"/>
      <c r="K82" s="1479"/>
      <c r="L82" s="1479"/>
      <c r="M82" s="1479"/>
      <c r="N82" s="1479"/>
      <c r="O82" s="1479"/>
      <c r="P82" s="1479"/>
      <c r="Q82" s="1479"/>
      <c r="R82" s="1479"/>
      <c r="S82" s="1479"/>
      <c r="T82" s="1479"/>
      <c r="U82" s="1479"/>
      <c r="V82" s="1479"/>
      <c r="W82" s="1479"/>
      <c r="X82" s="1479"/>
      <c r="Y82" s="1479"/>
      <c r="Z82" s="1479"/>
      <c r="AA82" s="1479"/>
      <c r="AB82" s="1479"/>
      <c r="AC82" s="1479"/>
      <c r="AD82" s="1479"/>
      <c r="AE82" s="1479"/>
      <c r="AF82" s="1479"/>
      <c r="AG82" s="1479"/>
      <c r="AH82" s="1479"/>
      <c r="AI82" s="1479"/>
      <c r="AJ82" s="1479"/>
      <c r="AK82" s="1479"/>
      <c r="AL82" s="1479"/>
      <c r="AM82" s="1479"/>
      <c r="AN82" s="1479"/>
      <c r="AO82" s="1479"/>
      <c r="AP82" s="1479"/>
      <c r="AQ82" s="1479"/>
      <c r="AR82" s="1479"/>
      <c r="AS82" s="1479"/>
      <c r="AT82" s="1479"/>
      <c r="AU82" s="1479"/>
      <c r="AV82" s="1479"/>
      <c r="AW82" s="1479"/>
      <c r="AX82" s="1479"/>
      <c r="AY82" s="1479"/>
      <c r="AZ82" s="1479"/>
      <c r="BA82" s="1479"/>
      <c r="BB82" s="1479"/>
      <c r="BC82" s="1479"/>
      <c r="BD82" s="1479"/>
      <c r="BF82" s="140"/>
    </row>
    <row r="83" spans="1:70" x14ac:dyDescent="0.25">
      <c r="B83" s="139"/>
      <c r="D83" s="1481"/>
      <c r="E83" s="1481"/>
      <c r="F83" s="1479" t="s">
        <v>694</v>
      </c>
      <c r="G83" s="1479"/>
      <c r="H83" s="1479"/>
      <c r="I83" s="1479"/>
      <c r="J83" s="1479"/>
      <c r="K83" s="1479"/>
      <c r="L83" s="1479"/>
      <c r="M83" s="1479"/>
      <c r="N83" s="1479"/>
      <c r="O83" s="1479"/>
      <c r="P83" s="1479"/>
      <c r="Q83" s="1479"/>
      <c r="R83" s="1479"/>
      <c r="S83" s="1479"/>
      <c r="T83" s="1479"/>
      <c r="U83" s="1479"/>
      <c r="V83" s="1479"/>
      <c r="W83" s="1479"/>
      <c r="X83" s="1479"/>
      <c r="Y83" s="1479"/>
      <c r="Z83" s="1479"/>
      <c r="AA83" s="1479"/>
      <c r="AB83" s="1479"/>
      <c r="AC83" s="1479"/>
      <c r="AD83" s="1479"/>
      <c r="AE83" s="1479"/>
      <c r="AF83" s="1479"/>
      <c r="AG83" s="1479"/>
      <c r="AH83" s="1479"/>
      <c r="AI83" s="1479"/>
      <c r="AJ83" s="1479"/>
      <c r="AK83" s="1479"/>
      <c r="AL83" s="1479"/>
      <c r="AM83" s="1479"/>
      <c r="AN83" s="1479"/>
      <c r="AO83" s="1479"/>
      <c r="AP83" s="1479"/>
      <c r="AQ83" s="1479"/>
      <c r="AR83" s="1479"/>
      <c r="AS83" s="1479"/>
      <c r="AT83" s="1479"/>
      <c r="AU83" s="1479"/>
      <c r="AV83" s="1479"/>
      <c r="AW83" s="1479"/>
      <c r="AX83" s="1479"/>
      <c r="AY83" s="1479"/>
      <c r="AZ83" s="1479"/>
      <c r="BA83" s="1479"/>
      <c r="BB83" s="1479"/>
      <c r="BC83" s="1479"/>
      <c r="BD83" s="1479"/>
      <c r="BF83" s="140"/>
    </row>
    <row r="84" spans="1:70" x14ac:dyDescent="0.25">
      <c r="A84" s="284"/>
      <c r="B84" s="139"/>
      <c r="D84" s="1481"/>
      <c r="E84" s="1481"/>
      <c r="F84" s="1479" t="s">
        <v>693</v>
      </c>
      <c r="G84" s="1479"/>
      <c r="H84" s="1479"/>
      <c r="I84" s="1479"/>
      <c r="J84" s="1479"/>
      <c r="K84" s="1479"/>
      <c r="L84" s="1479"/>
      <c r="M84" s="1479"/>
      <c r="N84" s="1479"/>
      <c r="O84" s="1479"/>
      <c r="P84" s="1479"/>
      <c r="Q84" s="1479"/>
      <c r="R84" s="1479"/>
      <c r="S84" s="1479"/>
      <c r="T84" s="1479"/>
      <c r="U84" s="1479"/>
      <c r="V84" s="1479"/>
      <c r="W84" s="1479"/>
      <c r="X84" s="1479"/>
      <c r="Y84" s="1479"/>
      <c r="Z84" s="1479"/>
      <c r="AA84" s="1479"/>
      <c r="AB84" s="1479"/>
      <c r="AC84" s="1479"/>
      <c r="AD84" s="1479"/>
      <c r="AE84" s="1479"/>
      <c r="AF84" s="1479"/>
      <c r="AG84" s="1479"/>
      <c r="AH84" s="1479"/>
      <c r="AI84" s="1479"/>
      <c r="AJ84" s="1479"/>
      <c r="AK84" s="1479"/>
      <c r="AL84" s="1479"/>
      <c r="AM84" s="1479"/>
      <c r="AN84" s="1479"/>
      <c r="AO84" s="1479"/>
      <c r="AP84" s="1479"/>
      <c r="AQ84" s="1479"/>
      <c r="AR84" s="1479"/>
      <c r="AS84" s="1479"/>
      <c r="AT84" s="1479"/>
      <c r="AU84" s="1479"/>
      <c r="AV84" s="1479"/>
      <c r="AW84" s="1479"/>
      <c r="AX84" s="1479"/>
      <c r="AY84" s="1479"/>
      <c r="AZ84" s="1479"/>
      <c r="BA84" s="1479"/>
      <c r="BB84" s="1479"/>
      <c r="BC84" s="1479"/>
      <c r="BD84" s="1479"/>
      <c r="BF84" s="140"/>
    </row>
    <row r="85" spans="1:70" x14ac:dyDescent="0.25">
      <c r="B85" s="139"/>
      <c r="BF85" s="140"/>
    </row>
    <row r="86" spans="1:70" x14ac:dyDescent="0.25">
      <c r="B86" s="139"/>
      <c r="D86" s="1479" t="s">
        <v>692</v>
      </c>
      <c r="E86" s="1479"/>
      <c r="F86" s="1479"/>
      <c r="G86" s="1479"/>
      <c r="H86" s="1479"/>
      <c r="I86" s="1479"/>
      <c r="J86" s="1479"/>
      <c r="K86" s="1479"/>
      <c r="L86" s="1479"/>
      <c r="M86" s="1479"/>
      <c r="N86" s="1479"/>
      <c r="O86" s="1479"/>
      <c r="P86" s="1479"/>
      <c r="Q86" s="1479"/>
      <c r="R86" s="1479"/>
      <c r="S86" s="1479"/>
      <c r="T86" s="1479"/>
      <c r="U86" s="1479"/>
      <c r="V86" s="1479"/>
      <c r="W86" s="1479"/>
      <c r="X86" s="1479"/>
      <c r="Y86" s="1479"/>
      <c r="Z86" s="1479"/>
      <c r="AA86" s="1479"/>
      <c r="AB86" s="1479"/>
      <c r="AC86" s="1479"/>
      <c r="AD86" s="1479"/>
      <c r="AE86" s="1479"/>
      <c r="AF86" s="1479"/>
      <c r="AG86" s="1479"/>
      <c r="AH86" s="1479"/>
      <c r="AI86" s="1479"/>
      <c r="AJ86" s="1479"/>
      <c r="AK86" s="1479"/>
      <c r="AL86" s="1479"/>
      <c r="AM86" s="1479"/>
      <c r="AN86" s="1479"/>
      <c r="AO86" s="1479"/>
      <c r="AP86" s="1479"/>
      <c r="AQ86" s="1479"/>
      <c r="AR86" s="1479"/>
      <c r="AS86" s="1479"/>
      <c r="AT86" s="1479"/>
      <c r="AU86" s="1479"/>
      <c r="AV86" s="1479"/>
      <c r="AW86" s="1479"/>
      <c r="AX86" s="1479"/>
      <c r="AY86" s="1479"/>
      <c r="AZ86" s="1479"/>
      <c r="BA86" s="1479"/>
      <c r="BB86" s="1479"/>
      <c r="BC86" s="1479"/>
      <c r="BD86" s="1479"/>
      <c r="BF86" s="140"/>
    </row>
    <row r="87" spans="1:70" x14ac:dyDescent="0.25">
      <c r="B87" s="139"/>
      <c r="D87" s="1480" t="s">
        <v>241</v>
      </c>
      <c r="E87" s="1480"/>
      <c r="F87" s="1479" t="s">
        <v>691</v>
      </c>
      <c r="G87" s="1479"/>
      <c r="H87" s="1479"/>
      <c r="I87" s="1479"/>
      <c r="J87" s="1479"/>
      <c r="K87" s="1479"/>
      <c r="L87" s="1479"/>
      <c r="M87" s="1479"/>
      <c r="N87" s="1479"/>
      <c r="O87" s="1479"/>
      <c r="P87" s="1479"/>
      <c r="Q87" s="1479"/>
      <c r="R87" s="1479"/>
      <c r="S87" s="1479"/>
      <c r="T87" s="1479"/>
      <c r="U87" s="1479"/>
      <c r="V87" s="1479"/>
      <c r="W87" s="1479"/>
      <c r="X87" s="1479"/>
      <c r="Y87" s="1479"/>
      <c r="Z87" s="1479"/>
      <c r="AA87" s="1479"/>
      <c r="AB87" s="1479"/>
      <c r="AC87" s="1479"/>
      <c r="AD87" s="1479"/>
      <c r="AE87" s="1479"/>
      <c r="AF87" s="1479"/>
      <c r="AG87" s="1479"/>
      <c r="AH87" s="1479"/>
      <c r="AI87" s="1479"/>
      <c r="AJ87" s="1479"/>
      <c r="AK87" s="1479"/>
      <c r="AL87" s="1479"/>
      <c r="AM87" s="1479"/>
      <c r="AN87" s="1479"/>
      <c r="AO87" s="1479"/>
      <c r="AP87" s="1479"/>
      <c r="AQ87" s="1479"/>
      <c r="AR87" s="1479"/>
      <c r="AS87" s="1479"/>
      <c r="AT87" s="1479"/>
      <c r="AU87" s="1479"/>
      <c r="AV87" s="1479"/>
      <c r="AW87" s="1479"/>
      <c r="AX87" s="1479"/>
      <c r="AY87" s="1479"/>
      <c r="AZ87" s="1479"/>
      <c r="BA87" s="1479"/>
      <c r="BB87" s="1479"/>
      <c r="BC87" s="1479"/>
      <c r="BD87" s="1479"/>
      <c r="BF87" s="140"/>
    </row>
    <row r="88" spans="1:70" x14ac:dyDescent="0.25">
      <c r="B88" s="139"/>
      <c r="D88" s="1481"/>
      <c r="E88" s="1481"/>
      <c r="F88" s="1479" t="s">
        <v>690</v>
      </c>
      <c r="G88" s="1479"/>
      <c r="H88" s="1479"/>
      <c r="I88" s="1479"/>
      <c r="J88" s="1479"/>
      <c r="K88" s="1479"/>
      <c r="L88" s="1479"/>
      <c r="M88" s="1479"/>
      <c r="N88" s="1479"/>
      <c r="O88" s="1479"/>
      <c r="P88" s="1479"/>
      <c r="Q88" s="1479"/>
      <c r="R88" s="1479"/>
      <c r="S88" s="1479"/>
      <c r="T88" s="1479"/>
      <c r="U88" s="1479"/>
      <c r="V88" s="1479"/>
      <c r="W88" s="1479"/>
      <c r="X88" s="1479"/>
      <c r="Y88" s="1479"/>
      <c r="Z88" s="1479"/>
      <c r="AA88" s="1479"/>
      <c r="AB88" s="1479"/>
      <c r="AC88" s="1479"/>
      <c r="AD88" s="1479"/>
      <c r="AE88" s="1479"/>
      <c r="AF88" s="1479"/>
      <c r="AG88" s="1479"/>
      <c r="AH88" s="1479"/>
      <c r="AI88" s="1479"/>
      <c r="AJ88" s="1479"/>
      <c r="AK88" s="1479"/>
      <c r="AL88" s="1479"/>
      <c r="AM88" s="1479"/>
      <c r="AN88" s="1479"/>
      <c r="AO88" s="1479"/>
      <c r="AP88" s="1479"/>
      <c r="AQ88" s="1479"/>
      <c r="AR88" s="1479"/>
      <c r="AS88" s="1479"/>
      <c r="AT88" s="1479"/>
      <c r="AU88" s="1479"/>
      <c r="AV88" s="1479"/>
      <c r="AW88" s="1479"/>
      <c r="AX88" s="1479"/>
      <c r="AY88" s="1479"/>
      <c r="AZ88" s="1479"/>
      <c r="BA88" s="1479"/>
      <c r="BB88" s="1479"/>
      <c r="BC88" s="1479"/>
      <c r="BD88" s="1479"/>
      <c r="BF88" s="140"/>
    </row>
    <row r="89" spans="1:70" x14ac:dyDescent="0.25">
      <c r="B89" s="139"/>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0"/>
    </row>
    <row r="90" spans="1:70" x14ac:dyDescent="0.25">
      <c r="B90" s="685"/>
      <c r="C90" s="281"/>
      <c r="D90" s="281"/>
      <c r="E90" s="281"/>
      <c r="F90" s="281"/>
      <c r="G90" s="281"/>
      <c r="H90" s="281"/>
      <c r="I90" s="281"/>
      <c r="J90" s="281"/>
      <c r="K90" s="281"/>
      <c r="L90" s="281"/>
      <c r="M90" s="281"/>
      <c r="N90" s="281"/>
      <c r="O90" s="281"/>
      <c r="P90" s="281"/>
      <c r="Q90" s="281"/>
      <c r="R90" s="281"/>
      <c r="S90" s="281"/>
      <c r="T90" s="281"/>
      <c r="U90" s="281"/>
      <c r="V90" s="281"/>
      <c r="W90" s="281"/>
      <c r="X90" s="281"/>
      <c r="Y90" s="281"/>
      <c r="Z90" s="281"/>
      <c r="AA90" s="281"/>
      <c r="AB90" s="281"/>
      <c r="AC90" s="281"/>
      <c r="AD90" s="281"/>
      <c r="AE90" s="281"/>
      <c r="AF90" s="281"/>
      <c r="AG90" s="281"/>
      <c r="AH90" s="281"/>
      <c r="AI90" s="281"/>
      <c r="AJ90" s="281"/>
      <c r="AK90" s="281"/>
      <c r="AL90" s="281"/>
      <c r="AM90" s="281"/>
      <c r="AN90" s="281"/>
      <c r="AO90" s="281"/>
      <c r="AP90" s="281"/>
      <c r="AQ90" s="281"/>
      <c r="AR90" s="281"/>
      <c r="AS90" s="281"/>
      <c r="AT90" s="281"/>
      <c r="AU90" s="281"/>
      <c r="AV90" s="281"/>
      <c r="AW90" s="281"/>
      <c r="AX90" s="281"/>
      <c r="AY90" s="281"/>
      <c r="AZ90" s="281"/>
      <c r="BA90" s="281"/>
      <c r="BB90" s="281"/>
      <c r="BC90" s="281"/>
      <c r="BD90" s="281"/>
      <c r="BE90" s="281"/>
      <c r="BF90" s="666"/>
    </row>
    <row r="91" spans="1:70" x14ac:dyDescent="0.25">
      <c r="B91" s="139"/>
      <c r="BF91" s="140"/>
    </row>
    <row r="92" spans="1:70" ht="18.75" x14ac:dyDescent="0.3">
      <c r="B92" s="1495" t="s">
        <v>1010</v>
      </c>
      <c r="C92" s="1496"/>
      <c r="D92" s="1496"/>
      <c r="E92" s="1496"/>
      <c r="F92" s="1496"/>
      <c r="G92" s="1496"/>
      <c r="H92" s="1496"/>
      <c r="I92" s="1496"/>
      <c r="J92" s="1496"/>
      <c r="K92" s="1496"/>
      <c r="L92" s="1496"/>
      <c r="M92" s="1496"/>
      <c r="N92" s="1496"/>
      <c r="O92" s="1496"/>
      <c r="P92" s="1496"/>
      <c r="Q92" s="1496"/>
      <c r="R92" s="1496"/>
      <c r="S92" s="1496"/>
      <c r="T92" s="1496"/>
      <c r="U92" s="1496"/>
      <c r="V92" s="1496"/>
      <c r="W92" s="1496"/>
      <c r="X92" s="1496"/>
      <c r="Y92" s="1496"/>
      <c r="Z92" s="1496"/>
      <c r="AA92" s="1496"/>
      <c r="AB92" s="1496"/>
      <c r="AC92" s="1496"/>
      <c r="AD92" s="1496"/>
      <c r="AE92" s="1496"/>
      <c r="AF92" s="1496"/>
      <c r="AG92" s="1496"/>
      <c r="AH92" s="1496"/>
      <c r="AI92" s="1496"/>
      <c r="AJ92" s="1496"/>
      <c r="AK92" s="1496"/>
      <c r="AL92" s="1496"/>
      <c r="AM92" s="1496"/>
      <c r="AN92" s="1496"/>
      <c r="AO92" s="1496"/>
      <c r="AP92" s="1496"/>
      <c r="AQ92" s="1496"/>
      <c r="AR92" s="1496"/>
      <c r="AS92" s="1496"/>
      <c r="AT92" s="1496"/>
      <c r="AU92" s="1496"/>
      <c r="AV92" s="1496"/>
      <c r="AW92" s="1496"/>
      <c r="AX92" s="1496"/>
      <c r="AY92" s="1496"/>
      <c r="AZ92" s="1496"/>
      <c r="BA92" s="1496"/>
      <c r="BB92" s="1496"/>
      <c r="BC92" s="1496"/>
      <c r="BD92" s="1496"/>
      <c r="BE92" s="1496"/>
      <c r="BF92" s="1497"/>
    </row>
    <row r="93" spans="1:70" ht="15.75" thickBot="1" x14ac:dyDescent="0.3">
      <c r="B93" s="139"/>
      <c r="BF93" s="140"/>
      <c r="BR93" s="277"/>
    </row>
    <row r="94" spans="1:70" ht="15.75" thickBot="1" x14ac:dyDescent="0.3">
      <c r="B94" s="139"/>
      <c r="D94" s="1509" t="s">
        <v>736</v>
      </c>
      <c r="E94" s="1510"/>
      <c r="F94" s="1510"/>
      <c r="G94" s="1510"/>
      <c r="H94" s="1510"/>
      <c r="I94" s="1510"/>
      <c r="J94" s="1510"/>
      <c r="K94" s="1516" t="s">
        <v>737</v>
      </c>
      <c r="L94" s="1510"/>
      <c r="M94" s="1510"/>
      <c r="N94" s="1510"/>
      <c r="O94" s="1510"/>
      <c r="P94" s="1510"/>
      <c r="Q94" s="1510"/>
      <c r="R94" s="1510"/>
      <c r="S94" s="1510"/>
      <c r="T94" s="1510"/>
      <c r="U94" s="1516" t="s">
        <v>797</v>
      </c>
      <c r="V94" s="1510"/>
      <c r="W94" s="1510"/>
      <c r="X94" s="1510"/>
      <c r="Y94" s="1510"/>
      <c r="Z94" s="1510"/>
      <c r="AA94" s="1510"/>
      <c r="AB94" s="1510"/>
      <c r="AC94" s="1510"/>
      <c r="AD94" s="1510"/>
      <c r="AE94" s="1510"/>
      <c r="AF94" s="1510"/>
      <c r="AG94" s="1510"/>
      <c r="AH94" s="1510"/>
      <c r="AI94" s="1510"/>
      <c r="AJ94" s="1516" t="s">
        <v>802</v>
      </c>
      <c r="AK94" s="1510"/>
      <c r="AL94" s="1510"/>
      <c r="AM94" s="1510"/>
      <c r="AN94" s="1510"/>
      <c r="AO94" s="1510"/>
      <c r="AP94" s="1510"/>
      <c r="AQ94" s="1510"/>
      <c r="AR94" s="1510"/>
      <c r="AS94" s="1510"/>
      <c r="AT94" s="1528"/>
      <c r="AU94" s="1516" t="s">
        <v>803</v>
      </c>
      <c r="AV94" s="1510"/>
      <c r="AW94" s="1510"/>
      <c r="AX94" s="1528"/>
      <c r="AY94" s="1516" t="s">
        <v>847</v>
      </c>
      <c r="AZ94" s="1510"/>
      <c r="BA94" s="1510"/>
      <c r="BB94" s="1510"/>
      <c r="BC94" s="1538"/>
      <c r="BF94" s="140"/>
    </row>
    <row r="95" spans="1:70" x14ac:dyDescent="0.25">
      <c r="B95" s="139"/>
      <c r="C95" s="640">
        <v>1</v>
      </c>
      <c r="D95" s="1508">
        <f>'Customer Inputs'!$B$6</f>
        <v>0</v>
      </c>
      <c r="E95" s="1508"/>
      <c r="F95" s="1508"/>
      <c r="G95" s="1508"/>
      <c r="H95" s="1508"/>
      <c r="I95" s="1508"/>
      <c r="J95" s="1508"/>
      <c r="K95" s="1464" t="str">
        <f>IFERROR(IFERROR('Multi-Customer'!$BB$39,VLOOKUP($D95,'Required Info to Submit'!$E$23:$J$32,2,FALSE)),"")</f>
        <v/>
      </c>
      <c r="L95" s="1464"/>
      <c r="M95" s="1464"/>
      <c r="N95" s="1464"/>
      <c r="O95" s="1464"/>
      <c r="P95" s="1464"/>
      <c r="Q95" s="1464"/>
      <c r="R95" s="1464"/>
      <c r="S95" s="1464"/>
      <c r="T95" s="1464"/>
      <c r="U95" s="1464" t="str">
        <f>IFERROR(IFERROR('Multi-Customer'!$BB$41&amp;" "&amp;'Multi-Customer'!$BB$42,VLOOKUP($D95,'Required Info to Submit'!$E$23:$J$32,3,FALSE)),"")</f>
        <v/>
      </c>
      <c r="V95" s="1464"/>
      <c r="W95" s="1464"/>
      <c r="X95" s="1464"/>
      <c r="Y95" s="1464"/>
      <c r="Z95" s="1464"/>
      <c r="AA95" s="1464"/>
      <c r="AB95" s="1464"/>
      <c r="AC95" s="1464"/>
      <c r="AD95" s="1464"/>
      <c r="AE95" s="1464"/>
      <c r="AF95" s="1464"/>
      <c r="AG95" s="1464"/>
      <c r="AH95" s="1464"/>
      <c r="AI95" s="1464"/>
      <c r="AJ95" s="1525" t="str">
        <f>IFERROR(IFERROR('Multi-Customer'!$BB$43,VLOOKUP($D95,'Required Info to Submit'!$E$23:$J$32,4,FALSE)),"")</f>
        <v/>
      </c>
      <c r="AK95" s="1526"/>
      <c r="AL95" s="1526"/>
      <c r="AM95" s="1526"/>
      <c r="AN95" s="1526"/>
      <c r="AO95" s="1526"/>
      <c r="AP95" s="1526"/>
      <c r="AQ95" s="1526"/>
      <c r="AR95" s="1526"/>
      <c r="AS95" s="1526"/>
      <c r="AT95" s="1527"/>
      <c r="AU95" s="1529" t="str">
        <f>IFERROR(IFERROR('Multi-Customer'!$BB$44,VLOOKUP($D95,'Required Info to Submit'!$E$23:$J$32,5,FALSE)),"")</f>
        <v/>
      </c>
      <c r="AV95" s="1530"/>
      <c r="AW95" s="1530"/>
      <c r="AX95" s="1531"/>
      <c r="AY95" s="1535" t="str">
        <f>IFERROR(IFERROR('Multi-Customer'!$BB$45,VLOOKUP($D95,'Required Info to Submit'!$E$23:$J$32,6,FALSE)),"")</f>
        <v/>
      </c>
      <c r="AZ95" s="1536"/>
      <c r="BA95" s="1536"/>
      <c r="BB95" s="1536"/>
      <c r="BC95" s="1537"/>
      <c r="BF95" s="140"/>
    </row>
    <row r="96" spans="1:70" x14ac:dyDescent="0.25">
      <c r="B96" s="139"/>
      <c r="C96" s="641">
        <v>2</v>
      </c>
      <c r="D96" s="1507">
        <f>'Customer Inputs'!$B$7</f>
        <v>0</v>
      </c>
      <c r="E96" s="1507"/>
      <c r="F96" s="1507"/>
      <c r="G96" s="1507"/>
      <c r="H96" s="1507"/>
      <c r="I96" s="1507"/>
      <c r="J96" s="1507"/>
      <c r="K96" s="1451" t="str">
        <f>IFERROR(IFERROR('Multi-Customer'!$BY$39,VLOOKUP($D96,'Required Info to Submit'!$E$23:$J$32,2,FALSE)),"")</f>
        <v/>
      </c>
      <c r="L96" s="1451"/>
      <c r="M96" s="1451"/>
      <c r="N96" s="1451"/>
      <c r="O96" s="1451"/>
      <c r="P96" s="1451"/>
      <c r="Q96" s="1451"/>
      <c r="R96" s="1451"/>
      <c r="S96" s="1451"/>
      <c r="T96" s="1451"/>
      <c r="U96" s="1451" t="str">
        <f>IFERROR(IFERROR('Multi-Customer'!$BY$41&amp;" "&amp;'Multi-Customer'!$BY$42,VLOOKUP($D96,'Required Info to Submit'!$E$23:$J$32,3,FALSE)),"")</f>
        <v/>
      </c>
      <c r="V96" s="1451"/>
      <c r="W96" s="1451"/>
      <c r="X96" s="1451"/>
      <c r="Y96" s="1451"/>
      <c r="Z96" s="1451"/>
      <c r="AA96" s="1451"/>
      <c r="AB96" s="1451"/>
      <c r="AC96" s="1451"/>
      <c r="AD96" s="1451"/>
      <c r="AE96" s="1451"/>
      <c r="AF96" s="1451"/>
      <c r="AG96" s="1451"/>
      <c r="AH96" s="1451"/>
      <c r="AI96" s="1451"/>
      <c r="AJ96" s="1522" t="str">
        <f>IFERROR(IFERROR('Multi-Customer'!$BY$43,VLOOKUP($D96,'Required Info to Submit'!$E$23:$J$32,4,FALSE)),"")</f>
        <v/>
      </c>
      <c r="AK96" s="1523"/>
      <c r="AL96" s="1523"/>
      <c r="AM96" s="1523"/>
      <c r="AN96" s="1523"/>
      <c r="AO96" s="1523"/>
      <c r="AP96" s="1523"/>
      <c r="AQ96" s="1523"/>
      <c r="AR96" s="1523"/>
      <c r="AS96" s="1523"/>
      <c r="AT96" s="1524"/>
      <c r="AU96" s="1375" t="str">
        <f>IFERROR(IFERROR('Multi-Customer'!$BY$44,VLOOKUP($D96,'Required Info to Submit'!$E$23:$J$32,5,FALSE)),"")</f>
        <v/>
      </c>
      <c r="AV96" s="1376"/>
      <c r="AW96" s="1376"/>
      <c r="AX96" s="1377"/>
      <c r="AY96" s="1442" t="str">
        <f>IFERROR(IFERROR('Multi-Customer'!$BY$45,VLOOKUP($D96,'Required Info to Submit'!$E$23:$J$32,6,FALSE)),"")</f>
        <v/>
      </c>
      <c r="AZ96" s="1443"/>
      <c r="BA96" s="1443"/>
      <c r="BB96" s="1443"/>
      <c r="BC96" s="1444"/>
      <c r="BF96" s="140"/>
    </row>
    <row r="97" spans="2:58" x14ac:dyDescent="0.25">
      <c r="B97" s="139"/>
      <c r="C97" s="641">
        <v>3</v>
      </c>
      <c r="D97" s="1507">
        <f>'Customer Inputs'!$B$8</f>
        <v>0</v>
      </c>
      <c r="E97" s="1507"/>
      <c r="F97" s="1507"/>
      <c r="G97" s="1507"/>
      <c r="H97" s="1507"/>
      <c r="I97" s="1507"/>
      <c r="J97" s="1507"/>
      <c r="K97" s="1451" t="str">
        <f>IFERROR(IFERROR('Multi-Customer'!$CV$39,VLOOKUP($D97,'Required Info to Submit'!$E$23:$J$32,2,FALSE)),"")</f>
        <v/>
      </c>
      <c r="L97" s="1451"/>
      <c r="M97" s="1451"/>
      <c r="N97" s="1451"/>
      <c r="O97" s="1451"/>
      <c r="P97" s="1451"/>
      <c r="Q97" s="1451"/>
      <c r="R97" s="1451"/>
      <c r="S97" s="1451"/>
      <c r="T97" s="1451"/>
      <c r="U97" s="1451" t="str">
        <f>IFERROR(IFERROR('Multi-Customer'!$CV$41&amp;" "&amp;'Multi-Customer'!$CV$42,VLOOKUP($D97,'Required Info to Submit'!$E$23:$J$32,3,FALSE)),"")</f>
        <v/>
      </c>
      <c r="V97" s="1451"/>
      <c r="W97" s="1451"/>
      <c r="X97" s="1451"/>
      <c r="Y97" s="1451"/>
      <c r="Z97" s="1451"/>
      <c r="AA97" s="1451"/>
      <c r="AB97" s="1451"/>
      <c r="AC97" s="1451"/>
      <c r="AD97" s="1451"/>
      <c r="AE97" s="1451"/>
      <c r="AF97" s="1451"/>
      <c r="AG97" s="1451"/>
      <c r="AH97" s="1451"/>
      <c r="AI97" s="1451"/>
      <c r="AJ97" s="1522" t="str">
        <f>IFERROR(IFERROR('Multi-Customer'!$CV$43,VLOOKUP($D97,'Required Info to Submit'!$E$23:$J$32,4,FALSE)),"")</f>
        <v/>
      </c>
      <c r="AK97" s="1523"/>
      <c r="AL97" s="1523"/>
      <c r="AM97" s="1523"/>
      <c r="AN97" s="1523"/>
      <c r="AO97" s="1523"/>
      <c r="AP97" s="1523"/>
      <c r="AQ97" s="1523"/>
      <c r="AR97" s="1523"/>
      <c r="AS97" s="1523"/>
      <c r="AT97" s="1524"/>
      <c r="AU97" s="1375" t="str">
        <f>IFERROR(IFERROR('Multi-Customer'!$CV$44,VLOOKUP($D97,'Required Info to Submit'!$E$23:$J$32,5,FALSE)),"")</f>
        <v/>
      </c>
      <c r="AV97" s="1376"/>
      <c r="AW97" s="1376"/>
      <c r="AX97" s="1377"/>
      <c r="AY97" s="1442" t="str">
        <f>IFERROR(IFERROR('Multi-Customer'!$CV$45,VLOOKUP($D97,'Required Info to Submit'!$E$23:$J$32,6,FALSE)),"")</f>
        <v/>
      </c>
      <c r="AZ97" s="1443"/>
      <c r="BA97" s="1443"/>
      <c r="BB97" s="1443"/>
      <c r="BC97" s="1444"/>
      <c r="BF97" s="140"/>
    </row>
    <row r="98" spans="2:58" x14ac:dyDescent="0.25">
      <c r="B98" s="139"/>
      <c r="C98" s="641">
        <v>4</v>
      </c>
      <c r="D98" s="1507">
        <f>'Customer Inputs'!$B$9</f>
        <v>0</v>
      </c>
      <c r="E98" s="1507"/>
      <c r="F98" s="1507"/>
      <c r="G98" s="1507"/>
      <c r="H98" s="1507"/>
      <c r="I98" s="1507"/>
      <c r="J98" s="1507"/>
      <c r="K98" s="1451" t="str">
        <f>IFERROR(IFERROR('Multi-Customer'!$DS$39,VLOOKUP($D98,'Required Info to Submit'!$E$23:$J$32,2,FALSE)),"")</f>
        <v/>
      </c>
      <c r="L98" s="1451"/>
      <c r="M98" s="1451"/>
      <c r="N98" s="1451"/>
      <c r="O98" s="1451"/>
      <c r="P98" s="1451"/>
      <c r="Q98" s="1451"/>
      <c r="R98" s="1451"/>
      <c r="S98" s="1451"/>
      <c r="T98" s="1451"/>
      <c r="U98" s="1451" t="str">
        <f>IFERROR(IFERROR('Multi-Customer'!$DS$41&amp;" "&amp;'Multi-Customer'!$DS$42,VLOOKUP($D98,'Required Info to Submit'!$E$23:$J$32,3,FALSE)),"")</f>
        <v/>
      </c>
      <c r="V98" s="1451"/>
      <c r="W98" s="1451"/>
      <c r="X98" s="1451"/>
      <c r="Y98" s="1451"/>
      <c r="Z98" s="1451"/>
      <c r="AA98" s="1451"/>
      <c r="AB98" s="1451"/>
      <c r="AC98" s="1451"/>
      <c r="AD98" s="1451"/>
      <c r="AE98" s="1451"/>
      <c r="AF98" s="1451"/>
      <c r="AG98" s="1451"/>
      <c r="AH98" s="1451"/>
      <c r="AI98" s="1451"/>
      <c r="AJ98" s="1522" t="str">
        <f>IFERROR(IFERROR('Multi-Customer'!$DS$43,VLOOKUP($D98,'Required Info to Submit'!$E$23:$J$32,4,FALSE)),"")</f>
        <v/>
      </c>
      <c r="AK98" s="1523"/>
      <c r="AL98" s="1523"/>
      <c r="AM98" s="1523"/>
      <c r="AN98" s="1523"/>
      <c r="AO98" s="1523"/>
      <c r="AP98" s="1523"/>
      <c r="AQ98" s="1523"/>
      <c r="AR98" s="1523"/>
      <c r="AS98" s="1523"/>
      <c r="AT98" s="1524"/>
      <c r="AU98" s="1375" t="str">
        <f>IFERROR(IFERROR('Multi-Customer'!$DS$44,VLOOKUP($D98,'Required Info to Submit'!$E$23:$J$32,5,FALSE)),"")</f>
        <v/>
      </c>
      <c r="AV98" s="1376"/>
      <c r="AW98" s="1376"/>
      <c r="AX98" s="1377"/>
      <c r="AY98" s="1442" t="str">
        <f>IFERROR(IFERROR('Multi-Customer'!$DS$45,VLOOKUP($D98,'Required Info to Submit'!$E$23:$J$32,6,FALSE)),"")</f>
        <v/>
      </c>
      <c r="AZ98" s="1443"/>
      <c r="BA98" s="1443"/>
      <c r="BB98" s="1443"/>
      <c r="BC98" s="1444"/>
      <c r="BF98" s="140"/>
    </row>
    <row r="99" spans="2:58" x14ac:dyDescent="0.25">
      <c r="B99" s="139"/>
      <c r="C99" s="641">
        <v>5</v>
      </c>
      <c r="D99" s="1507">
        <f>'Customer Inputs'!$B$10</f>
        <v>0</v>
      </c>
      <c r="E99" s="1507"/>
      <c r="F99" s="1507"/>
      <c r="G99" s="1507"/>
      <c r="H99" s="1507"/>
      <c r="I99" s="1507"/>
      <c r="J99" s="1507"/>
      <c r="K99" s="1451" t="str">
        <f>IFERROR(IFERROR('Multi-Customer'!$EP$39,VLOOKUP($D99,'Required Info to Submit'!$E$23:$J$32,2,FALSE)),"")</f>
        <v/>
      </c>
      <c r="L99" s="1451"/>
      <c r="M99" s="1451"/>
      <c r="N99" s="1451"/>
      <c r="O99" s="1451"/>
      <c r="P99" s="1451"/>
      <c r="Q99" s="1451"/>
      <c r="R99" s="1451"/>
      <c r="S99" s="1451"/>
      <c r="T99" s="1451"/>
      <c r="U99" s="1451" t="str">
        <f>IFERROR(IFERROR('Multi-Customer'!$EP$41&amp;" "&amp;'Multi-Customer'!$EP$42,VLOOKUP($D99,'Required Info to Submit'!$E$23:$J$32,3,FALSE)),"")</f>
        <v/>
      </c>
      <c r="V99" s="1451"/>
      <c r="W99" s="1451"/>
      <c r="X99" s="1451"/>
      <c r="Y99" s="1451"/>
      <c r="Z99" s="1451"/>
      <c r="AA99" s="1451"/>
      <c r="AB99" s="1451"/>
      <c r="AC99" s="1451"/>
      <c r="AD99" s="1451"/>
      <c r="AE99" s="1451"/>
      <c r="AF99" s="1451"/>
      <c r="AG99" s="1451"/>
      <c r="AH99" s="1451"/>
      <c r="AI99" s="1451"/>
      <c r="AJ99" s="1522" t="str">
        <f>IFERROR(IFERROR('Multi-Customer'!$EP$43,VLOOKUP($D99,'Required Info to Submit'!$E$23:$J$32,4,FALSE)),"")</f>
        <v/>
      </c>
      <c r="AK99" s="1523"/>
      <c r="AL99" s="1523"/>
      <c r="AM99" s="1523"/>
      <c r="AN99" s="1523"/>
      <c r="AO99" s="1523"/>
      <c r="AP99" s="1523"/>
      <c r="AQ99" s="1523"/>
      <c r="AR99" s="1523"/>
      <c r="AS99" s="1523"/>
      <c r="AT99" s="1524"/>
      <c r="AU99" s="1375" t="str">
        <f>IFERROR(IFERROR('Multi-Customer'!$EP$44,VLOOKUP($D99,'Required Info to Submit'!$E$23:$J$32,5,FALSE)),"")</f>
        <v/>
      </c>
      <c r="AV99" s="1376"/>
      <c r="AW99" s="1376"/>
      <c r="AX99" s="1377"/>
      <c r="AY99" s="1442" t="str">
        <f>IFERROR(IFERROR('Multi-Customer'!$EP$45,VLOOKUP($D99,'Required Info to Submit'!$E$23:$J$32,6,FALSE)),"")</f>
        <v/>
      </c>
      <c r="AZ99" s="1443"/>
      <c r="BA99" s="1443"/>
      <c r="BB99" s="1443"/>
      <c r="BC99" s="1444"/>
      <c r="BF99" s="140"/>
    </row>
    <row r="100" spans="2:58" x14ac:dyDescent="0.25">
      <c r="B100" s="139"/>
      <c r="C100" s="641">
        <v>6</v>
      </c>
      <c r="D100" s="1507">
        <f>'Customer Inputs'!$B$11</f>
        <v>0</v>
      </c>
      <c r="E100" s="1507"/>
      <c r="F100" s="1507"/>
      <c r="G100" s="1507"/>
      <c r="H100" s="1507"/>
      <c r="I100" s="1507"/>
      <c r="J100" s="1507"/>
      <c r="K100" s="1451" t="str">
        <f>IFERROR(IFERROR('Multi-Customer'!$FM$39,VLOOKUP($D100,'Required Info to Submit'!$E$23:$J$32,2,FALSE)),"")</f>
        <v/>
      </c>
      <c r="L100" s="1451"/>
      <c r="M100" s="1451"/>
      <c r="N100" s="1451"/>
      <c r="O100" s="1451"/>
      <c r="P100" s="1451"/>
      <c r="Q100" s="1451"/>
      <c r="R100" s="1451"/>
      <c r="S100" s="1451"/>
      <c r="T100" s="1451"/>
      <c r="U100" s="1451" t="str">
        <f>IFERROR(IFERROR('Multi-Customer'!$FM$41&amp;" "&amp;'Multi-Customer'!$FM$42,VLOOKUP($D100,'Required Info to Submit'!$E$23:$J$32,3,FALSE)),"")</f>
        <v/>
      </c>
      <c r="V100" s="1451"/>
      <c r="W100" s="1451"/>
      <c r="X100" s="1451"/>
      <c r="Y100" s="1451"/>
      <c r="Z100" s="1451"/>
      <c r="AA100" s="1451"/>
      <c r="AB100" s="1451"/>
      <c r="AC100" s="1451"/>
      <c r="AD100" s="1451"/>
      <c r="AE100" s="1451"/>
      <c r="AF100" s="1451"/>
      <c r="AG100" s="1451"/>
      <c r="AH100" s="1451"/>
      <c r="AI100" s="1451"/>
      <c r="AJ100" s="1522" t="str">
        <f>IFERROR(IFERROR('Multi-Customer'!$FM$43,VLOOKUP($D100,'Required Info to Submit'!$E$23:$J$32,4,FALSE)),"")</f>
        <v/>
      </c>
      <c r="AK100" s="1523"/>
      <c r="AL100" s="1523"/>
      <c r="AM100" s="1523"/>
      <c r="AN100" s="1523"/>
      <c r="AO100" s="1523"/>
      <c r="AP100" s="1523"/>
      <c r="AQ100" s="1523"/>
      <c r="AR100" s="1523"/>
      <c r="AS100" s="1523"/>
      <c r="AT100" s="1524"/>
      <c r="AU100" s="1375" t="str">
        <f>IFERROR(IFERROR('Multi-Customer'!$FM$44,VLOOKUP($D100,'Required Info to Submit'!$E$23:$J$32,5,FALSE)),"")</f>
        <v/>
      </c>
      <c r="AV100" s="1376"/>
      <c r="AW100" s="1376"/>
      <c r="AX100" s="1377"/>
      <c r="AY100" s="1442" t="str">
        <f>IFERROR(IFERROR('Multi-Customer'!$FM$45,VLOOKUP($D100,'Required Info to Submit'!$E$23:$J$32,6,FALSE)),"")</f>
        <v/>
      </c>
      <c r="AZ100" s="1443"/>
      <c r="BA100" s="1443"/>
      <c r="BB100" s="1443"/>
      <c r="BC100" s="1444"/>
      <c r="BF100" s="140"/>
    </row>
    <row r="101" spans="2:58" x14ac:dyDescent="0.25">
      <c r="B101" s="139"/>
      <c r="C101" s="641">
        <v>7</v>
      </c>
      <c r="D101" s="1507">
        <f>'Customer Inputs'!$B$12</f>
        <v>0</v>
      </c>
      <c r="E101" s="1507"/>
      <c r="F101" s="1507"/>
      <c r="G101" s="1507"/>
      <c r="H101" s="1507"/>
      <c r="I101" s="1507"/>
      <c r="J101" s="1507"/>
      <c r="K101" s="1451" t="str">
        <f>IFERROR(IFERROR('Multi-Customer'!$GJ$39,VLOOKUP($D101,'Required Info to Submit'!$E$23:$J$32,2,FALSE)),"")</f>
        <v/>
      </c>
      <c r="L101" s="1451"/>
      <c r="M101" s="1451"/>
      <c r="N101" s="1451"/>
      <c r="O101" s="1451"/>
      <c r="P101" s="1451"/>
      <c r="Q101" s="1451"/>
      <c r="R101" s="1451"/>
      <c r="S101" s="1451"/>
      <c r="T101" s="1451"/>
      <c r="U101" s="1451" t="str">
        <f>IFERROR(IFERROR('Multi-Customer'!$GJ$41&amp;" "&amp;'Multi-Customer'!$GJ$42,VLOOKUP($D101,'Required Info to Submit'!$E$23:$J$32,3,FALSE)),"")</f>
        <v/>
      </c>
      <c r="V101" s="1451"/>
      <c r="W101" s="1451"/>
      <c r="X101" s="1451"/>
      <c r="Y101" s="1451"/>
      <c r="Z101" s="1451"/>
      <c r="AA101" s="1451"/>
      <c r="AB101" s="1451"/>
      <c r="AC101" s="1451"/>
      <c r="AD101" s="1451"/>
      <c r="AE101" s="1451"/>
      <c r="AF101" s="1451"/>
      <c r="AG101" s="1451"/>
      <c r="AH101" s="1451"/>
      <c r="AI101" s="1451"/>
      <c r="AJ101" s="1522" t="str">
        <f>IFERROR(IFERROR('Multi-Customer'!$GJ$43,VLOOKUP($D101,'Required Info to Submit'!$E$23:$J$32,4,FALSE)),"")</f>
        <v/>
      </c>
      <c r="AK101" s="1523"/>
      <c r="AL101" s="1523"/>
      <c r="AM101" s="1523"/>
      <c r="AN101" s="1523"/>
      <c r="AO101" s="1523"/>
      <c r="AP101" s="1523"/>
      <c r="AQ101" s="1523"/>
      <c r="AR101" s="1523"/>
      <c r="AS101" s="1523"/>
      <c r="AT101" s="1524"/>
      <c r="AU101" s="1375" t="str">
        <f>IFERROR(IFERROR('Multi-Customer'!$GJ$44,VLOOKUP($D101,'Required Info to Submit'!$E$23:$J$32,5,FALSE)),"")</f>
        <v/>
      </c>
      <c r="AV101" s="1376"/>
      <c r="AW101" s="1376"/>
      <c r="AX101" s="1377"/>
      <c r="AY101" s="1442" t="str">
        <f>IFERROR(IFERROR('Multi-Customer'!$GJ$45,VLOOKUP($D101,'Required Info to Submit'!$E$23:$J$32,6,FALSE)),"")</f>
        <v/>
      </c>
      <c r="AZ101" s="1443"/>
      <c r="BA101" s="1443"/>
      <c r="BB101" s="1443"/>
      <c r="BC101" s="1444"/>
      <c r="BF101" s="140"/>
    </row>
    <row r="102" spans="2:58" x14ac:dyDescent="0.25">
      <c r="B102" s="139"/>
      <c r="C102" s="641">
        <v>8</v>
      </c>
      <c r="D102" s="1507">
        <f>'Customer Inputs'!$B$13</f>
        <v>0</v>
      </c>
      <c r="E102" s="1507"/>
      <c r="F102" s="1507"/>
      <c r="G102" s="1507"/>
      <c r="H102" s="1507"/>
      <c r="I102" s="1507"/>
      <c r="J102" s="1507"/>
      <c r="K102" s="1451" t="str">
        <f>IFERROR(IFERROR('Multi-Customer'!$HG$39,VLOOKUP($D102,'Required Info to Submit'!$E$23:$J$32,2,FALSE)),"")</f>
        <v/>
      </c>
      <c r="L102" s="1451"/>
      <c r="M102" s="1451"/>
      <c r="N102" s="1451"/>
      <c r="O102" s="1451"/>
      <c r="P102" s="1451"/>
      <c r="Q102" s="1451"/>
      <c r="R102" s="1451"/>
      <c r="S102" s="1451"/>
      <c r="T102" s="1451"/>
      <c r="U102" s="1451" t="str">
        <f>IFERROR(IFERROR('Multi-Customer'!$HG$41&amp;" "&amp;'Multi-Customer'!$HG$42,VLOOKUP($D102,'Required Info to Submit'!$E$23:$J$32,3,FALSE)),"")</f>
        <v/>
      </c>
      <c r="V102" s="1451"/>
      <c r="W102" s="1451"/>
      <c r="X102" s="1451"/>
      <c r="Y102" s="1451"/>
      <c r="Z102" s="1451"/>
      <c r="AA102" s="1451"/>
      <c r="AB102" s="1451"/>
      <c r="AC102" s="1451"/>
      <c r="AD102" s="1451"/>
      <c r="AE102" s="1451"/>
      <c r="AF102" s="1451"/>
      <c r="AG102" s="1451"/>
      <c r="AH102" s="1451"/>
      <c r="AI102" s="1451"/>
      <c r="AJ102" s="1522" t="str">
        <f>IFERROR(IFERROR('Multi-Customer'!$HG$43,VLOOKUP($D102,'Required Info to Submit'!$E$23:$J$32,4,FALSE)),"")</f>
        <v/>
      </c>
      <c r="AK102" s="1523"/>
      <c r="AL102" s="1523"/>
      <c r="AM102" s="1523"/>
      <c r="AN102" s="1523"/>
      <c r="AO102" s="1523"/>
      <c r="AP102" s="1523"/>
      <c r="AQ102" s="1523"/>
      <c r="AR102" s="1523"/>
      <c r="AS102" s="1523"/>
      <c r="AT102" s="1524"/>
      <c r="AU102" s="1375" t="str">
        <f>IFERROR(IFERROR('Multi-Customer'!$HG$44,VLOOKUP($D102,'Required Info to Submit'!$E$23:$J$32,5,FALSE)),"")</f>
        <v/>
      </c>
      <c r="AV102" s="1376"/>
      <c r="AW102" s="1376"/>
      <c r="AX102" s="1377"/>
      <c r="AY102" s="1442" t="str">
        <f>IFERROR(IFERROR('Multi-Customer'!$HG$45,VLOOKUP($D102,'Required Info to Submit'!$E$23:$J$32,6,FALSE)),"")</f>
        <v/>
      </c>
      <c r="AZ102" s="1443"/>
      <c r="BA102" s="1443"/>
      <c r="BB102" s="1443"/>
      <c r="BC102" s="1444"/>
      <c r="BF102" s="140"/>
    </row>
    <row r="103" spans="2:58" x14ac:dyDescent="0.25">
      <c r="B103" s="139"/>
      <c r="C103" s="641">
        <v>9</v>
      </c>
      <c r="D103" s="1507">
        <f>'Customer Inputs'!$B$14</f>
        <v>0</v>
      </c>
      <c r="E103" s="1507"/>
      <c r="F103" s="1507"/>
      <c r="G103" s="1507"/>
      <c r="H103" s="1507"/>
      <c r="I103" s="1507"/>
      <c r="J103" s="1507"/>
      <c r="K103" s="1451" t="str">
        <f>IFERROR(IFERROR('Multi-Customer'!$ID$39,VLOOKUP($D103,'Required Info to Submit'!$E$23:$J$32,2,FALSE)),"")</f>
        <v/>
      </c>
      <c r="L103" s="1451"/>
      <c r="M103" s="1451"/>
      <c r="N103" s="1451"/>
      <c r="O103" s="1451"/>
      <c r="P103" s="1451"/>
      <c r="Q103" s="1451"/>
      <c r="R103" s="1451"/>
      <c r="S103" s="1451"/>
      <c r="T103" s="1451"/>
      <c r="U103" s="1451" t="str">
        <f>IFERROR(IFERROR('Multi-Customer'!$ID$41&amp;" "&amp;'Multi-Customer'!$ID$42,VLOOKUP($D103,'Required Info to Submit'!$E$23:$J$32,3,FALSE)),"")</f>
        <v/>
      </c>
      <c r="V103" s="1451"/>
      <c r="W103" s="1451"/>
      <c r="X103" s="1451"/>
      <c r="Y103" s="1451"/>
      <c r="Z103" s="1451"/>
      <c r="AA103" s="1451"/>
      <c r="AB103" s="1451"/>
      <c r="AC103" s="1451"/>
      <c r="AD103" s="1451"/>
      <c r="AE103" s="1451"/>
      <c r="AF103" s="1451"/>
      <c r="AG103" s="1451"/>
      <c r="AH103" s="1451"/>
      <c r="AI103" s="1451"/>
      <c r="AJ103" s="1522" t="str">
        <f>IFERROR(IFERROR('Multi-Customer'!$ID$43,VLOOKUP($D103,'Required Info to Submit'!$E$23:$J$32,4,FALSE)),"")</f>
        <v/>
      </c>
      <c r="AK103" s="1523"/>
      <c r="AL103" s="1523"/>
      <c r="AM103" s="1523"/>
      <c r="AN103" s="1523"/>
      <c r="AO103" s="1523"/>
      <c r="AP103" s="1523"/>
      <c r="AQ103" s="1523"/>
      <c r="AR103" s="1523"/>
      <c r="AS103" s="1523"/>
      <c r="AT103" s="1524"/>
      <c r="AU103" s="1375" t="str">
        <f>IFERROR(IFERROR('Multi-Customer'!$ID$44,VLOOKUP($D103,'Required Info to Submit'!$E$23:$J$32,5,FALSE)),"")</f>
        <v/>
      </c>
      <c r="AV103" s="1376"/>
      <c r="AW103" s="1376"/>
      <c r="AX103" s="1377"/>
      <c r="AY103" s="1442" t="str">
        <f>IFERROR(IFERROR('Multi-Customer'!$ID$45,VLOOKUP($D103,'Required Info to Submit'!$E$23:$J$32,6,FALSE)),"")</f>
        <v/>
      </c>
      <c r="AZ103" s="1443"/>
      <c r="BA103" s="1443"/>
      <c r="BB103" s="1443"/>
      <c r="BC103" s="1444"/>
      <c r="BF103" s="140"/>
    </row>
    <row r="104" spans="2:58" ht="15.75" thickBot="1" x14ac:dyDescent="0.3">
      <c r="B104" s="139"/>
      <c r="C104" s="642">
        <v>10</v>
      </c>
      <c r="D104" s="1518">
        <f>'Customer Inputs'!$B$15</f>
        <v>0</v>
      </c>
      <c r="E104" s="1518"/>
      <c r="F104" s="1518"/>
      <c r="G104" s="1518"/>
      <c r="H104" s="1518"/>
      <c r="I104" s="1518"/>
      <c r="J104" s="1518"/>
      <c r="K104" s="1517" t="str">
        <f>IFERROR(IFERROR('Multi-Customer'!$JA$39,VLOOKUP($D104,'Required Info to Submit'!$E$23:$J$32,2,FALSE)),"")</f>
        <v/>
      </c>
      <c r="L104" s="1517"/>
      <c r="M104" s="1517"/>
      <c r="N104" s="1517"/>
      <c r="O104" s="1517"/>
      <c r="P104" s="1517"/>
      <c r="Q104" s="1517"/>
      <c r="R104" s="1517"/>
      <c r="S104" s="1517"/>
      <c r="T104" s="1517"/>
      <c r="U104" s="1517" t="str">
        <f>IFERROR(IFERROR('Multi-Customer'!$JA$41&amp;" "&amp;'Multi-Customer'!$JA$42,VLOOKUP($D104,'Required Info to Submit'!$E$23:$J$32,3,FALSE)),"")</f>
        <v/>
      </c>
      <c r="V104" s="1517"/>
      <c r="W104" s="1517"/>
      <c r="X104" s="1517"/>
      <c r="Y104" s="1517"/>
      <c r="Z104" s="1517"/>
      <c r="AA104" s="1517"/>
      <c r="AB104" s="1517"/>
      <c r="AC104" s="1517"/>
      <c r="AD104" s="1517"/>
      <c r="AE104" s="1517"/>
      <c r="AF104" s="1517"/>
      <c r="AG104" s="1517"/>
      <c r="AH104" s="1517"/>
      <c r="AI104" s="1517"/>
      <c r="AJ104" s="1519" t="str">
        <f>IFERROR(IFERROR('Multi-Customer'!$JA$43,VLOOKUP($D104,'Required Info to Submit'!$E$23:$J$32,4,FALSE)),"")</f>
        <v/>
      </c>
      <c r="AK104" s="1520"/>
      <c r="AL104" s="1520"/>
      <c r="AM104" s="1520"/>
      <c r="AN104" s="1520"/>
      <c r="AO104" s="1520"/>
      <c r="AP104" s="1520"/>
      <c r="AQ104" s="1520"/>
      <c r="AR104" s="1520"/>
      <c r="AS104" s="1520"/>
      <c r="AT104" s="1521"/>
      <c r="AU104" s="1539" t="str">
        <f>IFERROR(IFERROR('Multi-Customer'!$JA$44,VLOOKUP($D104,'Required Info to Submit'!$E$23:$J$32,5,FALSE)),"")</f>
        <v/>
      </c>
      <c r="AV104" s="1540"/>
      <c r="AW104" s="1540"/>
      <c r="AX104" s="1541"/>
      <c r="AY104" s="1532" t="str">
        <f>IFERROR(IFERROR('Multi-Customer'!$JA$45,VLOOKUP($D104,'Required Info to Submit'!$E$23:$J$32,6,FALSE)),"")</f>
        <v/>
      </c>
      <c r="AZ104" s="1533"/>
      <c r="BA104" s="1533"/>
      <c r="BB104" s="1533"/>
      <c r="BC104" s="1534"/>
      <c r="BF104" s="140"/>
    </row>
    <row r="105" spans="2:58" x14ac:dyDescent="0.25">
      <c r="B105" s="139"/>
      <c r="BF105" s="140"/>
    </row>
    <row r="106" spans="2:58" x14ac:dyDescent="0.25">
      <c r="B106" s="139"/>
      <c r="BF106" s="140"/>
    </row>
    <row r="107" spans="2:58" ht="18.75" x14ac:dyDescent="0.3">
      <c r="B107" s="1495" t="s">
        <v>1018</v>
      </c>
      <c r="C107" s="1496"/>
      <c r="D107" s="1496"/>
      <c r="E107" s="1496"/>
      <c r="F107" s="1496"/>
      <c r="G107" s="1496"/>
      <c r="H107" s="1496"/>
      <c r="I107" s="1496"/>
      <c r="J107" s="1496"/>
      <c r="K107" s="1496"/>
      <c r="L107" s="1496"/>
      <c r="M107" s="1496"/>
      <c r="N107" s="1496"/>
      <c r="O107" s="1496"/>
      <c r="P107" s="1496"/>
      <c r="Q107" s="1496"/>
      <c r="R107" s="1496"/>
      <c r="S107" s="1496"/>
      <c r="T107" s="1496"/>
      <c r="U107" s="1496"/>
      <c r="V107" s="1496"/>
      <c r="W107" s="1496"/>
      <c r="X107" s="1496"/>
      <c r="Y107" s="1496"/>
      <c r="Z107" s="1496"/>
      <c r="AA107" s="1496"/>
      <c r="AB107" s="1496"/>
      <c r="AC107" s="1496"/>
      <c r="AD107" s="1496"/>
      <c r="AE107" s="1496"/>
      <c r="AF107" s="1496"/>
      <c r="AG107" s="1496"/>
      <c r="AH107" s="1496"/>
      <c r="AI107" s="1496"/>
      <c r="AJ107" s="1496"/>
      <c r="AK107" s="1496"/>
      <c r="AL107" s="1496"/>
      <c r="AM107" s="1496"/>
      <c r="AN107" s="1496"/>
      <c r="AO107" s="1496"/>
      <c r="AP107" s="1496"/>
      <c r="AQ107" s="1496"/>
      <c r="AR107" s="1496"/>
      <c r="AS107" s="1496"/>
      <c r="AT107" s="1496"/>
      <c r="AU107" s="1496"/>
      <c r="AV107" s="1496"/>
      <c r="AW107" s="1496"/>
      <c r="AX107" s="1496"/>
      <c r="AY107" s="1496"/>
      <c r="AZ107" s="1496"/>
      <c r="BA107" s="1496"/>
      <c r="BB107" s="1496"/>
      <c r="BC107" s="1496"/>
      <c r="BD107" s="1496"/>
      <c r="BE107" s="1496"/>
      <c r="BF107" s="1497"/>
    </row>
    <row r="108" spans="2:58" ht="15.75" thickBot="1" x14ac:dyDescent="0.3">
      <c r="B108" s="139"/>
      <c r="BF108" s="140"/>
    </row>
    <row r="109" spans="2:58" ht="29.45" customHeight="1" thickBot="1" x14ac:dyDescent="0.3">
      <c r="B109" s="686" t="s">
        <v>1011</v>
      </c>
      <c r="D109" s="251"/>
      <c r="E109" s="251"/>
      <c r="F109" s="251"/>
      <c r="G109" s="251"/>
      <c r="H109" s="251"/>
      <c r="I109" s="251"/>
      <c r="J109" s="251"/>
      <c r="K109" s="251"/>
      <c r="L109" s="251"/>
      <c r="M109" s="251"/>
      <c r="N109" s="251"/>
      <c r="O109" s="251"/>
      <c r="P109" s="251"/>
      <c r="Q109" s="251"/>
      <c r="R109" s="251"/>
      <c r="S109" s="251"/>
      <c r="T109" s="251"/>
      <c r="U109" s="1466" t="s">
        <v>1019</v>
      </c>
      <c r="V109" s="1437"/>
      <c r="W109" s="1437"/>
      <c r="X109" s="1437"/>
      <c r="Y109" s="1437"/>
      <c r="Z109" s="1437" t="s">
        <v>1012</v>
      </c>
      <c r="AA109" s="1437"/>
      <c r="AB109" s="1437"/>
      <c r="AC109" s="1437"/>
      <c r="AD109" s="1437"/>
      <c r="AE109" s="1437"/>
      <c r="AF109" s="1437" t="s">
        <v>1013</v>
      </c>
      <c r="AG109" s="1437"/>
      <c r="AH109" s="1437"/>
      <c r="AI109" s="1437"/>
      <c r="AJ109" s="1437"/>
      <c r="AK109" s="1437"/>
      <c r="AL109" s="1437"/>
      <c r="AM109" s="1437" t="s">
        <v>1016</v>
      </c>
      <c r="AN109" s="1437"/>
      <c r="AO109" s="1437"/>
      <c r="AP109" s="1437"/>
      <c r="AQ109" s="1437"/>
      <c r="AR109" s="1437"/>
      <c r="AS109" s="1438"/>
      <c r="AT109" s="251"/>
      <c r="AU109" s="251"/>
      <c r="AV109" s="251"/>
      <c r="AW109" s="251"/>
      <c r="AX109" s="251"/>
      <c r="AY109" s="251"/>
      <c r="AZ109" s="251"/>
      <c r="BA109" s="251"/>
      <c r="BB109" s="251"/>
      <c r="BC109" s="251"/>
      <c r="BD109" s="251"/>
      <c r="BE109" s="251"/>
      <c r="BF109" s="645"/>
    </row>
    <row r="110" spans="2:58" x14ac:dyDescent="0.25">
      <c r="B110" s="139"/>
      <c r="D110" s="1463" t="s">
        <v>99</v>
      </c>
      <c r="E110" s="1464"/>
      <c r="F110" s="1464"/>
      <c r="G110" s="1464"/>
      <c r="H110" s="1464"/>
      <c r="I110" s="1464"/>
      <c r="J110" s="1464"/>
      <c r="K110" s="1464"/>
      <c r="L110" s="1464"/>
      <c r="M110" s="1464"/>
      <c r="N110" s="1464"/>
      <c r="O110" s="1464"/>
      <c r="P110" s="1464"/>
      <c r="Q110" s="1464"/>
      <c r="R110" s="1464"/>
      <c r="S110" s="1464"/>
      <c r="T110" s="1465"/>
      <c r="U110" s="1454" t="str">
        <f>IF('PIM Model'!$B$10=0,"",'PIM Model'!$B$10)</f>
        <v/>
      </c>
      <c r="V110" s="1455"/>
      <c r="W110" s="1455"/>
      <c r="X110" s="1455"/>
      <c r="Y110" s="1455"/>
      <c r="Z110" s="1455" t="str">
        <f>'PIM Model'!$AF$10</f>
        <v/>
      </c>
      <c r="AA110" s="1455"/>
      <c r="AB110" s="1455"/>
      <c r="AC110" s="1455"/>
      <c r="AD110" s="1455"/>
      <c r="AE110" s="1455"/>
      <c r="AF110" s="1439" t="str">
        <f>'PIM Model'!$AG$10</f>
        <v/>
      </c>
      <c r="AG110" s="1440"/>
      <c r="AH110" s="1440"/>
      <c r="AI110" s="1440"/>
      <c r="AJ110" s="1440"/>
      <c r="AK110" s="1440"/>
      <c r="AL110" s="1447"/>
      <c r="AM110" s="1439" t="str">
        <f>'PIM Model'!$AH$10</f>
        <v/>
      </c>
      <c r="AN110" s="1440"/>
      <c r="AO110" s="1440"/>
      <c r="AP110" s="1440"/>
      <c r="AQ110" s="1440"/>
      <c r="AR110" s="1440"/>
      <c r="AS110" s="1441"/>
      <c r="BF110" s="140"/>
    </row>
    <row r="111" spans="2:58" x14ac:dyDescent="0.25">
      <c r="B111" s="139"/>
      <c r="D111" s="1450" t="s">
        <v>103</v>
      </c>
      <c r="E111" s="1451"/>
      <c r="F111" s="1451"/>
      <c r="G111" s="1451"/>
      <c r="H111" s="1451"/>
      <c r="I111" s="1451"/>
      <c r="J111" s="1451"/>
      <c r="K111" s="1451"/>
      <c r="L111" s="1451"/>
      <c r="M111" s="1451"/>
      <c r="N111" s="1451"/>
      <c r="O111" s="1451"/>
      <c r="P111" s="1451"/>
      <c r="Q111" s="1451"/>
      <c r="R111" s="1451"/>
      <c r="S111" s="1451"/>
      <c r="T111" s="1452"/>
      <c r="U111" s="1449" t="str">
        <f>IF('PIM Model'!$B$11=0,"",'PIM Model'!$B$11)</f>
        <v/>
      </c>
      <c r="V111" s="1374"/>
      <c r="W111" s="1374"/>
      <c r="X111" s="1374"/>
      <c r="Y111" s="1374"/>
      <c r="Z111" s="1374" t="str">
        <f>'PIM Model'!$AF$11</f>
        <v/>
      </c>
      <c r="AA111" s="1374"/>
      <c r="AB111" s="1374"/>
      <c r="AC111" s="1374"/>
      <c r="AD111" s="1374"/>
      <c r="AE111" s="1374"/>
      <c r="AF111" s="1442" t="str">
        <f>'PIM Model'!$AG$11</f>
        <v/>
      </c>
      <c r="AG111" s="1443"/>
      <c r="AH111" s="1443"/>
      <c r="AI111" s="1443"/>
      <c r="AJ111" s="1443"/>
      <c r="AK111" s="1443"/>
      <c r="AL111" s="1448"/>
      <c r="AM111" s="1442" t="str">
        <f>'PIM Model'!$AH$11</f>
        <v/>
      </c>
      <c r="AN111" s="1443"/>
      <c r="AO111" s="1443"/>
      <c r="AP111" s="1443"/>
      <c r="AQ111" s="1443"/>
      <c r="AR111" s="1443"/>
      <c r="AS111" s="1444"/>
      <c r="BF111" s="140"/>
    </row>
    <row r="112" spans="2:58" x14ac:dyDescent="0.25">
      <c r="B112" s="139"/>
      <c r="D112" s="1450" t="s">
        <v>1415</v>
      </c>
      <c r="E112" s="1451"/>
      <c r="F112" s="1451"/>
      <c r="G112" s="1451"/>
      <c r="H112" s="1451"/>
      <c r="I112" s="1451"/>
      <c r="J112" s="1451"/>
      <c r="K112" s="1451"/>
      <c r="L112" s="1451"/>
      <c r="M112" s="1451"/>
      <c r="N112" s="1451"/>
      <c r="O112" s="1451"/>
      <c r="P112" s="1451"/>
      <c r="Q112" s="1451"/>
      <c r="R112" s="1451"/>
      <c r="S112" s="1451"/>
      <c r="T112" s="1452"/>
      <c r="U112" s="1449" t="str">
        <f>IF('PIM Model'!$B$12=0,"",'PIM Model'!$B$12)</f>
        <v/>
      </c>
      <c r="V112" s="1374"/>
      <c r="W112" s="1374"/>
      <c r="X112" s="1374"/>
      <c r="Y112" s="1374"/>
      <c r="Z112" s="1374" t="str">
        <f>'PIM Model'!$AF$12</f>
        <v/>
      </c>
      <c r="AA112" s="1374"/>
      <c r="AB112" s="1374"/>
      <c r="AC112" s="1374"/>
      <c r="AD112" s="1374"/>
      <c r="AE112" s="1374"/>
      <c r="AF112" s="1442" t="str">
        <f>'PIM Model'!$AG$12</f>
        <v/>
      </c>
      <c r="AG112" s="1443"/>
      <c r="AH112" s="1443"/>
      <c r="AI112" s="1443"/>
      <c r="AJ112" s="1443"/>
      <c r="AK112" s="1443"/>
      <c r="AL112" s="1448"/>
      <c r="AM112" s="1442" t="str">
        <f>'PIM Model'!$AH$12</f>
        <v/>
      </c>
      <c r="AN112" s="1443"/>
      <c r="AO112" s="1443"/>
      <c r="AP112" s="1443"/>
      <c r="AQ112" s="1443"/>
      <c r="AR112" s="1443"/>
      <c r="AS112" s="1444"/>
      <c r="BF112" s="140"/>
    </row>
    <row r="113" spans="2:58" x14ac:dyDescent="0.25">
      <c r="B113" s="139"/>
      <c r="D113" s="1450" t="s">
        <v>102</v>
      </c>
      <c r="E113" s="1451"/>
      <c r="F113" s="1451"/>
      <c r="G113" s="1451"/>
      <c r="H113" s="1451"/>
      <c r="I113" s="1451"/>
      <c r="J113" s="1451"/>
      <c r="K113" s="1451"/>
      <c r="L113" s="1451"/>
      <c r="M113" s="1451"/>
      <c r="N113" s="1451"/>
      <c r="O113" s="1451"/>
      <c r="P113" s="1451"/>
      <c r="Q113" s="1451"/>
      <c r="R113" s="1451"/>
      <c r="S113" s="1451"/>
      <c r="T113" s="1452"/>
      <c r="U113" s="1449" t="str">
        <f>IF('PIM Model'!$B$13=0,"",'PIM Model'!$B$13)</f>
        <v/>
      </c>
      <c r="V113" s="1374"/>
      <c r="W113" s="1374"/>
      <c r="X113" s="1374"/>
      <c r="Y113" s="1374"/>
      <c r="Z113" s="1374" t="str">
        <f>'PIM Model'!$AF$13</f>
        <v/>
      </c>
      <c r="AA113" s="1374"/>
      <c r="AB113" s="1374"/>
      <c r="AC113" s="1374"/>
      <c r="AD113" s="1374"/>
      <c r="AE113" s="1374"/>
      <c r="AF113" s="1442" t="str">
        <f>'PIM Model'!$AG$13</f>
        <v/>
      </c>
      <c r="AG113" s="1443"/>
      <c r="AH113" s="1443"/>
      <c r="AI113" s="1443"/>
      <c r="AJ113" s="1443"/>
      <c r="AK113" s="1443"/>
      <c r="AL113" s="1448"/>
      <c r="AM113" s="1442" t="str">
        <f>'PIM Model'!$AH$13</f>
        <v/>
      </c>
      <c r="AN113" s="1443"/>
      <c r="AO113" s="1443"/>
      <c r="AP113" s="1443"/>
      <c r="AQ113" s="1443"/>
      <c r="AR113" s="1443"/>
      <c r="AS113" s="1444"/>
      <c r="BF113" s="140"/>
    </row>
    <row r="114" spans="2:58" x14ac:dyDescent="0.25">
      <c r="B114" s="139"/>
      <c r="D114" s="1450" t="s">
        <v>100</v>
      </c>
      <c r="E114" s="1451"/>
      <c r="F114" s="1451"/>
      <c r="G114" s="1451"/>
      <c r="H114" s="1451"/>
      <c r="I114" s="1451"/>
      <c r="J114" s="1451"/>
      <c r="K114" s="1451"/>
      <c r="L114" s="1451"/>
      <c r="M114" s="1451"/>
      <c r="N114" s="1451"/>
      <c r="O114" s="1451"/>
      <c r="P114" s="1451"/>
      <c r="Q114" s="1451"/>
      <c r="R114" s="1451"/>
      <c r="S114" s="1451"/>
      <c r="T114" s="1452"/>
      <c r="U114" s="1449" t="str">
        <f>IF('PIM Model'!$B$14=0,"",'PIM Model'!$B$14)</f>
        <v/>
      </c>
      <c r="V114" s="1374"/>
      <c r="W114" s="1374"/>
      <c r="X114" s="1374"/>
      <c r="Y114" s="1374"/>
      <c r="Z114" s="1374" t="str">
        <f>'PIM Model'!$AF$14</f>
        <v/>
      </c>
      <c r="AA114" s="1374"/>
      <c r="AB114" s="1374"/>
      <c r="AC114" s="1374"/>
      <c r="AD114" s="1374"/>
      <c r="AE114" s="1374"/>
      <c r="AF114" s="1442" t="str">
        <f>'PIM Model'!$AG$14</f>
        <v/>
      </c>
      <c r="AG114" s="1443"/>
      <c r="AH114" s="1443"/>
      <c r="AI114" s="1443"/>
      <c r="AJ114" s="1443"/>
      <c r="AK114" s="1443"/>
      <c r="AL114" s="1448"/>
      <c r="AM114" s="1442" t="str">
        <f>'PIM Model'!$AH$14</f>
        <v/>
      </c>
      <c r="AN114" s="1443"/>
      <c r="AO114" s="1443"/>
      <c r="AP114" s="1443"/>
      <c r="AQ114" s="1443"/>
      <c r="AR114" s="1443"/>
      <c r="AS114" s="1444"/>
      <c r="BF114" s="140"/>
    </row>
    <row r="115" spans="2:58" x14ac:dyDescent="0.25">
      <c r="B115" s="139"/>
      <c r="D115" s="1450" t="s">
        <v>104</v>
      </c>
      <c r="E115" s="1451"/>
      <c r="F115" s="1451"/>
      <c r="G115" s="1451"/>
      <c r="H115" s="1451"/>
      <c r="I115" s="1451"/>
      <c r="J115" s="1451"/>
      <c r="K115" s="1451"/>
      <c r="L115" s="1451"/>
      <c r="M115" s="1451"/>
      <c r="N115" s="1451"/>
      <c r="O115" s="1451"/>
      <c r="P115" s="1451"/>
      <c r="Q115" s="1451"/>
      <c r="R115" s="1451"/>
      <c r="S115" s="1451"/>
      <c r="T115" s="1452"/>
      <c r="U115" s="1449" t="str">
        <f>IF('PIM Model'!$B$15=0,"",'PIM Model'!$B$15)</f>
        <v/>
      </c>
      <c r="V115" s="1374"/>
      <c r="W115" s="1374"/>
      <c r="X115" s="1374"/>
      <c r="Y115" s="1374"/>
      <c r="Z115" s="1374" t="str">
        <f>'PIM Model'!$AF$15</f>
        <v/>
      </c>
      <c r="AA115" s="1374"/>
      <c r="AB115" s="1374"/>
      <c r="AC115" s="1374"/>
      <c r="AD115" s="1374"/>
      <c r="AE115" s="1374"/>
      <c r="AF115" s="1442" t="str">
        <f>'PIM Model'!$AG$15</f>
        <v/>
      </c>
      <c r="AG115" s="1443"/>
      <c r="AH115" s="1443"/>
      <c r="AI115" s="1443"/>
      <c r="AJ115" s="1443"/>
      <c r="AK115" s="1443"/>
      <c r="AL115" s="1448"/>
      <c r="AM115" s="1442" t="str">
        <f>'PIM Model'!$AH$15</f>
        <v/>
      </c>
      <c r="AN115" s="1443"/>
      <c r="AO115" s="1443"/>
      <c r="AP115" s="1443"/>
      <c r="AQ115" s="1443"/>
      <c r="AR115" s="1443"/>
      <c r="AS115" s="1444"/>
      <c r="BF115" s="140"/>
    </row>
    <row r="116" spans="2:58" x14ac:dyDescent="0.25">
      <c r="B116" s="139"/>
      <c r="D116" s="1450" t="s">
        <v>98</v>
      </c>
      <c r="E116" s="1451"/>
      <c r="F116" s="1451"/>
      <c r="G116" s="1451"/>
      <c r="H116" s="1451"/>
      <c r="I116" s="1451"/>
      <c r="J116" s="1451"/>
      <c r="K116" s="1451"/>
      <c r="L116" s="1451"/>
      <c r="M116" s="1451"/>
      <c r="N116" s="1451"/>
      <c r="O116" s="1451"/>
      <c r="P116" s="1451"/>
      <c r="Q116" s="1451"/>
      <c r="R116" s="1451"/>
      <c r="S116" s="1451"/>
      <c r="T116" s="1452"/>
      <c r="U116" s="1449" t="str">
        <f>IF('PIM Model'!$B$16=0,"",'PIM Model'!$B$16)</f>
        <v/>
      </c>
      <c r="V116" s="1374"/>
      <c r="W116" s="1374"/>
      <c r="X116" s="1374"/>
      <c r="Y116" s="1374"/>
      <c r="Z116" s="1374" t="str">
        <f>'PIM Model'!$AF$16</f>
        <v/>
      </c>
      <c r="AA116" s="1374"/>
      <c r="AB116" s="1374"/>
      <c r="AC116" s="1374"/>
      <c r="AD116" s="1374"/>
      <c r="AE116" s="1374"/>
      <c r="AF116" s="1442" t="str">
        <f>'PIM Model'!$AG$16</f>
        <v/>
      </c>
      <c r="AG116" s="1443"/>
      <c r="AH116" s="1443"/>
      <c r="AI116" s="1443"/>
      <c r="AJ116" s="1443"/>
      <c r="AK116" s="1443"/>
      <c r="AL116" s="1448"/>
      <c r="AM116" s="1442" t="str">
        <f>'PIM Model'!$AH$16</f>
        <v/>
      </c>
      <c r="AN116" s="1443"/>
      <c r="AO116" s="1443"/>
      <c r="AP116" s="1443"/>
      <c r="AQ116" s="1443"/>
      <c r="AR116" s="1443"/>
      <c r="AS116" s="1444"/>
      <c r="BF116" s="140"/>
    </row>
    <row r="117" spans="2:58" x14ac:dyDescent="0.25">
      <c r="B117" s="139"/>
      <c r="D117" s="1450" t="s">
        <v>95</v>
      </c>
      <c r="E117" s="1451"/>
      <c r="F117" s="1451"/>
      <c r="G117" s="1451"/>
      <c r="H117" s="1451"/>
      <c r="I117" s="1451"/>
      <c r="J117" s="1451"/>
      <c r="K117" s="1451"/>
      <c r="L117" s="1451"/>
      <c r="M117" s="1451"/>
      <c r="N117" s="1451"/>
      <c r="O117" s="1451"/>
      <c r="P117" s="1451"/>
      <c r="Q117" s="1451"/>
      <c r="R117" s="1451"/>
      <c r="S117" s="1451"/>
      <c r="T117" s="1452"/>
      <c r="U117" s="1449" t="str">
        <f>IF('PIM Model'!$B$17=0,"",'PIM Model'!$B$17)</f>
        <v/>
      </c>
      <c r="V117" s="1374"/>
      <c r="W117" s="1374"/>
      <c r="X117" s="1374"/>
      <c r="Y117" s="1374"/>
      <c r="Z117" s="1374" t="str">
        <f>'PIM Model'!$AF$17</f>
        <v/>
      </c>
      <c r="AA117" s="1374"/>
      <c r="AB117" s="1374"/>
      <c r="AC117" s="1374"/>
      <c r="AD117" s="1374"/>
      <c r="AE117" s="1374"/>
      <c r="AF117" s="1442" t="str">
        <f>'PIM Model'!$AG$17</f>
        <v/>
      </c>
      <c r="AG117" s="1443"/>
      <c r="AH117" s="1443"/>
      <c r="AI117" s="1443"/>
      <c r="AJ117" s="1443"/>
      <c r="AK117" s="1443"/>
      <c r="AL117" s="1448"/>
      <c r="AM117" s="1442" t="str">
        <f>'PIM Model'!$AH$17</f>
        <v/>
      </c>
      <c r="AN117" s="1443"/>
      <c r="AO117" s="1443"/>
      <c r="AP117" s="1443"/>
      <c r="AQ117" s="1443"/>
      <c r="AR117" s="1443"/>
      <c r="AS117" s="1444"/>
      <c r="BF117" s="140"/>
    </row>
    <row r="118" spans="2:58" x14ac:dyDescent="0.25">
      <c r="B118" s="139"/>
      <c r="D118" s="1450" t="s">
        <v>96</v>
      </c>
      <c r="E118" s="1451"/>
      <c r="F118" s="1451"/>
      <c r="G118" s="1451"/>
      <c r="H118" s="1451"/>
      <c r="I118" s="1451"/>
      <c r="J118" s="1451"/>
      <c r="K118" s="1451"/>
      <c r="L118" s="1451"/>
      <c r="M118" s="1451"/>
      <c r="N118" s="1451"/>
      <c r="O118" s="1451"/>
      <c r="P118" s="1451"/>
      <c r="Q118" s="1451"/>
      <c r="R118" s="1451"/>
      <c r="S118" s="1451"/>
      <c r="T118" s="1452"/>
      <c r="U118" s="1449" t="str">
        <f>IF('PIM Model'!$B$18=0,"",'PIM Model'!$B$18)</f>
        <v/>
      </c>
      <c r="V118" s="1374"/>
      <c r="W118" s="1374"/>
      <c r="X118" s="1374"/>
      <c r="Y118" s="1374"/>
      <c r="Z118" s="1374" t="str">
        <f>'PIM Model'!$AF$18</f>
        <v/>
      </c>
      <c r="AA118" s="1374"/>
      <c r="AB118" s="1374"/>
      <c r="AC118" s="1374"/>
      <c r="AD118" s="1374"/>
      <c r="AE118" s="1374"/>
      <c r="AF118" s="1442" t="str">
        <f>'PIM Model'!$AG$18</f>
        <v/>
      </c>
      <c r="AG118" s="1443"/>
      <c r="AH118" s="1443"/>
      <c r="AI118" s="1443"/>
      <c r="AJ118" s="1443"/>
      <c r="AK118" s="1443"/>
      <c r="AL118" s="1448"/>
      <c r="AM118" s="1442" t="str">
        <f>'PIM Model'!$AH$18</f>
        <v/>
      </c>
      <c r="AN118" s="1443"/>
      <c r="AO118" s="1443"/>
      <c r="AP118" s="1443"/>
      <c r="AQ118" s="1443"/>
      <c r="AR118" s="1443"/>
      <c r="AS118" s="1444"/>
      <c r="BF118" s="140"/>
    </row>
    <row r="119" spans="2:58" x14ac:dyDescent="0.25">
      <c r="B119" s="139"/>
      <c r="D119" s="1450" t="s">
        <v>101</v>
      </c>
      <c r="E119" s="1451"/>
      <c r="F119" s="1451"/>
      <c r="G119" s="1451"/>
      <c r="H119" s="1451"/>
      <c r="I119" s="1451"/>
      <c r="J119" s="1451"/>
      <c r="K119" s="1451"/>
      <c r="L119" s="1451"/>
      <c r="M119" s="1451"/>
      <c r="N119" s="1451"/>
      <c r="O119" s="1451"/>
      <c r="P119" s="1451"/>
      <c r="Q119" s="1451"/>
      <c r="R119" s="1451"/>
      <c r="S119" s="1451"/>
      <c r="T119" s="1452"/>
      <c r="U119" s="1449" t="str">
        <f>IF('PIM Model'!$B$19=0,"",'PIM Model'!$B$19)</f>
        <v/>
      </c>
      <c r="V119" s="1374"/>
      <c r="W119" s="1374"/>
      <c r="X119" s="1374"/>
      <c r="Y119" s="1374"/>
      <c r="Z119" s="1374" t="str">
        <f>'PIM Model'!$AF$19</f>
        <v/>
      </c>
      <c r="AA119" s="1374"/>
      <c r="AB119" s="1374"/>
      <c r="AC119" s="1374"/>
      <c r="AD119" s="1374"/>
      <c r="AE119" s="1374"/>
      <c r="AF119" s="1442" t="str">
        <f>'PIM Model'!$AG$19</f>
        <v/>
      </c>
      <c r="AG119" s="1443"/>
      <c r="AH119" s="1443"/>
      <c r="AI119" s="1443"/>
      <c r="AJ119" s="1443"/>
      <c r="AK119" s="1443"/>
      <c r="AL119" s="1448"/>
      <c r="AM119" s="1442" t="str">
        <f>'PIM Model'!$AH$19</f>
        <v/>
      </c>
      <c r="AN119" s="1443"/>
      <c r="AO119" s="1443"/>
      <c r="AP119" s="1443"/>
      <c r="AQ119" s="1443"/>
      <c r="AR119" s="1443"/>
      <c r="AS119" s="1444"/>
      <c r="BF119" s="140"/>
    </row>
    <row r="120" spans="2:58" x14ac:dyDescent="0.25">
      <c r="B120" s="139"/>
      <c r="D120" s="1450" t="s">
        <v>97</v>
      </c>
      <c r="E120" s="1451"/>
      <c r="F120" s="1451"/>
      <c r="G120" s="1451"/>
      <c r="H120" s="1451"/>
      <c r="I120" s="1451"/>
      <c r="J120" s="1451"/>
      <c r="K120" s="1451"/>
      <c r="L120" s="1451"/>
      <c r="M120" s="1451"/>
      <c r="N120" s="1451"/>
      <c r="O120" s="1451"/>
      <c r="P120" s="1451"/>
      <c r="Q120" s="1451"/>
      <c r="R120" s="1451"/>
      <c r="S120" s="1451"/>
      <c r="T120" s="1452"/>
      <c r="U120" s="1449" t="str">
        <f>IF('PIM Model'!$B$20=0,"",'PIM Model'!$B$20)</f>
        <v/>
      </c>
      <c r="V120" s="1374"/>
      <c r="W120" s="1374"/>
      <c r="X120" s="1374"/>
      <c r="Y120" s="1374"/>
      <c r="Z120" s="1374" t="str">
        <f>'PIM Model'!$AF$20</f>
        <v/>
      </c>
      <c r="AA120" s="1374"/>
      <c r="AB120" s="1374"/>
      <c r="AC120" s="1374"/>
      <c r="AD120" s="1374"/>
      <c r="AE120" s="1374"/>
      <c r="AF120" s="1442" t="str">
        <f>'PIM Model'!$AG$20</f>
        <v/>
      </c>
      <c r="AG120" s="1443"/>
      <c r="AH120" s="1443"/>
      <c r="AI120" s="1443"/>
      <c r="AJ120" s="1443"/>
      <c r="AK120" s="1443"/>
      <c r="AL120" s="1448"/>
      <c r="AM120" s="1442" t="str">
        <f>'PIM Model'!$AH$20</f>
        <v/>
      </c>
      <c r="AN120" s="1443"/>
      <c r="AO120" s="1443"/>
      <c r="AP120" s="1443"/>
      <c r="AQ120" s="1443"/>
      <c r="AR120" s="1443"/>
      <c r="AS120" s="1444"/>
      <c r="BF120" s="140"/>
    </row>
    <row r="121" spans="2:58" x14ac:dyDescent="0.25">
      <c r="B121" s="139"/>
      <c r="D121" s="1450" t="s">
        <v>93</v>
      </c>
      <c r="E121" s="1451"/>
      <c r="F121" s="1451"/>
      <c r="G121" s="1451"/>
      <c r="H121" s="1451"/>
      <c r="I121" s="1451"/>
      <c r="J121" s="1451"/>
      <c r="K121" s="1451"/>
      <c r="L121" s="1451"/>
      <c r="M121" s="1451"/>
      <c r="N121" s="1451"/>
      <c r="O121" s="1451"/>
      <c r="P121" s="1451"/>
      <c r="Q121" s="1451"/>
      <c r="R121" s="1451"/>
      <c r="S121" s="1451"/>
      <c r="T121" s="1452"/>
      <c r="U121" s="1449" t="str">
        <f>IF('PIM Model'!$B$21=0,"",'PIM Model'!$B$21)</f>
        <v/>
      </c>
      <c r="V121" s="1374"/>
      <c r="W121" s="1374"/>
      <c r="X121" s="1374"/>
      <c r="Y121" s="1374"/>
      <c r="Z121" s="1374" t="str">
        <f>'PIM Model'!$AF$21</f>
        <v/>
      </c>
      <c r="AA121" s="1374"/>
      <c r="AB121" s="1374"/>
      <c r="AC121" s="1374"/>
      <c r="AD121" s="1374"/>
      <c r="AE121" s="1374"/>
      <c r="AF121" s="1442" t="str">
        <f>'PIM Model'!$AG$21</f>
        <v/>
      </c>
      <c r="AG121" s="1443"/>
      <c r="AH121" s="1443"/>
      <c r="AI121" s="1443"/>
      <c r="AJ121" s="1443"/>
      <c r="AK121" s="1443"/>
      <c r="AL121" s="1448"/>
      <c r="AM121" s="1442" t="str">
        <f>'PIM Model'!$AH$21</f>
        <v/>
      </c>
      <c r="AN121" s="1443"/>
      <c r="AO121" s="1443"/>
      <c r="AP121" s="1443"/>
      <c r="AQ121" s="1443"/>
      <c r="AR121" s="1443"/>
      <c r="AS121" s="1444"/>
      <c r="BF121" s="140"/>
    </row>
    <row r="122" spans="2:58" x14ac:dyDescent="0.25">
      <c r="B122" s="139"/>
      <c r="D122" s="1450" t="s">
        <v>105</v>
      </c>
      <c r="E122" s="1451"/>
      <c r="F122" s="1451"/>
      <c r="G122" s="1451"/>
      <c r="H122" s="1451"/>
      <c r="I122" s="1451"/>
      <c r="J122" s="1451"/>
      <c r="K122" s="1451"/>
      <c r="L122" s="1451"/>
      <c r="M122" s="1451"/>
      <c r="N122" s="1451"/>
      <c r="O122" s="1451"/>
      <c r="P122" s="1451"/>
      <c r="Q122" s="1451"/>
      <c r="R122" s="1451"/>
      <c r="S122" s="1451"/>
      <c r="T122" s="1452"/>
      <c r="U122" s="1449" t="str">
        <f>IF('PIM Model'!$B$22=0,"",'PIM Model'!$B$22)</f>
        <v/>
      </c>
      <c r="V122" s="1374"/>
      <c r="W122" s="1374"/>
      <c r="X122" s="1374"/>
      <c r="Y122" s="1374"/>
      <c r="Z122" s="1374" t="str">
        <f>'PIM Model'!$AF$22</f>
        <v/>
      </c>
      <c r="AA122" s="1374"/>
      <c r="AB122" s="1374"/>
      <c r="AC122" s="1374"/>
      <c r="AD122" s="1374"/>
      <c r="AE122" s="1374"/>
      <c r="AF122" s="1442" t="str">
        <f>'PIM Model'!$AG$22</f>
        <v/>
      </c>
      <c r="AG122" s="1443"/>
      <c r="AH122" s="1443"/>
      <c r="AI122" s="1443"/>
      <c r="AJ122" s="1443"/>
      <c r="AK122" s="1443"/>
      <c r="AL122" s="1448"/>
      <c r="AM122" s="1442" t="str">
        <f>'PIM Model'!$AH$22</f>
        <v/>
      </c>
      <c r="AN122" s="1443"/>
      <c r="AO122" s="1443"/>
      <c r="AP122" s="1443"/>
      <c r="AQ122" s="1443"/>
      <c r="AR122" s="1443"/>
      <c r="AS122" s="1444"/>
      <c r="BF122" s="140"/>
    </row>
    <row r="123" spans="2:58" x14ac:dyDescent="0.25">
      <c r="B123" s="139"/>
      <c r="D123" s="1450" t="s">
        <v>92</v>
      </c>
      <c r="E123" s="1451"/>
      <c r="F123" s="1451"/>
      <c r="G123" s="1451"/>
      <c r="H123" s="1451"/>
      <c r="I123" s="1451"/>
      <c r="J123" s="1451"/>
      <c r="K123" s="1451"/>
      <c r="L123" s="1451"/>
      <c r="M123" s="1451"/>
      <c r="N123" s="1451"/>
      <c r="O123" s="1451"/>
      <c r="P123" s="1451"/>
      <c r="Q123" s="1451"/>
      <c r="R123" s="1451"/>
      <c r="S123" s="1451"/>
      <c r="T123" s="1452"/>
      <c r="U123" s="1449" t="str">
        <f>IF('PIM Model'!$B$23=0,"",'PIM Model'!$B$23)</f>
        <v/>
      </c>
      <c r="V123" s="1374"/>
      <c r="W123" s="1374"/>
      <c r="X123" s="1374"/>
      <c r="Y123" s="1374"/>
      <c r="Z123" s="1374" t="str">
        <f>'PIM Model'!$AF$23</f>
        <v/>
      </c>
      <c r="AA123" s="1374"/>
      <c r="AB123" s="1374"/>
      <c r="AC123" s="1374"/>
      <c r="AD123" s="1374"/>
      <c r="AE123" s="1374"/>
      <c r="AF123" s="1442" t="str">
        <f>'PIM Model'!$AG$23</f>
        <v/>
      </c>
      <c r="AG123" s="1443"/>
      <c r="AH123" s="1443"/>
      <c r="AI123" s="1443"/>
      <c r="AJ123" s="1443"/>
      <c r="AK123" s="1443"/>
      <c r="AL123" s="1448"/>
      <c r="AM123" s="1442" t="str">
        <f>'PIM Model'!$AH$23</f>
        <v/>
      </c>
      <c r="AN123" s="1443"/>
      <c r="AO123" s="1443"/>
      <c r="AP123" s="1443"/>
      <c r="AQ123" s="1443"/>
      <c r="AR123" s="1443"/>
      <c r="AS123" s="1444"/>
      <c r="BF123" s="140"/>
    </row>
    <row r="124" spans="2:58" x14ac:dyDescent="0.25">
      <c r="B124" s="139"/>
      <c r="D124" s="1450" t="s">
        <v>91</v>
      </c>
      <c r="E124" s="1451"/>
      <c r="F124" s="1451"/>
      <c r="G124" s="1451"/>
      <c r="H124" s="1451"/>
      <c r="I124" s="1451"/>
      <c r="J124" s="1451"/>
      <c r="K124" s="1451"/>
      <c r="L124" s="1451"/>
      <c r="M124" s="1451"/>
      <c r="N124" s="1451"/>
      <c r="O124" s="1451"/>
      <c r="P124" s="1451"/>
      <c r="Q124" s="1451"/>
      <c r="R124" s="1451"/>
      <c r="S124" s="1451"/>
      <c r="T124" s="1452"/>
      <c r="U124" s="1449" t="str">
        <f>IF('PIM Model'!$B$24=0,"",'PIM Model'!$B$24)</f>
        <v/>
      </c>
      <c r="V124" s="1374"/>
      <c r="W124" s="1374"/>
      <c r="X124" s="1374"/>
      <c r="Y124" s="1374"/>
      <c r="Z124" s="1374" t="str">
        <f>'PIM Model'!$AF$24</f>
        <v/>
      </c>
      <c r="AA124" s="1374"/>
      <c r="AB124" s="1374"/>
      <c r="AC124" s="1374"/>
      <c r="AD124" s="1374"/>
      <c r="AE124" s="1374"/>
      <c r="AF124" s="1442" t="str">
        <f>'PIM Model'!$AG$24</f>
        <v/>
      </c>
      <c r="AG124" s="1443"/>
      <c r="AH124" s="1443"/>
      <c r="AI124" s="1443"/>
      <c r="AJ124" s="1443"/>
      <c r="AK124" s="1443"/>
      <c r="AL124" s="1448"/>
      <c r="AM124" s="1442" t="str">
        <f>'PIM Model'!$AH$24</f>
        <v/>
      </c>
      <c r="AN124" s="1443"/>
      <c r="AO124" s="1443"/>
      <c r="AP124" s="1443"/>
      <c r="AQ124" s="1443"/>
      <c r="AR124" s="1443"/>
      <c r="AS124" s="1444"/>
      <c r="BF124" s="140"/>
    </row>
    <row r="125" spans="2:58" x14ac:dyDescent="0.25">
      <c r="B125" s="139"/>
      <c r="D125" s="1450" t="s">
        <v>90</v>
      </c>
      <c r="E125" s="1451"/>
      <c r="F125" s="1451"/>
      <c r="G125" s="1451"/>
      <c r="H125" s="1451"/>
      <c r="I125" s="1451"/>
      <c r="J125" s="1451"/>
      <c r="K125" s="1451"/>
      <c r="L125" s="1451"/>
      <c r="M125" s="1451"/>
      <c r="N125" s="1451"/>
      <c r="O125" s="1451"/>
      <c r="P125" s="1451"/>
      <c r="Q125" s="1451"/>
      <c r="R125" s="1451"/>
      <c r="S125" s="1451"/>
      <c r="T125" s="1452"/>
      <c r="U125" s="1449" t="str">
        <f>IF('PIM Model'!$B$25=0,"",'PIM Model'!$B$25)</f>
        <v/>
      </c>
      <c r="V125" s="1374"/>
      <c r="W125" s="1374"/>
      <c r="X125" s="1374"/>
      <c r="Y125" s="1374"/>
      <c r="Z125" s="1374" t="str">
        <f>'PIM Model'!$AF$25</f>
        <v/>
      </c>
      <c r="AA125" s="1374"/>
      <c r="AB125" s="1374"/>
      <c r="AC125" s="1374"/>
      <c r="AD125" s="1374"/>
      <c r="AE125" s="1374"/>
      <c r="AF125" s="1442" t="str">
        <f>'PIM Model'!$AG$25</f>
        <v/>
      </c>
      <c r="AG125" s="1443"/>
      <c r="AH125" s="1443"/>
      <c r="AI125" s="1443"/>
      <c r="AJ125" s="1443"/>
      <c r="AK125" s="1443"/>
      <c r="AL125" s="1448"/>
      <c r="AM125" s="1442" t="str">
        <f>'PIM Model'!$AH$25</f>
        <v/>
      </c>
      <c r="AN125" s="1443"/>
      <c r="AO125" s="1443"/>
      <c r="AP125" s="1443"/>
      <c r="AQ125" s="1443"/>
      <c r="AR125" s="1443"/>
      <c r="AS125" s="1444"/>
      <c r="BF125" s="140"/>
    </row>
    <row r="126" spans="2:58" x14ac:dyDescent="0.25">
      <c r="B126" s="139"/>
      <c r="D126" s="1450" t="s">
        <v>89</v>
      </c>
      <c r="E126" s="1451"/>
      <c r="F126" s="1451"/>
      <c r="G126" s="1451"/>
      <c r="H126" s="1451"/>
      <c r="I126" s="1451"/>
      <c r="J126" s="1451"/>
      <c r="K126" s="1451"/>
      <c r="L126" s="1451"/>
      <c r="M126" s="1451"/>
      <c r="N126" s="1451"/>
      <c r="O126" s="1451"/>
      <c r="P126" s="1451"/>
      <c r="Q126" s="1451"/>
      <c r="R126" s="1451"/>
      <c r="S126" s="1451"/>
      <c r="T126" s="1452"/>
      <c r="U126" s="1449" t="str">
        <f>IF('PIM Model'!$B$26=0,"",'PIM Model'!$B$26)</f>
        <v/>
      </c>
      <c r="V126" s="1374"/>
      <c r="W126" s="1374"/>
      <c r="X126" s="1374"/>
      <c r="Y126" s="1374"/>
      <c r="Z126" s="1374" t="str">
        <f>'PIM Model'!$AF$26</f>
        <v/>
      </c>
      <c r="AA126" s="1374"/>
      <c r="AB126" s="1374"/>
      <c r="AC126" s="1374"/>
      <c r="AD126" s="1374"/>
      <c r="AE126" s="1374"/>
      <c r="AF126" s="1442" t="str">
        <f>'PIM Model'!$AG$26</f>
        <v/>
      </c>
      <c r="AG126" s="1443"/>
      <c r="AH126" s="1443"/>
      <c r="AI126" s="1443"/>
      <c r="AJ126" s="1443"/>
      <c r="AK126" s="1443"/>
      <c r="AL126" s="1448"/>
      <c r="AM126" s="1442" t="str">
        <f>'PIM Model'!$AH$26</f>
        <v/>
      </c>
      <c r="AN126" s="1443"/>
      <c r="AO126" s="1443"/>
      <c r="AP126" s="1443"/>
      <c r="AQ126" s="1443"/>
      <c r="AR126" s="1443"/>
      <c r="AS126" s="1444"/>
      <c r="BF126" s="140"/>
    </row>
    <row r="127" spans="2:58" x14ac:dyDescent="0.25">
      <c r="B127" s="139"/>
      <c r="D127" s="1450" t="s">
        <v>94</v>
      </c>
      <c r="E127" s="1451"/>
      <c r="F127" s="1451"/>
      <c r="G127" s="1451"/>
      <c r="H127" s="1451"/>
      <c r="I127" s="1451"/>
      <c r="J127" s="1451"/>
      <c r="K127" s="1451"/>
      <c r="L127" s="1451"/>
      <c r="M127" s="1451"/>
      <c r="N127" s="1451"/>
      <c r="O127" s="1451"/>
      <c r="P127" s="1451"/>
      <c r="Q127" s="1451"/>
      <c r="R127" s="1451"/>
      <c r="S127" s="1451"/>
      <c r="T127" s="1452"/>
      <c r="U127" s="1449" t="str">
        <f>IF('PIM Model'!$B$27=0,"",'PIM Model'!$B$27)</f>
        <v/>
      </c>
      <c r="V127" s="1374"/>
      <c r="W127" s="1374"/>
      <c r="X127" s="1374"/>
      <c r="Y127" s="1374"/>
      <c r="Z127" s="1374" t="str">
        <f>'PIM Model'!$AF$27</f>
        <v/>
      </c>
      <c r="AA127" s="1374"/>
      <c r="AB127" s="1374"/>
      <c r="AC127" s="1374"/>
      <c r="AD127" s="1374"/>
      <c r="AE127" s="1374"/>
      <c r="AF127" s="1442" t="str">
        <f>'PIM Model'!$AG$27</f>
        <v/>
      </c>
      <c r="AG127" s="1443"/>
      <c r="AH127" s="1443"/>
      <c r="AI127" s="1443"/>
      <c r="AJ127" s="1443"/>
      <c r="AK127" s="1443"/>
      <c r="AL127" s="1448"/>
      <c r="AM127" s="1442" t="str">
        <f>'PIM Model'!$AH$27</f>
        <v/>
      </c>
      <c r="AN127" s="1443"/>
      <c r="AO127" s="1443"/>
      <c r="AP127" s="1443"/>
      <c r="AQ127" s="1443"/>
      <c r="AR127" s="1443"/>
      <c r="AS127" s="1444"/>
      <c r="BF127" s="140"/>
    </row>
    <row r="128" spans="2:58" x14ac:dyDescent="0.25">
      <c r="B128" s="139"/>
      <c r="D128" s="1450" t="s">
        <v>86</v>
      </c>
      <c r="E128" s="1451"/>
      <c r="F128" s="1451"/>
      <c r="G128" s="1451"/>
      <c r="H128" s="1451"/>
      <c r="I128" s="1451"/>
      <c r="J128" s="1451"/>
      <c r="K128" s="1451"/>
      <c r="L128" s="1451"/>
      <c r="M128" s="1451"/>
      <c r="N128" s="1451"/>
      <c r="O128" s="1451"/>
      <c r="P128" s="1451"/>
      <c r="Q128" s="1451"/>
      <c r="R128" s="1451"/>
      <c r="S128" s="1451"/>
      <c r="T128" s="1452"/>
      <c r="U128" s="1449" t="str">
        <f>IF('PIM Model'!$B$28=0,"",'PIM Model'!$B$28)</f>
        <v/>
      </c>
      <c r="V128" s="1374"/>
      <c r="W128" s="1374"/>
      <c r="X128" s="1374"/>
      <c r="Y128" s="1374"/>
      <c r="Z128" s="1374" t="str">
        <f>'PIM Model'!$AF$28</f>
        <v/>
      </c>
      <c r="AA128" s="1374"/>
      <c r="AB128" s="1374"/>
      <c r="AC128" s="1374"/>
      <c r="AD128" s="1374"/>
      <c r="AE128" s="1374"/>
      <c r="AF128" s="1442" t="str">
        <f>'PIM Model'!$AG$28</f>
        <v/>
      </c>
      <c r="AG128" s="1443"/>
      <c r="AH128" s="1443"/>
      <c r="AI128" s="1443"/>
      <c r="AJ128" s="1443"/>
      <c r="AK128" s="1443"/>
      <c r="AL128" s="1448"/>
      <c r="AM128" s="1442" t="str">
        <f>'PIM Model'!$AH$28</f>
        <v/>
      </c>
      <c r="AN128" s="1443"/>
      <c r="AO128" s="1443"/>
      <c r="AP128" s="1443"/>
      <c r="AQ128" s="1443"/>
      <c r="AR128" s="1443"/>
      <c r="AS128" s="1444"/>
      <c r="BF128" s="140"/>
    </row>
    <row r="129" spans="2:58" x14ac:dyDescent="0.25">
      <c r="B129" s="139"/>
      <c r="D129" s="1450" t="s">
        <v>88</v>
      </c>
      <c r="E129" s="1451"/>
      <c r="F129" s="1451"/>
      <c r="G129" s="1451"/>
      <c r="H129" s="1451"/>
      <c r="I129" s="1451"/>
      <c r="J129" s="1451"/>
      <c r="K129" s="1451"/>
      <c r="L129" s="1451"/>
      <c r="M129" s="1451"/>
      <c r="N129" s="1451"/>
      <c r="O129" s="1451"/>
      <c r="P129" s="1451"/>
      <c r="Q129" s="1451"/>
      <c r="R129" s="1451"/>
      <c r="S129" s="1451"/>
      <c r="T129" s="1452"/>
      <c r="U129" s="1449" t="str">
        <f>IF('PIM Model'!$B$29=0,"",'PIM Model'!$B$29)</f>
        <v/>
      </c>
      <c r="V129" s="1374"/>
      <c r="W129" s="1374"/>
      <c r="X129" s="1374"/>
      <c r="Y129" s="1374"/>
      <c r="Z129" s="1374" t="str">
        <f>'PIM Model'!$AF$29</f>
        <v/>
      </c>
      <c r="AA129" s="1374"/>
      <c r="AB129" s="1374"/>
      <c r="AC129" s="1374"/>
      <c r="AD129" s="1374"/>
      <c r="AE129" s="1374"/>
      <c r="AF129" s="1442" t="str">
        <f>'PIM Model'!$AG$29</f>
        <v/>
      </c>
      <c r="AG129" s="1443"/>
      <c r="AH129" s="1443"/>
      <c r="AI129" s="1443"/>
      <c r="AJ129" s="1443"/>
      <c r="AK129" s="1443"/>
      <c r="AL129" s="1448"/>
      <c r="AM129" s="1442" t="str">
        <f>'PIM Model'!$AH$29</f>
        <v/>
      </c>
      <c r="AN129" s="1443"/>
      <c r="AO129" s="1443"/>
      <c r="AP129" s="1443"/>
      <c r="AQ129" s="1443"/>
      <c r="AR129" s="1443"/>
      <c r="AS129" s="1444"/>
      <c r="BF129" s="140"/>
    </row>
    <row r="130" spans="2:58" ht="15.75" thickBot="1" x14ac:dyDescent="0.3">
      <c r="B130" s="139"/>
      <c r="D130" s="1456" t="s">
        <v>87</v>
      </c>
      <c r="E130" s="1457"/>
      <c r="F130" s="1457"/>
      <c r="G130" s="1457"/>
      <c r="H130" s="1457"/>
      <c r="I130" s="1457"/>
      <c r="J130" s="1457"/>
      <c r="K130" s="1457"/>
      <c r="L130" s="1457"/>
      <c r="M130" s="1457"/>
      <c r="N130" s="1457"/>
      <c r="O130" s="1457"/>
      <c r="P130" s="1457"/>
      <c r="Q130" s="1457"/>
      <c r="R130" s="1457"/>
      <c r="S130" s="1457"/>
      <c r="T130" s="1458"/>
      <c r="U130" s="1453" t="str">
        <f>IF('PIM Model'!$B$30=0,"",'PIM Model'!$B$30)</f>
        <v/>
      </c>
      <c r="V130" s="1446"/>
      <c r="W130" s="1446"/>
      <c r="X130" s="1446"/>
      <c r="Y130" s="1446"/>
      <c r="Z130" s="1446" t="str">
        <f>'PIM Model'!$AF$30</f>
        <v/>
      </c>
      <c r="AA130" s="1446"/>
      <c r="AB130" s="1446"/>
      <c r="AC130" s="1446"/>
      <c r="AD130" s="1446"/>
      <c r="AE130" s="1446"/>
      <c r="AF130" s="1434" t="str">
        <f>'PIM Model'!$AG$30</f>
        <v/>
      </c>
      <c r="AG130" s="1435"/>
      <c r="AH130" s="1435"/>
      <c r="AI130" s="1435"/>
      <c r="AJ130" s="1435"/>
      <c r="AK130" s="1435"/>
      <c r="AL130" s="1436"/>
      <c r="AM130" s="1434" t="str">
        <f>'PIM Model'!$AH$30</f>
        <v/>
      </c>
      <c r="AN130" s="1435"/>
      <c r="AO130" s="1435"/>
      <c r="AP130" s="1435"/>
      <c r="AQ130" s="1435"/>
      <c r="AR130" s="1435"/>
      <c r="AS130" s="1445"/>
      <c r="BF130" s="140"/>
    </row>
    <row r="131" spans="2:58" ht="16.5" thickTop="1" thickBot="1" x14ac:dyDescent="0.3">
      <c r="B131" s="139"/>
      <c r="D131" s="1425" t="s">
        <v>1017</v>
      </c>
      <c r="E131" s="1426"/>
      <c r="F131" s="1426"/>
      <c r="G131" s="1426"/>
      <c r="H131" s="1426"/>
      <c r="I131" s="1426"/>
      <c r="J131" s="1426"/>
      <c r="K131" s="1426"/>
      <c r="L131" s="1426"/>
      <c r="M131" s="1426"/>
      <c r="N131" s="1426"/>
      <c r="O131" s="1426"/>
      <c r="P131" s="1426"/>
      <c r="Q131" s="1426"/>
      <c r="R131" s="1426"/>
      <c r="S131" s="1426"/>
      <c r="T131" s="1427"/>
      <c r="U131" s="1428">
        <f>COUNT($U$110:$Y$130)</f>
        <v>0</v>
      </c>
      <c r="V131" s="1429"/>
      <c r="W131" s="1429"/>
      <c r="X131" s="1429"/>
      <c r="Y131" s="1429"/>
      <c r="Z131" s="1426">
        <f>COUNTIF($Z$110:$AE$130,"ABOVE")+COUNTIF($Z$110:$AE$130,"BELOW")</f>
        <v>0</v>
      </c>
      <c r="AA131" s="1426"/>
      <c r="AB131" s="1426"/>
      <c r="AC131" s="1426"/>
      <c r="AD131" s="1426"/>
      <c r="AE131" s="1426"/>
      <c r="AF131" s="1430"/>
      <c r="AG131" s="1431"/>
      <c r="AH131" s="1431"/>
      <c r="AI131" s="1431"/>
      <c r="AJ131" s="1431"/>
      <c r="AK131" s="1431"/>
      <c r="AL131" s="1432"/>
      <c r="AM131" s="1430"/>
      <c r="AN131" s="1431"/>
      <c r="AO131" s="1431"/>
      <c r="AP131" s="1431"/>
      <c r="AQ131" s="1431"/>
      <c r="AR131" s="1431"/>
      <c r="AS131" s="1433"/>
      <c r="BF131" s="140"/>
    </row>
    <row r="132" spans="2:58" ht="15.75" thickBot="1" x14ac:dyDescent="0.3">
      <c r="B132" s="267"/>
      <c r="C132" s="268"/>
      <c r="D132" s="268"/>
      <c r="E132" s="268"/>
      <c r="F132" s="268"/>
      <c r="G132" s="268"/>
      <c r="H132" s="268"/>
      <c r="I132" s="268"/>
      <c r="J132" s="268"/>
      <c r="K132" s="268"/>
      <c r="L132" s="268"/>
      <c r="M132" s="268"/>
      <c r="N132" s="268"/>
      <c r="O132" s="268"/>
      <c r="P132" s="268"/>
      <c r="Q132" s="268"/>
      <c r="R132" s="268"/>
      <c r="S132" s="268"/>
      <c r="T132" s="268"/>
      <c r="U132" s="268"/>
      <c r="V132" s="268"/>
      <c r="W132" s="268"/>
      <c r="X132" s="268"/>
      <c r="Y132" s="268"/>
      <c r="Z132" s="268"/>
      <c r="AA132" s="268"/>
      <c r="AB132" s="268"/>
      <c r="AC132" s="268"/>
      <c r="AD132" s="268"/>
      <c r="AE132" s="268"/>
      <c r="AF132" s="268"/>
      <c r="AG132" s="268"/>
      <c r="AH132" s="268"/>
      <c r="AI132" s="268"/>
      <c r="AJ132" s="268"/>
      <c r="AK132" s="268"/>
      <c r="AL132" s="268"/>
      <c r="AM132" s="268"/>
      <c r="AN132" s="268"/>
      <c r="AO132" s="268"/>
      <c r="AP132" s="268"/>
      <c r="AQ132" s="268"/>
      <c r="AR132" s="268"/>
      <c r="AS132" s="268"/>
      <c r="AT132" s="268"/>
      <c r="AU132" s="268"/>
      <c r="AV132" s="268"/>
      <c r="AW132" s="268"/>
      <c r="AX132" s="268"/>
      <c r="AY132" s="268"/>
      <c r="AZ132" s="268"/>
      <c r="BA132" s="268"/>
      <c r="BB132" s="268"/>
      <c r="BC132" s="268"/>
      <c r="BD132" s="268"/>
      <c r="BE132" s="268"/>
      <c r="BF132" s="269"/>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684</v>
      </c>
      <c r="B1" s="60" t="s">
        <v>683</v>
      </c>
      <c r="C1" s="60" t="s">
        <v>727</v>
      </c>
      <c r="D1" s="60" t="s">
        <v>682</v>
      </c>
      <c r="E1" s="60" t="s">
        <v>681</v>
      </c>
      <c r="F1" s="62" t="s">
        <v>680</v>
      </c>
      <c r="G1" s="62" t="s">
        <v>679</v>
      </c>
      <c r="H1" s="60" t="s">
        <v>678</v>
      </c>
      <c r="I1" s="60" t="s">
        <v>677</v>
      </c>
      <c r="J1" s="60" t="s">
        <v>676</v>
      </c>
      <c r="K1" s="61" t="s">
        <v>675</v>
      </c>
      <c r="L1" s="60" t="s">
        <v>674</v>
      </c>
      <c r="M1" s="60" t="s">
        <v>673</v>
      </c>
      <c r="N1" s="60" t="s">
        <v>672</v>
      </c>
      <c r="O1" s="60" t="s">
        <v>671</v>
      </c>
      <c r="P1" s="60" t="s">
        <v>670</v>
      </c>
    </row>
    <row r="2" spans="1:16" x14ac:dyDescent="0.25">
      <c r="A2" s="59">
        <v>15</v>
      </c>
      <c r="B2" s="59">
        <v>0</v>
      </c>
      <c r="C2" s="59">
        <v>0</v>
      </c>
      <c r="D2" s="59" t="s">
        <v>667</v>
      </c>
      <c r="E2" s="59" t="s">
        <v>666</v>
      </c>
      <c r="F2" s="72" t="str">
        <f>'PIM Model'!$AD$11</f>
        <v/>
      </c>
      <c r="G2" s="65" t="str">
        <f>F2</f>
        <v/>
      </c>
      <c r="H2" s="72" t="str">
        <f>IF('PIM Model'!$D$11="$/LB","#","%")</f>
        <v>%</v>
      </c>
      <c r="I2" s="68" t="s">
        <v>669</v>
      </c>
      <c r="J2">
        <f>'MDA Worksheet'!$AU$48</f>
        <v>2.25</v>
      </c>
      <c r="K2" s="952">
        <f>'MDA Worksheet'!$AU$46*100</f>
        <v>30</v>
      </c>
      <c r="L2" s="59" t="s">
        <v>483</v>
      </c>
    </row>
    <row r="3" spans="1:16" x14ac:dyDescent="0.25">
      <c r="A3" s="59">
        <v>15</v>
      </c>
      <c r="B3" s="59">
        <v>131</v>
      </c>
      <c r="C3" s="59">
        <v>0</v>
      </c>
      <c r="D3" s="59" t="s">
        <v>667</v>
      </c>
      <c r="E3" s="59" t="s">
        <v>666</v>
      </c>
      <c r="F3" s="72" t="str">
        <f>'PIM Model'!$AD$12</f>
        <v/>
      </c>
      <c r="G3" s="65" t="str">
        <f t="shared" ref="G3:G68" si="0">F3</f>
        <v/>
      </c>
      <c r="H3" s="72" t="str">
        <f>IF('PIM Model'!$D$12="$/LB","#","%")</f>
        <v>%</v>
      </c>
      <c r="I3" s="68" t="s">
        <v>669</v>
      </c>
      <c r="J3" s="933">
        <f>'MDA Worksheet'!$AU$48</f>
        <v>2.25</v>
      </c>
      <c r="K3" s="952">
        <f>'MDA Worksheet'!$AU$46*100</f>
        <v>30</v>
      </c>
      <c r="L3" s="59" t="s">
        <v>483</v>
      </c>
    </row>
    <row r="4" spans="1:16" x14ac:dyDescent="0.25">
      <c r="A4" s="59">
        <v>15</v>
      </c>
      <c r="B4" s="59">
        <v>254</v>
      </c>
      <c r="C4" s="59">
        <v>0</v>
      </c>
      <c r="D4" s="59" t="s">
        <v>667</v>
      </c>
      <c r="E4" s="59" t="s">
        <v>666</v>
      </c>
      <c r="F4" s="72" t="str">
        <f>'PIM Model'!$AD$12</f>
        <v/>
      </c>
      <c r="G4" s="65" t="str">
        <f t="shared" si="0"/>
        <v/>
      </c>
      <c r="H4" s="72" t="str">
        <f>IF('PIM Model'!$D$12="$/LB","#","%")</f>
        <v>%</v>
      </c>
      <c r="I4" s="68" t="s">
        <v>669</v>
      </c>
      <c r="J4" s="933">
        <f>'MDA Worksheet'!$AU$48</f>
        <v>2.25</v>
      </c>
      <c r="K4" s="952">
        <f>'MDA Worksheet'!$AU$46*100</f>
        <v>30</v>
      </c>
      <c r="L4" s="59" t="s">
        <v>483</v>
      </c>
    </row>
    <row r="5" spans="1:16" x14ac:dyDescent="0.25">
      <c r="A5" s="59">
        <v>15</v>
      </c>
      <c r="B5" s="59">
        <v>373</v>
      </c>
      <c r="C5" s="59">
        <v>0</v>
      </c>
      <c r="D5" s="59" t="s">
        <v>667</v>
      </c>
      <c r="E5" s="59" t="s">
        <v>666</v>
      </c>
      <c r="F5" s="72" t="str">
        <f>'PIM Model'!$AD$12</f>
        <v/>
      </c>
      <c r="G5" s="65" t="str">
        <f t="shared" si="0"/>
        <v/>
      </c>
      <c r="H5" s="72" t="str">
        <f>IF('PIM Model'!$D$12="$/LB","#","%")</f>
        <v>%</v>
      </c>
      <c r="I5" s="68" t="s">
        <v>669</v>
      </c>
      <c r="J5" s="933">
        <f>'MDA Worksheet'!$AU$48</f>
        <v>2.25</v>
      </c>
      <c r="K5" s="952">
        <f>'MDA Worksheet'!$AU$46*100</f>
        <v>30</v>
      </c>
      <c r="L5" s="59" t="s">
        <v>483</v>
      </c>
    </row>
    <row r="6" spans="1:16" x14ac:dyDescent="0.25">
      <c r="A6" s="59">
        <v>15</v>
      </c>
      <c r="B6" s="59">
        <v>132</v>
      </c>
      <c r="C6" s="59">
        <v>0</v>
      </c>
      <c r="D6" s="59" t="s">
        <v>667</v>
      </c>
      <c r="E6" s="59" t="s">
        <v>666</v>
      </c>
      <c r="F6" s="72" t="str">
        <f>'PIM Model'!$AD$12</f>
        <v/>
      </c>
      <c r="G6" s="65" t="str">
        <f t="shared" si="0"/>
        <v/>
      </c>
      <c r="H6" s="72" t="str">
        <f>IF('PIM Model'!$D$12="$/LB","#","%")</f>
        <v>%</v>
      </c>
      <c r="I6" s="68" t="s">
        <v>669</v>
      </c>
      <c r="J6" s="933">
        <f>'MDA Worksheet'!$AU$48</f>
        <v>2.25</v>
      </c>
      <c r="K6" s="952">
        <f>'MDA Worksheet'!$AU$46*100</f>
        <v>30</v>
      </c>
      <c r="L6" s="59" t="s">
        <v>483</v>
      </c>
    </row>
    <row r="7" spans="1:16" x14ac:dyDescent="0.25">
      <c r="A7" s="59">
        <v>15</v>
      </c>
      <c r="B7" s="59">
        <v>368</v>
      </c>
      <c r="C7" s="59">
        <v>0</v>
      </c>
      <c r="D7" s="59" t="s">
        <v>667</v>
      </c>
      <c r="E7" s="59" t="s">
        <v>666</v>
      </c>
      <c r="F7" s="72" t="str">
        <f>'PIM Model'!$AD$12</f>
        <v/>
      </c>
      <c r="G7" s="65" t="str">
        <f t="shared" si="0"/>
        <v/>
      </c>
      <c r="H7" s="72" t="str">
        <f>IF('PIM Model'!$D$12="$/LB","#","%")</f>
        <v>%</v>
      </c>
      <c r="I7" s="68" t="s">
        <v>669</v>
      </c>
      <c r="J7" s="933">
        <f>'MDA Worksheet'!$AU$48</f>
        <v>2.25</v>
      </c>
      <c r="K7" s="952">
        <f>'MDA Worksheet'!$AU$46*100</f>
        <v>30</v>
      </c>
      <c r="L7" s="59" t="s">
        <v>483</v>
      </c>
    </row>
    <row r="8" spans="1:16" x14ac:dyDescent="0.25">
      <c r="A8" s="59">
        <v>15</v>
      </c>
      <c r="B8" s="59">
        <v>369</v>
      </c>
      <c r="C8" s="59">
        <v>0</v>
      </c>
      <c r="D8" s="59" t="s">
        <v>667</v>
      </c>
      <c r="E8" s="59" t="s">
        <v>666</v>
      </c>
      <c r="F8" s="72" t="str">
        <f>'PIM Model'!$AD$12</f>
        <v/>
      </c>
      <c r="G8" s="65" t="str">
        <f t="shared" si="0"/>
        <v/>
      </c>
      <c r="H8" s="72" t="str">
        <f>IF('PIM Model'!$D$12="$/LB","#","%")</f>
        <v>%</v>
      </c>
      <c r="I8" s="68" t="s">
        <v>669</v>
      </c>
      <c r="J8" s="933">
        <f>'MDA Worksheet'!$AU$48</f>
        <v>2.25</v>
      </c>
      <c r="K8" s="952">
        <f>'MDA Worksheet'!$AU$46*100</f>
        <v>30</v>
      </c>
      <c r="L8" s="59" t="s">
        <v>483</v>
      </c>
    </row>
    <row r="9" spans="1:16" x14ac:dyDescent="0.25">
      <c r="A9" s="59">
        <v>15</v>
      </c>
      <c r="B9" s="59">
        <v>384</v>
      </c>
      <c r="C9" s="59">
        <v>0</v>
      </c>
      <c r="D9" s="59" t="s">
        <v>667</v>
      </c>
      <c r="E9" s="59" t="s">
        <v>666</v>
      </c>
      <c r="F9" s="72" t="str">
        <f>'PIM Model'!$AD$12</f>
        <v/>
      </c>
      <c r="G9" s="65" t="str">
        <f t="shared" si="0"/>
        <v/>
      </c>
      <c r="H9" s="72" t="str">
        <f>IF('PIM Model'!$D$12="$/LB","#","%")</f>
        <v>%</v>
      </c>
      <c r="I9" s="68" t="s">
        <v>669</v>
      </c>
      <c r="J9" s="933">
        <f>'MDA Worksheet'!$AU$48</f>
        <v>2.25</v>
      </c>
      <c r="K9" s="952">
        <f>'MDA Worksheet'!$AU$46*100</f>
        <v>30</v>
      </c>
      <c r="L9" s="59" t="s">
        <v>483</v>
      </c>
    </row>
    <row r="10" spans="1:16" x14ac:dyDescent="0.25">
      <c r="A10" s="59">
        <v>15</v>
      </c>
      <c r="B10" s="59">
        <v>381</v>
      </c>
      <c r="C10" s="59">
        <v>0</v>
      </c>
      <c r="D10" s="59" t="s">
        <v>667</v>
      </c>
      <c r="E10" s="59" t="s">
        <v>666</v>
      </c>
      <c r="F10" s="72" t="str">
        <f>'PIM Model'!$AD$12</f>
        <v/>
      </c>
      <c r="G10" s="65" t="str">
        <f t="shared" si="0"/>
        <v/>
      </c>
      <c r="H10" s="72" t="str">
        <f>IF('PIM Model'!$D$12="$/LB","#","%")</f>
        <v>%</v>
      </c>
      <c r="I10" s="68" t="s">
        <v>669</v>
      </c>
      <c r="J10" s="933">
        <f>'MDA Worksheet'!$AU$48</f>
        <v>2.25</v>
      </c>
      <c r="K10" s="952">
        <f>'MDA Worksheet'!$AU$46*100</f>
        <v>30</v>
      </c>
      <c r="L10" s="59" t="s">
        <v>483</v>
      </c>
    </row>
    <row r="11" spans="1:16" x14ac:dyDescent="0.25">
      <c r="A11" s="59">
        <v>15</v>
      </c>
      <c r="B11" s="59">
        <v>377</v>
      </c>
      <c r="C11" s="59">
        <v>0</v>
      </c>
      <c r="D11" s="59" t="s">
        <v>667</v>
      </c>
      <c r="E11" s="59" t="s">
        <v>666</v>
      </c>
      <c r="F11" s="72" t="str">
        <f>'PIM Model'!$AD$12</f>
        <v/>
      </c>
      <c r="G11" s="65" t="str">
        <f t="shared" si="0"/>
        <v/>
      </c>
      <c r="H11" s="72" t="str">
        <f>IF('PIM Model'!$D$12="$/LB","#","%")</f>
        <v>%</v>
      </c>
      <c r="I11" s="68" t="s">
        <v>669</v>
      </c>
      <c r="J11" s="933">
        <f>'MDA Worksheet'!$AU$48</f>
        <v>2.25</v>
      </c>
      <c r="K11" s="952">
        <f>'MDA Worksheet'!$AU$46*100</f>
        <v>30</v>
      </c>
      <c r="L11" s="59" t="s">
        <v>483</v>
      </c>
    </row>
    <row r="12" spans="1:16" x14ac:dyDescent="0.25">
      <c r="A12" s="59">
        <v>15</v>
      </c>
      <c r="B12" s="59">
        <v>388</v>
      </c>
      <c r="C12" s="59">
        <v>0</v>
      </c>
      <c r="D12" s="59" t="s">
        <v>667</v>
      </c>
      <c r="E12" s="59" t="s">
        <v>666</v>
      </c>
      <c r="F12" s="72" t="str">
        <f>'PIM Model'!$AD$12</f>
        <v/>
      </c>
      <c r="G12" s="65" t="str">
        <f t="shared" si="0"/>
        <v/>
      </c>
      <c r="H12" s="72" t="str">
        <f>IF('PIM Model'!$D$12="$/LB","#","%")</f>
        <v>%</v>
      </c>
      <c r="I12" s="68" t="s">
        <v>669</v>
      </c>
      <c r="J12" s="933">
        <f>'MDA Worksheet'!$AU$48</f>
        <v>2.25</v>
      </c>
      <c r="K12" s="952">
        <f>'MDA Worksheet'!$AU$46*100</f>
        <v>30</v>
      </c>
      <c r="L12" s="59" t="s">
        <v>483</v>
      </c>
    </row>
    <row r="13" spans="1:16" x14ac:dyDescent="0.25">
      <c r="A13" s="59">
        <v>16</v>
      </c>
      <c r="B13" s="59">
        <v>0</v>
      </c>
      <c r="C13" s="59">
        <v>0</v>
      </c>
      <c r="D13" s="59" t="s">
        <v>665</v>
      </c>
      <c r="E13" s="59" t="str">
        <f>IF('PRIME Headers'!$C$20="No","PWW","P07")</f>
        <v>P07</v>
      </c>
      <c r="F13" s="66" t="str">
        <f>'PIM Model'!$AD$13</f>
        <v/>
      </c>
      <c r="G13" s="65" t="str">
        <f t="shared" si="0"/>
        <v/>
      </c>
      <c r="H13" s="72" t="str">
        <f>'PIM Model'!$D$13</f>
        <v>%</v>
      </c>
      <c r="I13" s="68" t="s">
        <v>669</v>
      </c>
      <c r="J13" s="933">
        <f>'MDA Worksheet'!$AU$48</f>
        <v>2.25</v>
      </c>
      <c r="K13" s="952">
        <f>'MDA Worksheet'!$AU$46*100</f>
        <v>30</v>
      </c>
      <c r="L13" s="59" t="s">
        <v>483</v>
      </c>
    </row>
    <row r="14" spans="1:16" x14ac:dyDescent="0.25">
      <c r="A14" s="59">
        <v>16</v>
      </c>
      <c r="B14" s="59">
        <v>135</v>
      </c>
      <c r="C14" s="59">
        <v>0</v>
      </c>
      <c r="D14" s="59" t="s">
        <v>667</v>
      </c>
      <c r="E14" s="59" t="s">
        <v>666</v>
      </c>
      <c r="F14" s="66" t="str">
        <f>'PIM Model'!$AD$13</f>
        <v/>
      </c>
      <c r="G14" s="65" t="str">
        <f t="shared" si="0"/>
        <v/>
      </c>
      <c r="H14" s="72" t="str">
        <f>'PIM Model'!$D$13</f>
        <v>%</v>
      </c>
      <c r="I14" s="68" t="s">
        <v>669</v>
      </c>
      <c r="J14" s="933">
        <f>'MDA Worksheet'!$AU$48</f>
        <v>2.25</v>
      </c>
      <c r="K14" s="952">
        <f>'MDA Worksheet'!$AU$46*100</f>
        <v>30</v>
      </c>
      <c r="L14" s="59" t="s">
        <v>483</v>
      </c>
    </row>
    <row r="15" spans="1:16" x14ac:dyDescent="0.25">
      <c r="A15" s="59">
        <v>16</v>
      </c>
      <c r="B15" s="59">
        <v>136</v>
      </c>
      <c r="C15" s="59">
        <v>7626</v>
      </c>
      <c r="D15" s="59" t="s">
        <v>667</v>
      </c>
      <c r="E15" s="59" t="s">
        <v>666</v>
      </c>
      <c r="F15" s="66" t="str">
        <f>'PIM Model'!$AD$13</f>
        <v/>
      </c>
      <c r="G15" s="65" t="str">
        <f t="shared" si="0"/>
        <v/>
      </c>
      <c r="H15" s="72" t="str">
        <f>'PIM Model'!$D$13</f>
        <v>%</v>
      </c>
      <c r="I15" s="68" t="s">
        <v>669</v>
      </c>
      <c r="J15" s="933">
        <f>'MDA Worksheet'!$AU$48</f>
        <v>2.25</v>
      </c>
      <c r="K15" s="952">
        <f>'MDA Worksheet'!$AU$46*100</f>
        <v>30</v>
      </c>
      <c r="L15" s="59" t="s">
        <v>483</v>
      </c>
    </row>
    <row r="16" spans="1:16" x14ac:dyDescent="0.25">
      <c r="A16" s="59">
        <v>16</v>
      </c>
      <c r="B16" s="59">
        <v>136</v>
      </c>
      <c r="C16" s="59">
        <v>7627</v>
      </c>
      <c r="D16" s="59" t="s">
        <v>667</v>
      </c>
      <c r="E16" s="59" t="s">
        <v>666</v>
      </c>
      <c r="F16" s="66" t="str">
        <f>'PIM Model'!$AD$13</f>
        <v/>
      </c>
      <c r="G16" s="65" t="str">
        <f t="shared" si="0"/>
        <v/>
      </c>
      <c r="H16" s="72" t="str">
        <f>'PIM Model'!$D$13</f>
        <v>%</v>
      </c>
      <c r="I16" s="68" t="s">
        <v>669</v>
      </c>
      <c r="J16" s="933">
        <f>'MDA Worksheet'!$AU$48</f>
        <v>2.25</v>
      </c>
      <c r="K16" s="952">
        <f>'MDA Worksheet'!$AU$46*100</f>
        <v>30</v>
      </c>
      <c r="L16" s="59" t="s">
        <v>483</v>
      </c>
    </row>
    <row r="17" spans="1:12" x14ac:dyDescent="0.25">
      <c r="A17" s="59">
        <v>16</v>
      </c>
      <c r="B17" s="59">
        <v>136</v>
      </c>
      <c r="C17" s="59">
        <v>7628</v>
      </c>
      <c r="D17" s="59" t="s">
        <v>667</v>
      </c>
      <c r="E17" s="59" t="s">
        <v>666</v>
      </c>
      <c r="F17" s="66" t="str">
        <f>'PIM Model'!$AD$13</f>
        <v/>
      </c>
      <c r="G17" s="65" t="str">
        <f t="shared" si="0"/>
        <v/>
      </c>
      <c r="H17" s="72" t="str">
        <f>'PIM Model'!$D$13</f>
        <v>%</v>
      </c>
      <c r="I17" s="68" t="s">
        <v>669</v>
      </c>
      <c r="J17" s="933">
        <f>'MDA Worksheet'!$AU$48</f>
        <v>2.25</v>
      </c>
      <c r="K17" s="952">
        <f>'MDA Worksheet'!$AU$46*100</f>
        <v>30</v>
      </c>
      <c r="L17" s="59" t="s">
        <v>483</v>
      </c>
    </row>
    <row r="18" spans="1:12" x14ac:dyDescent="0.25">
      <c r="A18" s="59">
        <v>16</v>
      </c>
      <c r="B18" s="59">
        <v>136</v>
      </c>
      <c r="C18" s="59">
        <v>7629</v>
      </c>
      <c r="D18" s="59" t="s">
        <v>667</v>
      </c>
      <c r="E18" s="59" t="s">
        <v>666</v>
      </c>
      <c r="F18" s="66" t="str">
        <f>'PIM Model'!$AD$13</f>
        <v/>
      </c>
      <c r="G18" s="65" t="str">
        <f t="shared" si="0"/>
        <v/>
      </c>
      <c r="H18" s="72" t="str">
        <f>'PIM Model'!$D$13</f>
        <v>%</v>
      </c>
      <c r="I18" s="68" t="s">
        <v>669</v>
      </c>
      <c r="J18" s="933">
        <f>'MDA Worksheet'!$AU$48</f>
        <v>2.25</v>
      </c>
      <c r="K18" s="952">
        <f>'MDA Worksheet'!$AU$46*100</f>
        <v>30</v>
      </c>
      <c r="L18" s="59" t="s">
        <v>483</v>
      </c>
    </row>
    <row r="19" spans="1:12" x14ac:dyDescent="0.25">
      <c r="A19" s="59">
        <v>16</v>
      </c>
      <c r="B19" s="59">
        <v>136</v>
      </c>
      <c r="C19" s="59">
        <v>7643</v>
      </c>
      <c r="D19" s="59" t="s">
        <v>667</v>
      </c>
      <c r="E19" s="59" t="s">
        <v>666</v>
      </c>
      <c r="F19" s="66" t="str">
        <f>'PIM Model'!$AD$13</f>
        <v/>
      </c>
      <c r="G19" s="65" t="str">
        <f t="shared" si="0"/>
        <v/>
      </c>
      <c r="H19" s="72" t="str">
        <f>'PIM Model'!$D$13</f>
        <v>%</v>
      </c>
      <c r="I19" s="68" t="s">
        <v>669</v>
      </c>
      <c r="J19" s="933">
        <f>'MDA Worksheet'!$AU$48</f>
        <v>2.25</v>
      </c>
      <c r="K19" s="952">
        <f>'MDA Worksheet'!$AU$46*100</f>
        <v>30</v>
      </c>
      <c r="L19" s="59" t="s">
        <v>483</v>
      </c>
    </row>
    <row r="20" spans="1:12" x14ac:dyDescent="0.25">
      <c r="A20" s="59">
        <v>16</v>
      </c>
      <c r="B20" s="59">
        <v>136</v>
      </c>
      <c r="C20" s="59">
        <v>7644</v>
      </c>
      <c r="D20" s="59" t="s">
        <v>667</v>
      </c>
      <c r="E20" s="59" t="s">
        <v>666</v>
      </c>
      <c r="F20" s="66" t="str">
        <f>'PIM Model'!$AD$13</f>
        <v/>
      </c>
      <c r="G20" s="65" t="str">
        <f t="shared" si="0"/>
        <v/>
      </c>
      <c r="H20" s="72" t="str">
        <f>'PIM Model'!$D$13</f>
        <v>%</v>
      </c>
      <c r="I20" s="68" t="s">
        <v>669</v>
      </c>
      <c r="J20" s="933">
        <f>'MDA Worksheet'!$AU$48</f>
        <v>2.25</v>
      </c>
      <c r="K20" s="952">
        <f>'MDA Worksheet'!$AU$46*100</f>
        <v>30</v>
      </c>
      <c r="L20" s="59" t="s">
        <v>483</v>
      </c>
    </row>
    <row r="21" spans="1:12" x14ac:dyDescent="0.25">
      <c r="A21" s="59">
        <v>16</v>
      </c>
      <c r="B21" s="59">
        <v>136</v>
      </c>
      <c r="C21" s="59">
        <v>7645</v>
      </c>
      <c r="D21" s="59" t="s">
        <v>667</v>
      </c>
      <c r="E21" s="59" t="s">
        <v>666</v>
      </c>
      <c r="F21" s="66" t="str">
        <f>'PIM Model'!$AD$13</f>
        <v/>
      </c>
      <c r="G21" s="65" t="str">
        <f t="shared" si="0"/>
        <v/>
      </c>
      <c r="H21" s="72" t="str">
        <f>'PIM Model'!$D$13</f>
        <v>%</v>
      </c>
      <c r="I21" s="68" t="s">
        <v>669</v>
      </c>
      <c r="J21" s="933">
        <f>'MDA Worksheet'!$AU$48</f>
        <v>2.25</v>
      </c>
      <c r="K21" s="952">
        <f>'MDA Worksheet'!$AU$46*100</f>
        <v>30</v>
      </c>
      <c r="L21" s="59" t="s">
        <v>483</v>
      </c>
    </row>
    <row r="22" spans="1:12" x14ac:dyDescent="0.25">
      <c r="A22" s="59">
        <v>16</v>
      </c>
      <c r="B22" s="59">
        <v>136</v>
      </c>
      <c r="C22" s="59">
        <v>7646</v>
      </c>
      <c r="D22" s="59" t="s">
        <v>667</v>
      </c>
      <c r="E22" s="59" t="s">
        <v>666</v>
      </c>
      <c r="F22" s="66" t="str">
        <f>'PIM Model'!$AD$13</f>
        <v/>
      </c>
      <c r="G22" s="65" t="str">
        <f t="shared" si="0"/>
        <v/>
      </c>
      <c r="H22" s="72" t="str">
        <f>'PIM Model'!$D$13</f>
        <v>%</v>
      </c>
      <c r="I22" s="68" t="s">
        <v>669</v>
      </c>
      <c r="J22" s="933">
        <f>'MDA Worksheet'!$AU$48</f>
        <v>2.25</v>
      </c>
      <c r="K22" s="952">
        <f>'MDA Worksheet'!$AU$46*100</f>
        <v>30</v>
      </c>
      <c r="L22" s="59" t="s">
        <v>483</v>
      </c>
    </row>
    <row r="23" spans="1:12" x14ac:dyDescent="0.25">
      <c r="A23" s="59">
        <v>16</v>
      </c>
      <c r="B23" s="59">
        <v>136</v>
      </c>
      <c r="C23" s="59">
        <v>7647</v>
      </c>
      <c r="D23" s="59" t="s">
        <v>667</v>
      </c>
      <c r="E23" s="59" t="s">
        <v>666</v>
      </c>
      <c r="F23" s="66" t="str">
        <f>'PIM Model'!$AD$13</f>
        <v/>
      </c>
      <c r="G23" s="65" t="str">
        <f t="shared" si="0"/>
        <v/>
      </c>
      <c r="H23" s="72" t="str">
        <f>'PIM Model'!$D$13</f>
        <v>%</v>
      </c>
      <c r="I23" s="68" t="s">
        <v>669</v>
      </c>
      <c r="J23" s="933">
        <f>'MDA Worksheet'!$AU$48</f>
        <v>2.25</v>
      </c>
      <c r="K23" s="952">
        <f>'MDA Worksheet'!$AU$46*100</f>
        <v>30</v>
      </c>
      <c r="L23" s="59" t="s">
        <v>483</v>
      </c>
    </row>
    <row r="24" spans="1:12" x14ac:dyDescent="0.25">
      <c r="A24" s="59">
        <v>16</v>
      </c>
      <c r="B24" s="59">
        <v>136</v>
      </c>
      <c r="C24" s="59">
        <v>7648</v>
      </c>
      <c r="D24" s="59" t="s">
        <v>667</v>
      </c>
      <c r="E24" s="59" t="s">
        <v>666</v>
      </c>
      <c r="F24" s="66" t="str">
        <f>'PIM Model'!$AD$13</f>
        <v/>
      </c>
      <c r="G24" s="65" t="str">
        <f t="shared" si="0"/>
        <v/>
      </c>
      <c r="H24" s="72" t="str">
        <f>'PIM Model'!$D$13</f>
        <v>%</v>
      </c>
      <c r="I24" s="68" t="s">
        <v>669</v>
      </c>
      <c r="J24" s="933">
        <f>'MDA Worksheet'!$AU$48</f>
        <v>2.25</v>
      </c>
      <c r="K24" s="952">
        <f>'MDA Worksheet'!$AU$46*100</f>
        <v>30</v>
      </c>
      <c r="L24" s="59" t="s">
        <v>483</v>
      </c>
    </row>
    <row r="25" spans="1:12" x14ac:dyDescent="0.25">
      <c r="A25" s="59">
        <v>16</v>
      </c>
      <c r="B25" s="59">
        <v>136</v>
      </c>
      <c r="C25" s="59">
        <v>7649</v>
      </c>
      <c r="D25" s="59" t="s">
        <v>667</v>
      </c>
      <c r="E25" s="59" t="s">
        <v>666</v>
      </c>
      <c r="F25" s="66" t="str">
        <f>'PIM Model'!$AD$13</f>
        <v/>
      </c>
      <c r="G25" s="65" t="str">
        <f t="shared" si="0"/>
        <v/>
      </c>
      <c r="H25" s="72" t="str">
        <f>'PIM Model'!$D$13</f>
        <v>%</v>
      </c>
      <c r="I25" s="68" t="s">
        <v>669</v>
      </c>
      <c r="J25" s="933">
        <f>'MDA Worksheet'!$AU$48</f>
        <v>2.25</v>
      </c>
      <c r="K25" s="952">
        <f>'MDA Worksheet'!$AU$46*100</f>
        <v>30</v>
      </c>
      <c r="L25" s="59" t="s">
        <v>483</v>
      </c>
    </row>
    <row r="26" spans="1:12" x14ac:dyDescent="0.25">
      <c r="A26" s="59">
        <v>16</v>
      </c>
      <c r="B26" s="59">
        <v>136</v>
      </c>
      <c r="C26" s="59">
        <v>7738</v>
      </c>
      <c r="D26" s="59" t="s">
        <v>667</v>
      </c>
      <c r="E26" s="59" t="s">
        <v>666</v>
      </c>
      <c r="F26" s="66" t="str">
        <f>'PIM Model'!$AD$13</f>
        <v/>
      </c>
      <c r="G26" s="65" t="str">
        <f t="shared" si="0"/>
        <v/>
      </c>
      <c r="H26" s="72" t="str">
        <f>'PIM Model'!$D$13</f>
        <v>%</v>
      </c>
      <c r="I26" s="68" t="s">
        <v>669</v>
      </c>
      <c r="J26" s="933">
        <f>'MDA Worksheet'!$AU$48</f>
        <v>2.25</v>
      </c>
      <c r="K26" s="952">
        <f>'MDA Worksheet'!$AU$46*100</f>
        <v>30</v>
      </c>
      <c r="L26" s="59" t="s">
        <v>483</v>
      </c>
    </row>
    <row r="27" spans="1:12" x14ac:dyDescent="0.25">
      <c r="A27" s="59">
        <v>16</v>
      </c>
      <c r="B27" s="59">
        <v>136</v>
      </c>
      <c r="C27" s="59">
        <v>7739</v>
      </c>
      <c r="D27" s="59" t="s">
        <v>667</v>
      </c>
      <c r="E27" s="59" t="s">
        <v>666</v>
      </c>
      <c r="F27" s="66" t="str">
        <f>'PIM Model'!$AD$13</f>
        <v/>
      </c>
      <c r="G27" s="65" t="str">
        <f t="shared" si="0"/>
        <v/>
      </c>
      <c r="H27" s="72" t="str">
        <f>'PIM Model'!$D$13</f>
        <v>%</v>
      </c>
      <c r="I27" s="68" t="s">
        <v>669</v>
      </c>
      <c r="J27" s="933">
        <f>'MDA Worksheet'!$AU$48</f>
        <v>2.25</v>
      </c>
      <c r="K27" s="952">
        <f>'MDA Worksheet'!$AU$46*100</f>
        <v>30</v>
      </c>
      <c r="L27" s="59" t="s">
        <v>483</v>
      </c>
    </row>
    <row r="28" spans="1:12" x14ac:dyDescent="0.25">
      <c r="A28" s="59">
        <v>16</v>
      </c>
      <c r="B28" s="59">
        <v>136</v>
      </c>
      <c r="C28" s="59">
        <v>7744</v>
      </c>
      <c r="D28" s="59" t="s">
        <v>667</v>
      </c>
      <c r="E28" s="59" t="s">
        <v>666</v>
      </c>
      <c r="F28" s="66" t="str">
        <f>'PIM Model'!$AD$13</f>
        <v/>
      </c>
      <c r="G28" s="65" t="str">
        <f t="shared" si="0"/>
        <v/>
      </c>
      <c r="H28" s="72" t="str">
        <f>'PIM Model'!$D$13</f>
        <v>%</v>
      </c>
      <c r="I28" s="68" t="s">
        <v>669</v>
      </c>
      <c r="J28" s="933">
        <f>'MDA Worksheet'!$AU$48</f>
        <v>2.25</v>
      </c>
      <c r="K28" s="952">
        <f>'MDA Worksheet'!$AU$46*100</f>
        <v>30</v>
      </c>
      <c r="L28" s="59" t="s">
        <v>483</v>
      </c>
    </row>
    <row r="29" spans="1:12" x14ac:dyDescent="0.25">
      <c r="A29" s="59">
        <v>16</v>
      </c>
      <c r="B29" s="59">
        <v>136</v>
      </c>
      <c r="C29" s="59">
        <v>7745</v>
      </c>
      <c r="D29" s="59" t="s">
        <v>667</v>
      </c>
      <c r="E29" s="59" t="s">
        <v>666</v>
      </c>
      <c r="F29" s="66" t="str">
        <f>'PIM Model'!$AD$13</f>
        <v/>
      </c>
      <c r="G29" s="65" t="str">
        <f t="shared" si="0"/>
        <v/>
      </c>
      <c r="H29" s="72" t="str">
        <f>'PIM Model'!$D$13</f>
        <v>%</v>
      </c>
      <c r="I29" s="68" t="s">
        <v>669</v>
      </c>
      <c r="J29" s="933">
        <f>'MDA Worksheet'!$AU$48</f>
        <v>2.25</v>
      </c>
      <c r="K29" s="952">
        <f>'MDA Worksheet'!$AU$46*100</f>
        <v>30</v>
      </c>
      <c r="L29" s="59" t="s">
        <v>483</v>
      </c>
    </row>
    <row r="30" spans="1:12" x14ac:dyDescent="0.25">
      <c r="A30" s="59">
        <v>16</v>
      </c>
      <c r="B30" s="59">
        <v>136</v>
      </c>
      <c r="C30" s="59">
        <v>7746</v>
      </c>
      <c r="D30" s="59" t="s">
        <v>667</v>
      </c>
      <c r="E30" s="59" t="s">
        <v>666</v>
      </c>
      <c r="F30" s="66" t="str">
        <f>'PIM Model'!$AD$13</f>
        <v/>
      </c>
      <c r="G30" s="65" t="str">
        <f t="shared" si="0"/>
        <v/>
      </c>
      <c r="H30" s="72" t="str">
        <f>'PIM Model'!$D$13</f>
        <v>%</v>
      </c>
      <c r="I30" s="68" t="s">
        <v>669</v>
      </c>
      <c r="J30" s="933">
        <f>'MDA Worksheet'!$AU$48</f>
        <v>2.25</v>
      </c>
      <c r="K30" s="952">
        <f>'MDA Worksheet'!$AU$46*100</f>
        <v>30</v>
      </c>
      <c r="L30" s="59" t="s">
        <v>483</v>
      </c>
    </row>
    <row r="31" spans="1:12" x14ac:dyDescent="0.25">
      <c r="A31" s="59">
        <v>16</v>
      </c>
      <c r="B31" s="59">
        <v>136</v>
      </c>
      <c r="C31" s="59">
        <v>8216</v>
      </c>
      <c r="D31" s="59" t="s">
        <v>667</v>
      </c>
      <c r="E31" s="59" t="s">
        <v>666</v>
      </c>
      <c r="F31" s="66" t="str">
        <f>'PIM Model'!$AD$13</f>
        <v/>
      </c>
      <c r="G31" s="65" t="str">
        <f t="shared" ref="G31:G32" si="1">F31</f>
        <v/>
      </c>
      <c r="H31" s="72" t="str">
        <f>'PIM Model'!$D$13</f>
        <v>%</v>
      </c>
      <c r="I31" s="68" t="s">
        <v>669</v>
      </c>
      <c r="J31" s="933">
        <f>'MDA Worksheet'!$AU$48</f>
        <v>2.25</v>
      </c>
      <c r="K31" s="952">
        <f>'MDA Worksheet'!$AU$46*100</f>
        <v>30</v>
      </c>
      <c r="L31" s="59" t="s">
        <v>483</v>
      </c>
    </row>
    <row r="32" spans="1:12" x14ac:dyDescent="0.25">
      <c r="A32" s="59">
        <v>16</v>
      </c>
      <c r="B32" s="59">
        <v>136</v>
      </c>
      <c r="C32" s="59">
        <v>8219</v>
      </c>
      <c r="D32" s="59" t="s">
        <v>667</v>
      </c>
      <c r="E32" s="59" t="s">
        <v>666</v>
      </c>
      <c r="F32" s="66" t="str">
        <f>'PIM Model'!$AD$13</f>
        <v/>
      </c>
      <c r="G32" s="65" t="str">
        <f t="shared" si="1"/>
        <v/>
      </c>
      <c r="H32" s="72" t="str">
        <f>'PIM Model'!$D$13</f>
        <v>%</v>
      </c>
      <c r="I32" s="68" t="s">
        <v>669</v>
      </c>
      <c r="J32" s="933">
        <f>'MDA Worksheet'!$AU$48</f>
        <v>2.25</v>
      </c>
      <c r="K32" s="952">
        <f>'MDA Worksheet'!$AU$46*100</f>
        <v>30</v>
      </c>
      <c r="L32" s="59" t="s">
        <v>483</v>
      </c>
    </row>
    <row r="33" spans="1:12" x14ac:dyDescent="0.25">
      <c r="A33" s="59">
        <v>17</v>
      </c>
      <c r="B33" s="59">
        <v>0</v>
      </c>
      <c r="C33" s="59">
        <v>0</v>
      </c>
      <c r="D33" s="59" t="s">
        <v>665</v>
      </c>
      <c r="E33" s="59" t="str">
        <f>IF('PRIME Headers'!$C$20="No","PWW","P07")</f>
        <v>P07</v>
      </c>
      <c r="F33" s="66" t="str">
        <f>'PIM Model'!$AD$19</f>
        <v/>
      </c>
      <c r="G33" s="65" t="str">
        <f t="shared" si="0"/>
        <v/>
      </c>
      <c r="H33" s="72" t="str">
        <f>'PIM Model'!$D$19</f>
        <v>%</v>
      </c>
      <c r="I33" s="68" t="s">
        <v>669</v>
      </c>
      <c r="J33" s="933">
        <f>'MDA Worksheet'!$AU$48</f>
        <v>2.25</v>
      </c>
      <c r="K33" s="952">
        <f>'MDA Worksheet'!$AU$46*100</f>
        <v>30</v>
      </c>
      <c r="L33" s="59" t="s">
        <v>483</v>
      </c>
    </row>
    <row r="34" spans="1:12" x14ac:dyDescent="0.25">
      <c r="A34" s="59">
        <v>18</v>
      </c>
      <c r="B34" s="59">
        <v>0</v>
      </c>
      <c r="C34" s="59">
        <v>0</v>
      </c>
      <c r="D34" s="59" t="s">
        <v>667</v>
      </c>
      <c r="E34" s="59" t="s">
        <v>666</v>
      </c>
      <c r="F34" s="66" t="str">
        <f>'PIM Model'!$AD$14</f>
        <v/>
      </c>
      <c r="G34" s="65" t="str">
        <f t="shared" si="0"/>
        <v/>
      </c>
      <c r="H34" s="72" t="str">
        <f>'PIM Model'!$D$14</f>
        <v>%</v>
      </c>
      <c r="I34" s="68" t="s">
        <v>669</v>
      </c>
      <c r="J34" s="933">
        <f>'MDA Worksheet'!$AU$48</f>
        <v>2.25</v>
      </c>
      <c r="K34" s="952">
        <f>'MDA Worksheet'!$AU$46*100</f>
        <v>30</v>
      </c>
      <c r="L34" s="59" t="s">
        <v>483</v>
      </c>
    </row>
    <row r="35" spans="1:12" x14ac:dyDescent="0.25">
      <c r="A35" s="59">
        <v>19</v>
      </c>
      <c r="B35" s="59">
        <v>0</v>
      </c>
      <c r="C35" s="59">
        <v>0</v>
      </c>
      <c r="D35" s="59" t="s">
        <v>665</v>
      </c>
      <c r="E35" s="59" t="str">
        <f>IF('PRIME Headers'!$C$20="No","PWW","P07")</f>
        <v>P07</v>
      </c>
      <c r="F35" s="66" t="str">
        <f>'PIM Model'!$AD$15</f>
        <v/>
      </c>
      <c r="G35" s="65" t="str">
        <f t="shared" si="0"/>
        <v/>
      </c>
      <c r="H35" s="72" t="str">
        <f>'PIM Model'!$D$15</f>
        <v>%</v>
      </c>
      <c r="I35" s="68" t="s">
        <v>669</v>
      </c>
      <c r="J35" s="933">
        <f>'MDA Worksheet'!$AU$48</f>
        <v>2.25</v>
      </c>
      <c r="K35" s="952">
        <f>'MDA Worksheet'!$AU$46*100</f>
        <v>30</v>
      </c>
      <c r="L35" s="59" t="s">
        <v>483</v>
      </c>
    </row>
    <row r="36" spans="1:12" x14ac:dyDescent="0.25">
      <c r="A36" s="59">
        <v>20</v>
      </c>
      <c r="B36" s="59">
        <v>0</v>
      </c>
      <c r="C36" s="59">
        <v>0</v>
      </c>
      <c r="D36" s="59" t="s">
        <v>665</v>
      </c>
      <c r="E36" s="59" t="str">
        <f>IF('PRIME Headers'!$C$20="No","PWW","P07")</f>
        <v>P07</v>
      </c>
      <c r="F36" s="65" t="str">
        <f>'PIM Model'!$AD$10</f>
        <v/>
      </c>
      <c r="G36" s="65" t="str">
        <f t="shared" si="0"/>
        <v/>
      </c>
      <c r="H36" s="72" t="str">
        <f>'PIM Model'!$D$10</f>
        <v>%</v>
      </c>
      <c r="I36" s="68" t="s">
        <v>669</v>
      </c>
      <c r="J36" s="933">
        <f>'MDA Worksheet'!$AU$48</f>
        <v>2.25</v>
      </c>
      <c r="K36" s="952">
        <f>'MDA Worksheet'!$AU$46*100</f>
        <v>30</v>
      </c>
      <c r="L36" s="59" t="s">
        <v>483</v>
      </c>
    </row>
    <row r="37" spans="1:12" x14ac:dyDescent="0.25">
      <c r="A37" s="59">
        <v>21</v>
      </c>
      <c r="B37" s="59">
        <v>0</v>
      </c>
      <c r="C37" s="59">
        <v>0</v>
      </c>
      <c r="D37" s="59" t="s">
        <v>667</v>
      </c>
      <c r="E37" s="59" t="s">
        <v>666</v>
      </c>
      <c r="F37" s="66" t="str">
        <f>'PIM Model'!$AD$16</f>
        <v/>
      </c>
      <c r="G37" s="65" t="str">
        <f>F37</f>
        <v/>
      </c>
      <c r="H37" s="72" t="str">
        <f>'PIM Model'!$D$16</f>
        <v>%</v>
      </c>
      <c r="I37" s="68" t="s">
        <v>669</v>
      </c>
      <c r="J37" s="933">
        <f>'MDA Worksheet'!$AU$48</f>
        <v>2.25</v>
      </c>
      <c r="K37" s="952">
        <f>'MDA Worksheet'!$AU$46*100</f>
        <v>30</v>
      </c>
      <c r="L37" s="59" t="s">
        <v>483</v>
      </c>
    </row>
    <row r="38" spans="1:12" x14ac:dyDescent="0.25">
      <c r="A38" s="59">
        <v>21</v>
      </c>
      <c r="B38" s="59">
        <v>158</v>
      </c>
      <c r="C38" s="59">
        <v>1957</v>
      </c>
      <c r="D38" s="59" t="s">
        <v>665</v>
      </c>
      <c r="E38" s="59" t="str">
        <f>IF('PRIME Headers'!$C$20="No","PWW","P07")</f>
        <v>P07</v>
      </c>
      <c r="F38" s="66" t="str">
        <f>'PIM Model'!$AD$16</f>
        <v/>
      </c>
      <c r="G38" s="65" t="str">
        <f t="shared" si="0"/>
        <v/>
      </c>
      <c r="H38" s="72" t="str">
        <f>'PIM Model'!$D$16</f>
        <v>%</v>
      </c>
      <c r="I38" s="68" t="s">
        <v>669</v>
      </c>
      <c r="J38" s="933">
        <f>'MDA Worksheet'!$AU$48</f>
        <v>2.25</v>
      </c>
      <c r="K38" s="952">
        <f>'MDA Worksheet'!$AU$46*100</f>
        <v>30</v>
      </c>
      <c r="L38" s="59" t="s">
        <v>483</v>
      </c>
    </row>
    <row r="39" spans="1:12" x14ac:dyDescent="0.25">
      <c r="A39" s="59">
        <v>21</v>
      </c>
      <c r="B39" s="59">
        <v>158</v>
      </c>
      <c r="C39" s="59">
        <v>5800</v>
      </c>
      <c r="D39" s="59" t="s">
        <v>665</v>
      </c>
      <c r="E39" s="59" t="str">
        <f>IF('PRIME Headers'!$C$20="No","PWW","P07")</f>
        <v>P07</v>
      </c>
      <c r="F39" s="66" t="str">
        <f>'PIM Model'!$AD$16</f>
        <v/>
      </c>
      <c r="G39" s="65" t="str">
        <f t="shared" si="0"/>
        <v/>
      </c>
      <c r="H39" s="72" t="str">
        <f>'PIM Model'!$D$16</f>
        <v>%</v>
      </c>
      <c r="I39" s="68" t="s">
        <v>669</v>
      </c>
      <c r="J39" s="933">
        <f>'MDA Worksheet'!$AU$48</f>
        <v>2.25</v>
      </c>
      <c r="K39" s="952">
        <f>'MDA Worksheet'!$AU$46*100</f>
        <v>30</v>
      </c>
      <c r="L39" s="59" t="s">
        <v>483</v>
      </c>
    </row>
    <row r="40" spans="1:12" x14ac:dyDescent="0.25">
      <c r="A40" s="59">
        <v>21</v>
      </c>
      <c r="B40" s="59">
        <v>161</v>
      </c>
      <c r="C40" s="59">
        <v>0</v>
      </c>
      <c r="D40" s="59" t="s">
        <v>665</v>
      </c>
      <c r="E40" s="59" t="str">
        <f>IF('PRIME Headers'!$C$20="No","PWW","P07")</f>
        <v>P07</v>
      </c>
      <c r="F40" s="66" t="str">
        <f>'PIM Model'!$AD$16</f>
        <v/>
      </c>
      <c r="G40" s="65" t="str">
        <f t="shared" si="0"/>
        <v/>
      </c>
      <c r="H40" s="72" t="str">
        <f>'PIM Model'!$D$16</f>
        <v>%</v>
      </c>
      <c r="I40" s="68" t="s">
        <v>669</v>
      </c>
      <c r="J40" s="933">
        <f>'MDA Worksheet'!$AU$48</f>
        <v>2.25</v>
      </c>
      <c r="K40" s="952">
        <f>'MDA Worksheet'!$AU$46*100</f>
        <v>30</v>
      </c>
      <c r="L40" s="59" t="s">
        <v>483</v>
      </c>
    </row>
    <row r="41" spans="1:12" x14ac:dyDescent="0.25">
      <c r="A41" s="59">
        <v>21</v>
      </c>
      <c r="B41" s="59">
        <v>162</v>
      </c>
      <c r="C41" s="59">
        <v>1622</v>
      </c>
      <c r="D41" s="59" t="s">
        <v>665</v>
      </c>
      <c r="E41" s="59" t="str">
        <f>IF('PRIME Headers'!$C$20="No","PWW","P07")</f>
        <v>P07</v>
      </c>
      <c r="F41" s="66" t="str">
        <f>'PIM Model'!$AD$16</f>
        <v/>
      </c>
      <c r="G41" s="65" t="str">
        <f t="shared" si="0"/>
        <v/>
      </c>
      <c r="H41" s="72" t="str">
        <f>'PIM Model'!$D$16</f>
        <v>%</v>
      </c>
      <c r="I41" s="68" t="s">
        <v>669</v>
      </c>
      <c r="J41" s="933">
        <f>'MDA Worksheet'!$AU$48</f>
        <v>2.25</v>
      </c>
      <c r="K41" s="952">
        <f>'MDA Worksheet'!$AU$46*100</f>
        <v>30</v>
      </c>
      <c r="L41" s="59" t="s">
        <v>483</v>
      </c>
    </row>
    <row r="42" spans="1:12" x14ac:dyDescent="0.25">
      <c r="A42" s="59">
        <v>21</v>
      </c>
      <c r="B42" s="59">
        <v>162</v>
      </c>
      <c r="C42" s="59">
        <v>1623</v>
      </c>
      <c r="D42" s="59" t="s">
        <v>665</v>
      </c>
      <c r="E42" s="59" t="str">
        <f>IF('PRIME Headers'!$C$20="No","PWW","P07")</f>
        <v>P07</v>
      </c>
      <c r="F42" s="66" t="str">
        <f>'PIM Model'!$AD$16</f>
        <v/>
      </c>
      <c r="G42" s="65" t="str">
        <f t="shared" si="0"/>
        <v/>
      </c>
      <c r="H42" s="72" t="str">
        <f>'PIM Model'!$D$16</f>
        <v>%</v>
      </c>
      <c r="I42" s="68" t="s">
        <v>669</v>
      </c>
      <c r="J42" s="933">
        <f>'MDA Worksheet'!$AU$48</f>
        <v>2.25</v>
      </c>
      <c r="K42" s="952">
        <f>'MDA Worksheet'!$AU$46*100</f>
        <v>30</v>
      </c>
      <c r="L42" s="59" t="s">
        <v>483</v>
      </c>
    </row>
    <row r="43" spans="1:12" x14ac:dyDescent="0.25">
      <c r="A43" s="59">
        <v>21</v>
      </c>
      <c r="B43" s="59">
        <v>162</v>
      </c>
      <c r="C43" s="59">
        <v>3490</v>
      </c>
      <c r="D43" s="59" t="s">
        <v>665</v>
      </c>
      <c r="E43" s="59" t="str">
        <f>IF('PRIME Headers'!$C$20="No","PWW","P07")</f>
        <v>P07</v>
      </c>
      <c r="F43" s="66" t="str">
        <f>'PIM Model'!$AD$16</f>
        <v/>
      </c>
      <c r="G43" s="65" t="str">
        <f t="shared" si="0"/>
        <v/>
      </c>
      <c r="H43" s="72" t="str">
        <f>'PIM Model'!$D$16</f>
        <v>%</v>
      </c>
      <c r="I43" s="68" t="s">
        <v>669</v>
      </c>
      <c r="J43" s="933">
        <f>'MDA Worksheet'!$AU$48</f>
        <v>2.25</v>
      </c>
      <c r="K43" s="952">
        <f>'MDA Worksheet'!$AU$46*100</f>
        <v>30</v>
      </c>
      <c r="L43" s="59" t="s">
        <v>483</v>
      </c>
    </row>
    <row r="44" spans="1:12" x14ac:dyDescent="0.25">
      <c r="A44" s="59">
        <v>21</v>
      </c>
      <c r="B44" s="59">
        <v>162</v>
      </c>
      <c r="C44" s="59">
        <v>3500</v>
      </c>
      <c r="D44" s="59" t="s">
        <v>665</v>
      </c>
      <c r="E44" s="59" t="str">
        <f>IF('PRIME Headers'!$C$20="No","PWW","P07")</f>
        <v>P07</v>
      </c>
      <c r="F44" s="66" t="str">
        <f>'PIM Model'!$AD$16</f>
        <v/>
      </c>
      <c r="G44" s="65" t="str">
        <f t="shared" si="0"/>
        <v/>
      </c>
      <c r="H44" s="72" t="str">
        <f>'PIM Model'!$D$16</f>
        <v>%</v>
      </c>
      <c r="I44" s="68" t="s">
        <v>669</v>
      </c>
      <c r="J44" s="933">
        <f>'MDA Worksheet'!$AU$48</f>
        <v>2.25</v>
      </c>
      <c r="K44" s="952">
        <f>'MDA Worksheet'!$AU$46*100</f>
        <v>30</v>
      </c>
      <c r="L44" s="59" t="s">
        <v>483</v>
      </c>
    </row>
    <row r="45" spans="1:12" x14ac:dyDescent="0.25">
      <c r="A45" s="59">
        <v>21</v>
      </c>
      <c r="B45" s="59">
        <v>162</v>
      </c>
      <c r="C45" s="59">
        <v>7625</v>
      </c>
      <c r="D45" s="59" t="s">
        <v>665</v>
      </c>
      <c r="E45" s="59" t="str">
        <f>IF('PRIME Headers'!$C$20="No","PWW","P07")</f>
        <v>P07</v>
      </c>
      <c r="F45" s="66" t="str">
        <f>'PIM Model'!$AD$16</f>
        <v/>
      </c>
      <c r="G45" s="65" t="str">
        <f t="shared" si="0"/>
        <v/>
      </c>
      <c r="H45" s="72" t="str">
        <f>'PIM Model'!$D$16</f>
        <v>%</v>
      </c>
      <c r="I45" s="68" t="s">
        <v>669</v>
      </c>
      <c r="J45" s="933">
        <f>'MDA Worksheet'!$AU$48</f>
        <v>2.25</v>
      </c>
      <c r="K45" s="952">
        <f>'MDA Worksheet'!$AU$46*100</f>
        <v>30</v>
      </c>
      <c r="L45" s="59" t="s">
        <v>483</v>
      </c>
    </row>
    <row r="46" spans="1:12" x14ac:dyDescent="0.25">
      <c r="A46" s="59">
        <v>21</v>
      </c>
      <c r="B46" s="59">
        <v>162</v>
      </c>
      <c r="C46" s="59">
        <v>7636</v>
      </c>
      <c r="D46" s="59" t="s">
        <v>665</v>
      </c>
      <c r="E46" s="59" t="str">
        <f>IF('PRIME Headers'!$C$20="No","PWW","P07")</f>
        <v>P07</v>
      </c>
      <c r="F46" s="66" t="str">
        <f>'PIM Model'!$AD$16</f>
        <v/>
      </c>
      <c r="G46" s="65" t="str">
        <f t="shared" si="0"/>
        <v/>
      </c>
      <c r="H46" s="72" t="str">
        <f>'PIM Model'!$D$16</f>
        <v>%</v>
      </c>
      <c r="I46" s="68" t="s">
        <v>669</v>
      </c>
      <c r="J46" s="933">
        <f>'MDA Worksheet'!$AU$48</f>
        <v>2.25</v>
      </c>
      <c r="K46" s="952">
        <f>'MDA Worksheet'!$AU$46*100</f>
        <v>30</v>
      </c>
      <c r="L46" s="59" t="s">
        <v>483</v>
      </c>
    </row>
    <row r="47" spans="1:12" x14ac:dyDescent="0.25">
      <c r="A47" s="59">
        <v>22</v>
      </c>
      <c r="B47" s="59">
        <v>0</v>
      </c>
      <c r="C47" s="59">
        <v>0</v>
      </c>
      <c r="D47" s="59" t="s">
        <v>665</v>
      </c>
      <c r="E47" s="59" t="str">
        <f>IF('PRIME Headers'!$C$20="No","PWW","P07")</f>
        <v>P07</v>
      </c>
      <c r="F47" s="66" t="str">
        <f>'PIM Model'!$AD$20</f>
        <v/>
      </c>
      <c r="G47" s="65" t="str">
        <f t="shared" si="0"/>
        <v/>
      </c>
      <c r="H47" s="72" t="str">
        <f>'PIM Model'!$D$20</f>
        <v>%</v>
      </c>
      <c r="I47" s="68" t="s">
        <v>669</v>
      </c>
      <c r="J47" s="933">
        <f>'MDA Worksheet'!$AU$48</f>
        <v>2.25</v>
      </c>
      <c r="K47" s="952">
        <f>'MDA Worksheet'!$AU$46*100</f>
        <v>30</v>
      </c>
      <c r="L47" s="59" t="s">
        <v>483</v>
      </c>
    </row>
    <row r="48" spans="1:12" x14ac:dyDescent="0.25">
      <c r="A48" s="59">
        <v>22</v>
      </c>
      <c r="B48" s="59">
        <v>171</v>
      </c>
      <c r="C48" s="59">
        <v>1400</v>
      </c>
      <c r="D48" s="59" t="s">
        <v>667</v>
      </c>
      <c r="E48" s="59" t="s">
        <v>666</v>
      </c>
      <c r="F48" s="66" t="str">
        <f>'PIM Model'!$AD$20</f>
        <v/>
      </c>
      <c r="G48" s="65" t="str">
        <f t="shared" si="0"/>
        <v/>
      </c>
      <c r="H48" s="72" t="str">
        <f>'PIM Model'!$D$20</f>
        <v>%</v>
      </c>
      <c r="I48" s="68" t="s">
        <v>669</v>
      </c>
      <c r="J48" s="933">
        <f>'MDA Worksheet'!$AU$48</f>
        <v>2.25</v>
      </c>
      <c r="K48" s="952">
        <f>'MDA Worksheet'!$AU$46*100</f>
        <v>30</v>
      </c>
      <c r="L48" s="59" t="s">
        <v>483</v>
      </c>
    </row>
    <row r="49" spans="1:12" x14ac:dyDescent="0.25">
      <c r="A49" s="59">
        <v>22</v>
      </c>
      <c r="B49" s="59">
        <v>174</v>
      </c>
      <c r="C49" s="59">
        <v>1414</v>
      </c>
      <c r="D49" s="59" t="s">
        <v>667</v>
      </c>
      <c r="E49" s="59" t="s">
        <v>666</v>
      </c>
      <c r="F49" s="66" t="str">
        <f>'PIM Model'!$AD$20</f>
        <v/>
      </c>
      <c r="G49" s="65" t="str">
        <f t="shared" si="0"/>
        <v/>
      </c>
      <c r="H49" s="72" t="str">
        <f>'PIM Model'!$D$20</f>
        <v>%</v>
      </c>
      <c r="I49" s="68" t="s">
        <v>669</v>
      </c>
      <c r="J49" s="933">
        <f>'MDA Worksheet'!$AU$48</f>
        <v>2.25</v>
      </c>
      <c r="K49" s="952">
        <f>'MDA Worksheet'!$AU$46*100</f>
        <v>30</v>
      </c>
      <c r="L49" s="59" t="s">
        <v>483</v>
      </c>
    </row>
    <row r="50" spans="1:12" x14ac:dyDescent="0.25">
      <c r="A50" s="59">
        <v>22</v>
      </c>
      <c r="B50" s="59">
        <v>176</v>
      </c>
      <c r="C50" s="59">
        <v>0</v>
      </c>
      <c r="D50" s="59" t="s">
        <v>667</v>
      </c>
      <c r="E50" s="59" t="s">
        <v>666</v>
      </c>
      <c r="F50" s="66" t="str">
        <f>'PIM Model'!$AD$20</f>
        <v/>
      </c>
      <c r="G50" s="65" t="str">
        <f t="shared" si="0"/>
        <v/>
      </c>
      <c r="H50" s="72" t="str">
        <f>'PIM Model'!$D$20</f>
        <v>%</v>
      </c>
      <c r="I50" s="68" t="s">
        <v>669</v>
      </c>
      <c r="J50" s="933">
        <f>'MDA Worksheet'!$AU$48</f>
        <v>2.25</v>
      </c>
      <c r="K50" s="952">
        <f>'MDA Worksheet'!$AU$46*100</f>
        <v>30</v>
      </c>
      <c r="L50" s="59" t="s">
        <v>483</v>
      </c>
    </row>
    <row r="51" spans="1:12" x14ac:dyDescent="0.25">
      <c r="A51" s="59">
        <v>22</v>
      </c>
      <c r="B51" s="59">
        <v>177</v>
      </c>
      <c r="C51" s="59">
        <v>1886</v>
      </c>
      <c r="D51" s="59" t="s">
        <v>665</v>
      </c>
      <c r="E51" s="59" t="str">
        <f>IF('PRIME Headers'!$C$20="No","PWW","P07")</f>
        <v>P07</v>
      </c>
      <c r="F51" s="66" t="str">
        <f>'PIM Model'!$AD$20</f>
        <v/>
      </c>
      <c r="G51" s="65" t="str">
        <f t="shared" si="0"/>
        <v/>
      </c>
      <c r="H51" s="72" t="str">
        <f>'PIM Model'!$D$20</f>
        <v>%</v>
      </c>
      <c r="I51" s="68" t="s">
        <v>669</v>
      </c>
      <c r="J51" s="933">
        <f>'MDA Worksheet'!$AU$48</f>
        <v>2.25</v>
      </c>
      <c r="K51" s="71">
        <v>0</v>
      </c>
      <c r="L51" s="71" t="s">
        <v>242</v>
      </c>
    </row>
    <row r="52" spans="1:12" x14ac:dyDescent="0.25">
      <c r="A52" s="59">
        <v>22</v>
      </c>
      <c r="B52" s="59">
        <v>177</v>
      </c>
      <c r="C52" s="59">
        <v>1908</v>
      </c>
      <c r="D52" s="59" t="s">
        <v>665</v>
      </c>
      <c r="E52" s="59" t="str">
        <f>IF('PRIME Headers'!$C$20="No","PWW","P07")</f>
        <v>P07</v>
      </c>
      <c r="F52" s="66" t="str">
        <f>'PIM Model'!$AD$20</f>
        <v/>
      </c>
      <c r="G52" s="65" t="str">
        <f t="shared" si="0"/>
        <v/>
      </c>
      <c r="H52" s="72" t="str">
        <f>'PIM Model'!$D$20</f>
        <v>%</v>
      </c>
      <c r="I52" s="68" t="s">
        <v>669</v>
      </c>
      <c r="J52" s="933">
        <f>'MDA Worksheet'!$AU$48</f>
        <v>2.25</v>
      </c>
      <c r="K52" s="71">
        <v>0</v>
      </c>
      <c r="L52" s="71" t="s">
        <v>242</v>
      </c>
    </row>
    <row r="53" spans="1:12" x14ac:dyDescent="0.25">
      <c r="A53" s="59">
        <v>22</v>
      </c>
      <c r="B53" s="59">
        <v>177</v>
      </c>
      <c r="C53" s="59">
        <v>3340</v>
      </c>
      <c r="D53" s="59" t="s">
        <v>665</v>
      </c>
      <c r="E53" s="59" t="str">
        <f>IF('PRIME Headers'!$C$20="No","PWW","P07")</f>
        <v>P07</v>
      </c>
      <c r="F53" s="66" t="str">
        <f>'PIM Model'!$AD$20</f>
        <v/>
      </c>
      <c r="G53" s="65" t="str">
        <f t="shared" si="0"/>
        <v/>
      </c>
      <c r="H53" s="72" t="str">
        <f>'PIM Model'!$D$20</f>
        <v>%</v>
      </c>
      <c r="I53" s="68" t="s">
        <v>669</v>
      </c>
      <c r="J53" s="933">
        <f>'MDA Worksheet'!$AU$48</f>
        <v>2.25</v>
      </c>
      <c r="K53" s="71">
        <v>0</v>
      </c>
      <c r="L53" s="71" t="s">
        <v>242</v>
      </c>
    </row>
    <row r="54" spans="1:12" x14ac:dyDescent="0.25">
      <c r="A54" s="59">
        <v>22</v>
      </c>
      <c r="B54" s="59">
        <v>177</v>
      </c>
      <c r="C54" s="59">
        <v>3820</v>
      </c>
      <c r="D54" s="59" t="s">
        <v>665</v>
      </c>
      <c r="E54" s="59" t="str">
        <f>IF('PRIME Headers'!$C$20="No","PWW","P07")</f>
        <v>P07</v>
      </c>
      <c r="F54" s="66" t="str">
        <f>'PIM Model'!$AD$20</f>
        <v/>
      </c>
      <c r="G54" s="65" t="str">
        <f t="shared" si="0"/>
        <v/>
      </c>
      <c r="H54" s="72" t="str">
        <f>'PIM Model'!$D$20</f>
        <v>%</v>
      </c>
      <c r="I54" s="68" t="s">
        <v>669</v>
      </c>
      <c r="J54" s="933">
        <f>'MDA Worksheet'!$AU$48</f>
        <v>2.25</v>
      </c>
      <c r="K54" s="71">
        <v>0</v>
      </c>
      <c r="L54" s="71" t="s">
        <v>242</v>
      </c>
    </row>
    <row r="55" spans="1:12" x14ac:dyDescent="0.25">
      <c r="A55" s="59">
        <v>22</v>
      </c>
      <c r="B55" s="59">
        <v>177</v>
      </c>
      <c r="C55" s="59">
        <v>7733</v>
      </c>
      <c r="D55" s="59" t="s">
        <v>665</v>
      </c>
      <c r="E55" s="59" t="str">
        <f>IF('PRIME Headers'!$C$20="No","PWW","P07")</f>
        <v>P07</v>
      </c>
      <c r="F55" s="66" t="str">
        <f>'PIM Model'!$AD$20</f>
        <v/>
      </c>
      <c r="G55" s="65" t="str">
        <f t="shared" si="0"/>
        <v/>
      </c>
      <c r="H55" s="72" t="str">
        <f>'PIM Model'!$D$20</f>
        <v>%</v>
      </c>
      <c r="I55" s="68" t="s">
        <v>669</v>
      </c>
      <c r="J55" s="933">
        <f>'MDA Worksheet'!$AU$48</f>
        <v>2.25</v>
      </c>
      <c r="K55" s="71">
        <v>0</v>
      </c>
      <c r="L55" s="71" t="s">
        <v>242</v>
      </c>
    </row>
    <row r="56" spans="1:12" x14ac:dyDescent="0.25">
      <c r="A56" s="59">
        <v>22</v>
      </c>
      <c r="B56" s="59">
        <v>180</v>
      </c>
      <c r="C56" s="59">
        <v>0</v>
      </c>
      <c r="D56" s="59" t="s">
        <v>667</v>
      </c>
      <c r="E56" s="59" t="s">
        <v>666</v>
      </c>
      <c r="F56" s="66" t="str">
        <f>'PIM Model'!$AD$20</f>
        <v/>
      </c>
      <c r="G56" s="65" t="str">
        <f t="shared" si="0"/>
        <v/>
      </c>
      <c r="H56" s="72" t="str">
        <f>'PIM Model'!$D$20</f>
        <v>%</v>
      </c>
      <c r="I56" s="68" t="s">
        <v>669</v>
      </c>
      <c r="J56" s="933">
        <f>'MDA Worksheet'!$AU$48</f>
        <v>2.25</v>
      </c>
      <c r="K56" s="952">
        <f>'MDA Worksheet'!$AU$46*100</f>
        <v>30</v>
      </c>
      <c r="L56" s="59" t="s">
        <v>483</v>
      </c>
    </row>
    <row r="57" spans="1:12" x14ac:dyDescent="0.25">
      <c r="A57" s="59">
        <v>22</v>
      </c>
      <c r="B57" s="59">
        <v>232</v>
      </c>
      <c r="C57" s="59">
        <v>1727</v>
      </c>
      <c r="D57" s="59" t="s">
        <v>667</v>
      </c>
      <c r="E57" s="59" t="s">
        <v>666</v>
      </c>
      <c r="F57" s="66" t="str">
        <f>'PIM Model'!$AD$20</f>
        <v/>
      </c>
      <c r="G57" s="65" t="str">
        <f t="shared" si="0"/>
        <v/>
      </c>
      <c r="H57" s="72" t="str">
        <f>'PIM Model'!$D$20</f>
        <v>%</v>
      </c>
      <c r="I57" s="68" t="s">
        <v>669</v>
      </c>
      <c r="J57" s="933">
        <f>'MDA Worksheet'!$AU$48</f>
        <v>2.25</v>
      </c>
      <c r="K57" s="952">
        <f>'MDA Worksheet'!$AU$46*100</f>
        <v>30</v>
      </c>
      <c r="L57" s="59" t="s">
        <v>483</v>
      </c>
    </row>
    <row r="58" spans="1:12" x14ac:dyDescent="0.25">
      <c r="A58" s="59">
        <v>22</v>
      </c>
      <c r="B58" s="59">
        <v>235</v>
      </c>
      <c r="C58" s="59">
        <v>1728</v>
      </c>
      <c r="D58" s="59" t="s">
        <v>667</v>
      </c>
      <c r="E58" s="59" t="s">
        <v>666</v>
      </c>
      <c r="F58" s="66" t="str">
        <f>'PIM Model'!$AD$20</f>
        <v/>
      </c>
      <c r="G58" s="65" t="str">
        <f t="shared" si="0"/>
        <v/>
      </c>
      <c r="H58" s="72" t="str">
        <f>'PIM Model'!$D$20</f>
        <v>%</v>
      </c>
      <c r="I58" s="68" t="s">
        <v>669</v>
      </c>
      <c r="J58" s="933">
        <f>'MDA Worksheet'!$AU$48</f>
        <v>2.25</v>
      </c>
      <c r="K58" s="952">
        <f>'MDA Worksheet'!$AU$46*100</f>
        <v>30</v>
      </c>
      <c r="L58" s="59" t="s">
        <v>483</v>
      </c>
    </row>
    <row r="59" spans="1:12" x14ac:dyDescent="0.25">
      <c r="A59" s="59">
        <v>23</v>
      </c>
      <c r="B59" s="59">
        <v>0</v>
      </c>
      <c r="C59" s="59">
        <v>0</v>
      </c>
      <c r="D59" s="59" t="s">
        <v>665</v>
      </c>
      <c r="E59" s="59" t="str">
        <f>IF('PRIME Headers'!$C$20="No","PWW","P07")</f>
        <v>P07</v>
      </c>
      <c r="F59" s="66" t="str">
        <f>'PIM Model'!$AD$18</f>
        <v/>
      </c>
      <c r="G59" s="65" t="str">
        <f>F59</f>
        <v/>
      </c>
      <c r="H59" s="72" t="str">
        <f>'PIM Model'!$D$18</f>
        <v>%</v>
      </c>
      <c r="I59" s="68" t="s">
        <v>669</v>
      </c>
      <c r="J59" s="933">
        <f>'MDA Worksheet'!$AU$48</f>
        <v>2.25</v>
      </c>
      <c r="K59" s="952">
        <f>'MDA Worksheet'!$AU$46*100</f>
        <v>30</v>
      </c>
      <c r="L59" s="59" t="s">
        <v>483</v>
      </c>
    </row>
    <row r="60" spans="1:12" x14ac:dyDescent="0.25">
      <c r="A60" s="59">
        <v>24</v>
      </c>
      <c r="B60" s="59">
        <v>0</v>
      </c>
      <c r="C60" s="59">
        <v>0</v>
      </c>
      <c r="D60" s="59" t="s">
        <v>665</v>
      </c>
      <c r="E60" s="59" t="str">
        <f>IF('PRIME Headers'!$C$20="No","PWW","P07")</f>
        <v>P07</v>
      </c>
      <c r="F60" s="66" t="str">
        <f>'PIM Model'!$AD$17</f>
        <v/>
      </c>
      <c r="G60" s="65" t="str">
        <f t="shared" si="0"/>
        <v/>
      </c>
      <c r="H60" s="72" t="str">
        <f>'PIM Model'!$D$17</f>
        <v>%</v>
      </c>
      <c r="I60" s="68" t="s">
        <v>669</v>
      </c>
      <c r="J60" s="933">
        <f>'MDA Worksheet'!$AU$48</f>
        <v>2.25</v>
      </c>
      <c r="K60" s="952">
        <f>'MDA Worksheet'!$AU$46*100</f>
        <v>30</v>
      </c>
      <c r="L60" s="59" t="s">
        <v>483</v>
      </c>
    </row>
    <row r="61" spans="1:12" x14ac:dyDescent="0.25">
      <c r="A61" s="59">
        <v>25</v>
      </c>
      <c r="B61" s="59">
        <v>0</v>
      </c>
      <c r="C61" s="59">
        <v>0</v>
      </c>
      <c r="D61" s="59" t="s">
        <v>667</v>
      </c>
      <c r="E61" s="59" t="s">
        <v>668</v>
      </c>
      <c r="F61" s="66" t="str">
        <f>'PIM Model'!$AD$27</f>
        <v/>
      </c>
      <c r="G61" s="65" t="str">
        <f t="shared" si="0"/>
        <v/>
      </c>
      <c r="H61" s="72" t="str">
        <f>IF('PIM Model'!$D$27="$/CS","$","%")</f>
        <v>%</v>
      </c>
      <c r="I61" s="68" t="s">
        <v>669</v>
      </c>
      <c r="J61" s="933">
        <f>'MDA Worksheet'!$AU$48</f>
        <v>2.25</v>
      </c>
      <c r="K61" s="952">
        <f>'MDA Worksheet'!$AU$46*100</f>
        <v>30</v>
      </c>
      <c r="L61" s="59" t="s">
        <v>483</v>
      </c>
    </row>
    <row r="62" spans="1:12" x14ac:dyDescent="0.25">
      <c r="A62" s="59">
        <v>26</v>
      </c>
      <c r="B62" s="59">
        <v>0</v>
      </c>
      <c r="C62" s="59">
        <v>0</v>
      </c>
      <c r="D62" s="59" t="s">
        <v>665</v>
      </c>
      <c r="E62" s="59" t="str">
        <f>IF('PRIME Headers'!$C$20="No","PWW","P07")</f>
        <v>P07</v>
      </c>
      <c r="F62" s="66" t="str">
        <f>'PIM Model'!$AD$21</f>
        <v/>
      </c>
      <c r="G62" s="65" t="str">
        <f t="shared" si="0"/>
        <v/>
      </c>
      <c r="H62" s="72" t="str">
        <f>'PIM Model'!$D$21</f>
        <v>%</v>
      </c>
      <c r="I62" s="68" t="s">
        <v>669</v>
      </c>
      <c r="J62" s="933">
        <f>'MDA Worksheet'!$AU$48</f>
        <v>2.25</v>
      </c>
      <c r="K62" s="952">
        <f>'MDA Worksheet'!$AU$46*100</f>
        <v>30</v>
      </c>
      <c r="L62" s="59" t="s">
        <v>483</v>
      </c>
    </row>
    <row r="63" spans="1:12" x14ac:dyDescent="0.25">
      <c r="A63" s="59">
        <v>26</v>
      </c>
      <c r="B63" s="59">
        <v>310</v>
      </c>
      <c r="C63" s="59">
        <v>5390</v>
      </c>
      <c r="D63" s="59" t="s">
        <v>667</v>
      </c>
      <c r="E63" s="59" t="s">
        <v>666</v>
      </c>
      <c r="F63" s="66" t="str">
        <f>'PIM Model'!$AD$21</f>
        <v/>
      </c>
      <c r="G63" s="65" t="str">
        <f t="shared" si="0"/>
        <v/>
      </c>
      <c r="H63" s="72" t="str">
        <f>'PIM Model'!$D$22</f>
        <v>%</v>
      </c>
      <c r="I63" s="68" t="s">
        <v>669</v>
      </c>
      <c r="J63" s="933">
        <f>'MDA Worksheet'!$AU$48</f>
        <v>2.25</v>
      </c>
      <c r="K63" s="952">
        <f>'MDA Worksheet'!$AU$46*100</f>
        <v>30</v>
      </c>
      <c r="L63" s="59" t="s">
        <v>483</v>
      </c>
    </row>
    <row r="64" spans="1:12" x14ac:dyDescent="0.25">
      <c r="A64" s="59">
        <v>29</v>
      </c>
      <c r="B64" s="59">
        <v>0</v>
      </c>
      <c r="C64" s="59">
        <v>0</v>
      </c>
      <c r="D64" s="59" t="s">
        <v>667</v>
      </c>
      <c r="E64" s="59" t="s">
        <v>666</v>
      </c>
      <c r="F64" s="66" t="str">
        <f>'PIM Model'!$AD$23</f>
        <v/>
      </c>
      <c r="G64" s="65" t="str">
        <f t="shared" si="0"/>
        <v/>
      </c>
      <c r="H64" s="72" t="str">
        <f>'PIM Model'!$D$23</f>
        <v>%</v>
      </c>
      <c r="I64" s="68" t="s">
        <v>669</v>
      </c>
      <c r="J64" s="933">
        <f>'MDA Worksheet'!$AU$48</f>
        <v>2.25</v>
      </c>
      <c r="K64" s="952">
        <f>'MDA Worksheet'!$AU$46*100</f>
        <v>30</v>
      </c>
      <c r="L64" s="59" t="s">
        <v>483</v>
      </c>
    </row>
    <row r="65" spans="1:12" x14ac:dyDescent="0.25">
      <c r="A65" s="59">
        <v>30</v>
      </c>
      <c r="B65" s="59">
        <v>0</v>
      </c>
      <c r="C65" s="59">
        <v>0</v>
      </c>
      <c r="D65" s="59" t="s">
        <v>667</v>
      </c>
      <c r="E65" s="59" t="s">
        <v>666</v>
      </c>
      <c r="F65" s="66" t="str">
        <f>'PIM Model'!$AD$24</f>
        <v/>
      </c>
      <c r="G65" s="65" t="str">
        <f t="shared" si="0"/>
        <v/>
      </c>
      <c r="H65" s="72" t="str">
        <f>IF('PIM Model'!$D$24="$/LB","#","%")</f>
        <v>%</v>
      </c>
      <c r="I65" s="68" t="s">
        <v>669</v>
      </c>
      <c r="J65" s="933">
        <f>'MDA Worksheet'!$AU$48</f>
        <v>2.25</v>
      </c>
      <c r="K65" s="952">
        <f>'MDA Worksheet'!$AU$46*100</f>
        <v>30</v>
      </c>
      <c r="L65" s="59" t="s">
        <v>483</v>
      </c>
    </row>
    <row r="66" spans="1:12" x14ac:dyDescent="0.25">
      <c r="A66" s="59">
        <v>31</v>
      </c>
      <c r="B66" s="59">
        <v>0</v>
      </c>
      <c r="C66" s="59">
        <v>0</v>
      </c>
      <c r="D66" s="59" t="s">
        <v>667</v>
      </c>
      <c r="E66" s="59" t="s">
        <v>666</v>
      </c>
      <c r="F66" s="66" t="str">
        <f>'PIM Model'!$AD$25</f>
        <v/>
      </c>
      <c r="G66" s="65" t="str">
        <f t="shared" si="0"/>
        <v/>
      </c>
      <c r="H66" s="72" t="str">
        <f>IF('PIM Model'!$D$25="$/LB","#","%")</f>
        <v>%</v>
      </c>
      <c r="I66" s="68" t="s">
        <v>669</v>
      </c>
      <c r="J66" s="933">
        <f>'MDA Worksheet'!$AU$48</f>
        <v>2.25</v>
      </c>
      <c r="K66" s="952">
        <f>'MDA Worksheet'!$AU$46*100</f>
        <v>30</v>
      </c>
      <c r="L66" s="59" t="s">
        <v>483</v>
      </c>
    </row>
    <row r="67" spans="1:12" x14ac:dyDescent="0.25">
      <c r="A67" s="59">
        <v>32</v>
      </c>
      <c r="B67" s="59">
        <v>0</v>
      </c>
      <c r="C67" s="59">
        <v>0</v>
      </c>
      <c r="D67" s="59" t="s">
        <v>667</v>
      </c>
      <c r="E67" s="59" t="s">
        <v>666</v>
      </c>
      <c r="F67" s="66" t="str">
        <f>'PIM Model'!$AD$26</f>
        <v/>
      </c>
      <c r="G67" s="65" t="str">
        <f t="shared" si="0"/>
        <v/>
      </c>
      <c r="H67" s="72" t="str">
        <f>IF('PIM Model'!$D$26="$/LB","#","%")</f>
        <v>%</v>
      </c>
      <c r="I67" s="68" t="s">
        <v>669</v>
      </c>
      <c r="J67" s="933">
        <f>'MDA Worksheet'!$AU$48</f>
        <v>2.25</v>
      </c>
      <c r="K67" s="952">
        <f>'MDA Worksheet'!$AU$46*100</f>
        <v>30</v>
      </c>
      <c r="L67" s="59" t="s">
        <v>483</v>
      </c>
    </row>
    <row r="68" spans="1:12" x14ac:dyDescent="0.25">
      <c r="A68" s="59">
        <v>33</v>
      </c>
      <c r="B68" s="59">
        <v>0</v>
      </c>
      <c r="C68" s="59">
        <v>0</v>
      </c>
      <c r="D68" s="59" t="s">
        <v>667</v>
      </c>
      <c r="E68" s="59" t="s">
        <v>666</v>
      </c>
      <c r="F68" s="66" t="str">
        <f>'PIM Model'!$AD$29</f>
        <v/>
      </c>
      <c r="G68" s="65" t="str">
        <f t="shared" si="0"/>
        <v/>
      </c>
      <c r="H68" s="72" t="str">
        <f>IF('PIM Model'!$D$29="$/LB","#","%")</f>
        <v>%</v>
      </c>
      <c r="I68" s="68" t="s">
        <v>669</v>
      </c>
      <c r="J68" s="933">
        <f>'MDA Worksheet'!$AU$48</f>
        <v>2.25</v>
      </c>
      <c r="K68" s="952">
        <f>'MDA Worksheet'!$AU$46*100</f>
        <v>30</v>
      </c>
      <c r="L68" s="59" t="s">
        <v>483</v>
      </c>
    </row>
    <row r="69" spans="1:12" x14ac:dyDescent="0.25">
      <c r="A69" s="59">
        <v>34</v>
      </c>
      <c r="B69" s="59">
        <v>0</v>
      </c>
      <c r="C69" s="59">
        <v>0</v>
      </c>
      <c r="D69" s="59" t="s">
        <v>667</v>
      </c>
      <c r="E69" s="59" t="s">
        <v>666</v>
      </c>
      <c r="F69" s="66" t="str">
        <f>'PIM Model'!$AD$30</f>
        <v/>
      </c>
      <c r="G69" s="65" t="str">
        <f t="shared" ref="G69:G72" si="2">F69</f>
        <v/>
      </c>
      <c r="H69" s="72" t="str">
        <f>IF('PIM Model'!$D$30="$/LB","#","%")</f>
        <v>%</v>
      </c>
      <c r="I69" s="68" t="s">
        <v>669</v>
      </c>
      <c r="J69" s="933">
        <f>'MDA Worksheet'!$AU$48</f>
        <v>2.25</v>
      </c>
      <c r="K69" s="952">
        <f>'MDA Worksheet'!$AU$46*100</f>
        <v>30</v>
      </c>
      <c r="L69" s="59" t="s">
        <v>483</v>
      </c>
    </row>
    <row r="70" spans="1:12" x14ac:dyDescent="0.25">
      <c r="A70" s="59">
        <v>35</v>
      </c>
      <c r="B70" s="59">
        <v>0</v>
      </c>
      <c r="C70" s="59">
        <v>0</v>
      </c>
      <c r="D70" s="59" t="s">
        <v>667</v>
      </c>
      <c r="E70" s="59" t="s">
        <v>666</v>
      </c>
      <c r="F70" s="66" t="str">
        <f>'PIM Model'!$AD$28</f>
        <v/>
      </c>
      <c r="G70" s="65" t="str">
        <f t="shared" si="2"/>
        <v/>
      </c>
      <c r="H70" s="72" t="str">
        <f>'PIM Model'!$D$28</f>
        <v>%</v>
      </c>
      <c r="I70" s="68" t="s">
        <v>669</v>
      </c>
      <c r="J70" s="933">
        <f>'MDA Worksheet'!$AU$48</f>
        <v>2.25</v>
      </c>
      <c r="K70" s="952">
        <f>'MDA Worksheet'!$AU$46*100</f>
        <v>30</v>
      </c>
      <c r="L70" s="59" t="s">
        <v>483</v>
      </c>
    </row>
    <row r="71" spans="1:12" x14ac:dyDescent="0.25">
      <c r="A71" s="59">
        <v>35</v>
      </c>
      <c r="B71" s="59">
        <v>272</v>
      </c>
      <c r="C71" s="59">
        <v>3470</v>
      </c>
      <c r="D71" s="59" t="s">
        <v>665</v>
      </c>
      <c r="E71" s="59" t="str">
        <f>IF('PRIME Headers'!$C$20="No","PWW","P07")</f>
        <v>P07</v>
      </c>
      <c r="F71" s="66" t="str">
        <f>'PIM Model'!$AD$28</f>
        <v/>
      </c>
      <c r="G71" s="65" t="str">
        <f t="shared" ref="G71" si="3">F71</f>
        <v/>
      </c>
      <c r="H71" s="72" t="str">
        <f>'PIM Model'!$D$28</f>
        <v>%</v>
      </c>
      <c r="I71" s="68" t="s">
        <v>669</v>
      </c>
      <c r="J71" s="933">
        <f>'MDA Worksheet'!$AU$48</f>
        <v>2.25</v>
      </c>
      <c r="K71" s="952">
        <f>'MDA Worksheet'!$AU$46*100</f>
        <v>30</v>
      </c>
      <c r="L71" s="59" t="s">
        <v>483</v>
      </c>
    </row>
    <row r="72" spans="1:12" x14ac:dyDescent="0.25">
      <c r="A72" s="59">
        <v>37</v>
      </c>
      <c r="B72" s="59">
        <v>0</v>
      </c>
      <c r="C72" s="59">
        <v>0</v>
      </c>
      <c r="D72" s="59" t="s">
        <v>665</v>
      </c>
      <c r="E72" s="59" t="str">
        <f>IF('PRIME Headers'!$C$20="No","PWW","P07")</f>
        <v>P07</v>
      </c>
      <c r="F72" s="66" t="str">
        <f>'PIM Model'!$AD$22</f>
        <v/>
      </c>
      <c r="G72" s="65" t="str">
        <f t="shared" si="2"/>
        <v/>
      </c>
      <c r="H72" s="72" t="str">
        <f>IF('PIM Model'!$D$22="$/LB","#","%")</f>
        <v>%</v>
      </c>
      <c r="I72" s="68" t="s">
        <v>669</v>
      </c>
      <c r="J72" s="933">
        <f>'MDA Worksheet'!$AU$48</f>
        <v>2.25</v>
      </c>
      <c r="K72" s="952">
        <f>'MDA Worksheet'!$AU$46*100</f>
        <v>30</v>
      </c>
      <c r="L72" s="59" t="s">
        <v>483</v>
      </c>
    </row>
    <row r="73" spans="1:12" x14ac:dyDescent="0.25">
      <c r="A73" s="59">
        <v>996</v>
      </c>
      <c r="B73" s="59">
        <v>0</v>
      </c>
      <c r="C73" s="59">
        <v>0</v>
      </c>
      <c r="D73" s="59" t="s">
        <v>665</v>
      </c>
      <c r="E73" s="59" t="str">
        <f>IF('PRIME Headers'!$C$20="No","PWW","P07")</f>
        <v>P07</v>
      </c>
      <c r="F73" s="66" t="str">
        <f>IF(COUNTIF('PIM Model'!$E$10:$E$30,"Exclude"),"",'PIM Model'!$AD$20)</f>
        <v/>
      </c>
      <c r="G73" s="65" t="str">
        <f>F73</f>
        <v/>
      </c>
      <c r="H73" s="72" t="str">
        <f>'PIM Model'!$D$20</f>
        <v>%</v>
      </c>
      <c r="I73" s="68" t="s">
        <v>669</v>
      </c>
      <c r="J73" s="933">
        <f>'MDA Worksheet'!$AU$48</f>
        <v>2.25</v>
      </c>
      <c r="K73" s="952">
        <f>'MDA Worksheet'!$AU$46*100</f>
        <v>30</v>
      </c>
      <c r="L73" s="59" t="s">
        <v>483</v>
      </c>
    </row>
    <row r="74" spans="1:12" x14ac:dyDescent="0.25">
      <c r="A74" s="59">
        <v>997</v>
      </c>
      <c r="B74" s="59">
        <v>0</v>
      </c>
      <c r="C74" s="59">
        <v>0</v>
      </c>
      <c r="D74" s="59" t="s">
        <v>665</v>
      </c>
      <c r="E74" s="59" t="str">
        <f>IF('PRIME Headers'!$C$20="No","PWW","P07")</f>
        <v>P07</v>
      </c>
      <c r="F74" s="66" t="str">
        <f>IF(COUNTIF('PIM Model'!$E$10:$E$30,"Exclude"),"",'PIM Model'!$AD$21)</f>
        <v/>
      </c>
      <c r="G74" s="65" t="str">
        <f t="shared" ref="G74:G76" si="4">F74</f>
        <v/>
      </c>
      <c r="H74" s="72" t="str">
        <f>'PIM Model'!$D$21</f>
        <v>%</v>
      </c>
      <c r="I74" s="68" t="s">
        <v>669</v>
      </c>
      <c r="J74" s="933">
        <f>'MDA Worksheet'!$AU$48</f>
        <v>2.25</v>
      </c>
      <c r="K74" s="952">
        <f>'MDA Worksheet'!$AU$46*100</f>
        <v>30</v>
      </c>
      <c r="L74" s="59" t="s">
        <v>483</v>
      </c>
    </row>
    <row r="75" spans="1:12" x14ac:dyDescent="0.25">
      <c r="A75" s="59">
        <v>998</v>
      </c>
      <c r="B75" s="59">
        <v>0</v>
      </c>
      <c r="C75" s="59">
        <v>0</v>
      </c>
      <c r="D75" s="59" t="s">
        <v>665</v>
      </c>
      <c r="E75" s="59" t="str">
        <f>IF('PRIME Headers'!$C$20="No","PWW","P07")</f>
        <v>P07</v>
      </c>
      <c r="F75" s="66" t="str">
        <f>IF(COUNTIF('PIM Model'!$E$10:$E$30,"Exclude"),"",'PIM Model'!$AD$21)</f>
        <v/>
      </c>
      <c r="G75" s="65" t="str">
        <f t="shared" si="4"/>
        <v/>
      </c>
      <c r="H75" s="72" t="str">
        <f>'PIM Model'!$D$21</f>
        <v>%</v>
      </c>
      <c r="I75" s="68" t="s">
        <v>669</v>
      </c>
      <c r="J75" s="933">
        <f>'MDA Worksheet'!$AU$48</f>
        <v>2.25</v>
      </c>
      <c r="K75" s="952">
        <f>'MDA Worksheet'!$AU$46*100</f>
        <v>30</v>
      </c>
      <c r="L75" s="59" t="s">
        <v>483</v>
      </c>
    </row>
    <row r="76" spans="1:12" x14ac:dyDescent="0.25">
      <c r="A76" s="59">
        <v>999</v>
      </c>
      <c r="B76" s="59">
        <v>0</v>
      </c>
      <c r="C76" s="59">
        <v>0</v>
      </c>
      <c r="D76" s="59" t="s">
        <v>664</v>
      </c>
      <c r="E76" s="59" t="s">
        <v>663</v>
      </c>
      <c r="F76" s="66" t="str">
        <f>IF(COUNTIF('PIM Model'!$E$10:$E$30,"Exclude"),"",'PIM Model'!$AD$20)</f>
        <v/>
      </c>
      <c r="G76" s="65" t="str">
        <f t="shared" si="4"/>
        <v/>
      </c>
      <c r="H76" s="72" t="str">
        <f>'PIM Model'!$D$20</f>
        <v>%</v>
      </c>
      <c r="I76" s="68" t="s">
        <v>669</v>
      </c>
      <c r="J76" s="933">
        <f>'MDA Worksheet'!$AU$48</f>
        <v>2.25</v>
      </c>
      <c r="K76" s="952">
        <f>'MDA Worksheet'!$AU$46*100</f>
        <v>30</v>
      </c>
      <c r="L76" s="59" t="s">
        <v>483</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54" t="s">
        <v>99</v>
      </c>
      <c r="D2" s="354" t="s">
        <v>103</v>
      </c>
      <c r="E2" s="354" t="s">
        <v>1415</v>
      </c>
      <c r="F2" s="354" t="s">
        <v>102</v>
      </c>
      <c r="G2" s="354" t="s">
        <v>100</v>
      </c>
      <c r="H2" s="354" t="s">
        <v>104</v>
      </c>
      <c r="I2" s="354" t="s">
        <v>98</v>
      </c>
      <c r="J2" s="354" t="s">
        <v>95</v>
      </c>
      <c r="K2" s="354" t="s">
        <v>96</v>
      </c>
      <c r="L2" s="354" t="s">
        <v>101</v>
      </c>
      <c r="M2" s="354" t="s">
        <v>97</v>
      </c>
      <c r="N2" s="354" t="s">
        <v>93</v>
      </c>
      <c r="O2" s="354" t="s">
        <v>105</v>
      </c>
      <c r="P2" s="354" t="s">
        <v>92</v>
      </c>
      <c r="Q2" s="354" t="s">
        <v>91</v>
      </c>
      <c r="R2" s="354" t="s">
        <v>90</v>
      </c>
      <c r="S2" s="354" t="s">
        <v>89</v>
      </c>
      <c r="T2" s="354" t="s">
        <v>94</v>
      </c>
      <c r="U2" s="354" t="s">
        <v>86</v>
      </c>
      <c r="V2" s="354" t="s">
        <v>88</v>
      </c>
      <c r="W2" s="354" t="s">
        <v>87</v>
      </c>
      <c r="X2" s="354"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55">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55">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55">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55">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55">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55">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55">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55">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55">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55">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55">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55">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55">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55">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55">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55">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55">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55">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55">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55">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55">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55">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55">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55">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55">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55">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55">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55">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504</v>
      </c>
    </row>
    <row r="33" spans="1:23" ht="30" x14ac:dyDescent="0.25">
      <c r="A33" t="s">
        <v>256</v>
      </c>
      <c r="C33" t="s">
        <v>99</v>
      </c>
      <c r="D33" s="21" t="s">
        <v>103</v>
      </c>
      <c r="E33" s="21" t="s">
        <v>1415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503</v>
      </c>
    </row>
    <row r="64" spans="1:23" ht="60" x14ac:dyDescent="0.25">
      <c r="A64" t="s">
        <v>256</v>
      </c>
      <c r="C64" s="21" t="s">
        <v>99</v>
      </c>
      <c r="D64" s="21" t="s">
        <v>103</v>
      </c>
      <c r="E64" s="21" t="s">
        <v>1415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4" bestFit="1" customWidth="1"/>
  </cols>
  <sheetData>
    <row r="1" spans="1:6" ht="15.75" thickBot="1" x14ac:dyDescent="0.3">
      <c r="A1" s="136"/>
      <c r="B1" s="136"/>
      <c r="C1" s="687"/>
      <c r="D1" s="136"/>
      <c r="E1" s="136"/>
      <c r="F1" s="136"/>
    </row>
    <row r="2" spans="1:6" ht="15.75" x14ac:dyDescent="0.25">
      <c r="A2" s="136"/>
      <c r="B2" s="1544" t="s">
        <v>1041</v>
      </c>
      <c r="C2" s="1545"/>
      <c r="D2" s="136"/>
      <c r="E2" s="136"/>
      <c r="F2" s="136"/>
    </row>
    <row r="3" spans="1:6" x14ac:dyDescent="0.25">
      <c r="A3" s="136"/>
      <c r="B3" s="631" t="s">
        <v>848</v>
      </c>
      <c r="C3" s="688" t="str">
        <f>IF(OR(Welcome!$D$8="PON Only",Welcome!$D$8="PON with Existing CIA",Welcome!$D$8="PON with New CIA"),"ALC PON "&amp;'MDA Worksheet'!$R$14,"ALCM "&amp;'MDA Worksheet'!$R$14)</f>
        <v>ALCM 0</v>
      </c>
      <c r="D3" s="136"/>
      <c r="E3" s="688"/>
      <c r="F3" s="136"/>
    </row>
    <row r="4" spans="1:6" x14ac:dyDescent="0.25">
      <c r="A4" s="136"/>
      <c r="B4" s="631" t="s">
        <v>851</v>
      </c>
      <c r="C4" s="689">
        <f>'Required Info to Submit'!$F$14</f>
        <v>0</v>
      </c>
      <c r="D4" s="136"/>
      <c r="E4" s="136"/>
      <c r="F4" s="136"/>
    </row>
    <row r="5" spans="1:6" x14ac:dyDescent="0.25">
      <c r="A5" s="136"/>
      <c r="B5" s="631" t="s">
        <v>852</v>
      </c>
      <c r="C5" s="688" t="s">
        <v>853</v>
      </c>
      <c r="D5" s="136"/>
      <c r="E5" s="136"/>
      <c r="F5" s="136"/>
    </row>
    <row r="6" spans="1:6" x14ac:dyDescent="0.25">
      <c r="A6" s="136"/>
      <c r="B6" s="1542" t="s">
        <v>856</v>
      </c>
      <c r="C6" s="1543"/>
      <c r="D6" s="136"/>
      <c r="E6" s="136"/>
      <c r="F6" s="136"/>
    </row>
    <row r="7" spans="1:6" x14ac:dyDescent="0.25">
      <c r="A7" s="136"/>
      <c r="B7" s="631" t="s">
        <v>849</v>
      </c>
      <c r="C7" s="688" t="s">
        <v>1192</v>
      </c>
      <c r="D7" s="136"/>
      <c r="E7" s="136"/>
      <c r="F7" s="136"/>
    </row>
    <row r="8" spans="1:6" x14ac:dyDescent="0.25">
      <c r="A8" s="136"/>
      <c r="B8" s="631" t="s">
        <v>850</v>
      </c>
      <c r="C8" s="688" t="s">
        <v>655</v>
      </c>
      <c r="D8" s="136"/>
      <c r="E8" s="136"/>
      <c r="F8" s="136"/>
    </row>
    <row r="9" spans="1:6" x14ac:dyDescent="0.25">
      <c r="A9" s="136"/>
      <c r="B9" s="631" t="s">
        <v>854</v>
      </c>
      <c r="C9" s="688">
        <f>'MDA Worksheet'!$K$10</f>
        <v>0</v>
      </c>
      <c r="D9" s="136"/>
      <c r="E9" s="136"/>
      <c r="F9" s="136"/>
    </row>
    <row r="10" spans="1:6" x14ac:dyDescent="0.25">
      <c r="A10" s="136"/>
      <c r="B10" s="631" t="s">
        <v>772</v>
      </c>
      <c r="C10" s="689">
        <f>'Required Info to Submit'!$F$14</f>
        <v>0</v>
      </c>
      <c r="D10" s="136"/>
      <c r="E10" s="136"/>
      <c r="F10" s="136"/>
    </row>
    <row r="11" spans="1:6" x14ac:dyDescent="0.25">
      <c r="A11" s="136"/>
      <c r="B11" s="631" t="s">
        <v>773</v>
      </c>
      <c r="C11" s="689" t="e">
        <f>IF(C20="NO",C10+370,'MDA Worksheet'!$AV$24)</f>
        <v>#REF!</v>
      </c>
      <c r="D11" s="136"/>
      <c r="E11" s="136"/>
      <c r="F11" s="136"/>
    </row>
    <row r="12" spans="1:6" x14ac:dyDescent="0.25">
      <c r="A12" s="136"/>
      <c r="B12" s="631" t="s">
        <v>855</v>
      </c>
      <c r="C12" s="688" t="s">
        <v>681</v>
      </c>
      <c r="D12" s="136"/>
      <c r="E12" s="136"/>
      <c r="F12" s="136"/>
    </row>
    <row r="13" spans="1:6" x14ac:dyDescent="0.25">
      <c r="A13" s="136"/>
      <c r="B13" s="1542" t="s">
        <v>857</v>
      </c>
      <c r="C13" s="1543"/>
      <c r="D13" s="136"/>
      <c r="E13" s="136"/>
      <c r="F13" s="136"/>
    </row>
    <row r="14" spans="1:6" x14ac:dyDescent="0.25">
      <c r="A14" s="136"/>
      <c r="B14" s="690" t="s">
        <v>858</v>
      </c>
      <c r="C14" s="688">
        <f>'MDA Worksheet'!$AU$48</f>
        <v>2.25</v>
      </c>
      <c r="D14" s="136"/>
      <c r="E14" s="136"/>
      <c r="F14" s="136"/>
    </row>
    <row r="15" spans="1:6" x14ac:dyDescent="0.25">
      <c r="A15" s="136"/>
      <c r="B15" s="690" t="s">
        <v>859</v>
      </c>
      <c r="C15" s="688" t="s">
        <v>860</v>
      </c>
      <c r="D15" s="136"/>
      <c r="E15" s="136"/>
      <c r="F15" s="136"/>
    </row>
    <row r="16" spans="1:6" x14ac:dyDescent="0.25">
      <c r="A16" s="136"/>
      <c r="B16" s="690" t="s">
        <v>861</v>
      </c>
      <c r="C16" s="688" t="s">
        <v>666</v>
      </c>
      <c r="D16" s="136"/>
      <c r="E16" s="136"/>
      <c r="F16" s="136"/>
    </row>
    <row r="17" spans="1:6" x14ac:dyDescent="0.25">
      <c r="A17" s="136"/>
      <c r="B17" s="690" t="s">
        <v>862</v>
      </c>
      <c r="C17" s="688" t="s">
        <v>863</v>
      </c>
      <c r="D17" s="136"/>
      <c r="E17" s="136"/>
      <c r="F17" s="136"/>
    </row>
    <row r="18" spans="1:6" x14ac:dyDescent="0.25">
      <c r="A18" s="136"/>
      <c r="B18" s="690" t="s">
        <v>864</v>
      </c>
      <c r="C18" s="953">
        <f>'MDA Worksheet'!AU46</f>
        <v>0.3</v>
      </c>
      <c r="D18" s="136"/>
      <c r="E18" s="136"/>
      <c r="F18" s="136"/>
    </row>
    <row r="19" spans="1:6" x14ac:dyDescent="0.25">
      <c r="A19" s="136"/>
      <c r="B19" s="690" t="s">
        <v>865</v>
      </c>
      <c r="C19" s="688" t="s">
        <v>483</v>
      </c>
      <c r="D19" s="136"/>
      <c r="E19" s="136"/>
      <c r="F19" s="136"/>
    </row>
    <row r="20" spans="1:6" x14ac:dyDescent="0.25">
      <c r="A20" s="136"/>
      <c r="B20" s="690" t="s">
        <v>866</v>
      </c>
      <c r="C20" s="688" t="str">
        <f>IF(OR(Welcome!$D$8="PON Only",Welcome!$D$8="PON with New CIA",Welcome!$D$8="PON with Existing CIA"),"NO","YES")</f>
        <v>YES</v>
      </c>
      <c r="D20" s="136"/>
      <c r="E20" s="136"/>
      <c r="F20" s="136"/>
    </row>
    <row r="21" spans="1:6" x14ac:dyDescent="0.25">
      <c r="A21" s="136"/>
      <c r="B21" s="690" t="s">
        <v>867</v>
      </c>
      <c r="C21" s="688" t="str">
        <f>IF($C$20="No","","Semi-Annually")</f>
        <v>Semi-Annually</v>
      </c>
      <c r="D21" s="136"/>
      <c r="E21" s="136"/>
      <c r="F21" s="136"/>
    </row>
    <row r="22" spans="1:6" x14ac:dyDescent="0.25">
      <c r="A22" s="136"/>
      <c r="B22" s="690" t="s">
        <v>868</v>
      </c>
      <c r="C22" s="691" t="str">
        <f>'MDA Worksheet'!$T$38</f>
        <v>Error on A La Carte</v>
      </c>
      <c r="D22" s="136"/>
      <c r="E22" s="136"/>
      <c r="F22" s="136"/>
    </row>
    <row r="23" spans="1:6" x14ac:dyDescent="0.25">
      <c r="A23" s="136"/>
      <c r="B23" s="690" t="s">
        <v>869</v>
      </c>
      <c r="C23" s="692" t="str">
        <f>'MDA Worksheet'!$T$36</f>
        <v>Error on A La Carte</v>
      </c>
      <c r="D23" s="136"/>
      <c r="E23" s="136"/>
      <c r="F23" s="136"/>
    </row>
    <row r="24" spans="1:6" ht="15.75" thickBot="1" x14ac:dyDescent="0.3">
      <c r="A24" s="136"/>
      <c r="B24" s="693" t="s">
        <v>870</v>
      </c>
      <c r="C24" s="694">
        <v>2</v>
      </c>
      <c r="D24" s="136"/>
      <c r="E24" s="136"/>
      <c r="F24" s="136"/>
    </row>
    <row r="25" spans="1:6" x14ac:dyDescent="0.25">
      <c r="A25" s="136"/>
      <c r="B25" s="136"/>
      <c r="C25" s="687"/>
      <c r="D25" s="136"/>
      <c r="E25" s="136"/>
      <c r="F25" s="136"/>
    </row>
    <row r="26" spans="1:6" x14ac:dyDescent="0.25">
      <c r="A26" s="136"/>
      <c r="B26" s="136"/>
      <c r="C26" s="687"/>
      <c r="D26" s="136"/>
      <c r="E26" s="136"/>
      <c r="F26" s="136"/>
    </row>
    <row r="27" spans="1:6" x14ac:dyDescent="0.25">
      <c r="A27" s="136"/>
      <c r="B27" s="136"/>
      <c r="C27" s="687"/>
      <c r="D27" s="136"/>
      <c r="E27" s="136"/>
      <c r="F27" s="136"/>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795" bestFit="1" customWidth="1"/>
    <col min="3" max="3" width="28" style="795" bestFit="1" customWidth="1"/>
    <col min="4" max="4" width="10.85546875" bestFit="1" customWidth="1"/>
    <col min="5" max="5" width="15.85546875" bestFit="1" customWidth="1"/>
  </cols>
  <sheetData>
    <row r="1" spans="1:5" x14ac:dyDescent="0.25">
      <c r="A1" s="795" t="s">
        <v>1176</v>
      </c>
      <c r="B1" s="795" t="s">
        <v>1179</v>
      </c>
      <c r="C1" s="795" t="s">
        <v>1180</v>
      </c>
      <c r="D1" s="22" t="s">
        <v>1177</v>
      </c>
      <c r="E1" s="22" t="s">
        <v>1178</v>
      </c>
    </row>
    <row r="2" spans="1:5" x14ac:dyDescent="0.25">
      <c r="A2" s="795" t="s">
        <v>192</v>
      </c>
      <c r="B2" s="795">
        <v>2020</v>
      </c>
      <c r="C2" s="795" t="s">
        <v>896</v>
      </c>
      <c r="D2" s="22">
        <v>2.7739631938930701E-2</v>
      </c>
      <c r="E2" s="22">
        <v>2.7125016276518699E-2</v>
      </c>
    </row>
    <row r="3" spans="1:5" x14ac:dyDescent="0.25">
      <c r="A3" s="795" t="s">
        <v>191</v>
      </c>
      <c r="B3" s="795">
        <v>2180</v>
      </c>
      <c r="C3" s="795" t="s">
        <v>79</v>
      </c>
      <c r="D3" s="22">
        <v>2.8536064274713099E-2</v>
      </c>
      <c r="E3" s="22">
        <v>2.7125016276518699E-2</v>
      </c>
    </row>
    <row r="4" spans="1:5" x14ac:dyDescent="0.25">
      <c r="A4" s="795" t="s">
        <v>190</v>
      </c>
      <c r="B4" s="795">
        <v>2160</v>
      </c>
      <c r="C4" s="795" t="s">
        <v>28</v>
      </c>
      <c r="D4" s="22">
        <v>3.1885529773458002E-2</v>
      </c>
      <c r="E4" s="22">
        <v>2.7125016276518699E-2</v>
      </c>
    </row>
    <row r="5" spans="1:5" x14ac:dyDescent="0.25">
      <c r="A5" s="795" t="s">
        <v>189</v>
      </c>
      <c r="B5" s="795">
        <v>2110</v>
      </c>
      <c r="C5" s="795" t="s">
        <v>33</v>
      </c>
      <c r="D5" s="22">
        <v>2.82674148233787E-2</v>
      </c>
      <c r="E5" s="22">
        <v>2.7125016276518699E-2</v>
      </c>
    </row>
    <row r="6" spans="1:5" x14ac:dyDescent="0.25">
      <c r="A6" s="795" t="s">
        <v>188</v>
      </c>
      <c r="B6" s="795">
        <v>2165</v>
      </c>
      <c r="C6" s="795" t="s">
        <v>81</v>
      </c>
      <c r="D6" s="22">
        <v>2.7125016276518699E-2</v>
      </c>
      <c r="E6" s="22">
        <v>2.7125016276518699E-2</v>
      </c>
    </row>
    <row r="7" spans="1:5" x14ac:dyDescent="0.25">
      <c r="A7" s="795" t="s">
        <v>187</v>
      </c>
      <c r="B7" s="795">
        <v>2170</v>
      </c>
      <c r="C7" s="795" t="s">
        <v>122</v>
      </c>
      <c r="D7" s="22">
        <v>2.59925926894349E-2</v>
      </c>
      <c r="E7" s="22">
        <v>2.7125016276518699E-2</v>
      </c>
    </row>
    <row r="8" spans="1:5" x14ac:dyDescent="0.25">
      <c r="A8" s="795" t="s">
        <v>186</v>
      </c>
      <c r="B8" s="795">
        <v>2148</v>
      </c>
      <c r="C8" s="795" t="s">
        <v>64</v>
      </c>
      <c r="D8" s="22">
        <v>2.6095112304206601E-2</v>
      </c>
      <c r="E8" s="22">
        <v>2.7125016276518699E-2</v>
      </c>
    </row>
    <row r="9" spans="1:5" x14ac:dyDescent="0.25">
      <c r="A9" s="795" t="s">
        <v>185</v>
      </c>
      <c r="B9" s="795">
        <v>2190</v>
      </c>
      <c r="C9" s="795" t="s">
        <v>19</v>
      </c>
      <c r="D9" s="22">
        <v>2.81140048372523E-2</v>
      </c>
      <c r="E9" s="22">
        <v>2.7125016276518699E-2</v>
      </c>
    </row>
    <row r="10" spans="1:5" x14ac:dyDescent="0.25">
      <c r="A10" s="795" t="s">
        <v>184</v>
      </c>
      <c r="B10" s="795">
        <v>2116</v>
      </c>
      <c r="C10" s="795" t="s">
        <v>59</v>
      </c>
      <c r="D10" s="22">
        <v>2.9944763320575302E-2</v>
      </c>
      <c r="E10" s="22">
        <v>2.7125016276518699E-2</v>
      </c>
    </row>
    <row r="11" spans="1:5" x14ac:dyDescent="0.25">
      <c r="A11" s="795" t="s">
        <v>183</v>
      </c>
      <c r="B11" s="795">
        <v>248</v>
      </c>
      <c r="C11" s="795" t="s">
        <v>1065</v>
      </c>
      <c r="D11" s="22">
        <v>2.6464657930859201E-2</v>
      </c>
      <c r="E11" s="22">
        <v>2.7125016276518699E-2</v>
      </c>
    </row>
    <row r="12" spans="1:5" x14ac:dyDescent="0.25">
      <c r="A12" s="795" t="s">
        <v>181</v>
      </c>
      <c r="B12" s="795">
        <v>2350</v>
      </c>
      <c r="C12" s="795" t="s">
        <v>39</v>
      </c>
      <c r="D12" s="22">
        <v>2.9415639585766401E-2</v>
      </c>
      <c r="E12" s="22">
        <v>2.7125016276518699E-2</v>
      </c>
    </row>
    <row r="13" spans="1:5" x14ac:dyDescent="0.25">
      <c r="A13" s="795" t="s">
        <v>180</v>
      </c>
      <c r="B13" s="795">
        <v>2345</v>
      </c>
      <c r="C13" s="795" t="s">
        <v>897</v>
      </c>
      <c r="D13" s="22">
        <v>2.6962706679612598E-2</v>
      </c>
      <c r="E13" s="22">
        <v>2.7125016276518699E-2</v>
      </c>
    </row>
    <row r="14" spans="1:5" x14ac:dyDescent="0.25">
      <c r="A14" s="795" t="s">
        <v>179</v>
      </c>
      <c r="B14" s="795">
        <v>2330</v>
      </c>
      <c r="C14" s="795" t="s">
        <v>31</v>
      </c>
      <c r="D14" s="22">
        <v>2.6792509343913602E-2</v>
      </c>
      <c r="E14" s="22">
        <v>2.7125016276518699E-2</v>
      </c>
    </row>
    <row r="15" spans="1:5" x14ac:dyDescent="0.25">
      <c r="A15" s="795" t="s">
        <v>178</v>
      </c>
      <c r="B15" s="795">
        <v>2340</v>
      </c>
      <c r="C15" s="795" t="s">
        <v>898</v>
      </c>
      <c r="D15" s="22">
        <v>2.53908115053765E-2</v>
      </c>
      <c r="E15" s="22">
        <v>2.7125016276518699E-2</v>
      </c>
    </row>
    <row r="16" spans="1:5" x14ac:dyDescent="0.25">
      <c r="A16" s="795" t="s">
        <v>177</v>
      </c>
      <c r="B16" s="795">
        <v>4100</v>
      </c>
      <c r="C16" s="795" t="s">
        <v>52</v>
      </c>
      <c r="D16" s="22">
        <v>2.9901342297929501E-2</v>
      </c>
      <c r="E16" s="22">
        <v>2.7125016276518699E-2</v>
      </c>
    </row>
    <row r="17" spans="1:5" x14ac:dyDescent="0.25">
      <c r="A17" s="795" t="s">
        <v>1079</v>
      </c>
      <c r="B17" s="795">
        <v>2355</v>
      </c>
      <c r="C17" s="795" t="s">
        <v>1080</v>
      </c>
      <c r="D17" s="22">
        <v>3.4605844000615303E-2</v>
      </c>
      <c r="E17" s="22">
        <v>2.7125016276518699E-2</v>
      </c>
    </row>
    <row r="18" spans="1:5" x14ac:dyDescent="0.25">
      <c r="A18" s="795" t="s">
        <v>176</v>
      </c>
      <c r="B18" s="795">
        <v>1054</v>
      </c>
      <c r="C18" s="795" t="s">
        <v>46</v>
      </c>
      <c r="D18" s="22">
        <v>2.8511953382644999E-2</v>
      </c>
      <c r="E18" s="22">
        <v>2.7125016276518699E-2</v>
      </c>
    </row>
    <row r="19" spans="1:5" x14ac:dyDescent="0.25">
      <c r="A19" s="795" t="s">
        <v>175</v>
      </c>
      <c r="B19" s="795">
        <v>1103</v>
      </c>
      <c r="C19" s="795" t="s">
        <v>22</v>
      </c>
      <c r="D19" s="22">
        <v>3.0860519002866901E-2</v>
      </c>
      <c r="E19" s="22">
        <v>2.7125016276518699E-2</v>
      </c>
    </row>
    <row r="20" spans="1:5" x14ac:dyDescent="0.25">
      <c r="A20" s="795" t="s">
        <v>174</v>
      </c>
      <c r="B20" s="795">
        <v>2099</v>
      </c>
      <c r="C20" s="795" t="s">
        <v>58</v>
      </c>
      <c r="D20" s="22">
        <v>2.5143112075853E-2</v>
      </c>
      <c r="E20" s="22">
        <v>2.7125016276518699E-2</v>
      </c>
    </row>
    <row r="21" spans="1:5" x14ac:dyDescent="0.25">
      <c r="A21" s="795" t="s">
        <v>173</v>
      </c>
      <c r="B21" s="795">
        <v>1104</v>
      </c>
      <c r="C21" s="795" t="s">
        <v>43</v>
      </c>
      <c r="D21" s="22">
        <v>2.9510551954597099E-2</v>
      </c>
      <c r="E21" s="22">
        <v>2.7125016276518699E-2</v>
      </c>
    </row>
    <row r="22" spans="1:5" x14ac:dyDescent="0.25">
      <c r="A22" s="795" t="s">
        <v>172</v>
      </c>
      <c r="B22" s="795">
        <v>4120</v>
      </c>
      <c r="C22" s="795" t="s">
        <v>63</v>
      </c>
      <c r="D22" s="22">
        <v>2.78821251138664E-2</v>
      </c>
      <c r="E22" s="22">
        <v>2.7125016276518699E-2</v>
      </c>
    </row>
    <row r="23" spans="1:5" x14ac:dyDescent="0.25">
      <c r="A23" s="795" t="s">
        <v>171</v>
      </c>
      <c r="B23" s="795">
        <v>4118</v>
      </c>
      <c r="C23" s="795" t="s">
        <v>30</v>
      </c>
      <c r="D23" s="22">
        <v>2.7490429003036599E-2</v>
      </c>
      <c r="E23" s="22">
        <v>2.7125016276518699E-2</v>
      </c>
    </row>
    <row r="24" spans="1:5" x14ac:dyDescent="0.25">
      <c r="A24" s="795" t="s">
        <v>170</v>
      </c>
      <c r="B24" s="795">
        <v>4146</v>
      </c>
      <c r="C24" s="795" t="s">
        <v>54</v>
      </c>
      <c r="D24" s="22">
        <v>2.6943630265373199E-2</v>
      </c>
      <c r="E24" s="22">
        <v>2.7125016276518699E-2</v>
      </c>
    </row>
    <row r="25" spans="1:5" x14ac:dyDescent="0.25">
      <c r="A25" s="795" t="s">
        <v>169</v>
      </c>
      <c r="B25" s="795">
        <v>4140</v>
      </c>
      <c r="C25" s="795" t="s">
        <v>40</v>
      </c>
      <c r="D25" s="22">
        <v>2.67651154233217E-2</v>
      </c>
      <c r="E25" s="22">
        <v>2.7125016276518699E-2</v>
      </c>
    </row>
    <row r="26" spans="1:5" x14ac:dyDescent="0.25">
      <c r="A26" s="795" t="s">
        <v>168</v>
      </c>
      <c r="B26" s="795">
        <v>4117</v>
      </c>
      <c r="C26" s="795" t="s">
        <v>17</v>
      </c>
      <c r="D26" s="22">
        <v>2.6616857866198201E-2</v>
      </c>
      <c r="E26" s="22">
        <v>2.7125016276518699E-2</v>
      </c>
    </row>
    <row r="27" spans="1:5" x14ac:dyDescent="0.25">
      <c r="A27" s="795" t="s">
        <v>167</v>
      </c>
      <c r="B27" s="795">
        <v>4147</v>
      </c>
      <c r="C27" s="795" t="s">
        <v>1210</v>
      </c>
      <c r="D27" s="22">
        <v>2.9100000000000001E-2</v>
      </c>
      <c r="E27" s="22">
        <v>2.7125016276518699E-2</v>
      </c>
    </row>
    <row r="28" spans="1:5" x14ac:dyDescent="0.25">
      <c r="A28" s="795" t="s">
        <v>166</v>
      </c>
      <c r="B28" s="795">
        <v>4110</v>
      </c>
      <c r="C28" s="795" t="s">
        <v>73</v>
      </c>
      <c r="D28" s="22">
        <v>2.65128206477999E-2</v>
      </c>
      <c r="E28" s="22">
        <v>2.7125016276518699E-2</v>
      </c>
    </row>
    <row r="29" spans="1:5" x14ac:dyDescent="0.25">
      <c r="A29" s="795" t="s">
        <v>165</v>
      </c>
      <c r="B29" s="795">
        <v>4150</v>
      </c>
      <c r="C29" s="795" t="s">
        <v>55</v>
      </c>
      <c r="D29" s="22">
        <v>2.3355361617324301E-2</v>
      </c>
      <c r="E29" s="22">
        <v>2.7125016276518699E-2</v>
      </c>
    </row>
    <row r="30" spans="1:5" x14ac:dyDescent="0.25">
      <c r="A30" s="795" t="s">
        <v>164</v>
      </c>
      <c r="B30" s="795">
        <v>3190</v>
      </c>
      <c r="C30" s="795" t="s">
        <v>27</v>
      </c>
      <c r="D30" s="22">
        <v>2.8324561503501499E-2</v>
      </c>
      <c r="E30" s="22">
        <v>2.7125016276518699E-2</v>
      </c>
    </row>
    <row r="31" spans="1:5" x14ac:dyDescent="0.25">
      <c r="A31" s="795" t="s">
        <v>163</v>
      </c>
      <c r="B31" s="795">
        <v>2260</v>
      </c>
      <c r="C31" s="795" t="s">
        <v>10</v>
      </c>
      <c r="D31" s="22">
        <v>2.59598075038967E-2</v>
      </c>
      <c r="E31" s="22">
        <v>2.7125016276518699E-2</v>
      </c>
    </row>
    <row r="32" spans="1:5" x14ac:dyDescent="0.25">
      <c r="A32" s="795" t="s">
        <v>162</v>
      </c>
      <c r="B32" s="795">
        <v>2210</v>
      </c>
      <c r="C32" s="795" t="s">
        <v>121</v>
      </c>
      <c r="D32" s="22">
        <v>2.3893251208070801E-2</v>
      </c>
      <c r="E32" s="22">
        <v>2.7125016276518699E-2</v>
      </c>
    </row>
    <row r="33" spans="1:5" x14ac:dyDescent="0.25">
      <c r="A33" s="795" t="s">
        <v>161</v>
      </c>
      <c r="B33" s="795">
        <v>2240</v>
      </c>
      <c r="C33" s="795" t="s">
        <v>16</v>
      </c>
      <c r="D33" s="22">
        <v>2.74803575467139E-2</v>
      </c>
      <c r="E33" s="22">
        <v>2.7125016276518699E-2</v>
      </c>
    </row>
    <row r="34" spans="1:5" x14ac:dyDescent="0.25">
      <c r="A34" s="795" t="s">
        <v>160</v>
      </c>
      <c r="B34" s="795">
        <v>2220</v>
      </c>
      <c r="C34" s="795" t="s">
        <v>5</v>
      </c>
      <c r="D34" s="22">
        <v>2.5343147655549899E-2</v>
      </c>
      <c r="E34" s="22">
        <v>2.7125016276518699E-2</v>
      </c>
    </row>
    <row r="35" spans="1:5" x14ac:dyDescent="0.25">
      <c r="A35" s="795" t="s">
        <v>159</v>
      </c>
      <c r="B35" s="795">
        <v>2125</v>
      </c>
      <c r="C35" s="795" t="s">
        <v>21</v>
      </c>
      <c r="D35" s="22">
        <v>2.6682633749483799E-2</v>
      </c>
      <c r="E35" s="22">
        <v>2.7125016276518699E-2</v>
      </c>
    </row>
    <row r="36" spans="1:5" x14ac:dyDescent="0.25">
      <c r="A36" s="795" t="s">
        <v>158</v>
      </c>
      <c r="B36" s="795">
        <v>2230</v>
      </c>
      <c r="C36" s="795" t="s">
        <v>49</v>
      </c>
      <c r="D36" s="22">
        <v>2.67508594907159E-2</v>
      </c>
      <c r="E36" s="22">
        <v>2.7125016276518699E-2</v>
      </c>
    </row>
    <row r="37" spans="1:5" x14ac:dyDescent="0.25">
      <c r="A37" s="795" t="s">
        <v>157</v>
      </c>
      <c r="B37" s="795">
        <v>3055</v>
      </c>
      <c r="C37" s="795" t="s">
        <v>7</v>
      </c>
      <c r="D37" s="22">
        <v>2.2915815988E-2</v>
      </c>
      <c r="E37" s="22">
        <v>2.7125016276518699E-2</v>
      </c>
    </row>
    <row r="38" spans="1:5" x14ac:dyDescent="0.25">
      <c r="A38" s="795" t="s">
        <v>1081</v>
      </c>
      <c r="B38" s="795">
        <v>2365</v>
      </c>
      <c r="C38" s="795" t="s">
        <v>1082</v>
      </c>
      <c r="D38" s="22">
        <v>2.87892046246566E-2</v>
      </c>
      <c r="E38" s="22">
        <v>2.7125016276518699E-2</v>
      </c>
    </row>
    <row r="39" spans="1:5" x14ac:dyDescent="0.25">
      <c r="A39" s="795" t="s">
        <v>156</v>
      </c>
      <c r="B39" s="795">
        <v>2250</v>
      </c>
      <c r="C39" s="795" t="s">
        <v>32</v>
      </c>
      <c r="D39" s="22">
        <v>2.5661957357599401E-2</v>
      </c>
      <c r="E39" s="22">
        <v>2.7125016276518699E-2</v>
      </c>
    </row>
    <row r="40" spans="1:5" x14ac:dyDescent="0.25">
      <c r="A40" s="795" t="s">
        <v>155</v>
      </c>
      <c r="B40" s="795">
        <v>3051</v>
      </c>
      <c r="C40" s="795" t="s">
        <v>76</v>
      </c>
      <c r="D40" s="22">
        <v>2.9814972600597098E-2</v>
      </c>
      <c r="E40" s="22">
        <v>2.7125016276518699E-2</v>
      </c>
    </row>
    <row r="41" spans="1:5" x14ac:dyDescent="0.25">
      <c r="A41" s="795" t="s">
        <v>154</v>
      </c>
      <c r="B41" s="795">
        <v>2370</v>
      </c>
      <c r="C41" s="795" t="s">
        <v>77</v>
      </c>
      <c r="D41" s="22">
        <v>2.35030648067363E-2</v>
      </c>
      <c r="E41" s="22">
        <v>2.7125016276518699E-2</v>
      </c>
    </row>
    <row r="42" spans="1:5" x14ac:dyDescent="0.25">
      <c r="A42" s="795" t="s">
        <v>153</v>
      </c>
      <c r="B42" s="795">
        <v>2135</v>
      </c>
      <c r="C42" s="795" t="s">
        <v>25</v>
      </c>
      <c r="D42" s="22">
        <v>2.6421829910205499E-2</v>
      </c>
      <c r="E42" s="22">
        <v>2.7125016276518699E-2</v>
      </c>
    </row>
    <row r="43" spans="1:5" x14ac:dyDescent="0.25">
      <c r="A43" s="795" t="s">
        <v>152</v>
      </c>
      <c r="B43" s="795">
        <v>2270</v>
      </c>
      <c r="C43" s="795" t="s">
        <v>2</v>
      </c>
      <c r="D43" s="22">
        <v>2.3666354884089899E-2</v>
      </c>
      <c r="E43" s="22">
        <v>2.7125016276518699E-2</v>
      </c>
    </row>
    <row r="44" spans="1:5" x14ac:dyDescent="0.25">
      <c r="A44" s="795" t="s">
        <v>151</v>
      </c>
      <c r="B44" s="795">
        <v>3230</v>
      </c>
      <c r="C44" s="795" t="s">
        <v>37</v>
      </c>
      <c r="D44" s="22">
        <v>2.6730080332460899E-2</v>
      </c>
      <c r="E44" s="22">
        <v>2.7125016276518699E-2</v>
      </c>
    </row>
    <row r="45" spans="1:5" x14ac:dyDescent="0.25">
      <c r="A45" s="795" t="s">
        <v>150</v>
      </c>
      <c r="B45" s="795">
        <v>3170</v>
      </c>
      <c r="C45" s="795" t="s">
        <v>24</v>
      </c>
      <c r="D45" s="22">
        <v>2.7054357310372E-2</v>
      </c>
      <c r="E45" s="22">
        <v>2.7125016276518699E-2</v>
      </c>
    </row>
    <row r="46" spans="1:5" x14ac:dyDescent="0.25">
      <c r="A46" s="795" t="s">
        <v>149</v>
      </c>
      <c r="B46" s="795">
        <v>3120</v>
      </c>
      <c r="C46" s="795" t="s">
        <v>68</v>
      </c>
      <c r="D46" s="22">
        <v>2.6123399008142499E-2</v>
      </c>
      <c r="E46" s="22">
        <v>2.7125016276518699E-2</v>
      </c>
    </row>
    <row r="47" spans="1:5" x14ac:dyDescent="0.25">
      <c r="A47" s="795" t="s">
        <v>148</v>
      </c>
      <c r="B47" s="795">
        <v>3186</v>
      </c>
      <c r="C47" s="795" t="s">
        <v>65</v>
      </c>
      <c r="D47" s="22">
        <v>2.8135776475119102E-2</v>
      </c>
      <c r="E47" s="22">
        <v>2.7125016276518699E-2</v>
      </c>
    </row>
    <row r="48" spans="1:5" x14ac:dyDescent="0.25">
      <c r="A48" s="795" t="s">
        <v>147</v>
      </c>
      <c r="B48" s="795">
        <v>3160</v>
      </c>
      <c r="C48" s="795" t="s">
        <v>50</v>
      </c>
      <c r="D48" s="22">
        <v>2.8067018330258899E-2</v>
      </c>
      <c r="E48" s="22">
        <v>2.7125016276518699E-2</v>
      </c>
    </row>
    <row r="49" spans="1:5" x14ac:dyDescent="0.25">
      <c r="A49" s="795" t="s">
        <v>146</v>
      </c>
      <c r="B49" s="795">
        <v>3150</v>
      </c>
      <c r="C49" s="795" t="s">
        <v>26</v>
      </c>
      <c r="D49" s="22">
        <v>2.6046662387047999E-2</v>
      </c>
      <c r="E49" s="22">
        <v>2.7125016276518699E-2</v>
      </c>
    </row>
    <row r="50" spans="1:5" x14ac:dyDescent="0.25">
      <c r="A50" s="795" t="s">
        <v>145</v>
      </c>
      <c r="B50" s="795">
        <v>3126</v>
      </c>
      <c r="C50" s="795" t="s">
        <v>80</v>
      </c>
      <c r="D50" s="22">
        <v>2.4500408399063801E-2</v>
      </c>
      <c r="E50" s="22">
        <v>2.7125016276518699E-2</v>
      </c>
    </row>
    <row r="51" spans="1:5" x14ac:dyDescent="0.25">
      <c r="A51" s="795" t="s">
        <v>144</v>
      </c>
      <c r="B51" s="795">
        <v>3023</v>
      </c>
      <c r="C51" s="795" t="s">
        <v>42</v>
      </c>
      <c r="D51" s="22">
        <v>2.72264414110285E-2</v>
      </c>
      <c r="E51" s="22">
        <v>2.7125016276518699E-2</v>
      </c>
    </row>
    <row r="52" spans="1:5" x14ac:dyDescent="0.25">
      <c r="A52" s="795" t="s">
        <v>143</v>
      </c>
      <c r="B52" s="795">
        <v>2185</v>
      </c>
      <c r="C52" s="795" t="s">
        <v>53</v>
      </c>
      <c r="D52" s="22">
        <v>2.59344882196802E-2</v>
      </c>
      <c r="E52" s="22">
        <v>2.7125016276518699E-2</v>
      </c>
    </row>
    <row r="53" spans="1:5" x14ac:dyDescent="0.25">
      <c r="A53" s="795" t="s">
        <v>142</v>
      </c>
      <c r="B53" s="795">
        <v>1106</v>
      </c>
      <c r="C53" s="795" t="s">
        <v>67</v>
      </c>
      <c r="D53" s="22">
        <v>2.8050323067163201E-2</v>
      </c>
      <c r="E53" s="22">
        <v>2.7125016276518699E-2</v>
      </c>
    </row>
    <row r="54" spans="1:5" x14ac:dyDescent="0.25">
      <c r="A54" s="795" t="s">
        <v>141</v>
      </c>
      <c r="B54" s="795">
        <v>3135</v>
      </c>
      <c r="C54" s="795" t="s">
        <v>29</v>
      </c>
      <c r="D54" s="22">
        <v>2.16945751008298E-2</v>
      </c>
      <c r="E54" s="22">
        <v>2.7125016276518699E-2</v>
      </c>
    </row>
    <row r="55" spans="1:5" x14ac:dyDescent="0.25">
      <c r="A55" s="795" t="s">
        <v>376</v>
      </c>
      <c r="B55" s="795">
        <v>3139</v>
      </c>
      <c r="C55" s="795" t="s">
        <v>243</v>
      </c>
      <c r="D55" s="22">
        <v>2.8207940601015499E-2</v>
      </c>
      <c r="E55" s="22">
        <v>2.7125016276518699E-2</v>
      </c>
    </row>
    <row r="56" spans="1:5" x14ac:dyDescent="0.25">
      <c r="A56" s="795" t="s">
        <v>140</v>
      </c>
      <c r="B56" s="795">
        <v>3147</v>
      </c>
      <c r="C56" s="795" t="s">
        <v>51</v>
      </c>
      <c r="D56" s="22">
        <v>2.5867145176892099E-2</v>
      </c>
      <c r="E56" s="22">
        <v>2.7125016276518699E-2</v>
      </c>
    </row>
    <row r="57" spans="1:5" x14ac:dyDescent="0.25">
      <c r="A57" s="795" t="s">
        <v>139</v>
      </c>
      <c r="B57" s="795">
        <v>3210</v>
      </c>
      <c r="C57" s="795" t="s">
        <v>47</v>
      </c>
      <c r="D57" s="22">
        <v>2.74445239361195E-2</v>
      </c>
      <c r="E57" s="22">
        <v>2.7125016276518699E-2</v>
      </c>
    </row>
    <row r="58" spans="1:5" x14ac:dyDescent="0.25">
      <c r="A58" s="795" t="s">
        <v>138</v>
      </c>
      <c r="B58" s="795">
        <v>1933</v>
      </c>
      <c r="C58" s="795" t="s">
        <v>56</v>
      </c>
      <c r="D58" s="22">
        <v>2.4213377365114599E-2</v>
      </c>
      <c r="E58" s="22">
        <v>2.7125016276518699E-2</v>
      </c>
    </row>
    <row r="59" spans="1:5" x14ac:dyDescent="0.25">
      <c r="A59" s="795" t="s">
        <v>137</v>
      </c>
      <c r="B59" s="795">
        <v>2140</v>
      </c>
      <c r="C59" s="795" t="s">
        <v>12</v>
      </c>
      <c r="D59" s="22">
        <v>2.7858540698883199E-2</v>
      </c>
      <c r="E59" s="22">
        <v>2.7125016276518699E-2</v>
      </c>
    </row>
    <row r="60" spans="1:5" x14ac:dyDescent="0.25">
      <c r="A60" s="795" t="s">
        <v>136</v>
      </c>
      <c r="B60" s="795">
        <v>3103</v>
      </c>
      <c r="C60" s="795" t="s">
        <v>57</v>
      </c>
      <c r="D60" s="22">
        <v>2.4165289961531701E-2</v>
      </c>
      <c r="E60" s="22">
        <v>2.7125016276518699E-2</v>
      </c>
    </row>
    <row r="61" spans="1:5" x14ac:dyDescent="0.25">
      <c r="A61" s="795" t="s">
        <v>135</v>
      </c>
      <c r="B61" s="795">
        <v>2360</v>
      </c>
      <c r="C61" s="795" t="s">
        <v>72</v>
      </c>
      <c r="D61" s="22">
        <v>2.4943884894722299E-2</v>
      </c>
      <c r="E61" s="22">
        <v>2.7125016276518699E-2</v>
      </c>
    </row>
    <row r="62" spans="1:5" s="844" customFormat="1" x14ac:dyDescent="0.25">
      <c r="A62" s="844" t="s">
        <v>1208</v>
      </c>
      <c r="B62" s="844">
        <v>4170</v>
      </c>
      <c r="C62" s="844" t="s">
        <v>1209</v>
      </c>
      <c r="D62" s="22">
        <v>2.8799999999999999E-2</v>
      </c>
      <c r="E62" s="22">
        <v>2.7125016276518699E-2</v>
      </c>
    </row>
    <row r="63" spans="1:5" x14ac:dyDescent="0.25">
      <c r="A63" s="795" t="s">
        <v>133</v>
      </c>
      <c r="B63" s="795">
        <v>3220</v>
      </c>
      <c r="C63" s="795" t="s">
        <v>44</v>
      </c>
      <c r="D63" s="22">
        <v>2.5893581162679601E-2</v>
      </c>
      <c r="E63" s="22">
        <v>2.7125016276518699E-2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A5427-C464-47E4-A568-7445313E8E21}">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topLeftCell="A2" workbookViewId="0">
      <selection activeCell="A23" sqref="A23"/>
    </sheetView>
  </sheetViews>
  <sheetFormatPr defaultColWidth="9.140625" defaultRowHeight="15" x14ac:dyDescent="0.25"/>
  <cols>
    <col min="1" max="1" width="10.28515625" style="745" bestFit="1" customWidth="1"/>
    <col min="2" max="2" width="31.42578125" style="745" bestFit="1" customWidth="1"/>
    <col min="3" max="16384" width="9.140625" style="745"/>
  </cols>
  <sheetData>
    <row r="1" spans="1:2" x14ac:dyDescent="0.25">
      <c r="A1" s="747" t="s">
        <v>1072</v>
      </c>
      <c r="B1" s="747" t="s">
        <v>1071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749" bestFit="1" customWidth="1"/>
    <col min="2" max="2" width="31.42578125" style="749" bestFit="1" customWidth="1"/>
    <col min="3" max="16384" width="9.140625" style="749"/>
  </cols>
  <sheetData>
    <row r="1" spans="1:4" x14ac:dyDescent="0.25">
      <c r="A1" s="747" t="s">
        <v>1072</v>
      </c>
      <c r="B1" s="747" t="s">
        <v>1071</v>
      </c>
      <c r="C1" s="749" t="s">
        <v>1067</v>
      </c>
      <c r="D1" s="749" t="s">
        <v>1068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98" bestFit="1" customWidth="1"/>
    <col min="2" max="2" width="31.85546875" style="898" bestFit="1" customWidth="1"/>
    <col min="3" max="3" width="31.7109375" style="898" bestFit="1" customWidth="1"/>
    <col min="4" max="4" width="29.140625" style="898" bestFit="1" customWidth="1"/>
    <col min="5" max="5" width="16" style="898" bestFit="1" customWidth="1"/>
    <col min="6" max="7" width="53.28515625" style="898" bestFit="1" customWidth="1"/>
    <col min="8" max="8" width="42.42578125" style="898" bestFit="1" customWidth="1"/>
    <col min="9" max="9" width="10" style="898" bestFit="1" customWidth="1"/>
    <col min="10" max="10" width="6.7109375" style="898" bestFit="1" customWidth="1"/>
    <col min="11" max="11" width="14.7109375" style="898" bestFit="1" customWidth="1"/>
    <col min="12" max="12" width="15.85546875" style="898" bestFit="1" customWidth="1"/>
    <col min="13" max="13" width="18.85546875" style="898" bestFit="1" customWidth="1"/>
    <col min="14" max="14" width="24.42578125" style="898" bestFit="1" customWidth="1"/>
    <col min="15" max="15" width="10" style="898" bestFit="1" customWidth="1"/>
    <col min="16" max="16" width="27" style="898" bestFit="1" customWidth="1"/>
    <col min="17" max="17" width="29.140625" style="898" bestFit="1" customWidth="1"/>
    <col min="18" max="18" width="17" style="898" bestFit="1" customWidth="1"/>
    <col min="19" max="19" width="24.5703125" style="898" bestFit="1" customWidth="1"/>
    <col min="20" max="20" width="36.28515625" style="898" bestFit="1" customWidth="1"/>
    <col min="21" max="21" width="37.42578125" style="898" bestFit="1" customWidth="1"/>
    <col min="22" max="22" width="9" style="898" bestFit="1" customWidth="1"/>
    <col min="23" max="23" width="24.140625" style="898" bestFit="1" customWidth="1"/>
    <col min="24" max="24" width="6.28515625" style="898" bestFit="1" customWidth="1"/>
    <col min="25" max="25" width="28.5703125" style="898" bestFit="1" customWidth="1"/>
    <col min="26" max="26" width="23.85546875" style="898" bestFit="1" customWidth="1"/>
    <col min="27" max="27" width="16.42578125" style="898" bestFit="1" customWidth="1"/>
    <col min="28" max="28" width="10.5703125" style="898" bestFit="1" customWidth="1"/>
    <col min="29" max="29" width="27" style="898" bestFit="1" customWidth="1"/>
    <col min="30" max="30" width="36.7109375" style="898" customWidth="1"/>
    <col min="31" max="16384" width="9.140625" style="898"/>
  </cols>
  <sheetData>
    <row r="1" spans="1:30" x14ac:dyDescent="0.25">
      <c r="A1" s="747" t="s">
        <v>1072</v>
      </c>
      <c r="B1" s="747" t="s">
        <v>1071</v>
      </c>
      <c r="C1" s="747" t="s">
        <v>1092</v>
      </c>
      <c r="D1" s="747" t="s">
        <v>1093</v>
      </c>
      <c r="E1" s="747" t="s">
        <v>1094</v>
      </c>
      <c r="F1" s="747" t="s">
        <v>1095</v>
      </c>
      <c r="G1" s="747" t="s">
        <v>1096</v>
      </c>
      <c r="H1" s="747" t="s">
        <v>1097</v>
      </c>
      <c r="I1" s="747" t="s">
        <v>1091</v>
      </c>
      <c r="J1" s="747" t="s">
        <v>1098</v>
      </c>
      <c r="K1" s="747" t="s">
        <v>1099</v>
      </c>
      <c r="L1" s="747" t="s">
        <v>1100</v>
      </c>
      <c r="M1" s="747" t="s">
        <v>1101</v>
      </c>
      <c r="N1" s="747" t="s">
        <v>1102</v>
      </c>
      <c r="O1" s="747" t="s">
        <v>1103</v>
      </c>
      <c r="P1" s="747" t="s">
        <v>1104</v>
      </c>
      <c r="Q1" s="747" t="s">
        <v>1105</v>
      </c>
      <c r="R1" s="747" t="s">
        <v>1106</v>
      </c>
      <c r="S1" s="747" t="s">
        <v>1107</v>
      </c>
      <c r="T1" s="747" t="s">
        <v>1108</v>
      </c>
      <c r="U1" s="747" t="s">
        <v>1109</v>
      </c>
      <c r="V1" s="747" t="s">
        <v>400</v>
      </c>
      <c r="W1" s="747" t="s">
        <v>1089</v>
      </c>
      <c r="X1" s="747" t="s">
        <v>1110</v>
      </c>
      <c r="Y1" s="747" t="s">
        <v>1111</v>
      </c>
      <c r="Z1" s="747" t="s">
        <v>1112</v>
      </c>
      <c r="AA1" s="747" t="s">
        <v>1113</v>
      </c>
      <c r="AB1" s="747" t="s">
        <v>1066</v>
      </c>
      <c r="AC1" s="747" t="s">
        <v>1265</v>
      </c>
      <c r="AD1" s="747" t="s">
        <v>1472</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L1"/>
  <sheetViews>
    <sheetView workbookViewId="0">
      <selection activeCell="A2" sqref="A2"/>
    </sheetView>
  </sheetViews>
  <sheetFormatPr defaultColWidth="9.140625" defaultRowHeight="15" x14ac:dyDescent="0.25"/>
  <cols>
    <col min="1" max="1" width="31.42578125" style="745" bestFit="1" customWidth="1"/>
    <col min="2" max="2" width="10.28515625" style="745" bestFit="1" customWidth="1"/>
    <col min="3" max="3" width="33.42578125" style="745" bestFit="1" customWidth="1"/>
    <col min="4" max="4" width="32.28515625" style="745" bestFit="1" customWidth="1"/>
    <col min="5" max="5" width="36.85546875" style="745" bestFit="1" customWidth="1"/>
    <col min="6" max="6" width="14.5703125" style="745" bestFit="1" customWidth="1"/>
    <col min="7" max="7" width="17.5703125" style="745" customWidth="1"/>
    <col min="8" max="8" width="19.7109375" style="745" bestFit="1" customWidth="1"/>
    <col min="9" max="9" width="17.85546875" style="745" bestFit="1" customWidth="1"/>
    <col min="10" max="10" width="18.140625" style="745" bestFit="1" customWidth="1"/>
    <col min="11" max="11" width="21.85546875" style="745" bestFit="1" customWidth="1"/>
    <col min="12" max="12" width="19.7109375" style="745" bestFit="1" customWidth="1"/>
    <col min="13" max="16384" width="9.140625" style="745"/>
  </cols>
  <sheetData>
    <row r="1" spans="1:12" x14ac:dyDescent="0.25">
      <c r="A1" s="747" t="s">
        <v>1071</v>
      </c>
      <c r="B1" s="747" t="s">
        <v>1072</v>
      </c>
      <c r="C1" s="747" t="s">
        <v>1130</v>
      </c>
      <c r="D1" s="747" t="s">
        <v>1131</v>
      </c>
      <c r="E1" s="747" t="s">
        <v>1132</v>
      </c>
      <c r="F1" s="747" t="s">
        <v>1133</v>
      </c>
      <c r="G1" s="747" t="s">
        <v>1418</v>
      </c>
      <c r="H1" s="747" t="s">
        <v>1419</v>
      </c>
      <c r="I1" s="747" t="s">
        <v>1420</v>
      </c>
      <c r="J1" s="747" t="s">
        <v>1421</v>
      </c>
      <c r="K1" s="747" t="s">
        <v>1422</v>
      </c>
      <c r="L1" s="747" t="s">
        <v>1423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heetViews>
  <sheetFormatPr defaultColWidth="9.140625" defaultRowHeight="15" x14ac:dyDescent="0.25"/>
  <cols>
    <col min="1" max="1" width="10.28515625" style="745" bestFit="1" customWidth="1"/>
    <col min="2" max="2" width="31.85546875" style="745" bestFit="1" customWidth="1"/>
    <col min="3" max="3" width="30" style="745" bestFit="1" customWidth="1"/>
    <col min="4" max="4" width="19.85546875" style="745" bestFit="1" customWidth="1"/>
    <col min="5" max="5" width="4.140625" style="745" bestFit="1" customWidth="1"/>
    <col min="6" max="6" width="9.5703125" style="745" bestFit="1" customWidth="1"/>
    <col min="7" max="16384" width="9.140625" style="745"/>
  </cols>
  <sheetData>
    <row r="1" spans="1:6" x14ac:dyDescent="0.25">
      <c r="A1" s="747" t="s">
        <v>1072</v>
      </c>
      <c r="B1" s="747" t="s">
        <v>1071</v>
      </c>
      <c r="C1" s="747" t="s">
        <v>1088</v>
      </c>
      <c r="D1" s="747" t="s">
        <v>1089</v>
      </c>
      <c r="E1" s="747" t="s">
        <v>1090</v>
      </c>
      <c r="F1" s="747" t="s">
        <v>1091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745" bestFit="1" customWidth="1"/>
    <col min="2" max="2" width="40.28515625" style="745" bestFit="1" customWidth="1"/>
    <col min="3" max="3" width="15.140625" style="745" bestFit="1" customWidth="1"/>
    <col min="4" max="4" width="8.85546875" style="745" bestFit="1" customWidth="1"/>
    <col min="5" max="5" width="29.140625" style="745" bestFit="1" customWidth="1"/>
    <col min="6" max="6" width="18.85546875" style="745" bestFit="1" customWidth="1"/>
    <col min="7" max="7" width="18" style="745" bestFit="1" customWidth="1"/>
    <col min="8" max="8" width="31" style="745" bestFit="1" customWidth="1"/>
    <col min="9" max="9" width="32.5703125" style="745" bestFit="1" customWidth="1"/>
    <col min="10" max="10" width="27.140625" style="745" bestFit="1" customWidth="1"/>
    <col min="11" max="11" width="29.7109375" style="745" bestFit="1" customWidth="1"/>
    <col min="12" max="12" width="20.140625" style="745" bestFit="1" customWidth="1"/>
    <col min="13" max="13" width="20.5703125" style="745" bestFit="1" customWidth="1"/>
    <col min="14" max="15" width="22.140625" style="745" bestFit="1" customWidth="1"/>
    <col min="16" max="16384" width="9.140625" style="745"/>
  </cols>
  <sheetData>
    <row r="1" spans="1:15" x14ac:dyDescent="0.25">
      <c r="A1" s="747" t="s">
        <v>1066</v>
      </c>
      <c r="B1" s="747" t="s">
        <v>244</v>
      </c>
      <c r="C1" s="747" t="s">
        <v>1114</v>
      </c>
      <c r="D1" s="747" t="s">
        <v>1067</v>
      </c>
      <c r="E1" s="747" t="s">
        <v>1068</v>
      </c>
      <c r="F1" s="747" t="s">
        <v>1069</v>
      </c>
      <c r="G1" s="747" t="s">
        <v>1070</v>
      </c>
      <c r="H1" s="747" t="s">
        <v>1115</v>
      </c>
      <c r="I1" s="747" t="s">
        <v>1116</v>
      </c>
      <c r="J1" s="747" t="s">
        <v>1117</v>
      </c>
      <c r="K1" s="747" t="s">
        <v>1118</v>
      </c>
      <c r="L1" s="747" t="s">
        <v>1119</v>
      </c>
      <c r="M1" s="747" t="s">
        <v>1120</v>
      </c>
      <c r="N1" s="747" t="s">
        <v>1121</v>
      </c>
      <c r="O1" s="747" t="s">
        <v>1121</v>
      </c>
    </row>
    <row r="2" spans="1:15" x14ac:dyDescent="0.25">
      <c r="A2" s="890"/>
      <c r="B2" s="890"/>
      <c r="C2" s="890"/>
      <c r="D2" s="890"/>
      <c r="E2" s="890"/>
      <c r="F2" s="890"/>
      <c r="G2" s="890"/>
      <c r="H2" s="890"/>
      <c r="I2" s="890"/>
      <c r="J2" s="890"/>
      <c r="K2" s="890"/>
      <c r="L2" s="890"/>
      <c r="M2" s="890"/>
      <c r="N2" s="890"/>
      <c r="O2" s="890"/>
    </row>
    <row r="3" spans="1:15" x14ac:dyDescent="0.25">
      <c r="A3" s="890"/>
      <c r="B3" s="890"/>
      <c r="C3" s="890"/>
      <c r="D3" s="890"/>
      <c r="E3" s="890"/>
      <c r="F3" s="890"/>
      <c r="G3" s="890"/>
      <c r="H3" s="890"/>
      <c r="I3" s="890"/>
      <c r="J3" s="890"/>
      <c r="K3" s="890"/>
      <c r="L3" s="890"/>
      <c r="M3" s="890"/>
      <c r="N3" s="890"/>
      <c r="O3" s="890"/>
    </row>
    <row r="4" spans="1:15" x14ac:dyDescent="0.25">
      <c r="A4" s="890"/>
      <c r="B4" s="890"/>
      <c r="C4" s="890"/>
      <c r="D4" s="890"/>
      <c r="E4" s="890"/>
      <c r="F4" s="890"/>
      <c r="G4" s="890"/>
      <c r="H4" s="890"/>
      <c r="I4" s="890"/>
      <c r="J4" s="890"/>
      <c r="K4" s="890"/>
      <c r="L4" s="890"/>
      <c r="M4" s="890"/>
      <c r="N4" s="890"/>
      <c r="O4" s="890"/>
    </row>
    <row r="5" spans="1:15" x14ac:dyDescent="0.25">
      <c r="A5" s="890"/>
      <c r="B5" s="890"/>
      <c r="C5" s="890"/>
      <c r="D5" s="890"/>
      <c r="E5" s="890"/>
      <c r="F5" s="890"/>
      <c r="G5" s="890"/>
      <c r="H5" s="890"/>
      <c r="I5" s="890"/>
      <c r="J5" s="890"/>
      <c r="K5" s="890"/>
      <c r="L5" s="890"/>
      <c r="M5" s="890"/>
      <c r="N5" s="890"/>
      <c r="O5" s="890"/>
    </row>
    <row r="6" spans="1:15" x14ac:dyDescent="0.25">
      <c r="A6" s="890"/>
      <c r="B6" s="890"/>
      <c r="C6" s="890"/>
      <c r="D6" s="890"/>
      <c r="E6" s="890"/>
      <c r="F6" s="890"/>
      <c r="G6" s="890"/>
      <c r="H6" s="890"/>
      <c r="I6" s="890"/>
      <c r="J6" s="890"/>
      <c r="K6" s="890"/>
      <c r="L6" s="890"/>
      <c r="M6" s="890"/>
      <c r="N6" s="890"/>
      <c r="O6" s="890"/>
    </row>
    <row r="7" spans="1:15" x14ac:dyDescent="0.25">
      <c r="A7" s="890"/>
      <c r="B7" s="890"/>
      <c r="C7" s="890"/>
      <c r="D7" s="890"/>
      <c r="E7" s="890"/>
      <c r="F7" s="890"/>
      <c r="G7" s="890"/>
      <c r="H7" s="890"/>
      <c r="I7" s="890"/>
      <c r="J7" s="890"/>
      <c r="K7" s="890"/>
      <c r="L7" s="890"/>
      <c r="M7" s="890"/>
      <c r="N7" s="890"/>
      <c r="O7" s="890"/>
    </row>
    <row r="8" spans="1:15" x14ac:dyDescent="0.25">
      <c r="A8" s="890"/>
      <c r="B8" s="890"/>
      <c r="C8" s="890"/>
      <c r="D8" s="890"/>
      <c r="E8" s="890"/>
      <c r="F8" s="890"/>
      <c r="G8" s="890"/>
      <c r="H8" s="890"/>
      <c r="I8" s="890"/>
      <c r="J8" s="890"/>
      <c r="K8" s="890"/>
      <c r="L8" s="890"/>
      <c r="M8" s="890"/>
      <c r="N8" s="890"/>
      <c r="O8" s="890"/>
    </row>
    <row r="9" spans="1:15" x14ac:dyDescent="0.25">
      <c r="A9" s="890"/>
      <c r="B9" s="890"/>
      <c r="C9" s="890"/>
      <c r="D9" s="890"/>
      <c r="E9" s="890"/>
      <c r="F9" s="890"/>
      <c r="G9" s="890"/>
      <c r="H9" s="890"/>
      <c r="I9" s="890"/>
      <c r="J9" s="890"/>
      <c r="K9" s="890"/>
      <c r="L9" s="890"/>
      <c r="M9" s="890"/>
      <c r="N9" s="890"/>
      <c r="O9" s="890"/>
    </row>
    <row r="10" spans="1:15" x14ac:dyDescent="0.25">
      <c r="A10" s="890"/>
      <c r="B10" s="890"/>
      <c r="C10" s="890"/>
      <c r="D10" s="890"/>
      <c r="E10" s="890"/>
      <c r="F10" s="890"/>
      <c r="G10" s="890"/>
      <c r="H10" s="890"/>
      <c r="I10" s="890"/>
      <c r="J10" s="890"/>
      <c r="K10" s="890"/>
      <c r="L10" s="890"/>
      <c r="M10" s="890"/>
      <c r="N10" s="890"/>
      <c r="O10" s="890"/>
    </row>
    <row r="11" spans="1:15" x14ac:dyDescent="0.25">
      <c r="A11" s="890"/>
      <c r="B11" s="890"/>
      <c r="C11" s="890"/>
      <c r="D11" s="890"/>
      <c r="E11" s="890"/>
      <c r="F11" s="890"/>
      <c r="G11" s="890"/>
      <c r="H11" s="890"/>
      <c r="I11" s="890"/>
      <c r="J11" s="890"/>
      <c r="K11" s="890"/>
      <c r="L11" s="890"/>
      <c r="M11" s="890"/>
      <c r="N11" s="890"/>
      <c r="O11" s="890"/>
    </row>
    <row r="12" spans="1:15" x14ac:dyDescent="0.25">
      <c r="A12" s="890"/>
      <c r="B12" s="890"/>
      <c r="C12" s="890"/>
      <c r="D12" s="890"/>
      <c r="E12" s="890"/>
      <c r="F12" s="890"/>
      <c r="G12" s="890"/>
      <c r="H12" s="890"/>
      <c r="I12" s="890"/>
      <c r="J12" s="890"/>
      <c r="K12" s="890"/>
      <c r="L12" s="890"/>
      <c r="M12" s="890"/>
      <c r="N12" s="890"/>
      <c r="O12" s="890"/>
    </row>
    <row r="13" spans="1:15" x14ac:dyDescent="0.25">
      <c r="A13" s="890"/>
      <c r="B13" s="890"/>
      <c r="C13" s="890"/>
      <c r="D13" s="890"/>
      <c r="E13" s="890"/>
      <c r="F13" s="890"/>
      <c r="G13" s="890"/>
      <c r="H13" s="890"/>
      <c r="I13" s="890"/>
      <c r="J13" s="890"/>
      <c r="K13" s="890"/>
      <c r="L13" s="890"/>
      <c r="M13" s="890"/>
      <c r="N13" s="890"/>
      <c r="O13" s="890"/>
    </row>
    <row r="14" spans="1:15" x14ac:dyDescent="0.25">
      <c r="A14" s="890"/>
      <c r="B14" s="890"/>
      <c r="C14" s="890"/>
      <c r="D14" s="890"/>
      <c r="E14" s="890"/>
      <c r="F14" s="890"/>
      <c r="G14" s="890"/>
      <c r="H14" s="890"/>
      <c r="I14" s="890"/>
      <c r="J14" s="890"/>
      <c r="K14" s="890"/>
      <c r="L14" s="890"/>
      <c r="M14" s="890"/>
      <c r="N14" s="890"/>
      <c r="O14" s="890"/>
    </row>
    <row r="15" spans="1:15" x14ac:dyDescent="0.25">
      <c r="A15" s="890"/>
      <c r="B15" s="890"/>
      <c r="C15" s="890"/>
      <c r="D15" s="890"/>
      <c r="E15" s="890"/>
      <c r="F15" s="890"/>
      <c r="G15" s="890"/>
      <c r="H15" s="890"/>
      <c r="I15" s="890"/>
      <c r="J15" s="890"/>
      <c r="K15" s="890"/>
      <c r="L15" s="890"/>
      <c r="M15" s="890"/>
      <c r="N15" s="890"/>
      <c r="O15" s="890"/>
    </row>
    <row r="16" spans="1:15" x14ac:dyDescent="0.25">
      <c r="A16" s="890"/>
      <c r="B16" s="890"/>
      <c r="C16" s="890"/>
      <c r="D16" s="890"/>
      <c r="E16" s="890"/>
      <c r="F16" s="890"/>
      <c r="G16" s="890"/>
      <c r="H16" s="890"/>
      <c r="I16" s="890"/>
      <c r="J16" s="890"/>
      <c r="K16" s="890"/>
      <c r="L16" s="890"/>
      <c r="M16" s="890"/>
      <c r="N16" s="890"/>
      <c r="O16" s="890"/>
    </row>
    <row r="17" spans="1:15" x14ac:dyDescent="0.25">
      <c r="A17" s="890"/>
      <c r="B17" s="890"/>
      <c r="C17" s="890"/>
      <c r="D17" s="890"/>
      <c r="E17" s="890"/>
      <c r="F17" s="890"/>
      <c r="G17" s="890"/>
      <c r="H17" s="890"/>
      <c r="I17" s="890"/>
      <c r="J17" s="890"/>
      <c r="K17" s="890"/>
      <c r="L17" s="890"/>
      <c r="M17" s="890"/>
      <c r="N17" s="890"/>
      <c r="O17" s="890"/>
    </row>
    <row r="18" spans="1:15" x14ac:dyDescent="0.25">
      <c r="A18" s="890"/>
      <c r="B18" s="890"/>
      <c r="C18" s="890"/>
      <c r="D18" s="890"/>
      <c r="E18" s="890"/>
      <c r="F18" s="890"/>
      <c r="G18" s="890"/>
      <c r="H18" s="890"/>
      <c r="I18" s="890"/>
      <c r="J18" s="890"/>
      <c r="K18" s="890"/>
      <c r="L18" s="890"/>
      <c r="M18" s="890"/>
      <c r="N18" s="890"/>
      <c r="O18" s="890"/>
    </row>
    <row r="19" spans="1:15" x14ac:dyDescent="0.25">
      <c r="A19" s="890"/>
      <c r="B19" s="890"/>
      <c r="C19" s="890"/>
      <c r="D19" s="890"/>
      <c r="E19" s="890"/>
      <c r="F19" s="890"/>
      <c r="G19" s="890"/>
      <c r="H19" s="890"/>
      <c r="I19" s="890"/>
      <c r="J19" s="890"/>
      <c r="K19" s="890"/>
      <c r="L19" s="890"/>
      <c r="M19" s="890"/>
      <c r="N19" s="890"/>
      <c r="O19" s="890"/>
    </row>
    <row r="20" spans="1:15" x14ac:dyDescent="0.25">
      <c r="A20" s="890"/>
      <c r="B20" s="890"/>
      <c r="C20" s="890"/>
      <c r="D20" s="890"/>
      <c r="E20" s="890"/>
      <c r="F20" s="890"/>
      <c r="G20" s="890"/>
      <c r="H20" s="890"/>
      <c r="I20" s="890"/>
      <c r="J20" s="890"/>
      <c r="K20" s="890"/>
      <c r="L20" s="890"/>
      <c r="M20" s="890"/>
      <c r="N20" s="890"/>
      <c r="O20" s="890"/>
    </row>
    <row r="21" spans="1:15" x14ac:dyDescent="0.25">
      <c r="A21" s="890"/>
      <c r="B21" s="890"/>
      <c r="C21" s="890"/>
      <c r="D21" s="890"/>
      <c r="E21" s="890"/>
      <c r="F21" s="890"/>
      <c r="G21" s="890"/>
      <c r="H21" s="890"/>
      <c r="I21" s="890"/>
      <c r="J21" s="890"/>
      <c r="K21" s="890"/>
      <c r="L21" s="890"/>
      <c r="M21" s="890"/>
      <c r="N21" s="890"/>
      <c r="O21" s="890"/>
    </row>
    <row r="22" spans="1:15" x14ac:dyDescent="0.25">
      <c r="A22" s="890"/>
      <c r="B22" s="890"/>
      <c r="C22" s="890"/>
      <c r="D22" s="890"/>
      <c r="E22" s="890"/>
      <c r="F22" s="890"/>
      <c r="G22" s="890"/>
      <c r="H22" s="890"/>
      <c r="I22" s="890"/>
      <c r="J22" s="890"/>
      <c r="K22" s="890"/>
      <c r="L22" s="890"/>
      <c r="M22" s="890"/>
      <c r="N22" s="890"/>
      <c r="O22" s="890"/>
    </row>
    <row r="23" spans="1:15" x14ac:dyDescent="0.25">
      <c r="A23" s="890"/>
      <c r="B23" s="890"/>
      <c r="C23" s="890"/>
      <c r="D23" s="890"/>
      <c r="E23" s="890"/>
      <c r="F23" s="890"/>
      <c r="G23" s="890"/>
      <c r="H23" s="890"/>
      <c r="I23" s="890"/>
      <c r="J23" s="890"/>
      <c r="K23" s="890"/>
      <c r="L23" s="890"/>
      <c r="M23" s="890"/>
      <c r="N23" s="890"/>
      <c r="O23" s="890"/>
    </row>
    <row r="24" spans="1:15" x14ac:dyDescent="0.25">
      <c r="A24" s="890"/>
      <c r="B24" s="890"/>
      <c r="C24" s="890"/>
      <c r="D24" s="890"/>
      <c r="E24" s="890"/>
      <c r="F24" s="890"/>
      <c r="G24" s="890"/>
      <c r="H24" s="890"/>
      <c r="I24" s="890"/>
      <c r="J24" s="890"/>
      <c r="K24" s="890"/>
      <c r="L24" s="890"/>
      <c r="M24" s="890"/>
      <c r="N24" s="890"/>
      <c r="O24" s="890"/>
    </row>
    <row r="25" spans="1:15" x14ac:dyDescent="0.25">
      <c r="A25" s="890"/>
      <c r="B25" s="890"/>
      <c r="C25" s="890"/>
      <c r="D25" s="890"/>
      <c r="E25" s="890"/>
      <c r="F25" s="890"/>
      <c r="G25" s="890"/>
      <c r="H25" s="890"/>
      <c r="I25" s="890"/>
      <c r="J25" s="890"/>
      <c r="K25" s="890"/>
      <c r="L25" s="890"/>
      <c r="M25" s="890"/>
      <c r="N25" s="890"/>
      <c r="O25" s="890"/>
    </row>
    <row r="26" spans="1:15" x14ac:dyDescent="0.25">
      <c r="A26" s="890"/>
      <c r="B26" s="890"/>
      <c r="C26" s="890"/>
      <c r="D26" s="890"/>
      <c r="E26" s="890"/>
      <c r="F26" s="890"/>
      <c r="G26" s="890"/>
      <c r="H26" s="890"/>
      <c r="I26" s="890"/>
      <c r="J26" s="890"/>
      <c r="K26" s="890"/>
      <c r="L26" s="890"/>
      <c r="M26" s="890"/>
      <c r="N26" s="890"/>
      <c r="O26" s="890"/>
    </row>
    <row r="27" spans="1:15" x14ac:dyDescent="0.25">
      <c r="A27" s="890"/>
      <c r="B27" s="890"/>
      <c r="C27" s="890"/>
      <c r="D27" s="890"/>
      <c r="E27" s="890"/>
      <c r="F27" s="890"/>
      <c r="G27" s="890"/>
      <c r="H27" s="890"/>
      <c r="I27" s="890"/>
      <c r="J27" s="890"/>
      <c r="K27" s="890"/>
      <c r="L27" s="890"/>
      <c r="M27" s="890"/>
      <c r="N27" s="890"/>
      <c r="O27" s="890"/>
    </row>
    <row r="28" spans="1:15" x14ac:dyDescent="0.25">
      <c r="A28" s="890"/>
      <c r="B28" s="890"/>
      <c r="C28" s="890"/>
      <c r="D28" s="890"/>
      <c r="E28" s="890"/>
      <c r="F28" s="890"/>
      <c r="G28" s="890"/>
      <c r="H28" s="890"/>
      <c r="I28" s="890"/>
      <c r="J28" s="890"/>
      <c r="K28" s="890"/>
      <c r="L28" s="890"/>
      <c r="M28" s="890"/>
      <c r="N28" s="890"/>
      <c r="O28" s="890"/>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
    </sheetView>
  </sheetViews>
  <sheetFormatPr defaultColWidth="9.140625" defaultRowHeight="15" x14ac:dyDescent="0.25"/>
  <cols>
    <col min="1" max="1" width="18.85546875" style="745" bestFit="1" customWidth="1"/>
    <col min="2" max="2" width="10.5703125" style="745" bestFit="1" customWidth="1"/>
    <col min="3" max="3" width="8.85546875" style="745" bestFit="1" customWidth="1"/>
    <col min="4" max="4" width="9.140625" style="745"/>
    <col min="5" max="5" width="29.7109375" style="745" bestFit="1" customWidth="1"/>
    <col min="6" max="6" width="16.42578125" style="745" bestFit="1" customWidth="1"/>
    <col min="7" max="7" width="27.140625" style="745" bestFit="1" customWidth="1"/>
    <col min="8" max="8" width="35" style="745" bestFit="1" customWidth="1"/>
    <col min="9" max="9" width="38.42578125" style="745" bestFit="1" customWidth="1"/>
    <col min="10" max="10" width="33.85546875" style="745" bestFit="1" customWidth="1"/>
    <col min="11" max="11" width="26.140625" style="745" bestFit="1" customWidth="1"/>
    <col min="12" max="12" width="17.42578125" style="745" bestFit="1" customWidth="1"/>
    <col min="13" max="13" width="12" style="745" bestFit="1" customWidth="1"/>
    <col min="14" max="16384" width="9.140625" style="745"/>
  </cols>
  <sheetData>
    <row r="1" spans="1:13" x14ac:dyDescent="0.25">
      <c r="A1" s="747" t="s">
        <v>1069</v>
      </c>
      <c r="B1" s="747" t="s">
        <v>1066</v>
      </c>
      <c r="C1" s="747" t="s">
        <v>1067</v>
      </c>
      <c r="D1" s="747" t="s">
        <v>1073</v>
      </c>
      <c r="E1" s="747" t="s">
        <v>1118</v>
      </c>
      <c r="F1" s="747" t="s">
        <v>1122</v>
      </c>
      <c r="G1" s="747" t="s">
        <v>1117</v>
      </c>
      <c r="H1" s="747" t="s">
        <v>1134</v>
      </c>
      <c r="I1" s="747" t="s">
        <v>1135</v>
      </c>
      <c r="J1" s="747" t="s">
        <v>1136</v>
      </c>
      <c r="K1" s="747" t="s">
        <v>1074</v>
      </c>
      <c r="L1" s="747" t="s">
        <v>1075</v>
      </c>
      <c r="M1" s="747" t="s">
        <v>1076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745" bestFit="1" customWidth="1"/>
    <col min="2" max="2" width="12.85546875" style="745" bestFit="1" customWidth="1"/>
    <col min="3" max="3" width="10.5703125" style="745" bestFit="1" customWidth="1"/>
    <col min="4" max="4" width="21.5703125" style="745" bestFit="1" customWidth="1"/>
    <col min="5" max="5" width="12.7109375" style="745" bestFit="1" customWidth="1"/>
    <col min="6" max="6" width="25.7109375" style="745" bestFit="1" customWidth="1"/>
    <col min="7" max="16384" width="9.140625" style="745"/>
  </cols>
  <sheetData>
    <row r="1" spans="1:6" x14ac:dyDescent="0.25">
      <c r="A1" s="747" t="s">
        <v>244</v>
      </c>
      <c r="B1" s="747" t="s">
        <v>1128</v>
      </c>
      <c r="C1" s="747" t="s">
        <v>1066</v>
      </c>
      <c r="D1" s="747" t="s">
        <v>1124</v>
      </c>
      <c r="E1" s="747" t="s">
        <v>1125</v>
      </c>
      <c r="F1" s="747" t="s">
        <v>1126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745" bestFit="1" customWidth="1"/>
    <col min="2" max="2" width="12.85546875" style="745" bestFit="1" customWidth="1"/>
    <col min="3" max="3" width="10.5703125" style="745" bestFit="1" customWidth="1"/>
    <col min="4" max="4" width="21.5703125" style="745" bestFit="1" customWidth="1"/>
    <col min="5" max="5" width="12.7109375" style="745" bestFit="1" customWidth="1"/>
    <col min="6" max="6" width="25.7109375" style="745" bestFit="1" customWidth="1"/>
    <col min="7" max="16384" width="9.140625" style="745"/>
  </cols>
  <sheetData>
    <row r="1" spans="1:6" x14ac:dyDescent="0.25">
      <c r="A1" s="747" t="s">
        <v>244</v>
      </c>
      <c r="B1" s="747" t="s">
        <v>1127</v>
      </c>
      <c r="C1" s="747" t="s">
        <v>1066</v>
      </c>
      <c r="D1" s="747" t="s">
        <v>1124</v>
      </c>
      <c r="E1" s="747" t="s">
        <v>1125</v>
      </c>
      <c r="F1" s="747" t="s">
        <v>1126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G12" sqref="G12"/>
    </sheetView>
  </sheetViews>
  <sheetFormatPr defaultColWidth="9.140625" defaultRowHeight="15" x14ac:dyDescent="0.25"/>
  <cols>
    <col min="1" max="1" width="8.42578125" style="745" bestFit="1" customWidth="1"/>
    <col min="2" max="2" width="12.85546875" style="745" bestFit="1" customWidth="1"/>
    <col min="3" max="3" width="10.5703125" style="745" bestFit="1" customWidth="1"/>
    <col min="4" max="4" width="21.5703125" style="745" bestFit="1" customWidth="1"/>
    <col min="5" max="5" width="12.7109375" style="745" bestFit="1" customWidth="1"/>
    <col min="6" max="6" width="25.7109375" style="745" bestFit="1" customWidth="1"/>
    <col min="7" max="16384" width="9.140625" style="745"/>
  </cols>
  <sheetData>
    <row r="1" spans="1:6" x14ac:dyDescent="0.25">
      <c r="A1" s="747" t="s">
        <v>244</v>
      </c>
      <c r="B1" s="747" t="s">
        <v>1123</v>
      </c>
      <c r="C1" s="747" t="s">
        <v>1066</v>
      </c>
      <c r="D1" s="747" t="s">
        <v>1124</v>
      </c>
      <c r="E1" s="747" t="s">
        <v>1125</v>
      </c>
      <c r="F1" s="747" t="s">
        <v>1126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3EFEFF-C083-468B-A222-E1E3A1C6B7D9}">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966</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510</v>
      </c>
      <c r="B7" t="s">
        <v>508</v>
      </c>
      <c r="C7" s="2" t="s">
        <v>212</v>
      </c>
      <c r="D7" s="24">
        <v>0</v>
      </c>
      <c r="E7" s="24">
        <v>0.04</v>
      </c>
      <c r="F7" s="24">
        <v>7.0000000000000007E-2</v>
      </c>
      <c r="G7" s="24">
        <v>0.09</v>
      </c>
      <c r="H7" s="24">
        <v>0.16</v>
      </c>
      <c r="J7" s="24"/>
      <c r="K7" s="24"/>
      <c r="L7" s="24"/>
      <c r="M7" s="24"/>
      <c r="N7" s="24"/>
    </row>
    <row r="8" spans="1:14" x14ac:dyDescent="0.25">
      <c r="A8" t="s">
        <v>511</v>
      </c>
      <c r="B8" t="s">
        <v>508</v>
      </c>
      <c r="C8" s="2" t="s">
        <v>213</v>
      </c>
      <c r="D8" s="24">
        <v>0</v>
      </c>
      <c r="E8" s="24">
        <v>0.04</v>
      </c>
      <c r="F8" s="24">
        <v>0.06</v>
      </c>
      <c r="G8" s="24">
        <v>0.08</v>
      </c>
      <c r="H8" s="24">
        <v>0.15</v>
      </c>
      <c r="J8" s="24"/>
      <c r="K8" s="24"/>
      <c r="L8" s="24"/>
      <c r="M8" s="24"/>
      <c r="N8" s="24"/>
    </row>
    <row r="9" spans="1:14" x14ac:dyDescent="0.25">
      <c r="A9" t="s">
        <v>512</v>
      </c>
      <c r="B9" t="s">
        <v>508</v>
      </c>
      <c r="C9" s="2" t="s">
        <v>214</v>
      </c>
      <c r="D9" s="24">
        <v>0</v>
      </c>
      <c r="E9" s="24">
        <v>0.04</v>
      </c>
      <c r="F9" s="24">
        <v>0.06</v>
      </c>
      <c r="G9" s="24">
        <v>0.08</v>
      </c>
      <c r="H9" s="24">
        <v>0.14000000000000001</v>
      </c>
      <c r="J9" s="24"/>
      <c r="K9" s="24"/>
      <c r="L9" s="24"/>
      <c r="M9" s="24"/>
      <c r="N9" s="24"/>
    </row>
    <row r="10" spans="1:14" x14ac:dyDescent="0.25">
      <c r="A10" t="s">
        <v>513</v>
      </c>
      <c r="B10" t="s">
        <v>508</v>
      </c>
      <c r="C10" s="2" t="s">
        <v>267</v>
      </c>
      <c r="D10" s="24">
        <v>0</v>
      </c>
      <c r="E10" s="24">
        <v>0.04</v>
      </c>
      <c r="F10" s="24">
        <v>0.05</v>
      </c>
      <c r="G10" s="24">
        <v>7.0000000000000007E-2</v>
      </c>
      <c r="H10" s="24">
        <v>0.12</v>
      </c>
      <c r="J10" s="24"/>
      <c r="K10" s="24"/>
      <c r="L10" s="24"/>
      <c r="M10" s="24"/>
      <c r="N10" s="24"/>
    </row>
    <row r="11" spans="1:14" x14ac:dyDescent="0.25">
      <c r="A11" t="s">
        <v>514</v>
      </c>
      <c r="B11" t="s">
        <v>508</v>
      </c>
      <c r="C11" s="2" t="s">
        <v>268</v>
      </c>
      <c r="D11" s="24">
        <v>0</v>
      </c>
      <c r="E11" s="24">
        <v>0.03</v>
      </c>
      <c r="F11" s="24">
        <v>0.04</v>
      </c>
      <c r="G11" s="24">
        <v>0.06</v>
      </c>
      <c r="H11" s="24">
        <v>0.1</v>
      </c>
      <c r="J11" s="24"/>
      <c r="K11" s="24"/>
      <c r="L11" s="24"/>
      <c r="M11" s="24"/>
      <c r="N11" s="24"/>
    </row>
    <row r="12" spans="1:14" x14ac:dyDescent="0.25">
      <c r="A12" t="s">
        <v>515</v>
      </c>
      <c r="B12" t="s">
        <v>509</v>
      </c>
      <c r="C12" s="2" t="s">
        <v>212</v>
      </c>
      <c r="D12" s="24">
        <v>0</v>
      </c>
      <c r="E12" s="24">
        <v>0.05</v>
      </c>
      <c r="F12" s="24">
        <v>0.08</v>
      </c>
      <c r="G12" s="24">
        <v>0.09</v>
      </c>
      <c r="H12" s="24">
        <v>0.14000000000000001</v>
      </c>
      <c r="J12" s="24"/>
      <c r="K12" s="24"/>
      <c r="L12" s="24"/>
      <c r="M12" s="24"/>
      <c r="N12" s="24"/>
    </row>
    <row r="13" spans="1:14" x14ac:dyDescent="0.25">
      <c r="A13" t="s">
        <v>516</v>
      </c>
      <c r="B13" t="s">
        <v>509</v>
      </c>
      <c r="C13" s="2" t="s">
        <v>213</v>
      </c>
      <c r="D13" s="24">
        <v>0</v>
      </c>
      <c r="E13" s="24">
        <v>0.05</v>
      </c>
      <c r="F13" s="24">
        <v>7.0000000000000007E-2</v>
      </c>
      <c r="G13" s="24">
        <v>0.09</v>
      </c>
      <c r="H13" s="24">
        <v>0.14000000000000001</v>
      </c>
      <c r="J13" s="24"/>
      <c r="K13" s="24"/>
      <c r="L13" s="24"/>
      <c r="M13" s="24"/>
      <c r="N13" s="24"/>
    </row>
    <row r="14" spans="1:14" x14ac:dyDescent="0.25">
      <c r="A14" t="s">
        <v>517</v>
      </c>
      <c r="B14" t="s">
        <v>509</v>
      </c>
      <c r="C14" s="2" t="s">
        <v>214</v>
      </c>
      <c r="D14" s="24">
        <v>0</v>
      </c>
      <c r="E14" s="24">
        <v>0.05</v>
      </c>
      <c r="F14" s="24">
        <v>0.06</v>
      </c>
      <c r="G14" s="24">
        <v>0.08</v>
      </c>
      <c r="H14" s="24">
        <v>0.13</v>
      </c>
      <c r="J14" s="24"/>
      <c r="K14" s="24"/>
      <c r="L14" s="24"/>
      <c r="M14" s="24"/>
      <c r="N14" s="24"/>
    </row>
    <row r="15" spans="1:14" x14ac:dyDescent="0.25">
      <c r="A15" t="s">
        <v>518</v>
      </c>
      <c r="B15" t="s">
        <v>509</v>
      </c>
      <c r="C15" s="2" t="s">
        <v>267</v>
      </c>
      <c r="D15" s="55">
        <v>0</v>
      </c>
      <c r="E15" s="55">
        <v>0.04</v>
      </c>
      <c r="F15" s="55">
        <v>0.05</v>
      </c>
      <c r="G15" s="55">
        <v>7.0000000000000007E-2</v>
      </c>
      <c r="H15" s="55">
        <v>0.11</v>
      </c>
      <c r="J15" s="55"/>
      <c r="K15" s="55"/>
      <c r="L15" s="55"/>
      <c r="M15" s="55"/>
      <c r="N15" s="55"/>
    </row>
    <row r="16" spans="1:14" x14ac:dyDescent="0.25">
      <c r="A16" t="s">
        <v>519</v>
      </c>
      <c r="B16" t="s">
        <v>509</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966</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1465</v>
      </c>
      <c r="B7" t="s">
        <v>103</v>
      </c>
      <c r="C7" s="2" t="s">
        <v>212</v>
      </c>
      <c r="D7" s="24">
        <v>0</v>
      </c>
      <c r="E7" s="24">
        <v>7.0000000000000007E-2</v>
      </c>
      <c r="F7" s="24">
        <v>0.1</v>
      </c>
      <c r="G7" s="24"/>
      <c r="H7" s="24"/>
      <c r="I7" s="24"/>
      <c r="J7" s="24"/>
      <c r="L7" s="24"/>
      <c r="M7" s="24"/>
      <c r="N7" s="24"/>
    </row>
    <row r="8" spans="1:14" x14ac:dyDescent="0.25">
      <c r="A8" t="s">
        <v>1461</v>
      </c>
      <c r="B8" t="s">
        <v>103</v>
      </c>
      <c r="C8" s="2" t="s">
        <v>213</v>
      </c>
      <c r="D8" s="24">
        <v>0</v>
      </c>
      <c r="E8" s="24">
        <v>7.0000000000000007E-2</v>
      </c>
      <c r="F8" s="24">
        <v>0.09</v>
      </c>
      <c r="G8" s="24"/>
      <c r="H8" s="24"/>
      <c r="I8" s="24"/>
      <c r="J8" s="24"/>
      <c r="L8" s="24"/>
      <c r="M8" s="24"/>
      <c r="N8" s="24"/>
    </row>
    <row r="9" spans="1:14" x14ac:dyDescent="0.25">
      <c r="A9" t="s">
        <v>1462</v>
      </c>
      <c r="B9" t="s">
        <v>103</v>
      </c>
      <c r="C9" s="2" t="s">
        <v>214</v>
      </c>
      <c r="D9" s="24">
        <v>0</v>
      </c>
      <c r="E9" s="24">
        <v>0.06</v>
      </c>
      <c r="F9" s="24">
        <v>0.08</v>
      </c>
      <c r="G9" s="24"/>
      <c r="H9" s="24"/>
      <c r="I9" s="24"/>
      <c r="J9" s="24"/>
      <c r="L9" s="24"/>
      <c r="M9" s="24"/>
      <c r="N9" s="24"/>
    </row>
    <row r="10" spans="1:14" x14ac:dyDescent="0.25">
      <c r="A10" t="s">
        <v>1463</v>
      </c>
      <c r="B10" t="s">
        <v>103</v>
      </c>
      <c r="C10" s="2" t="s">
        <v>267</v>
      </c>
      <c r="D10" s="24">
        <v>0</v>
      </c>
      <c r="E10" s="24">
        <v>0.05</v>
      </c>
      <c r="F10" s="24">
        <v>7.0000000000000007E-2</v>
      </c>
      <c r="G10" s="24"/>
      <c r="H10" s="24"/>
      <c r="I10" s="24"/>
      <c r="J10" s="24"/>
      <c r="L10" s="24"/>
      <c r="M10" s="24"/>
      <c r="N10" s="24"/>
    </row>
    <row r="11" spans="1:14" x14ac:dyDescent="0.25">
      <c r="A11" t="s">
        <v>1464</v>
      </c>
      <c r="B11" t="s">
        <v>103</v>
      </c>
      <c r="C11" s="2" t="s">
        <v>268</v>
      </c>
      <c r="D11" s="24">
        <v>0</v>
      </c>
      <c r="E11" s="24">
        <v>0.04</v>
      </c>
      <c r="F11" s="24">
        <v>0.06</v>
      </c>
      <c r="G11" s="24"/>
      <c r="H11" s="24"/>
      <c r="I11" s="24"/>
      <c r="J11" s="24"/>
      <c r="L11" s="24"/>
      <c r="M11" s="24"/>
      <c r="N11" s="24"/>
    </row>
    <row r="12" spans="1:14" x14ac:dyDescent="0.25">
      <c r="A12" t="s">
        <v>1470</v>
      </c>
      <c r="B12" t="s">
        <v>1415</v>
      </c>
      <c r="C12" s="2" t="s">
        <v>212</v>
      </c>
      <c r="D12" s="24">
        <v>0</v>
      </c>
      <c r="E12" s="24">
        <v>7.0000000000000007E-2</v>
      </c>
      <c r="F12" s="24">
        <v>0.09</v>
      </c>
      <c r="G12" s="24"/>
      <c r="H12" s="24"/>
      <c r="I12" s="24"/>
      <c r="J12" s="24"/>
      <c r="L12" s="24"/>
      <c r="M12" s="24"/>
      <c r="N12" s="24"/>
    </row>
    <row r="13" spans="1:14" x14ac:dyDescent="0.25">
      <c r="A13" t="s">
        <v>1466</v>
      </c>
      <c r="B13" t="s">
        <v>1415</v>
      </c>
      <c r="C13" s="2" t="s">
        <v>213</v>
      </c>
      <c r="D13" s="24">
        <v>0</v>
      </c>
      <c r="E13" s="24">
        <v>7.0000000000000007E-2</v>
      </c>
      <c r="F13" s="24">
        <v>0.08</v>
      </c>
      <c r="G13" s="24"/>
      <c r="H13" s="24"/>
      <c r="I13" s="24"/>
      <c r="J13" s="24"/>
      <c r="L13" s="24"/>
      <c r="M13" s="24"/>
      <c r="N13" s="24"/>
    </row>
    <row r="14" spans="1:14" x14ac:dyDescent="0.25">
      <c r="A14" t="s">
        <v>1467</v>
      </c>
      <c r="B14" t="s">
        <v>1415</v>
      </c>
      <c r="C14" s="2" t="s">
        <v>214</v>
      </c>
      <c r="D14" s="24">
        <v>0</v>
      </c>
      <c r="E14" s="24">
        <v>0.06</v>
      </c>
      <c r="F14" s="24">
        <v>7.0000000000000007E-2</v>
      </c>
      <c r="G14" s="24"/>
      <c r="H14" s="24"/>
      <c r="I14" s="24"/>
      <c r="J14" s="24"/>
      <c r="L14" s="24"/>
      <c r="M14" s="24"/>
      <c r="N14" s="24"/>
    </row>
    <row r="15" spans="1:14" x14ac:dyDescent="0.25">
      <c r="A15" t="s">
        <v>1468</v>
      </c>
      <c r="B15" t="s">
        <v>1415</v>
      </c>
      <c r="C15" s="2" t="s">
        <v>267</v>
      </c>
      <c r="D15" s="24">
        <v>0</v>
      </c>
      <c r="E15" s="24">
        <v>0.05</v>
      </c>
      <c r="F15" s="24">
        <v>0.06</v>
      </c>
      <c r="G15" s="24"/>
      <c r="H15" s="24"/>
      <c r="I15" s="24"/>
      <c r="J15" s="24"/>
      <c r="L15" s="24"/>
      <c r="M15" s="24"/>
      <c r="N15" s="24"/>
    </row>
    <row r="16" spans="1:14" x14ac:dyDescent="0.25">
      <c r="A16" t="s">
        <v>1469</v>
      </c>
      <c r="B16" t="s">
        <v>1415</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454</v>
      </c>
      <c r="B1" t="s">
        <v>123</v>
      </c>
      <c r="C1" t="s">
        <v>124</v>
      </c>
      <c r="D1" t="s">
        <v>459</v>
      </c>
      <c r="E1" s="3" t="s">
        <v>456</v>
      </c>
      <c r="F1" s="3" t="e">
        <f>IF(#REF!="NEW CUSTOMER","Select Drops/Wk","")</f>
        <v>#REF!</v>
      </c>
      <c r="G1" s="14" t="s">
        <v>203</v>
      </c>
      <c r="H1" s="14" t="str">
        <f>""</f>
        <v/>
      </c>
      <c r="I1" s="14" t="s">
        <v>203</v>
      </c>
      <c r="J1" s="14" t="str">
        <f>""</f>
        <v/>
      </c>
      <c r="K1" s="14" t="str">
        <f>""</f>
        <v/>
      </c>
      <c r="L1" t="s">
        <v>201</v>
      </c>
      <c r="M1" s="14" t="s">
        <v>211</v>
      </c>
      <c r="N1" s="14" t="s">
        <v>967</v>
      </c>
      <c r="O1" s="14" t="s">
        <v>530</v>
      </c>
      <c r="P1" t="s">
        <v>240</v>
      </c>
      <c r="Q1" t="s">
        <v>232</v>
      </c>
      <c r="R1" t="s">
        <v>460</v>
      </c>
      <c r="S1" t="s">
        <v>250</v>
      </c>
      <c r="T1" t="s">
        <v>251</v>
      </c>
      <c r="U1" t="s">
        <v>252</v>
      </c>
      <c r="V1" t="s">
        <v>253</v>
      </c>
      <c r="W1" t="s">
        <v>251</v>
      </c>
      <c r="X1" t="s">
        <v>252</v>
      </c>
      <c r="Z1" t="s">
        <v>455</v>
      </c>
      <c r="AA1" t="s">
        <v>458</v>
      </c>
      <c r="AB1" t="s">
        <v>457</v>
      </c>
      <c r="AD1" t="s">
        <v>500</v>
      </c>
      <c r="AE1" t="s">
        <v>501</v>
      </c>
      <c r="AF1" t="s">
        <v>520</v>
      </c>
      <c r="AH1" s="2"/>
      <c r="AI1" t="s">
        <v>1048</v>
      </c>
      <c r="AJ1" t="s">
        <v>1141</v>
      </c>
      <c r="AK1" t="s">
        <v>1307</v>
      </c>
    </row>
    <row r="2" spans="1:37" x14ac:dyDescent="0.25">
      <c r="A2" t="s">
        <v>433</v>
      </c>
      <c r="B2" t="s">
        <v>106</v>
      </c>
      <c r="C2" t="s">
        <v>1</v>
      </c>
      <c r="E2" t="s">
        <v>58</v>
      </c>
      <c r="F2" s="3">
        <v>1</v>
      </c>
      <c r="G2" s="14" t="s">
        <v>130</v>
      </c>
      <c r="H2" s="14" t="s">
        <v>219</v>
      </c>
      <c r="I2" s="14" t="s">
        <v>507</v>
      </c>
      <c r="J2" s="14">
        <v>0.01</v>
      </c>
      <c r="K2" s="14">
        <v>1.4999999999999999E-2</v>
      </c>
      <c r="L2" t="s">
        <v>206</v>
      </c>
      <c r="M2">
        <v>2</v>
      </c>
      <c r="N2" t="s">
        <v>1002</v>
      </c>
      <c r="O2" s="2" t="s">
        <v>532</v>
      </c>
      <c r="P2" t="s">
        <v>233</v>
      </c>
      <c r="Q2">
        <v>0</v>
      </c>
      <c r="R2" t="s">
        <v>246</v>
      </c>
      <c r="S2" s="18">
        <v>4.3999999999999997E-2</v>
      </c>
      <c r="T2" s="18">
        <v>6.6000000000000003E-2</v>
      </c>
      <c r="U2" s="18">
        <v>0.14799999999999999</v>
      </c>
      <c r="V2" s="19">
        <v>0</v>
      </c>
      <c r="W2" s="19">
        <v>6.2E-4</v>
      </c>
      <c r="X2" s="19">
        <v>1.4030000000000001E-2</v>
      </c>
      <c r="Z2" t="s">
        <v>370</v>
      </c>
      <c r="AA2" s="26">
        <v>1</v>
      </c>
      <c r="AB2" s="894" t="s">
        <v>374</v>
      </c>
      <c r="AC2" t="s">
        <v>466</v>
      </c>
      <c r="AD2" t="s">
        <v>483</v>
      </c>
      <c r="AE2" t="s">
        <v>483</v>
      </c>
      <c r="AF2" s="39">
        <v>0.08</v>
      </c>
      <c r="AG2" t="s">
        <v>241</v>
      </c>
      <c r="AH2" s="2" t="s">
        <v>995</v>
      </c>
      <c r="AI2" t="s">
        <v>486</v>
      </c>
      <c r="AJ2" t="s">
        <v>655</v>
      </c>
      <c r="AK2" t="s">
        <v>1308</v>
      </c>
    </row>
    <row r="3" spans="1:37" x14ac:dyDescent="0.25">
      <c r="A3" t="s">
        <v>422</v>
      </c>
      <c r="B3" t="s">
        <v>23</v>
      </c>
      <c r="C3" t="s">
        <v>112</v>
      </c>
      <c r="D3" t="s">
        <v>14</v>
      </c>
      <c r="E3" t="s">
        <v>22</v>
      </c>
      <c r="F3" s="3">
        <v>2</v>
      </c>
      <c r="G3" s="14" t="s">
        <v>471</v>
      </c>
      <c r="H3" s="14" t="s">
        <v>471</v>
      </c>
      <c r="I3" s="14" t="s">
        <v>475</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95" t="s">
        <v>994</v>
      </c>
      <c r="AC3" t="s">
        <v>463</v>
      </c>
      <c r="AD3" t="s">
        <v>498</v>
      </c>
      <c r="AE3" t="s">
        <v>499</v>
      </c>
      <c r="AF3" s="58">
        <v>0.09</v>
      </c>
      <c r="AI3" t="s">
        <v>485</v>
      </c>
      <c r="AJ3" t="s">
        <v>653</v>
      </c>
      <c r="AK3" t="s">
        <v>1309</v>
      </c>
    </row>
    <row r="4" spans="1:37" x14ac:dyDescent="0.25">
      <c r="A4" t="s">
        <v>447</v>
      </c>
      <c r="B4" t="s">
        <v>13</v>
      </c>
      <c r="C4" t="s">
        <v>113</v>
      </c>
      <c r="D4" t="s">
        <v>62</v>
      </c>
      <c r="E4" t="s">
        <v>32</v>
      </c>
      <c r="F4" s="3">
        <v>3</v>
      </c>
      <c r="G4" s="14" t="s">
        <v>473</v>
      </c>
      <c r="H4" s="14" t="s">
        <v>471</v>
      </c>
      <c r="I4" s="14"/>
      <c r="J4" s="14"/>
      <c r="K4" s="14"/>
      <c r="M4">
        <v>4</v>
      </c>
      <c r="P4" t="s">
        <v>235</v>
      </c>
      <c r="Q4">
        <v>5</v>
      </c>
      <c r="R4" t="s">
        <v>248</v>
      </c>
      <c r="S4" s="18">
        <v>8.8999999999999996E-2</v>
      </c>
      <c r="T4" s="18">
        <v>0.106</v>
      </c>
      <c r="U4" s="18">
        <v>0.17299999999999999</v>
      </c>
      <c r="V4" s="19">
        <v>0</v>
      </c>
      <c r="W4" s="19">
        <v>0</v>
      </c>
      <c r="X4" s="19">
        <v>1.15E-2</v>
      </c>
      <c r="Z4" t="s">
        <v>372</v>
      </c>
      <c r="AA4" s="26">
        <v>3</v>
      </c>
      <c r="AB4" s="894" t="s">
        <v>1183</v>
      </c>
      <c r="AF4" s="58">
        <v>0.1</v>
      </c>
      <c r="AI4" t="s">
        <v>1262</v>
      </c>
      <c r="AK4" t="s">
        <v>1310</v>
      </c>
    </row>
    <row r="5" spans="1:37" x14ac:dyDescent="0.25">
      <c r="A5" t="s">
        <v>402</v>
      </c>
      <c r="B5" t="s">
        <v>3</v>
      </c>
      <c r="C5" t="s">
        <v>111</v>
      </c>
      <c r="D5" t="s">
        <v>74</v>
      </c>
      <c r="E5" t="s">
        <v>65</v>
      </c>
      <c r="F5" s="3">
        <v>4</v>
      </c>
      <c r="G5" s="14" t="s">
        <v>472</v>
      </c>
      <c r="H5" s="14" t="s">
        <v>471</v>
      </c>
      <c r="J5" s="14"/>
      <c r="K5" s="14"/>
      <c r="M5">
        <v>5</v>
      </c>
      <c r="P5" t="s">
        <v>236</v>
      </c>
      <c r="Q5">
        <v>6</v>
      </c>
      <c r="R5" t="s">
        <v>249</v>
      </c>
      <c r="S5" s="18">
        <v>9.2999999999999999E-2</v>
      </c>
      <c r="T5" s="18">
        <v>0.115</v>
      </c>
      <c r="U5" s="18">
        <v>0.191</v>
      </c>
      <c r="V5" s="19">
        <v>0</v>
      </c>
      <c r="W5" s="19">
        <v>0</v>
      </c>
      <c r="X5" s="19">
        <v>4.8500000000000001E-3</v>
      </c>
      <c r="Z5" t="s">
        <v>373</v>
      </c>
      <c r="AA5" s="26">
        <v>4</v>
      </c>
      <c r="AB5" s="894" t="s">
        <v>1263</v>
      </c>
      <c r="AF5" s="58">
        <v>0.11</v>
      </c>
      <c r="AK5" t="s">
        <v>1311</v>
      </c>
    </row>
    <row r="6" spans="1:37" x14ac:dyDescent="0.25">
      <c r="A6" t="s">
        <v>426</v>
      </c>
      <c r="B6" t="s">
        <v>8</v>
      </c>
      <c r="C6" t="s">
        <v>115</v>
      </c>
      <c r="D6" t="s">
        <v>34</v>
      </c>
      <c r="E6" t="s">
        <v>37</v>
      </c>
      <c r="F6" s="3">
        <v>5</v>
      </c>
      <c r="G6" s="14" t="s">
        <v>474</v>
      </c>
      <c r="H6" s="14" t="s">
        <v>471</v>
      </c>
      <c r="I6" s="14">
        <v>5</v>
      </c>
      <c r="J6" s="14"/>
      <c r="K6" s="14"/>
      <c r="P6" t="s">
        <v>237</v>
      </c>
      <c r="Q6">
        <v>7</v>
      </c>
      <c r="AA6" s="26">
        <v>5</v>
      </c>
      <c r="AB6" s="894" t="s">
        <v>1264</v>
      </c>
      <c r="AF6" s="58">
        <v>0.12</v>
      </c>
      <c r="AK6" t="s">
        <v>1312</v>
      </c>
    </row>
    <row r="7" spans="1:37" x14ac:dyDescent="0.25">
      <c r="A7" t="s">
        <v>417</v>
      </c>
      <c r="B7" t="s">
        <v>18</v>
      </c>
      <c r="D7" t="s">
        <v>0</v>
      </c>
      <c r="E7"/>
      <c r="G7" s="14" t="s">
        <v>132</v>
      </c>
      <c r="H7" s="14"/>
      <c r="I7" s="14">
        <v>6</v>
      </c>
      <c r="J7" s="14"/>
      <c r="K7" s="14"/>
      <c r="P7" t="s">
        <v>238</v>
      </c>
      <c r="Q7">
        <v>8</v>
      </c>
      <c r="AA7" s="26">
        <v>6</v>
      </c>
      <c r="AB7" s="897"/>
    </row>
    <row r="8" spans="1:37" x14ac:dyDescent="0.25">
      <c r="A8" t="s">
        <v>420</v>
      </c>
      <c r="D8" t="s">
        <v>69</v>
      </c>
      <c r="E8"/>
      <c r="G8" s="14"/>
      <c r="H8" s="14"/>
      <c r="I8" s="14">
        <v>7</v>
      </c>
      <c r="J8" s="14"/>
      <c r="K8" s="14"/>
      <c r="P8" t="s">
        <v>239</v>
      </c>
      <c r="Q8">
        <v>9</v>
      </c>
      <c r="AA8" s="26">
        <v>7</v>
      </c>
    </row>
    <row r="9" spans="1:37" x14ac:dyDescent="0.25">
      <c r="A9" t="s">
        <v>413</v>
      </c>
      <c r="D9" t="s">
        <v>4</v>
      </c>
      <c r="E9"/>
      <c r="I9" s="14">
        <v>8</v>
      </c>
      <c r="J9" s="14"/>
      <c r="K9" s="14"/>
      <c r="AA9" s="26">
        <v>8</v>
      </c>
    </row>
    <row r="10" spans="1:37" x14ac:dyDescent="0.25">
      <c r="A10" t="s">
        <v>452</v>
      </c>
      <c r="D10" t="s">
        <v>35</v>
      </c>
      <c r="E10"/>
      <c r="I10" s="14">
        <v>8</v>
      </c>
      <c r="J10" s="14"/>
      <c r="K10" s="14"/>
      <c r="AA10" s="26">
        <v>9</v>
      </c>
    </row>
    <row r="11" spans="1:37" x14ac:dyDescent="0.25">
      <c r="A11" t="s">
        <v>424</v>
      </c>
      <c r="D11" t="s">
        <v>6</v>
      </c>
      <c r="E11"/>
      <c r="I11" s="14">
        <v>9</v>
      </c>
      <c r="J11" s="42" t="s">
        <v>478</v>
      </c>
      <c r="K11" s="44">
        <f>'EB_CM (Back)'!$B$7</f>
        <v>0</v>
      </c>
      <c r="L11" s="42" t="s">
        <v>476</v>
      </c>
      <c r="M11" s="1" t="s">
        <v>477</v>
      </c>
      <c r="AA11" s="26">
        <v>10</v>
      </c>
    </row>
    <row r="12" spans="1:37" x14ac:dyDescent="0.25">
      <c r="A12" t="s">
        <v>437</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451</v>
      </c>
      <c r="C13" t="s">
        <v>114</v>
      </c>
      <c r="D13" t="s">
        <v>45</v>
      </c>
      <c r="E13"/>
      <c r="G13" s="14"/>
      <c r="H13" s="14"/>
      <c r="I13" s="14"/>
      <c r="J13" s="14"/>
      <c r="L13" s="42">
        <v>0.55000000000000004</v>
      </c>
      <c r="M13" s="45">
        <v>1.4999999999999999E-2</v>
      </c>
    </row>
    <row r="14" spans="1:37" x14ac:dyDescent="0.25">
      <c r="A14" t="s">
        <v>406</v>
      </c>
      <c r="C14" t="s">
        <v>116</v>
      </c>
      <c r="D14" t="s">
        <v>48</v>
      </c>
      <c r="E14" t="s">
        <v>42</v>
      </c>
      <c r="G14" s="14"/>
      <c r="H14" s="14"/>
      <c r="I14" s="14"/>
      <c r="J14" s="14" t="s">
        <v>487</v>
      </c>
      <c r="L14" s="42">
        <v>0.5</v>
      </c>
      <c r="M14" s="45">
        <v>1.2500000000000001E-2</v>
      </c>
    </row>
    <row r="15" spans="1:37" x14ac:dyDescent="0.25">
      <c r="A15" t="s">
        <v>448</v>
      </c>
      <c r="C15" t="s">
        <v>118</v>
      </c>
      <c r="D15" t="s">
        <v>60</v>
      </c>
      <c r="E15" t="s">
        <v>29</v>
      </c>
      <c r="G15" s="9"/>
      <c r="H15" s="9"/>
      <c r="I15" s="9"/>
      <c r="J15" s="9"/>
      <c r="L15" s="43">
        <v>0.43009999999999998</v>
      </c>
      <c r="M15" s="45">
        <v>0.01</v>
      </c>
    </row>
    <row r="16" spans="1:37" x14ac:dyDescent="0.25">
      <c r="A16" t="s">
        <v>412</v>
      </c>
      <c r="C16" t="s">
        <v>117</v>
      </c>
      <c r="D16" t="s">
        <v>20</v>
      </c>
      <c r="E16" t="s">
        <v>64</v>
      </c>
      <c r="G16" s="9"/>
      <c r="H16" s="9"/>
      <c r="I16" s="9"/>
      <c r="J16" s="9"/>
      <c r="L16" s="43">
        <v>0.30010000000000003</v>
      </c>
      <c r="M16" s="45">
        <v>5.0000000000000001E-3</v>
      </c>
    </row>
    <row r="17" spans="1:13" x14ac:dyDescent="0.25">
      <c r="A17" t="s">
        <v>415</v>
      </c>
      <c r="D17" t="s">
        <v>36</v>
      </c>
      <c r="E17" t="s">
        <v>19</v>
      </c>
      <c r="G17" s="9"/>
      <c r="H17" s="9"/>
      <c r="I17" s="9"/>
      <c r="J17" s="9"/>
      <c r="L17" s="43">
        <v>0.1</v>
      </c>
      <c r="M17" s="45">
        <v>2.5000000000000001E-3</v>
      </c>
    </row>
    <row r="18" spans="1:13" x14ac:dyDescent="0.25">
      <c r="A18" t="s">
        <v>405</v>
      </c>
      <c r="D18" t="s">
        <v>71</v>
      </c>
      <c r="E18" t="s">
        <v>121</v>
      </c>
      <c r="G18" s="9"/>
      <c r="H18" s="9"/>
      <c r="I18" s="9"/>
      <c r="J18" s="9"/>
      <c r="K18" s="9"/>
    </row>
    <row r="19" spans="1:13" x14ac:dyDescent="0.25">
      <c r="A19" t="s">
        <v>444</v>
      </c>
      <c r="D19" t="s">
        <v>11</v>
      </c>
      <c r="E19" t="s">
        <v>58</v>
      </c>
      <c r="G19" s="9"/>
      <c r="H19" s="9"/>
      <c r="I19" s="9"/>
      <c r="J19" s="43" t="s">
        <v>217</v>
      </c>
      <c r="K19" s="43" t="e">
        <f>#REF!/(#REF!*52)</f>
        <v>#REF!</v>
      </c>
      <c r="L19" s="1" t="s">
        <v>479</v>
      </c>
      <c r="M19" s="1" t="s">
        <v>480</v>
      </c>
    </row>
    <row r="20" spans="1:13" x14ac:dyDescent="0.25">
      <c r="A20" t="s">
        <v>428</v>
      </c>
      <c r="D20" t="s">
        <v>9</v>
      </c>
      <c r="E20" t="s">
        <v>22</v>
      </c>
      <c r="G20" s="9"/>
      <c r="H20" s="9"/>
      <c r="I20" s="9"/>
      <c r="J20" s="43"/>
      <c r="K20" s="43" t="e">
        <f>IF($K$19&lt;$L$24,$M$24,IF($K$19&lt;$L$23,$M$23,IF($K$19&lt;$L$22,$M$22,IF($K$19&lt;$L$21,$M$21,$M$20))))</f>
        <v>#REF!</v>
      </c>
      <c r="L20" s="1"/>
      <c r="M20" s="45">
        <v>1.4999999999999999E-2</v>
      </c>
    </row>
    <row r="21" spans="1:13" x14ac:dyDescent="0.25">
      <c r="A21" t="s">
        <v>440</v>
      </c>
      <c r="D21" t="s">
        <v>38</v>
      </c>
      <c r="E21" t="s">
        <v>43</v>
      </c>
      <c r="G21" s="9"/>
      <c r="H21" s="9"/>
      <c r="I21" s="9"/>
      <c r="J21" s="9"/>
      <c r="K21" s="9"/>
      <c r="L21" s="1">
        <v>3133.9311044776123</v>
      </c>
      <c r="M21" s="45">
        <v>0.01</v>
      </c>
    </row>
    <row r="22" spans="1:13" x14ac:dyDescent="0.25">
      <c r="A22" t="s">
        <v>410</v>
      </c>
      <c r="D22" t="s">
        <v>261</v>
      </c>
      <c r="E22" t="s">
        <v>10</v>
      </c>
      <c r="L22" s="1">
        <v>2118.2275862069</v>
      </c>
      <c r="M22" s="45">
        <v>7.4999999999999997E-3</v>
      </c>
    </row>
    <row r="23" spans="1:13" x14ac:dyDescent="0.25">
      <c r="A23" t="s">
        <v>430</v>
      </c>
      <c r="D23" t="s">
        <v>257</v>
      </c>
      <c r="E23" t="s">
        <v>55</v>
      </c>
      <c r="L23" s="1">
        <v>1484.5700242718401</v>
      </c>
      <c r="M23" s="45">
        <v>5.0000000000000001E-3</v>
      </c>
    </row>
    <row r="24" spans="1:13" x14ac:dyDescent="0.25">
      <c r="A24" t="s">
        <v>421</v>
      </c>
      <c r="D24" t="s">
        <v>258</v>
      </c>
      <c r="E24" t="s">
        <v>26</v>
      </c>
      <c r="L24" s="1">
        <v>968.90328358209001</v>
      </c>
      <c r="M24" s="45">
        <v>0</v>
      </c>
    </row>
    <row r="25" spans="1:13" ht="18.75" x14ac:dyDescent="0.3">
      <c r="A25" t="s">
        <v>446</v>
      </c>
      <c r="D25" t="s">
        <v>259</v>
      </c>
      <c r="E25" t="s">
        <v>50</v>
      </c>
      <c r="G25" s="11"/>
      <c r="H25" s="11"/>
      <c r="I25" s="11"/>
      <c r="J25" s="11"/>
      <c r="K25" s="11"/>
    </row>
    <row r="26" spans="1:13" x14ac:dyDescent="0.25">
      <c r="A26" t="s">
        <v>435</v>
      </c>
      <c r="D26" t="s">
        <v>260</v>
      </c>
      <c r="E26" t="s">
        <v>67</v>
      </c>
    </row>
    <row r="27" spans="1:13" x14ac:dyDescent="0.25">
      <c r="A27" t="s">
        <v>401</v>
      </c>
      <c r="D27" t="s">
        <v>262</v>
      </c>
      <c r="E27" t="s">
        <v>32</v>
      </c>
    </row>
    <row r="28" spans="1:13" x14ac:dyDescent="0.25">
      <c r="A28" t="s">
        <v>404</v>
      </c>
      <c r="D28" t="s">
        <v>263</v>
      </c>
      <c r="E28" t="s">
        <v>80</v>
      </c>
    </row>
    <row r="29" spans="1:13" x14ac:dyDescent="0.25">
      <c r="A29" t="s">
        <v>449</v>
      </c>
      <c r="D29" t="s">
        <v>264</v>
      </c>
      <c r="E29" t="s">
        <v>46</v>
      </c>
    </row>
    <row r="30" spans="1:13" x14ac:dyDescent="0.25">
      <c r="A30" t="s">
        <v>434</v>
      </c>
      <c r="D30" t="s">
        <v>265</v>
      </c>
      <c r="E30" t="s">
        <v>77</v>
      </c>
    </row>
    <row r="31" spans="1:13" x14ac:dyDescent="0.25">
      <c r="A31" t="s">
        <v>439</v>
      </c>
      <c r="E31" t="s">
        <v>65</v>
      </c>
    </row>
    <row r="32" spans="1:13" x14ac:dyDescent="0.25">
      <c r="A32" t="s">
        <v>429</v>
      </c>
      <c r="E32" t="s">
        <v>37</v>
      </c>
    </row>
    <row r="33" spans="1:5" x14ac:dyDescent="0.25">
      <c r="A33" t="s">
        <v>423</v>
      </c>
      <c r="D33" t="s">
        <v>261</v>
      </c>
      <c r="E33" t="s">
        <v>2</v>
      </c>
    </row>
    <row r="34" spans="1:5" x14ac:dyDescent="0.25">
      <c r="A34" t="s">
        <v>442</v>
      </c>
      <c r="D34" t="s">
        <v>257</v>
      </c>
      <c r="E34" t="s">
        <v>52</v>
      </c>
    </row>
    <row r="35" spans="1:5" x14ac:dyDescent="0.25">
      <c r="A35" t="s">
        <v>409</v>
      </c>
      <c r="D35" t="s">
        <v>258</v>
      </c>
      <c r="E35" t="s">
        <v>76</v>
      </c>
    </row>
    <row r="36" spans="1:5" x14ac:dyDescent="0.25">
      <c r="A36" t="s">
        <v>431</v>
      </c>
      <c r="D36" t="s">
        <v>259</v>
      </c>
      <c r="E36" t="s">
        <v>63</v>
      </c>
    </row>
    <row r="37" spans="1:5" x14ac:dyDescent="0.25">
      <c r="A37" t="s">
        <v>427</v>
      </c>
      <c r="D37" t="s">
        <v>260</v>
      </c>
      <c r="E37" t="s">
        <v>68</v>
      </c>
    </row>
    <row r="38" spans="1:5" x14ac:dyDescent="0.25">
      <c r="A38" t="s">
        <v>443</v>
      </c>
      <c r="D38" t="s">
        <v>262</v>
      </c>
      <c r="E38" t="s">
        <v>21</v>
      </c>
    </row>
    <row r="39" spans="1:5" x14ac:dyDescent="0.25">
      <c r="A39" t="s">
        <v>432</v>
      </c>
      <c r="D39" t="s">
        <v>263</v>
      </c>
      <c r="E39" t="s">
        <v>51</v>
      </c>
    </row>
    <row r="40" spans="1:5" x14ac:dyDescent="0.25">
      <c r="A40" t="s">
        <v>407</v>
      </c>
      <c r="D40" t="s">
        <v>264</v>
      </c>
      <c r="E40" t="s">
        <v>41</v>
      </c>
    </row>
    <row r="41" spans="1:5" x14ac:dyDescent="0.25">
      <c r="A41" t="s">
        <v>408</v>
      </c>
      <c r="D41" t="s">
        <v>265</v>
      </c>
      <c r="E41" t="s">
        <v>28</v>
      </c>
    </row>
    <row r="42" spans="1:5" x14ac:dyDescent="0.25">
      <c r="A42" t="s">
        <v>419</v>
      </c>
      <c r="E42" t="s">
        <v>39</v>
      </c>
    </row>
    <row r="43" spans="1:5" x14ac:dyDescent="0.25">
      <c r="A43" t="s">
        <v>438</v>
      </c>
      <c r="E43" t="s">
        <v>49</v>
      </c>
    </row>
    <row r="44" spans="1:5" x14ac:dyDescent="0.25">
      <c r="A44" t="s">
        <v>418</v>
      </c>
      <c r="E44" t="s">
        <v>243</v>
      </c>
    </row>
    <row r="45" spans="1:5" x14ac:dyDescent="0.25">
      <c r="A45" t="s">
        <v>414</v>
      </c>
      <c r="E45" t="s">
        <v>66</v>
      </c>
    </row>
    <row r="46" spans="1:5" x14ac:dyDescent="0.25">
      <c r="A46" t="s">
        <v>403</v>
      </c>
      <c r="E46" t="s">
        <v>70</v>
      </c>
    </row>
    <row r="47" spans="1:5" x14ac:dyDescent="0.25">
      <c r="A47" t="s">
        <v>453</v>
      </c>
      <c r="E47" t="s">
        <v>24</v>
      </c>
    </row>
    <row r="48" spans="1:5" x14ac:dyDescent="0.25">
      <c r="A48" t="s">
        <v>441</v>
      </c>
      <c r="E48" t="s">
        <v>72</v>
      </c>
    </row>
    <row r="49" spans="1:5" x14ac:dyDescent="0.25">
      <c r="A49" t="s">
        <v>445</v>
      </c>
      <c r="E49" t="s">
        <v>27</v>
      </c>
    </row>
    <row r="50" spans="1:5" x14ac:dyDescent="0.25">
      <c r="A50" t="s">
        <v>425</v>
      </c>
      <c r="E50" t="s">
        <v>59</v>
      </c>
    </row>
    <row r="51" spans="1:5" x14ac:dyDescent="0.25">
      <c r="A51" t="s">
        <v>416</v>
      </c>
      <c r="E51" t="s">
        <v>54</v>
      </c>
    </row>
    <row r="52" spans="1:5" x14ac:dyDescent="0.25">
      <c r="A52" t="s">
        <v>411</v>
      </c>
      <c r="E52" t="s">
        <v>122</v>
      </c>
    </row>
    <row r="53" spans="1:5" x14ac:dyDescent="0.25">
      <c r="A53" t="s">
        <v>436</v>
      </c>
      <c r="E53" t="s">
        <v>7</v>
      </c>
    </row>
    <row r="54" spans="1:5" x14ac:dyDescent="0.25">
      <c r="A54" t="s">
        <v>450</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377</v>
      </c>
      <c r="B1" s="29" t="s">
        <v>85</v>
      </c>
      <c r="C1" s="28" t="s">
        <v>193</v>
      </c>
      <c r="D1" s="28" t="s">
        <v>84</v>
      </c>
      <c r="E1" s="28" t="s">
        <v>378</v>
      </c>
      <c r="F1" s="28" t="s">
        <v>377</v>
      </c>
      <c r="G1" s="29" t="s">
        <v>85</v>
      </c>
    </row>
    <row r="2" spans="1:7" x14ac:dyDescent="0.25">
      <c r="A2" s="1072" t="s">
        <v>137</v>
      </c>
      <c r="B2" s="1056" t="s">
        <v>13</v>
      </c>
      <c r="C2" s="1056" t="s">
        <v>382</v>
      </c>
      <c r="D2" s="1056" t="s">
        <v>12</v>
      </c>
      <c r="E2" s="1054">
        <v>2140</v>
      </c>
      <c r="F2" s="1054" t="s">
        <v>137</v>
      </c>
      <c r="G2" s="1056" t="s">
        <v>13</v>
      </c>
    </row>
    <row r="3" spans="1:7" x14ac:dyDescent="0.25">
      <c r="A3" s="1072" t="s">
        <v>138</v>
      </c>
      <c r="B3" s="1056" t="s">
        <v>18</v>
      </c>
      <c r="C3" s="1056" t="s">
        <v>1213</v>
      </c>
      <c r="D3" s="1056" t="s">
        <v>56</v>
      </c>
      <c r="E3" s="1054">
        <v>1933</v>
      </c>
      <c r="F3" s="1054" t="s">
        <v>138</v>
      </c>
      <c r="G3" s="1056" t="s">
        <v>18</v>
      </c>
    </row>
    <row r="4" spans="1:7" x14ac:dyDescent="0.25">
      <c r="A4" s="1072" t="s">
        <v>189</v>
      </c>
      <c r="B4" s="1056" t="s">
        <v>13</v>
      </c>
      <c r="C4" s="1056" t="s">
        <v>379</v>
      </c>
      <c r="D4" s="1056" t="s">
        <v>33</v>
      </c>
      <c r="E4" s="1054">
        <v>2110</v>
      </c>
      <c r="F4" s="1054" t="s">
        <v>189</v>
      </c>
      <c r="G4" s="1056" t="s">
        <v>13</v>
      </c>
    </row>
    <row r="5" spans="1:7" x14ac:dyDescent="0.25">
      <c r="A5" s="1072" t="s">
        <v>1198</v>
      </c>
      <c r="B5" s="1056" t="s">
        <v>18</v>
      </c>
      <c r="C5" s="1056" t="s">
        <v>1199</v>
      </c>
      <c r="D5" s="1056" t="s">
        <v>1199</v>
      </c>
      <c r="E5" s="1054">
        <v>4190</v>
      </c>
      <c r="F5" s="1054" t="s">
        <v>1198</v>
      </c>
      <c r="G5" s="1056" t="s">
        <v>18</v>
      </c>
    </row>
    <row r="6" spans="1:7" x14ac:dyDescent="0.25">
      <c r="A6" s="1072" t="s">
        <v>160</v>
      </c>
      <c r="B6" s="1056" t="s">
        <v>8</v>
      </c>
      <c r="C6" s="1056" t="s">
        <v>384</v>
      </c>
      <c r="D6" s="1056" t="s">
        <v>5</v>
      </c>
      <c r="E6" s="1054">
        <v>2220</v>
      </c>
      <c r="F6" s="1054" t="s">
        <v>160</v>
      </c>
      <c r="G6" s="1056" t="s">
        <v>8</v>
      </c>
    </row>
    <row r="7" spans="1:7" x14ac:dyDescent="0.25">
      <c r="A7" s="1072" t="s">
        <v>144</v>
      </c>
      <c r="B7" s="1056" t="s">
        <v>1452</v>
      </c>
      <c r="C7" s="1056" t="s">
        <v>385</v>
      </c>
      <c r="D7" s="1056" t="s">
        <v>42</v>
      </c>
      <c r="E7" s="1054">
        <v>3023</v>
      </c>
      <c r="F7" s="1054" t="s">
        <v>144</v>
      </c>
      <c r="G7" s="1056" t="s">
        <v>1452</v>
      </c>
    </row>
    <row r="8" spans="1:7" x14ac:dyDescent="0.25">
      <c r="A8" s="1072" t="s">
        <v>1200</v>
      </c>
      <c r="B8" s="1056" t="s">
        <v>18</v>
      </c>
      <c r="C8" s="1056" t="s">
        <v>393</v>
      </c>
      <c r="D8" s="1056" t="s">
        <v>1201</v>
      </c>
      <c r="E8" s="1054">
        <v>3310</v>
      </c>
      <c r="F8" s="1054" t="s">
        <v>1200</v>
      </c>
      <c r="G8" s="1056" t="s">
        <v>18</v>
      </c>
    </row>
    <row r="9" spans="1:7" x14ac:dyDescent="0.25">
      <c r="A9" s="1072" t="s">
        <v>180</v>
      </c>
      <c r="B9" s="1056" t="s">
        <v>1452</v>
      </c>
      <c r="C9" s="1056" t="s">
        <v>1077</v>
      </c>
      <c r="D9" s="1056" t="s">
        <v>897</v>
      </c>
      <c r="E9" s="1054">
        <v>2345</v>
      </c>
      <c r="F9" s="1054" t="s">
        <v>180</v>
      </c>
      <c r="G9" s="1056" t="s">
        <v>1452</v>
      </c>
    </row>
    <row r="10" spans="1:7" x14ac:dyDescent="0.25">
      <c r="A10" s="1072" t="s">
        <v>141</v>
      </c>
      <c r="B10" s="1056" t="s">
        <v>8</v>
      </c>
      <c r="C10" s="1056" t="s">
        <v>391</v>
      </c>
      <c r="D10" s="1056" t="s">
        <v>29</v>
      </c>
      <c r="E10" s="1054">
        <v>3135</v>
      </c>
      <c r="F10" s="1054" t="s">
        <v>141</v>
      </c>
      <c r="G10" s="1056" t="s">
        <v>8</v>
      </c>
    </row>
    <row r="11" spans="1:7" x14ac:dyDescent="0.25">
      <c r="A11" s="1072" t="s">
        <v>186</v>
      </c>
      <c r="B11" s="1056" t="s">
        <v>13</v>
      </c>
      <c r="C11" s="1056" t="s">
        <v>1083</v>
      </c>
      <c r="D11" s="1056" t="s">
        <v>64</v>
      </c>
      <c r="E11" s="1054">
        <v>2148</v>
      </c>
      <c r="F11" s="1054" t="s">
        <v>186</v>
      </c>
      <c r="G11" s="1056" t="s">
        <v>13</v>
      </c>
    </row>
    <row r="12" spans="1:7" x14ac:dyDescent="0.25">
      <c r="A12" s="1072" t="s">
        <v>185</v>
      </c>
      <c r="B12" s="1056" t="s">
        <v>13</v>
      </c>
      <c r="C12" s="1056" t="s">
        <v>382</v>
      </c>
      <c r="D12" s="1056" t="s">
        <v>19</v>
      </c>
      <c r="E12" s="1054">
        <v>2190</v>
      </c>
      <c r="F12" s="1054" t="s">
        <v>185</v>
      </c>
      <c r="G12" s="1056" t="s">
        <v>13</v>
      </c>
    </row>
    <row r="13" spans="1:7" x14ac:dyDescent="0.25">
      <c r="A13" s="1072" t="s">
        <v>162</v>
      </c>
      <c r="B13" s="1056" t="s">
        <v>8</v>
      </c>
      <c r="C13" s="1056" t="s">
        <v>392</v>
      </c>
      <c r="D13" s="1056" t="s">
        <v>121</v>
      </c>
      <c r="E13" s="1054">
        <v>2210</v>
      </c>
      <c r="F13" s="1054" t="s">
        <v>162</v>
      </c>
      <c r="G13" s="1056" t="s">
        <v>8</v>
      </c>
    </row>
    <row r="14" spans="1:7" x14ac:dyDescent="0.25">
      <c r="A14" s="1072" t="s">
        <v>174</v>
      </c>
      <c r="B14" s="1056" t="s">
        <v>1452</v>
      </c>
      <c r="C14" s="1056" t="s">
        <v>194</v>
      </c>
      <c r="D14" s="1056" t="s">
        <v>58</v>
      </c>
      <c r="E14" s="1054">
        <v>2099</v>
      </c>
      <c r="F14" s="1054" t="s">
        <v>174</v>
      </c>
      <c r="G14" s="1056" t="s">
        <v>1452</v>
      </c>
    </row>
    <row r="15" spans="1:7" x14ac:dyDescent="0.25">
      <c r="A15" s="1072" t="s">
        <v>175</v>
      </c>
      <c r="B15" s="1056" t="s">
        <v>13</v>
      </c>
      <c r="C15" s="1056" t="s">
        <v>195</v>
      </c>
      <c r="D15" s="1056" t="s">
        <v>22</v>
      </c>
      <c r="E15" s="1054">
        <v>1103</v>
      </c>
      <c r="F15" s="1054" t="s">
        <v>175</v>
      </c>
      <c r="G15" s="1056" t="s">
        <v>13</v>
      </c>
    </row>
    <row r="16" spans="1:7" x14ac:dyDescent="0.25">
      <c r="A16" s="1072" t="s">
        <v>173</v>
      </c>
      <c r="B16" s="1056" t="s">
        <v>13</v>
      </c>
      <c r="C16" s="1056" t="s">
        <v>196</v>
      </c>
      <c r="D16" s="1056" t="s">
        <v>43</v>
      </c>
      <c r="E16" s="1054">
        <v>1104</v>
      </c>
      <c r="F16" s="1054" t="s">
        <v>173</v>
      </c>
      <c r="G16" s="1056" t="s">
        <v>13</v>
      </c>
    </row>
    <row r="17" spans="1:7" x14ac:dyDescent="0.25">
      <c r="A17" s="1072" t="s">
        <v>163</v>
      </c>
      <c r="B17" s="1056" t="s">
        <v>8</v>
      </c>
      <c r="C17" s="1056" t="s">
        <v>390</v>
      </c>
      <c r="D17" s="1056" t="s">
        <v>10</v>
      </c>
      <c r="E17" s="1054">
        <v>2260</v>
      </c>
      <c r="F17" s="1054" t="s">
        <v>163</v>
      </c>
      <c r="G17" s="1056" t="s">
        <v>8</v>
      </c>
    </row>
    <row r="18" spans="1:7" x14ac:dyDescent="0.25">
      <c r="A18" s="1072" t="s">
        <v>192</v>
      </c>
      <c r="B18" s="1056" t="s">
        <v>13</v>
      </c>
      <c r="C18" s="1056" t="s">
        <v>61</v>
      </c>
      <c r="D18" s="1056" t="s">
        <v>896</v>
      </c>
      <c r="E18" s="1054">
        <v>2020</v>
      </c>
      <c r="F18" s="1054" t="s">
        <v>192</v>
      </c>
      <c r="G18" s="1056" t="s">
        <v>13</v>
      </c>
    </row>
    <row r="19" spans="1:7" x14ac:dyDescent="0.25">
      <c r="A19" s="1072" t="s">
        <v>165</v>
      </c>
      <c r="B19" s="1056" t="s">
        <v>18</v>
      </c>
      <c r="C19" s="1056" t="s">
        <v>396</v>
      </c>
      <c r="D19" s="1056" t="s">
        <v>55</v>
      </c>
      <c r="E19" s="1054">
        <v>4150</v>
      </c>
      <c r="F19" s="1054" t="s">
        <v>165</v>
      </c>
      <c r="G19" s="1056" t="s">
        <v>18</v>
      </c>
    </row>
    <row r="20" spans="1:7" x14ac:dyDescent="0.25">
      <c r="A20" s="1072" t="s">
        <v>146</v>
      </c>
      <c r="B20" s="1056" t="s">
        <v>1452</v>
      </c>
      <c r="C20" s="1056" t="s">
        <v>386</v>
      </c>
      <c r="D20" s="1056" t="s">
        <v>26</v>
      </c>
      <c r="E20" s="1054">
        <v>3150</v>
      </c>
      <c r="F20" s="1054" t="s">
        <v>146</v>
      </c>
      <c r="G20" s="1056" t="s">
        <v>1452</v>
      </c>
    </row>
    <row r="21" spans="1:7" x14ac:dyDescent="0.25">
      <c r="A21" s="1072" t="s">
        <v>1202</v>
      </c>
      <c r="B21" s="1056" t="s">
        <v>1452</v>
      </c>
      <c r="C21" s="1056" t="s">
        <v>395</v>
      </c>
      <c r="D21" s="1056" t="s">
        <v>1203</v>
      </c>
      <c r="E21" s="1054">
        <v>3340</v>
      </c>
      <c r="F21" s="1054" t="s">
        <v>1202</v>
      </c>
      <c r="G21" s="1056" t="s">
        <v>1452</v>
      </c>
    </row>
    <row r="22" spans="1:7" x14ac:dyDescent="0.25">
      <c r="A22" s="1072" t="s">
        <v>147</v>
      </c>
      <c r="B22" s="1056" t="s">
        <v>1452</v>
      </c>
      <c r="C22" s="1056" t="s">
        <v>395</v>
      </c>
      <c r="D22" s="1056" t="s">
        <v>1204</v>
      </c>
      <c r="E22" s="1054">
        <v>3160</v>
      </c>
      <c r="F22" s="1054" t="s">
        <v>147</v>
      </c>
      <c r="G22" s="1056" t="s">
        <v>1452</v>
      </c>
    </row>
    <row r="23" spans="1:7" x14ac:dyDescent="0.25">
      <c r="A23" s="1072" t="s">
        <v>142</v>
      </c>
      <c r="B23" s="1056" t="s">
        <v>13</v>
      </c>
      <c r="C23" s="1056" t="s">
        <v>196</v>
      </c>
      <c r="D23" s="1056" t="s">
        <v>67</v>
      </c>
      <c r="E23" s="1054">
        <v>1106</v>
      </c>
      <c r="F23" s="1054" t="s">
        <v>142</v>
      </c>
      <c r="G23" s="1056" t="s">
        <v>13</v>
      </c>
    </row>
    <row r="24" spans="1:7" x14ac:dyDescent="0.25">
      <c r="A24" s="1072" t="s">
        <v>1214</v>
      </c>
      <c r="B24" s="1056" t="s">
        <v>18</v>
      </c>
      <c r="C24" s="1056" t="s">
        <v>1215</v>
      </c>
      <c r="D24" s="1056" t="s">
        <v>1216</v>
      </c>
      <c r="E24" s="1054">
        <v>4175</v>
      </c>
      <c r="F24" s="1054" t="s">
        <v>1214</v>
      </c>
      <c r="G24" s="1056" t="s">
        <v>18</v>
      </c>
    </row>
    <row r="25" spans="1:7" x14ac:dyDescent="0.25">
      <c r="A25" s="1072" t="s">
        <v>156</v>
      </c>
      <c r="B25" s="1056" t="s">
        <v>8</v>
      </c>
      <c r="C25" s="1056" t="s">
        <v>392</v>
      </c>
      <c r="D25" s="1056" t="s">
        <v>32</v>
      </c>
      <c r="E25" s="1054">
        <v>2250</v>
      </c>
      <c r="F25" s="1054" t="s">
        <v>156</v>
      </c>
      <c r="G25" s="1056" t="s">
        <v>8</v>
      </c>
    </row>
    <row r="26" spans="1:7" x14ac:dyDescent="0.25">
      <c r="A26" s="1072" t="s">
        <v>178</v>
      </c>
      <c r="B26" s="1056" t="s">
        <v>1452</v>
      </c>
      <c r="C26" s="1056" t="s">
        <v>1077</v>
      </c>
      <c r="D26" s="1056" t="s">
        <v>898</v>
      </c>
      <c r="E26" s="1054">
        <v>2340</v>
      </c>
      <c r="F26" s="1054" t="s">
        <v>178</v>
      </c>
      <c r="G26" s="1056" t="s">
        <v>1452</v>
      </c>
    </row>
    <row r="27" spans="1:7" x14ac:dyDescent="0.25">
      <c r="A27" s="1072" t="s">
        <v>1081</v>
      </c>
      <c r="B27" s="1056" t="s">
        <v>1452</v>
      </c>
      <c r="C27" s="1056" t="s">
        <v>198</v>
      </c>
      <c r="D27" s="1056" t="s">
        <v>1082</v>
      </c>
      <c r="E27" s="1054">
        <v>2365</v>
      </c>
      <c r="F27" s="1054" t="s">
        <v>1081</v>
      </c>
      <c r="G27" s="1056" t="s">
        <v>1452</v>
      </c>
    </row>
    <row r="28" spans="1:7" x14ac:dyDescent="0.25">
      <c r="A28" s="1072" t="s">
        <v>145</v>
      </c>
      <c r="B28" s="1056" t="s">
        <v>1452</v>
      </c>
      <c r="C28" s="1056" t="s">
        <v>385</v>
      </c>
      <c r="D28" s="1056" t="s">
        <v>80</v>
      </c>
      <c r="E28" s="1054">
        <v>3126</v>
      </c>
      <c r="F28" s="1054" t="s">
        <v>145</v>
      </c>
      <c r="G28" s="1056" t="s">
        <v>1452</v>
      </c>
    </row>
    <row r="29" spans="1:7" x14ac:dyDescent="0.25">
      <c r="A29" s="1072" t="s">
        <v>176</v>
      </c>
      <c r="B29" s="1056" t="s">
        <v>13</v>
      </c>
      <c r="C29" s="1056" t="s">
        <v>195</v>
      </c>
      <c r="D29" s="1056" t="s">
        <v>46</v>
      </c>
      <c r="E29" s="1054">
        <v>1054</v>
      </c>
      <c r="F29" s="1054" t="s">
        <v>176</v>
      </c>
      <c r="G29" s="1056" t="s">
        <v>13</v>
      </c>
    </row>
    <row r="30" spans="1:7" x14ac:dyDescent="0.25">
      <c r="A30" s="1072" t="s">
        <v>154</v>
      </c>
      <c r="B30" s="1056" t="s">
        <v>1452</v>
      </c>
      <c r="C30" s="1056" t="s">
        <v>199</v>
      </c>
      <c r="D30" s="1056" t="s">
        <v>77</v>
      </c>
      <c r="E30" s="1054">
        <v>2370</v>
      </c>
      <c r="F30" s="1054" t="s">
        <v>154</v>
      </c>
      <c r="G30" s="1056" t="s">
        <v>1452</v>
      </c>
    </row>
    <row r="31" spans="1:7" x14ac:dyDescent="0.25">
      <c r="A31" s="1072" t="s">
        <v>148</v>
      </c>
      <c r="B31" s="1056" t="s">
        <v>8</v>
      </c>
      <c r="C31" s="1056" t="s">
        <v>383</v>
      </c>
      <c r="D31" s="1056" t="s">
        <v>65</v>
      </c>
      <c r="E31" s="1054">
        <v>3186</v>
      </c>
      <c r="F31" s="1054" t="s">
        <v>148</v>
      </c>
      <c r="G31" s="1056" t="s">
        <v>8</v>
      </c>
    </row>
    <row r="32" spans="1:7" x14ac:dyDescent="0.25">
      <c r="A32" s="1072" t="s">
        <v>151</v>
      </c>
      <c r="B32" s="1056" t="s">
        <v>1452</v>
      </c>
      <c r="C32" s="1056" t="s">
        <v>198</v>
      </c>
      <c r="D32" s="1056" t="s">
        <v>37</v>
      </c>
      <c r="E32" s="1054">
        <v>3230</v>
      </c>
      <c r="F32" s="1054" t="s">
        <v>151</v>
      </c>
      <c r="G32" s="1056" t="s">
        <v>1452</v>
      </c>
    </row>
    <row r="33" spans="1:7" x14ac:dyDescent="0.25">
      <c r="A33" s="1072" t="s">
        <v>152</v>
      </c>
      <c r="B33" s="1056" t="s">
        <v>8</v>
      </c>
      <c r="C33" s="1056" t="s">
        <v>384</v>
      </c>
      <c r="D33" s="1056" t="s">
        <v>2</v>
      </c>
      <c r="E33" s="1054">
        <v>2270</v>
      </c>
      <c r="F33" s="1054" t="s">
        <v>152</v>
      </c>
      <c r="G33" s="1056" t="s">
        <v>8</v>
      </c>
    </row>
    <row r="34" spans="1:7" x14ac:dyDescent="0.25">
      <c r="A34" s="1072" t="s">
        <v>177</v>
      </c>
      <c r="B34" s="1056" t="s">
        <v>18</v>
      </c>
      <c r="C34" s="1056" t="s">
        <v>397</v>
      </c>
      <c r="D34" s="1056" t="s">
        <v>52</v>
      </c>
      <c r="E34" s="1054">
        <v>4100</v>
      </c>
      <c r="F34" s="1054" t="s">
        <v>177</v>
      </c>
      <c r="G34" s="1056" t="s">
        <v>18</v>
      </c>
    </row>
    <row r="35" spans="1:7" x14ac:dyDescent="0.25">
      <c r="A35" s="1072" t="s">
        <v>155</v>
      </c>
      <c r="B35" s="1056" t="s">
        <v>8</v>
      </c>
      <c r="C35" s="1056" t="s">
        <v>1085</v>
      </c>
      <c r="D35" s="1056" t="s">
        <v>76</v>
      </c>
      <c r="E35" s="1054">
        <v>3051</v>
      </c>
      <c r="F35" s="1054" t="s">
        <v>155</v>
      </c>
      <c r="G35" s="1056" t="s">
        <v>8</v>
      </c>
    </row>
    <row r="36" spans="1:7" x14ac:dyDescent="0.25">
      <c r="A36" s="1072" t="s">
        <v>172</v>
      </c>
      <c r="B36" s="1056" t="s">
        <v>18</v>
      </c>
      <c r="C36" s="1056" t="s">
        <v>396</v>
      </c>
      <c r="D36" s="1056" t="s">
        <v>63</v>
      </c>
      <c r="E36" s="1054">
        <v>4120</v>
      </c>
      <c r="F36" s="1054" t="s">
        <v>172</v>
      </c>
      <c r="G36" s="1056" t="s">
        <v>18</v>
      </c>
    </row>
    <row r="37" spans="1:7" x14ac:dyDescent="0.25">
      <c r="A37" s="1072" t="s">
        <v>149</v>
      </c>
      <c r="B37" s="1056" t="s">
        <v>18</v>
      </c>
      <c r="C37" s="1056" t="s">
        <v>1213</v>
      </c>
      <c r="D37" s="1056" t="s">
        <v>68</v>
      </c>
      <c r="E37" s="1054">
        <v>3120</v>
      </c>
      <c r="F37" s="1054" t="s">
        <v>149</v>
      </c>
      <c r="G37" s="1056" t="s">
        <v>18</v>
      </c>
    </row>
    <row r="38" spans="1:7" x14ac:dyDescent="0.25">
      <c r="A38" s="1072" t="s">
        <v>159</v>
      </c>
      <c r="B38" s="1056" t="s">
        <v>13</v>
      </c>
      <c r="C38" s="1056" t="s">
        <v>388</v>
      </c>
      <c r="D38" s="1056" t="s">
        <v>21</v>
      </c>
      <c r="E38" s="1054">
        <v>2125</v>
      </c>
      <c r="F38" s="1054" t="s">
        <v>159</v>
      </c>
      <c r="G38" s="1056" t="s">
        <v>13</v>
      </c>
    </row>
    <row r="39" spans="1:7" x14ac:dyDescent="0.25">
      <c r="A39" s="1072" t="s">
        <v>140</v>
      </c>
      <c r="B39" s="1056" t="s">
        <v>8</v>
      </c>
      <c r="C39" s="1056" t="s">
        <v>1085</v>
      </c>
      <c r="D39" s="1056" t="s">
        <v>51</v>
      </c>
      <c r="E39" s="1054">
        <v>3147</v>
      </c>
      <c r="F39" s="1054" t="s">
        <v>140</v>
      </c>
      <c r="G39" s="1056" t="s">
        <v>8</v>
      </c>
    </row>
    <row r="40" spans="1:7" x14ac:dyDescent="0.25">
      <c r="A40" s="1072" t="s">
        <v>190</v>
      </c>
      <c r="B40" s="1056" t="s">
        <v>13</v>
      </c>
      <c r="C40" s="1056" t="s">
        <v>380</v>
      </c>
      <c r="D40" s="1056" t="s">
        <v>28</v>
      </c>
      <c r="E40" s="1054">
        <v>2160</v>
      </c>
      <c r="F40" s="1054" t="s">
        <v>190</v>
      </c>
      <c r="G40" s="1056" t="s">
        <v>13</v>
      </c>
    </row>
    <row r="41" spans="1:7" x14ac:dyDescent="0.25">
      <c r="A41" s="1072" t="s">
        <v>181</v>
      </c>
      <c r="B41" s="1056" t="s">
        <v>1452</v>
      </c>
      <c r="C41" s="1056" t="s">
        <v>199</v>
      </c>
      <c r="D41" s="1056" t="s">
        <v>39</v>
      </c>
      <c r="E41" s="1054">
        <v>2350</v>
      </c>
      <c r="F41" s="1054" t="s">
        <v>181</v>
      </c>
      <c r="G41" s="1056" t="s">
        <v>1452</v>
      </c>
    </row>
    <row r="42" spans="1:7" x14ac:dyDescent="0.25">
      <c r="A42" s="1072" t="s">
        <v>158</v>
      </c>
      <c r="B42" s="1056" t="s">
        <v>8</v>
      </c>
      <c r="C42" s="1056" t="s">
        <v>383</v>
      </c>
      <c r="D42" s="1056" t="s">
        <v>49</v>
      </c>
      <c r="E42" s="1054">
        <v>2230</v>
      </c>
      <c r="F42" s="1054" t="s">
        <v>158</v>
      </c>
      <c r="G42" s="1056" t="s">
        <v>8</v>
      </c>
    </row>
    <row r="43" spans="1:7" x14ac:dyDescent="0.25">
      <c r="A43" s="1072" t="s">
        <v>1086</v>
      </c>
      <c r="B43" s="1056" t="s">
        <v>8</v>
      </c>
      <c r="C43" s="1056" t="s">
        <v>383</v>
      </c>
      <c r="D43" s="1056" t="s">
        <v>1417</v>
      </c>
      <c r="E43" s="1054">
        <v>3040</v>
      </c>
      <c r="F43" s="1054" t="s">
        <v>1086</v>
      </c>
      <c r="G43" s="1056" t="s">
        <v>8</v>
      </c>
    </row>
    <row r="44" spans="1:7" x14ac:dyDescent="0.25">
      <c r="A44" s="1072" t="s">
        <v>376</v>
      </c>
      <c r="B44" s="1056" t="s">
        <v>8</v>
      </c>
      <c r="C44" s="1056" t="s">
        <v>384</v>
      </c>
      <c r="D44" s="1056" t="s">
        <v>243</v>
      </c>
      <c r="E44" s="1054">
        <v>3139</v>
      </c>
      <c r="F44" s="1054" t="s">
        <v>376</v>
      </c>
      <c r="G44" s="1056" t="s">
        <v>8</v>
      </c>
    </row>
    <row r="45" spans="1:7" x14ac:dyDescent="0.25">
      <c r="A45" s="1072" t="s">
        <v>150</v>
      </c>
      <c r="B45" s="1056" t="s">
        <v>1452</v>
      </c>
      <c r="C45" s="1056" t="s">
        <v>386</v>
      </c>
      <c r="D45" s="1056" t="s">
        <v>24</v>
      </c>
      <c r="E45" s="1054">
        <v>3170</v>
      </c>
      <c r="F45" s="1054" t="s">
        <v>150</v>
      </c>
      <c r="G45" s="1056" t="s">
        <v>1452</v>
      </c>
    </row>
    <row r="46" spans="1:7" x14ac:dyDescent="0.25">
      <c r="A46" s="1072" t="s">
        <v>135</v>
      </c>
      <c r="B46" s="1056" t="s">
        <v>1452</v>
      </c>
      <c r="C46" s="1056" t="s">
        <v>198</v>
      </c>
      <c r="D46" s="1056" t="s">
        <v>72</v>
      </c>
      <c r="E46" s="1054">
        <v>2360</v>
      </c>
      <c r="F46" s="1054" t="s">
        <v>135</v>
      </c>
      <c r="G46" s="1056" t="s">
        <v>1452</v>
      </c>
    </row>
    <row r="47" spans="1:7" x14ac:dyDescent="0.25">
      <c r="A47" s="1072" t="s">
        <v>164</v>
      </c>
      <c r="B47" s="1056" t="s">
        <v>13</v>
      </c>
      <c r="C47" s="1056" t="s">
        <v>379</v>
      </c>
      <c r="D47" s="1056" t="s">
        <v>27</v>
      </c>
      <c r="E47" s="1054">
        <v>3190</v>
      </c>
      <c r="F47" s="1054" t="s">
        <v>164</v>
      </c>
      <c r="G47" s="1056" t="s">
        <v>13</v>
      </c>
    </row>
    <row r="48" spans="1:7" x14ac:dyDescent="0.25">
      <c r="A48" s="1072" t="s">
        <v>184</v>
      </c>
      <c r="B48" s="1056" t="s">
        <v>13</v>
      </c>
      <c r="C48" s="1056" t="s">
        <v>379</v>
      </c>
      <c r="D48" s="1056" t="s">
        <v>59</v>
      </c>
      <c r="E48" s="1054">
        <v>2116</v>
      </c>
      <c r="F48" s="1054" t="s">
        <v>184</v>
      </c>
      <c r="G48" s="1056" t="s">
        <v>13</v>
      </c>
    </row>
    <row r="49" spans="1:7" x14ac:dyDescent="0.25">
      <c r="A49" s="1072" t="s">
        <v>170</v>
      </c>
      <c r="B49" s="1056" t="s">
        <v>18</v>
      </c>
      <c r="C49" s="1056" t="s">
        <v>397</v>
      </c>
      <c r="D49" s="1056" t="s">
        <v>54</v>
      </c>
      <c r="E49" s="1054">
        <v>4146</v>
      </c>
      <c r="F49" s="1054" t="s">
        <v>170</v>
      </c>
      <c r="G49" s="1056" t="s">
        <v>18</v>
      </c>
    </row>
    <row r="50" spans="1:7" x14ac:dyDescent="0.25">
      <c r="A50" s="1072" t="s">
        <v>1217</v>
      </c>
      <c r="B50" s="1056" t="s">
        <v>18</v>
      </c>
      <c r="C50" s="1056" t="s">
        <v>1215</v>
      </c>
      <c r="D50" s="1056" t="s">
        <v>1218</v>
      </c>
      <c r="E50" s="1054">
        <v>4135</v>
      </c>
      <c r="F50" s="1054" t="s">
        <v>1217</v>
      </c>
      <c r="G50" s="1056" t="s">
        <v>18</v>
      </c>
    </row>
    <row r="51" spans="1:7" x14ac:dyDescent="0.25">
      <c r="A51" s="1072" t="s">
        <v>187</v>
      </c>
      <c r="B51" s="1056" t="s">
        <v>13</v>
      </c>
      <c r="C51" s="1056" t="s">
        <v>380</v>
      </c>
      <c r="D51" s="1056" t="s">
        <v>122</v>
      </c>
      <c r="E51" s="1054">
        <v>2170</v>
      </c>
      <c r="F51" s="1054" t="s">
        <v>187</v>
      </c>
      <c r="G51" s="1056" t="s">
        <v>13</v>
      </c>
    </row>
    <row r="52" spans="1:7" x14ac:dyDescent="0.25">
      <c r="A52" s="1072" t="s">
        <v>157</v>
      </c>
      <c r="B52" s="1056" t="s">
        <v>8</v>
      </c>
      <c r="C52" s="1056" t="s">
        <v>389</v>
      </c>
      <c r="D52" s="1056" t="s">
        <v>7</v>
      </c>
      <c r="E52" s="1054">
        <v>3055</v>
      </c>
      <c r="F52" s="1054" t="s">
        <v>157</v>
      </c>
      <c r="G52" s="1056" t="s">
        <v>8</v>
      </c>
    </row>
    <row r="53" spans="1:7" x14ac:dyDescent="0.25">
      <c r="A53" s="1072" t="s">
        <v>1205</v>
      </c>
      <c r="B53" s="1056" t="s">
        <v>18</v>
      </c>
      <c r="C53" s="1056" t="s">
        <v>1206</v>
      </c>
      <c r="D53" s="1056" t="s">
        <v>1207</v>
      </c>
      <c r="E53" s="1054">
        <v>4210</v>
      </c>
      <c r="F53" s="1054" t="s">
        <v>1205</v>
      </c>
      <c r="G53" s="1056" t="s">
        <v>18</v>
      </c>
    </row>
    <row r="54" spans="1:7" x14ac:dyDescent="0.25">
      <c r="A54" s="1072" t="s">
        <v>161</v>
      </c>
      <c r="B54" s="1056" t="s">
        <v>8</v>
      </c>
      <c r="C54" s="1056" t="s">
        <v>387</v>
      </c>
      <c r="D54" s="1056" t="s">
        <v>16</v>
      </c>
      <c r="E54" s="1054">
        <v>2240</v>
      </c>
      <c r="F54" s="1054" t="s">
        <v>161</v>
      </c>
      <c r="G54" s="1056" t="s">
        <v>8</v>
      </c>
    </row>
    <row r="55" spans="1:7" x14ac:dyDescent="0.25">
      <c r="A55" s="1072" t="s">
        <v>166</v>
      </c>
      <c r="B55" s="1056" t="s">
        <v>18</v>
      </c>
      <c r="C55" s="1056" t="s">
        <v>394</v>
      </c>
      <c r="D55" s="1056" t="s">
        <v>73</v>
      </c>
      <c r="E55" s="1054">
        <v>4110</v>
      </c>
      <c r="F55" s="1054" t="s">
        <v>166</v>
      </c>
      <c r="G55" s="1056" t="s">
        <v>18</v>
      </c>
    </row>
    <row r="56" spans="1:7" x14ac:dyDescent="0.25">
      <c r="A56" s="1072" t="s">
        <v>153</v>
      </c>
      <c r="B56" s="1056" t="s">
        <v>8</v>
      </c>
      <c r="C56" s="1056" t="s">
        <v>1453</v>
      </c>
      <c r="D56" s="1056" t="s">
        <v>25</v>
      </c>
      <c r="E56" s="1054">
        <v>2135</v>
      </c>
      <c r="F56" s="1054" t="s">
        <v>153</v>
      </c>
      <c r="G56" s="1056" t="s">
        <v>8</v>
      </c>
    </row>
    <row r="57" spans="1:7" x14ac:dyDescent="0.25">
      <c r="A57" s="1072" t="s">
        <v>139</v>
      </c>
      <c r="B57" s="1056" t="s">
        <v>1452</v>
      </c>
      <c r="C57" s="1056" t="s">
        <v>197</v>
      </c>
      <c r="D57" s="1056" t="s">
        <v>47</v>
      </c>
      <c r="E57" s="1054">
        <v>3210</v>
      </c>
      <c r="F57" s="1054" t="s">
        <v>139</v>
      </c>
      <c r="G57" s="1056" t="s">
        <v>1452</v>
      </c>
    </row>
    <row r="58" spans="1:7" x14ac:dyDescent="0.25">
      <c r="A58" s="1072" t="s">
        <v>171</v>
      </c>
      <c r="B58" s="1056" t="s">
        <v>18</v>
      </c>
      <c r="C58" s="1056" t="s">
        <v>393</v>
      </c>
      <c r="D58" s="1056" t="s">
        <v>30</v>
      </c>
      <c r="E58" s="1054">
        <v>4118</v>
      </c>
      <c r="F58" s="1054" t="s">
        <v>171</v>
      </c>
      <c r="G58" s="1056" t="s">
        <v>18</v>
      </c>
    </row>
    <row r="59" spans="1:7" x14ac:dyDescent="0.25">
      <c r="A59" s="1072" t="s">
        <v>169</v>
      </c>
      <c r="B59" s="1056" t="s">
        <v>18</v>
      </c>
      <c r="C59" s="1056" t="s">
        <v>396</v>
      </c>
      <c r="D59" s="1056" t="s">
        <v>40</v>
      </c>
      <c r="E59" s="1054">
        <v>4140</v>
      </c>
      <c r="F59" s="1054" t="s">
        <v>169</v>
      </c>
      <c r="G59" s="1056" t="s">
        <v>18</v>
      </c>
    </row>
    <row r="60" spans="1:7" x14ac:dyDescent="0.25">
      <c r="A60" s="1072" t="s">
        <v>168</v>
      </c>
      <c r="B60" s="1056" t="s">
        <v>18</v>
      </c>
      <c r="C60" s="1056" t="s">
        <v>394</v>
      </c>
      <c r="D60" s="1056" t="s">
        <v>17</v>
      </c>
      <c r="E60" s="1054">
        <v>4117</v>
      </c>
      <c r="F60" s="1054" t="s">
        <v>168</v>
      </c>
      <c r="G60" s="1056" t="s">
        <v>18</v>
      </c>
    </row>
    <row r="61" spans="1:7" x14ac:dyDescent="0.25">
      <c r="A61" s="1072" t="s">
        <v>1208</v>
      </c>
      <c r="B61" s="1056" t="s">
        <v>18</v>
      </c>
      <c r="C61" s="1056" t="s">
        <v>75</v>
      </c>
      <c r="D61" s="1056" t="s">
        <v>1209</v>
      </c>
      <c r="E61" s="1054">
        <v>4170</v>
      </c>
      <c r="F61" s="1054" t="s">
        <v>1208</v>
      </c>
      <c r="G61" s="1056" t="s">
        <v>18</v>
      </c>
    </row>
    <row r="62" spans="1:7" x14ac:dyDescent="0.25">
      <c r="A62" s="1072" t="s">
        <v>167</v>
      </c>
      <c r="B62" s="1056" t="s">
        <v>18</v>
      </c>
      <c r="C62" s="1056" t="s">
        <v>75</v>
      </c>
      <c r="D62" s="1056" t="s">
        <v>1210</v>
      </c>
      <c r="E62" s="1054">
        <v>4147</v>
      </c>
      <c r="F62" s="1054" t="s">
        <v>167</v>
      </c>
      <c r="G62" s="1056" t="s">
        <v>18</v>
      </c>
    </row>
    <row r="63" spans="1:7" x14ac:dyDescent="0.25">
      <c r="A63" s="1072" t="s">
        <v>1211</v>
      </c>
      <c r="B63" s="1056" t="s">
        <v>18</v>
      </c>
      <c r="C63" s="1056" t="s">
        <v>1206</v>
      </c>
      <c r="D63" s="1056" t="s">
        <v>1212</v>
      </c>
      <c r="E63" s="1054">
        <v>4220</v>
      </c>
      <c r="F63" s="1054" t="s">
        <v>1211</v>
      </c>
      <c r="G63" s="1056" t="s">
        <v>18</v>
      </c>
    </row>
    <row r="64" spans="1:7" x14ac:dyDescent="0.25">
      <c r="A64" s="1072" t="s">
        <v>133</v>
      </c>
      <c r="B64" s="1056" t="s">
        <v>1452</v>
      </c>
      <c r="C64" s="1056" t="s">
        <v>197</v>
      </c>
      <c r="D64" s="1056" t="s">
        <v>44</v>
      </c>
      <c r="E64" s="1054">
        <v>3220</v>
      </c>
      <c r="F64" s="1054" t="s">
        <v>133</v>
      </c>
      <c r="G64" s="1056" t="s">
        <v>1452</v>
      </c>
    </row>
    <row r="65" spans="1:7" x14ac:dyDescent="0.25">
      <c r="A65" s="1072" t="s">
        <v>179</v>
      </c>
      <c r="B65" s="1056" t="s">
        <v>1452</v>
      </c>
      <c r="C65" s="1056" t="s">
        <v>194</v>
      </c>
      <c r="D65" s="1056" t="s">
        <v>31</v>
      </c>
      <c r="E65" s="1054">
        <v>2330</v>
      </c>
      <c r="F65" s="1054" t="s">
        <v>179</v>
      </c>
      <c r="G65" s="1056" t="s">
        <v>1452</v>
      </c>
    </row>
    <row r="66" spans="1:7" x14ac:dyDescent="0.25">
      <c r="A66" s="1072" t="s">
        <v>136</v>
      </c>
      <c r="B66" s="1056" t="s">
        <v>8</v>
      </c>
      <c r="C66" s="1056" t="s">
        <v>391</v>
      </c>
      <c r="D66" s="1056" t="s">
        <v>57</v>
      </c>
      <c r="E66" s="1054">
        <v>3103</v>
      </c>
      <c r="F66" s="1054" t="s">
        <v>136</v>
      </c>
      <c r="G66" s="1056" t="s">
        <v>8</v>
      </c>
    </row>
    <row r="67" spans="1:7" x14ac:dyDescent="0.25">
      <c r="A67" s="1072" t="s">
        <v>1219</v>
      </c>
      <c r="B67" s="1056" t="s">
        <v>18</v>
      </c>
      <c r="C67" s="1056" t="s">
        <v>1215</v>
      </c>
      <c r="D67" s="1056" t="s">
        <v>1220</v>
      </c>
      <c r="E67" s="1054">
        <v>4125</v>
      </c>
      <c r="F67" s="1054" t="s">
        <v>1219</v>
      </c>
      <c r="G67" s="1056" t="s">
        <v>18</v>
      </c>
    </row>
    <row r="68" spans="1:7" x14ac:dyDescent="0.25">
      <c r="A68" s="1072" t="s">
        <v>188</v>
      </c>
      <c r="B68" s="1056" t="s">
        <v>13</v>
      </c>
      <c r="C68" s="1056" t="s">
        <v>1453</v>
      </c>
      <c r="D68" s="1056" t="s">
        <v>81</v>
      </c>
      <c r="E68" s="1054">
        <v>2165</v>
      </c>
      <c r="F68" s="1054" t="s">
        <v>188</v>
      </c>
      <c r="G68" s="1056" t="s">
        <v>13</v>
      </c>
    </row>
    <row r="69" spans="1:7" x14ac:dyDescent="0.25">
      <c r="A69" s="1072" t="s">
        <v>143</v>
      </c>
      <c r="B69" s="1056" t="s">
        <v>13</v>
      </c>
      <c r="C69" s="1056" t="s">
        <v>1084</v>
      </c>
      <c r="D69" s="1056" t="s">
        <v>53</v>
      </c>
      <c r="E69" s="1054">
        <v>2185</v>
      </c>
      <c r="F69" s="1054" t="s">
        <v>143</v>
      </c>
      <c r="G69" s="1056" t="s">
        <v>13</v>
      </c>
    </row>
    <row r="70" spans="1:7" x14ac:dyDescent="0.25">
      <c r="A70" s="1072" t="s">
        <v>183</v>
      </c>
      <c r="B70" s="1056" t="s">
        <v>1452</v>
      </c>
      <c r="C70" s="1056" t="s">
        <v>194</v>
      </c>
      <c r="D70" s="1056" t="s">
        <v>1065</v>
      </c>
      <c r="E70" s="1054">
        <v>248</v>
      </c>
      <c r="F70" s="1054" t="s">
        <v>183</v>
      </c>
      <c r="G70" s="1056" t="s">
        <v>1452</v>
      </c>
    </row>
    <row r="71" spans="1:7" x14ac:dyDescent="0.25">
      <c r="A71" s="1072" t="s">
        <v>1087</v>
      </c>
      <c r="B71" s="1056" t="s">
        <v>13</v>
      </c>
      <c r="C71" s="1056" t="s">
        <v>1454</v>
      </c>
      <c r="D71" s="1056" t="s">
        <v>1455</v>
      </c>
      <c r="E71" s="1054">
        <v>2010</v>
      </c>
      <c r="F71" s="1054" t="s">
        <v>1087</v>
      </c>
      <c r="G71" s="1056" t="s">
        <v>13</v>
      </c>
    </row>
    <row r="72" spans="1:7" x14ac:dyDescent="0.25">
      <c r="A72" s="1072" t="s">
        <v>381</v>
      </c>
      <c r="B72" s="1056" t="s">
        <v>13</v>
      </c>
      <c r="C72" s="1056" t="s">
        <v>1454</v>
      </c>
      <c r="D72" s="1056" t="s">
        <v>1456</v>
      </c>
      <c r="E72" s="1054">
        <v>2030</v>
      </c>
      <c r="F72" s="1054" t="s">
        <v>381</v>
      </c>
      <c r="G72" s="1056" t="s">
        <v>13</v>
      </c>
    </row>
    <row r="73" spans="1:7" x14ac:dyDescent="0.25">
      <c r="A73" s="1072" t="s">
        <v>1078</v>
      </c>
      <c r="B73" s="1056" t="s">
        <v>1452</v>
      </c>
      <c r="C73" s="1056" t="s">
        <v>1454</v>
      </c>
      <c r="D73" s="1056" t="s">
        <v>1457</v>
      </c>
      <c r="E73" s="1054">
        <v>2375</v>
      </c>
      <c r="F73" s="1054" t="s">
        <v>1078</v>
      </c>
      <c r="G73" s="1056" t="s">
        <v>1452</v>
      </c>
    </row>
    <row r="74" spans="1:7" x14ac:dyDescent="0.25">
      <c r="A74" s="1072" t="s">
        <v>1079</v>
      </c>
      <c r="B74" s="1056" t="s">
        <v>1452</v>
      </c>
      <c r="C74" s="1056" t="s">
        <v>1454</v>
      </c>
      <c r="D74" s="1056" t="s">
        <v>1458</v>
      </c>
      <c r="E74" s="1054">
        <v>2355</v>
      </c>
      <c r="F74" s="1054" t="s">
        <v>1079</v>
      </c>
      <c r="G74" s="1056" t="s">
        <v>1452</v>
      </c>
    </row>
    <row r="75" spans="1:7" x14ac:dyDescent="0.25">
      <c r="A75" s="1072" t="s">
        <v>182</v>
      </c>
      <c r="B75" s="1056" t="s">
        <v>1452</v>
      </c>
      <c r="C75" s="1056" t="s">
        <v>1454</v>
      </c>
      <c r="D75" s="1056" t="s">
        <v>1459</v>
      </c>
      <c r="E75" s="1054">
        <v>2310</v>
      </c>
      <c r="F75" s="1054" t="s">
        <v>182</v>
      </c>
      <c r="G75" s="1056" t="s">
        <v>1452</v>
      </c>
    </row>
    <row r="76" spans="1:7" ht="15.75" thickBot="1" x14ac:dyDescent="0.3">
      <c r="A76" s="1073" t="s">
        <v>191</v>
      </c>
      <c r="B76" s="1057" t="s">
        <v>13</v>
      </c>
      <c r="C76" s="1057" t="s">
        <v>1454</v>
      </c>
      <c r="D76" s="1057" t="s">
        <v>1460</v>
      </c>
      <c r="E76" s="31">
        <v>2180</v>
      </c>
      <c r="F76" s="31" t="s">
        <v>191</v>
      </c>
      <c r="G76" s="1057"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28</vt:i4>
      </vt:variant>
    </vt:vector>
  </HeadingPairs>
  <TitlesOfParts>
    <vt:vector size="55" baseType="lpstr">
      <vt:lpstr>EOA Form</vt:lpstr>
      <vt:lpstr>Welcome</vt:lpstr>
      <vt:lpstr>Customer Inputs</vt:lpstr>
      <vt:lpstr>PIM Model</vt:lpstr>
      <vt:lpstr>Incentives</vt:lpstr>
      <vt:lpstr>Variable Costs &amp; Income</vt:lpstr>
      <vt:lpstr>Tracking &amp; Profitability</vt:lpstr>
      <vt:lpstr>Required Info to Submit</vt:lpstr>
      <vt:lpstr>Mapping Sheet</vt:lpstr>
      <vt:lpstr>ALC Comparison</vt:lpstr>
      <vt:lpstr>Agreement Worksheet</vt:lpstr>
      <vt:lpstr>Pricing Schedule</vt:lpstr>
      <vt:lpstr>Incentive Setup</vt:lpstr>
      <vt:lpstr>MDA Worksheet</vt:lpstr>
      <vt:lpstr>PRIME Upload</vt:lpstr>
      <vt:lpstr>PRIME Headers</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2021-12-28T14:57:43Z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2eb44dd1-3482-42b2-8ea9-a9adf3b3dee0</vt:lpwstr>
  </property>
  <property fmtid="{D5CDD505-2E9C-101B-9397-08002B2CF9AE}" pid="4" name="Classification">
    <vt:lpwstr>LV_R3STR1CT3D</vt:lpwstr>
  </property>
  <property fmtid="{D5CDD505-2E9C-101B-9397-08002B2CF9AE}" pid="5" name="ContainsPII">
    <vt:lpwstr>No</vt:lpwstr>
  </property>
</Properties>
</file>