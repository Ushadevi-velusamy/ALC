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AA5C3F1-C3E3-4819-81DD-EA1B146561C4}" xr6:coauthVersionLast="45" xr6:coauthVersionMax="46" xr10:uidLastSave="{00000000-0000-0000-0000-000000000000}"/>
  <workbookProtection workbookAlgorithmName="SHA-512" workbookHashValue="Q77L31KGVH68wuaz8nHqumnwZXra9CKDACl8BBD1KF3dJAnWa8wG2EZCvOH42O16p4XcP8858F4O+0KRdN43fw==" workbookSaltValue="URYGSgPS0kX7Aqr/aBj+1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64"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Incentives!$B$2:$O$97</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B2" i="72" l="1"/>
  <c r="IE2" i="72"/>
  <c r="HH2" i="72"/>
  <c r="GK2" i="72"/>
  <c r="FN2" i="72"/>
  <c r="EQ2" i="72"/>
  <c r="DT2" i="72"/>
  <c r="CW2" i="72"/>
  <c r="BZ2" i="72"/>
  <c r="BC2" i="72"/>
  <c r="AA39" i="72" l="1" a="1"/>
  <c r="AA39" i="72" s="1"/>
  <c r="AP7" i="75" l="1"/>
  <c r="AP8" i="75"/>
  <c r="AP9" i="75"/>
  <c r="AP10" i="75"/>
  <c r="AP11" i="75"/>
  <c r="AP12" i="75"/>
  <c r="AP13" i="75"/>
  <c r="AP14" i="75"/>
  <c r="AP15" i="75"/>
  <c r="AP6" i="75"/>
  <c r="AW1" i="72"/>
  <c r="DT1" i="72" l="1"/>
  <c r="BC1" i="72"/>
  <c r="JB1" i="72"/>
  <c r="CW1" i="72"/>
  <c r="BZ1" i="72"/>
  <c r="IE1" i="72"/>
  <c r="HH1" i="72"/>
  <c r="GK1" i="72"/>
  <c r="EQ1" i="72"/>
  <c r="FN1" i="72"/>
  <c r="G18" i="89"/>
  <c r="U5" i="90"/>
  <c r="U3" i="90" s="1"/>
  <c r="U4" i="90"/>
  <c r="U2" i="90" s="1"/>
  <c r="GR19" i="72" l="1"/>
  <c r="GR17" i="72"/>
  <c r="GR30" i="72"/>
  <c r="GR34" i="72"/>
  <c r="GR22" i="72"/>
  <c r="GR31" i="72"/>
  <c r="GR29" i="72"/>
  <c r="GR14" i="72"/>
  <c r="GR16" i="72"/>
  <c r="GR23" i="72"/>
  <c r="GR28" i="72"/>
  <c r="GR27" i="72"/>
  <c r="GR33" i="72"/>
  <c r="GR15" i="72"/>
  <c r="GR20" i="72"/>
  <c r="GR24" i="72"/>
  <c r="GR18" i="72"/>
  <c r="GR25" i="72"/>
  <c r="GR32" i="72"/>
  <c r="GR21" i="72"/>
  <c r="GR26" i="72"/>
  <c r="HO19" i="72"/>
  <c r="HO33" i="72"/>
  <c r="HO31" i="72"/>
  <c r="HO28" i="72"/>
  <c r="HO25" i="72"/>
  <c r="HO23" i="72"/>
  <c r="HO20" i="72"/>
  <c r="HO17" i="72"/>
  <c r="HO15" i="72"/>
  <c r="HO14" i="72"/>
  <c r="HO32" i="72"/>
  <c r="HO29" i="72"/>
  <c r="HO27" i="72"/>
  <c r="HO18" i="72"/>
  <c r="HO16" i="72"/>
  <c r="HO21" i="72"/>
  <c r="HO26" i="72"/>
  <c r="HO30" i="72"/>
  <c r="HO34" i="72"/>
  <c r="HO22" i="72"/>
  <c r="HO24" i="72"/>
  <c r="FU15" i="72"/>
  <c r="FU27" i="72"/>
  <c r="FU33" i="72"/>
  <c r="FU30" i="72"/>
  <c r="FU26" i="72"/>
  <c r="FU24" i="72"/>
  <c r="FU21" i="72"/>
  <c r="FU14" i="72"/>
  <c r="FU34" i="72"/>
  <c r="FU20" i="72"/>
  <c r="FU31" i="72"/>
  <c r="FU25" i="72"/>
  <c r="FU19" i="72"/>
  <c r="FU23" i="72"/>
  <c r="FU28" i="72"/>
  <c r="FU16" i="72"/>
  <c r="FU17" i="72"/>
  <c r="FU29" i="72"/>
  <c r="FU32" i="72"/>
  <c r="FU22" i="72"/>
  <c r="FU18" i="72"/>
  <c r="IL16" i="72"/>
  <c r="IL15" i="72"/>
  <c r="IL19" i="72"/>
  <c r="IL14" i="72"/>
  <c r="IL26" i="72"/>
  <c r="IL32" i="72"/>
  <c r="IL24" i="72"/>
  <c r="IL34" i="72"/>
  <c r="IL18" i="72"/>
  <c r="IL23" i="72"/>
  <c r="IL29" i="72"/>
  <c r="IL33" i="72"/>
  <c r="IL31" i="72"/>
  <c r="IL30" i="72"/>
  <c r="IL21" i="72"/>
  <c r="IL25" i="72"/>
  <c r="IL20" i="72"/>
  <c r="IL27" i="72"/>
  <c r="IL22" i="72"/>
  <c r="IL28" i="72"/>
  <c r="IL17" i="72"/>
  <c r="EA22" i="72"/>
  <c r="EA24" i="72"/>
  <c r="EA29" i="72"/>
  <c r="EA34" i="72"/>
  <c r="EA25" i="72"/>
  <c r="EA16" i="72"/>
  <c r="EA26" i="72"/>
  <c r="EA23" i="72"/>
  <c r="EA20" i="72"/>
  <c r="EA18" i="72"/>
  <c r="EA27" i="72"/>
  <c r="EA33" i="72"/>
  <c r="EA28" i="72"/>
  <c r="EA30" i="72"/>
  <c r="EA21" i="72"/>
  <c r="EA15" i="72"/>
  <c r="EA19" i="72"/>
  <c r="EA31" i="72"/>
  <c r="EA14" i="72"/>
  <c r="EA17" i="72"/>
  <c r="EA32" i="72"/>
  <c r="CG22" i="72"/>
  <c r="CG21" i="72"/>
  <c r="CG27" i="72"/>
  <c r="CG32" i="72"/>
  <c r="CG15" i="72"/>
  <c r="CG19" i="72"/>
  <c r="CG24" i="72"/>
  <c r="CG31" i="72"/>
  <c r="CG34" i="72"/>
  <c r="CG16" i="72"/>
  <c r="CG25" i="72"/>
  <c r="CG29" i="72"/>
  <c r="CG26" i="72"/>
  <c r="CG30" i="72"/>
  <c r="CG23" i="72"/>
  <c r="CG18" i="72"/>
  <c r="CG17" i="72"/>
  <c r="CG28" i="72"/>
  <c r="CG33" i="72"/>
  <c r="CG20" i="72"/>
  <c r="CG14" i="72"/>
  <c r="EX21" i="72"/>
  <c r="EX20" i="72"/>
  <c r="EX33" i="72"/>
  <c r="EX32" i="72"/>
  <c r="EX25" i="72"/>
  <c r="EX19" i="72"/>
  <c r="EX24" i="72"/>
  <c r="EX31" i="72"/>
  <c r="EX18" i="72"/>
  <c r="EX16" i="72"/>
  <c r="EX23" i="72"/>
  <c r="EX22" i="72"/>
  <c r="EX29" i="72"/>
  <c r="EX14" i="72"/>
  <c r="EX26" i="72"/>
  <c r="EX15" i="72"/>
  <c r="EX34" i="72"/>
  <c r="EX28" i="72"/>
  <c r="EX27" i="72"/>
  <c r="EX17" i="72"/>
  <c r="EX30" i="72"/>
  <c r="DD22" i="72"/>
  <c r="DD19" i="72"/>
  <c r="DD32" i="72"/>
  <c r="DD18" i="72"/>
  <c r="DD24" i="72"/>
  <c r="DD27" i="72"/>
  <c r="DD26" i="72"/>
  <c r="DD17" i="72"/>
  <c r="DD16" i="72"/>
  <c r="DD30" i="72"/>
  <c r="DD29" i="72"/>
  <c r="DD33" i="72"/>
  <c r="DD15" i="72"/>
  <c r="DD25" i="72"/>
  <c r="DD34" i="72"/>
  <c r="DD21" i="72"/>
  <c r="DD31" i="72"/>
  <c r="DD20" i="72"/>
  <c r="DD14" i="72"/>
  <c r="DD28" i="72"/>
  <c r="DD23" i="72"/>
  <c r="BJ21" i="72"/>
  <c r="BJ34" i="72"/>
  <c r="BJ32" i="72"/>
  <c r="BJ18" i="72"/>
  <c r="BJ24" i="72"/>
  <c r="BJ15" i="72"/>
  <c r="BJ30" i="72"/>
  <c r="BJ19" i="72"/>
  <c r="BJ33" i="72"/>
  <c r="BJ16" i="72"/>
  <c r="BJ29" i="72"/>
  <c r="BJ25" i="72"/>
  <c r="BJ31" i="72"/>
  <c r="BJ14" i="72"/>
  <c r="BJ28" i="72"/>
  <c r="BJ20" i="72"/>
  <c r="BJ26" i="72"/>
  <c r="BJ17" i="72"/>
  <c r="BJ23" i="72"/>
  <c r="BJ22" i="72"/>
  <c r="BJ27" i="72"/>
  <c r="JI15" i="72"/>
  <c r="JI22" i="72"/>
  <c r="JI19" i="72"/>
  <c r="JI24" i="72"/>
  <c r="JI14" i="72"/>
  <c r="JI34" i="72"/>
  <c r="JI16" i="72"/>
  <c r="JI29" i="72"/>
  <c r="JI26" i="72"/>
  <c r="JI31" i="72"/>
  <c r="JI30" i="72"/>
  <c r="JI21" i="72"/>
  <c r="JI18" i="72"/>
  <c r="JI23" i="72"/>
  <c r="JI32" i="72"/>
  <c r="JI28" i="72"/>
  <c r="JI33" i="72"/>
  <c r="JI20" i="72"/>
  <c r="JI25" i="72"/>
  <c r="JI17" i="72"/>
  <c r="JI27" i="72"/>
  <c r="P13" i="90"/>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J36" i="43" s="1"/>
  <c r="J37" i="43" s="1"/>
  <c r="J38" i="43" s="1"/>
  <c r="J39" i="43" s="1"/>
  <c r="J40" i="43" s="1"/>
  <c r="J41" i="43" s="1"/>
  <c r="J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M58" i="54"/>
  <c r="BD6" i="75" l="1"/>
  <c r="BD16" i="75" s="1"/>
  <c r="E36" i="12" s="1"/>
  <c r="BB16" i="75"/>
  <c r="E36" i="11" s="1"/>
  <c r="BA16" i="75"/>
  <c r="E35"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JA3" i="72"/>
  <c r="ID3" i="72"/>
  <c r="HG3" i="72"/>
  <c r="GJ3" i="72"/>
  <c r="FM3" i="72"/>
  <c r="EP3" i="72"/>
  <c r="DS3" i="72"/>
  <c r="CV3" i="72"/>
  <c r="BY3" i="72"/>
  <c r="BB3" i="72"/>
  <c r="JA6" i="72"/>
  <c r="ID6" i="72"/>
  <c r="HG6" i="72"/>
  <c r="GJ6" i="72"/>
  <c r="FM6" i="72"/>
  <c r="EP6" i="72"/>
  <c r="DS6" i="72"/>
  <c r="CV6" i="72"/>
  <c r="BY6" i="72"/>
  <c r="BB6" i="72"/>
  <c r="BB5" i="72" s="1"/>
  <c r="JA1" i="72"/>
  <c r="JA5" i="72" s="1"/>
  <c r="ID1" i="72"/>
  <c r="HG1" i="72"/>
  <c r="HG5" i="72" s="1"/>
  <c r="GJ1" i="72"/>
  <c r="FM1" i="72"/>
  <c r="EP1" i="72"/>
  <c r="DS1" i="72"/>
  <c r="DS5" i="72" s="1"/>
  <c r="CV1" i="72"/>
  <c r="CV5" i="72" s="1"/>
  <c r="H3" i="70"/>
  <c r="EY18" i="72" l="1" a="1"/>
  <c r="EY18" i="72" s="1"/>
  <c r="EY16" i="72" a="1"/>
  <c r="EY16" i="72" s="1"/>
  <c r="EY23" i="72" a="1"/>
  <c r="EY23" i="72" s="1"/>
  <c r="EY21" i="72" a="1"/>
  <c r="EY21" i="72" s="1"/>
  <c r="EY32" i="72" a="1"/>
  <c r="EY32" i="72" s="1"/>
  <c r="EY14" i="72" a="1"/>
  <c r="EY14" i="72" s="1"/>
  <c r="EY33" i="72" a="1"/>
  <c r="EY33" i="72" s="1"/>
  <c r="EY26" i="72" a="1"/>
  <c r="EY26" i="72" s="1"/>
  <c r="EY19" i="72" a="1"/>
  <c r="EY19" i="72" s="1"/>
  <c r="EY24" i="72" a="1"/>
  <c r="EY24" i="72" s="1"/>
  <c r="EY17" i="72" a="1"/>
  <c r="EY17" i="72" s="1"/>
  <c r="EY25" i="72" a="1"/>
  <c r="EY25" i="72" s="1"/>
  <c r="EY22" i="72" a="1"/>
  <c r="EY22" i="72" s="1"/>
  <c r="EY30" i="72" a="1"/>
  <c r="EY30" i="72" s="1"/>
  <c r="EY15" i="72" a="1"/>
  <c r="EY15" i="72" s="1"/>
  <c r="EY20" i="72" a="1"/>
  <c r="EY20" i="72" s="1"/>
  <c r="EY29" i="72" a="1"/>
  <c r="EY29" i="72" s="1"/>
  <c r="EY31" i="72" a="1"/>
  <c r="EY31" i="72" s="1"/>
  <c r="EY28" i="72" a="1"/>
  <c r="EY28" i="72" s="1"/>
  <c r="EY34" i="72" a="1"/>
  <c r="EY34" i="72" s="1"/>
  <c r="EY27" i="72" a="1"/>
  <c r="EY27" i="72" s="1"/>
  <c r="EB20" i="72" a="1"/>
  <c r="EB20" i="72" s="1"/>
  <c r="EB15" i="72" a="1"/>
  <c r="EB15" i="72" s="1"/>
  <c r="EB33" i="72" a="1"/>
  <c r="EB33" i="72" s="1"/>
  <c r="EB22" i="72" a="1"/>
  <c r="EB22" i="72" s="1"/>
  <c r="EB25" i="72" a="1"/>
  <c r="EB25" i="72" s="1"/>
  <c r="EB34" i="72" a="1"/>
  <c r="EB34" i="72" s="1"/>
  <c r="EB31" i="72" a="1"/>
  <c r="EB31" i="72" s="1"/>
  <c r="EB21" i="72" a="1"/>
  <c r="EB21" i="72" s="1"/>
  <c r="EB18" i="72" a="1"/>
  <c r="EB18" i="72" s="1"/>
  <c r="EB26" i="72" a="1"/>
  <c r="EB26" i="72" s="1"/>
  <c r="EB32" i="72" a="1"/>
  <c r="EB32" i="72" s="1"/>
  <c r="EB16" i="72" a="1"/>
  <c r="EB16" i="72" s="1"/>
  <c r="EB14" i="72" a="1"/>
  <c r="EB14" i="72" s="1"/>
  <c r="EB24" i="72" a="1"/>
  <c r="EB24" i="72" s="1"/>
  <c r="EB30" i="72" a="1"/>
  <c r="EB30" i="72" s="1"/>
  <c r="EB27" i="72" a="1"/>
  <c r="EB27" i="72" s="1"/>
  <c r="EB28" i="72" a="1"/>
  <c r="EB28" i="72" s="1"/>
  <c r="EB29" i="72" a="1"/>
  <c r="EB29" i="72" s="1"/>
  <c r="EB17" i="72" a="1"/>
  <c r="EB17" i="72" s="1"/>
  <c r="EB19" i="72" a="1"/>
  <c r="EB19" i="72" s="1"/>
  <c r="EB23" i="72" a="1"/>
  <c r="EB23" i="72" s="1"/>
  <c r="FV25" i="72" a="1"/>
  <c r="FV25" i="72" s="1"/>
  <c r="FV24" i="72" a="1"/>
  <c r="FV24" i="72" s="1"/>
  <c r="FV34" i="72" a="1"/>
  <c r="FV34" i="72" s="1"/>
  <c r="FV16" i="72" a="1"/>
  <c r="FV16" i="72" s="1"/>
  <c r="FV18" i="72" a="1"/>
  <c r="FV18" i="72" s="1"/>
  <c r="FV30" i="72" a="1"/>
  <c r="FV30" i="72" s="1"/>
  <c r="FV15" i="72" a="1"/>
  <c r="FV15" i="72" s="1"/>
  <c r="FV14" i="72" a="1"/>
  <c r="FV14" i="72" s="1"/>
  <c r="FV19" i="72" a="1"/>
  <c r="FV19" i="72" s="1"/>
  <c r="FV28" i="72" a="1"/>
  <c r="FV28" i="72" s="1"/>
  <c r="FV26" i="72" a="1"/>
  <c r="FV26" i="72" s="1"/>
  <c r="FV23" i="72" a="1"/>
  <c r="FV23" i="72" s="1"/>
  <c r="FV29" i="72" a="1"/>
  <c r="FV29" i="72" s="1"/>
  <c r="FV21" i="72" a="1"/>
  <c r="FV21" i="72" s="1"/>
  <c r="FV32" i="72" a="1"/>
  <c r="FV32" i="72" s="1"/>
  <c r="FV20" i="72" a="1"/>
  <c r="FV20" i="72" s="1"/>
  <c r="FV31" i="72" a="1"/>
  <c r="FV31" i="72" s="1"/>
  <c r="FV27" i="72" a="1"/>
  <c r="FV27" i="72" s="1"/>
  <c r="FV33" i="72" a="1"/>
  <c r="FV33" i="72" s="1"/>
  <c r="FV22" i="72" a="1"/>
  <c r="FV22" i="72" s="1"/>
  <c r="FV17" i="72" a="1"/>
  <c r="FV17" i="72" s="1"/>
  <c r="HP17" i="72" a="1"/>
  <c r="HP17" i="72" s="1"/>
  <c r="HP22" i="72" a="1"/>
  <c r="HP22" i="72" s="1"/>
  <c r="HP32" i="72" a="1"/>
  <c r="HP32" i="72" s="1"/>
  <c r="HP26" i="72" a="1"/>
  <c r="HP26" i="72" s="1"/>
  <c r="HP18" i="72" a="1"/>
  <c r="HP18" i="72" s="1"/>
  <c r="HP24" i="72" a="1"/>
  <c r="HP24" i="72" s="1"/>
  <c r="HP15" i="72" a="1"/>
  <c r="HP15" i="72" s="1"/>
  <c r="HP23" i="72" a="1"/>
  <c r="HP23" i="72" s="1"/>
  <c r="HP27" i="72" a="1"/>
  <c r="HP27" i="72" s="1"/>
  <c r="HP25" i="72" a="1"/>
  <c r="HP25" i="72" s="1"/>
  <c r="HP29" i="72" a="1"/>
  <c r="HP29" i="72" s="1"/>
  <c r="HP34" i="72" a="1"/>
  <c r="HP34" i="72" s="1"/>
  <c r="HP30" i="72" a="1"/>
  <c r="HP30" i="72" s="1"/>
  <c r="HP31" i="72" a="1"/>
  <c r="HP31" i="72" s="1"/>
  <c r="HP19" i="72" a="1"/>
  <c r="HP19" i="72" s="1"/>
  <c r="HP14" i="72" a="1"/>
  <c r="HP14" i="72" s="1"/>
  <c r="HP16" i="72" a="1"/>
  <c r="HP16" i="72" s="1"/>
  <c r="HP33" i="72" a="1"/>
  <c r="HP33" i="72" s="1"/>
  <c r="HP21" i="72" a="1"/>
  <c r="HP21" i="72" s="1"/>
  <c r="HP20" i="72" a="1"/>
  <c r="HP20" i="72" s="1"/>
  <c r="HP28" i="72" a="1"/>
  <c r="HP28" i="72" s="1"/>
  <c r="GS29" i="72" a="1"/>
  <c r="GS29" i="72" s="1"/>
  <c r="GS21" i="72" a="1"/>
  <c r="GS21" i="72" s="1"/>
  <c r="GS16" i="72" a="1"/>
  <c r="GS16" i="72" s="1"/>
  <c r="GS26" i="72" a="1"/>
  <c r="GS26" i="72" s="1"/>
  <c r="GS27" i="72" a="1"/>
  <c r="GS27" i="72" s="1"/>
  <c r="GS19" i="72" a="1"/>
  <c r="GS19" i="72" s="1"/>
  <c r="GS25" i="72" a="1"/>
  <c r="GS25" i="72" s="1"/>
  <c r="GS33" i="72" a="1"/>
  <c r="GS33" i="72" s="1"/>
  <c r="GS34" i="72" a="1"/>
  <c r="GS34" i="72" s="1"/>
  <c r="GS22" i="72" a="1"/>
  <c r="GS22" i="72" s="1"/>
  <c r="GS32" i="72" a="1"/>
  <c r="GS32" i="72" s="1"/>
  <c r="GS24" i="72" a="1"/>
  <c r="GS24" i="72" s="1"/>
  <c r="GS15" i="72" a="1"/>
  <c r="GS15" i="72" s="1"/>
  <c r="GS28" i="72" a="1"/>
  <c r="GS28" i="72" s="1"/>
  <c r="GS23" i="72" a="1"/>
  <c r="GS23" i="72" s="1"/>
  <c r="GS14" i="72" a="1"/>
  <c r="GS14" i="72" s="1"/>
  <c r="GS31" i="72" a="1"/>
  <c r="GS31" i="72" s="1"/>
  <c r="GS20" i="72" a="1"/>
  <c r="GS20" i="72" s="1"/>
  <c r="GS17" i="72" a="1"/>
  <c r="GS17" i="72" s="1"/>
  <c r="GS18" i="72" a="1"/>
  <c r="GS18" i="72" s="1"/>
  <c r="GS30" i="72" a="1"/>
  <c r="GS30" i="72" s="1"/>
  <c r="IM34" i="72" a="1"/>
  <c r="IM34" i="72" s="1"/>
  <c r="IM17" i="72" a="1"/>
  <c r="IM17" i="72" s="1"/>
  <c r="IM23" i="72" a="1"/>
  <c r="IM23" i="72" s="1"/>
  <c r="IM29" i="72" a="1"/>
  <c r="IM29" i="72" s="1"/>
  <c r="IM31" i="72" a="1"/>
  <c r="IM31" i="72" s="1"/>
  <c r="IM15" i="72" a="1"/>
  <c r="IM15" i="72" s="1"/>
  <c r="IM14" i="72" a="1"/>
  <c r="IM14" i="72" s="1"/>
  <c r="IM18" i="72" a="1"/>
  <c r="IM18" i="72" s="1"/>
  <c r="IM30" i="72" a="1"/>
  <c r="IM30" i="72" s="1"/>
  <c r="IM26" i="72" a="1"/>
  <c r="IM26" i="72" s="1"/>
  <c r="IM16" i="72" a="1"/>
  <c r="IM16" i="72" s="1"/>
  <c r="IM32" i="72" a="1"/>
  <c r="IM32" i="72" s="1"/>
  <c r="IM22" i="72" a="1"/>
  <c r="IM22" i="72" s="1"/>
  <c r="IM28" i="72" a="1"/>
  <c r="IM28" i="72" s="1"/>
  <c r="IM21" i="72" a="1"/>
  <c r="IM21" i="72" s="1"/>
  <c r="IM33" i="72" a="1"/>
  <c r="IM33" i="72" s="1"/>
  <c r="IM24" i="72" a="1"/>
  <c r="IM24" i="72" s="1"/>
  <c r="IM25" i="72" a="1"/>
  <c r="IM25" i="72" s="1"/>
  <c r="IM20" i="72" a="1"/>
  <c r="IM20" i="72" s="1"/>
  <c r="IM19" i="72" a="1"/>
  <c r="IM19" i="72" s="1"/>
  <c r="IM27" i="72" a="1"/>
  <c r="IM27" i="72" s="1"/>
  <c r="BK29" i="72" a="1"/>
  <c r="BK29" i="72" s="1"/>
  <c r="BK14" i="72" a="1"/>
  <c r="BK14" i="72" s="1"/>
  <c r="BK16" i="72" a="1"/>
  <c r="BK16" i="72" s="1"/>
  <c r="BK15" i="72" a="1"/>
  <c r="BK15" i="72" s="1"/>
  <c r="BK28" i="72" a="1"/>
  <c r="BK28" i="72" s="1"/>
  <c r="BK34" i="72" a="1"/>
  <c r="BK34" i="72" s="1"/>
  <c r="BK26" i="72" a="1"/>
  <c r="BK26" i="72" s="1"/>
  <c r="BK21" i="72" a="1"/>
  <c r="BK21" i="72" s="1"/>
  <c r="BK30" i="72" a="1"/>
  <c r="BK30" i="72" s="1"/>
  <c r="BK17" i="72" a="1"/>
  <c r="BK17" i="72" s="1"/>
  <c r="BK19" i="72" a="1"/>
  <c r="BK19" i="72" s="1"/>
  <c r="BK22" i="72" a="1"/>
  <c r="BK22" i="72" s="1"/>
  <c r="BK32" i="72" a="1"/>
  <c r="BK32" i="72" s="1"/>
  <c r="BK33" i="72" a="1"/>
  <c r="BK33" i="72" s="1"/>
  <c r="BK27" i="72" a="1"/>
  <c r="BK27" i="72" s="1"/>
  <c r="BK23" i="72" a="1"/>
  <c r="BK23" i="72" s="1"/>
  <c r="BK25" i="72" a="1"/>
  <c r="BK25" i="72" s="1"/>
  <c r="BK31" i="72" a="1"/>
  <c r="BK31" i="72" s="1"/>
  <c r="BL31" i="72" s="1"/>
  <c r="BK18" i="72" a="1"/>
  <c r="BK18" i="72" s="1"/>
  <c r="BK20" i="72" a="1"/>
  <c r="BK20" i="72" s="1"/>
  <c r="BK24" i="72" a="1"/>
  <c r="BK24" i="72" s="1"/>
  <c r="CH23" i="72" a="1"/>
  <c r="CH23" i="72" s="1"/>
  <c r="CH26" i="72" a="1"/>
  <c r="CH26" i="72" s="1"/>
  <c r="CH16" i="72" a="1"/>
  <c r="CH16" i="72" s="1"/>
  <c r="CH24" i="72" a="1"/>
  <c r="CH24" i="72" s="1"/>
  <c r="CH15" i="72" a="1"/>
  <c r="CH15" i="72" s="1"/>
  <c r="CI15" i="72" s="1"/>
  <c r="CH21" i="72" a="1"/>
  <c r="CH21" i="72" s="1"/>
  <c r="CH30" i="72" a="1"/>
  <c r="CH30" i="72" s="1"/>
  <c r="CH18" i="72" a="1"/>
  <c r="CH18" i="72" s="1"/>
  <c r="CH17" i="72" a="1"/>
  <c r="CH17" i="72" s="1"/>
  <c r="CH19" i="72" a="1"/>
  <c r="CH19" i="72" s="1"/>
  <c r="CH33" i="72" a="1"/>
  <c r="CH33" i="72" s="1"/>
  <c r="CH31" i="72" a="1"/>
  <c r="CH31" i="72" s="1"/>
  <c r="CH20" i="72" a="1"/>
  <c r="CH20" i="72" s="1"/>
  <c r="CI20" i="72" s="1"/>
  <c r="CH25" i="72" a="1"/>
  <c r="CH25" i="72" s="1"/>
  <c r="CH22" i="72" a="1"/>
  <c r="CH22" i="72" s="1"/>
  <c r="CH29" i="72" a="1"/>
  <c r="CH29" i="72" s="1"/>
  <c r="CI29" i="72" s="1"/>
  <c r="CH27" i="72" a="1"/>
  <c r="CH27" i="72" s="1"/>
  <c r="CH32" i="72" a="1"/>
  <c r="CH32" i="72" s="1"/>
  <c r="CH14" i="72" a="1"/>
  <c r="CH14" i="72" s="1"/>
  <c r="CH34" i="72" a="1"/>
  <c r="CH34" i="72" s="1"/>
  <c r="CH28" i="72" a="1"/>
  <c r="CH28" i="72" s="1"/>
  <c r="CI28" i="72" s="1"/>
  <c r="JJ31" i="72" a="1"/>
  <c r="JJ31" i="72" s="1"/>
  <c r="JJ30" i="72" a="1"/>
  <c r="JJ30" i="72" s="1"/>
  <c r="JJ34" i="72" a="1"/>
  <c r="JJ34" i="72" s="1"/>
  <c r="JK34" i="72" s="1"/>
  <c r="JJ21" i="72" a="1"/>
  <c r="JJ21" i="72" s="1"/>
  <c r="JK21" i="72" s="1"/>
  <c r="JJ14" i="72" a="1"/>
  <c r="JJ14" i="72" s="1"/>
  <c r="JJ22" i="72" a="1"/>
  <c r="JJ22" i="72" s="1"/>
  <c r="JJ23" i="72" a="1"/>
  <c r="JJ23" i="72" s="1"/>
  <c r="JJ32" i="72" a="1"/>
  <c r="JJ32" i="72" s="1"/>
  <c r="JK32" i="72" s="1"/>
  <c r="JJ27" i="72" a="1"/>
  <c r="JJ27" i="72" s="1"/>
  <c r="JJ24" i="72" a="1"/>
  <c r="JJ24" i="72" s="1"/>
  <c r="JJ25" i="72" a="1"/>
  <c r="JJ25" i="72" s="1"/>
  <c r="JJ28" i="72" a="1"/>
  <c r="JJ28" i="72" s="1"/>
  <c r="JJ16" i="72" a="1"/>
  <c r="JJ16" i="72" s="1"/>
  <c r="JJ29" i="72" a="1"/>
  <c r="JJ29" i="72" s="1"/>
  <c r="JJ19" i="72" a="1"/>
  <c r="JJ19" i="72" s="1"/>
  <c r="JK19" i="72" s="1"/>
  <c r="JJ33" i="72" a="1"/>
  <c r="JJ33" i="72" s="1"/>
  <c r="JK33" i="72" s="1"/>
  <c r="JJ18" i="72" a="1"/>
  <c r="JJ18" i="72" s="1"/>
  <c r="JJ26" i="72" a="1"/>
  <c r="JJ26" i="72" s="1"/>
  <c r="JJ20" i="72" a="1"/>
  <c r="JJ20" i="72" s="1"/>
  <c r="JJ15" i="72" a="1"/>
  <c r="JJ15" i="72" s="1"/>
  <c r="JJ17" i="72" a="1"/>
  <c r="JJ17" i="72" s="1"/>
  <c r="DE30" i="72" a="1"/>
  <c r="DE30" i="72" s="1"/>
  <c r="DE22" i="72" a="1"/>
  <c r="DE22" i="72" s="1"/>
  <c r="DF22" i="72" s="1"/>
  <c r="DE25" i="72" a="1"/>
  <c r="DE25" i="72" s="1"/>
  <c r="DF25" i="72" s="1"/>
  <c r="DE19" i="72" a="1"/>
  <c r="DE19" i="72" s="1"/>
  <c r="DE31" i="72" a="1"/>
  <c r="DE31" i="72" s="1"/>
  <c r="DE34" i="72" a="1"/>
  <c r="DE34" i="72" s="1"/>
  <c r="DE17" i="72" a="1"/>
  <c r="DE17" i="72" s="1"/>
  <c r="DF17" i="72" s="1"/>
  <c r="DE14" i="72" a="1"/>
  <c r="DE14" i="72" s="1"/>
  <c r="DE29" i="72" a="1"/>
  <c r="DE29" i="72" s="1"/>
  <c r="DE27" i="72" a="1"/>
  <c r="DE27" i="72" s="1"/>
  <c r="DE28" i="72" a="1"/>
  <c r="DE28" i="72" s="1"/>
  <c r="DF28" i="72" s="1"/>
  <c r="DE32" i="72" a="1"/>
  <c r="DE32" i="72" s="1"/>
  <c r="DE24" i="72" a="1"/>
  <c r="DE24" i="72" s="1"/>
  <c r="DF24" i="72" s="1"/>
  <c r="DE33" i="72" a="1"/>
  <c r="DE33" i="72" s="1"/>
  <c r="DF33" i="72" s="1"/>
  <c r="DE23" i="72" a="1"/>
  <c r="DE23" i="72" s="1"/>
  <c r="DF23" i="72" s="1"/>
  <c r="DE18" i="72" a="1"/>
  <c r="DE18" i="72" s="1"/>
  <c r="DE26" i="72" a="1"/>
  <c r="DE26" i="72" s="1"/>
  <c r="DE15" i="72" a="1"/>
  <c r="DE15" i="72" s="1"/>
  <c r="DE21" i="72" a="1"/>
  <c r="DE21" i="72" s="1"/>
  <c r="DF21" i="72" s="1"/>
  <c r="DE20" i="72" a="1"/>
  <c r="DE20" i="72" s="1"/>
  <c r="DE16" i="72" a="1"/>
  <c r="DE16" i="72" s="1"/>
  <c r="ID5" i="72"/>
  <c r="EP5" i="72"/>
  <c r="CI25" i="72"/>
  <c r="CI32" i="72"/>
  <c r="JK15" i="72"/>
  <c r="JK24" i="72"/>
  <c r="DF30" i="72"/>
  <c r="DF34" i="72"/>
  <c r="DF29" i="72"/>
  <c r="DF26" i="72"/>
  <c r="DF15" i="72"/>
  <c r="DF32" i="72"/>
  <c r="DF19" i="72"/>
  <c r="DF31" i="72"/>
  <c r="DF16" i="72"/>
  <c r="DF27" i="72"/>
  <c r="DF18" i="72"/>
  <c r="FM5" i="72"/>
  <c r="GJ5" i="72"/>
  <c r="BY5" i="72"/>
  <c r="BY48" i="72" s="1"/>
  <c r="JK26" i="72"/>
  <c r="JK29" i="72"/>
  <c r="JK27" i="72"/>
  <c r="JK16" i="72"/>
  <c r="JK18" i="72"/>
  <c r="JK28" i="72"/>
  <c r="JK23" i="72"/>
  <c r="JK14" i="72"/>
  <c r="JK22" i="72"/>
  <c r="IN16" i="72"/>
  <c r="IN23" i="72"/>
  <c r="IN14" i="72"/>
  <c r="IN31" i="72"/>
  <c r="IN33" i="72"/>
  <c r="IN27" i="72"/>
  <c r="IN18" i="72"/>
  <c r="IN32" i="72"/>
  <c r="IN29" i="72"/>
  <c r="IN17" i="72"/>
  <c r="IN22" i="72"/>
  <c r="IN25" i="72"/>
  <c r="IN15" i="72"/>
  <c r="IN28" i="72"/>
  <c r="IN24" i="72"/>
  <c r="HQ16" i="72"/>
  <c r="HQ18" i="72"/>
  <c r="HQ29" i="72"/>
  <c r="HQ20" i="72"/>
  <c r="HQ32" i="72"/>
  <c r="HQ28" i="72"/>
  <c r="HQ15" i="72"/>
  <c r="HQ34" i="72"/>
  <c r="HQ17" i="72"/>
  <c r="HQ24" i="72"/>
  <c r="HQ30" i="72"/>
  <c r="HQ25" i="72"/>
  <c r="HQ33" i="72"/>
  <c r="HQ14" i="72"/>
  <c r="HQ27" i="72"/>
  <c r="HQ21" i="72"/>
  <c r="HQ31" i="72"/>
  <c r="GT19" i="72"/>
  <c r="GT28" i="72"/>
  <c r="GT31" i="72"/>
  <c r="GT14" i="72"/>
  <c r="GT20" i="72"/>
  <c r="GT30" i="72"/>
  <c r="GT22" i="72"/>
  <c r="GT26" i="72"/>
  <c r="GT27" i="72"/>
  <c r="GT23" i="72"/>
  <c r="GT34" i="72"/>
  <c r="GT21" i="72"/>
  <c r="GT24" i="72"/>
  <c r="GT17" i="72"/>
  <c r="GT32" i="72"/>
  <c r="GT25" i="72"/>
  <c r="FW19" i="72"/>
  <c r="FW33" i="72"/>
  <c r="FW32" i="72"/>
  <c r="FW28" i="72"/>
  <c r="FW20" i="72"/>
  <c r="FW17" i="72"/>
  <c r="FW34" i="72"/>
  <c r="FW30" i="72"/>
  <c r="FW16" i="72"/>
  <c r="FW21" i="72"/>
  <c r="FW27" i="72"/>
  <c r="FW14" i="72"/>
  <c r="FW24" i="72"/>
  <c r="FW18" i="72"/>
  <c r="FW23" i="72"/>
  <c r="FW26" i="72"/>
  <c r="EZ18" i="72"/>
  <c r="EZ24" i="72"/>
  <c r="EZ16" i="72"/>
  <c r="EZ25" i="72"/>
  <c r="EZ19" i="72"/>
  <c r="EZ29" i="72"/>
  <c r="EZ32" i="72"/>
  <c r="EZ23" i="72"/>
  <c r="EZ17" i="72"/>
  <c r="EZ22" i="72"/>
  <c r="EZ33" i="72"/>
  <c r="EZ27" i="72"/>
  <c r="EZ20" i="72"/>
  <c r="EZ15" i="72"/>
  <c r="EZ14" i="72"/>
  <c r="EC22" i="72"/>
  <c r="EC26" i="72"/>
  <c r="EC21" i="72"/>
  <c r="EC24" i="72"/>
  <c r="EC30" i="72"/>
  <c r="EC17" i="72"/>
  <c r="EC18" i="72"/>
  <c r="EC33" i="72"/>
  <c r="EC32" i="72"/>
  <c r="EC14" i="72"/>
  <c r="EC20" i="72"/>
  <c r="EC34" i="72"/>
  <c r="EC31" i="72"/>
  <c r="EC23" i="72"/>
  <c r="EC19" i="72"/>
  <c r="EC16" i="72"/>
  <c r="EC29" i="72"/>
  <c r="EC15" i="72"/>
  <c r="EC25" i="72"/>
  <c r="DF20" i="72"/>
  <c r="DF14" i="72"/>
  <c r="CI22" i="72"/>
  <c r="CI33" i="72"/>
  <c r="CI21" i="72"/>
  <c r="CI34" i="72"/>
  <c r="CI17" i="72"/>
  <c r="CI31" i="72"/>
  <c r="CI14" i="72"/>
  <c r="CI18" i="72"/>
  <c r="CI24" i="72"/>
  <c r="CI23" i="72"/>
  <c r="CI19" i="72"/>
  <c r="CI30" i="72"/>
  <c r="CI27" i="72"/>
  <c r="CI26" i="72"/>
  <c r="BL21" i="72"/>
  <c r="BL16" i="72"/>
  <c r="BL20" i="72"/>
  <c r="BL24" i="72"/>
  <c r="BL30" i="72"/>
  <c r="BL18" i="72"/>
  <c r="BL27" i="72"/>
  <c r="BL33" i="72"/>
  <c r="BL28" i="72"/>
  <c r="BL25" i="72"/>
  <c r="BL32" i="72"/>
  <c r="BL34" i="72"/>
  <c r="BL14" i="72"/>
  <c r="BL17" i="72"/>
  <c r="BL29" i="72"/>
  <c r="BL22" i="72"/>
  <c r="BL15" i="72"/>
  <c r="BL19" i="72"/>
  <c r="BL23" i="72"/>
  <c r="JK30" i="72"/>
  <c r="JK20" i="72"/>
  <c r="JK25" i="72"/>
  <c r="JK17" i="72"/>
  <c r="IN30" i="72"/>
  <c r="IN20" i="72"/>
  <c r="IN34" i="72"/>
  <c r="IN26" i="72"/>
  <c r="IN21" i="72"/>
  <c r="HQ22" i="72"/>
  <c r="HQ23" i="72"/>
  <c r="HQ19" i="72"/>
  <c r="GT33" i="72"/>
  <c r="GT16" i="72"/>
  <c r="FW22" i="72"/>
  <c r="FW25" i="72"/>
  <c r="FW15" i="72"/>
  <c r="FW31" i="72"/>
  <c r="FW29" i="72"/>
  <c r="EZ28" i="72"/>
  <c r="EZ26" i="72"/>
  <c r="EZ30" i="72"/>
  <c r="EZ34" i="72"/>
  <c r="EC28" i="72"/>
  <c r="EC27" i="72"/>
  <c r="BL26" i="72"/>
  <c r="EZ31" i="72"/>
  <c r="EZ21" i="72"/>
  <c r="HQ26" i="72"/>
  <c r="GT18" i="72"/>
  <c r="GT29" i="72"/>
  <c r="GT15" i="72"/>
  <c r="IN19" i="72"/>
  <c r="JK31" i="72"/>
  <c r="CI16" i="72"/>
  <c r="JA7" i="72"/>
  <c r="JA53" i="72"/>
  <c r="ID7" i="72"/>
  <c r="ID53" i="72"/>
  <c r="HG7" i="72"/>
  <c r="HG53" i="72"/>
  <c r="GJ7" i="72"/>
  <c r="GJ53" i="72"/>
  <c r="FM7" i="72"/>
  <c r="FM53" i="72"/>
  <c r="EP7" i="72"/>
  <c r="EP53" i="72"/>
  <c r="DS7" i="72"/>
  <c r="DS53" i="72"/>
  <c r="CV7" i="72"/>
  <c r="CV53" i="72"/>
  <c r="BY7" i="72"/>
  <c r="BY53" i="72"/>
  <c r="BB48" i="72"/>
  <c r="BB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GU18" i="72" l="1" a="1"/>
  <c r="GU18" i="72" s="1"/>
  <c r="GY18" i="72" a="1"/>
  <c r="GY18" i="72" s="1"/>
  <c r="GX18" i="72" a="1"/>
  <c r="GX18" i="72" s="1"/>
  <c r="HB18" i="72" a="1"/>
  <c r="HB18" i="72" s="1"/>
  <c r="GG18" i="72" a="1"/>
  <c r="GG18" i="72" s="1"/>
  <c r="GW18" i="72" a="1"/>
  <c r="GW18" i="72" s="1"/>
  <c r="HA18" i="72" a="1"/>
  <c r="HA18" i="72" s="1"/>
  <c r="GV18" i="72" a="1"/>
  <c r="GV18" i="72" s="1"/>
  <c r="GZ18" i="72" a="1"/>
  <c r="GZ18" i="72" s="1"/>
  <c r="EJ27" i="72" a="1"/>
  <c r="EJ27" i="72" s="1"/>
  <c r="EF27" i="72" a="1"/>
  <c r="EF27" i="72" s="1"/>
  <c r="DP27" i="72" a="1"/>
  <c r="DP27" i="72" s="1"/>
  <c r="EH27" i="72" a="1"/>
  <c r="EH27" i="72" s="1"/>
  <c r="EI27" i="72" a="1"/>
  <c r="EI27" i="72" s="1"/>
  <c r="ED27" i="72" a="1"/>
  <c r="ED27" i="72" s="1"/>
  <c r="EG27" i="72" a="1"/>
  <c r="EG27" i="72" s="1"/>
  <c r="EE27" i="72" a="1"/>
  <c r="EE27" i="72" s="1"/>
  <c r="EK27" i="72" a="1"/>
  <c r="EK27" i="72" s="1"/>
  <c r="GB15" i="72" a="1"/>
  <c r="GB15" i="72" s="1"/>
  <c r="GA15" i="72" a="1"/>
  <c r="GA15" i="72" s="1"/>
  <c r="GE15" i="72" a="1"/>
  <c r="GE15" i="72" s="1"/>
  <c r="FJ15" i="72" a="1"/>
  <c r="FJ15" i="72" s="1"/>
  <c r="GC15" i="72" a="1"/>
  <c r="GC15" i="72" s="1"/>
  <c r="FY15" i="72" a="1"/>
  <c r="FY15" i="72" s="1"/>
  <c r="FX15" i="72" a="1"/>
  <c r="FX15" i="72" s="1"/>
  <c r="GD15" i="72" a="1"/>
  <c r="GD15" i="72" s="1"/>
  <c r="FZ15" i="72" a="1"/>
  <c r="FZ15" i="72" s="1"/>
  <c r="IU21" i="72" a="1"/>
  <c r="IU21" i="72" s="1"/>
  <c r="IQ21" i="72" a="1"/>
  <c r="IQ21" i="72" s="1"/>
  <c r="IA21" i="72" a="1"/>
  <c r="IA21" i="72" s="1"/>
  <c r="IS21" i="72" a="1"/>
  <c r="IS21" i="72" s="1"/>
  <c r="IO21" i="72" a="1"/>
  <c r="IO21" i="72" s="1"/>
  <c r="IV21" i="72" a="1"/>
  <c r="IV21" i="72" s="1"/>
  <c r="IR21" i="72" a="1"/>
  <c r="IR21" i="72" s="1"/>
  <c r="IP21" i="72" a="1"/>
  <c r="IP21" i="72" s="1"/>
  <c r="IT21" i="72" a="1"/>
  <c r="IT21" i="72" s="1"/>
  <c r="JR25" i="72" a="1"/>
  <c r="JR25" i="72" s="1"/>
  <c r="JN25" i="72" a="1"/>
  <c r="JN25" i="72" s="1"/>
  <c r="IX25" i="72" a="1"/>
  <c r="IX25" i="72" s="1"/>
  <c r="JO25" i="72" a="1"/>
  <c r="JO25" i="72" s="1"/>
  <c r="JS25" i="72" a="1"/>
  <c r="JS25" i="72" s="1"/>
  <c r="JM25" i="72" a="1"/>
  <c r="JM25" i="72" s="1"/>
  <c r="JQ25" i="72" a="1"/>
  <c r="JQ25" i="72" s="1"/>
  <c r="JL25" i="72" a="1"/>
  <c r="JL25" i="72" s="1"/>
  <c r="JP25" i="72" a="1"/>
  <c r="JP25" i="72" s="1"/>
  <c r="BM17" i="72" a="1"/>
  <c r="BM17" i="72" s="1"/>
  <c r="BQ17" i="72" a="1"/>
  <c r="BQ17" i="72" s="1"/>
  <c r="BT17" i="72" a="1"/>
  <c r="BT17" i="72" s="1"/>
  <c r="AY17" i="72" a="1"/>
  <c r="AY17" i="72" s="1"/>
  <c r="BO17" i="72" a="1"/>
  <c r="BO17" i="72" s="1"/>
  <c r="BS17" i="72" a="1"/>
  <c r="BS17" i="72" s="1"/>
  <c r="BN17" i="72" a="1"/>
  <c r="BN17" i="72" s="1"/>
  <c r="BR17" i="72" a="1"/>
  <c r="BR17" i="72" s="1"/>
  <c r="BP17" i="72" a="1"/>
  <c r="BP17" i="72" s="1"/>
  <c r="BQ27" i="72" a="1"/>
  <c r="BQ27" i="72" s="1"/>
  <c r="BM27" i="72" a="1"/>
  <c r="BM27" i="72" s="1"/>
  <c r="BO27" i="72" a="1"/>
  <c r="BO27" i="72" s="1"/>
  <c r="BT27" i="72" a="1"/>
  <c r="BT27" i="72" s="1"/>
  <c r="BR27" i="72" a="1"/>
  <c r="BR27" i="72" s="1"/>
  <c r="BS27" i="72" a="1"/>
  <c r="BS27" i="72" s="1"/>
  <c r="BP27" i="72" a="1"/>
  <c r="BP27" i="72" s="1"/>
  <c r="BN27" i="72" a="1"/>
  <c r="BN27" i="72" s="1"/>
  <c r="AY27" i="72" a="1"/>
  <c r="AY27" i="72" s="1"/>
  <c r="CP26" i="72" a="1"/>
  <c r="CP26" i="72" s="1"/>
  <c r="CL26" i="72" a="1"/>
  <c r="CL26" i="72" s="1"/>
  <c r="BV26" i="72" a="1"/>
  <c r="BV26" i="72" s="1"/>
  <c r="CJ26" i="72" a="1"/>
  <c r="CJ26" i="72" s="1"/>
  <c r="CM26" i="72" a="1"/>
  <c r="CM26" i="72" s="1"/>
  <c r="CO26" i="72" a="1"/>
  <c r="CO26" i="72" s="1"/>
  <c r="CN26" i="72" a="1"/>
  <c r="CN26" i="72" s="1"/>
  <c r="CQ26" i="72" a="1"/>
  <c r="CQ26" i="72" s="1"/>
  <c r="CK26" i="72" a="1"/>
  <c r="CK26" i="72" s="1"/>
  <c r="CJ18" i="72" a="1"/>
  <c r="CJ18" i="72" s="1"/>
  <c r="CQ18" i="72" a="1"/>
  <c r="CQ18" i="72" s="1"/>
  <c r="BV18" i="72" a="1"/>
  <c r="BV18" i="72" s="1"/>
  <c r="CN18" i="72" a="1"/>
  <c r="CN18" i="72" s="1"/>
  <c r="CM18" i="72" a="1"/>
  <c r="CM18" i="72" s="1"/>
  <c r="CL18" i="72" a="1"/>
  <c r="CL18" i="72" s="1"/>
  <c r="CP18" i="72" a="1"/>
  <c r="CP18" i="72" s="1"/>
  <c r="CK18" i="72" a="1"/>
  <c r="CK18" i="72" s="1"/>
  <c r="CO18" i="72" a="1"/>
  <c r="CO18" i="72" s="1"/>
  <c r="CP33" i="72" a="1"/>
  <c r="CP33" i="72" s="1"/>
  <c r="CL33" i="72" a="1"/>
  <c r="CL33" i="72" s="1"/>
  <c r="BV33" i="72" a="1"/>
  <c r="BV33" i="72" s="1"/>
  <c r="CN33" i="72" a="1"/>
  <c r="CN33" i="72" s="1"/>
  <c r="CJ33" i="72" a="1"/>
  <c r="CJ33" i="72" s="1"/>
  <c r="CQ33" i="72" a="1"/>
  <c r="CQ33" i="72" s="1"/>
  <c r="CO33" i="72" a="1"/>
  <c r="CO33" i="72" s="1"/>
  <c r="CM33" i="72" a="1"/>
  <c r="CM33" i="72" s="1"/>
  <c r="CK33" i="72" a="1"/>
  <c r="CK33" i="72" s="1"/>
  <c r="DM14" i="72" a="1"/>
  <c r="DM14" i="72" s="1"/>
  <c r="DI14" i="72" a="1"/>
  <c r="DI14" i="72" s="1"/>
  <c r="CS14" i="72" a="1"/>
  <c r="CS14" i="72" s="1"/>
  <c r="DH14" i="72" a="1"/>
  <c r="DH14" i="72" s="1"/>
  <c r="DN14" i="72" a="1"/>
  <c r="DN14" i="72" s="1"/>
  <c r="DG14" i="72" a="1"/>
  <c r="DG14" i="72" s="1"/>
  <c r="DK14" i="72" a="1"/>
  <c r="DK14" i="72" s="1"/>
  <c r="DJ14" i="72" a="1"/>
  <c r="DJ14" i="72" s="1"/>
  <c r="DL14" i="72" a="1"/>
  <c r="DL14" i="72" s="1"/>
  <c r="DJ18" i="72" a="1"/>
  <c r="DJ18" i="72" s="1"/>
  <c r="DI18" i="72" a="1"/>
  <c r="DI18" i="72" s="1"/>
  <c r="DN18" i="72" a="1"/>
  <c r="DN18" i="72" s="1"/>
  <c r="CS18" i="72" a="1"/>
  <c r="CS18" i="72" s="1"/>
  <c r="DM18" i="72" a="1"/>
  <c r="DM18" i="72" s="1"/>
  <c r="DH18" i="72" a="1"/>
  <c r="DH18" i="72" s="1"/>
  <c r="DL18" i="72" a="1"/>
  <c r="DL18" i="72" s="1"/>
  <c r="DG18" i="72" a="1"/>
  <c r="DG18" i="72" s="1"/>
  <c r="DK18" i="72" a="1"/>
  <c r="DK18" i="72" s="1"/>
  <c r="EJ16" i="72" a="1"/>
  <c r="EJ16" i="72" s="1"/>
  <c r="EE16" i="72" a="1"/>
  <c r="EE16" i="72" s="1"/>
  <c r="EI16" i="72" a="1"/>
  <c r="EI16" i="72" s="1"/>
  <c r="EH16" i="72" a="1"/>
  <c r="EH16" i="72" s="1"/>
  <c r="EG16" i="72" a="1"/>
  <c r="EG16" i="72" s="1"/>
  <c r="EK16" i="72" a="1"/>
  <c r="EK16" i="72" s="1"/>
  <c r="DP16" i="72" a="1"/>
  <c r="DP16" i="72" s="1"/>
  <c r="EF16" i="72" a="1"/>
  <c r="EF16" i="72" s="1"/>
  <c r="ED16" i="72" a="1"/>
  <c r="ED16" i="72" s="1"/>
  <c r="EJ33" i="72" a="1"/>
  <c r="EJ33" i="72" s="1"/>
  <c r="EF33" i="72" a="1"/>
  <c r="EF33" i="72" s="1"/>
  <c r="DP33" i="72" a="1"/>
  <c r="DP33" i="72" s="1"/>
  <c r="ED33" i="72" a="1"/>
  <c r="ED33" i="72" s="1"/>
  <c r="EH33" i="72" a="1"/>
  <c r="EH33" i="72" s="1"/>
  <c r="EG33" i="72" a="1"/>
  <c r="EG33" i="72" s="1"/>
  <c r="EE33" i="72" a="1"/>
  <c r="EE33" i="72" s="1"/>
  <c r="EK33" i="72" a="1"/>
  <c r="EK33" i="72" s="1"/>
  <c r="EI33" i="72" a="1"/>
  <c r="EI33" i="72" s="1"/>
  <c r="FG14" i="72" a="1"/>
  <c r="FG14" i="72" s="1"/>
  <c r="FC14" i="72" a="1"/>
  <c r="FC14" i="72" s="1"/>
  <c r="EM14" i="72" a="1"/>
  <c r="EM14" i="72" s="1"/>
  <c r="FH14" i="72" a="1"/>
  <c r="FH14" i="72" s="1"/>
  <c r="FA14" i="72" a="1"/>
  <c r="FA14" i="72" s="1"/>
  <c r="FF14" i="72" a="1"/>
  <c r="FF14" i="72" s="1"/>
  <c r="FE14" i="72" a="1"/>
  <c r="FE14" i="72" s="1"/>
  <c r="FD14" i="72" a="1"/>
  <c r="FD14" i="72" s="1"/>
  <c r="FB14" i="72" a="1"/>
  <c r="FB14" i="72" s="1"/>
  <c r="FE32" i="72" a="1"/>
  <c r="FE32" i="72" s="1"/>
  <c r="FA32" i="72" a="1"/>
  <c r="FA32" i="72" s="1"/>
  <c r="FC32" i="72" a="1"/>
  <c r="FC32" i="72" s="1"/>
  <c r="FG32" i="72" a="1"/>
  <c r="FG32" i="72" s="1"/>
  <c r="EM32" i="72" a="1"/>
  <c r="EM32" i="72" s="1"/>
  <c r="FH32" i="72" a="1"/>
  <c r="FH32" i="72" s="1"/>
  <c r="FD32" i="72" a="1"/>
  <c r="FD32" i="72" s="1"/>
  <c r="FB32" i="72" a="1"/>
  <c r="FB32" i="72" s="1"/>
  <c r="FF32" i="72" a="1"/>
  <c r="FF32" i="72" s="1"/>
  <c r="GB23" i="72" a="1"/>
  <c r="GB23" i="72" s="1"/>
  <c r="FX23" i="72" a="1"/>
  <c r="FX23" i="72" s="1"/>
  <c r="FY23" i="72" a="1"/>
  <c r="FY23" i="72" s="1"/>
  <c r="FJ23" i="72" a="1"/>
  <c r="FJ23" i="72" s="1"/>
  <c r="GE23" i="72" a="1"/>
  <c r="GE23" i="72" s="1"/>
  <c r="GD23" i="72" a="1"/>
  <c r="GD23" i="72" s="1"/>
  <c r="GC23" i="72" a="1"/>
  <c r="GC23" i="72" s="1"/>
  <c r="GA23" i="72" a="1"/>
  <c r="GA23" i="72" s="1"/>
  <c r="FZ23" i="72" a="1"/>
  <c r="FZ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GY32" i="72" a="1"/>
  <c r="GY32" i="72" s="1"/>
  <c r="GU32" i="72" a="1"/>
  <c r="GU32" i="72" s="1"/>
  <c r="HA32" i="72" a="1"/>
  <c r="HA32" i="72" s="1"/>
  <c r="GG32" i="72" a="1"/>
  <c r="GG32" i="72" s="1"/>
  <c r="GW32" i="72" a="1"/>
  <c r="GW32" i="72" s="1"/>
  <c r="HB32" i="72" a="1"/>
  <c r="HB32" i="72" s="1"/>
  <c r="GZ32" i="72" a="1"/>
  <c r="GZ32" i="72" s="1"/>
  <c r="GX32" i="72" a="1"/>
  <c r="GX32" i="72" s="1"/>
  <c r="GV32" i="72" a="1"/>
  <c r="GV32" i="72" s="1"/>
  <c r="HA22" i="72" a="1"/>
  <c r="HA22" i="72" s="1"/>
  <c r="GW22" i="72" a="1"/>
  <c r="GW22" i="72" s="1"/>
  <c r="GG22" i="72" a="1"/>
  <c r="GG22" i="72" s="1"/>
  <c r="GY22" i="72" a="1"/>
  <c r="GY22" i="72" s="1"/>
  <c r="GU22" i="72" a="1"/>
  <c r="GU22" i="72" s="1"/>
  <c r="GV22" i="72" a="1"/>
  <c r="GV22" i="72" s="1"/>
  <c r="GZ22" i="72" a="1"/>
  <c r="GZ22" i="72" s="1"/>
  <c r="HB22" i="72" a="1"/>
  <c r="HB22" i="72" s="1"/>
  <c r="GX22" i="72" a="1"/>
  <c r="GX22" i="72" s="1"/>
  <c r="HV21" i="72" a="1"/>
  <c r="HV21" i="72" s="1"/>
  <c r="HR21" i="72" a="1"/>
  <c r="HR21" i="72" s="1"/>
  <c r="HX21" i="72" a="1"/>
  <c r="HX21" i="72" s="1"/>
  <c r="HT21" i="72" a="1"/>
  <c r="HT21" i="72" s="1"/>
  <c r="HD21" i="72" a="1"/>
  <c r="HD21" i="72" s="1"/>
  <c r="HW21" i="72" a="1"/>
  <c r="HW21" i="72" s="1"/>
  <c r="HY21" i="72" a="1"/>
  <c r="HY21" i="72" s="1"/>
  <c r="HS21" i="72" a="1"/>
  <c r="HS21" i="72" s="1"/>
  <c r="HU21" i="72" a="1"/>
  <c r="HU21" i="72" s="1"/>
  <c r="HX34" i="72" a="1"/>
  <c r="HX34" i="72" s="1"/>
  <c r="HT34" i="72" a="1"/>
  <c r="HT34" i="72" s="1"/>
  <c r="HD34" i="72" a="1"/>
  <c r="HD34" i="72" s="1"/>
  <c r="HV34" i="72" a="1"/>
  <c r="HV34" i="72" s="1"/>
  <c r="HU34" i="72" a="1"/>
  <c r="HU34" i="72" s="1"/>
  <c r="HS34" i="72" a="1"/>
  <c r="HS34" i="72" s="1"/>
  <c r="HR34" i="72" a="1"/>
  <c r="HR34" i="72" s="1"/>
  <c r="HY34" i="72" a="1"/>
  <c r="HY34" i="72" s="1"/>
  <c r="HW34" i="72" a="1"/>
  <c r="HW34" i="72" s="1"/>
  <c r="IT24" i="72" a="1"/>
  <c r="IT24" i="72" s="1"/>
  <c r="IP24" i="72" a="1"/>
  <c r="IP24" i="72" s="1"/>
  <c r="IU24" i="72" a="1"/>
  <c r="IU24" i="72" s="1"/>
  <c r="IQ24" i="72" a="1"/>
  <c r="IQ24" i="72" s="1"/>
  <c r="IA24" i="72" a="1"/>
  <c r="IA24" i="72" s="1"/>
  <c r="IS24" i="72" a="1"/>
  <c r="IS24" i="72" s="1"/>
  <c r="IR24" i="72" a="1"/>
  <c r="IR24" i="72" s="1"/>
  <c r="IV24" i="72" a="1"/>
  <c r="IV24" i="72" s="1"/>
  <c r="IO24" i="72" a="1"/>
  <c r="IO24" i="72" s="1"/>
  <c r="IR18" i="72" a="1"/>
  <c r="IR18" i="72" s="1"/>
  <c r="IV18" i="72" a="1"/>
  <c r="IV18" i="72" s="1"/>
  <c r="IA18" i="72" a="1"/>
  <c r="IA18" i="72" s="1"/>
  <c r="IQ18" i="72" a="1"/>
  <c r="IQ18" i="72" s="1"/>
  <c r="IU18" i="72" a="1"/>
  <c r="IU18" i="72" s="1"/>
  <c r="IP18" i="72" a="1"/>
  <c r="IP18" i="72" s="1"/>
  <c r="IT18" i="72" a="1"/>
  <c r="IT18" i="72" s="1"/>
  <c r="IO18" i="72" a="1"/>
  <c r="IO18" i="72" s="1"/>
  <c r="IS18" i="72" a="1"/>
  <c r="IS18" i="72" s="1"/>
  <c r="JL14" i="72" a="1"/>
  <c r="JL14" i="72" s="1"/>
  <c r="JO14" i="72" a="1"/>
  <c r="JO14" i="72" s="1"/>
  <c r="JP14" i="72" a="1"/>
  <c r="JP14" i="72" s="1"/>
  <c r="IX14" i="72" a="1"/>
  <c r="IX14" i="72" s="1"/>
  <c r="JQ14" i="72" a="1"/>
  <c r="JQ14" i="72" s="1"/>
  <c r="JR14" i="72" a="1"/>
  <c r="JR14" i="72" s="1"/>
  <c r="JN14" i="72" a="1"/>
  <c r="JN14" i="72" s="1"/>
  <c r="JS14" i="72" a="1"/>
  <c r="JS14" i="72" s="1"/>
  <c r="JM14" i="72" a="1"/>
  <c r="JM14" i="72" s="1"/>
  <c r="JR27" i="72" a="1"/>
  <c r="JR27" i="72" s="1"/>
  <c r="JN27" i="72" a="1"/>
  <c r="JN27" i="72" s="1"/>
  <c r="IX27" i="72" a="1"/>
  <c r="IX27" i="72" s="1"/>
  <c r="JP27" i="72" a="1"/>
  <c r="JP27" i="72" s="1"/>
  <c r="JQ27" i="72" a="1"/>
  <c r="JQ27" i="72" s="1"/>
  <c r="JO27" i="72" a="1"/>
  <c r="JO27" i="72" s="1"/>
  <c r="JL27" i="72" a="1"/>
  <c r="JL27" i="72" s="1"/>
  <c r="JM27" i="72" a="1"/>
  <c r="JM27" i="72" s="1"/>
  <c r="JS27" i="72" a="1"/>
  <c r="JS27" i="72" s="1"/>
  <c r="HX26" i="72" a="1"/>
  <c r="HX26" i="72" s="1"/>
  <c r="HT26" i="72" a="1"/>
  <c r="HT26" i="72" s="1"/>
  <c r="HD26" i="72" a="1"/>
  <c r="HD26" i="72" s="1"/>
  <c r="HS26" i="72" a="1"/>
  <c r="HS26" i="72" s="1"/>
  <c r="HV26" i="72" a="1"/>
  <c r="HV26" i="72" s="1"/>
  <c r="HY26" i="72" a="1"/>
  <c r="HY26" i="72" s="1"/>
  <c r="HW26" i="72" a="1"/>
  <c r="HW26" i="72" s="1"/>
  <c r="HU26" i="72" a="1"/>
  <c r="HU26" i="72" s="1"/>
  <c r="HR26" i="72" a="1"/>
  <c r="HR26" i="72" s="1"/>
  <c r="EJ28" i="72" a="1"/>
  <c r="EJ28" i="72" s="1"/>
  <c r="EF28" i="72" a="1"/>
  <c r="EF28" i="72" s="1"/>
  <c r="DP28" i="72" a="1"/>
  <c r="DP28" i="72" s="1"/>
  <c r="EI28" i="72" a="1"/>
  <c r="EI28" i="72" s="1"/>
  <c r="ED28" i="72" a="1"/>
  <c r="ED28" i="72" s="1"/>
  <c r="EK28" i="72" a="1"/>
  <c r="EK28" i="72" s="1"/>
  <c r="EE28" i="72" a="1"/>
  <c r="EE28" i="72" s="1"/>
  <c r="EH28" i="72" a="1"/>
  <c r="EH28" i="72" s="1"/>
  <c r="EG28" i="72" a="1"/>
  <c r="EG28" i="72" s="1"/>
  <c r="GD25" i="72" a="1"/>
  <c r="GD25" i="72" s="1"/>
  <c r="FZ25" i="72" a="1"/>
  <c r="FZ25" i="72" s="1"/>
  <c r="FJ25" i="72" a="1"/>
  <c r="FJ25" i="72" s="1"/>
  <c r="GC25" i="72" a="1"/>
  <c r="GC25" i="72" s="1"/>
  <c r="GE25" i="72" a="1"/>
  <c r="GE25" i="72" s="1"/>
  <c r="FX25" i="72" a="1"/>
  <c r="FX25" i="72" s="1"/>
  <c r="GA25" i="72" a="1"/>
  <c r="GA25" i="72" s="1"/>
  <c r="GB25" i="72" a="1"/>
  <c r="GB25" i="72" s="1"/>
  <c r="FY25" i="72" a="1"/>
  <c r="FY25" i="72" s="1"/>
  <c r="IS26" i="72" a="1"/>
  <c r="IS26" i="72" s="1"/>
  <c r="IO26" i="72" a="1"/>
  <c r="IO26" i="72" s="1"/>
  <c r="IT26" i="72" a="1"/>
  <c r="IT26" i="72" s="1"/>
  <c r="IR26" i="72" a="1"/>
  <c r="IR26" i="72" s="1"/>
  <c r="IU26" i="72" a="1"/>
  <c r="IU26" i="72" s="1"/>
  <c r="IQ26" i="72" a="1"/>
  <c r="IQ26" i="72" s="1"/>
  <c r="IP26" i="72" a="1"/>
  <c r="IP26" i="72" s="1"/>
  <c r="IV26" i="72" a="1"/>
  <c r="IV26" i="72" s="1"/>
  <c r="IA26" i="72" a="1"/>
  <c r="IA26" i="72" s="1"/>
  <c r="JO20" i="72" a="1"/>
  <c r="JO20" i="72" s="1"/>
  <c r="JS20" i="72" a="1"/>
  <c r="JS20" i="72" s="1"/>
  <c r="IX20" i="72" a="1"/>
  <c r="IX20" i="72" s="1"/>
  <c r="JN20" i="72" a="1"/>
  <c r="JN20" i="72" s="1"/>
  <c r="JR20" i="72" a="1"/>
  <c r="JR20" i="72" s="1"/>
  <c r="JM20" i="72" a="1"/>
  <c r="JM20" i="72" s="1"/>
  <c r="JL20" i="72" a="1"/>
  <c r="JL20" i="72" s="1"/>
  <c r="JQ20" i="72" a="1"/>
  <c r="JQ20" i="72" s="1"/>
  <c r="JP20" i="72" a="1"/>
  <c r="JP20" i="72" s="1"/>
  <c r="BS14" i="72" a="1"/>
  <c r="BS14" i="72" s="1"/>
  <c r="BO14" i="72" a="1"/>
  <c r="BO14" i="72" s="1"/>
  <c r="AY14" i="72" a="1"/>
  <c r="AY14" i="72" s="1"/>
  <c r="BP14" i="72" a="1"/>
  <c r="BP14" i="72" s="1"/>
  <c r="BN14" i="72" a="1"/>
  <c r="BN14" i="72" s="1"/>
  <c r="BQ14" i="72" a="1"/>
  <c r="BQ14" i="72" s="1"/>
  <c r="BT14" i="72" a="1"/>
  <c r="BT14" i="72" s="1"/>
  <c r="BM14" i="72" a="1"/>
  <c r="BM14" i="72" s="1"/>
  <c r="BR14" i="72" a="1"/>
  <c r="BR14" i="72" s="1"/>
  <c r="BR18" i="72" a="1"/>
  <c r="BR18" i="72" s="1"/>
  <c r="BM18" i="72" a="1"/>
  <c r="BM18" i="72" s="1"/>
  <c r="BQ18" i="72" a="1"/>
  <c r="BQ18" i="72" s="1"/>
  <c r="BP18" i="72" a="1"/>
  <c r="BP18" i="72" s="1"/>
  <c r="BT18" i="72" a="1"/>
  <c r="BT18" i="72" s="1"/>
  <c r="AY18" i="72" a="1"/>
  <c r="AY18" i="72" s="1"/>
  <c r="BO18" i="72" a="1"/>
  <c r="BO18" i="72" s="1"/>
  <c r="BS18" i="72" a="1"/>
  <c r="BS18" i="72" s="1"/>
  <c r="BN18" i="72" a="1"/>
  <c r="BN18" i="72" s="1"/>
  <c r="CP27" i="72" a="1"/>
  <c r="CP27" i="72" s="1"/>
  <c r="CL27" i="72" a="1"/>
  <c r="CL27" i="72" s="1"/>
  <c r="BV27" i="72" a="1"/>
  <c r="BV27" i="72" s="1"/>
  <c r="CK27" i="72" a="1"/>
  <c r="CK27" i="72" s="1"/>
  <c r="CN27" i="72" a="1"/>
  <c r="CN27" i="72" s="1"/>
  <c r="CO27" i="72" a="1"/>
  <c r="CO27" i="72" s="1"/>
  <c r="CJ27" i="72" a="1"/>
  <c r="CJ27" i="72" s="1"/>
  <c r="CM27" i="72" a="1"/>
  <c r="CM27" i="72" s="1"/>
  <c r="CQ27" i="72" a="1"/>
  <c r="CQ27" i="72" s="1"/>
  <c r="CN14" i="72" a="1"/>
  <c r="CN14" i="72" s="1"/>
  <c r="CJ14" i="72" a="1"/>
  <c r="CJ14" i="72" s="1"/>
  <c r="CO14" i="72" a="1"/>
  <c r="CO14" i="72" s="1"/>
  <c r="BV14" i="72" a="1"/>
  <c r="BV14" i="72" s="1"/>
  <c r="CM14" i="72" a="1"/>
  <c r="CM14" i="72" s="1"/>
  <c r="CQ14" i="72" a="1"/>
  <c r="CQ14" i="72" s="1"/>
  <c r="CK14" i="72" a="1"/>
  <c r="CK14" i="72" s="1"/>
  <c r="CP14" i="72" a="1"/>
  <c r="CP14" i="72" s="1"/>
  <c r="CL14" i="72" a="1"/>
  <c r="CL14" i="72" s="1"/>
  <c r="CN22" i="72" a="1"/>
  <c r="CN22" i="72" s="1"/>
  <c r="CJ22" i="72" a="1"/>
  <c r="CJ22" i="72" s="1"/>
  <c r="CP22" i="72" a="1"/>
  <c r="CP22" i="72" s="1"/>
  <c r="CL22" i="72" a="1"/>
  <c r="CL22" i="72" s="1"/>
  <c r="BV22" i="72" a="1"/>
  <c r="BV22" i="72" s="1"/>
  <c r="CK22" i="72" a="1"/>
  <c r="CK22" i="72" s="1"/>
  <c r="CM22" i="72" a="1"/>
  <c r="CM22" i="72" s="1"/>
  <c r="CQ22" i="72" a="1"/>
  <c r="CQ22" i="72" s="1"/>
  <c r="CO22" i="72" a="1"/>
  <c r="CO22" i="72" s="1"/>
  <c r="DM23" i="72" a="1"/>
  <c r="DM23" i="72" s="1"/>
  <c r="DI23" i="72" a="1"/>
  <c r="DI23" i="72" s="1"/>
  <c r="CS23" i="72" a="1"/>
  <c r="CS23" i="72" s="1"/>
  <c r="DN23" i="72" a="1"/>
  <c r="DN23" i="72" s="1"/>
  <c r="DL23" i="72" a="1"/>
  <c r="DL23" i="72" s="1"/>
  <c r="DK23" i="72" a="1"/>
  <c r="DK23" i="72" s="1"/>
  <c r="DJ23" i="72" a="1"/>
  <c r="DJ23" i="72" s="1"/>
  <c r="DH23" i="72" a="1"/>
  <c r="DH23" i="72" s="1"/>
  <c r="DG23" i="72" a="1"/>
  <c r="DG23" i="72" s="1"/>
  <c r="DK29" i="72" a="1"/>
  <c r="DK29" i="72" s="1"/>
  <c r="DG29" i="72" a="1"/>
  <c r="DG29" i="72" s="1"/>
  <c r="DI29" i="72" a="1"/>
  <c r="DI29" i="72" s="1"/>
  <c r="DM29" i="72" a="1"/>
  <c r="DM29" i="72" s="1"/>
  <c r="DH29" i="72" a="1"/>
  <c r="DH29" i="72" s="1"/>
  <c r="DJ29" i="72" a="1"/>
  <c r="DJ29" i="72" s="1"/>
  <c r="CS29" i="72" a="1"/>
  <c r="CS29" i="72" s="1"/>
  <c r="DN29" i="72" a="1"/>
  <c r="DN29" i="72" s="1"/>
  <c r="DL29" i="72" a="1"/>
  <c r="DL29" i="72" s="1"/>
  <c r="EG19" i="72" a="1"/>
  <c r="EG19" i="72" s="1"/>
  <c r="EK19" i="72" a="1"/>
  <c r="EK19" i="72" s="1"/>
  <c r="DP19" i="72" a="1"/>
  <c r="DP19" i="72" s="1"/>
  <c r="EF19" i="72" a="1"/>
  <c r="EF19" i="72" s="1"/>
  <c r="EJ19" i="72" a="1"/>
  <c r="EJ19" i="72" s="1"/>
  <c r="EE19" i="72" a="1"/>
  <c r="EE19" i="72" s="1"/>
  <c r="EI19" i="72" a="1"/>
  <c r="EI19" i="72" s="1"/>
  <c r="ED19" i="72" a="1"/>
  <c r="ED19" i="72" s="1"/>
  <c r="EH19" i="72" a="1"/>
  <c r="EH19" i="72" s="1"/>
  <c r="EK18" i="72" a="1"/>
  <c r="EK18" i="72" s="1"/>
  <c r="DP18" i="72" a="1"/>
  <c r="DP18" i="72" s="1"/>
  <c r="EE18" i="72" a="1"/>
  <c r="EE18" i="72" s="1"/>
  <c r="EF18" i="72" a="1"/>
  <c r="EF18" i="72" s="1"/>
  <c r="EJ18" i="72" a="1"/>
  <c r="EJ18" i="72" s="1"/>
  <c r="EI18" i="72" a="1"/>
  <c r="EI18" i="72" s="1"/>
  <c r="ED18" i="72" a="1"/>
  <c r="ED18" i="72" s="1"/>
  <c r="EH18" i="72" a="1"/>
  <c r="EH18" i="72" s="1"/>
  <c r="EG18" i="72" a="1"/>
  <c r="EG18" i="72" s="1"/>
  <c r="FA15" i="72" a="1"/>
  <c r="FA15" i="72" s="1"/>
  <c r="FE15" i="72" a="1"/>
  <c r="FE15" i="72" s="1"/>
  <c r="FG15" i="72" a="1"/>
  <c r="FG15" i="72" s="1"/>
  <c r="FB15" i="72" a="1"/>
  <c r="FB15" i="72" s="1"/>
  <c r="FD15" i="72" a="1"/>
  <c r="FD15" i="72" s="1"/>
  <c r="FC15" i="72" a="1"/>
  <c r="FC15" i="72" s="1"/>
  <c r="FH15" i="72" a="1"/>
  <c r="FH15" i="72" s="1"/>
  <c r="EM15" i="72" a="1"/>
  <c r="EM15" i="72" s="1"/>
  <c r="FF15" i="72" a="1"/>
  <c r="FF15" i="72" s="1"/>
  <c r="FE29" i="72" a="1"/>
  <c r="FE29" i="72" s="1"/>
  <c r="FA29" i="72" a="1"/>
  <c r="FA29" i="72" s="1"/>
  <c r="FF29" i="72" a="1"/>
  <c r="FF29" i="72" s="1"/>
  <c r="FC29" i="72" a="1"/>
  <c r="FC29" i="72" s="1"/>
  <c r="FG29" i="72" a="1"/>
  <c r="FG29" i="72" s="1"/>
  <c r="FH29" i="72" a="1"/>
  <c r="FH29" i="72" s="1"/>
  <c r="FD29" i="72" a="1"/>
  <c r="FD29" i="72" s="1"/>
  <c r="FB29" i="72" a="1"/>
  <c r="FB29" i="72" s="1"/>
  <c r="EM29" i="72" a="1"/>
  <c r="EM29" i="72" s="1"/>
  <c r="FY18" i="72" a="1"/>
  <c r="FY18" i="72" s="1"/>
  <c r="GC18" i="72" a="1"/>
  <c r="GC18" i="72" s="1"/>
  <c r="FX18" i="72" a="1"/>
  <c r="FX18" i="72" s="1"/>
  <c r="GB18" i="72" a="1"/>
  <c r="GB18" i="72" s="1"/>
  <c r="GA18" i="72" a="1"/>
  <c r="GA18" i="72" s="1"/>
  <c r="GE18" i="72" a="1"/>
  <c r="GE18" i="72" s="1"/>
  <c r="FJ18" i="72" a="1"/>
  <c r="FJ18" i="72" s="1"/>
  <c r="FZ18" i="72" a="1"/>
  <c r="FZ18" i="72" s="1"/>
  <c r="GD18" i="72" a="1"/>
  <c r="GD18" i="72" s="1"/>
  <c r="GC17" i="72" a="1"/>
  <c r="GC17" i="72" s="1"/>
  <c r="FX17" i="72" a="1"/>
  <c r="FX17" i="72" s="1"/>
  <c r="GA17" i="72" a="1"/>
  <c r="GA17" i="72" s="1"/>
  <c r="GB17" i="72" a="1"/>
  <c r="GB17" i="72" s="1"/>
  <c r="GE17" i="72" a="1"/>
  <c r="GE17" i="72" s="1"/>
  <c r="FJ17" i="72" a="1"/>
  <c r="FJ17" i="72" s="1"/>
  <c r="FZ17" i="72" a="1"/>
  <c r="FZ17" i="72" s="1"/>
  <c r="GD17" i="72" a="1"/>
  <c r="GD17" i="72" s="1"/>
  <c r="FY17" i="72" a="1"/>
  <c r="FY17" i="72" s="1"/>
  <c r="GY17" i="72" a="1"/>
  <c r="GY17" i="72" s="1"/>
  <c r="HB17" i="72" a="1"/>
  <c r="HB17" i="72" s="1"/>
  <c r="GG17" i="72" a="1"/>
  <c r="GG17" i="72" s="1"/>
  <c r="GX17" i="72" a="1"/>
  <c r="GX17" i="72" s="1"/>
  <c r="GW17" i="72" a="1"/>
  <c r="GW17" i="72" s="1"/>
  <c r="HA17" i="72" a="1"/>
  <c r="HA17" i="72" s="1"/>
  <c r="GV17" i="72" a="1"/>
  <c r="GV17" i="72" s="1"/>
  <c r="GZ17" i="72" a="1"/>
  <c r="GZ17" i="72" s="1"/>
  <c r="GU17" i="72" a="1"/>
  <c r="GU17" i="72" s="1"/>
  <c r="GZ30" i="72" a="1"/>
  <c r="GZ30" i="72" s="1"/>
  <c r="GY30" i="72" a="1"/>
  <c r="GY30" i="72" s="1"/>
  <c r="GW30" i="72" a="1"/>
  <c r="GW30" i="72" s="1"/>
  <c r="HB30" i="72" a="1"/>
  <c r="HB30" i="72" s="1"/>
  <c r="GU30" i="72" a="1"/>
  <c r="GU30" i="72" s="1"/>
  <c r="HA30" i="72" a="1"/>
  <c r="HA30" i="72" s="1"/>
  <c r="GG30" i="72" a="1"/>
  <c r="GG30" i="72" s="1"/>
  <c r="GX30" i="72" a="1"/>
  <c r="GX30" i="72" s="1"/>
  <c r="GV30" i="72" a="1"/>
  <c r="GV30" i="72" s="1"/>
  <c r="HX27" i="72" a="1"/>
  <c r="HX27" i="72" s="1"/>
  <c r="HT27" i="72" a="1"/>
  <c r="HT27" i="72" s="1"/>
  <c r="HD27" i="72" a="1"/>
  <c r="HD27" i="72" s="1"/>
  <c r="HS27" i="72" a="1"/>
  <c r="HS27" i="72" s="1"/>
  <c r="HW27" i="72" a="1"/>
  <c r="HW27" i="72" s="1"/>
  <c r="HY27" i="72" a="1"/>
  <c r="HY27" i="72" s="1"/>
  <c r="HR27" i="72" a="1"/>
  <c r="HR27" i="72" s="1"/>
  <c r="HV27" i="72" a="1"/>
  <c r="HV27" i="72" s="1"/>
  <c r="HU27" i="72" a="1"/>
  <c r="HU27" i="72" s="1"/>
  <c r="HT15" i="72" a="1"/>
  <c r="HT15" i="72" s="1"/>
  <c r="HX15" i="72" a="1"/>
  <c r="HX15" i="72" s="1"/>
  <c r="HS15" i="72" a="1"/>
  <c r="HS15" i="72" s="1"/>
  <c r="HV15" i="72" a="1"/>
  <c r="HV15" i="72" s="1"/>
  <c r="HU15" i="72" a="1"/>
  <c r="HU15" i="72" s="1"/>
  <c r="HY15" i="72" a="1"/>
  <c r="HY15" i="72" s="1"/>
  <c r="HD15" i="72" a="1"/>
  <c r="HD15" i="72" s="1"/>
  <c r="HR15" i="72" a="1"/>
  <c r="HR15" i="72" s="1"/>
  <c r="HW15" i="72" a="1"/>
  <c r="HW15" i="72" s="1"/>
  <c r="IS28" i="72" a="1"/>
  <c r="IS28" i="72" s="1"/>
  <c r="IO28" i="72" a="1"/>
  <c r="IO28" i="72" s="1"/>
  <c r="IP28" i="72" a="1"/>
  <c r="IP28" i="72" s="1"/>
  <c r="IT28" i="72" a="1"/>
  <c r="IT28" i="72" s="1"/>
  <c r="IQ28" i="72" a="1"/>
  <c r="IQ28" i="72" s="1"/>
  <c r="IV28" i="72" a="1"/>
  <c r="IV28" i="72" s="1"/>
  <c r="IU28" i="72" a="1"/>
  <c r="IU28" i="72" s="1"/>
  <c r="IA28" i="72" a="1"/>
  <c r="IA28" i="72" s="1"/>
  <c r="IR28" i="72" a="1"/>
  <c r="IR28" i="72" s="1"/>
  <c r="IS27" i="72" a="1"/>
  <c r="IS27" i="72" s="1"/>
  <c r="IO27" i="72" a="1"/>
  <c r="IO27" i="72" s="1"/>
  <c r="IT27" i="72" a="1"/>
  <c r="IT27" i="72" s="1"/>
  <c r="IR27" i="72" a="1"/>
  <c r="IR27" i="72" s="1"/>
  <c r="IQ27" i="72" a="1"/>
  <c r="IQ27" i="72" s="1"/>
  <c r="IP27" i="72" a="1"/>
  <c r="IP27" i="72" s="1"/>
  <c r="IA27" i="72" a="1"/>
  <c r="IA27" i="72" s="1"/>
  <c r="IV27" i="72" a="1"/>
  <c r="IV27" i="72" s="1"/>
  <c r="IU27" i="72" a="1"/>
  <c r="IU27" i="72" s="1"/>
  <c r="JP23" i="72" a="1"/>
  <c r="JP23" i="72" s="1"/>
  <c r="JL23" i="72" a="1"/>
  <c r="JL23" i="72" s="1"/>
  <c r="JO23" i="72" a="1"/>
  <c r="JO23" i="72" s="1"/>
  <c r="JN23" i="72" a="1"/>
  <c r="JN23" i="72" s="1"/>
  <c r="JM23" i="72" a="1"/>
  <c r="JM23" i="72" s="1"/>
  <c r="IX23" i="72" a="1"/>
  <c r="IX23" i="72" s="1"/>
  <c r="JS23" i="72" a="1"/>
  <c r="JS23" i="72" s="1"/>
  <c r="JR23" i="72" a="1"/>
  <c r="JR23" i="72" s="1"/>
  <c r="JQ23" i="72" a="1"/>
  <c r="JQ23" i="72" s="1"/>
  <c r="JN29" i="72" a="1"/>
  <c r="JN29" i="72" s="1"/>
  <c r="IX29" i="72" a="1"/>
  <c r="IX29" i="72" s="1"/>
  <c r="JQ29" i="72" a="1"/>
  <c r="JQ29" i="72" s="1"/>
  <c r="JL29" i="72" a="1"/>
  <c r="JL29" i="72" s="1"/>
  <c r="JP29" i="72" a="1"/>
  <c r="JP29" i="72" s="1"/>
  <c r="JO29" i="72" a="1"/>
  <c r="JO29" i="72" s="1"/>
  <c r="JS29" i="72" a="1"/>
  <c r="JS29" i="72" s="1"/>
  <c r="JR29" i="72" a="1"/>
  <c r="JR29" i="72" s="1"/>
  <c r="JM29" i="72" a="1"/>
  <c r="JM29" i="72" s="1"/>
  <c r="FG21" i="72" a="1"/>
  <c r="FG21" i="72" s="1"/>
  <c r="FC21" i="72" a="1"/>
  <c r="FC21" i="72" s="1"/>
  <c r="FE21" i="72" a="1"/>
  <c r="FE21" i="72" s="1"/>
  <c r="FA21" i="72" a="1"/>
  <c r="FA21" i="72" s="1"/>
  <c r="FF21" i="72" a="1"/>
  <c r="FF21" i="72" s="1"/>
  <c r="FD21" i="72" a="1"/>
  <c r="FD21" i="72" s="1"/>
  <c r="EM21" i="72" a="1"/>
  <c r="EM21" i="72" s="1"/>
  <c r="FB21" i="72" a="1"/>
  <c r="FB21" i="72" s="1"/>
  <c r="FH21" i="72" a="1"/>
  <c r="FH21" i="72" s="1"/>
  <c r="FE34" i="72" a="1"/>
  <c r="FE34" i="72" s="1"/>
  <c r="FA34" i="72" a="1"/>
  <c r="FA34" i="72" s="1"/>
  <c r="FC34" i="72" a="1"/>
  <c r="FC34" i="72" s="1"/>
  <c r="FH34" i="72" a="1"/>
  <c r="FH34" i="72" s="1"/>
  <c r="FG34" i="72" a="1"/>
  <c r="FG34" i="72" s="1"/>
  <c r="EM34" i="72" a="1"/>
  <c r="EM34" i="72" s="1"/>
  <c r="FF34" i="72" a="1"/>
  <c r="FF34" i="72" s="1"/>
  <c r="FD34" i="72" a="1"/>
  <c r="FD34" i="72" s="1"/>
  <c r="FB34" i="72" a="1"/>
  <c r="FB34" i="72" s="1"/>
  <c r="GB22" i="72" a="1"/>
  <c r="GB22" i="72" s="1"/>
  <c r="FX22" i="72" a="1"/>
  <c r="FX22" i="72" s="1"/>
  <c r="GD22" i="72" a="1"/>
  <c r="GD22" i="72" s="1"/>
  <c r="FZ22" i="72" a="1"/>
  <c r="FZ22" i="72" s="1"/>
  <c r="FJ22" i="72" a="1"/>
  <c r="FJ22" i="72" s="1"/>
  <c r="GC22" i="72" a="1"/>
  <c r="GC22" i="72" s="1"/>
  <c r="GE22" i="72" a="1"/>
  <c r="GE22" i="72" s="1"/>
  <c r="FY22" i="72" a="1"/>
  <c r="FY22" i="72" s="1"/>
  <c r="GA22" i="72" a="1"/>
  <c r="GA22" i="72" s="1"/>
  <c r="IS34" i="72" a="1"/>
  <c r="IS34" i="72" s="1"/>
  <c r="IO34" i="72" a="1"/>
  <c r="IO34" i="72" s="1"/>
  <c r="IV34" i="72" a="1"/>
  <c r="IV34" i="72" s="1"/>
  <c r="IR34" i="72" a="1"/>
  <c r="IR34" i="72" s="1"/>
  <c r="IQ34" i="72" a="1"/>
  <c r="IQ34" i="72" s="1"/>
  <c r="IP34" i="72" a="1"/>
  <c r="IP34" i="72" s="1"/>
  <c r="IA34" i="72" a="1"/>
  <c r="IA34" i="72" s="1"/>
  <c r="IB34" i="72" s="1"/>
  <c r="IU34" i="72" a="1"/>
  <c r="IU34" i="72" s="1"/>
  <c r="IT34" i="72" a="1"/>
  <c r="IT34" i="72" s="1"/>
  <c r="JS30" i="72" a="1"/>
  <c r="JS30" i="72" s="1"/>
  <c r="IX30" i="72" a="1"/>
  <c r="IX30" i="72" s="1"/>
  <c r="JN30" i="72" a="1"/>
  <c r="JN30" i="72" s="1"/>
  <c r="JR30" i="72" a="1"/>
  <c r="JR30" i="72" s="1"/>
  <c r="JM30" i="72" a="1"/>
  <c r="JM30" i="72" s="1"/>
  <c r="JP30" i="72" a="1"/>
  <c r="JP30" i="72" s="1"/>
  <c r="JO30" i="72" a="1"/>
  <c r="JO30" i="72" s="1"/>
  <c r="JL30" i="72" a="1"/>
  <c r="JL30" i="72" s="1"/>
  <c r="JQ30" i="72" a="1"/>
  <c r="JQ30" i="72" s="1"/>
  <c r="BQ34" i="72" a="1"/>
  <c r="BQ34" i="72" s="1"/>
  <c r="BM34" i="72" a="1"/>
  <c r="BM34" i="72" s="1"/>
  <c r="BO34" i="72" a="1"/>
  <c r="BO34" i="72" s="1"/>
  <c r="BS34" i="72" a="1"/>
  <c r="BS34" i="72" s="1"/>
  <c r="AY34" i="72" a="1"/>
  <c r="AY34" i="72" s="1"/>
  <c r="BT34" i="72" a="1"/>
  <c r="BT34" i="72" s="1"/>
  <c r="BR34" i="72" a="1"/>
  <c r="BR34" i="72" s="1"/>
  <c r="BP34" i="72" a="1"/>
  <c r="BP34" i="72" s="1"/>
  <c r="BN34" i="72" a="1"/>
  <c r="BN34" i="72" s="1"/>
  <c r="BN30" i="72" a="1"/>
  <c r="BN30" i="72" s="1"/>
  <c r="BS30" i="72" a="1"/>
  <c r="BS30" i="72" s="1"/>
  <c r="BR30" i="72" a="1"/>
  <c r="BR30" i="72" s="1"/>
  <c r="BM30" i="72" a="1"/>
  <c r="BM30" i="72" s="1"/>
  <c r="BQ30" i="72" a="1"/>
  <c r="BQ30" i="72" s="1"/>
  <c r="BP30" i="72" a="1"/>
  <c r="BP30" i="72" s="1"/>
  <c r="AY30" i="72" a="1"/>
  <c r="AY30" i="72" s="1"/>
  <c r="BT30" i="72" a="1"/>
  <c r="BT30" i="72" s="1"/>
  <c r="BO30" i="72" a="1"/>
  <c r="BO30" i="72" s="1"/>
  <c r="CQ15" i="72" a="1"/>
  <c r="CQ15" i="72" s="1"/>
  <c r="BV15" i="72" a="1"/>
  <c r="BV15" i="72" s="1"/>
  <c r="CL15" i="72" a="1"/>
  <c r="CL15" i="72" s="1"/>
  <c r="CP15" i="72" a="1"/>
  <c r="CP15" i="72" s="1"/>
  <c r="CN15" i="72" a="1"/>
  <c r="CN15" i="72" s="1"/>
  <c r="CO15" i="72" a="1"/>
  <c r="CO15" i="72" s="1"/>
  <c r="CM15" i="72" a="1"/>
  <c r="CM15" i="72" s="1"/>
  <c r="CJ15" i="72" a="1"/>
  <c r="CJ15" i="72" s="1"/>
  <c r="CK15" i="72" a="1"/>
  <c r="CK15" i="72" s="1"/>
  <c r="CO31" i="72" a="1"/>
  <c r="CO31" i="72" s="1"/>
  <c r="CJ31" i="72" a="1"/>
  <c r="CJ31" i="72" s="1"/>
  <c r="CN31" i="72" a="1"/>
  <c r="CN31" i="72" s="1"/>
  <c r="CQ31" i="72" a="1"/>
  <c r="CQ31" i="72" s="1"/>
  <c r="BV31" i="72" a="1"/>
  <c r="BV31" i="72" s="1"/>
  <c r="CL31" i="72" a="1"/>
  <c r="CL31" i="72" s="1"/>
  <c r="CK31" i="72" a="1"/>
  <c r="CK31" i="72" s="1"/>
  <c r="CP31" i="72" a="1"/>
  <c r="CP31" i="72" s="1"/>
  <c r="CM31" i="72" a="1"/>
  <c r="CM31" i="72" s="1"/>
  <c r="DG31" i="72" a="1"/>
  <c r="DG31" i="72" s="1"/>
  <c r="DK31" i="72" a="1"/>
  <c r="DK31" i="72" s="1"/>
  <c r="DJ31" i="72" a="1"/>
  <c r="DJ31" i="72" s="1"/>
  <c r="DN31" i="72" a="1"/>
  <c r="DN31" i="72" s="1"/>
  <c r="CS31" i="72" a="1"/>
  <c r="CS31" i="72" s="1"/>
  <c r="DM31" i="72" a="1"/>
  <c r="DM31" i="72" s="1"/>
  <c r="DI31" i="72" a="1"/>
  <c r="DI31" i="72" s="1"/>
  <c r="DH31" i="72" a="1"/>
  <c r="DH31" i="72" s="1"/>
  <c r="DL31" i="72" a="1"/>
  <c r="DL31" i="72" s="1"/>
  <c r="DN16" i="72" a="1"/>
  <c r="DN16" i="72" s="1"/>
  <c r="CS16" i="72" a="1"/>
  <c r="CS16" i="72" s="1"/>
  <c r="DI16" i="72" a="1"/>
  <c r="DI16" i="72" s="1"/>
  <c r="DM16" i="72" a="1"/>
  <c r="DM16" i="72" s="1"/>
  <c r="DH16" i="72" a="1"/>
  <c r="DH16" i="72" s="1"/>
  <c r="DG16" i="72" a="1"/>
  <c r="DG16" i="72" s="1"/>
  <c r="DK16" i="72" a="1"/>
  <c r="DK16" i="72" s="1"/>
  <c r="DJ16" i="72" a="1"/>
  <c r="DJ16" i="72" s="1"/>
  <c r="DL16" i="72" a="1"/>
  <c r="DL16" i="72" s="1"/>
  <c r="DK26" i="72" a="1"/>
  <c r="DK26" i="72" s="1"/>
  <c r="DG26" i="72" a="1"/>
  <c r="DG26" i="72" s="1"/>
  <c r="DI26" i="72" a="1"/>
  <c r="DI26" i="72" s="1"/>
  <c r="DN26" i="72" a="1"/>
  <c r="DN26" i="72" s="1"/>
  <c r="DH26" i="72" a="1"/>
  <c r="DH26" i="72" s="1"/>
  <c r="DM26" i="72" a="1"/>
  <c r="DM26" i="72" s="1"/>
  <c r="DL26" i="72" a="1"/>
  <c r="DL26" i="72" s="1"/>
  <c r="DJ26" i="72" a="1"/>
  <c r="DJ26" i="72" s="1"/>
  <c r="CS26" i="72" a="1"/>
  <c r="CS26" i="72" s="1"/>
  <c r="EH23" i="72" a="1"/>
  <c r="EH23" i="72" s="1"/>
  <c r="ED23" i="72" a="1"/>
  <c r="ED23" i="72" s="1"/>
  <c r="DP23" i="72" a="1"/>
  <c r="DP23" i="72" s="1"/>
  <c r="EK23" i="72" a="1"/>
  <c r="EK23" i="72" s="1"/>
  <c r="EJ23" i="72" a="1"/>
  <c r="EJ23" i="72" s="1"/>
  <c r="EI23" i="72" a="1"/>
  <c r="EI23" i="72" s="1"/>
  <c r="EG23" i="72" a="1"/>
  <c r="EG23" i="72" s="1"/>
  <c r="EF23" i="72" a="1"/>
  <c r="EF23" i="72" s="1"/>
  <c r="EE23" i="72" a="1"/>
  <c r="EE23" i="72" s="1"/>
  <c r="EF17" i="72" a="1"/>
  <c r="EF17" i="72" s="1"/>
  <c r="EJ17" i="72" a="1"/>
  <c r="EJ17" i="72" s="1"/>
  <c r="EE17" i="72" a="1"/>
  <c r="EE17" i="72" s="1"/>
  <c r="ED17" i="72" a="1"/>
  <c r="ED17" i="72" s="1"/>
  <c r="EH17" i="72" a="1"/>
  <c r="EH17" i="72" s="1"/>
  <c r="EG17" i="72" a="1"/>
  <c r="EG17" i="72" s="1"/>
  <c r="EK17" i="72" a="1"/>
  <c r="EK17" i="72" s="1"/>
  <c r="DP17" i="72" a="1"/>
  <c r="DP17" i="72" s="1"/>
  <c r="EI17" i="72" a="1"/>
  <c r="EI17" i="72" s="1"/>
  <c r="FH20" i="72" a="1"/>
  <c r="FH20" i="72" s="1"/>
  <c r="EM20" i="72" a="1"/>
  <c r="EM20" i="72" s="1"/>
  <c r="FC20" i="72" a="1"/>
  <c r="FC20" i="72" s="1"/>
  <c r="FG20" i="72" a="1"/>
  <c r="FG20" i="72" s="1"/>
  <c r="FA20" i="72" a="1"/>
  <c r="FA20" i="72" s="1"/>
  <c r="FD20" i="72" a="1"/>
  <c r="FD20" i="72" s="1"/>
  <c r="FF20" i="72" a="1"/>
  <c r="FF20" i="72" s="1"/>
  <c r="FE20" i="72" a="1"/>
  <c r="FE20" i="72" s="1"/>
  <c r="FB20" i="72" a="1"/>
  <c r="FB20" i="72" s="1"/>
  <c r="FH19" i="72" a="1"/>
  <c r="FH19" i="72" s="1"/>
  <c r="EM19" i="72" a="1"/>
  <c r="EM19" i="72" s="1"/>
  <c r="FC19" i="72" a="1"/>
  <c r="FC19" i="72" s="1"/>
  <c r="FG19" i="72" a="1"/>
  <c r="FG19" i="72" s="1"/>
  <c r="FB19" i="72" a="1"/>
  <c r="FB19" i="72" s="1"/>
  <c r="FF19" i="72" a="1"/>
  <c r="FF19" i="72" s="1"/>
  <c r="FA19" i="72" a="1"/>
  <c r="FA19" i="72" s="1"/>
  <c r="FE19" i="72" a="1"/>
  <c r="FE19" i="72" s="1"/>
  <c r="FD19" i="72" a="1"/>
  <c r="FD19" i="72" s="1"/>
  <c r="GB24" i="72" a="1"/>
  <c r="GB24" i="72" s="1"/>
  <c r="FX24" i="72" a="1"/>
  <c r="FX24" i="72" s="1"/>
  <c r="GC24" i="72" a="1"/>
  <c r="GC24" i="72" s="1"/>
  <c r="GE24" i="72" a="1"/>
  <c r="GE24" i="72" s="1"/>
  <c r="GD24" i="72" a="1"/>
  <c r="GD24" i="72" s="1"/>
  <c r="GA24" i="72" a="1"/>
  <c r="GA24" i="72" s="1"/>
  <c r="FZ24" i="72" a="1"/>
  <c r="FZ24" i="72" s="1"/>
  <c r="FY24" i="72" a="1"/>
  <c r="FY24" i="72" s="1"/>
  <c r="FJ24" i="72" a="1"/>
  <c r="FJ24" i="72" s="1"/>
  <c r="FZ20" i="72" a="1"/>
  <c r="FZ20" i="72" s="1"/>
  <c r="GD20" i="72" a="1"/>
  <c r="GD20" i="72" s="1"/>
  <c r="FY20" i="72" a="1"/>
  <c r="FY20" i="72" s="1"/>
  <c r="GC20" i="72" a="1"/>
  <c r="GC20" i="72" s="1"/>
  <c r="GE20" i="72" a="1"/>
  <c r="GE20" i="72" s="1"/>
  <c r="FJ20" i="72" a="1"/>
  <c r="FJ20" i="72" s="1"/>
  <c r="GB20" i="72" a="1"/>
  <c r="GB20" i="72" s="1"/>
  <c r="GA20" i="72" a="1"/>
  <c r="GA20" i="72" s="1"/>
  <c r="FX20" i="72" a="1"/>
  <c r="FX20" i="72" s="1"/>
  <c r="HA24" i="72" a="1"/>
  <c r="HA24" i="72" s="1"/>
  <c r="GW24" i="72" a="1"/>
  <c r="GW24" i="72" s="1"/>
  <c r="GG24" i="72" a="1"/>
  <c r="GG24" i="72" s="1"/>
  <c r="GZ24" i="72" a="1"/>
  <c r="GZ24" i="72" s="1"/>
  <c r="GU24" i="72" a="1"/>
  <c r="GU24" i="72" s="1"/>
  <c r="HB24" i="72" a="1"/>
  <c r="HB24" i="72" s="1"/>
  <c r="GY24" i="72" a="1"/>
  <c r="GY24" i="72" s="1"/>
  <c r="GX24" i="72" a="1"/>
  <c r="GX24" i="72" s="1"/>
  <c r="GV24" i="72" a="1"/>
  <c r="GV24" i="72" s="1"/>
  <c r="GV20" i="72" a="1"/>
  <c r="GV20" i="72" s="1"/>
  <c r="GZ20" i="72" a="1"/>
  <c r="GZ20" i="72" s="1"/>
  <c r="GU20" i="72" a="1"/>
  <c r="GU20" i="72" s="1"/>
  <c r="GY20" i="72" a="1"/>
  <c r="GY20" i="72" s="1"/>
  <c r="HB20" i="72" a="1"/>
  <c r="HB20" i="72" s="1"/>
  <c r="GG20" i="72" a="1"/>
  <c r="GG20" i="72" s="1"/>
  <c r="HA20" i="72" a="1"/>
  <c r="HA20" i="72" s="1"/>
  <c r="GX20" i="72" a="1"/>
  <c r="GX20" i="72" s="1"/>
  <c r="GW20" i="72" a="1"/>
  <c r="GW20" i="72" s="1"/>
  <c r="HX14" i="72" a="1"/>
  <c r="HX14" i="72" s="1"/>
  <c r="HW14" i="72" a="1"/>
  <c r="HW14" i="72" s="1"/>
  <c r="HS14" i="72" a="1"/>
  <c r="HS14" i="72" s="1"/>
  <c r="HV14" i="72" a="1"/>
  <c r="HV14" i="72" s="1"/>
  <c r="HU14" i="72" a="1"/>
  <c r="HU14" i="72" s="1"/>
  <c r="HR14" i="72" a="1"/>
  <c r="HR14" i="72" s="1"/>
  <c r="HD14" i="72" a="1"/>
  <c r="HD14" i="72" s="1"/>
  <c r="HT14" i="72" a="1"/>
  <c r="HT14" i="72" s="1"/>
  <c r="HY14" i="72" a="1"/>
  <c r="HY14" i="72" s="1"/>
  <c r="HX28" i="72" a="1"/>
  <c r="HX28" i="72" s="1"/>
  <c r="HT28" i="72" a="1"/>
  <c r="HT28" i="72" s="1"/>
  <c r="HD28" i="72" a="1"/>
  <c r="HD28" i="72" s="1"/>
  <c r="HS28" i="72" a="1"/>
  <c r="HS28" i="72" s="1"/>
  <c r="HU28" i="72" a="1"/>
  <c r="HU28" i="72" s="1"/>
  <c r="HV28" i="72" a="1"/>
  <c r="HV28" i="72" s="1"/>
  <c r="HR28" i="72" a="1"/>
  <c r="HR28" i="72" s="1"/>
  <c r="HW28" i="72" a="1"/>
  <c r="HW28" i="72" s="1"/>
  <c r="HY28" i="72" a="1"/>
  <c r="HY28" i="72" s="1"/>
  <c r="IU15" i="72" a="1"/>
  <c r="IU15" i="72" s="1"/>
  <c r="IP15" i="72" a="1"/>
  <c r="IP15" i="72" s="1"/>
  <c r="IT15" i="72" a="1"/>
  <c r="IT15" i="72" s="1"/>
  <c r="IO15" i="72" a="1"/>
  <c r="IO15" i="72" s="1"/>
  <c r="IR15" i="72" a="1"/>
  <c r="IR15" i="72" s="1"/>
  <c r="IV15" i="72" a="1"/>
  <c r="IV15" i="72" s="1"/>
  <c r="IA15" i="72" a="1"/>
  <c r="IA15" i="72" s="1"/>
  <c r="IQ15" i="72" a="1"/>
  <c r="IQ15" i="72" s="1"/>
  <c r="IS15" i="72" a="1"/>
  <c r="IS15" i="72" s="1"/>
  <c r="IS33" i="72" a="1"/>
  <c r="IS33" i="72" s="1"/>
  <c r="IO33" i="72" a="1"/>
  <c r="IO33" i="72" s="1"/>
  <c r="IU33" i="72" a="1"/>
  <c r="IU33" i="72" s="1"/>
  <c r="IA33" i="72" a="1"/>
  <c r="IA33" i="72" s="1"/>
  <c r="IQ33" i="72" a="1"/>
  <c r="IQ33" i="72" s="1"/>
  <c r="IP33" i="72" a="1"/>
  <c r="IP33" i="72" s="1"/>
  <c r="IV33" i="72" a="1"/>
  <c r="IV33" i="72" s="1"/>
  <c r="IT33" i="72" a="1"/>
  <c r="IT33" i="72" s="1"/>
  <c r="IR33" i="72" a="1"/>
  <c r="IR33" i="72" s="1"/>
  <c r="JS24" i="72" a="1"/>
  <c r="JS24" i="72" s="1"/>
  <c r="JO24" i="72" a="1"/>
  <c r="JO24" i="72" s="1"/>
  <c r="JP24" i="72" a="1"/>
  <c r="JP24" i="72" s="1"/>
  <c r="JL24" i="72" a="1"/>
  <c r="JL24" i="72" s="1"/>
  <c r="JN24" i="72" a="1"/>
  <c r="JN24" i="72" s="1"/>
  <c r="JM24" i="72" a="1"/>
  <c r="JM24" i="72" s="1"/>
  <c r="JR24" i="72" a="1"/>
  <c r="JR24" i="72" s="1"/>
  <c r="JQ24" i="72" a="1"/>
  <c r="JQ24" i="72" s="1"/>
  <c r="IX24" i="72" a="1"/>
  <c r="IX24" i="72" s="1"/>
  <c r="JR32" i="72" a="1"/>
  <c r="JR32" i="72" s="1"/>
  <c r="JN32" i="72" a="1"/>
  <c r="JN32" i="72" s="1"/>
  <c r="IX32" i="72" a="1"/>
  <c r="IX32" i="72" s="1"/>
  <c r="IY32" i="72" s="1"/>
  <c r="JL32" i="72" a="1"/>
  <c r="JL32" i="72" s="1"/>
  <c r="JP32" i="72" a="1"/>
  <c r="JP32" i="72" s="1"/>
  <c r="JS32" i="72" a="1"/>
  <c r="JS32" i="72" s="1"/>
  <c r="JQ32" i="72" a="1"/>
  <c r="JQ32" i="72" s="1"/>
  <c r="JM32" i="72" a="1"/>
  <c r="JM32" i="72" s="1"/>
  <c r="JO32" i="72" a="1"/>
  <c r="JO32" i="72" s="1"/>
  <c r="CM16" i="72" a="1"/>
  <c r="CM16" i="72" s="1"/>
  <c r="CQ16" i="72" a="1"/>
  <c r="CQ16" i="72" s="1"/>
  <c r="BV16" i="72" a="1"/>
  <c r="BV16" i="72" s="1"/>
  <c r="CL16" i="72" a="1"/>
  <c r="CL16" i="72" s="1"/>
  <c r="CK16" i="72" a="1"/>
  <c r="CK16" i="72" s="1"/>
  <c r="CO16" i="72" a="1"/>
  <c r="CO16" i="72" s="1"/>
  <c r="CJ16" i="72" a="1"/>
  <c r="CJ16" i="72" s="1"/>
  <c r="CN16" i="72" a="1"/>
  <c r="CN16" i="72" s="1"/>
  <c r="CP16" i="72" a="1"/>
  <c r="CP16" i="72" s="1"/>
  <c r="FH31" i="72" a="1"/>
  <c r="FH31" i="72" s="1"/>
  <c r="EM31" i="72" a="1"/>
  <c r="EM31" i="72" s="1"/>
  <c r="FC31" i="72" a="1"/>
  <c r="FC31" i="72" s="1"/>
  <c r="FG31" i="72" a="1"/>
  <c r="FG31" i="72" s="1"/>
  <c r="FB31" i="72" a="1"/>
  <c r="FB31" i="72" s="1"/>
  <c r="FA31" i="72" a="1"/>
  <c r="FA31" i="72" s="1"/>
  <c r="FE31" i="72" a="1"/>
  <c r="FE31" i="72" s="1"/>
  <c r="FF31" i="72" a="1"/>
  <c r="FF31" i="72" s="1"/>
  <c r="FD31" i="72" a="1"/>
  <c r="FD31" i="72" s="1"/>
  <c r="FC30" i="72" a="1"/>
  <c r="FC30" i="72" s="1"/>
  <c r="FE30" i="72" a="1"/>
  <c r="FE30" i="72" s="1"/>
  <c r="FH30" i="72" a="1"/>
  <c r="FH30" i="72" s="1"/>
  <c r="FB30" i="72" a="1"/>
  <c r="FB30" i="72" s="1"/>
  <c r="FG30" i="72" a="1"/>
  <c r="FG30" i="72" s="1"/>
  <c r="FA30" i="72" a="1"/>
  <c r="FA30" i="72" s="1"/>
  <c r="FF30" i="72" a="1"/>
  <c r="FF30" i="72" s="1"/>
  <c r="FD30" i="72" a="1"/>
  <c r="FD30" i="72" s="1"/>
  <c r="EM30" i="72" a="1"/>
  <c r="EM30" i="72" s="1"/>
  <c r="GX16" i="72" a="1"/>
  <c r="GX16" i="72" s="1"/>
  <c r="HB16" i="72" a="1"/>
  <c r="HB16" i="72" s="1"/>
  <c r="GG16" i="72" a="1"/>
  <c r="GG16" i="72" s="1"/>
  <c r="HA16" i="72" a="1"/>
  <c r="HA16" i="72" s="1"/>
  <c r="GV16" i="72" a="1"/>
  <c r="GV16" i="72" s="1"/>
  <c r="GZ16" i="72" a="1"/>
  <c r="GZ16" i="72" s="1"/>
  <c r="GU16" i="72" a="1"/>
  <c r="GU16" i="72" s="1"/>
  <c r="GY16" i="72" a="1"/>
  <c r="GY16" i="72" s="1"/>
  <c r="GW16" i="72" a="1"/>
  <c r="GW16" i="72" s="1"/>
  <c r="IS20" i="72" a="1"/>
  <c r="IS20" i="72" s="1"/>
  <c r="IR20" i="72" a="1"/>
  <c r="IR20" i="72" s="1"/>
  <c r="IV20" i="72" a="1"/>
  <c r="IV20" i="72" s="1"/>
  <c r="IA20" i="72" a="1"/>
  <c r="IA20" i="72" s="1"/>
  <c r="IB20" i="72" s="1"/>
  <c r="IQ20" i="72" a="1"/>
  <c r="IQ20" i="72" s="1"/>
  <c r="IP20" i="72" a="1"/>
  <c r="IP20" i="72" s="1"/>
  <c r="IO20" i="72" a="1"/>
  <c r="IO20" i="72" s="1"/>
  <c r="IU20" i="72" a="1"/>
  <c r="IU20" i="72" s="1"/>
  <c r="IT20" i="72" a="1"/>
  <c r="IT20" i="72" s="1"/>
  <c r="BT23" i="72" a="1"/>
  <c r="BT23" i="72" s="1"/>
  <c r="BP23" i="72" a="1"/>
  <c r="BP23" i="72" s="1"/>
  <c r="BS23" i="72" a="1"/>
  <c r="BS23" i="72" s="1"/>
  <c r="BO23" i="72" a="1"/>
  <c r="BO23" i="72" s="1"/>
  <c r="AY23" i="72" a="1"/>
  <c r="AY23" i="72" s="1"/>
  <c r="BQ23" i="72" a="1"/>
  <c r="BQ23" i="72" s="1"/>
  <c r="BM23" i="72" a="1"/>
  <c r="BM23" i="72" s="1"/>
  <c r="BN23" i="72" a="1"/>
  <c r="BN23" i="72" s="1"/>
  <c r="BR23" i="72" a="1"/>
  <c r="BR23" i="72" s="1"/>
  <c r="BO32" i="72" a="1"/>
  <c r="BO32" i="72" s="1"/>
  <c r="BT32" i="72" a="1"/>
  <c r="BT32" i="72" s="1"/>
  <c r="BN32" i="72" a="1"/>
  <c r="BN32" i="72" s="1"/>
  <c r="BR32" i="72" a="1"/>
  <c r="BR32" i="72" s="1"/>
  <c r="BQ32" i="72" a="1"/>
  <c r="BQ32" i="72" s="1"/>
  <c r="AY32" i="72" a="1"/>
  <c r="AY32" i="72" s="1"/>
  <c r="BS32" i="72" a="1"/>
  <c r="BS32" i="72" s="1"/>
  <c r="BM32" i="72" a="1"/>
  <c r="BM32" i="72" s="1"/>
  <c r="BP32" i="72" a="1"/>
  <c r="BP32" i="72" s="1"/>
  <c r="BS24" i="72" a="1"/>
  <c r="BS24" i="72" s="1"/>
  <c r="BO24" i="72" a="1"/>
  <c r="BO24" i="72" s="1"/>
  <c r="AY24" i="72" a="1"/>
  <c r="AY24" i="72" s="1"/>
  <c r="BQ24" i="72" a="1"/>
  <c r="BQ24" i="72" s="1"/>
  <c r="BP24" i="72" a="1"/>
  <c r="BP24" i="72" s="1"/>
  <c r="BN24" i="72" a="1"/>
  <c r="BN24" i="72" s="1"/>
  <c r="BM24" i="72" a="1"/>
  <c r="BM24" i="72" s="1"/>
  <c r="BT24" i="72" a="1"/>
  <c r="BT24" i="72" s="1"/>
  <c r="BR24" i="72" a="1"/>
  <c r="BR24" i="72" s="1"/>
  <c r="CJ30" i="72" a="1"/>
  <c r="CJ30" i="72" s="1"/>
  <c r="CK30" i="72" a="1"/>
  <c r="CK30" i="72" s="1"/>
  <c r="CP30" i="72" a="1"/>
  <c r="CP30" i="72" s="1"/>
  <c r="CO30" i="72" a="1"/>
  <c r="CO30" i="72" s="1"/>
  <c r="CN30" i="72" a="1"/>
  <c r="CN30" i="72" s="1"/>
  <c r="CM30" i="72" a="1"/>
  <c r="CM30" i="72" s="1"/>
  <c r="BV30" i="72" a="1"/>
  <c r="BV30" i="72" s="1"/>
  <c r="CQ30" i="72" a="1"/>
  <c r="CQ30" i="72" s="1"/>
  <c r="CL30" i="72" a="1"/>
  <c r="CL30" i="72" s="1"/>
  <c r="CN20" i="72" a="1"/>
  <c r="CN20" i="72" s="1"/>
  <c r="CQ20" i="72" a="1"/>
  <c r="CQ20" i="72" s="1"/>
  <c r="BV20" i="72" a="1"/>
  <c r="BV20" i="72" s="1"/>
  <c r="CP20" i="72" a="1"/>
  <c r="CP20" i="72" s="1"/>
  <c r="CK20" i="72" a="1"/>
  <c r="CK20" i="72" s="1"/>
  <c r="CO20" i="72" a="1"/>
  <c r="CO20" i="72" s="1"/>
  <c r="CM20" i="72" a="1"/>
  <c r="CM20" i="72" s="1"/>
  <c r="CL20" i="72" a="1"/>
  <c r="CL20" i="72" s="1"/>
  <c r="CJ20" i="72" a="1"/>
  <c r="CJ20" i="72" s="1"/>
  <c r="DK30" i="72" a="1"/>
  <c r="DK30" i="72" s="1"/>
  <c r="DM30" i="72" a="1"/>
  <c r="DM30" i="72" s="1"/>
  <c r="DH30" i="72" a="1"/>
  <c r="DH30" i="72" s="1"/>
  <c r="DL30" i="72" a="1"/>
  <c r="DL30" i="72" s="1"/>
  <c r="DG30" i="72" a="1"/>
  <c r="DG30" i="72" s="1"/>
  <c r="DJ30" i="72" a="1"/>
  <c r="DJ30" i="72" s="1"/>
  <c r="CS30" i="72" a="1"/>
  <c r="CS30" i="72" s="1"/>
  <c r="DN30" i="72" a="1"/>
  <c r="DN30" i="72" s="1"/>
  <c r="DI30" i="72" a="1"/>
  <c r="DI30" i="72" s="1"/>
  <c r="DK27" i="72" a="1"/>
  <c r="DK27" i="72" s="1"/>
  <c r="DG27" i="72" a="1"/>
  <c r="DG27" i="72" s="1"/>
  <c r="DL27" i="72" a="1"/>
  <c r="DL27" i="72" s="1"/>
  <c r="DM27" i="72" a="1"/>
  <c r="DM27" i="72" s="1"/>
  <c r="DH27" i="72" a="1"/>
  <c r="DH27" i="72" s="1"/>
  <c r="DJ27" i="72" a="1"/>
  <c r="DJ27" i="72" s="1"/>
  <c r="DI27" i="72" a="1"/>
  <c r="DI27" i="72" s="1"/>
  <c r="DN27" i="72" a="1"/>
  <c r="DN27" i="72" s="1"/>
  <c r="CS27" i="72" a="1"/>
  <c r="CS27" i="72" s="1"/>
  <c r="DJ17" i="72" a="1"/>
  <c r="DJ17" i="72" s="1"/>
  <c r="DN17" i="72" a="1"/>
  <c r="DN17" i="72" s="1"/>
  <c r="CS17" i="72" a="1"/>
  <c r="CS17" i="72" s="1"/>
  <c r="DI17" i="72" a="1"/>
  <c r="DI17" i="72" s="1"/>
  <c r="DL17" i="72" a="1"/>
  <c r="DL17" i="72" s="1"/>
  <c r="DG17" i="72" a="1"/>
  <c r="DG17" i="72" s="1"/>
  <c r="DK17" i="72" a="1"/>
  <c r="DK17" i="72" s="1"/>
  <c r="DM17" i="72" a="1"/>
  <c r="DM17" i="72" s="1"/>
  <c r="DH17" i="72" a="1"/>
  <c r="DH17" i="72" s="1"/>
  <c r="EG31" i="72" a="1"/>
  <c r="EG31" i="72" s="1"/>
  <c r="EK31" i="72" a="1"/>
  <c r="EK31" i="72" s="1"/>
  <c r="DP31" i="72" a="1"/>
  <c r="DP31" i="72" s="1"/>
  <c r="EF31" i="72" a="1"/>
  <c r="EF31" i="72" s="1"/>
  <c r="EI31" i="72" a="1"/>
  <c r="EI31" i="72" s="1"/>
  <c r="EH31" i="72" a="1"/>
  <c r="EH31" i="72" s="1"/>
  <c r="EE31" i="72" a="1"/>
  <c r="EE31" i="72" s="1"/>
  <c r="ED31" i="72" a="1"/>
  <c r="ED31" i="72" s="1"/>
  <c r="EJ31" i="72" a="1"/>
  <c r="EJ31" i="72" s="1"/>
  <c r="EG30" i="72" a="1"/>
  <c r="EG30" i="72" s="1"/>
  <c r="EE30" i="72" a="1"/>
  <c r="EE30" i="72" s="1"/>
  <c r="EJ30" i="72" a="1"/>
  <c r="EJ30" i="72" s="1"/>
  <c r="EI30" i="72" a="1"/>
  <c r="EI30" i="72" s="1"/>
  <c r="ED30" i="72" a="1"/>
  <c r="ED30" i="72" s="1"/>
  <c r="EH30" i="72" a="1"/>
  <c r="EH30" i="72" s="1"/>
  <c r="DP30" i="72" a="1"/>
  <c r="DP30" i="72" s="1"/>
  <c r="EK30" i="72" a="1"/>
  <c r="EK30" i="72" s="1"/>
  <c r="EF30" i="72" a="1"/>
  <c r="EF30" i="72" s="1"/>
  <c r="FE27" i="72" a="1"/>
  <c r="FE27" i="72" s="1"/>
  <c r="FA27" i="72" a="1"/>
  <c r="FA27" i="72" s="1"/>
  <c r="FD27" i="72" a="1"/>
  <c r="FD27" i="72" s="1"/>
  <c r="FB27" i="72" a="1"/>
  <c r="FB27" i="72" s="1"/>
  <c r="FG27" i="72" a="1"/>
  <c r="FG27" i="72" s="1"/>
  <c r="EM27" i="72" a="1"/>
  <c r="EM27" i="72" s="1"/>
  <c r="FH27" i="72" a="1"/>
  <c r="FH27" i="72" s="1"/>
  <c r="FF27" i="72" a="1"/>
  <c r="FF27" i="72" s="1"/>
  <c r="FC27" i="72" a="1"/>
  <c r="FC27" i="72" s="1"/>
  <c r="FE25" i="72" a="1"/>
  <c r="FE25" i="72" s="1"/>
  <c r="FA25" i="72" a="1"/>
  <c r="FA25" i="72" s="1"/>
  <c r="FG25" i="72" a="1"/>
  <c r="FG25" i="72" s="1"/>
  <c r="FB25" i="72" a="1"/>
  <c r="FB25" i="72" s="1"/>
  <c r="FF25" i="72" a="1"/>
  <c r="FF25" i="72" s="1"/>
  <c r="FH25" i="72" a="1"/>
  <c r="FH25" i="72" s="1"/>
  <c r="FC25" i="72" a="1"/>
  <c r="FC25" i="72" s="1"/>
  <c r="EM25" i="72" a="1"/>
  <c r="EM25" i="72" s="1"/>
  <c r="FD25" i="72" a="1"/>
  <c r="FD25" i="72" s="1"/>
  <c r="GB14" i="72" a="1"/>
  <c r="GB14" i="72" s="1"/>
  <c r="FX14" i="72" a="1"/>
  <c r="FX14" i="72" s="1"/>
  <c r="GA14" i="72" a="1"/>
  <c r="GA14" i="72" s="1"/>
  <c r="FZ14" i="72" a="1"/>
  <c r="FZ14" i="72" s="1"/>
  <c r="FY14" i="72" a="1"/>
  <c r="FY14" i="72" s="1"/>
  <c r="GD14" i="72" a="1"/>
  <c r="GD14" i="72" s="1"/>
  <c r="GC14" i="72" a="1"/>
  <c r="GC14" i="72" s="1"/>
  <c r="FJ14" i="72" a="1"/>
  <c r="FJ14" i="72" s="1"/>
  <c r="GE14" i="72" a="1"/>
  <c r="GE14" i="72" s="1"/>
  <c r="GD28" i="72" a="1"/>
  <c r="GD28" i="72" s="1"/>
  <c r="FZ28" i="72" a="1"/>
  <c r="FZ28" i="72" s="1"/>
  <c r="FJ28" i="72" a="1"/>
  <c r="FJ28" i="72" s="1"/>
  <c r="GA28" i="72" a="1"/>
  <c r="GA28" i="72" s="1"/>
  <c r="GB28" i="72" a="1"/>
  <c r="GB28" i="72" s="1"/>
  <c r="GE28" i="72" a="1"/>
  <c r="GE28" i="72" s="1"/>
  <c r="FY28" i="72" a="1"/>
  <c r="FY28" i="72" s="1"/>
  <c r="GC28" i="72" a="1"/>
  <c r="GC28" i="72" s="1"/>
  <c r="FX28" i="72" a="1"/>
  <c r="FX28" i="72" s="1"/>
  <c r="HA21" i="72" a="1"/>
  <c r="HA21" i="72" s="1"/>
  <c r="GW21" i="72" a="1"/>
  <c r="GW21" i="72" s="1"/>
  <c r="GG21" i="72" a="1"/>
  <c r="GG21" i="72" s="1"/>
  <c r="GY21" i="72" a="1"/>
  <c r="GY21" i="72" s="1"/>
  <c r="GU21" i="72" a="1"/>
  <c r="GU21" i="72" s="1"/>
  <c r="GV21" i="72" a="1"/>
  <c r="GV21" i="72" s="1"/>
  <c r="GZ21" i="72" a="1"/>
  <c r="GZ21" i="72" s="1"/>
  <c r="GX21" i="72" a="1"/>
  <c r="GX21" i="72" s="1"/>
  <c r="HB21" i="72" a="1"/>
  <c r="HB21" i="72" s="1"/>
  <c r="HB14" i="72" a="1"/>
  <c r="HB14" i="72" s="1"/>
  <c r="HA14" i="72" a="1"/>
  <c r="HA14" i="72" s="1"/>
  <c r="GW14" i="72" a="1"/>
  <c r="GW14" i="72" s="1"/>
  <c r="GG14" i="72" a="1"/>
  <c r="GG14" i="72" s="1"/>
  <c r="GH14" i="72" s="1"/>
  <c r="GH35" i="72" s="1"/>
  <c r="GU14" i="72" a="1"/>
  <c r="GU14" i="72" s="1"/>
  <c r="GZ14" i="72" a="1"/>
  <c r="GZ14" i="72" s="1"/>
  <c r="GY14" i="72" a="1"/>
  <c r="GY14" i="72" s="1"/>
  <c r="GX14" i="72" a="1"/>
  <c r="GX14" i="72" s="1"/>
  <c r="GV14" i="72" a="1"/>
  <c r="GV14" i="72" s="1"/>
  <c r="HX33" i="72" a="1"/>
  <c r="HX33" i="72" s="1"/>
  <c r="HT33" i="72" a="1"/>
  <c r="HT33" i="72" s="1"/>
  <c r="HD33" i="72" a="1"/>
  <c r="HD33" i="72" s="1"/>
  <c r="HE33" i="72" s="1"/>
  <c r="HR33" i="72" a="1"/>
  <c r="HR33" i="72" s="1"/>
  <c r="HV33" i="72" a="1"/>
  <c r="HV33" i="72" s="1"/>
  <c r="HY33" i="72" a="1"/>
  <c r="HY33" i="72" s="1"/>
  <c r="HW33" i="72" a="1"/>
  <c r="HW33" i="72" s="1"/>
  <c r="HU33" i="72" a="1"/>
  <c r="HU33" i="72" s="1"/>
  <c r="HS33" i="72" a="1"/>
  <c r="HS33" i="72" s="1"/>
  <c r="HX32" i="72" a="1"/>
  <c r="HX32" i="72" s="1"/>
  <c r="HT32" i="72" a="1"/>
  <c r="HT32" i="72" s="1"/>
  <c r="HD32" i="72" a="1"/>
  <c r="HD32" i="72" s="1"/>
  <c r="HV32" i="72" a="1"/>
  <c r="HV32" i="72" s="1"/>
  <c r="HR32" i="72" a="1"/>
  <c r="HR32" i="72" s="1"/>
  <c r="HW32" i="72" a="1"/>
  <c r="HW32" i="72" s="1"/>
  <c r="HU32" i="72" a="1"/>
  <c r="HU32" i="72" s="1"/>
  <c r="HS32" i="72" a="1"/>
  <c r="HS32" i="72" s="1"/>
  <c r="HY32" i="72" a="1"/>
  <c r="HY32" i="72" s="1"/>
  <c r="IS25" i="72" a="1"/>
  <c r="IS25" i="72" s="1"/>
  <c r="IO25" i="72" a="1"/>
  <c r="IO25" i="72" s="1"/>
  <c r="IV25" i="72" a="1"/>
  <c r="IV25" i="72" s="1"/>
  <c r="IA25" i="72" a="1"/>
  <c r="IA25" i="72" s="1"/>
  <c r="IB25" i="72" s="1"/>
  <c r="IQ25" i="72" a="1"/>
  <c r="IQ25" i="72" s="1"/>
  <c r="IU25" i="72" a="1"/>
  <c r="IU25" i="72" s="1"/>
  <c r="IP25" i="72" a="1"/>
  <c r="IP25" i="72" s="1"/>
  <c r="IT25" i="72" a="1"/>
  <c r="IT25" i="72" s="1"/>
  <c r="IR25" i="72" a="1"/>
  <c r="IR25" i="72" s="1"/>
  <c r="IQ31" i="72" a="1"/>
  <c r="IQ31" i="72" s="1"/>
  <c r="IU31" i="72" a="1"/>
  <c r="IU31" i="72" s="1"/>
  <c r="IT31" i="72" a="1"/>
  <c r="IT31" i="72" s="1"/>
  <c r="IS31" i="72" a="1"/>
  <c r="IS31" i="72" s="1"/>
  <c r="IR31" i="72" a="1"/>
  <c r="IR31" i="72" s="1"/>
  <c r="IO31" i="72" a="1"/>
  <c r="IO31" i="72" s="1"/>
  <c r="IV31" i="72" a="1"/>
  <c r="IV31" i="72" s="1"/>
  <c r="IP31" i="72" a="1"/>
  <c r="IP31" i="72" s="1"/>
  <c r="IA31" i="72" a="1"/>
  <c r="IA31" i="72" s="1"/>
  <c r="JS34" i="72" a="1"/>
  <c r="JS34" i="72" s="1"/>
  <c r="JO34" i="72" a="1"/>
  <c r="JO34" i="72" s="1"/>
  <c r="JR34" i="72" a="1"/>
  <c r="JR34" i="72" s="1"/>
  <c r="JN34" i="72" a="1"/>
  <c r="JN34" i="72" s="1"/>
  <c r="IX34" i="72" a="1"/>
  <c r="IX34" i="72" s="1"/>
  <c r="JQ34" i="72" a="1"/>
  <c r="JQ34" i="72" s="1"/>
  <c r="JM34" i="72" a="1"/>
  <c r="JM34" i="72" s="1"/>
  <c r="JP34" i="72" a="1"/>
  <c r="JP34" i="72" s="1"/>
  <c r="JL34" i="72" a="1"/>
  <c r="JL34" i="72" s="1"/>
  <c r="JR26" i="72" a="1"/>
  <c r="JR26" i="72" s="1"/>
  <c r="JN26" i="72" a="1"/>
  <c r="JN26" i="72" s="1"/>
  <c r="IX26" i="72" a="1"/>
  <c r="IX26" i="72" s="1"/>
  <c r="JP26" i="72" a="1"/>
  <c r="JP26" i="72" s="1"/>
  <c r="JS26" i="72" a="1"/>
  <c r="JS26" i="72" s="1"/>
  <c r="JQ26" i="72" a="1"/>
  <c r="JQ26" i="72" s="1"/>
  <c r="JL26" i="72" a="1"/>
  <c r="JL26" i="72" s="1"/>
  <c r="JO26" i="72" a="1"/>
  <c r="JO26" i="72" s="1"/>
  <c r="JM26" i="72" a="1"/>
  <c r="JM26" i="72" s="1"/>
  <c r="JQ31" i="72" a="1"/>
  <c r="JQ31" i="72" s="1"/>
  <c r="IX31" i="72" a="1"/>
  <c r="IX31" i="72" s="1"/>
  <c r="JN31" i="72" a="1"/>
  <c r="JN31" i="72" s="1"/>
  <c r="JM31" i="72" a="1"/>
  <c r="JM31" i="72" s="1"/>
  <c r="JS31" i="72" a="1"/>
  <c r="JS31" i="72" s="1"/>
  <c r="JR31" i="72" a="1"/>
  <c r="JR31" i="72" s="1"/>
  <c r="JP31" i="72" a="1"/>
  <c r="JP31" i="72" s="1"/>
  <c r="JO31" i="72" a="1"/>
  <c r="JO31" i="72" s="1"/>
  <c r="JL31" i="72" a="1"/>
  <c r="JL31" i="72" s="1"/>
  <c r="DK34" i="72" a="1"/>
  <c r="DK34" i="72" s="1"/>
  <c r="DG34" i="72" a="1"/>
  <c r="DG34" i="72" s="1"/>
  <c r="DM34" i="72" a="1"/>
  <c r="DM34" i="72" s="1"/>
  <c r="CS34" i="72" a="1"/>
  <c r="CS34" i="72" s="1"/>
  <c r="DI34" i="72" a="1"/>
  <c r="DI34" i="72" s="1"/>
  <c r="DN34" i="72" a="1"/>
  <c r="DN34" i="72" s="1"/>
  <c r="DL34" i="72" a="1"/>
  <c r="DL34" i="72" s="1"/>
  <c r="DJ34" i="72" a="1"/>
  <c r="DJ34" i="72" s="1"/>
  <c r="DH34" i="72" a="1"/>
  <c r="DH34" i="72" s="1"/>
  <c r="FE26" i="72" a="1"/>
  <c r="FE26" i="72" s="1"/>
  <c r="FA26" i="72" a="1"/>
  <c r="FA26" i="72" s="1"/>
  <c r="FC26" i="72" a="1"/>
  <c r="FC26" i="72" s="1"/>
  <c r="FF26" i="72" a="1"/>
  <c r="FF26" i="72" s="1"/>
  <c r="FG26" i="72" a="1"/>
  <c r="FG26" i="72" s="1"/>
  <c r="EM26" i="72" a="1"/>
  <c r="EM26" i="72" s="1"/>
  <c r="FD26" i="72" a="1"/>
  <c r="FD26" i="72" s="1"/>
  <c r="FB26" i="72" a="1"/>
  <c r="FB26" i="72" s="1"/>
  <c r="FH26" i="72" a="1"/>
  <c r="FH26" i="72" s="1"/>
  <c r="GY33" i="72" a="1"/>
  <c r="GY33" i="72" s="1"/>
  <c r="GU33" i="72" a="1"/>
  <c r="GU33" i="72" s="1"/>
  <c r="GW33" i="72" a="1"/>
  <c r="GW33" i="72" s="1"/>
  <c r="HA33" i="72" a="1"/>
  <c r="HA33" i="72" s="1"/>
  <c r="GG33" i="72" a="1"/>
  <c r="GG33" i="72" s="1"/>
  <c r="GH33" i="72" s="1"/>
  <c r="GZ33" i="72" a="1"/>
  <c r="GZ33" i="72" s="1"/>
  <c r="GX33" i="72" a="1"/>
  <c r="GX33" i="72" s="1"/>
  <c r="GV33" i="72" a="1"/>
  <c r="GV33" i="72" s="1"/>
  <c r="HB33" i="72" a="1"/>
  <c r="HB33" i="72" s="1"/>
  <c r="IR30" i="72" a="1"/>
  <c r="IR30" i="72" s="1"/>
  <c r="IV30" i="72" a="1"/>
  <c r="IV30" i="72" s="1"/>
  <c r="IA30" i="72" a="1"/>
  <c r="IA30" i="72" s="1"/>
  <c r="IB30" i="72" s="1"/>
  <c r="IQ30" i="72" a="1"/>
  <c r="IQ30" i="72" s="1"/>
  <c r="IT30" i="72" a="1"/>
  <c r="IT30" i="72" s="1"/>
  <c r="IS30" i="72" a="1"/>
  <c r="IS30" i="72" s="1"/>
  <c r="IP30" i="72" a="1"/>
  <c r="IP30" i="72" s="1"/>
  <c r="IO30" i="72" a="1"/>
  <c r="IO30" i="72" s="1"/>
  <c r="IU30" i="72" a="1"/>
  <c r="IU30" i="72" s="1"/>
  <c r="BS19" i="72" a="1"/>
  <c r="BS19" i="72" s="1"/>
  <c r="BN19" i="72" a="1"/>
  <c r="BN19" i="72" s="1"/>
  <c r="BR19" i="72" a="1"/>
  <c r="BR19" i="72" s="1"/>
  <c r="BM19" i="72" a="1"/>
  <c r="BM19" i="72" s="1"/>
  <c r="BQ19" i="72" a="1"/>
  <c r="BQ19" i="72" s="1"/>
  <c r="BP19" i="72" a="1"/>
  <c r="BP19" i="72" s="1"/>
  <c r="BT19" i="72" a="1"/>
  <c r="BT19" i="72" s="1"/>
  <c r="AY19" i="72" a="1"/>
  <c r="AY19" i="72" s="1"/>
  <c r="BO19" i="72" a="1"/>
  <c r="BO19" i="72" s="1"/>
  <c r="BS25" i="72" a="1"/>
  <c r="BS25" i="72" s="1"/>
  <c r="BP25" i="72" a="1"/>
  <c r="BP25" i="72" s="1"/>
  <c r="AY25" i="72" a="1"/>
  <c r="AY25" i="72" s="1"/>
  <c r="BT25" i="72" a="1"/>
  <c r="BT25" i="72" s="1"/>
  <c r="BO25" i="72" a="1"/>
  <c r="BO25" i="72" s="1"/>
  <c r="BR25" i="72" a="1"/>
  <c r="BR25" i="72" s="1"/>
  <c r="BQ25" i="72" a="1"/>
  <c r="BQ25" i="72" s="1"/>
  <c r="BN25" i="72" a="1"/>
  <c r="BN25" i="72" s="1"/>
  <c r="BM25" i="72" a="1"/>
  <c r="BM25" i="72" s="1"/>
  <c r="BR20" i="72" a="1"/>
  <c r="BR20" i="72" s="1"/>
  <c r="BP20" i="72" a="1"/>
  <c r="BP20" i="72" s="1"/>
  <c r="BO20" i="72" a="1"/>
  <c r="BO20" i="72" s="1"/>
  <c r="BN20" i="72" a="1"/>
  <c r="BN20" i="72" s="1"/>
  <c r="BT20" i="72" a="1"/>
  <c r="BT20" i="72" s="1"/>
  <c r="BM20" i="72" a="1"/>
  <c r="BM20" i="72" s="1"/>
  <c r="BS20" i="72" a="1"/>
  <c r="BS20" i="72" s="1"/>
  <c r="AY20" i="72" a="1"/>
  <c r="AY20" i="72" s="1"/>
  <c r="BQ20" i="72" a="1"/>
  <c r="BQ20" i="72" s="1"/>
  <c r="BV32" i="72" a="1"/>
  <c r="BV32" i="72" s="1"/>
  <c r="CN32" i="72" a="1"/>
  <c r="CN32" i="72" s="1"/>
  <c r="CK32" i="72" a="1"/>
  <c r="CK32" i="72" s="1"/>
  <c r="CQ32" i="72" a="1"/>
  <c r="CQ32" i="72" s="1"/>
  <c r="CJ32" i="72" a="1"/>
  <c r="CJ32" i="72" s="1"/>
  <c r="CO32" i="72" a="1"/>
  <c r="CO32" i="72" s="1"/>
  <c r="CM32" i="72" a="1"/>
  <c r="CM32" i="72" s="1"/>
  <c r="CP32" i="72" a="1"/>
  <c r="CP32" i="72" s="1"/>
  <c r="CL32" i="72" a="1"/>
  <c r="CL32" i="72" s="1"/>
  <c r="CN17" i="72" a="1"/>
  <c r="CN17" i="72" s="1"/>
  <c r="CM17" i="72" a="1"/>
  <c r="CM17" i="72" s="1"/>
  <c r="CQ17" i="72" a="1"/>
  <c r="CQ17" i="72" s="1"/>
  <c r="BV17" i="72" a="1"/>
  <c r="BV17" i="72" s="1"/>
  <c r="CP17" i="72" a="1"/>
  <c r="CP17" i="72" s="1"/>
  <c r="CK17" i="72" a="1"/>
  <c r="CK17" i="72" s="1"/>
  <c r="CO17" i="72" a="1"/>
  <c r="CO17" i="72" s="1"/>
  <c r="CJ17" i="72" a="1"/>
  <c r="CJ17" i="72" s="1"/>
  <c r="CL17" i="72" a="1"/>
  <c r="CL17" i="72" s="1"/>
  <c r="DK25" i="72" a="1"/>
  <c r="DK25" i="72" s="1"/>
  <c r="DG25" i="72" a="1"/>
  <c r="DG25" i="72" s="1"/>
  <c r="DJ25" i="72" a="1"/>
  <c r="DJ25" i="72" s="1"/>
  <c r="CS25" i="72" a="1"/>
  <c r="CS25" i="72" s="1"/>
  <c r="DM25" i="72" a="1"/>
  <c r="DM25" i="72" s="1"/>
  <c r="DH25" i="72" a="1"/>
  <c r="DH25" i="72" s="1"/>
  <c r="DL25" i="72" a="1"/>
  <c r="DL25" i="72" s="1"/>
  <c r="DI25" i="72" a="1"/>
  <c r="DI25" i="72" s="1"/>
  <c r="DN25" i="72" a="1"/>
  <c r="DN25" i="72" s="1"/>
  <c r="DK19" i="72" a="1"/>
  <c r="DK19" i="72" s="1"/>
  <c r="DJ19" i="72" a="1"/>
  <c r="DJ19" i="72" s="1"/>
  <c r="DN19" i="72" a="1"/>
  <c r="DN19" i="72" s="1"/>
  <c r="CS19" i="72" a="1"/>
  <c r="CS19" i="72" s="1"/>
  <c r="DI19" i="72" a="1"/>
  <c r="DI19" i="72" s="1"/>
  <c r="DM19" i="72" a="1"/>
  <c r="DM19" i="72" s="1"/>
  <c r="DH19" i="72" a="1"/>
  <c r="DH19" i="72" s="1"/>
  <c r="DL19" i="72" a="1"/>
  <c r="DL19" i="72" s="1"/>
  <c r="DG19" i="72" a="1"/>
  <c r="DG19" i="72" s="1"/>
  <c r="DM22" i="72" a="1"/>
  <c r="DM22" i="72" s="1"/>
  <c r="DI22" i="72" a="1"/>
  <c r="DI22" i="72" s="1"/>
  <c r="CS22" i="72" a="1"/>
  <c r="CS22" i="72" s="1"/>
  <c r="DK22" i="72" a="1"/>
  <c r="DK22" i="72" s="1"/>
  <c r="DG22" i="72" a="1"/>
  <c r="DG22" i="72" s="1"/>
  <c r="DJ22" i="72" a="1"/>
  <c r="DJ22" i="72" s="1"/>
  <c r="DN22" i="72" a="1"/>
  <c r="DN22" i="72" s="1"/>
  <c r="DL22" i="72" a="1"/>
  <c r="DL22" i="72" s="1"/>
  <c r="DH22" i="72" a="1"/>
  <c r="DH22" i="72" s="1"/>
  <c r="EJ34" i="72" a="1"/>
  <c r="EJ34" i="72" s="1"/>
  <c r="EF34" i="72" a="1"/>
  <c r="EF34" i="72" s="1"/>
  <c r="DP34" i="72" a="1"/>
  <c r="DP34" i="72" s="1"/>
  <c r="EH34" i="72" a="1"/>
  <c r="EH34" i="72" s="1"/>
  <c r="ED34" i="72" a="1"/>
  <c r="ED34" i="72" s="1"/>
  <c r="EK34" i="72" a="1"/>
  <c r="EK34" i="72" s="1"/>
  <c r="EI34" i="72" a="1"/>
  <c r="EI34" i="72" s="1"/>
  <c r="EG34" i="72" a="1"/>
  <c r="EG34" i="72" s="1"/>
  <c r="EE34" i="72" a="1"/>
  <c r="EE34" i="72" s="1"/>
  <c r="EH24" i="72" a="1"/>
  <c r="EH24" i="72" s="1"/>
  <c r="ED24" i="72" a="1"/>
  <c r="ED24" i="72" s="1"/>
  <c r="EJ24" i="72" a="1"/>
  <c r="EJ24" i="72" s="1"/>
  <c r="EI24" i="72" a="1"/>
  <c r="EI24" i="72" s="1"/>
  <c r="EG24" i="72" a="1"/>
  <c r="EG24" i="72" s="1"/>
  <c r="EF24" i="72" a="1"/>
  <c r="EF24" i="72" s="1"/>
  <c r="EE24" i="72" a="1"/>
  <c r="EE24" i="72" s="1"/>
  <c r="DP24" i="72" a="1"/>
  <c r="DP24" i="72" s="1"/>
  <c r="EK24" i="72" a="1"/>
  <c r="EK24" i="72" s="1"/>
  <c r="FE33" i="72" a="1"/>
  <c r="FE33" i="72" s="1"/>
  <c r="FA33" i="72" a="1"/>
  <c r="FA33" i="72" s="1"/>
  <c r="FG33" i="72" a="1"/>
  <c r="FG33" i="72" s="1"/>
  <c r="EM33" i="72" a="1"/>
  <c r="EM33" i="72" s="1"/>
  <c r="FC33" i="72" a="1"/>
  <c r="FC33" i="72" s="1"/>
  <c r="FH33" i="72" a="1"/>
  <c r="FH33" i="72" s="1"/>
  <c r="FF33" i="72" a="1"/>
  <c r="FF33" i="72" s="1"/>
  <c r="FD33" i="72" a="1"/>
  <c r="FD33" i="72" s="1"/>
  <c r="FB33" i="72" a="1"/>
  <c r="FB33" i="72" s="1"/>
  <c r="FF16" i="72" a="1"/>
  <c r="FF16" i="72" s="1"/>
  <c r="FA16" i="72" a="1"/>
  <c r="FA16" i="72" s="1"/>
  <c r="FE16" i="72" a="1"/>
  <c r="FE16" i="72" s="1"/>
  <c r="FD16" i="72" a="1"/>
  <c r="FD16" i="72" s="1"/>
  <c r="FH16" i="72" a="1"/>
  <c r="FH16" i="72" s="1"/>
  <c r="EM16" i="72" a="1"/>
  <c r="EM16" i="72" s="1"/>
  <c r="FC16" i="72" a="1"/>
  <c r="FC16" i="72" s="1"/>
  <c r="FG16" i="72" a="1"/>
  <c r="FG16" i="72" s="1"/>
  <c r="FB16" i="72" a="1"/>
  <c r="FB16" i="72" s="1"/>
  <c r="GD27" i="72" a="1"/>
  <c r="GD27" i="72" s="1"/>
  <c r="FZ27" i="72" a="1"/>
  <c r="FZ27" i="72" s="1"/>
  <c r="FJ27" i="72" a="1"/>
  <c r="FJ27" i="72" s="1"/>
  <c r="GA27" i="72" a="1"/>
  <c r="GA27" i="72" s="1"/>
  <c r="GE27" i="72" a="1"/>
  <c r="GE27" i="72" s="1"/>
  <c r="FY27" i="72" a="1"/>
  <c r="FY27" i="72" s="1"/>
  <c r="FX27" i="72" a="1"/>
  <c r="FX27" i="72" s="1"/>
  <c r="GB27" i="72" a="1"/>
  <c r="GB27" i="72" s="1"/>
  <c r="GC27" i="72" a="1"/>
  <c r="GC27" i="72" s="1"/>
  <c r="GD32" i="72" a="1"/>
  <c r="GD32" i="72" s="1"/>
  <c r="FZ32" i="72" a="1"/>
  <c r="FZ32" i="72" s="1"/>
  <c r="FJ32" i="72" a="1"/>
  <c r="FJ32" i="72" s="1"/>
  <c r="FX32" i="72" a="1"/>
  <c r="FX32" i="72" s="1"/>
  <c r="GB32" i="72" a="1"/>
  <c r="GB32" i="72" s="1"/>
  <c r="GA32" i="72" a="1"/>
  <c r="GA32" i="72" s="1"/>
  <c r="FY32" i="72" a="1"/>
  <c r="FY32" i="72" s="1"/>
  <c r="GE32" i="72" a="1"/>
  <c r="GE32" i="72" s="1"/>
  <c r="GC32" i="72" a="1"/>
  <c r="GC32" i="72" s="1"/>
  <c r="GY34" i="72" a="1"/>
  <c r="GY34" i="72" s="1"/>
  <c r="GU34" i="72" a="1"/>
  <c r="GU34" i="72" s="1"/>
  <c r="HA34" i="72" a="1"/>
  <c r="HA34" i="72" s="1"/>
  <c r="GG34" i="72" a="1"/>
  <c r="GG34" i="72" s="1"/>
  <c r="GH34" i="72" s="1"/>
  <c r="GZ34" i="72" a="1"/>
  <c r="GZ34" i="72" s="1"/>
  <c r="GX34" i="72" a="1"/>
  <c r="GX34" i="72" s="1"/>
  <c r="GW34" i="72" a="1"/>
  <c r="GW34" i="72" s="1"/>
  <c r="HB34" i="72" a="1"/>
  <c r="HB34" i="72" s="1"/>
  <c r="GV34" i="72" a="1"/>
  <c r="GV34" i="72" s="1"/>
  <c r="HA31" i="72" a="1"/>
  <c r="HA31" i="72" s="1"/>
  <c r="GW31" i="72" a="1"/>
  <c r="GW31" i="72" s="1"/>
  <c r="GV31" i="72" a="1"/>
  <c r="GV31" i="72" s="1"/>
  <c r="HB31" i="72" a="1"/>
  <c r="HB31" i="72" s="1"/>
  <c r="GU31" i="72" a="1"/>
  <c r="GU31" i="72" s="1"/>
  <c r="GY31" i="72" a="1"/>
  <c r="GY31" i="72" s="1"/>
  <c r="GG31" i="72" a="1"/>
  <c r="GG31" i="72" s="1"/>
  <c r="GX31" i="72" a="1"/>
  <c r="GX31" i="72" s="1"/>
  <c r="GZ31" i="72" a="1"/>
  <c r="GZ31" i="72" s="1"/>
  <c r="HX25" i="72" a="1"/>
  <c r="HX25" i="72" s="1"/>
  <c r="HT25" i="72" a="1"/>
  <c r="HT25" i="72" s="1"/>
  <c r="HD25" i="72" a="1"/>
  <c r="HD25" i="72" s="1"/>
  <c r="HE25" i="72" s="1"/>
  <c r="HY25" i="72" a="1"/>
  <c r="HY25" i="72" s="1"/>
  <c r="HW25" i="72" a="1"/>
  <c r="HW25" i="72" s="1"/>
  <c r="HR25" i="72" a="1"/>
  <c r="HR25" i="72" s="1"/>
  <c r="HU25" i="72" a="1"/>
  <c r="HU25" i="72" s="1"/>
  <c r="HV25" i="72" a="1"/>
  <c r="HV25" i="72" s="1"/>
  <c r="HS25" i="72" a="1"/>
  <c r="HS25" i="72" s="1"/>
  <c r="HR20" i="72" a="1"/>
  <c r="HR20" i="72" s="1"/>
  <c r="HV20" i="72" a="1"/>
  <c r="HV20" i="72" s="1"/>
  <c r="HU20" i="72" a="1"/>
  <c r="HU20" i="72" s="1"/>
  <c r="HT20" i="72" a="1"/>
  <c r="HT20" i="72" s="1"/>
  <c r="HW20" i="72" a="1"/>
  <c r="HW20" i="72" s="1"/>
  <c r="HD20" i="72" a="1"/>
  <c r="HD20" i="72" s="1"/>
  <c r="HY20" i="72" a="1"/>
  <c r="HY20" i="72" s="1"/>
  <c r="HX20" i="72" a="1"/>
  <c r="HX20" i="72" s="1"/>
  <c r="HS20" i="72" a="1"/>
  <c r="HS20" i="72" s="1"/>
  <c r="IU22" i="72" a="1"/>
  <c r="IU22" i="72" s="1"/>
  <c r="IQ22" i="72" a="1"/>
  <c r="IQ22" i="72" s="1"/>
  <c r="IA22" i="72" a="1"/>
  <c r="IA22" i="72" s="1"/>
  <c r="IB22" i="72" s="1"/>
  <c r="IS22" i="72" a="1"/>
  <c r="IS22" i="72" s="1"/>
  <c r="IO22" i="72" a="1"/>
  <c r="IO22" i="72" s="1"/>
  <c r="IV22" i="72" a="1"/>
  <c r="IV22" i="72" s="1"/>
  <c r="IP22" i="72" a="1"/>
  <c r="IP22" i="72" s="1"/>
  <c r="IT22" i="72" a="1"/>
  <c r="IT22" i="72" s="1"/>
  <c r="IR22" i="72" a="1"/>
  <c r="IR22" i="72" s="1"/>
  <c r="IT14" i="72" a="1"/>
  <c r="IT14" i="72" s="1"/>
  <c r="IO14" i="72" a="1"/>
  <c r="IO14" i="72" s="1"/>
  <c r="IS14" i="72" a="1"/>
  <c r="IS14" i="72" s="1"/>
  <c r="IQ14" i="72" a="1"/>
  <c r="IQ14" i="72" s="1"/>
  <c r="IP14" i="72" a="1"/>
  <c r="IP14" i="72" s="1"/>
  <c r="IV14" i="72" a="1"/>
  <c r="IV14" i="72" s="1"/>
  <c r="IU14" i="72" a="1"/>
  <c r="IU14" i="72" s="1"/>
  <c r="IA14" i="72" a="1"/>
  <c r="IA14" i="72" s="1"/>
  <c r="IB14" i="72" s="1"/>
  <c r="IB35" i="72" s="1"/>
  <c r="IR14" i="72" a="1"/>
  <c r="IR14" i="72" s="1"/>
  <c r="JR28" i="72" a="1"/>
  <c r="JR28" i="72" s="1"/>
  <c r="JN28" i="72" a="1"/>
  <c r="JN28" i="72" s="1"/>
  <c r="IX28" i="72" a="1"/>
  <c r="IX28" i="72" s="1"/>
  <c r="JL28" i="72" a="1"/>
  <c r="JL28" i="72" s="1"/>
  <c r="JP28" i="72" a="1"/>
  <c r="JP28" i="72" s="1"/>
  <c r="JM28" i="72" a="1"/>
  <c r="JM28" i="72" s="1"/>
  <c r="JS28" i="72" a="1"/>
  <c r="JS28" i="72" s="1"/>
  <c r="JQ28" i="72" a="1"/>
  <c r="JQ28" i="72" s="1"/>
  <c r="JO28" i="72" a="1"/>
  <c r="JO28" i="72" s="1"/>
  <c r="JQ15" i="72" a="1"/>
  <c r="JQ15" i="72" s="1"/>
  <c r="JL15" i="72" a="1"/>
  <c r="JL15" i="72" s="1"/>
  <c r="JP15" i="72" a="1"/>
  <c r="JP15" i="72" s="1"/>
  <c r="JS15" i="72" a="1"/>
  <c r="JS15" i="72" s="1"/>
  <c r="IX15" i="72" a="1"/>
  <c r="IX15" i="72" s="1"/>
  <c r="IY15" i="72" s="1"/>
  <c r="JN15" i="72" a="1"/>
  <c r="JN15" i="72" s="1"/>
  <c r="JR15" i="72" a="1"/>
  <c r="JR15" i="72" s="1"/>
  <c r="JM15" i="72" a="1"/>
  <c r="JM15" i="72" s="1"/>
  <c r="JO15" i="72" a="1"/>
  <c r="JO15" i="72" s="1"/>
  <c r="IQ19" i="72" a="1"/>
  <c r="IQ19" i="72" s="1"/>
  <c r="IT19" i="72" a="1"/>
  <c r="IT19" i="72" s="1"/>
  <c r="IS19" i="72" a="1"/>
  <c r="IS19" i="72" s="1"/>
  <c r="IU19" i="72" a="1"/>
  <c r="IU19" i="72" s="1"/>
  <c r="IA19" i="72" a="1"/>
  <c r="IA19" i="72" s="1"/>
  <c r="IB19" i="72" s="1"/>
  <c r="IR19" i="72" a="1"/>
  <c r="IR19" i="72" s="1"/>
  <c r="IP19" i="72" a="1"/>
  <c r="IP19" i="72" s="1"/>
  <c r="IV19" i="72" a="1"/>
  <c r="IV19" i="72" s="1"/>
  <c r="IO19" i="72" a="1"/>
  <c r="IO19" i="72" s="1"/>
  <c r="BQ26" i="72" a="1"/>
  <c r="BQ26" i="72" s="1"/>
  <c r="BM26" i="72" a="1"/>
  <c r="BM26" i="72" s="1"/>
  <c r="BN26" i="72" a="1"/>
  <c r="BN26" i="72" s="1"/>
  <c r="BP26" i="72" a="1"/>
  <c r="BP26" i="72" s="1"/>
  <c r="AY26" i="72" a="1"/>
  <c r="AY26" i="72" s="1"/>
  <c r="BO26" i="72" a="1"/>
  <c r="BO26" i="72" s="1"/>
  <c r="BT26" i="72" a="1"/>
  <c r="BT26" i="72" s="1"/>
  <c r="BS26" i="72" a="1"/>
  <c r="BS26" i="72" s="1"/>
  <c r="BR26" i="72" a="1"/>
  <c r="BR26" i="72" s="1"/>
  <c r="FE28" i="72" a="1"/>
  <c r="FE28" i="72" s="1"/>
  <c r="FA28" i="72" a="1"/>
  <c r="FA28" i="72" s="1"/>
  <c r="FC28" i="72" a="1"/>
  <c r="FC28" i="72" s="1"/>
  <c r="FH28" i="72" a="1"/>
  <c r="FH28" i="72" s="1"/>
  <c r="FB28" i="72" a="1"/>
  <c r="FB28" i="72" s="1"/>
  <c r="FG28" i="72" a="1"/>
  <c r="FG28" i="72" s="1"/>
  <c r="FD28" i="72" a="1"/>
  <c r="FD28" i="72" s="1"/>
  <c r="EM28" i="72" a="1"/>
  <c r="EM28" i="72" s="1"/>
  <c r="FF28" i="72" a="1"/>
  <c r="FF28" i="72" s="1"/>
  <c r="HU19" i="72" a="1"/>
  <c r="HU19" i="72" s="1"/>
  <c r="HX19" i="72" a="1"/>
  <c r="HX19" i="72" s="1"/>
  <c r="HS19" i="72" a="1"/>
  <c r="HS19" i="72" s="1"/>
  <c r="HT19" i="72" a="1"/>
  <c r="HT19" i="72" s="1"/>
  <c r="HY19" i="72" a="1"/>
  <c r="HY19" i="72" s="1"/>
  <c r="HR19" i="72" a="1"/>
  <c r="HR19" i="72" s="1"/>
  <c r="HW19" i="72" a="1"/>
  <c r="HW19" i="72" s="1"/>
  <c r="HV19" i="72" a="1"/>
  <c r="HV19" i="72" s="1"/>
  <c r="HD19" i="72" a="1"/>
  <c r="HD19" i="72" s="1"/>
  <c r="HE19" i="72" s="1"/>
  <c r="JP21" i="72" a="1"/>
  <c r="JP21" i="72" s="1"/>
  <c r="JL21" i="72" a="1"/>
  <c r="JL21" i="72" s="1"/>
  <c r="JR21" i="72" a="1"/>
  <c r="JR21" i="72" s="1"/>
  <c r="JN21" i="72" a="1"/>
  <c r="JN21" i="72" s="1"/>
  <c r="IX21" i="72" a="1"/>
  <c r="IX21" i="72" s="1"/>
  <c r="JM21" i="72" a="1"/>
  <c r="JM21" i="72" s="1"/>
  <c r="JQ21" i="72" a="1"/>
  <c r="JQ21" i="72" s="1"/>
  <c r="JO21" i="72" a="1"/>
  <c r="JO21" i="72" s="1"/>
  <c r="JS21" i="72" a="1"/>
  <c r="JS21" i="72" s="1"/>
  <c r="BT15" i="72" a="1"/>
  <c r="BT15" i="72" s="1"/>
  <c r="BP15" i="72" a="1"/>
  <c r="BP15" i="72" s="1"/>
  <c r="AY15" i="72" a="1"/>
  <c r="AY15" i="72" s="1"/>
  <c r="BN15" i="72" a="1"/>
  <c r="BN15" i="72" s="1"/>
  <c r="BS15" i="72" a="1"/>
  <c r="BS15" i="72" s="1"/>
  <c r="BM15" i="72" a="1"/>
  <c r="BM15" i="72" s="1"/>
  <c r="BR15" i="72" a="1"/>
  <c r="BR15" i="72" s="1"/>
  <c r="BQ15" i="72" a="1"/>
  <c r="BQ15" i="72" s="1"/>
  <c r="BO15" i="72" a="1"/>
  <c r="BO15" i="72" s="1"/>
  <c r="BQ28" i="72" a="1"/>
  <c r="BQ28" i="72" s="1"/>
  <c r="BM28" i="72" a="1"/>
  <c r="BM28" i="72" s="1"/>
  <c r="BP28" i="72" a="1"/>
  <c r="BP28" i="72" s="1"/>
  <c r="BT28" i="72" a="1"/>
  <c r="BT28" i="72" s="1"/>
  <c r="AY28" i="72" a="1"/>
  <c r="AY28" i="72" s="1"/>
  <c r="BN28" i="72" a="1"/>
  <c r="BN28" i="72" s="1"/>
  <c r="BS28" i="72" a="1"/>
  <c r="BS28" i="72" s="1"/>
  <c r="BR28" i="72" a="1"/>
  <c r="BR28" i="72" s="1"/>
  <c r="BO28" i="72" a="1"/>
  <c r="BO28" i="72" s="1"/>
  <c r="BQ16" i="72" a="1"/>
  <c r="BQ16" i="72" s="1"/>
  <c r="BP16" i="72" a="1"/>
  <c r="BP16" i="72" s="1"/>
  <c r="BO16" i="72" a="1"/>
  <c r="BO16" i="72" s="1"/>
  <c r="BS16" i="72" a="1"/>
  <c r="BS16" i="72" s="1"/>
  <c r="BN16" i="72" a="1"/>
  <c r="BN16" i="72" s="1"/>
  <c r="BR16" i="72" a="1"/>
  <c r="BR16" i="72" s="1"/>
  <c r="BM16" i="72" a="1"/>
  <c r="BM16" i="72" s="1"/>
  <c r="AY16" i="72" a="1"/>
  <c r="AY16" i="72" s="1"/>
  <c r="BT16" i="72" a="1"/>
  <c r="BT16" i="72" s="1"/>
  <c r="CO19" i="72" a="1"/>
  <c r="CO19" i="72" s="1"/>
  <c r="CJ19" i="72" a="1"/>
  <c r="CJ19" i="72" s="1"/>
  <c r="CN19" i="72" a="1"/>
  <c r="CN19" i="72" s="1"/>
  <c r="CM19" i="72" a="1"/>
  <c r="CM19" i="72" s="1"/>
  <c r="CQ19" i="72" a="1"/>
  <c r="CQ19" i="72" s="1"/>
  <c r="BV19" i="72" a="1"/>
  <c r="BV19" i="72" s="1"/>
  <c r="CL19" i="72" a="1"/>
  <c r="CL19" i="72" s="1"/>
  <c r="CP19" i="72" a="1"/>
  <c r="CP19" i="72" s="1"/>
  <c r="CK19" i="72" a="1"/>
  <c r="CK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K28" i="72" a="1"/>
  <c r="DK28" i="72" s="1"/>
  <c r="DG28" i="72" a="1"/>
  <c r="DG28" i="72" s="1"/>
  <c r="DM28" i="72" a="1"/>
  <c r="DM28" i="72" s="1"/>
  <c r="DH28" i="72" a="1"/>
  <c r="DH28" i="72" s="1"/>
  <c r="DL28" i="72" a="1"/>
  <c r="DL28" i="72" s="1"/>
  <c r="CS28" i="72" a="1"/>
  <c r="CS28" i="72" s="1"/>
  <c r="DJ28" i="72" a="1"/>
  <c r="DJ28" i="72" s="1"/>
  <c r="DN28" i="72" a="1"/>
  <c r="DN28" i="72" s="1"/>
  <c r="DI28" i="72" a="1"/>
  <c r="DI28" i="72" s="1"/>
  <c r="DK33" i="72" a="1"/>
  <c r="DK33" i="72" s="1"/>
  <c r="DG33" i="72" a="1"/>
  <c r="DG33" i="72" s="1"/>
  <c r="DI33" i="72" a="1"/>
  <c r="DI33" i="72" s="1"/>
  <c r="DM33" i="72" a="1"/>
  <c r="DM33" i="72" s="1"/>
  <c r="CS33" i="72" a="1"/>
  <c r="CS33" i="72" s="1"/>
  <c r="DN33" i="72" a="1"/>
  <c r="DN33" i="72" s="1"/>
  <c r="DL33" i="72" a="1"/>
  <c r="DL33" i="72" s="1"/>
  <c r="DJ33" i="72" a="1"/>
  <c r="DJ33" i="72" s="1"/>
  <c r="DH33" i="72" a="1"/>
  <c r="DH33" i="72" s="1"/>
  <c r="EJ25" i="72" a="1"/>
  <c r="EJ25" i="72" s="1"/>
  <c r="EF25" i="72" a="1"/>
  <c r="EF25" i="72" s="1"/>
  <c r="DP25" i="72" a="1"/>
  <c r="DP25" i="72" s="1"/>
  <c r="EK25" i="72" a="1"/>
  <c r="EK25" i="72" s="1"/>
  <c r="EH25" i="72" a="1"/>
  <c r="EH25" i="72" s="1"/>
  <c r="EE25" i="72" a="1"/>
  <c r="EE25" i="72" s="1"/>
  <c r="EI25" i="72" a="1"/>
  <c r="EI25" i="72" s="1"/>
  <c r="EG25" i="72" a="1"/>
  <c r="EG25" i="72" s="1"/>
  <c r="ED25" i="72" a="1"/>
  <c r="ED25" i="72" s="1"/>
  <c r="EG20" i="72" a="1"/>
  <c r="EG20" i="72" s="1"/>
  <c r="EK20" i="72" a="1"/>
  <c r="EK20" i="72" s="1"/>
  <c r="DP20" i="72" a="1"/>
  <c r="DP20" i="72" s="1"/>
  <c r="EI20" i="72" a="1"/>
  <c r="EI20" i="72" s="1"/>
  <c r="EH20" i="72" a="1"/>
  <c r="EH20" i="72" s="1"/>
  <c r="EF20" i="72" a="1"/>
  <c r="EF20" i="72" s="1"/>
  <c r="EE20" i="72" a="1"/>
  <c r="EE20" i="72" s="1"/>
  <c r="ED20" i="72" a="1"/>
  <c r="ED20" i="72" s="1"/>
  <c r="EJ20" i="72" a="1"/>
  <c r="EJ20" i="72" s="1"/>
  <c r="EI21" i="72" a="1"/>
  <c r="EI21" i="72" s="1"/>
  <c r="EE21" i="72" a="1"/>
  <c r="EE21" i="72" s="1"/>
  <c r="EG21" i="72" a="1"/>
  <c r="EG21" i="72" s="1"/>
  <c r="DP21" i="72" a="1"/>
  <c r="DP21" i="72" s="1"/>
  <c r="EK21" i="72" a="1"/>
  <c r="EK21" i="72" s="1"/>
  <c r="EF21" i="72" a="1"/>
  <c r="EF21" i="72" s="1"/>
  <c r="EH21" i="72" a="1"/>
  <c r="EH21" i="72" s="1"/>
  <c r="EJ21" i="72" a="1"/>
  <c r="EJ21" i="72" s="1"/>
  <c r="ED21" i="72" a="1"/>
  <c r="ED21" i="72" s="1"/>
  <c r="FG22" i="72" a="1"/>
  <c r="FG22" i="72" s="1"/>
  <c r="FC22" i="72" a="1"/>
  <c r="FC22" i="72" s="1"/>
  <c r="EM22" i="72" a="1"/>
  <c r="EM22" i="72" s="1"/>
  <c r="FE22" i="72" a="1"/>
  <c r="FE22" i="72" s="1"/>
  <c r="FA22" i="72" a="1"/>
  <c r="FA22" i="72" s="1"/>
  <c r="FF22" i="72" a="1"/>
  <c r="FF22" i="72" s="1"/>
  <c r="FD22" i="72" a="1"/>
  <c r="FD22" i="72" s="1"/>
  <c r="FB22" i="72" a="1"/>
  <c r="FB22" i="72" s="1"/>
  <c r="FH22" i="72" a="1"/>
  <c r="FH22" i="72" s="1"/>
  <c r="FG24" i="72" a="1"/>
  <c r="FG24" i="72" s="1"/>
  <c r="FC24" i="72" a="1"/>
  <c r="FC24" i="72" s="1"/>
  <c r="EM24" i="72" a="1"/>
  <c r="EM24" i="72" s="1"/>
  <c r="FH24" i="72" a="1"/>
  <c r="FH24" i="72" s="1"/>
  <c r="FF24" i="72" a="1"/>
  <c r="FF24" i="72" s="1"/>
  <c r="FE24" i="72" a="1"/>
  <c r="FE24" i="72" s="1"/>
  <c r="FD24" i="72" a="1"/>
  <c r="FD24" i="72" s="1"/>
  <c r="FB24" i="72" a="1"/>
  <c r="FB24" i="72" s="1"/>
  <c r="FA24" i="72" a="1"/>
  <c r="FA24" i="72" s="1"/>
  <c r="GB21" i="72" a="1"/>
  <c r="GB21" i="72" s="1"/>
  <c r="FX21" i="72" a="1"/>
  <c r="FX21" i="72" s="1"/>
  <c r="GD21" i="72" a="1"/>
  <c r="GD21" i="72" s="1"/>
  <c r="FZ21" i="72" a="1"/>
  <c r="FZ21" i="72" s="1"/>
  <c r="FJ21" i="72" a="1"/>
  <c r="FJ21" i="72" s="1"/>
  <c r="GC21" i="72" a="1"/>
  <c r="GC21" i="72" s="1"/>
  <c r="FY21" i="72" a="1"/>
  <c r="FY21" i="72" s="1"/>
  <c r="GE21" i="72" a="1"/>
  <c r="GE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HA23" i="72" a="1"/>
  <c r="HA23" i="72" s="1"/>
  <c r="GW23" i="72" a="1"/>
  <c r="GW23" i="72" s="1"/>
  <c r="GG23" i="72" a="1"/>
  <c r="GG23" i="72" s="1"/>
  <c r="GV23" i="72" a="1"/>
  <c r="GV23" i="72" s="1"/>
  <c r="GU23" i="72" a="1"/>
  <c r="GU23" i="72" s="1"/>
  <c r="HB23" i="72" a="1"/>
  <c r="HB23" i="72" s="1"/>
  <c r="GZ23" i="72" a="1"/>
  <c r="GZ23" i="72" s="1"/>
  <c r="GY23" i="72" a="1"/>
  <c r="GY23" i="72" s="1"/>
  <c r="GX23" i="72" a="1"/>
  <c r="GX23" i="72" s="1"/>
  <c r="GY28" i="72" a="1"/>
  <c r="GY28" i="72" s="1"/>
  <c r="GU28" i="72" a="1"/>
  <c r="GU28" i="72" s="1"/>
  <c r="HB28" i="72" a="1"/>
  <c r="HB28" i="72" s="1"/>
  <c r="GG28" i="72" a="1"/>
  <c r="GG28" i="72" s="1"/>
  <c r="GW28" i="72" a="1"/>
  <c r="GW28" i="72" s="1"/>
  <c r="HA28" i="72" a="1"/>
  <c r="HA28" i="72" s="1"/>
  <c r="GZ28" i="72" a="1"/>
  <c r="GZ28" i="72" s="1"/>
  <c r="GX28" i="72" a="1"/>
  <c r="GX28" i="72" s="1"/>
  <c r="GV28" i="72" a="1"/>
  <c r="GV28" i="72" s="1"/>
  <c r="HV30" i="72" a="1"/>
  <c r="HV30" i="72" s="1"/>
  <c r="HU30" i="72" a="1"/>
  <c r="HU30" i="72" s="1"/>
  <c r="HX30" i="72" a="1"/>
  <c r="HX30" i="72" s="1"/>
  <c r="HS30" i="72" a="1"/>
  <c r="HS30" i="72" s="1"/>
  <c r="HW30" i="72" a="1"/>
  <c r="HW30" i="72" s="1"/>
  <c r="HT30" i="72" a="1"/>
  <c r="HT30" i="72" s="1"/>
  <c r="HR30" i="72" a="1"/>
  <c r="HR30" i="72" s="1"/>
  <c r="HY30" i="72" a="1"/>
  <c r="HY30" i="72" s="1"/>
  <c r="HD30" i="72" a="1"/>
  <c r="HD30" i="72" s="1"/>
  <c r="HX29" i="72" a="1"/>
  <c r="HX29" i="72" s="1"/>
  <c r="HT29" i="72" a="1"/>
  <c r="HT29" i="72" s="1"/>
  <c r="HD29" i="72" a="1"/>
  <c r="HD29" i="72" s="1"/>
  <c r="HY29" i="72" a="1"/>
  <c r="HY29" i="72" s="1"/>
  <c r="HS29" i="72" a="1"/>
  <c r="HS29" i="72" s="1"/>
  <c r="HV29" i="72" a="1"/>
  <c r="HV29" i="72" s="1"/>
  <c r="HW29" i="72" a="1"/>
  <c r="HW29" i="72" s="1"/>
  <c r="HU29" i="72" a="1"/>
  <c r="HU29" i="72" s="1"/>
  <c r="HR29" i="72" a="1"/>
  <c r="HR29" i="72" s="1"/>
  <c r="IV17" i="72" a="1"/>
  <c r="IV17" i="72" s="1"/>
  <c r="IA17" i="72" a="1"/>
  <c r="IA17" i="72" s="1"/>
  <c r="IQ17" i="72" a="1"/>
  <c r="IQ17" i="72" s="1"/>
  <c r="IT17" i="72" a="1"/>
  <c r="IT17" i="72" s="1"/>
  <c r="IU17" i="72" a="1"/>
  <c r="IU17" i="72" s="1"/>
  <c r="IP17" i="72" a="1"/>
  <c r="IP17" i="72" s="1"/>
  <c r="IO17" i="72" a="1"/>
  <c r="IO17" i="72" s="1"/>
  <c r="IS17" i="72" a="1"/>
  <c r="IS17" i="72" s="1"/>
  <c r="IR17" i="72" a="1"/>
  <c r="IR17" i="72" s="1"/>
  <c r="IU23" i="72" a="1"/>
  <c r="IU23" i="72" s="1"/>
  <c r="IQ23" i="72" a="1"/>
  <c r="IQ23" i="72" s="1"/>
  <c r="IA23" i="72" a="1"/>
  <c r="IA23" i="72" s="1"/>
  <c r="IB23" i="72" s="1"/>
  <c r="IR23" i="72" a="1"/>
  <c r="IR23" i="72" s="1"/>
  <c r="IP23" i="72" a="1"/>
  <c r="IP23" i="72" s="1"/>
  <c r="IO23" i="72" a="1"/>
  <c r="IO23" i="72" s="1"/>
  <c r="IV23" i="72" a="1"/>
  <c r="IV23" i="72" s="1"/>
  <c r="IT23" i="72" a="1"/>
  <c r="IT23" i="72" s="1"/>
  <c r="IS23" i="72" a="1"/>
  <c r="IS23" i="72" s="1"/>
  <c r="JN18" i="72" a="1"/>
  <c r="JN18" i="72" s="1"/>
  <c r="JR18" i="72" a="1"/>
  <c r="JR18" i="72" s="1"/>
  <c r="JM18" i="72" a="1"/>
  <c r="JM18" i="72" s="1"/>
  <c r="JQ18" i="72" a="1"/>
  <c r="JQ18" i="72" s="1"/>
  <c r="JL18" i="72" a="1"/>
  <c r="JL18" i="72" s="1"/>
  <c r="JP18" i="72" a="1"/>
  <c r="JP18" i="72" s="1"/>
  <c r="JO18" i="72" a="1"/>
  <c r="JO18" i="72" s="1"/>
  <c r="JS18" i="72" a="1"/>
  <c r="JS18" i="72" s="1"/>
  <c r="IX18" i="72" a="1"/>
  <c r="IX18" i="72" s="1"/>
  <c r="IY18" i="72" s="1"/>
  <c r="GX15" i="72" a="1"/>
  <c r="GX15" i="72" s="1"/>
  <c r="HB15" i="72" a="1"/>
  <c r="HB15" i="72" s="1"/>
  <c r="GG15" i="72" a="1"/>
  <c r="GG15" i="72" s="1"/>
  <c r="GH15" i="72" s="1"/>
  <c r="GW15" i="72" a="1"/>
  <c r="GW15" i="72" s="1"/>
  <c r="GY15" i="72" a="1"/>
  <c r="GY15" i="72" s="1"/>
  <c r="GU15" i="72" a="1"/>
  <c r="GU15" i="72" s="1"/>
  <c r="HA15" i="72" a="1"/>
  <c r="HA15" i="72" s="1"/>
  <c r="GZ15" i="72" a="1"/>
  <c r="GZ15" i="72" s="1"/>
  <c r="GV15" i="72" a="1"/>
  <c r="GV15" i="72" s="1"/>
  <c r="CK25" i="72" a="1"/>
  <c r="CK25" i="72" s="1"/>
  <c r="CL25" i="72" a="1"/>
  <c r="CL25" i="72" s="1"/>
  <c r="CP25" i="72" a="1"/>
  <c r="CP25" i="72" s="1"/>
  <c r="CN25" i="72" a="1"/>
  <c r="CN25" i="72" s="1"/>
  <c r="CM25" i="72" a="1"/>
  <c r="CM25" i="72" s="1"/>
  <c r="CJ25" i="72" a="1"/>
  <c r="CJ25" i="72" s="1"/>
  <c r="CQ25" i="72" a="1"/>
  <c r="CQ25" i="72" s="1"/>
  <c r="CO25" i="72" a="1"/>
  <c r="CO25" i="72" s="1"/>
  <c r="BV25" i="72" a="1"/>
  <c r="BV25" i="72" s="1"/>
  <c r="GD29" i="72" a="1"/>
  <c r="GD29" i="72" s="1"/>
  <c r="FZ29" i="72" a="1"/>
  <c r="FZ29" i="72" s="1"/>
  <c r="FJ29" i="72" a="1"/>
  <c r="FJ29" i="72" s="1"/>
  <c r="GB29" i="72" a="1"/>
  <c r="GB29" i="72" s="1"/>
  <c r="GA29" i="72" a="1"/>
  <c r="GA29" i="72" s="1"/>
  <c r="FY29" i="72" a="1"/>
  <c r="FY29" i="72" s="1"/>
  <c r="GC29" i="72" a="1"/>
  <c r="GC29" i="72" s="1"/>
  <c r="GE29" i="72" a="1"/>
  <c r="GE29" i="72" s="1"/>
  <c r="FX29" i="72" a="1"/>
  <c r="FX29" i="72" s="1"/>
  <c r="HV23" i="72" a="1"/>
  <c r="HV23" i="72" s="1"/>
  <c r="HR23" i="72" a="1"/>
  <c r="HR23" i="72" s="1"/>
  <c r="HT23" i="72" a="1"/>
  <c r="HT23" i="72" s="1"/>
  <c r="HS23" i="72" a="1"/>
  <c r="HS23" i="72" s="1"/>
  <c r="HD23" i="72" a="1"/>
  <c r="HD23" i="72" s="1"/>
  <c r="HE23" i="72" s="1"/>
  <c r="HY23" i="72" a="1"/>
  <c r="HY23" i="72" s="1"/>
  <c r="HX23" i="72" a="1"/>
  <c r="HX23" i="72" s="1"/>
  <c r="HW23" i="72" a="1"/>
  <c r="HW23" i="72" s="1"/>
  <c r="HU23" i="72" a="1"/>
  <c r="HU23" i="72" s="1"/>
  <c r="JR17" i="72" a="1"/>
  <c r="JR17" i="72" s="1"/>
  <c r="JM17" i="72" a="1"/>
  <c r="JM17" i="72" s="1"/>
  <c r="JL17" i="72" a="1"/>
  <c r="JL17" i="72" s="1"/>
  <c r="JQ17" i="72" a="1"/>
  <c r="JQ17" i="72" s="1"/>
  <c r="JP17" i="72" a="1"/>
  <c r="JP17" i="72" s="1"/>
  <c r="JO17" i="72" a="1"/>
  <c r="JO17" i="72" s="1"/>
  <c r="JS17" i="72" a="1"/>
  <c r="JS17" i="72" s="1"/>
  <c r="IX17" i="72" a="1"/>
  <c r="IX17" i="72" s="1"/>
  <c r="JN17" i="72" a="1"/>
  <c r="JN17" i="72" s="1"/>
  <c r="BS22" i="72" a="1"/>
  <c r="BS22" i="72" s="1"/>
  <c r="BO22" i="72" a="1"/>
  <c r="BO22" i="72" s="1"/>
  <c r="AY22" i="72" a="1"/>
  <c r="AY22" i="72" s="1"/>
  <c r="BQ22" i="72" a="1"/>
  <c r="BQ22" i="72" s="1"/>
  <c r="BM22" i="72" a="1"/>
  <c r="BM22" i="72" s="1"/>
  <c r="BT22" i="72" a="1"/>
  <c r="BT22" i="72" s="1"/>
  <c r="BP22" i="72" a="1"/>
  <c r="BP22" i="72" s="1"/>
  <c r="BN22" i="72" a="1"/>
  <c r="BN22" i="72" s="1"/>
  <c r="BR22" i="72" a="1"/>
  <c r="BR22" i="72" s="1"/>
  <c r="BQ33" i="72" a="1"/>
  <c r="BQ33" i="72" s="1"/>
  <c r="BM33" i="72" a="1"/>
  <c r="BM33" i="72" s="1"/>
  <c r="BS33" i="72" a="1"/>
  <c r="BS33" i="72" s="1"/>
  <c r="AY33" i="72" a="1"/>
  <c r="AY33" i="72" s="1"/>
  <c r="BO33" i="72" a="1"/>
  <c r="BO33" i="72" s="1"/>
  <c r="BN33" i="72" a="1"/>
  <c r="BN33" i="72" s="1"/>
  <c r="BT33" i="72" a="1"/>
  <c r="BT33" i="72" s="1"/>
  <c r="BR33" i="72" a="1"/>
  <c r="BR33" i="72" s="1"/>
  <c r="BP33" i="72" a="1"/>
  <c r="BP33" i="72" s="1"/>
  <c r="BT21" i="72" a="1"/>
  <c r="BT21" i="72" s="1"/>
  <c r="BP21" i="72" a="1"/>
  <c r="BP21" i="72" s="1"/>
  <c r="BO21" i="72" a="1"/>
  <c r="BO21" i="72" s="1"/>
  <c r="BS21" i="72" a="1"/>
  <c r="BS21" i="72" s="1"/>
  <c r="BN21" i="72" a="1"/>
  <c r="BN21" i="72" s="1"/>
  <c r="AY21" i="72" a="1"/>
  <c r="AY21" i="72" s="1"/>
  <c r="BR21" i="72" a="1"/>
  <c r="BR21" i="72" s="1"/>
  <c r="BQ21" i="72" a="1"/>
  <c r="BQ21" i="72" s="1"/>
  <c r="BM21" i="72" a="1"/>
  <c r="BM21" i="72" s="1"/>
  <c r="CO23" i="72" a="1"/>
  <c r="CO23" i="72" s="1"/>
  <c r="CK23" i="72" a="1"/>
  <c r="CK23" i="72" s="1"/>
  <c r="CN23" i="72" a="1"/>
  <c r="CN23" i="72" s="1"/>
  <c r="CJ23" i="72" a="1"/>
  <c r="CJ23" i="72" s="1"/>
  <c r="CQ23" i="72" a="1"/>
  <c r="CQ23" i="72" s="1"/>
  <c r="CM23" i="72" a="1"/>
  <c r="CM23" i="72" s="1"/>
  <c r="CP23" i="72" a="1"/>
  <c r="CP23" i="72" s="1"/>
  <c r="CL23" i="72" a="1"/>
  <c r="CL23" i="72" s="1"/>
  <c r="BV23" i="72" a="1"/>
  <c r="BV23" i="72" s="1"/>
  <c r="CP28" i="72" a="1"/>
  <c r="CP28" i="72" s="1"/>
  <c r="CL28" i="72" a="1"/>
  <c r="CL28" i="72" s="1"/>
  <c r="BV28" i="72" a="1"/>
  <c r="BV28" i="72" s="1"/>
  <c r="CQ28" i="72" a="1"/>
  <c r="CQ28" i="72" s="1"/>
  <c r="CM28" i="72" a="1"/>
  <c r="CM28" i="72" s="1"/>
  <c r="CK28" i="72" a="1"/>
  <c r="CK28" i="72" s="1"/>
  <c r="CJ28" i="72" a="1"/>
  <c r="CJ28" i="72" s="1"/>
  <c r="CN28" i="72" a="1"/>
  <c r="CN28" i="72" s="1"/>
  <c r="CO28" i="72" a="1"/>
  <c r="CO28" i="72" s="1"/>
  <c r="DM24" i="72" a="1"/>
  <c r="DM24" i="72" s="1"/>
  <c r="DI24" i="72" a="1"/>
  <c r="DI24" i="72" s="1"/>
  <c r="CS24" i="72" a="1"/>
  <c r="CS24" i="72" s="1"/>
  <c r="DL24" i="72" a="1"/>
  <c r="DL24" i="72" s="1"/>
  <c r="DK24" i="72" a="1"/>
  <c r="DK24" i="72" s="1"/>
  <c r="DJ24" i="72" a="1"/>
  <c r="DJ24" i="72" s="1"/>
  <c r="DH24" i="72" a="1"/>
  <c r="DH24" i="72" s="1"/>
  <c r="DG24" i="72" a="1"/>
  <c r="DG24" i="72" s="1"/>
  <c r="DN24" i="72" a="1"/>
  <c r="DN24" i="72" s="1"/>
  <c r="DK20" i="72" a="1"/>
  <c r="DK20" i="72" s="1"/>
  <c r="DJ20" i="72" a="1"/>
  <c r="DJ20" i="72" s="1"/>
  <c r="DM20" i="72" a="1"/>
  <c r="DM20" i="72" s="1"/>
  <c r="DL20" i="72" a="1"/>
  <c r="DL20" i="72" s="1"/>
  <c r="DI20" i="72" a="1"/>
  <c r="DI20" i="72" s="1"/>
  <c r="DH20" i="72" a="1"/>
  <c r="DH20" i="72" s="1"/>
  <c r="DG20" i="72" a="1"/>
  <c r="DG20" i="72" s="1"/>
  <c r="DN20" i="72" a="1"/>
  <c r="DN20" i="72" s="1"/>
  <c r="CS20" i="72" a="1"/>
  <c r="CS20" i="72" s="1"/>
  <c r="EE15" i="72" a="1"/>
  <c r="EE15" i="72" s="1"/>
  <c r="ED15" i="72" a="1"/>
  <c r="ED15" i="72" s="1"/>
  <c r="EI15" i="72" a="1"/>
  <c r="EI15" i="72" s="1"/>
  <c r="EF15" i="72" a="1"/>
  <c r="EF15" i="72" s="1"/>
  <c r="EJ15" i="72" a="1"/>
  <c r="EJ15" i="72" s="1"/>
  <c r="EH15" i="72" a="1"/>
  <c r="EH15" i="72" s="1"/>
  <c r="EG15" i="72" a="1"/>
  <c r="EG15" i="72" s="1"/>
  <c r="EK15" i="72" a="1"/>
  <c r="EK15" i="72" s="1"/>
  <c r="DP15" i="72" a="1"/>
  <c r="DP15" i="72" s="1"/>
  <c r="EH14" i="72" a="1"/>
  <c r="EH14" i="72" s="1"/>
  <c r="ED14" i="72" a="1"/>
  <c r="ED14" i="72" s="1"/>
  <c r="EI14" i="72" a="1"/>
  <c r="EI14" i="72" s="1"/>
  <c r="DP14" i="72" a="1"/>
  <c r="DP14" i="72" s="1"/>
  <c r="EG14" i="72" a="1"/>
  <c r="EG14" i="72" s="1"/>
  <c r="EE14" i="72" a="1"/>
  <c r="EE14" i="72" s="1"/>
  <c r="EK14" i="72" a="1"/>
  <c r="EK14" i="72" s="1"/>
  <c r="EJ14" i="72" a="1"/>
  <c r="EJ14" i="72" s="1"/>
  <c r="EF14" i="72" a="1"/>
  <c r="EF14" i="72" s="1"/>
  <c r="EJ26" i="72" a="1"/>
  <c r="EJ26" i="72" s="1"/>
  <c r="EF26" i="72" a="1"/>
  <c r="EF26" i="72" s="1"/>
  <c r="DP26" i="72" a="1"/>
  <c r="DP26" i="72" s="1"/>
  <c r="EG26" i="72" a="1"/>
  <c r="EG26" i="72" s="1"/>
  <c r="EE26" i="72" a="1"/>
  <c r="EE26" i="72" s="1"/>
  <c r="EK26" i="72" a="1"/>
  <c r="EK26" i="72" s="1"/>
  <c r="ED26" i="72" a="1"/>
  <c r="ED26" i="72" s="1"/>
  <c r="EI26" i="72" a="1"/>
  <c r="EI26" i="72" s="1"/>
  <c r="EH26" i="72" a="1"/>
  <c r="EH26" i="72" s="1"/>
  <c r="FG17" i="72" a="1"/>
  <c r="FG17" i="72" s="1"/>
  <c r="FB17" i="72" a="1"/>
  <c r="FB17" i="72" s="1"/>
  <c r="FF17" i="72" a="1"/>
  <c r="FF17" i="72" s="1"/>
  <c r="FE17" i="72" a="1"/>
  <c r="FE17" i="72" s="1"/>
  <c r="FA17" i="72" a="1"/>
  <c r="FA17" i="72" s="1"/>
  <c r="FD17" i="72" a="1"/>
  <c r="FD17" i="72" s="1"/>
  <c r="FH17" i="72" a="1"/>
  <c r="FH17" i="72" s="1"/>
  <c r="EM17" i="72" a="1"/>
  <c r="EM17" i="72" s="1"/>
  <c r="FC17" i="72" a="1"/>
  <c r="FC17" i="72" s="1"/>
  <c r="FC18" i="72" a="1"/>
  <c r="FC18" i="72" s="1"/>
  <c r="FG18" i="72" a="1"/>
  <c r="FG18" i="72" s="1"/>
  <c r="FB18" i="72" a="1"/>
  <c r="FB18" i="72" s="1"/>
  <c r="FA18" i="72" a="1"/>
  <c r="FA18" i="72" s="1"/>
  <c r="FF18" i="72" a="1"/>
  <c r="FF18" i="72" s="1"/>
  <c r="FE18" i="72" a="1"/>
  <c r="FE18" i="72" s="1"/>
  <c r="FD18" i="72" a="1"/>
  <c r="FD18" i="72" s="1"/>
  <c r="FH18" i="72" a="1"/>
  <c r="FH18" i="72" s="1"/>
  <c r="EM18" i="72" a="1"/>
  <c r="EM18" i="72" s="1"/>
  <c r="FX16" i="72" a="1"/>
  <c r="FX16" i="72" s="1"/>
  <c r="GB16" i="72" a="1"/>
  <c r="GB16" i="72" s="1"/>
  <c r="GA16" i="72" a="1"/>
  <c r="GA16" i="72" s="1"/>
  <c r="FZ16" i="72" a="1"/>
  <c r="FZ16" i="72" s="1"/>
  <c r="GD16" i="72" a="1"/>
  <c r="GD16" i="72" s="1"/>
  <c r="FY16" i="72" a="1"/>
  <c r="FY16" i="72" s="1"/>
  <c r="GC16" i="72" a="1"/>
  <c r="GC16" i="72" s="1"/>
  <c r="FJ16" i="72" a="1"/>
  <c r="FJ16" i="72" s="1"/>
  <c r="GE16" i="72" a="1"/>
  <c r="GE16" i="72" s="1"/>
  <c r="GD19" i="72" a="1"/>
  <c r="GD19" i="72" s="1"/>
  <c r="FY19" i="72" a="1"/>
  <c r="FY19" i="72" s="1"/>
  <c r="GC19" i="72" a="1"/>
  <c r="GC19" i="72" s="1"/>
  <c r="FX19" i="72" a="1"/>
  <c r="FX19" i="72" s="1"/>
  <c r="GB19" i="72" a="1"/>
  <c r="GB19" i="72" s="1"/>
  <c r="GA19" i="72" a="1"/>
  <c r="GA19" i="72" s="1"/>
  <c r="GE19" i="72" a="1"/>
  <c r="GE19" i="72" s="1"/>
  <c r="FJ19" i="72" a="1"/>
  <c r="FJ19" i="72" s="1"/>
  <c r="FZ19" i="72" a="1"/>
  <c r="FZ19" i="72" s="1"/>
  <c r="GY27" i="72" a="1"/>
  <c r="GY27" i="72" s="1"/>
  <c r="GU27" i="72" a="1"/>
  <c r="GU27" i="72" s="1"/>
  <c r="GW27" i="72" a="1"/>
  <c r="GW27" i="72" s="1"/>
  <c r="HA27" i="72" a="1"/>
  <c r="HA27" i="72" s="1"/>
  <c r="GZ27" i="72" a="1"/>
  <c r="GZ27" i="72" s="1"/>
  <c r="GG27" i="72" a="1"/>
  <c r="GG27" i="72" s="1"/>
  <c r="GH27" i="72" s="1"/>
  <c r="GV27" i="72" a="1"/>
  <c r="GV27" i="72" s="1"/>
  <c r="HB27" i="72" a="1"/>
  <c r="HB27" i="72" s="1"/>
  <c r="GX27" i="72" a="1"/>
  <c r="GX27" i="72" s="1"/>
  <c r="GY19" i="72" a="1"/>
  <c r="GY19" i="72" s="1"/>
  <c r="GW19" i="72" a="1"/>
  <c r="GW19" i="72" s="1"/>
  <c r="HB19" i="72" a="1"/>
  <c r="HB19" i="72" s="1"/>
  <c r="GV19" i="72" a="1"/>
  <c r="GV19" i="72" s="1"/>
  <c r="HA19" i="72" a="1"/>
  <c r="HA19" i="72" s="1"/>
  <c r="GU19" i="72" a="1"/>
  <c r="GU19" i="72" s="1"/>
  <c r="GZ19" i="72" a="1"/>
  <c r="GZ19" i="72" s="1"/>
  <c r="GX19" i="72" a="1"/>
  <c r="GX19" i="72" s="1"/>
  <c r="GG19" i="72" a="1"/>
  <c r="GG19" i="72" s="1"/>
  <c r="GH19" i="72" s="1"/>
  <c r="HY24" i="72" a="1"/>
  <c r="HY24" i="72" s="1"/>
  <c r="HU24" i="72" a="1"/>
  <c r="HU24" i="72" s="1"/>
  <c r="HV24" i="72" a="1"/>
  <c r="HV24" i="72" s="1"/>
  <c r="HR24" i="72" a="1"/>
  <c r="HR24" i="72" s="1"/>
  <c r="HW24" i="72" a="1"/>
  <c r="HW24" i="72" s="1"/>
  <c r="HS24" i="72" a="1"/>
  <c r="HS24" i="72" s="1"/>
  <c r="HX24" i="72" a="1"/>
  <c r="HX24" i="72" s="1"/>
  <c r="HT24" i="72" a="1"/>
  <c r="HT24" i="72" s="1"/>
  <c r="HD24" i="72" a="1"/>
  <c r="HD24" i="72" s="1"/>
  <c r="HV18" i="72" a="1"/>
  <c r="HV18" i="72" s="1"/>
  <c r="HU18" i="72" a="1"/>
  <c r="HU18" i="72" s="1"/>
  <c r="HY18" i="72" a="1"/>
  <c r="HY18" i="72" s="1"/>
  <c r="HD18" i="72" a="1"/>
  <c r="HD18" i="72" s="1"/>
  <c r="HE18" i="72" s="1"/>
  <c r="HT18" i="72" a="1"/>
  <c r="HT18" i="72" s="1"/>
  <c r="HX18" i="72" a="1"/>
  <c r="HX18" i="72" s="1"/>
  <c r="HS18" i="72" a="1"/>
  <c r="HS18" i="72" s="1"/>
  <c r="HW18" i="72" a="1"/>
  <c r="HW18" i="72" s="1"/>
  <c r="HR18" i="72" a="1"/>
  <c r="HR18" i="72" s="1"/>
  <c r="IS29" i="72" a="1"/>
  <c r="IS29" i="72" s="1"/>
  <c r="IO29" i="72" a="1"/>
  <c r="IO29" i="72" s="1"/>
  <c r="IU29" i="72" a="1"/>
  <c r="IU29" i="72" s="1"/>
  <c r="IP29" i="72" a="1"/>
  <c r="IP29" i="72" s="1"/>
  <c r="IT29" i="72" a="1"/>
  <c r="IT29" i="72" s="1"/>
  <c r="IR29" i="72" a="1"/>
  <c r="IR29" i="72" s="1"/>
  <c r="IV29" i="72" a="1"/>
  <c r="IV29" i="72" s="1"/>
  <c r="IA29" i="72" a="1"/>
  <c r="IA29" i="72" s="1"/>
  <c r="IQ29" i="72" a="1"/>
  <c r="IQ29" i="72" s="1"/>
  <c r="IQ16" i="72" a="1"/>
  <c r="IQ16" i="72" s="1"/>
  <c r="IU16" i="72" a="1"/>
  <c r="IU16" i="72" s="1"/>
  <c r="IP16" i="72" a="1"/>
  <c r="IP16" i="72" s="1"/>
  <c r="IT16" i="72" a="1"/>
  <c r="IT16" i="72" s="1"/>
  <c r="IS16" i="72" a="1"/>
  <c r="IS16" i="72" s="1"/>
  <c r="IR16" i="72" a="1"/>
  <c r="IR16" i="72" s="1"/>
  <c r="IV16" i="72" a="1"/>
  <c r="IV16" i="72" s="1"/>
  <c r="IA16" i="72" a="1"/>
  <c r="IA16" i="72" s="1"/>
  <c r="IB16" i="72" s="1"/>
  <c r="IO16" i="72" a="1"/>
  <c r="IO16" i="72" s="1"/>
  <c r="JM16" i="72" a="1"/>
  <c r="JM16" i="72" s="1"/>
  <c r="JQ16" i="72" a="1"/>
  <c r="JQ16" i="72" s="1"/>
  <c r="JL16" i="72" a="1"/>
  <c r="JL16" i="72" s="1"/>
  <c r="JO16" i="72" a="1"/>
  <c r="JO16" i="72" s="1"/>
  <c r="JS16" i="72" a="1"/>
  <c r="JS16" i="72" s="1"/>
  <c r="IX16" i="72" a="1"/>
  <c r="IX16" i="72" s="1"/>
  <c r="IY16" i="72" s="1"/>
  <c r="JN16" i="72" a="1"/>
  <c r="JN16" i="72" s="1"/>
  <c r="JR16" i="72" a="1"/>
  <c r="JR16" i="72" s="1"/>
  <c r="JP16" i="72" a="1"/>
  <c r="JP16" i="72" s="1"/>
  <c r="GY29" i="72" a="1"/>
  <c r="GY29" i="72" s="1"/>
  <c r="GU29" i="72" a="1"/>
  <c r="GU29" i="72" s="1"/>
  <c r="GX29" i="72" a="1"/>
  <c r="GX29" i="72" s="1"/>
  <c r="HB29" i="72" a="1"/>
  <c r="HB29" i="72" s="1"/>
  <c r="GG29" i="72" a="1"/>
  <c r="GG29" i="72" s="1"/>
  <c r="GH29" i="72" s="1"/>
  <c r="GW29" i="72" a="1"/>
  <c r="GW29" i="72" s="1"/>
  <c r="GZ29" i="72" a="1"/>
  <c r="GZ29" i="72" s="1"/>
  <c r="HA29" i="72" a="1"/>
  <c r="HA29" i="72" s="1"/>
  <c r="GV29" i="72" a="1"/>
  <c r="GV29" i="72" s="1"/>
  <c r="DN32" i="72" a="1"/>
  <c r="DN32" i="72" s="1"/>
  <c r="DH32" i="72" a="1"/>
  <c r="DH32" i="72" s="1"/>
  <c r="DG32" i="72" a="1"/>
  <c r="DG32" i="72" s="1"/>
  <c r="DK32" i="72" a="1"/>
  <c r="DK32" i="72" s="1"/>
  <c r="CS32" i="72" a="1"/>
  <c r="CS32" i="72" s="1"/>
  <c r="DJ32" i="72" a="1"/>
  <c r="DJ32" i="72" s="1"/>
  <c r="DI32" i="72" a="1"/>
  <c r="DI32" i="72" s="1"/>
  <c r="DM32" i="72" a="1"/>
  <c r="DM32" i="72" s="1"/>
  <c r="DL32" i="72" a="1"/>
  <c r="DL32" i="72" s="1"/>
  <c r="FZ31" i="72" a="1"/>
  <c r="FZ31" i="72" s="1"/>
  <c r="GD31" i="72" a="1"/>
  <c r="GD31" i="72" s="1"/>
  <c r="FY31" i="72" a="1"/>
  <c r="FY31" i="72" s="1"/>
  <c r="GC31" i="72" a="1"/>
  <c r="GC31" i="72" s="1"/>
  <c r="FX31" i="72" a="1"/>
  <c r="FX31" i="72" s="1"/>
  <c r="GA31" i="72" a="1"/>
  <c r="GA31" i="72" s="1"/>
  <c r="FJ31" i="72" a="1"/>
  <c r="FJ31" i="72" s="1"/>
  <c r="GE31" i="72" a="1"/>
  <c r="GE31" i="72" s="1"/>
  <c r="GB31" i="72" a="1"/>
  <c r="GB31" i="72" s="1"/>
  <c r="HV22" i="72" a="1"/>
  <c r="HV22" i="72" s="1"/>
  <c r="HR22" i="72" a="1"/>
  <c r="HR22" i="72" s="1"/>
  <c r="HX22" i="72" a="1"/>
  <c r="HX22" i="72" s="1"/>
  <c r="HT22" i="72" a="1"/>
  <c r="HT22" i="72" s="1"/>
  <c r="HD22" i="72" a="1"/>
  <c r="HD22" i="72" s="1"/>
  <c r="HE22" i="72" s="1"/>
  <c r="HY22" i="72" a="1"/>
  <c r="HY22" i="72" s="1"/>
  <c r="HS22" i="72" a="1"/>
  <c r="HS22" i="72" s="1"/>
  <c r="HW22" i="72" a="1"/>
  <c r="HW22" i="72" s="1"/>
  <c r="HU22" i="72" a="1"/>
  <c r="HU22" i="72" s="1"/>
  <c r="JR19" i="72" a="1"/>
  <c r="JR19" i="72" s="1"/>
  <c r="JM19" i="72" a="1"/>
  <c r="JM19" i="72" s="1"/>
  <c r="JP19" i="72" a="1"/>
  <c r="JP19" i="72" s="1"/>
  <c r="JO19" i="72" a="1"/>
  <c r="JO19" i="72" s="1"/>
  <c r="JN19" i="72" a="1"/>
  <c r="JN19" i="72" s="1"/>
  <c r="JS19" i="72" a="1"/>
  <c r="JS19" i="72" s="1"/>
  <c r="JL19" i="72" a="1"/>
  <c r="JL19" i="72" s="1"/>
  <c r="JQ19" i="72" a="1"/>
  <c r="JQ19" i="72" s="1"/>
  <c r="IX19" i="72" a="1"/>
  <c r="IX19" i="72" s="1"/>
  <c r="IY19" i="72" s="1"/>
  <c r="BQ29" i="72" a="1"/>
  <c r="BQ29" i="72" s="1"/>
  <c r="BM29" i="72" a="1"/>
  <c r="BM29" i="72" s="1"/>
  <c r="BP29" i="72" a="1"/>
  <c r="BP29" i="72" s="1"/>
  <c r="BT29" i="72" a="1"/>
  <c r="BT29" i="72" s="1"/>
  <c r="AY29" i="72" a="1"/>
  <c r="AY29" i="72" s="1"/>
  <c r="BR29" i="72" a="1"/>
  <c r="BR29" i="72" s="1"/>
  <c r="BO29" i="72" a="1"/>
  <c r="BO29" i="72" s="1"/>
  <c r="BN29" i="72" a="1"/>
  <c r="BN29" i="72" s="1"/>
  <c r="BS29" i="72" a="1"/>
  <c r="BS29" i="72" s="1"/>
  <c r="BS31" i="72" a="1"/>
  <c r="BS31" i="72" s="1"/>
  <c r="BN31" i="72" a="1"/>
  <c r="BN31" i="72" s="1"/>
  <c r="BR31" i="72" a="1"/>
  <c r="BR31" i="72" s="1"/>
  <c r="BP31" i="72" a="1"/>
  <c r="BP31" i="72" s="1"/>
  <c r="BO31" i="72" a="1"/>
  <c r="BO31" i="72" s="1"/>
  <c r="BM31" i="72" a="1"/>
  <c r="BM31" i="72" s="1"/>
  <c r="BT31" i="72" a="1"/>
  <c r="BT31" i="72" s="1"/>
  <c r="AY31" i="72" a="1"/>
  <c r="AY31" i="72" s="1"/>
  <c r="BQ31" i="72" a="1"/>
  <c r="BQ31" i="72" s="1"/>
  <c r="CP29" i="72" a="1"/>
  <c r="CP29" i="72" s="1"/>
  <c r="CL29" i="72" a="1"/>
  <c r="CL29" i="72" s="1"/>
  <c r="BV29" i="72" a="1"/>
  <c r="BV29" i="72" s="1"/>
  <c r="CM29" i="72" a="1"/>
  <c r="CM29" i="72" s="1"/>
  <c r="CQ29" i="72" a="1"/>
  <c r="CQ29" i="72" s="1"/>
  <c r="CN29" i="72" a="1"/>
  <c r="CN29" i="72" s="1"/>
  <c r="CK29" i="72" a="1"/>
  <c r="CK29" i="72" s="1"/>
  <c r="CJ29" i="72" a="1"/>
  <c r="CJ29" i="72" s="1"/>
  <c r="CO29" i="72" a="1"/>
  <c r="CO29" i="72" s="1"/>
  <c r="CN24" i="72" a="1"/>
  <c r="CN24" i="72" s="1"/>
  <c r="CJ24" i="72" a="1"/>
  <c r="CJ24" i="72" s="1"/>
  <c r="CO24" i="72" a="1"/>
  <c r="CO24" i="72" s="1"/>
  <c r="CM24" i="72" a="1"/>
  <c r="CM24" i="72" s="1"/>
  <c r="CL24" i="72" a="1"/>
  <c r="CL24" i="72" s="1"/>
  <c r="CK24" i="72" a="1"/>
  <c r="CK24" i="72" s="1"/>
  <c r="BV24" i="72" a="1"/>
  <c r="BV24" i="72" s="1"/>
  <c r="CQ24" i="72" a="1"/>
  <c r="CQ24" i="72" s="1"/>
  <c r="CP24" i="72" a="1"/>
  <c r="CP24" i="72" s="1"/>
  <c r="CO21" i="72" a="1"/>
  <c r="CO21" i="72" s="1"/>
  <c r="CK21" i="72" a="1"/>
  <c r="CK21" i="72" s="1"/>
  <c r="CM21" i="72" a="1"/>
  <c r="CM21" i="72" s="1"/>
  <c r="BV21" i="72" a="1"/>
  <c r="BV21" i="72" s="1"/>
  <c r="CQ21" i="72" a="1"/>
  <c r="CQ21" i="72" s="1"/>
  <c r="CL21" i="72" a="1"/>
  <c r="CL21" i="72" s="1"/>
  <c r="CN21" i="72" a="1"/>
  <c r="CN21" i="72" s="1"/>
  <c r="CP21" i="72" a="1"/>
  <c r="CP21" i="72" s="1"/>
  <c r="CJ21" i="72" a="1"/>
  <c r="CJ21" i="72" s="1"/>
  <c r="DN21" i="72" a="1"/>
  <c r="DN21" i="72" s="1"/>
  <c r="DJ21" i="72" a="1"/>
  <c r="DJ21" i="72" s="1"/>
  <c r="DI21" i="72" a="1"/>
  <c r="DI21" i="72" s="1"/>
  <c r="CS21" i="72" a="1"/>
  <c r="CS21" i="72" s="1"/>
  <c r="DM21" i="72" a="1"/>
  <c r="DM21" i="72" s="1"/>
  <c r="DH21" i="72" a="1"/>
  <c r="DH21" i="72" s="1"/>
  <c r="DK21" i="72" a="1"/>
  <c r="DK21" i="72" s="1"/>
  <c r="DL21" i="72" a="1"/>
  <c r="DL21" i="72" s="1"/>
  <c r="DG21" i="72" a="1"/>
  <c r="DG21" i="72" s="1"/>
  <c r="DI15" i="72" a="1"/>
  <c r="DI15" i="72" s="1"/>
  <c r="DL15" i="72" a="1"/>
  <c r="DL15" i="72" s="1"/>
  <c r="DM15" i="72" a="1"/>
  <c r="DM15" i="72" s="1"/>
  <c r="DH15" i="72" a="1"/>
  <c r="DH15" i="72" s="1"/>
  <c r="DJ15" i="72" a="1"/>
  <c r="DJ15" i="72" s="1"/>
  <c r="DN15" i="72" a="1"/>
  <c r="DN15" i="72" s="1"/>
  <c r="CS15" i="72" a="1"/>
  <c r="CS15" i="72" s="1"/>
  <c r="DK15" i="72" a="1"/>
  <c r="DK15" i="72" s="1"/>
  <c r="DG15" i="72" a="1"/>
  <c r="DG15" i="72" s="1"/>
  <c r="EJ29" i="72" a="1"/>
  <c r="EJ29" i="72" s="1"/>
  <c r="EF29" i="72" a="1"/>
  <c r="EF29" i="72" s="1"/>
  <c r="DP29" i="72" a="1"/>
  <c r="DP29" i="72" s="1"/>
  <c r="EE29" i="72" a="1"/>
  <c r="EE29" i="72" s="1"/>
  <c r="EI29" i="72" a="1"/>
  <c r="EI29" i="72" s="1"/>
  <c r="ED29" i="72" a="1"/>
  <c r="ED29" i="72" s="1"/>
  <c r="EG29" i="72" a="1"/>
  <c r="EG29" i="72" s="1"/>
  <c r="EK29" i="72" a="1"/>
  <c r="EK29" i="72" s="1"/>
  <c r="EH29" i="72" a="1"/>
  <c r="EH29" i="72" s="1"/>
  <c r="EJ32" i="72" a="1"/>
  <c r="EJ32" i="72" s="1"/>
  <c r="EF32" i="72" a="1"/>
  <c r="EF32" i="72" s="1"/>
  <c r="EH32" i="72" a="1"/>
  <c r="EH32" i="72" s="1"/>
  <c r="ED32" i="72" a="1"/>
  <c r="ED32" i="72" s="1"/>
  <c r="EK32" i="72" a="1"/>
  <c r="EK32" i="72" s="1"/>
  <c r="EI32" i="72" a="1"/>
  <c r="EI32" i="72" s="1"/>
  <c r="EG32" i="72" a="1"/>
  <c r="EG32" i="72" s="1"/>
  <c r="EE32" i="72" a="1"/>
  <c r="EE32" i="72" s="1"/>
  <c r="DP32" i="72" a="1"/>
  <c r="DP32" i="72" s="1"/>
  <c r="EH22" i="72" a="1"/>
  <c r="EH22" i="72" s="1"/>
  <c r="ED22" i="72" a="1"/>
  <c r="ED22" i="72" s="1"/>
  <c r="EJ22" i="72" a="1"/>
  <c r="EJ22" i="72" s="1"/>
  <c r="EF22" i="72" a="1"/>
  <c r="EF22" i="72" s="1"/>
  <c r="DP22" i="72" a="1"/>
  <c r="DP22" i="72" s="1"/>
  <c r="EI22" i="72" a="1"/>
  <c r="EI22" i="72" s="1"/>
  <c r="EE22" i="72" a="1"/>
  <c r="EE22" i="72" s="1"/>
  <c r="EK22" i="72" a="1"/>
  <c r="EK22" i="72" s="1"/>
  <c r="EG22" i="72" a="1"/>
  <c r="EG22" i="72" s="1"/>
  <c r="FG23" i="72" a="1"/>
  <c r="FG23" i="72" s="1"/>
  <c r="FC23" i="72" a="1"/>
  <c r="FC23" i="72" s="1"/>
  <c r="EM23" i="72" a="1"/>
  <c r="EM23" i="72" s="1"/>
  <c r="FA23" i="72" a="1"/>
  <c r="FA23" i="72" s="1"/>
  <c r="FH23" i="72" a="1"/>
  <c r="FH23" i="72" s="1"/>
  <c r="FF23" i="72" a="1"/>
  <c r="FF23" i="72" s="1"/>
  <c r="FE23" i="72" a="1"/>
  <c r="FE23" i="72" s="1"/>
  <c r="FD23" i="72" a="1"/>
  <c r="FD23" i="72" s="1"/>
  <c r="FB23" i="72" a="1"/>
  <c r="FB23" i="72" s="1"/>
  <c r="GD26" i="72" a="1"/>
  <c r="GD26" i="72" s="1"/>
  <c r="FZ26" i="72" a="1"/>
  <c r="FZ26" i="72" s="1"/>
  <c r="FJ26" i="72" a="1"/>
  <c r="FJ26" i="72" s="1"/>
  <c r="GA26" i="72" a="1"/>
  <c r="GA26" i="72" s="1"/>
  <c r="FY26" i="72" a="1"/>
  <c r="FY26" i="72" s="1"/>
  <c r="GB26" i="72" a="1"/>
  <c r="GB26" i="72" s="1"/>
  <c r="GE26" i="72" a="1"/>
  <c r="GE26" i="72" s="1"/>
  <c r="FX26" i="72" a="1"/>
  <c r="FX26" i="72" s="1"/>
  <c r="GC26" i="72" a="1"/>
  <c r="GC26" i="72" s="1"/>
  <c r="GD30" i="72" a="1"/>
  <c r="GD30" i="72" s="1"/>
  <c r="FY30" i="72" a="1"/>
  <c r="FY30" i="72" s="1"/>
  <c r="GA30" i="72" a="1"/>
  <c r="GA30" i="72" s="1"/>
  <c r="GB30" i="72" a="1"/>
  <c r="GB30" i="72" s="1"/>
  <c r="FJ30" i="72" a="1"/>
  <c r="FJ30" i="72" s="1"/>
  <c r="FZ30" i="72" a="1"/>
  <c r="FZ30" i="72" s="1"/>
  <c r="GE30" i="72" a="1"/>
  <c r="GE30" i="72" s="1"/>
  <c r="FX30" i="72" a="1"/>
  <c r="FX30" i="72" s="1"/>
  <c r="GC30" i="72" a="1"/>
  <c r="GC30" i="72" s="1"/>
  <c r="GY25" i="72" a="1"/>
  <c r="GY25" i="72" s="1"/>
  <c r="GU25" i="72" a="1"/>
  <c r="GU25" i="72" s="1"/>
  <c r="HB25" i="72" a="1"/>
  <c r="HB25" i="72" s="1"/>
  <c r="GW25" i="72" a="1"/>
  <c r="GW25" i="72" s="1"/>
  <c r="HA25" i="72" a="1"/>
  <c r="HA25" i="72" s="1"/>
  <c r="GV25" i="72" a="1"/>
  <c r="GV25" i="72" s="1"/>
  <c r="GZ25" i="72" a="1"/>
  <c r="GZ25" i="72" s="1"/>
  <c r="GX25" i="72" a="1"/>
  <c r="GX25" i="72" s="1"/>
  <c r="GG25" i="72" a="1"/>
  <c r="GG25" i="72" s="1"/>
  <c r="GH25" i="72" s="1"/>
  <c r="GY26" i="72" a="1"/>
  <c r="GY26" i="72" s="1"/>
  <c r="GU26" i="72" a="1"/>
  <c r="GU26" i="72" s="1"/>
  <c r="GW26" i="72" a="1"/>
  <c r="GW26" i="72" s="1"/>
  <c r="GZ26" i="72" a="1"/>
  <c r="GZ26" i="72" s="1"/>
  <c r="GX26" i="72" a="1"/>
  <c r="GX26" i="72" s="1"/>
  <c r="GV26" i="72" a="1"/>
  <c r="GV26" i="72" s="1"/>
  <c r="HB26" i="72" a="1"/>
  <c r="HB26" i="72" s="1"/>
  <c r="HA26" i="72" a="1"/>
  <c r="HA26" i="72" s="1"/>
  <c r="GG26" i="72" a="1"/>
  <c r="GG26" i="72" s="1"/>
  <c r="HW31" i="72" a="1"/>
  <c r="HW31" i="72" s="1"/>
  <c r="HT31" i="72" a="1"/>
  <c r="HT31" i="72" s="1"/>
  <c r="HY31" i="72" a="1"/>
  <c r="HY31" i="72" s="1"/>
  <c r="HX31" i="72" a="1"/>
  <c r="HX31" i="72" s="1"/>
  <c r="HD31" i="72" a="1"/>
  <c r="HD31" i="72" s="1"/>
  <c r="HE31" i="72" s="1"/>
  <c r="HV31" i="72" a="1"/>
  <c r="HV31" i="72" s="1"/>
  <c r="HS31" i="72" a="1"/>
  <c r="HS31" i="72" s="1"/>
  <c r="HU31" i="72" a="1"/>
  <c r="HU31" i="72" s="1"/>
  <c r="HR31" i="72" a="1"/>
  <c r="HR31" i="72" s="1"/>
  <c r="HU17" i="72" a="1"/>
  <c r="HU17" i="72" s="1"/>
  <c r="HY17" i="72" a="1"/>
  <c r="HY17" i="72" s="1"/>
  <c r="HD17" i="72" a="1"/>
  <c r="HD17" i="72" s="1"/>
  <c r="HE17" i="72" s="1"/>
  <c r="HX17" i="72" a="1"/>
  <c r="HX17" i="72" s="1"/>
  <c r="HT17" i="72" a="1"/>
  <c r="HT17" i="72" s="1"/>
  <c r="HS17" i="72" a="1"/>
  <c r="HS17" i="72" s="1"/>
  <c r="HW17" i="72" a="1"/>
  <c r="HW17" i="72" s="1"/>
  <c r="HR17" i="72" a="1"/>
  <c r="HR17" i="72" s="1"/>
  <c r="HV17" i="72" a="1"/>
  <c r="HV17" i="72" s="1"/>
  <c r="HY16" i="72" a="1"/>
  <c r="HY16" i="72" s="1"/>
  <c r="HD16" i="72" a="1"/>
  <c r="HD16" i="72" s="1"/>
  <c r="HE16" i="72" s="1"/>
  <c r="HT16" i="72" a="1"/>
  <c r="HT16" i="72" s="1"/>
  <c r="HX16" i="72" a="1"/>
  <c r="HX16" i="72" s="1"/>
  <c r="HW16" i="72" a="1"/>
  <c r="HW16" i="72" s="1"/>
  <c r="HR16" i="72" a="1"/>
  <c r="HR16" i="72" s="1"/>
  <c r="HV16" i="72" a="1"/>
  <c r="HV16" i="72" s="1"/>
  <c r="HU16" i="72" a="1"/>
  <c r="HU16" i="72" s="1"/>
  <c r="HS16" i="72" a="1"/>
  <c r="HS16" i="72" s="1"/>
  <c r="IS32" i="72" a="1"/>
  <c r="IS32" i="72" s="1"/>
  <c r="IO32" i="72" a="1"/>
  <c r="IO32" i="72" s="1"/>
  <c r="IQ32" i="72" a="1"/>
  <c r="IQ32" i="72" s="1"/>
  <c r="IU32" i="72" a="1"/>
  <c r="IU32" i="72" s="1"/>
  <c r="IA32" i="72" a="1"/>
  <c r="IA32" i="72" s="1"/>
  <c r="IT32" i="72" a="1"/>
  <c r="IT32" i="72" s="1"/>
  <c r="IR32" i="72" a="1"/>
  <c r="IR32" i="72" s="1"/>
  <c r="IP32" i="72" a="1"/>
  <c r="IP32" i="72" s="1"/>
  <c r="IV32" i="72" a="1"/>
  <c r="IV32" i="72" s="1"/>
  <c r="JP22" i="72" a="1"/>
  <c r="JP22" i="72" s="1"/>
  <c r="JL22" i="72" a="1"/>
  <c r="JL22" i="72" s="1"/>
  <c r="JR22" i="72" a="1"/>
  <c r="JR22" i="72" s="1"/>
  <c r="JN22" i="72" a="1"/>
  <c r="JN22" i="72" s="1"/>
  <c r="IX22" i="72" a="1"/>
  <c r="IX22" i="72" s="1"/>
  <c r="IY22" i="72" s="1"/>
  <c r="JO22" i="72" a="1"/>
  <c r="JO22" i="72" s="1"/>
  <c r="JS22" i="72" a="1"/>
  <c r="JS22" i="72" s="1"/>
  <c r="JM22" i="72" a="1"/>
  <c r="JM22" i="72" s="1"/>
  <c r="JQ22" i="72" a="1"/>
  <c r="JQ22" i="72" s="1"/>
  <c r="JR33" i="72" a="1"/>
  <c r="JR33" i="72" s="1"/>
  <c r="JN33" i="72" a="1"/>
  <c r="JN33" i="72" s="1"/>
  <c r="IX33" i="72" a="1"/>
  <c r="IX33" i="72" s="1"/>
  <c r="IY33" i="72" s="1"/>
  <c r="JP33" i="72" a="1"/>
  <c r="JP33" i="72" s="1"/>
  <c r="JL33" i="72" a="1"/>
  <c r="JL33" i="72" s="1"/>
  <c r="JS33" i="72" a="1"/>
  <c r="JS33" i="72" s="1"/>
  <c r="JQ33" i="72" a="1"/>
  <c r="JQ33" i="72" s="1"/>
  <c r="JO33" i="72" a="1"/>
  <c r="JO33" i="72" s="1"/>
  <c r="JM33" i="72" a="1"/>
  <c r="JM33" i="72" s="1"/>
  <c r="HE24" i="72"/>
  <c r="GH18" i="72"/>
  <c r="IY25" i="72"/>
  <c r="GH32" i="72"/>
  <c r="GH22" i="72"/>
  <c r="HE21" i="72"/>
  <c r="HE34" i="72"/>
  <c r="IY14" i="72"/>
  <c r="IY35" i="72" s="1"/>
  <c r="IY27" i="72"/>
  <c r="HE26" i="72"/>
  <c r="IY20" i="72"/>
  <c r="GH17" i="72"/>
  <c r="GH30" i="72"/>
  <c r="HE27" i="72"/>
  <c r="HE15" i="72"/>
  <c r="IY23" i="72"/>
  <c r="IY29" i="72"/>
  <c r="IY30" i="72"/>
  <c r="GH24" i="72"/>
  <c r="GH20" i="72"/>
  <c r="HE14" i="72"/>
  <c r="HE35" i="72" s="1"/>
  <c r="HE28" i="72"/>
  <c r="IY24" i="72"/>
  <c r="GH16" i="72"/>
  <c r="GH21" i="72"/>
  <c r="HE32" i="72"/>
  <c r="IY34" i="72"/>
  <c r="IY26" i="72"/>
  <c r="IY31" i="72"/>
  <c r="GH31" i="72"/>
  <c r="HE20" i="72"/>
  <c r="IY28" i="72"/>
  <c r="IY21" i="72"/>
  <c r="GH23" i="72"/>
  <c r="GH28" i="72"/>
  <c r="HE30" i="72"/>
  <c r="HE29" i="72"/>
  <c r="IY17" i="72"/>
  <c r="GH26"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IB21" i="72"/>
  <c r="IB18" i="72"/>
  <c r="IB17" i="72"/>
  <c r="IB31" i="72"/>
  <c r="IB28" i="72"/>
  <c r="IB33" i="72"/>
  <c r="IB3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L10" i="75" s="1"/>
  <c r="JA49" i="72"/>
  <c r="L15" i="75" s="1"/>
  <c r="ID49" i="72"/>
  <c r="L14" i="75" s="1"/>
  <c r="GJ49" i="72"/>
  <c r="L12" i="75" s="1"/>
  <c r="FM49" i="72"/>
  <c r="L11" i="75" s="1"/>
  <c r="HG49" i="72"/>
  <c r="L13" i="75" s="1"/>
  <c r="DS49" i="72"/>
  <c r="L9" i="75" s="1"/>
  <c r="CV49" i="72"/>
  <c r="BY49" i="72"/>
  <c r="L6" i="64"/>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ID16" i="72" l="1"/>
  <c r="IJ16" i="72" s="1"/>
  <c r="ID17" i="72"/>
  <c r="ID25" i="72"/>
  <c r="IJ25" i="72" s="1"/>
  <c r="ID18" i="72"/>
  <c r="ID23" i="72"/>
  <c r="IJ23" i="72" s="1"/>
  <c r="ID19" i="72"/>
  <c r="ID14" i="72"/>
  <c r="ID20" i="72"/>
  <c r="IK20" i="72" s="1"/>
  <c r="ID21" i="72"/>
  <c r="IJ21" i="72" s="1"/>
  <c r="ID22" i="72"/>
  <c r="JA21" i="72"/>
  <c r="JA22" i="72"/>
  <c r="JA15" i="72"/>
  <c r="JG15" i="72" s="1"/>
  <c r="JA23" i="72"/>
  <c r="JD23" i="72" s="1"/>
  <c r="JA16" i="72"/>
  <c r="JD16" i="72" s="1"/>
  <c r="JA17" i="72"/>
  <c r="JA25" i="72"/>
  <c r="JA18" i="72"/>
  <c r="JG18" i="72" s="1"/>
  <c r="JA20" i="72"/>
  <c r="JG20" i="72" s="1"/>
  <c r="JA19" i="72"/>
  <c r="JA14" i="72"/>
  <c r="JG14" i="72" s="1"/>
  <c r="GJ22" i="72"/>
  <c r="GP22" i="72" s="1"/>
  <c r="GJ15" i="72"/>
  <c r="GP15" i="72" s="1"/>
  <c r="GJ23" i="72"/>
  <c r="GJ16" i="72"/>
  <c r="GJ17" i="72"/>
  <c r="GJ25" i="72"/>
  <c r="GJ18" i="72"/>
  <c r="GJ21" i="72"/>
  <c r="GP21" i="72" s="1"/>
  <c r="GJ19" i="72"/>
  <c r="GQ19" i="72" s="1"/>
  <c r="GJ14" i="72"/>
  <c r="GQ14" i="72" s="1"/>
  <c r="GJ20" i="72"/>
  <c r="GP20" i="72" s="1"/>
  <c r="HG19" i="72"/>
  <c r="HM19" i="72" s="1"/>
  <c r="HG14" i="72"/>
  <c r="HG20" i="72"/>
  <c r="HM20" i="72" s="1"/>
  <c r="HG21" i="72"/>
  <c r="HG22" i="72"/>
  <c r="HM22" i="72" s="1"/>
  <c r="HG18" i="72"/>
  <c r="HN18" i="72" s="1"/>
  <c r="HG15" i="72"/>
  <c r="HM15" i="72" s="1"/>
  <c r="HG23" i="72"/>
  <c r="HG16" i="72"/>
  <c r="HG17" i="72"/>
  <c r="HG25" i="72"/>
  <c r="HM25" i="72" s="1"/>
  <c r="IB26" i="72"/>
  <c r="EM35" i="72"/>
  <c r="EN25" i="72" s="1"/>
  <c r="EP25" i="72" s="1"/>
  <c r="EV25" i="72" s="1"/>
  <c r="IB24" i="72"/>
  <c r="FJ35" i="72"/>
  <c r="FK21" i="72" s="1"/>
  <c r="FM21" i="72" s="1"/>
  <c r="FT21" i="72" s="1"/>
  <c r="BV35" i="72"/>
  <c r="BW27" i="72" s="1"/>
  <c r="CS35" i="72"/>
  <c r="CT21" i="72" s="1"/>
  <c r="CV21" i="72" s="1"/>
  <c r="DC21" i="72" s="1"/>
  <c r="IB15" i="72"/>
  <c r="ID15" i="72" s="1"/>
  <c r="IB27" i="72"/>
  <c r="DP35" i="72"/>
  <c r="DQ25" i="72" s="1"/>
  <c r="DS25" i="72" s="1"/>
  <c r="DY25" i="72" s="1"/>
  <c r="IB29" i="72"/>
  <c r="BW32" i="72"/>
  <c r="AY35" i="72"/>
  <c r="AZ24" i="72" s="1"/>
  <c r="JH25" i="72"/>
  <c r="JG19" i="72"/>
  <c r="JG21" i="72"/>
  <c r="JG17" i="72"/>
  <c r="JD22" i="72"/>
  <c r="IK19" i="72"/>
  <c r="HM14" i="72"/>
  <c r="HN23" i="72"/>
  <c r="HM21" i="72"/>
  <c r="HM17" i="72"/>
  <c r="JE22" i="72"/>
  <c r="JF19" i="72"/>
  <c r="JE19" i="72"/>
  <c r="JF16" i="72"/>
  <c r="JE14" i="72"/>
  <c r="JA12" i="72"/>
  <c r="JB12" i="72"/>
  <c r="JA24" i="72" s="1"/>
  <c r="JH24" i="72" s="1"/>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D24" i="72" s="1"/>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IG14" i="72"/>
  <c r="IJ17"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G24" i="72" s="1"/>
  <c r="HL32" i="72"/>
  <c r="HK27" i="72"/>
  <c r="HL20" i="72"/>
  <c r="HL15" i="72"/>
  <c r="HG12" i="72"/>
  <c r="HL34" i="72"/>
  <c r="HK33" i="72"/>
  <c r="HK29" i="72"/>
  <c r="HK26" i="72"/>
  <c r="HI12" i="72"/>
  <c r="HL31" i="72"/>
  <c r="HL14" i="72"/>
  <c r="HK34" i="72"/>
  <c r="HK17" i="72"/>
  <c r="HM12" i="72"/>
  <c r="HL22" i="72"/>
  <c r="HL18" i="72"/>
  <c r="HK25" i="72"/>
  <c r="HK21" i="72"/>
  <c r="HL30" i="72"/>
  <c r="HL26" i="72"/>
  <c r="HJ16" i="72"/>
  <c r="GP17" i="72"/>
  <c r="GP16" i="72"/>
  <c r="GQ23" i="72"/>
  <c r="GQ18"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J24" i="72" s="1"/>
  <c r="GQ24" i="72" s="1"/>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GP25"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B24" i="72" s="1"/>
  <c r="BH24" i="72" s="1"/>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JH18" i="72"/>
  <c r="JB18" i="72"/>
  <c r="JD18" i="72"/>
  <c r="IK18" i="72"/>
  <c r="IE18" i="72"/>
  <c r="IG18" i="72"/>
  <c r="IK22" i="72"/>
  <c r="IG22" i="72"/>
  <c r="IE22" i="72"/>
  <c r="IE16" i="72"/>
  <c r="IJ18" i="72"/>
  <c r="IJ22" i="72"/>
  <c r="HH16" i="72"/>
  <c r="GQ20" i="72"/>
  <c r="GM20" i="72"/>
  <c r="GK20" i="72"/>
  <c r="D15" i="36"/>
  <c r="S15" i="36" s="1"/>
  <c r="AB37" i="72"/>
  <c r="EP50" i="72"/>
  <c r="O10" i="75" s="1"/>
  <c r="CV50" i="72"/>
  <c r="O8" i="75" s="1"/>
  <c r="GJ50" i="72"/>
  <c r="O12" i="75" s="1"/>
  <c r="FM50" i="72"/>
  <c r="O11" i="75" s="1"/>
  <c r="AA11" i="75" s="1"/>
  <c r="ID50" i="72"/>
  <c r="DS50" i="72"/>
  <c r="O9" i="75" s="1"/>
  <c r="CC35" i="72"/>
  <c r="CD35" i="72"/>
  <c r="BB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B50" i="72"/>
  <c r="DS4" i="72"/>
  <c r="JA50" i="72"/>
  <c r="HG50" i="72"/>
  <c r="O13" i="75" s="1"/>
  <c r="JA4" i="72"/>
  <c r="ID4" i="72"/>
  <c r="GJ4" i="72"/>
  <c r="HG4" i="72"/>
  <c r="EP4" i="72"/>
  <c r="CV4" i="72"/>
  <c r="FM4" i="72"/>
  <c r="B76" i="64"/>
  <c r="B59" i="64"/>
  <c r="B53" i="64"/>
  <c r="B36" i="64"/>
  <c r="B26" i="64"/>
  <c r="B14" i="64"/>
  <c r="T26" i="64"/>
  <c r="U26" i="64" s="1"/>
  <c r="J36" i="64"/>
  <c r="K36" i="64" s="1"/>
  <c r="T14" i="64"/>
  <c r="U14" i="64" s="1"/>
  <c r="O14" i="64"/>
  <c r="P14" i="64" s="1"/>
  <c r="FK32" i="72" l="1"/>
  <c r="FK26" i="72"/>
  <c r="CT15" i="72"/>
  <c r="CV15" i="72" s="1"/>
  <c r="DC15" i="72" s="1"/>
  <c r="FK33" i="72"/>
  <c r="FK25" i="72"/>
  <c r="FM25" i="72" s="1"/>
  <c r="FS25" i="72" s="1"/>
  <c r="FK19" i="72"/>
  <c r="FM19" i="72" s="1"/>
  <c r="FS19" i="72" s="1"/>
  <c r="FK29" i="72"/>
  <c r="FK31" i="72"/>
  <c r="CT16" i="72"/>
  <c r="CV16" i="72" s="1"/>
  <c r="CW16" i="72" s="1"/>
  <c r="CT34" i="72"/>
  <c r="FK22" i="72"/>
  <c r="FM22" i="72" s="1"/>
  <c r="FS22" i="72" s="1"/>
  <c r="FK17" i="72"/>
  <c r="FM17" i="72" s="1"/>
  <c r="FN17" i="72" s="1"/>
  <c r="FK23" i="72"/>
  <c r="FM23" i="72" s="1"/>
  <c r="FS23" i="72" s="1"/>
  <c r="EN31" i="72"/>
  <c r="CT25" i="72"/>
  <c r="CV25" i="72" s="1"/>
  <c r="DC25" i="72" s="1"/>
  <c r="HM18" i="72"/>
  <c r="EN28" i="72"/>
  <c r="EN24" i="72"/>
  <c r="HH18" i="72"/>
  <c r="HI18" i="72" s="1"/>
  <c r="CT22" i="72"/>
  <c r="CV22" i="72" s="1"/>
  <c r="DB22" i="72" s="1"/>
  <c r="HJ18" i="72"/>
  <c r="EN32" i="72"/>
  <c r="CT29" i="72"/>
  <c r="FK27" i="72"/>
  <c r="BW24" i="72"/>
  <c r="BY24" i="72" s="1"/>
  <c r="CF24" i="72" s="1"/>
  <c r="EP24" i="72"/>
  <c r="EW24" i="72" s="1"/>
  <c r="EN34" i="72"/>
  <c r="CT17" i="72"/>
  <c r="CV17" i="72" s="1"/>
  <c r="DC17" i="72" s="1"/>
  <c r="EN18" i="72"/>
  <c r="EP18" i="72" s="1"/>
  <c r="EV18" i="72" s="1"/>
  <c r="IJ24" i="72"/>
  <c r="IG24" i="72"/>
  <c r="IK24" i="72"/>
  <c r="IE24" i="72"/>
  <c r="IF24" i="72" s="1"/>
  <c r="IJ15" i="72"/>
  <c r="IK15" i="72"/>
  <c r="IE15" i="72"/>
  <c r="IF15" i="72" s="1"/>
  <c r="IG15" i="72"/>
  <c r="HJ24" i="72"/>
  <c r="HN24" i="72"/>
  <c r="JH16" i="72"/>
  <c r="BW15" i="72"/>
  <c r="BY15" i="72" s="1"/>
  <c r="FK15" i="72"/>
  <c r="FM15" i="72" s="1"/>
  <c r="FS15" i="72" s="1"/>
  <c r="DQ18" i="72"/>
  <c r="DS18" i="72" s="1"/>
  <c r="DY18" i="72" s="1"/>
  <c r="BW22" i="72"/>
  <c r="BY22" i="72" s="1"/>
  <c r="BW31" i="72"/>
  <c r="FK34" i="72"/>
  <c r="BW30" i="72"/>
  <c r="CT26" i="72"/>
  <c r="JC18" i="72"/>
  <c r="JA30" i="72"/>
  <c r="JG30" i="72" s="1"/>
  <c r="IF16" i="72"/>
  <c r="ID28" i="72"/>
  <c r="IJ28" i="72" s="1"/>
  <c r="IF22" i="72"/>
  <c r="ID34" i="72"/>
  <c r="IK34" i="72" s="1"/>
  <c r="IF18" i="72"/>
  <c r="ID30" i="72"/>
  <c r="IK30" i="72" s="1"/>
  <c r="HI16" i="72"/>
  <c r="HG28" i="72"/>
  <c r="HM28" i="72" s="1"/>
  <c r="GL20" i="72"/>
  <c r="GJ32" i="72"/>
  <c r="EN15" i="72"/>
  <c r="EP15" i="72" s="1"/>
  <c r="EN29" i="72"/>
  <c r="CT24" i="72"/>
  <c r="CV24" i="72" s="1"/>
  <c r="DB24" i="72" s="1"/>
  <c r="CT27" i="72"/>
  <c r="EN23" i="72"/>
  <c r="EP23" i="72" s="1"/>
  <c r="EV23" i="72" s="1"/>
  <c r="DQ19" i="72"/>
  <c r="DS19" i="72" s="1"/>
  <c r="DZ19" i="72" s="1"/>
  <c r="DQ32" i="72"/>
  <c r="DQ31" i="72"/>
  <c r="DQ16" i="72"/>
  <c r="DS16" i="72" s="1"/>
  <c r="DZ16" i="72" s="1"/>
  <c r="AZ22" i="72"/>
  <c r="BB22" i="72" s="1"/>
  <c r="BH22" i="72" s="1"/>
  <c r="DQ15" i="72"/>
  <c r="DS15" i="72" s="1"/>
  <c r="DZ15" i="72" s="1"/>
  <c r="DQ20" i="72"/>
  <c r="DS20" i="72" s="1"/>
  <c r="DZ20" i="72" s="1"/>
  <c r="DQ14" i="72"/>
  <c r="DQ29" i="72"/>
  <c r="DQ34" i="72"/>
  <c r="DQ27" i="72"/>
  <c r="CT31" i="72"/>
  <c r="EN26" i="72"/>
  <c r="AZ30" i="72"/>
  <c r="EN33" i="72"/>
  <c r="EN21" i="72"/>
  <c r="EP21" i="72" s="1"/>
  <c r="EQ21" i="72" s="1"/>
  <c r="ER21" i="72" s="1"/>
  <c r="DQ17" i="72"/>
  <c r="DS17" i="72" s="1"/>
  <c r="DZ17" i="72" s="1"/>
  <c r="FK30" i="72"/>
  <c r="EN20" i="72"/>
  <c r="EP20" i="72" s="1"/>
  <c r="EW20" i="72" s="1"/>
  <c r="CT14" i="72"/>
  <c r="EN27" i="72"/>
  <c r="CT23" i="72"/>
  <c r="CV23" i="72" s="1"/>
  <c r="DB23" i="72" s="1"/>
  <c r="DQ23" i="72"/>
  <c r="DS23" i="72" s="1"/>
  <c r="DY23" i="72" s="1"/>
  <c r="EN19" i="72"/>
  <c r="EP19" i="72" s="1"/>
  <c r="ES19" i="72" s="1"/>
  <c r="FK28" i="72"/>
  <c r="CT28" i="72"/>
  <c r="EN17" i="72"/>
  <c r="EP17" i="72" s="1"/>
  <c r="EV17" i="72" s="1"/>
  <c r="DQ21" i="72"/>
  <c r="DS21" i="72" s="1"/>
  <c r="EN30" i="72"/>
  <c r="CT30" i="72"/>
  <c r="EN16" i="72"/>
  <c r="EP16" i="72" s="1"/>
  <c r="EV16" i="72" s="1"/>
  <c r="BW18" i="72"/>
  <c r="BY18" i="72" s="1"/>
  <c r="EN22" i="72"/>
  <c r="EP22" i="72" s="1"/>
  <c r="EQ22" i="72" s="1"/>
  <c r="BW14" i="72"/>
  <c r="FK16" i="72"/>
  <c r="FM16" i="72" s="1"/>
  <c r="FS16" i="72" s="1"/>
  <c r="AZ33" i="72"/>
  <c r="AZ32" i="72"/>
  <c r="AZ21" i="72"/>
  <c r="BB21" i="72" s="1"/>
  <c r="BH21" i="72" s="1"/>
  <c r="BW16" i="72"/>
  <c r="BY16" i="72" s="1"/>
  <c r="BW21" i="72"/>
  <c r="BY21" i="72" s="1"/>
  <c r="DQ28" i="72"/>
  <c r="AZ20" i="72"/>
  <c r="BB20" i="72" s="1"/>
  <c r="BH20" i="72" s="1"/>
  <c r="GK21" i="72"/>
  <c r="AZ31" i="72"/>
  <c r="AZ15" i="72"/>
  <c r="BB15" i="72" s="1"/>
  <c r="BH15" i="72" s="1"/>
  <c r="DQ30" i="72"/>
  <c r="DQ22" i="72"/>
  <c r="DS22" i="72" s="1"/>
  <c r="DT22" i="72" s="1"/>
  <c r="CT19" i="72"/>
  <c r="CV19" i="72" s="1"/>
  <c r="GM21" i="72"/>
  <c r="HN17" i="72"/>
  <c r="AZ23" i="72"/>
  <c r="BB23" i="72" s="1"/>
  <c r="BE23" i="72" s="1"/>
  <c r="DQ26" i="72"/>
  <c r="BW28" i="72"/>
  <c r="BW33" i="72"/>
  <c r="AZ16" i="72"/>
  <c r="BB16" i="72" s="1"/>
  <c r="BI16" i="72" s="1"/>
  <c r="BW26" i="72"/>
  <c r="BW17" i="72"/>
  <c r="BY17" i="72" s="1"/>
  <c r="CT32" i="72"/>
  <c r="FK14" i="72"/>
  <c r="FK18" i="72"/>
  <c r="FM18" i="72" s="1"/>
  <c r="FT18" i="72" s="1"/>
  <c r="BW25" i="72"/>
  <c r="BY25" i="72" s="1"/>
  <c r="AZ26" i="72"/>
  <c r="AZ34" i="72"/>
  <c r="BW23" i="72"/>
  <c r="BY23" i="72" s="1"/>
  <c r="AZ14" i="72"/>
  <c r="AZ29" i="72"/>
  <c r="AZ19" i="72"/>
  <c r="BB19" i="72" s="1"/>
  <c r="BC19" i="72" s="1"/>
  <c r="BD19" i="72" s="1"/>
  <c r="AZ28" i="72"/>
  <c r="AZ17" i="72"/>
  <c r="BB17" i="72" s="1"/>
  <c r="BH17" i="72" s="1"/>
  <c r="DQ24" i="72"/>
  <c r="DS24" i="72" s="1"/>
  <c r="DQ33" i="72"/>
  <c r="FK24" i="72"/>
  <c r="FM24" i="72" s="1"/>
  <c r="CT20" i="72"/>
  <c r="CV20" i="72" s="1"/>
  <c r="DB20" i="72" s="1"/>
  <c r="AZ25" i="72"/>
  <c r="BB25" i="72" s="1"/>
  <c r="FK20" i="72"/>
  <c r="FM20" i="72" s="1"/>
  <c r="FS20" i="72" s="1"/>
  <c r="BW29" i="72"/>
  <c r="CT18" i="72"/>
  <c r="CV18" i="72" s="1"/>
  <c r="DB18" i="72" s="1"/>
  <c r="BW19" i="72"/>
  <c r="BY19" i="72" s="1"/>
  <c r="AZ27" i="72"/>
  <c r="CT33" i="72"/>
  <c r="EN14" i="72"/>
  <c r="BW20" i="72"/>
  <c r="BY20" i="72" s="1"/>
  <c r="HJ20" i="72"/>
  <c r="AZ18" i="72"/>
  <c r="BB18" i="72" s="1"/>
  <c r="BW34" i="72"/>
  <c r="GM19" i="72"/>
  <c r="GP19" i="72"/>
  <c r="DB21" i="72"/>
  <c r="JB21" i="72"/>
  <c r="GQ17" i="72"/>
  <c r="JD21" i="72"/>
  <c r="CY21" i="72"/>
  <c r="JH21" i="72"/>
  <c r="CW21" i="72"/>
  <c r="JH15" i="72"/>
  <c r="JH22" i="72"/>
  <c r="GK19" i="72"/>
  <c r="DT25" i="72"/>
  <c r="DU25" i="72" s="1"/>
  <c r="DZ25" i="72"/>
  <c r="DV25" i="72"/>
  <c r="BE24" i="72"/>
  <c r="BC24" i="72"/>
  <c r="BD24" i="72" s="1"/>
  <c r="BI24" i="72"/>
  <c r="FN21" i="72"/>
  <c r="GQ21" i="72"/>
  <c r="HM24" i="72"/>
  <c r="IG20" i="72"/>
  <c r="IJ20" i="72"/>
  <c r="JD25" i="72"/>
  <c r="JG22" i="72"/>
  <c r="DC16" i="72"/>
  <c r="FP21" i="72"/>
  <c r="FS21" i="72"/>
  <c r="IE20" i="72"/>
  <c r="JB25" i="72"/>
  <c r="JC25" i="72" s="1"/>
  <c r="JG25" i="72"/>
  <c r="IK14" i="72"/>
  <c r="CY23" i="72"/>
  <c r="GM17" i="72"/>
  <c r="JB15" i="72"/>
  <c r="JB22" i="72"/>
  <c r="CW24" i="72"/>
  <c r="GK17" i="72"/>
  <c r="IE21" i="72"/>
  <c r="JD15" i="72"/>
  <c r="IE17" i="72"/>
  <c r="IE30" i="72"/>
  <c r="IF30" i="72" s="1"/>
  <c r="IG25" i="72"/>
  <c r="JG24" i="72"/>
  <c r="IE25" i="72"/>
  <c r="IF25" i="72" s="1"/>
  <c r="IJ19" i="72"/>
  <c r="IK25" i="72"/>
  <c r="JD24" i="72"/>
  <c r="GP14" i="72"/>
  <c r="IG19" i="72"/>
  <c r="JB24" i="72"/>
  <c r="JC24" i="72" s="1"/>
  <c r="GM14" i="72"/>
  <c r="IE19" i="72"/>
  <c r="GK16" i="72"/>
  <c r="GQ16" i="72"/>
  <c r="HM23" i="72"/>
  <c r="HH24" i="72"/>
  <c r="HI24" i="72" s="1"/>
  <c r="HJ21" i="72"/>
  <c r="HH21" i="72"/>
  <c r="GK14" i="72"/>
  <c r="GK22" i="72"/>
  <c r="GM22" i="72"/>
  <c r="GQ22" i="72"/>
  <c r="GM16" i="72"/>
  <c r="ES17" i="72"/>
  <c r="EW17" i="72"/>
  <c r="EQ20" i="72"/>
  <c r="HN21" i="72"/>
  <c r="HN16" i="72"/>
  <c r="HM16" i="72"/>
  <c r="GP18" i="72"/>
  <c r="GM15" i="72"/>
  <c r="GK18" i="72"/>
  <c r="GK15" i="72"/>
  <c r="GM18" i="72"/>
  <c r="GQ15" i="72"/>
  <c r="BE16" i="72"/>
  <c r="JB17" i="72"/>
  <c r="JD17" i="72"/>
  <c r="JH17" i="72"/>
  <c r="ES23" i="72"/>
  <c r="DB15" i="72"/>
  <c r="JB20" i="72"/>
  <c r="JD20" i="72"/>
  <c r="JH20" i="72"/>
  <c r="JB16" i="72"/>
  <c r="JG16" i="72"/>
  <c r="JD14" i="72"/>
  <c r="JB14" i="72"/>
  <c r="JH14" i="72"/>
  <c r="HH20" i="72"/>
  <c r="HN20" i="72"/>
  <c r="HJ23" i="72"/>
  <c r="HH23" i="72"/>
  <c r="HI23" i="72" s="1"/>
  <c r="DT15" i="72"/>
  <c r="JD19" i="72"/>
  <c r="JB19" i="72"/>
  <c r="JH19" i="72"/>
  <c r="JD30" i="72"/>
  <c r="IG17" i="72"/>
  <c r="IK17" i="72"/>
  <c r="IK23" i="72"/>
  <c r="IG21" i="72"/>
  <c r="IG16" i="72"/>
  <c r="IK21" i="72"/>
  <c r="IK16" i="72"/>
  <c r="IE23" i="72"/>
  <c r="IF23" i="72" s="1"/>
  <c r="IG23" i="72"/>
  <c r="HJ14" i="72"/>
  <c r="HJ19" i="72"/>
  <c r="HH14" i="72"/>
  <c r="HH19" i="72"/>
  <c r="HN14" i="72"/>
  <c r="HN19" i="72"/>
  <c r="HJ15" i="72"/>
  <c r="HH17" i="72"/>
  <c r="HJ17" i="72"/>
  <c r="GM25" i="72"/>
  <c r="GM23" i="72"/>
  <c r="GK25" i="72"/>
  <c r="GL25" i="72" s="1"/>
  <c r="GP23" i="72"/>
  <c r="GK23" i="72"/>
  <c r="GL23" i="72" s="1"/>
  <c r="GQ25" i="72"/>
  <c r="FP15" i="72"/>
  <c r="FN15" i="72"/>
  <c r="ES20" i="72"/>
  <c r="EV20" i="72"/>
  <c r="EW16" i="72"/>
  <c r="BC16" i="72"/>
  <c r="IE14" i="72"/>
  <c r="IJ14" i="72"/>
  <c r="HH25" i="72"/>
  <c r="HI25" i="72" s="1"/>
  <c r="HJ25" i="72"/>
  <c r="HN25" i="72"/>
  <c r="EV19" i="72"/>
  <c r="ES25" i="72"/>
  <c r="EQ25" i="72"/>
  <c r="ER25" i="72" s="1"/>
  <c r="EW25" i="72"/>
  <c r="DT20" i="72"/>
  <c r="DY20" i="72"/>
  <c r="DZ23" i="72"/>
  <c r="JH23" i="72"/>
  <c r="JB23" i="72"/>
  <c r="JC23" i="72" s="1"/>
  <c r="JG23" i="72"/>
  <c r="HH15" i="72"/>
  <c r="HN15" i="72"/>
  <c r="HJ22" i="72"/>
  <c r="HH22" i="72"/>
  <c r="HN22" i="72"/>
  <c r="GP24" i="72"/>
  <c r="GM24" i="72"/>
  <c r="GK24" i="72"/>
  <c r="GL24" i="72" s="1"/>
  <c r="ES22" i="72"/>
  <c r="DB17" i="72"/>
  <c r="BE21"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Q89" i="54"/>
  <c r="M97" i="54" s="1"/>
  <c r="M95" i="54" s="1"/>
  <c r="K18" i="36"/>
  <c r="W18" i="36" s="1"/>
  <c r="AB14" i="75"/>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FN19" i="72" l="1"/>
  <c r="BE15" i="72"/>
  <c r="BC22" i="72"/>
  <c r="FT19" i="72"/>
  <c r="FM29" i="72"/>
  <c r="FP19" i="72"/>
  <c r="DT16" i="72"/>
  <c r="ID27" i="72"/>
  <c r="FP17" i="72"/>
  <c r="EW18" i="72"/>
  <c r="CY22" i="72"/>
  <c r="FT17" i="72"/>
  <c r="FP25" i="72"/>
  <c r="CW22" i="72"/>
  <c r="CV34" i="72" s="1"/>
  <c r="DC34" i="72" s="1"/>
  <c r="FS17" i="72"/>
  <c r="BE17" i="72"/>
  <c r="CB24" i="72"/>
  <c r="CW17" i="72"/>
  <c r="CV29" i="72" s="1"/>
  <c r="DC29" i="72" s="1"/>
  <c r="CY17" i="72"/>
  <c r="FP23" i="72"/>
  <c r="EQ19" i="72"/>
  <c r="EP31" i="72" s="1"/>
  <c r="EW23" i="72"/>
  <c r="DT18" i="72"/>
  <c r="DU18" i="72" s="1"/>
  <c r="DY16" i="72"/>
  <c r="EV21" i="72"/>
  <c r="FT25" i="72"/>
  <c r="CW18" i="72"/>
  <c r="CV30" i="72" s="1"/>
  <c r="CW30" i="72" s="1"/>
  <c r="BH19" i="72"/>
  <c r="EQ23" i="72"/>
  <c r="ER23" i="72" s="1"/>
  <c r="CE24" i="72"/>
  <c r="BC21" i="72"/>
  <c r="BD21" i="72" s="1"/>
  <c r="DY15" i="72"/>
  <c r="FN25" i="72"/>
  <c r="FO25" i="72" s="1"/>
  <c r="BH23" i="72"/>
  <c r="CY18" i="72"/>
  <c r="CY24" i="72"/>
  <c r="CW23" i="72"/>
  <c r="DB25" i="72"/>
  <c r="BZ24" i="72"/>
  <c r="CA24" i="72" s="1"/>
  <c r="DV16" i="72"/>
  <c r="FT23" i="72"/>
  <c r="DB16" i="72"/>
  <c r="BC23" i="72"/>
  <c r="BD23" i="72" s="1"/>
  <c r="DV15" i="72"/>
  <c r="BI17" i="72"/>
  <c r="FN23" i="72"/>
  <c r="FO23" i="72" s="1"/>
  <c r="CY15" i="72"/>
  <c r="CY25" i="72"/>
  <c r="CY16" i="72"/>
  <c r="ES18" i="72"/>
  <c r="BC17" i="72"/>
  <c r="BD17" i="72" s="1"/>
  <c r="EW19" i="72"/>
  <c r="ES21" i="72"/>
  <c r="CW15" i="72"/>
  <c r="CV27" i="72" s="1"/>
  <c r="CW25" i="72"/>
  <c r="EQ18" i="72"/>
  <c r="EW21" i="72"/>
  <c r="DC18" i="72"/>
  <c r="BI23" i="72"/>
  <c r="BI21" i="72"/>
  <c r="DT23" i="72"/>
  <c r="DU23" i="72" s="1"/>
  <c r="BE19" i="72"/>
  <c r="DC24" i="72"/>
  <c r="FT22" i="72"/>
  <c r="FP22" i="72"/>
  <c r="FN22" i="72"/>
  <c r="FO17" i="72"/>
  <c r="HJ28" i="72"/>
  <c r="EQ17" i="72"/>
  <c r="DC22" i="72"/>
  <c r="DC23" i="72"/>
  <c r="FT29" i="72"/>
  <c r="FS29" i="72"/>
  <c r="DY17" i="72"/>
  <c r="EQ16" i="72"/>
  <c r="ER16" i="72" s="1"/>
  <c r="HH28" i="72"/>
  <c r="HI28" i="72" s="1"/>
  <c r="DT17" i="72"/>
  <c r="DY19" i="72"/>
  <c r="CY34" i="72"/>
  <c r="EQ24" i="72"/>
  <c r="ER24" i="72" s="1"/>
  <c r="DT19" i="72"/>
  <c r="DV17" i="72"/>
  <c r="DV20" i="72"/>
  <c r="ES16" i="72"/>
  <c r="BI20" i="72"/>
  <c r="EV24" i="72"/>
  <c r="DV19" i="72"/>
  <c r="DV23" i="72"/>
  <c r="HN28" i="72"/>
  <c r="BE20" i="72"/>
  <c r="BH16" i="72"/>
  <c r="CV28" i="72"/>
  <c r="DC28" i="72" s="1"/>
  <c r="HG30" i="72"/>
  <c r="ES24" i="72"/>
  <c r="FT15" i="72"/>
  <c r="BC20" i="72"/>
  <c r="BD20" i="72" s="1"/>
  <c r="BI19" i="72"/>
  <c r="EP33" i="72"/>
  <c r="EV33" i="72" s="1"/>
  <c r="FS24" i="72"/>
  <c r="FN24" i="72"/>
  <c r="FO24" i="72" s="1"/>
  <c r="FP24" i="72"/>
  <c r="FT24" i="72"/>
  <c r="DZ24" i="72"/>
  <c r="DT24" i="72"/>
  <c r="DU24" i="72" s="1"/>
  <c r="DY24" i="72"/>
  <c r="DV24" i="72"/>
  <c r="FN16" i="72"/>
  <c r="FP16" i="72"/>
  <c r="JC14" i="72"/>
  <c r="JA26" i="72"/>
  <c r="BI18" i="72"/>
  <c r="BE18" i="72"/>
  <c r="BC18" i="72"/>
  <c r="BH18" i="72"/>
  <c r="DV22" i="72"/>
  <c r="DY22" i="72"/>
  <c r="DZ22" i="72"/>
  <c r="CE16" i="72"/>
  <c r="CF16" i="72"/>
  <c r="BZ16" i="72"/>
  <c r="CB16" i="72"/>
  <c r="CB22" i="72"/>
  <c r="CF22" i="72"/>
  <c r="BZ22" i="72"/>
  <c r="CE22" i="72"/>
  <c r="BC15" i="72"/>
  <c r="BD15" i="72" s="1"/>
  <c r="FN29" i="72"/>
  <c r="FO29" i="72" s="1"/>
  <c r="JH30" i="72"/>
  <c r="FP20" i="72"/>
  <c r="FT20" i="72"/>
  <c r="FN20" i="72"/>
  <c r="BZ25" i="72"/>
  <c r="CA25" i="72" s="1"/>
  <c r="CE25" i="72"/>
  <c r="CF25" i="72"/>
  <c r="CB25" i="72"/>
  <c r="BE25" i="72"/>
  <c r="BC25" i="72"/>
  <c r="BD25" i="72" s="1"/>
  <c r="BI25" i="72"/>
  <c r="BH25" i="72"/>
  <c r="BI15" i="72"/>
  <c r="IG30" i="72"/>
  <c r="JB30" i="72"/>
  <c r="JC30" i="72" s="1"/>
  <c r="BE22" i="72"/>
  <c r="DB34" i="72"/>
  <c r="DZ18" i="72"/>
  <c r="EN35" i="72"/>
  <c r="EP14" i="72"/>
  <c r="DC20" i="72"/>
  <c r="CW20" i="72"/>
  <c r="CV32" i="72" s="1"/>
  <c r="CY20" i="72"/>
  <c r="AZ35" i="72"/>
  <c r="BB14" i="72"/>
  <c r="FK35" i="72"/>
  <c r="FM14" i="72"/>
  <c r="DY21" i="72"/>
  <c r="DZ21" i="72"/>
  <c r="DT21" i="72"/>
  <c r="DV21" i="72"/>
  <c r="CT35" i="72"/>
  <c r="CV14" i="72"/>
  <c r="EQ15" i="72"/>
  <c r="ES15" i="72"/>
  <c r="EW15" i="72"/>
  <c r="EV15" i="72"/>
  <c r="BZ15" i="72"/>
  <c r="CE15" i="72"/>
  <c r="CF15" i="72"/>
  <c r="CB15" i="72"/>
  <c r="CF20" i="72"/>
  <c r="CB20" i="72"/>
  <c r="CE20" i="72"/>
  <c r="BZ20" i="72"/>
  <c r="IF14" i="72"/>
  <c r="ID26" i="72"/>
  <c r="BI22" i="72"/>
  <c r="HI14" i="72"/>
  <c r="HG26" i="72"/>
  <c r="CW34" i="72"/>
  <c r="FS18" i="72"/>
  <c r="GL14" i="72"/>
  <c r="GJ26" i="72"/>
  <c r="CE23" i="72"/>
  <c r="CB23" i="72"/>
  <c r="BZ23" i="72"/>
  <c r="CA23" i="72" s="1"/>
  <c r="CF23" i="72"/>
  <c r="CE17" i="72"/>
  <c r="CF17" i="72"/>
  <c r="CB17" i="72"/>
  <c r="BZ17" i="72"/>
  <c r="BW35" i="72"/>
  <c r="BY14" i="72"/>
  <c r="FT16" i="72"/>
  <c r="FP18" i="72"/>
  <c r="DV18" i="72"/>
  <c r="IJ30" i="72"/>
  <c r="CV33" i="72"/>
  <c r="CE19" i="72"/>
  <c r="BZ19" i="72"/>
  <c r="CB19" i="72"/>
  <c r="CF19" i="72"/>
  <c r="EW22" i="72"/>
  <c r="EV22" i="72"/>
  <c r="BB31" i="72"/>
  <c r="BC31" i="72" s="1"/>
  <c r="BD31" i="72" s="1"/>
  <c r="EW33" i="72"/>
  <c r="FP29" i="72"/>
  <c r="FN18" i="72"/>
  <c r="FM30" i="72" s="1"/>
  <c r="DB19" i="72"/>
  <c r="CY19" i="72"/>
  <c r="DC19" i="72"/>
  <c r="CW19" i="72"/>
  <c r="CV31" i="72" s="1"/>
  <c r="CE21" i="72"/>
  <c r="CF21" i="72"/>
  <c r="BZ21" i="72"/>
  <c r="CB21" i="72"/>
  <c r="CE18" i="72"/>
  <c r="CF18" i="72"/>
  <c r="CB18" i="72"/>
  <c r="BZ18" i="72"/>
  <c r="DQ35" i="72"/>
  <c r="DS14" i="72"/>
  <c r="JC16" i="72"/>
  <c r="JA28" i="72"/>
  <c r="JC22" i="72"/>
  <c r="JA34" i="72"/>
  <c r="JC19" i="72"/>
  <c r="JA31" i="72"/>
  <c r="JC15" i="72"/>
  <c r="JA27" i="72"/>
  <c r="JC20" i="72"/>
  <c r="JA32" i="72"/>
  <c r="JC17" i="72"/>
  <c r="JA29" i="72"/>
  <c r="JC21" i="72"/>
  <c r="JA33" i="72"/>
  <c r="IF17" i="72"/>
  <c r="ID29" i="72"/>
  <c r="IK28" i="72"/>
  <c r="IG28" i="72"/>
  <c r="IE28" i="72"/>
  <c r="IF28" i="72" s="1"/>
  <c r="IF19" i="72"/>
  <c r="ID31" i="72"/>
  <c r="IF21" i="72"/>
  <c r="ID33" i="72"/>
  <c r="IF20" i="72"/>
  <c r="ID32" i="72"/>
  <c r="IG27" i="72"/>
  <c r="IE27" i="72"/>
  <c r="IF27" i="72" s="1"/>
  <c r="IJ27" i="72"/>
  <c r="IK27" i="72"/>
  <c r="IG34" i="72"/>
  <c r="IE34" i="72"/>
  <c r="IF34" i="72" s="1"/>
  <c r="IJ34" i="72"/>
  <c r="HI22" i="72"/>
  <c r="HG34" i="72"/>
  <c r="HI20" i="72"/>
  <c r="HG32" i="72"/>
  <c r="HI21" i="72"/>
  <c r="HG33" i="72"/>
  <c r="HI15" i="72"/>
  <c r="HG27" i="72"/>
  <c r="HI17" i="72"/>
  <c r="HG29" i="72"/>
  <c r="HI19" i="72"/>
  <c r="HG31" i="72"/>
  <c r="HM30" i="72"/>
  <c r="GL18" i="72"/>
  <c r="GJ30" i="72"/>
  <c r="GL17" i="72"/>
  <c r="GJ29" i="72"/>
  <c r="GL19" i="72"/>
  <c r="GJ31" i="72"/>
  <c r="GL22" i="72"/>
  <c r="GJ34" i="72"/>
  <c r="GL16" i="72"/>
  <c r="GJ28" i="72"/>
  <c r="GL21" i="72"/>
  <c r="GJ33" i="72"/>
  <c r="GP32" i="72"/>
  <c r="GM32" i="72"/>
  <c r="GQ32" i="72"/>
  <c r="GK32" i="72"/>
  <c r="GL32" i="72" s="1"/>
  <c r="GL15" i="72"/>
  <c r="GJ27" i="72"/>
  <c r="FO19" i="72"/>
  <c r="FM31" i="72"/>
  <c r="FO18" i="72"/>
  <c r="FO16" i="72"/>
  <c r="FM28" i="72"/>
  <c r="FO15" i="72"/>
  <c r="FM27" i="72"/>
  <c r="FO21" i="72"/>
  <c r="FM33" i="72"/>
  <c r="ER20" i="72"/>
  <c r="EP32" i="72"/>
  <c r="ER18" i="72"/>
  <c r="EP30" i="72"/>
  <c r="ER17" i="72"/>
  <c r="EP29" i="72"/>
  <c r="ER22" i="72"/>
  <c r="EP34" i="72"/>
  <c r="EP28" i="72"/>
  <c r="DU17" i="72"/>
  <c r="DS29" i="72"/>
  <c r="DU22" i="72"/>
  <c r="DS34" i="72"/>
  <c r="DU19" i="72"/>
  <c r="DS31" i="72"/>
  <c r="DS30" i="72"/>
  <c r="DU20" i="72"/>
  <c r="DS32" i="72"/>
  <c r="DU16" i="72"/>
  <c r="DS28" i="72"/>
  <c r="DU15" i="72"/>
  <c r="DS27" i="72"/>
  <c r="DB30" i="72"/>
  <c r="DB29" i="72"/>
  <c r="CY29" i="72"/>
  <c r="CW29" i="72"/>
  <c r="BB29" i="72"/>
  <c r="BD16" i="72"/>
  <c r="BB28" i="72"/>
  <c r="BB33" i="72"/>
  <c r="BD22" i="72"/>
  <c r="BB34" i="72"/>
  <c r="BH31" i="72"/>
  <c r="BI31" i="72"/>
  <c r="BE31" i="72"/>
  <c r="AH39" i="72"/>
  <c r="AH38" i="72"/>
  <c r="AH37" i="72" s="1"/>
  <c r="X16" i="75"/>
  <c r="K17" i="36"/>
  <c r="K25" i="36" s="1"/>
  <c r="I22" i="12"/>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17" i="72"/>
  <c r="T17" i="72"/>
  <c r="C24" i="72"/>
  <c r="C20" i="72"/>
  <c r="C18" i="72"/>
  <c r="C25" i="72"/>
  <c r="C22" i="72"/>
  <c r="C19" i="72"/>
  <c r="C15"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D14" i="72"/>
  <c r="X32" i="72"/>
  <c r="AD20" i="72"/>
  <c r="AC28" i="72"/>
  <c r="AD18" i="72"/>
  <c r="T19" i="72"/>
  <c r="AD28" i="72"/>
  <c r="T16" i="72"/>
  <c r="X33" i="72"/>
  <c r="AD21" i="72"/>
  <c r="AC24" i="72"/>
  <c r="AD19" i="72"/>
  <c r="AB23" i="72"/>
  <c r="AC15" i="72"/>
  <c r="X26" i="72"/>
  <c r="AB17" i="72"/>
  <c r="AC30" i="72"/>
  <c r="X27" i="72"/>
  <c r="X17" i="72"/>
  <c r="X21" i="72"/>
  <c r="AB18" i="72"/>
  <c r="X24" i="72"/>
  <c r="AC23" i="72"/>
  <c r="AD31" i="72"/>
  <c r="T15" i="72"/>
  <c r="AB24" i="72"/>
  <c r="X23" i="72"/>
  <c r="X31" i="72"/>
  <c r="T20" i="72"/>
  <c r="T24" i="72"/>
  <c r="AB22" i="72"/>
  <c r="AD30" i="72"/>
  <c r="AD22" i="72"/>
  <c r="AB25" i="72"/>
  <c r="X19" i="72"/>
  <c r="AD26" i="72"/>
  <c r="T22" i="72"/>
  <c r="AB20" i="72"/>
  <c r="AB15" i="72"/>
  <c r="AC17" i="72"/>
  <c r="AD32" i="72"/>
  <c r="AC21" i="72"/>
  <c r="AC19" i="72"/>
  <c r="AD27" i="72"/>
  <c r="X25" i="72"/>
  <c r="X15" i="72"/>
  <c r="X28" i="72"/>
  <c r="AC26" i="72"/>
  <c r="T18" i="72"/>
  <c r="AC29" i="72"/>
  <c r="AD25" i="72"/>
  <c r="AD16" i="72"/>
  <c r="AD29" i="72"/>
  <c r="AC22" i="72"/>
  <c r="X29" i="72"/>
  <c r="AC18" i="72"/>
  <c r="X14" i="72"/>
  <c r="AD24" i="72"/>
  <c r="AD17" i="72"/>
  <c r="X22" i="72"/>
  <c r="AC34" i="72"/>
  <c r="AC16" i="72"/>
  <c r="AB14" i="72"/>
  <c r="X34" i="72"/>
  <c r="X30" i="72"/>
  <c r="AB19" i="72"/>
  <c r="AC31" i="72"/>
  <c r="AC27" i="72"/>
  <c r="AC25" i="72"/>
  <c r="X18" i="72"/>
  <c r="X20" i="72"/>
  <c r="T25" i="72"/>
  <c r="X16" i="72"/>
  <c r="T21" i="72"/>
  <c r="AC14" i="72"/>
  <c r="T23" i="72"/>
  <c r="AC20" i="72"/>
  <c r="AA7" i="75"/>
  <c r="L3" i="64"/>
  <c r="DB27" i="72" l="1"/>
  <c r="CW27" i="72"/>
  <c r="CY28" i="72"/>
  <c r="ER19" i="72"/>
  <c r="BB32" i="72"/>
  <c r="DB28" i="72"/>
  <c r="CW28" i="72"/>
  <c r="CY30" i="72"/>
  <c r="BB27" i="72"/>
  <c r="BE27" i="72" s="1"/>
  <c r="DC30" i="72"/>
  <c r="DC27" i="72"/>
  <c r="CY27" i="72"/>
  <c r="FO22" i="72"/>
  <c r="FM34" i="72"/>
  <c r="ID35" i="72"/>
  <c r="HN30" i="72"/>
  <c r="HJ30" i="72"/>
  <c r="HH30" i="72"/>
  <c r="HI30" i="72" s="1"/>
  <c r="ES33" i="72"/>
  <c r="EQ33" i="72"/>
  <c r="ER33" i="72" s="1"/>
  <c r="HM26" i="72"/>
  <c r="HN26" i="72"/>
  <c r="HH26" i="72"/>
  <c r="HI26" i="72" s="1"/>
  <c r="HJ26" i="72"/>
  <c r="ER15" i="72"/>
  <c r="EP27" i="72"/>
  <c r="DB14" i="72"/>
  <c r="CW14" i="72"/>
  <c r="CV26" i="72" s="1"/>
  <c r="DC14" i="72"/>
  <c r="CY14" i="72"/>
  <c r="BE14" i="72"/>
  <c r="BI14" i="72"/>
  <c r="BC14" i="72"/>
  <c r="BH14" i="72"/>
  <c r="BD18" i="72"/>
  <c r="BB30" i="72"/>
  <c r="CA19" i="72"/>
  <c r="BY31" i="72"/>
  <c r="CE14" i="72"/>
  <c r="CF14" i="72"/>
  <c r="BZ14" i="72"/>
  <c r="CB14" i="72"/>
  <c r="CA16" i="72"/>
  <c r="BY28" i="72"/>
  <c r="CA21" i="72"/>
  <c r="BY33" i="72"/>
  <c r="IJ26" i="72"/>
  <c r="IK26" i="72"/>
  <c r="IE26" i="72"/>
  <c r="IF26" i="72" s="1"/>
  <c r="IG26" i="72"/>
  <c r="DV14" i="72"/>
  <c r="DY14" i="72"/>
  <c r="DT14" i="72"/>
  <c r="DZ14" i="72"/>
  <c r="DC33" i="72"/>
  <c r="CY33" i="72"/>
  <c r="CW33" i="72"/>
  <c r="DB33" i="72"/>
  <c r="CA17" i="72"/>
  <c r="BY29" i="72"/>
  <c r="GK26" i="72"/>
  <c r="GL26" i="72" s="1"/>
  <c r="GQ26" i="72"/>
  <c r="GM26" i="72"/>
  <c r="GP26" i="72"/>
  <c r="CA15" i="72"/>
  <c r="BY27" i="72"/>
  <c r="DU21" i="72"/>
  <c r="DS33" i="72"/>
  <c r="DC32" i="72"/>
  <c r="CY32" i="72"/>
  <c r="CW32" i="72"/>
  <c r="DB32" i="72"/>
  <c r="JH26" i="72"/>
  <c r="JB26" i="72"/>
  <c r="JC26" i="72" s="1"/>
  <c r="JG26" i="72"/>
  <c r="JD26" i="72"/>
  <c r="CA20" i="72"/>
  <c r="BY32" i="72"/>
  <c r="CA18" i="72"/>
  <c r="BY30" i="72"/>
  <c r="DC31" i="72"/>
  <c r="DB31" i="72"/>
  <c r="CW31" i="72"/>
  <c r="CY31" i="72"/>
  <c r="EV14" i="72"/>
  <c r="EW14" i="72"/>
  <c r="ES14" i="72"/>
  <c r="EQ14" i="72"/>
  <c r="CA22" i="72"/>
  <c r="BY34" i="72"/>
  <c r="C34" i="72" s="1"/>
  <c r="FS14" i="72"/>
  <c r="FP14" i="72"/>
  <c r="FT14" i="72"/>
  <c r="FN14" i="72"/>
  <c r="FO20" i="72"/>
  <c r="FM32" i="72"/>
  <c r="JB27" i="72"/>
  <c r="JG27" i="72"/>
  <c r="JD27" i="72"/>
  <c r="JA35" i="72"/>
  <c r="JH27" i="72"/>
  <c r="JG33" i="72"/>
  <c r="JH33" i="72"/>
  <c r="JD33" i="72"/>
  <c r="JB33" i="72"/>
  <c r="JC33" i="72" s="1"/>
  <c r="JG31" i="72"/>
  <c r="JB31" i="72"/>
  <c r="JC31" i="72" s="1"/>
  <c r="JD31" i="72"/>
  <c r="JH31" i="72"/>
  <c r="JG29" i="72"/>
  <c r="JH29" i="72"/>
  <c r="JD29" i="72"/>
  <c r="JB29" i="72"/>
  <c r="JC29" i="72" s="1"/>
  <c r="JH34" i="72"/>
  <c r="JG34" i="72"/>
  <c r="JB34" i="72"/>
  <c r="JC34" i="72" s="1"/>
  <c r="JD34" i="72"/>
  <c r="JG32" i="72"/>
  <c r="JD32" i="72"/>
  <c r="JB32" i="72"/>
  <c r="JC32" i="72" s="1"/>
  <c r="JH32" i="72"/>
  <c r="JG28" i="72"/>
  <c r="JD28" i="72"/>
  <c r="JB28" i="72"/>
  <c r="JC28" i="72" s="1"/>
  <c r="JH28" i="72"/>
  <c r="IJ31" i="72"/>
  <c r="IE31" i="72"/>
  <c r="IF31" i="72" s="1"/>
  <c r="IK31" i="72"/>
  <c r="IG31" i="72"/>
  <c r="IJ32" i="72"/>
  <c r="IE32" i="72"/>
  <c r="IF32" i="72" s="1"/>
  <c r="IK32" i="72"/>
  <c r="IG32" i="72"/>
  <c r="IE33" i="72"/>
  <c r="IF33" i="72" s="1"/>
  <c r="IK33" i="72"/>
  <c r="IJ33" i="72"/>
  <c r="IG33" i="72"/>
  <c r="IJ29" i="72"/>
  <c r="IK29" i="72"/>
  <c r="IE29" i="72"/>
  <c r="IF29" i="72" s="1"/>
  <c r="IG29" i="72"/>
  <c r="HM27" i="72"/>
  <c r="HH27" i="72"/>
  <c r="HJ27" i="72"/>
  <c r="HG35" i="72"/>
  <c r="HN27" i="72"/>
  <c r="HJ33" i="72"/>
  <c r="HM33" i="72"/>
  <c r="HN33" i="72"/>
  <c r="HH33" i="72"/>
  <c r="HI33" i="72" s="1"/>
  <c r="HN31" i="72"/>
  <c r="HH31" i="72"/>
  <c r="HI31" i="72" s="1"/>
  <c r="HJ31" i="72"/>
  <c r="HM31" i="72"/>
  <c r="HM32" i="72"/>
  <c r="HH32" i="72"/>
  <c r="HI32" i="72" s="1"/>
  <c r="HJ32" i="72"/>
  <c r="HN32" i="72"/>
  <c r="HM29" i="72"/>
  <c r="HH29" i="72"/>
  <c r="HI29" i="72" s="1"/>
  <c r="HN29" i="72"/>
  <c r="HJ29" i="72"/>
  <c r="HM34" i="72"/>
  <c r="HN34" i="72"/>
  <c r="HH34" i="72"/>
  <c r="HI34" i="72" s="1"/>
  <c r="HJ34" i="72"/>
  <c r="GQ34" i="72"/>
  <c r="GK34" i="72"/>
  <c r="GL34" i="72" s="1"/>
  <c r="GP34" i="72"/>
  <c r="GM34" i="72"/>
  <c r="GP31" i="72"/>
  <c r="GQ31" i="72"/>
  <c r="GM31" i="72"/>
  <c r="GK31" i="72"/>
  <c r="GL31" i="72" s="1"/>
  <c r="T34" i="72"/>
  <c r="GQ33" i="72"/>
  <c r="GK33" i="72"/>
  <c r="GL33" i="72" s="1"/>
  <c r="GM33" i="72"/>
  <c r="GP33" i="72"/>
  <c r="GP29" i="72"/>
  <c r="GQ29" i="72"/>
  <c r="GK29" i="72"/>
  <c r="GL29" i="72" s="1"/>
  <c r="GM29" i="72"/>
  <c r="AB34" i="72"/>
  <c r="AE34" i="72" s="1"/>
  <c r="M30" i="70" s="1"/>
  <c r="GP27" i="72"/>
  <c r="GQ27" i="72"/>
  <c r="GK27" i="72"/>
  <c r="GM27" i="72"/>
  <c r="GJ35" i="72"/>
  <c r="GQ28" i="72"/>
  <c r="GP28" i="72"/>
  <c r="GK28" i="72"/>
  <c r="GL28" i="72" s="1"/>
  <c r="GM28" i="72"/>
  <c r="GP30" i="72"/>
  <c r="GM30" i="72"/>
  <c r="GK30" i="72"/>
  <c r="GL30" i="72" s="1"/>
  <c r="GQ30" i="72"/>
  <c r="FS28" i="72"/>
  <c r="FP28" i="72"/>
  <c r="FN28" i="72"/>
  <c r="FO28" i="72" s="1"/>
  <c r="FT28" i="72"/>
  <c r="FT33" i="72"/>
  <c r="FN33" i="72"/>
  <c r="FO33" i="72" s="1"/>
  <c r="FP33" i="72"/>
  <c r="FS33" i="72"/>
  <c r="FT30" i="72"/>
  <c r="FP30" i="72"/>
  <c r="FN30" i="72"/>
  <c r="FO30" i="72" s="1"/>
  <c r="FS30" i="72"/>
  <c r="FS27" i="72"/>
  <c r="FN27" i="72"/>
  <c r="FT27" i="72"/>
  <c r="FP27" i="72"/>
  <c r="FT31" i="72"/>
  <c r="FS31" i="72"/>
  <c r="FN31" i="72"/>
  <c r="FO31" i="72" s="1"/>
  <c r="FP31" i="72"/>
  <c r="ES34" i="72"/>
  <c r="EV34" i="72"/>
  <c r="EW34" i="72"/>
  <c r="EQ34" i="72"/>
  <c r="ER34" i="72" s="1"/>
  <c r="EW28" i="72"/>
  <c r="ES28" i="72"/>
  <c r="EQ28" i="72"/>
  <c r="EV28" i="72"/>
  <c r="EV29" i="72"/>
  <c r="EW29" i="72"/>
  <c r="EQ29" i="72"/>
  <c r="ER29" i="72" s="1"/>
  <c r="ES29" i="72"/>
  <c r="EV30" i="72"/>
  <c r="ES30" i="72"/>
  <c r="EQ30" i="72"/>
  <c r="ER30" i="72" s="1"/>
  <c r="EW30" i="72"/>
  <c r="EV31" i="72"/>
  <c r="EQ31" i="72"/>
  <c r="ER31" i="72" s="1"/>
  <c r="EW31" i="72"/>
  <c r="ES31" i="72"/>
  <c r="ES32" i="72"/>
  <c r="EV32" i="72"/>
  <c r="EW32" i="72"/>
  <c r="EQ32" i="72"/>
  <c r="ER32" i="72" s="1"/>
  <c r="DY30" i="72"/>
  <c r="DT30" i="72"/>
  <c r="DU30" i="72" s="1"/>
  <c r="DV30" i="72"/>
  <c r="DZ30" i="72"/>
  <c r="DV27" i="72"/>
  <c r="DT27" i="72"/>
  <c r="DZ27" i="72"/>
  <c r="DY27" i="72"/>
  <c r="DZ31" i="72"/>
  <c r="DV31" i="72"/>
  <c r="DY31" i="72"/>
  <c r="DT31" i="72"/>
  <c r="DU31" i="72" s="1"/>
  <c r="DZ28" i="72"/>
  <c r="DV28" i="72"/>
  <c r="DT28" i="72"/>
  <c r="DU28" i="72" s="1"/>
  <c r="DY28" i="72"/>
  <c r="DY34" i="72"/>
  <c r="DT34" i="72"/>
  <c r="DU34" i="72" s="1"/>
  <c r="DV34" i="72"/>
  <c r="DZ34" i="72"/>
  <c r="C28" i="72"/>
  <c r="D26" i="76" s="1"/>
  <c r="DY32" i="72"/>
  <c r="DZ32" i="72"/>
  <c r="DV32" i="72"/>
  <c r="DT32" i="72"/>
  <c r="DU32" i="72" s="1"/>
  <c r="DT29" i="72"/>
  <c r="DU29" i="72" s="1"/>
  <c r="DY29" i="72"/>
  <c r="DV29" i="72"/>
  <c r="DZ29" i="72"/>
  <c r="BC33" i="72"/>
  <c r="BD33" i="72" s="1"/>
  <c r="BE33" i="72"/>
  <c r="BI33" i="72"/>
  <c r="BH33" i="72"/>
  <c r="BI28" i="72"/>
  <c r="BE28" i="72"/>
  <c r="BC28" i="72"/>
  <c r="BH28" i="72"/>
  <c r="T28" i="72"/>
  <c r="Y28" i="72" s="1"/>
  <c r="BH29" i="72"/>
  <c r="BC29" i="72"/>
  <c r="BD29" i="72" s="1"/>
  <c r="BE29" i="72"/>
  <c r="BI29" i="72"/>
  <c r="AB28" i="72"/>
  <c r="BC34" i="72"/>
  <c r="BD34" i="72" s="1"/>
  <c r="BH34" i="72"/>
  <c r="BE34" i="72"/>
  <c r="BI34" i="72"/>
  <c r="BI32" i="72"/>
  <c r="BH32" i="72"/>
  <c r="BC32" i="72"/>
  <c r="BD32" i="72" s="1"/>
  <c r="BE32" i="72"/>
  <c r="BH27" i="72"/>
  <c r="AH40" i="72"/>
  <c r="W10" i="76"/>
  <c r="B4" i="43"/>
  <c r="B5" i="43"/>
  <c r="D20" i="76"/>
  <c r="N22" i="72"/>
  <c r="AQ22" i="72" s="1"/>
  <c r="L22" i="72"/>
  <c r="I22" i="72"/>
  <c r="J22" i="72"/>
  <c r="K22" i="72"/>
  <c r="D19" i="76"/>
  <c r="L21" i="72"/>
  <c r="I21" i="72"/>
  <c r="N21" i="72"/>
  <c r="AQ21" i="72" s="1"/>
  <c r="K21" i="72"/>
  <c r="J21" i="72"/>
  <c r="D13" i="76"/>
  <c r="J15" i="72"/>
  <c r="K15" i="72"/>
  <c r="L15" i="72"/>
  <c r="N15" i="72"/>
  <c r="AQ15" i="72" s="1"/>
  <c r="I15" i="72"/>
  <c r="D18" i="76"/>
  <c r="N20" i="72"/>
  <c r="AQ20" i="72" s="1"/>
  <c r="J20" i="72"/>
  <c r="L20" i="72"/>
  <c r="I20" i="72"/>
  <c r="K20"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12" i="76"/>
  <c r="L14" i="72"/>
  <c r="J14" i="72"/>
  <c r="K14" i="72"/>
  <c r="N14" i="72"/>
  <c r="AQ14" i="72" s="1"/>
  <c r="I14" i="72"/>
  <c r="D16" i="76"/>
  <c r="K18" i="72"/>
  <c r="I18" i="72"/>
  <c r="J18" i="72"/>
  <c r="L18" i="72"/>
  <c r="N18" i="72"/>
  <c r="AQ18" i="72" s="1"/>
  <c r="D14" i="76"/>
  <c r="N16" i="72"/>
  <c r="AQ16" i="72" s="1"/>
  <c r="I16" i="72"/>
  <c r="J16" i="72"/>
  <c r="L16" i="72"/>
  <c r="K16" i="72"/>
  <c r="K26" i="36"/>
  <c r="G6" i="54" s="1"/>
  <c r="W17" i="36"/>
  <c r="AB7" i="75"/>
  <c r="AU21" i="72"/>
  <c r="W17" i="70" s="1"/>
  <c r="AU20" i="72"/>
  <c r="W16" i="70" s="1"/>
  <c r="AU25" i="72"/>
  <c r="W21" i="70" s="1"/>
  <c r="AU23" i="72"/>
  <c r="W19" i="70" s="1"/>
  <c r="AU15" i="72"/>
  <c r="W11" i="70" s="1"/>
  <c r="AU19" i="72"/>
  <c r="W15" i="70" s="1"/>
  <c r="AU22" i="72"/>
  <c r="W18" i="70" s="1"/>
  <c r="AU18" i="72"/>
  <c r="W14" i="70" s="1"/>
  <c r="AU17" i="72"/>
  <c r="W13" i="70" s="1"/>
  <c r="AU24" i="72"/>
  <c r="W20" i="70" s="1"/>
  <c r="AN14" i="72"/>
  <c r="AJ14" i="72" s="1"/>
  <c r="AU14" i="72" s="1"/>
  <c r="AI35" i="72"/>
  <c r="AK35" i="72" s="1"/>
  <c r="F17" i="72"/>
  <c r="G15" i="76" s="1"/>
  <c r="F23" i="72"/>
  <c r="G21" i="76" s="1"/>
  <c r="F16" i="72"/>
  <c r="G14" i="76" s="1"/>
  <c r="F18" i="72"/>
  <c r="G16" i="76" s="1"/>
  <c r="F22" i="72"/>
  <c r="G20" i="76" s="1"/>
  <c r="F20" i="72"/>
  <c r="G18" i="76" s="1"/>
  <c r="F21" i="72"/>
  <c r="G19" i="76" s="1"/>
  <c r="F25" i="72"/>
  <c r="G23" i="76" s="1"/>
  <c r="F15" i="72"/>
  <c r="G13" i="76" s="1"/>
  <c r="F19" i="72"/>
  <c r="G17" i="76" s="1"/>
  <c r="F24" i="72"/>
  <c r="G22" i="76" s="1"/>
  <c r="D19" i="72"/>
  <c r="E17" i="76" s="1"/>
  <c r="D18" i="72"/>
  <c r="E16" i="76" s="1"/>
  <c r="D21" i="72"/>
  <c r="E19" i="76" s="1"/>
  <c r="D22" i="72"/>
  <c r="E20" i="76" s="1"/>
  <c r="D25" i="72"/>
  <c r="E23" i="76" s="1"/>
  <c r="D17" i="72"/>
  <c r="E15" i="76" s="1"/>
  <c r="D15" i="72"/>
  <c r="E13" i="76" s="1"/>
  <c r="D23" i="72"/>
  <c r="E21" i="76" s="1"/>
  <c r="D24" i="72"/>
  <c r="E22" i="76" s="1"/>
  <c r="D20" i="72"/>
  <c r="E18" i="76" s="1"/>
  <c r="D16" i="72"/>
  <c r="E14" i="76" s="1"/>
  <c r="L7" i="64"/>
  <c r="K44" i="64"/>
  <c r="S49" i="72"/>
  <c r="H6" i="12" s="1"/>
  <c r="AF15" i="72"/>
  <c r="AE21" i="72"/>
  <c r="M17" i="70" s="1"/>
  <c r="AF23" i="72"/>
  <c r="W25" i="72"/>
  <c r="U17" i="72"/>
  <c r="AF16" i="72"/>
  <c r="AE16" i="72"/>
  <c r="M12" i="70" s="1"/>
  <c r="AF21" i="72"/>
  <c r="Y16" i="72"/>
  <c r="W24" i="72"/>
  <c r="W23" i="72"/>
  <c r="W21" i="72"/>
  <c r="U20" i="72"/>
  <c r="W19" i="72"/>
  <c r="W15" i="72"/>
  <c r="W16" i="72"/>
  <c r="U19" i="72"/>
  <c r="AF14" i="72"/>
  <c r="W22" i="72"/>
  <c r="AA10" i="75"/>
  <c r="AF18" i="72"/>
  <c r="W18" i="72"/>
  <c r="U24" i="72"/>
  <c r="AF20" i="72"/>
  <c r="Y19" i="72"/>
  <c r="U21" i="72"/>
  <c r="U15" i="72"/>
  <c r="U22" i="72"/>
  <c r="U23" i="72"/>
  <c r="W17" i="72"/>
  <c r="W20" i="72"/>
  <c r="AE23" i="72"/>
  <c r="M19" i="70" s="1"/>
  <c r="U16" i="72"/>
  <c r="Y22" i="72"/>
  <c r="AE24" i="72"/>
  <c r="M20" i="70" s="1"/>
  <c r="AE17" i="72"/>
  <c r="M13" i="70" s="1"/>
  <c r="AE14" i="72"/>
  <c r="M10" i="70" s="1"/>
  <c r="Y14" i="72"/>
  <c r="AF25" i="72"/>
  <c r="AE20" i="72"/>
  <c r="M16" i="70" s="1"/>
  <c r="AE19" i="72"/>
  <c r="M15" i="70" s="1"/>
  <c r="U25" i="72"/>
  <c r="Y20" i="72"/>
  <c r="Y34" i="72"/>
  <c r="Y15" i="72"/>
  <c r="U18" i="72"/>
  <c r="AE22" i="72"/>
  <c r="M18" i="70" s="1"/>
  <c r="AF22" i="72"/>
  <c r="AE18" i="72"/>
  <c r="M14" i="70" s="1"/>
  <c r="Y24" i="72"/>
  <c r="AE15" i="72"/>
  <c r="M11" i="70" s="1"/>
  <c r="AF24" i="72"/>
  <c r="AE25" i="72"/>
  <c r="M21" i="70" s="1"/>
  <c r="X35" i="72"/>
  <c r="Y18" i="72"/>
  <c r="Y21" i="72"/>
  <c r="Y25" i="72"/>
  <c r="Y23" i="72"/>
  <c r="AA12" i="75"/>
  <c r="AD35" i="72"/>
  <c r="AA9" i="75"/>
  <c r="AF17" i="72"/>
  <c r="AC35" i="72"/>
  <c r="AF19" i="72"/>
  <c r="Y17" i="72"/>
  <c r="W14" i="72"/>
  <c r="IK35" i="72" l="1"/>
  <c r="ID10" i="72" s="1"/>
  <c r="E45" i="43" s="1"/>
  <c r="G45" i="43" s="1"/>
  <c r="D14" i="72"/>
  <c r="E12" i="76" s="1"/>
  <c r="U14" i="72"/>
  <c r="BC27" i="72"/>
  <c r="BD27" i="72" s="1"/>
  <c r="T33" i="72"/>
  <c r="Y33" i="72" s="1"/>
  <c r="BI27" i="72"/>
  <c r="J34" i="72"/>
  <c r="P30" i="70" s="1"/>
  <c r="L34" i="72"/>
  <c r="N34" i="72"/>
  <c r="AQ34" i="72" s="1"/>
  <c r="D32" i="76"/>
  <c r="K34" i="72"/>
  <c r="Q30" i="70" s="1"/>
  <c r="I34" i="72"/>
  <c r="O30" i="70" s="1"/>
  <c r="F14" i="72"/>
  <c r="G12" i="76" s="1"/>
  <c r="FT34" i="72"/>
  <c r="FP34" i="72"/>
  <c r="FN34" i="72"/>
  <c r="FO34" i="72" s="1"/>
  <c r="FS34" i="72"/>
  <c r="IF35" i="72"/>
  <c r="AB33" i="72"/>
  <c r="AU33" i="72" s="1"/>
  <c r="W29" i="70" s="1"/>
  <c r="T27" i="72"/>
  <c r="Y27" i="72" s="1"/>
  <c r="AB27" i="72"/>
  <c r="CB27" i="72"/>
  <c r="CE27" i="72"/>
  <c r="CF27" i="72"/>
  <c r="C27" i="72"/>
  <c r="BZ27" i="72"/>
  <c r="CA27" i="72" s="1"/>
  <c r="FO14" i="72"/>
  <c r="FM26" i="72"/>
  <c r="CA14" i="72"/>
  <c r="BY26" i="72"/>
  <c r="GM35" i="72"/>
  <c r="IG35" i="72"/>
  <c r="BD14" i="72"/>
  <c r="BB26" i="72"/>
  <c r="EQ27" i="72"/>
  <c r="ER27" i="72" s="1"/>
  <c r="EV27" i="72"/>
  <c r="ES27" i="72"/>
  <c r="EW27" i="72"/>
  <c r="CF32" i="72"/>
  <c r="CB32" i="72"/>
  <c r="AB32" i="72"/>
  <c r="BZ32" i="72"/>
  <c r="T32" i="72"/>
  <c r="Y32" i="72" s="1"/>
  <c r="C32" i="72"/>
  <c r="CE32" i="72"/>
  <c r="BZ33" i="72"/>
  <c r="CB33" i="72"/>
  <c r="W33" i="72" s="1"/>
  <c r="CE33" i="72"/>
  <c r="CF33" i="72"/>
  <c r="C33" i="72"/>
  <c r="CF31" i="72"/>
  <c r="CB31" i="72"/>
  <c r="C31" i="72"/>
  <c r="BZ31" i="72"/>
  <c r="CE31" i="72"/>
  <c r="T31" i="72"/>
  <c r="Y31" i="72" s="1"/>
  <c r="AB31" i="72"/>
  <c r="IJ35" i="72"/>
  <c r="ID9" i="72" s="1"/>
  <c r="D45" i="43" s="1"/>
  <c r="F45" i="43" s="1"/>
  <c r="CF34" i="72"/>
  <c r="BZ34" i="72"/>
  <c r="CB34" i="72"/>
  <c r="CE34" i="72"/>
  <c r="DU14" i="72"/>
  <c r="DS26" i="72"/>
  <c r="DT33" i="72"/>
  <c r="DU33" i="72" s="1"/>
  <c r="DV33" i="72"/>
  <c r="DY33" i="72"/>
  <c r="DZ33" i="72"/>
  <c r="T29" i="72"/>
  <c r="Y29" i="72" s="1"/>
  <c r="AB29" i="72"/>
  <c r="C29" i="72"/>
  <c r="CE29" i="72"/>
  <c r="CF29" i="72"/>
  <c r="CB29" i="72"/>
  <c r="BZ29" i="72"/>
  <c r="CB28" i="72"/>
  <c r="W28" i="72" s="1"/>
  <c r="CF28" i="72"/>
  <c r="BZ28" i="72"/>
  <c r="CA28" i="72" s="1"/>
  <c r="CE28" i="72"/>
  <c r="FS32" i="72"/>
  <c r="FP32" i="72"/>
  <c r="FT32" i="72"/>
  <c r="FN32" i="72"/>
  <c r="FO32" i="72" s="1"/>
  <c r="ER14" i="72"/>
  <c r="EP26" i="72"/>
  <c r="BZ30" i="72"/>
  <c r="CA30" i="72" s="1"/>
  <c r="CB30" i="72"/>
  <c r="CF30" i="72"/>
  <c r="CE30" i="72"/>
  <c r="BH30" i="72"/>
  <c r="BC30" i="72"/>
  <c r="BE30" i="72"/>
  <c r="BI30" i="72"/>
  <c r="C30" i="72"/>
  <c r="T30" i="72"/>
  <c r="Y30" i="72" s="1"/>
  <c r="AB30" i="72"/>
  <c r="DC26" i="72"/>
  <c r="DC35" i="72" s="1"/>
  <c r="CW26" i="72"/>
  <c r="CW35" i="72" s="1"/>
  <c r="F17" i="36" s="1"/>
  <c r="CY26" i="72"/>
  <c r="CY35" i="72" s="1"/>
  <c r="DB26" i="72"/>
  <c r="DB35" i="72" s="1"/>
  <c r="CV35" i="72"/>
  <c r="JH35" i="72"/>
  <c r="JA10" i="72" s="1"/>
  <c r="E46" i="43" s="1"/>
  <c r="G46" i="43" s="1"/>
  <c r="JD35" i="72"/>
  <c r="JG35" i="72"/>
  <c r="JA9" i="72" s="1"/>
  <c r="D46" i="43" s="1"/>
  <c r="F46" i="43" s="1"/>
  <c r="JC27" i="72"/>
  <c r="JC35" i="72" s="1"/>
  <c r="JB35" i="72"/>
  <c r="F24" i="36" s="1"/>
  <c r="O24" i="36" s="1"/>
  <c r="AF34" i="72"/>
  <c r="IE35" i="72"/>
  <c r="F23" i="36" s="1"/>
  <c r="X23" i="36" s="1"/>
  <c r="HN35" i="72"/>
  <c r="HG10" i="72" s="1"/>
  <c r="E44" i="43" s="1"/>
  <c r="HJ35" i="72"/>
  <c r="HI27" i="72"/>
  <c r="HI35" i="72" s="1"/>
  <c r="HH35" i="72"/>
  <c r="F22" i="36" s="1"/>
  <c r="P22" i="36" s="1"/>
  <c r="HM35" i="72"/>
  <c r="HG9" i="72" s="1"/>
  <c r="D44" i="43" s="1"/>
  <c r="GL27" i="72"/>
  <c r="GL35" i="72" s="1"/>
  <c r="GK35" i="72"/>
  <c r="F21" i="36" s="1"/>
  <c r="O21" i="36" s="1"/>
  <c r="GQ35" i="72"/>
  <c r="GJ10" i="72" s="1"/>
  <c r="E43" i="43" s="1"/>
  <c r="GP35" i="72"/>
  <c r="GJ9" i="72" s="1"/>
  <c r="D43" i="43" s="1"/>
  <c r="FO27" i="72"/>
  <c r="K28" i="72"/>
  <c r="I28" i="72"/>
  <c r="O24" i="70" s="1"/>
  <c r="N28" i="72"/>
  <c r="AQ28" i="72" s="1"/>
  <c r="L28" i="72"/>
  <c r="ER28" i="72"/>
  <c r="J28" i="72"/>
  <c r="P24" i="70" s="1"/>
  <c r="DU27" i="72"/>
  <c r="AF28" i="72"/>
  <c r="AE28" i="72"/>
  <c r="M24" i="70" s="1"/>
  <c r="CX16" i="72"/>
  <c r="E16" i="72" s="1"/>
  <c r="F14" i="76" s="1"/>
  <c r="CX26" i="72"/>
  <c r="CX20" i="72"/>
  <c r="E20" i="72" s="1"/>
  <c r="F18" i="76" s="1"/>
  <c r="U28" i="72"/>
  <c r="CX22" i="72"/>
  <c r="E22" i="72" s="1"/>
  <c r="F20" i="76" s="1"/>
  <c r="CX34" i="72"/>
  <c r="CX18" i="72"/>
  <c r="E18" i="72" s="1"/>
  <c r="F16" i="76" s="1"/>
  <c r="CX32" i="72"/>
  <c r="CX25" i="72"/>
  <c r="E25" i="72" s="1"/>
  <c r="F23" i="76" s="1"/>
  <c r="CX24" i="72"/>
  <c r="E24" i="72" s="1"/>
  <c r="F22" i="76" s="1"/>
  <c r="CX14" i="72"/>
  <c r="CX30" i="72"/>
  <c r="CX15" i="72"/>
  <c r="E15" i="72" s="1"/>
  <c r="F13" i="76" s="1"/>
  <c r="CX29" i="72"/>
  <c r="CX33" i="72"/>
  <c r="D28" i="72"/>
  <c r="E26" i="76" s="1"/>
  <c r="H26" i="76" s="1"/>
  <c r="CX28" i="72"/>
  <c r="CX23" i="72"/>
  <c r="E23" i="72" s="1"/>
  <c r="F21" i="76" s="1"/>
  <c r="CX17" i="72"/>
  <c r="E17" i="72" s="1"/>
  <c r="F15" i="76" s="1"/>
  <c r="BD28" i="72"/>
  <c r="CX31" i="72"/>
  <c r="CX27" i="72"/>
  <c r="CX19" i="72"/>
  <c r="E19" i="72" s="1"/>
  <c r="F17" i="76" s="1"/>
  <c r="CX21" i="72"/>
  <c r="E21" i="72" s="1"/>
  <c r="F19" i="76" s="1"/>
  <c r="AU28" i="72"/>
  <c r="W24" i="70" s="1"/>
  <c r="H15" i="76"/>
  <c r="H18" i="76"/>
  <c r="H23" i="76"/>
  <c r="H7" i="12"/>
  <c r="L6" i="54"/>
  <c r="H6" i="70"/>
  <c r="H6" i="11"/>
  <c r="H21" i="76"/>
  <c r="H13" i="76"/>
  <c r="H20" i="76"/>
  <c r="H12" i="76"/>
  <c r="H16" i="76"/>
  <c r="L35" i="72"/>
  <c r="M35" i="72" s="1"/>
  <c r="H17" i="76"/>
  <c r="H14" i="76"/>
  <c r="H22" i="76"/>
  <c r="H19" i="76"/>
  <c r="O10" i="70"/>
  <c r="Q24" i="70"/>
  <c r="Q16" i="70"/>
  <c r="Q12" i="70"/>
  <c r="O20" i="70"/>
  <c r="O15" i="70"/>
  <c r="P16" i="70"/>
  <c r="P12" i="70"/>
  <c r="Q20" i="70"/>
  <c r="O21" i="70"/>
  <c r="Q17" i="70"/>
  <c r="P15" i="70"/>
  <c r="O19" i="70"/>
  <c r="O12" i="70"/>
  <c r="Q18" i="70"/>
  <c r="P10" i="70"/>
  <c r="O18" i="70"/>
  <c r="Q19" i="70"/>
  <c r="P14" i="70"/>
  <c r="Q14" i="70"/>
  <c r="Q15" i="70"/>
  <c r="P18" i="70"/>
  <c r="Q11" i="70"/>
  <c r="P20" i="70"/>
  <c r="Q21" i="70"/>
  <c r="P17" i="70"/>
  <c r="P19" i="70"/>
  <c r="O11" i="70"/>
  <c r="O17" i="70"/>
  <c r="Q10" i="70"/>
  <c r="P13" i="70"/>
  <c r="O16" i="70"/>
  <c r="P21" i="70"/>
  <c r="Q13" i="70"/>
  <c r="P11" i="70"/>
  <c r="O13" i="70"/>
  <c r="O14" i="70"/>
  <c r="E6" i="70"/>
  <c r="E7" i="12"/>
  <c r="O17" i="36"/>
  <c r="Z17" i="36"/>
  <c r="AB12" i="75"/>
  <c r="AB10" i="75"/>
  <c r="AB9" i="75"/>
  <c r="W10" i="70"/>
  <c r="AJ35" i="72"/>
  <c r="I20" i="76"/>
  <c r="I14" i="76"/>
  <c r="I15" i="76"/>
  <c r="I22" i="76"/>
  <c r="I18" i="76"/>
  <c r="I16" i="76"/>
  <c r="I13" i="76"/>
  <c r="I19" i="76"/>
  <c r="I12" i="76"/>
  <c r="I17" i="76"/>
  <c r="I23" i="76"/>
  <c r="I21" i="76"/>
  <c r="Y17" i="36"/>
  <c r="X24" i="36"/>
  <c r="X17" i="36"/>
  <c r="P24" i="36"/>
  <c r="P21" i="36"/>
  <c r="V16" i="72"/>
  <c r="L5" i="54"/>
  <c r="H5" i="11"/>
  <c r="H5" i="70"/>
  <c r="AA8" i="75"/>
  <c r="AA13" i="75"/>
  <c r="K16" i="64"/>
  <c r="F28" i="72" l="1"/>
  <c r="G26" i="76" s="1"/>
  <c r="I26" i="76" s="1"/>
  <c r="V23" i="72"/>
  <c r="V24" i="72"/>
  <c r="V21" i="72"/>
  <c r="CV9" i="72"/>
  <c r="D39" i="43" s="1"/>
  <c r="Y22" i="36"/>
  <c r="V25" i="72"/>
  <c r="Y21" i="36"/>
  <c r="E14" i="72"/>
  <c r="F12" i="76" s="1"/>
  <c r="W30" i="72"/>
  <c r="O22" i="36"/>
  <c r="AE22" i="36" s="1"/>
  <c r="F32" i="72"/>
  <c r="G30" i="76" s="1"/>
  <c r="AF33" i="72"/>
  <c r="AE33" i="72"/>
  <c r="M29" i="70" s="1"/>
  <c r="F30" i="72"/>
  <c r="G28" i="76" s="1"/>
  <c r="V20" i="72"/>
  <c r="X22" i="36"/>
  <c r="Z22" i="36"/>
  <c r="V27" i="72"/>
  <c r="F34" i="72"/>
  <c r="G32" i="76" s="1"/>
  <c r="I32" i="76" s="1"/>
  <c r="W34" i="72"/>
  <c r="D29" i="76"/>
  <c r="J31" i="72"/>
  <c r="P27" i="70" s="1"/>
  <c r="K31" i="72"/>
  <c r="Q27" i="70" s="1"/>
  <c r="N31" i="72"/>
  <c r="AQ31" i="72" s="1"/>
  <c r="L31" i="72"/>
  <c r="M31" i="72" s="1"/>
  <c r="W29" i="76" s="1"/>
  <c r="I31" i="72"/>
  <c r="O27" i="70" s="1"/>
  <c r="D25" i="76"/>
  <c r="J27" i="72"/>
  <c r="P23" i="70" s="1"/>
  <c r="K27" i="72"/>
  <c r="Q23" i="70" s="1"/>
  <c r="I27" i="72"/>
  <c r="O23" i="70" s="1"/>
  <c r="L27" i="72"/>
  <c r="M27" i="72" s="1"/>
  <c r="W25" i="76" s="1"/>
  <c r="N27" i="72"/>
  <c r="AQ27" i="72" s="1"/>
  <c r="BE26" i="72"/>
  <c r="BI26" i="72"/>
  <c r="BI35" i="72" s="1"/>
  <c r="BC26" i="72"/>
  <c r="BH26" i="72"/>
  <c r="BH35" i="72" s="1"/>
  <c r="C26" i="72"/>
  <c r="D24" i="76" s="1"/>
  <c r="AB26" i="72"/>
  <c r="T26" i="72"/>
  <c r="BB35" i="72"/>
  <c r="CA29" i="72"/>
  <c r="V29" i="72" s="1"/>
  <c r="D29" i="72"/>
  <c r="E27" i="76" s="1"/>
  <c r="U29" i="72"/>
  <c r="F31" i="72"/>
  <c r="G29" i="76" s="1"/>
  <c r="W31" i="72"/>
  <c r="X21" i="36"/>
  <c r="Y23" i="36"/>
  <c r="Z24" i="36"/>
  <c r="U27" i="72"/>
  <c r="F29" i="72"/>
  <c r="G27" i="76" s="1"/>
  <c r="W29" i="72"/>
  <c r="CA33" i="72"/>
  <c r="V33" i="72" s="1"/>
  <c r="D33" i="72"/>
  <c r="E31" i="76" s="1"/>
  <c r="U33" i="72"/>
  <c r="Z23" i="36"/>
  <c r="V18" i="72"/>
  <c r="CA34" i="72"/>
  <c r="V34" i="72" s="1"/>
  <c r="D34" i="72"/>
  <c r="E32" i="76" s="1"/>
  <c r="H32" i="76" s="1"/>
  <c r="U34" i="72"/>
  <c r="P23" i="36"/>
  <c r="AF23" i="36" s="1"/>
  <c r="Y24" i="36"/>
  <c r="CV10" i="72"/>
  <c r="E39" i="43" s="1"/>
  <c r="D31" i="76"/>
  <c r="I33" i="72"/>
  <c r="O29" i="70" s="1"/>
  <c r="K33" i="72"/>
  <c r="Q29" i="70" s="1"/>
  <c r="L33" i="72"/>
  <c r="M33" i="72" s="1"/>
  <c r="W31" i="76" s="1"/>
  <c r="J33" i="72"/>
  <c r="P29" i="70" s="1"/>
  <c r="N33" i="72"/>
  <c r="AQ33" i="72" s="1"/>
  <c r="CA32" i="72"/>
  <c r="V32" i="72" s="1"/>
  <c r="U32" i="72"/>
  <c r="CE26" i="72"/>
  <c r="CE35" i="72" s="1"/>
  <c r="CF26" i="72"/>
  <c r="CF35" i="72" s="1"/>
  <c r="BZ26" i="72"/>
  <c r="CB26" i="72"/>
  <c r="CB35" i="72" s="1"/>
  <c r="BY35" i="72"/>
  <c r="W27" i="72"/>
  <c r="F27" i="72"/>
  <c r="G25" i="76" s="1"/>
  <c r="AF30" i="72"/>
  <c r="AU30" i="72"/>
  <c r="W26" i="70" s="1"/>
  <c r="AE30" i="72"/>
  <c r="M26" i="70" s="1"/>
  <c r="AU31" i="72"/>
  <c r="W27" i="70" s="1"/>
  <c r="AE31" i="72"/>
  <c r="M27" i="70" s="1"/>
  <c r="AF31" i="72"/>
  <c r="AF32" i="72"/>
  <c r="AE32" i="72"/>
  <c r="M28" i="70" s="1"/>
  <c r="AE27" i="72"/>
  <c r="M23" i="70" s="1"/>
  <c r="AU27" i="72"/>
  <c r="W23" i="70" s="1"/>
  <c r="AF27" i="72"/>
  <c r="EV26" i="72"/>
  <c r="EV35" i="72" s="1"/>
  <c r="EW26" i="72"/>
  <c r="EW35" i="72" s="1"/>
  <c r="ES26" i="72"/>
  <c r="ES35" i="72" s="1"/>
  <c r="EQ26" i="72"/>
  <c r="EP35" i="72"/>
  <c r="CA31" i="72"/>
  <c r="E31" i="72" s="1"/>
  <c r="F29" i="76" s="1"/>
  <c r="D31" i="72"/>
  <c r="E29" i="76" s="1"/>
  <c r="BD30" i="72"/>
  <c r="V30" i="72" s="1"/>
  <c r="D30" i="72"/>
  <c r="E28" i="76" s="1"/>
  <c r="U30" i="72"/>
  <c r="Z21" i="36"/>
  <c r="D27" i="72"/>
  <c r="E25" i="76" s="1"/>
  <c r="D32" i="72"/>
  <c r="E30" i="76" s="1"/>
  <c r="L29" i="72"/>
  <c r="M29" i="72" s="1"/>
  <c r="W27" i="76" s="1"/>
  <c r="N29" i="72"/>
  <c r="AQ29" i="72" s="1"/>
  <c r="J29" i="72"/>
  <c r="P25" i="70" s="1"/>
  <c r="K29" i="72"/>
  <c r="Q25" i="70" s="1"/>
  <c r="D27" i="76"/>
  <c r="I29" i="72"/>
  <c r="O25" i="70" s="1"/>
  <c r="DY26" i="72"/>
  <c r="DY35" i="72" s="1"/>
  <c r="DS9" i="72" s="1"/>
  <c r="D40" i="43" s="1"/>
  <c r="F40" i="43" s="1"/>
  <c r="DZ26" i="72"/>
  <c r="DZ35" i="72" s="1"/>
  <c r="DV26" i="72"/>
  <c r="DV35" i="72" s="1"/>
  <c r="DT26" i="72"/>
  <c r="DS35" i="72"/>
  <c r="W32" i="72"/>
  <c r="FT26" i="72"/>
  <c r="FT35" i="72" s="1"/>
  <c r="FS26" i="72"/>
  <c r="FS35" i="72" s="1"/>
  <c r="FP26" i="72"/>
  <c r="FP35" i="72" s="1"/>
  <c r="FN26" i="72"/>
  <c r="FM35" i="72"/>
  <c r="O23" i="36"/>
  <c r="AE23" i="36" s="1"/>
  <c r="J32" i="72"/>
  <c r="P28" i="70" s="1"/>
  <c r="N32" i="72"/>
  <c r="AQ32" i="72" s="1"/>
  <c r="K32" i="72"/>
  <c r="Q28" i="70" s="1"/>
  <c r="I32" i="72"/>
  <c r="O28" i="70" s="1"/>
  <c r="D30" i="76"/>
  <c r="L32" i="72"/>
  <c r="M32" i="72" s="1"/>
  <c r="W30" i="76" s="1"/>
  <c r="V19" i="72"/>
  <c r="V15" i="72"/>
  <c r="U31" i="72"/>
  <c r="D28" i="76"/>
  <c r="L30" i="72"/>
  <c r="M30" i="72" s="1"/>
  <c r="W28" i="76" s="1"/>
  <c r="K30" i="72"/>
  <c r="Q26" i="70" s="1"/>
  <c r="J30" i="72"/>
  <c r="P26" i="70" s="1"/>
  <c r="I30" i="72"/>
  <c r="O26" i="70" s="1"/>
  <c r="N30" i="72"/>
  <c r="AQ30" i="72" s="1"/>
  <c r="AE29" i="72"/>
  <c r="M25" i="70" s="1"/>
  <c r="AF29" i="72"/>
  <c r="AU29" i="72"/>
  <c r="W25" i="70" s="1"/>
  <c r="F33" i="72"/>
  <c r="G31" i="76" s="1"/>
  <c r="V22" i="72"/>
  <c r="V17" i="72"/>
  <c r="V14" i="72"/>
  <c r="CX35" i="72"/>
  <c r="E27" i="72"/>
  <c r="F25" i="76" s="1"/>
  <c r="E28" i="72"/>
  <c r="F26" i="76" s="1"/>
  <c r="V28" i="72"/>
  <c r="M22" i="72"/>
  <c r="W20" i="76" s="1"/>
  <c r="M20" i="72"/>
  <c r="W18" i="76" s="1"/>
  <c r="M21" i="72"/>
  <c r="W19" i="76" s="1"/>
  <c r="M23" i="72"/>
  <c r="W21" i="76" s="1"/>
  <c r="M34" i="72"/>
  <c r="W32" i="76" s="1"/>
  <c r="M18" i="72"/>
  <c r="W16" i="76" s="1"/>
  <c r="M15" i="72"/>
  <c r="W13" i="76" s="1"/>
  <c r="M19" i="72"/>
  <c r="W17" i="76" s="1"/>
  <c r="M14" i="72"/>
  <c r="W12" i="76" s="1"/>
  <c r="W33" i="76" s="1"/>
  <c r="M25" i="72"/>
  <c r="W23" i="76" s="1"/>
  <c r="M24" i="72"/>
  <c r="W22" i="76" s="1"/>
  <c r="M28" i="72"/>
  <c r="W26" i="76" s="1"/>
  <c r="M17" i="72"/>
  <c r="W15" i="76" s="1"/>
  <c r="M16" i="72"/>
  <c r="W14" i="76" s="1"/>
  <c r="E6" i="11"/>
  <c r="H5" i="89"/>
  <c r="T44" i="61"/>
  <c r="AA16" i="75"/>
  <c r="G43" i="43"/>
  <c r="AF24" i="36"/>
  <c r="F43" i="43"/>
  <c r="AB8" i="75"/>
  <c r="AB13" i="75"/>
  <c r="AE24" i="36"/>
  <c r="AE17" i="36"/>
  <c r="AE21" i="36"/>
  <c r="AF21" i="36"/>
  <c r="AF22" i="36"/>
  <c r="P17" i="36"/>
  <c r="AF17" i="36" s="1"/>
  <c r="S7" i="64"/>
  <c r="V31" i="72" l="1"/>
  <c r="E32" i="72"/>
  <c r="F30" i="76" s="1"/>
  <c r="H25" i="76"/>
  <c r="H28" i="76"/>
  <c r="FM10" i="72"/>
  <c r="E42" i="43" s="1"/>
  <c r="G42" i="43" s="1"/>
  <c r="EP10" i="72"/>
  <c r="E41" i="43" s="1"/>
  <c r="G41" i="43" s="1"/>
  <c r="FM9" i="72"/>
  <c r="D42" i="43" s="1"/>
  <c r="F42" i="43" s="1"/>
  <c r="BY10" i="72"/>
  <c r="E38" i="43" s="1"/>
  <c r="G38" i="43" s="1"/>
  <c r="J26" i="72"/>
  <c r="P22" i="70" s="1"/>
  <c r="K26" i="72"/>
  <c r="Q22" i="70" s="1"/>
  <c r="I28" i="76"/>
  <c r="ER26" i="72"/>
  <c r="ER35" i="72" s="1"/>
  <c r="EQ35" i="72"/>
  <c r="F19" i="36" s="1"/>
  <c r="E30" i="72"/>
  <c r="F28" i="76" s="1"/>
  <c r="Y26" i="72"/>
  <c r="T35" i="72"/>
  <c r="Q26" i="72" s="1"/>
  <c r="R26" i="72" s="1"/>
  <c r="I27" i="76"/>
  <c r="H27" i="76"/>
  <c r="AU26" i="72"/>
  <c r="W22" i="70" s="1"/>
  <c r="AF26" i="72"/>
  <c r="AE26" i="72"/>
  <c r="M22" i="70" s="1"/>
  <c r="AB35" i="72"/>
  <c r="D33" i="76"/>
  <c r="A12" i="76" s="1"/>
  <c r="L12" i="76" s="1"/>
  <c r="I29" i="76"/>
  <c r="H29" i="76"/>
  <c r="EP9" i="72"/>
  <c r="D41" i="43" s="1"/>
  <c r="F41" i="43" s="1"/>
  <c r="CA26" i="72"/>
  <c r="CA35" i="72" s="1"/>
  <c r="BZ35" i="72"/>
  <c r="F16" i="36" s="1"/>
  <c r="BB9" i="72"/>
  <c r="D37" i="43" s="1"/>
  <c r="F37" i="43" s="1"/>
  <c r="H30" i="76"/>
  <c r="I30" i="76"/>
  <c r="DU26" i="72"/>
  <c r="DU35" i="72" s="1"/>
  <c r="DT35" i="72"/>
  <c r="F18" i="36" s="1"/>
  <c r="E33" i="72"/>
  <c r="F31" i="76" s="1"/>
  <c r="N26" i="72"/>
  <c r="AQ26" i="72" s="1"/>
  <c r="BD26" i="72"/>
  <c r="U26" i="72"/>
  <c r="U35" i="72" s="1"/>
  <c r="D26" i="72"/>
  <c r="E24" i="76" s="1"/>
  <c r="E33" i="76" s="1"/>
  <c r="BC35" i="72"/>
  <c r="F15" i="36" s="1"/>
  <c r="I25" i="76"/>
  <c r="BY9" i="72"/>
  <c r="D38" i="43" s="1"/>
  <c r="F38" i="43" s="1"/>
  <c r="I31" i="76"/>
  <c r="H31" i="76"/>
  <c r="L26" i="72"/>
  <c r="M26" i="72" s="1"/>
  <c r="W24" i="76" s="1"/>
  <c r="BB10" i="72"/>
  <c r="E37" i="43" s="1"/>
  <c r="G37" i="43" s="1"/>
  <c r="E34" i="72"/>
  <c r="F32" i="76" s="1"/>
  <c r="FO26" i="72"/>
  <c r="FO35" i="72" s="1"/>
  <c r="FN35" i="72"/>
  <c r="F20" i="36" s="1"/>
  <c r="DS10" i="72"/>
  <c r="E40" i="43" s="1"/>
  <c r="G40" i="43" s="1"/>
  <c r="I26" i="72"/>
  <c r="O22" i="70" s="1"/>
  <c r="W26" i="72"/>
  <c r="W35" i="72" s="1"/>
  <c r="F26" i="72"/>
  <c r="G24" i="76" s="1"/>
  <c r="G33" i="76" s="1"/>
  <c r="BE35" i="72"/>
  <c r="E29" i="72"/>
  <c r="F27" i="76" s="1"/>
  <c r="N33" i="12"/>
  <c r="I32" i="12" s="1"/>
  <c r="N34" i="12"/>
  <c r="G44" i="43"/>
  <c r="G39" i="43"/>
  <c r="F39" i="43"/>
  <c r="F44" i="43"/>
  <c r="AB16" i="75"/>
  <c r="AU3" i="76" s="1"/>
  <c r="C10" i="69"/>
  <c r="C4" i="69"/>
  <c r="Y20" i="36" l="1"/>
  <c r="O20" i="36"/>
  <c r="AE20" i="36" s="1"/>
  <c r="Z20" i="36"/>
  <c r="X20" i="36"/>
  <c r="P20" i="36"/>
  <c r="AF20" i="36" s="1"/>
  <c r="X15" i="36"/>
  <c r="P15" i="36"/>
  <c r="AF15" i="36" s="1"/>
  <c r="O15" i="36"/>
  <c r="AE15" i="36" s="1"/>
  <c r="Y15" i="36"/>
  <c r="Z15" i="36"/>
  <c r="A32" i="76"/>
  <c r="A21" i="76"/>
  <c r="A16" i="76"/>
  <c r="A25" i="76"/>
  <c r="A22" i="76"/>
  <c r="A29" i="76"/>
  <c r="A31" i="76"/>
  <c r="A26" i="76"/>
  <c r="A17" i="76"/>
  <c r="A18" i="76"/>
  <c r="A28" i="76"/>
  <c r="A13" i="76"/>
  <c r="A15" i="76"/>
  <c r="A14" i="76"/>
  <c r="A24" i="76"/>
  <c r="A27" i="76"/>
  <c r="A23" i="76"/>
  <c r="A20" i="76"/>
  <c r="A30" i="76"/>
  <c r="A19" i="76"/>
  <c r="H24" i="76"/>
  <c r="I24" i="76"/>
  <c r="Q25" i="72"/>
  <c r="R25" i="72" s="1"/>
  <c r="Q20" i="72"/>
  <c r="R20" i="72" s="1"/>
  <c r="Q17" i="72"/>
  <c r="R17" i="72" s="1"/>
  <c r="Q18" i="72"/>
  <c r="R18" i="72" s="1"/>
  <c r="Q15" i="72"/>
  <c r="R15" i="72" s="1"/>
  <c r="Q27" i="72"/>
  <c r="R27" i="72" s="1"/>
  <c r="Q28" i="72"/>
  <c r="R28" i="72" s="1"/>
  <c r="Q21" i="72"/>
  <c r="R21" i="72" s="1"/>
  <c r="Q23" i="72"/>
  <c r="R23" i="72" s="1"/>
  <c r="Q32" i="72"/>
  <c r="R32" i="72" s="1"/>
  <c r="Q14" i="72"/>
  <c r="Q22" i="72"/>
  <c r="R22" i="72" s="1"/>
  <c r="Q34" i="72"/>
  <c r="R34" i="72" s="1"/>
  <c r="Q30" i="72"/>
  <c r="R30" i="72" s="1"/>
  <c r="Q31" i="72"/>
  <c r="R31" i="72" s="1"/>
  <c r="Q24" i="72"/>
  <c r="R24" i="72" s="1"/>
  <c r="Q19" i="72"/>
  <c r="R19" i="72" s="1"/>
  <c r="Q33" i="72"/>
  <c r="R33" i="72" s="1"/>
  <c r="Q16" i="72"/>
  <c r="R16" i="72" s="1"/>
  <c r="Q29" i="72"/>
  <c r="R29" i="72" s="1"/>
  <c r="E26" i="72"/>
  <c r="F24" i="76" s="1"/>
  <c r="F33" i="76" s="1"/>
  <c r="V26" i="72"/>
  <c r="V35" i="72" s="1"/>
  <c r="V11" i="72" s="1"/>
  <c r="BD35" i="72"/>
  <c r="Z16" i="36"/>
  <c r="O16" i="36"/>
  <c r="AE16" i="36" s="1"/>
  <c r="Y16" i="36"/>
  <c r="P16" i="36"/>
  <c r="AF16" i="36" s="1"/>
  <c r="X16" i="36"/>
  <c r="AF35" i="72"/>
  <c r="AE35" i="72"/>
  <c r="P19" i="36"/>
  <c r="AF19" i="36" s="1"/>
  <c r="Y19" i="36"/>
  <c r="Z19" i="36"/>
  <c r="O19" i="36"/>
  <c r="AE19" i="36" s="1"/>
  <c r="X19" i="36"/>
  <c r="Z18" i="36"/>
  <c r="Y18" i="36"/>
  <c r="X18" i="36"/>
  <c r="P18" i="36"/>
  <c r="AF18" i="36" s="1"/>
  <c r="O18" i="36"/>
  <c r="AE18" i="36" s="1"/>
  <c r="H33" i="12"/>
  <c r="G47" i="43"/>
  <c r="E17" i="12" s="1"/>
  <c r="B26" i="65" s="1"/>
  <c r="F47" i="43"/>
  <c r="E29" i="11" s="1"/>
  <c r="C35" i="72"/>
  <c r="D35" i="72"/>
  <c r="L14" i="76" l="1"/>
  <c r="AH14" i="76" s="1"/>
  <c r="L15" i="76"/>
  <c r="AH15" i="76" s="1"/>
  <c r="L22" i="76"/>
  <c r="AH22" i="76" s="1"/>
  <c r="L19" i="76"/>
  <c r="AH19" i="76" s="1"/>
  <c r="L13" i="76"/>
  <c r="AH13" i="76" s="1"/>
  <c r="L25" i="76"/>
  <c r="AH25" i="76" s="1"/>
  <c r="L30" i="76"/>
  <c r="AH30" i="76" s="1"/>
  <c r="L28" i="76"/>
  <c r="AH28" i="76" s="1"/>
  <c r="L16" i="76"/>
  <c r="AH16" i="76" s="1"/>
  <c r="L20" i="76"/>
  <c r="AH20" i="76" s="1"/>
  <c r="L18" i="76"/>
  <c r="AH18" i="76" s="1"/>
  <c r="L21" i="76"/>
  <c r="AH21" i="76" s="1"/>
  <c r="L29" i="76"/>
  <c r="AH29" i="76" s="1"/>
  <c r="L23" i="76"/>
  <c r="AH23" i="76" s="1"/>
  <c r="L17" i="76"/>
  <c r="AH17" i="76" s="1"/>
  <c r="L32" i="76"/>
  <c r="AH32" i="76" s="1"/>
  <c r="L27" i="76"/>
  <c r="AH27" i="76" s="1"/>
  <c r="L26" i="76"/>
  <c r="AH26" i="76" s="1"/>
  <c r="L24" i="76"/>
  <c r="AH24" i="76" s="1"/>
  <c r="L31" i="76"/>
  <c r="AH31" i="76" s="1"/>
  <c r="AE25" i="36"/>
  <c r="E11" i="11" s="1"/>
  <c r="AF25" i="36"/>
  <c r="E15" i="11" s="1"/>
  <c r="R14" i="72"/>
  <c r="R35" i="72" s="1"/>
  <c r="Q35" i="72"/>
  <c r="A33" i="76"/>
  <c r="N35" i="72"/>
  <c r="K35" i="72"/>
  <c r="J35" i="72"/>
  <c r="I35" i="72"/>
  <c r="E23" i="11"/>
  <c r="E35" i="72"/>
  <c r="E36" i="72" s="1"/>
  <c r="F35" i="72"/>
  <c r="G35" i="72"/>
  <c r="AH12" i="76" l="1"/>
  <c r="AH33" i="76" s="1"/>
  <c r="L33" i="76"/>
  <c r="B37" i="65"/>
  <c r="P23" i="76" l="1"/>
  <c r="Q20" i="76"/>
  <c r="O29" i="76"/>
  <c r="R32" i="76"/>
  <c r="R23" i="76"/>
  <c r="O13" i="76"/>
  <c r="R28" i="76"/>
  <c r="Q22" i="76"/>
  <c r="O22" i="76"/>
  <c r="P14" i="76"/>
  <c r="P18" i="76"/>
  <c r="Q32" i="76"/>
  <c r="Q25" i="76"/>
  <c r="O21" i="76"/>
  <c r="P29" i="76"/>
  <c r="O18" i="76"/>
  <c r="O32" i="76"/>
  <c r="Q28" i="76"/>
  <c r="Q12" i="76"/>
  <c r="R20" i="76"/>
  <c r="P26" i="76"/>
  <c r="Q21" i="76"/>
  <c r="Q18" i="76"/>
  <c r="R24" i="76"/>
  <c r="P27" i="76"/>
  <c r="Q13" i="76"/>
  <c r="R19" i="76"/>
  <c r="P12" i="76"/>
  <c r="Q27" i="76"/>
  <c r="P22" i="76"/>
  <c r="O24" i="76"/>
  <c r="P17" i="76"/>
  <c r="R12" i="76"/>
  <c r="Q15" i="76"/>
  <c r="P13" i="76"/>
  <c r="O14" i="76"/>
  <c r="P24" i="76"/>
  <c r="O26" i="76"/>
  <c r="P28" i="76"/>
  <c r="Q31" i="76"/>
  <c r="Q26" i="76"/>
  <c r="O17" i="76"/>
  <c r="R17" i="76"/>
  <c r="Q17" i="76"/>
  <c r="R31" i="76"/>
  <c r="O31" i="76"/>
  <c r="Q29" i="76"/>
  <c r="O16" i="76"/>
  <c r="R14" i="76"/>
  <c r="Q23" i="76"/>
  <c r="P20" i="76"/>
  <c r="O12" i="76"/>
  <c r="Q19" i="76"/>
  <c r="R22" i="76"/>
  <c r="R16" i="76"/>
  <c r="R13" i="76"/>
  <c r="P15" i="76"/>
  <c r="Q14" i="76"/>
  <c r="R21" i="76"/>
  <c r="O27" i="76"/>
  <c r="R25" i="76"/>
  <c r="R15" i="76"/>
  <c r="Q16" i="76"/>
  <c r="O30" i="76"/>
  <c r="O23" i="76"/>
  <c r="Q30" i="76"/>
  <c r="P31" i="76"/>
  <c r="R30" i="76"/>
  <c r="P19" i="76"/>
  <c r="R26" i="76"/>
  <c r="O28" i="76"/>
  <c r="O15" i="76"/>
  <c r="P21" i="76"/>
  <c r="O25" i="76"/>
  <c r="P25" i="76"/>
  <c r="R27" i="76"/>
  <c r="O20" i="76"/>
  <c r="P16" i="76"/>
  <c r="Q24" i="76"/>
  <c r="O19" i="76"/>
  <c r="P30" i="76"/>
  <c r="P32" i="76"/>
  <c r="R29" i="76"/>
  <c r="R18" i="76"/>
  <c r="E7" i="11"/>
  <c r="H4" i="12"/>
  <c r="N3" i="54"/>
  <c r="L3" i="54"/>
  <c r="Y15" i="76" l="1"/>
  <c r="S15" i="76"/>
  <c r="AO15" i="76" s="1"/>
  <c r="T15" i="76"/>
  <c r="AP15" i="76" s="1"/>
  <c r="Y16" i="76"/>
  <c r="S16" i="76"/>
  <c r="AO16" i="76" s="1"/>
  <c r="T16" i="76"/>
  <c r="AP16" i="76" s="1"/>
  <c r="Y18" i="76"/>
  <c r="S18" i="76"/>
  <c r="AO18" i="76" s="1"/>
  <c r="T18" i="76"/>
  <c r="AP18" i="76" s="1"/>
  <c r="Y19" i="76"/>
  <c r="S19" i="76"/>
  <c r="AO19" i="76" s="1"/>
  <c r="T19" i="76"/>
  <c r="AP19" i="76" s="1"/>
  <c r="Y30" i="76"/>
  <c r="S30" i="76"/>
  <c r="AO30" i="76" s="1"/>
  <c r="T30" i="76"/>
  <c r="AP30" i="76" s="1"/>
  <c r="Y28" i="76"/>
  <c r="T28" i="76"/>
  <c r="AP28" i="76" s="1"/>
  <c r="S28" i="76"/>
  <c r="AO28" i="76" s="1"/>
  <c r="Y24" i="76"/>
  <c r="S24" i="76"/>
  <c r="AO24" i="76" s="1"/>
  <c r="T24" i="76"/>
  <c r="AP24" i="76" s="1"/>
  <c r="Y26" i="76"/>
  <c r="T26" i="76"/>
  <c r="AP26" i="76" s="1"/>
  <c r="S26" i="76"/>
  <c r="AO26" i="76" s="1"/>
  <c r="P33" i="76"/>
  <c r="Y20" i="76"/>
  <c r="S20" i="76"/>
  <c r="AO20" i="76" s="1"/>
  <c r="T20" i="76"/>
  <c r="AP20" i="76" s="1"/>
  <c r="Y27" i="76"/>
  <c r="S27" i="76"/>
  <c r="AO27" i="76" s="1"/>
  <c r="T27" i="76"/>
  <c r="AP27" i="76" s="1"/>
  <c r="Y14" i="76"/>
  <c r="S14" i="76"/>
  <c r="AO14" i="76" s="1"/>
  <c r="T14" i="76"/>
  <c r="AP14" i="76" s="1"/>
  <c r="Q33" i="76"/>
  <c r="Y29" i="76"/>
  <c r="T29" i="76"/>
  <c r="AP29" i="76" s="1"/>
  <c r="S29" i="76"/>
  <c r="AO29" i="76" s="1"/>
  <c r="Y31" i="76"/>
  <c r="S31" i="76"/>
  <c r="AO31" i="76" s="1"/>
  <c r="T31" i="76"/>
  <c r="AP31" i="76" s="1"/>
  <c r="Y21" i="76"/>
  <c r="S21" i="76"/>
  <c r="AO21" i="76" s="1"/>
  <c r="T21" i="76"/>
  <c r="AP21" i="76" s="1"/>
  <c r="Y12" i="76"/>
  <c r="S12" i="76"/>
  <c r="AO12" i="76" s="1"/>
  <c r="O33" i="76"/>
  <c r="T12" i="76"/>
  <c r="AP12" i="76" s="1"/>
  <c r="Y25" i="76"/>
  <c r="S25" i="76"/>
  <c r="AO25" i="76" s="1"/>
  <c r="T25" i="76"/>
  <c r="AP25" i="76" s="1"/>
  <c r="Y17" i="76"/>
  <c r="T17" i="76"/>
  <c r="AP17" i="76" s="1"/>
  <c r="S17" i="76"/>
  <c r="AO17" i="76" s="1"/>
  <c r="Y13" i="76"/>
  <c r="S13" i="76"/>
  <c r="AO13" i="76" s="1"/>
  <c r="T13" i="76"/>
  <c r="AP13" i="76" s="1"/>
  <c r="Y23" i="76"/>
  <c r="T23" i="76"/>
  <c r="AP23" i="76" s="1"/>
  <c r="S23" i="76"/>
  <c r="AO23" i="76" s="1"/>
  <c r="R33" i="76"/>
  <c r="Y32" i="76"/>
  <c r="T32" i="76"/>
  <c r="AP32" i="76" s="1"/>
  <c r="S32" i="76"/>
  <c r="AO32" i="76" s="1"/>
  <c r="Y22" i="76"/>
  <c r="T22" i="76"/>
  <c r="AP22" i="76" s="1"/>
  <c r="S22" i="76"/>
  <c r="AO22" i="76" s="1"/>
  <c r="E7" i="70"/>
  <c r="E8" i="12"/>
  <c r="B39" i="65" s="1"/>
  <c r="G7" i="54"/>
  <c r="B7" i="43"/>
  <c r="J3" i="36"/>
  <c r="H3" i="11"/>
  <c r="U25" i="70" l="1"/>
  <c r="T25" i="70"/>
  <c r="S25" i="70"/>
  <c r="AA31" i="76"/>
  <c r="Z31" i="76"/>
  <c r="S27" i="70"/>
  <c r="U27" i="70"/>
  <c r="T27" i="70"/>
  <c r="U22" i="70"/>
  <c r="T22" i="70"/>
  <c r="S22" i="70"/>
  <c r="AA23" i="76"/>
  <c r="Z23" i="76"/>
  <c r="S12" i="70"/>
  <c r="U12" i="70"/>
  <c r="T12" i="70"/>
  <c r="U30" i="70"/>
  <c r="S30" i="70"/>
  <c r="T30" i="70"/>
  <c r="S24" i="70"/>
  <c r="T24" i="70"/>
  <c r="U24" i="70"/>
  <c r="S11" i="70"/>
  <c r="U11" i="70"/>
  <c r="T11" i="70"/>
  <c r="T29" i="70"/>
  <c r="U29" i="70"/>
  <c r="S29" i="70"/>
  <c r="U26" i="70"/>
  <c r="S26" i="70"/>
  <c r="T26" i="70"/>
  <c r="G39" i="54"/>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AA17" i="76" l="1"/>
  <c r="Z17" i="76"/>
  <c r="AA29" i="76" l="1"/>
  <c r="Z29" i="76"/>
  <c r="AA28" i="76" l="1"/>
  <c r="Z28" i="76"/>
  <c r="AA16" i="76" l="1"/>
  <c r="Z16" i="76"/>
  <c r="AA26" i="76"/>
  <c r="Z26" i="76"/>
  <c r="AA21" i="76"/>
  <c r="Z21" i="76"/>
  <c r="AA27" i="76" l="1"/>
  <c r="Z27" i="76"/>
  <c r="AA22" i="76" l="1"/>
  <c r="Z22" i="76"/>
  <c r="AA25" i="76" l="1"/>
  <c r="Z25" i="76"/>
  <c r="AA18" i="76" l="1"/>
  <c r="Z18" i="76"/>
  <c r="AA20" i="76" l="1"/>
  <c r="Z20" i="76"/>
  <c r="AA19" i="76" l="1"/>
  <c r="Z19" i="76"/>
  <c r="AA15" i="76"/>
  <c r="Z15" i="76"/>
  <c r="AA13" i="76" l="1"/>
  <c r="Z13" i="76"/>
  <c r="AU34" i="72"/>
  <c r="W30" i="70" s="1"/>
  <c r="AU32" i="72" l="1"/>
  <c r="W28" i="70" s="1"/>
  <c r="AU16" i="72"/>
  <c r="W12" i="70" s="1"/>
  <c r="AA14" i="76" l="1"/>
  <c r="Z14" i="76"/>
  <c r="AA32" i="76" l="1"/>
  <c r="Z32" i="76"/>
  <c r="AA24" i="76"/>
  <c r="Z24" i="76"/>
  <c r="Z12" i="76"/>
  <c r="AA12" i="76"/>
  <c r="G32" i="70" l="1"/>
  <c r="H10" i="54" s="1"/>
  <c r="M91" i="54" l="1"/>
  <c r="M29" i="54"/>
  <c r="M18" i="54"/>
  <c r="M40" i="54"/>
  <c r="AA30" i="76" l="1"/>
  <c r="AA33" i="76" s="1"/>
  <c r="Z30" i="76"/>
  <c r="Z33" i="76" s="1"/>
  <c r="X32" i="76" s="1"/>
  <c r="M94" i="54"/>
  <c r="Y33" i="76"/>
  <c r="X23" i="76" l="1"/>
  <c r="X15" i="76"/>
  <c r="X28" i="76"/>
  <c r="X13" i="76"/>
  <c r="X26" i="76"/>
  <c r="X18" i="76"/>
  <c r="X12" i="76"/>
  <c r="X33" i="76" s="1"/>
  <c r="AB32" i="76" s="1"/>
  <c r="AC32" i="76" s="1"/>
  <c r="X27" i="76"/>
  <c r="X16" i="76"/>
  <c r="X19" i="76"/>
  <c r="X30" i="76"/>
  <c r="X14" i="76"/>
  <c r="X31" i="76"/>
  <c r="X17" i="76"/>
  <c r="X25" i="76"/>
  <c r="X22" i="76"/>
  <c r="X21" i="76"/>
  <c r="X20" i="76"/>
  <c r="X24" i="76"/>
  <c r="X29" i="76"/>
  <c r="B25" i="65"/>
  <c r="B38" i="65"/>
  <c r="M96" i="54"/>
  <c r="F22" i="12" s="1"/>
  <c r="E22" i="12"/>
  <c r="N22" i="12" s="1"/>
  <c r="AB14" i="76" l="1"/>
  <c r="AC14" i="76" s="1"/>
  <c r="AB25" i="76"/>
  <c r="AC25" i="76" s="1"/>
  <c r="AB29" i="76"/>
  <c r="AC29" i="76" s="1"/>
  <c r="AB30" i="76"/>
  <c r="AC30" i="76" s="1"/>
  <c r="AB19" i="76"/>
  <c r="AC19" i="76" s="1"/>
  <c r="AB13" i="76"/>
  <c r="AC13" i="76" s="1"/>
  <c r="AB24" i="76"/>
  <c r="AC24" i="76" s="1"/>
  <c r="AB21" i="76"/>
  <c r="AC21" i="76" s="1"/>
  <c r="AB12" i="76"/>
  <c r="AB23" i="76"/>
  <c r="AC23" i="76" s="1"/>
  <c r="AB26" i="76"/>
  <c r="AC26" i="76" s="1"/>
  <c r="AB16" i="76"/>
  <c r="AC16" i="76" s="1"/>
  <c r="AB20" i="76"/>
  <c r="AC20" i="76" s="1"/>
  <c r="AB31" i="76"/>
  <c r="AC31" i="76" s="1"/>
  <c r="AB18" i="76"/>
  <c r="AC18" i="76" s="1"/>
  <c r="AB22" i="76"/>
  <c r="AC22" i="76" s="1"/>
  <c r="AB28" i="76"/>
  <c r="AC28" i="76" s="1"/>
  <c r="AB15" i="76"/>
  <c r="AC15" i="76" s="1"/>
  <c r="AB27" i="76"/>
  <c r="AC27" i="76" s="1"/>
  <c r="AB17" i="76"/>
  <c r="AC17" i="76" s="1"/>
  <c r="U1" i="12"/>
  <c r="S6" i="64"/>
  <c r="AB33" i="76" l="1"/>
  <c r="AC12" i="76"/>
  <c r="AC33" i="76" s="1"/>
  <c r="AD31" i="76" s="1"/>
  <c r="AD29" i="76" l="1"/>
  <c r="AF29" i="76" s="1"/>
  <c r="AI29" i="76" s="1"/>
  <c r="AD23" i="76"/>
  <c r="AF23" i="76" s="1"/>
  <c r="AI23" i="76" s="1"/>
  <c r="AD21" i="76"/>
  <c r="AF21" i="76" s="1"/>
  <c r="AI21" i="76" s="1"/>
  <c r="AD20" i="76"/>
  <c r="AF20" i="76" s="1"/>
  <c r="AI20" i="76" s="1"/>
  <c r="AD16" i="76"/>
  <c r="AF16" i="76" s="1"/>
  <c r="AI16" i="76" s="1"/>
  <c r="AD13" i="76"/>
  <c r="AF13" i="76" s="1"/>
  <c r="AI13" i="76" s="1"/>
  <c r="AD12" i="76"/>
  <c r="AF12" i="76" s="1"/>
  <c r="AI12" i="76" s="1"/>
  <c r="AD17" i="76"/>
  <c r="AF17" i="76" s="1"/>
  <c r="AI17" i="76" s="1"/>
  <c r="AF31" i="76"/>
  <c r="AI31" i="76" s="1"/>
  <c r="AD18" i="76"/>
  <c r="AD24" i="76"/>
  <c r="AD27" i="76"/>
  <c r="AD25" i="76"/>
  <c r="AD28" i="76"/>
  <c r="AD14" i="76"/>
  <c r="AD15" i="76"/>
  <c r="AD26" i="76"/>
  <c r="AD32" i="76"/>
  <c r="AD19" i="76"/>
  <c r="AD30" i="76"/>
  <c r="AD22" i="76"/>
  <c r="AF14" i="76" l="1"/>
  <c r="AI14" i="76" s="1"/>
  <c r="AF28" i="76"/>
  <c r="AI28" i="76" s="1"/>
  <c r="AF25" i="76"/>
  <c r="AI25" i="76" s="1"/>
  <c r="AF27" i="76"/>
  <c r="AI27" i="76" s="1"/>
  <c r="AF19" i="76"/>
  <c r="AI19" i="76" s="1"/>
  <c r="AF24" i="76"/>
  <c r="AI24" i="76" s="1"/>
  <c r="AF30" i="76"/>
  <c r="AI30" i="76" s="1"/>
  <c r="AF22" i="76"/>
  <c r="AI22" i="76" s="1"/>
  <c r="AF18" i="76"/>
  <c r="AI18" i="76" s="1"/>
  <c r="AF26" i="76"/>
  <c r="AI26" i="76" s="1"/>
  <c r="AF32" i="76"/>
  <c r="AI32" i="76" s="1"/>
  <c r="AF15" i="76"/>
  <c r="AI15" i="76" s="1"/>
  <c r="AD33" i="76"/>
  <c r="AI33" i="76" l="1"/>
  <c r="AF33" i="76"/>
  <c r="AL21" i="76" l="1"/>
  <c r="AL13" i="76"/>
  <c r="AL17" i="76"/>
  <c r="AL12" i="76"/>
  <c r="AM12" i="76" s="1"/>
  <c r="H10" i="70" s="1"/>
  <c r="AB10" i="70" s="1"/>
  <c r="AL20" i="76"/>
  <c r="AL29" i="76"/>
  <c r="AL16" i="76"/>
  <c r="AL23" i="76"/>
  <c r="AL31" i="76"/>
  <c r="AL14" i="76"/>
  <c r="AL19" i="76"/>
  <c r="AL18" i="76"/>
  <c r="AL22" i="76"/>
  <c r="AL28" i="76"/>
  <c r="AL24" i="76"/>
  <c r="AL26" i="76"/>
  <c r="AL32" i="76"/>
  <c r="AL27" i="76"/>
  <c r="AL25" i="76"/>
  <c r="AL30" i="76"/>
  <c r="AL15" i="76"/>
  <c r="G10" i="70" l="1"/>
  <c r="J10" i="70" s="1"/>
  <c r="AN12" i="76"/>
  <c r="I10" i="70" s="1"/>
  <c r="AM26" i="76"/>
  <c r="H24" i="70" s="1"/>
  <c r="AB24" i="70" s="1"/>
  <c r="G24" i="70"/>
  <c r="J24" i="70" s="1"/>
  <c r="AQ26" i="76"/>
  <c r="AN26" i="76"/>
  <c r="I24" i="70" s="1"/>
  <c r="AP28" i="72"/>
  <c r="AR26" i="76"/>
  <c r="AN16" i="76"/>
  <c r="I14" i="70" s="1"/>
  <c r="AP18" i="72"/>
  <c r="AR16" i="76"/>
  <c r="AM16" i="76"/>
  <c r="H14" i="70" s="1"/>
  <c r="AB14" i="70" s="1"/>
  <c r="G14" i="70"/>
  <c r="J14" i="70" s="1"/>
  <c r="AQ16" i="76"/>
  <c r="AM28" i="76"/>
  <c r="H26" i="70" s="1"/>
  <c r="AB26" i="70" s="1"/>
  <c r="AP30" i="72"/>
  <c r="AR28" i="76"/>
  <c r="AN28" i="76"/>
  <c r="I26" i="70" s="1"/>
  <c r="G26" i="70"/>
  <c r="J26" i="70" s="1"/>
  <c r="AQ28" i="76"/>
  <c r="AN29" i="76"/>
  <c r="I27" i="70" s="1"/>
  <c r="AP31" i="72"/>
  <c r="AM29" i="76"/>
  <c r="H27" i="70" s="1"/>
  <c r="AB27" i="70" s="1"/>
  <c r="AR29" i="76"/>
  <c r="AQ29" i="76"/>
  <c r="G27" i="70"/>
  <c r="J27" i="70" s="1"/>
  <c r="G21" i="70"/>
  <c r="J21" i="70" s="1"/>
  <c r="AM23" i="76"/>
  <c r="H21" i="70" s="1"/>
  <c r="AB21" i="70" s="1"/>
  <c r="AR23" i="76"/>
  <c r="AQ23" i="76"/>
  <c r="AN23" i="76"/>
  <c r="I21" i="70" s="1"/>
  <c r="AP25" i="72"/>
  <c r="AM15" i="76"/>
  <c r="H13" i="70" s="1"/>
  <c r="AB13" i="70" s="1"/>
  <c r="AQ15" i="76"/>
  <c r="G13" i="70"/>
  <c r="J13" i="70" s="1"/>
  <c r="AP17" i="72"/>
  <c r="AR15" i="76"/>
  <c r="AN15" i="76"/>
  <c r="I13" i="70" s="1"/>
  <c r="AR22" i="76"/>
  <c r="AP24" i="72"/>
  <c r="G20" i="70"/>
  <c r="J20" i="70" s="1"/>
  <c r="AQ22" i="76"/>
  <c r="AM22" i="76"/>
  <c r="H20" i="70" s="1"/>
  <c r="AB20" i="70" s="1"/>
  <c r="AN22" i="76"/>
  <c r="I20" i="70" s="1"/>
  <c r="AR20" i="76"/>
  <c r="AM20" i="76"/>
  <c r="H18" i="70" s="1"/>
  <c r="AB18" i="70" s="1"/>
  <c r="AQ20" i="76"/>
  <c r="G18" i="70"/>
  <c r="J18" i="70" s="1"/>
  <c r="AP22" i="72"/>
  <c r="AN20" i="76"/>
  <c r="I18" i="70" s="1"/>
  <c r="AR30" i="76"/>
  <c r="AN30" i="76"/>
  <c r="I28" i="70" s="1"/>
  <c r="AQ30" i="76"/>
  <c r="AP32" i="72"/>
  <c r="AM30" i="76"/>
  <c r="H28" i="70" s="1"/>
  <c r="AB28" i="70" s="1"/>
  <c r="G28" i="70"/>
  <c r="J28" i="70" s="1"/>
  <c r="AM18" i="76"/>
  <c r="H16" i="70" s="1"/>
  <c r="AB16" i="70" s="1"/>
  <c r="AQ18" i="76"/>
  <c r="AR18" i="76"/>
  <c r="AP20" i="72"/>
  <c r="G16" i="70"/>
  <c r="J16" i="70" s="1"/>
  <c r="AN18" i="76"/>
  <c r="I16" i="70" s="1"/>
  <c r="AQ12" i="76"/>
  <c r="AR12" i="76"/>
  <c r="AP14" i="72"/>
  <c r="AL33" i="76"/>
  <c r="AU2" i="76" s="1"/>
  <c r="AM25" i="76"/>
  <c r="H23" i="70" s="1"/>
  <c r="AB23" i="70" s="1"/>
  <c r="AQ25" i="76"/>
  <c r="AN25" i="76"/>
  <c r="I23" i="70" s="1"/>
  <c r="AP27" i="72"/>
  <c r="G23" i="70"/>
  <c r="J23" i="70" s="1"/>
  <c r="AR25" i="76"/>
  <c r="AP21" i="72"/>
  <c r="AR19" i="76"/>
  <c r="AQ19" i="76"/>
  <c r="G17" i="70"/>
  <c r="J17" i="70" s="1"/>
  <c r="AM19" i="76"/>
  <c r="H17" i="70" s="1"/>
  <c r="AB17" i="70" s="1"/>
  <c r="AN19" i="76"/>
  <c r="I17" i="70" s="1"/>
  <c r="AN17" i="76"/>
  <c r="I15" i="70" s="1"/>
  <c r="AR17" i="76"/>
  <c r="G15" i="70"/>
  <c r="AQ17" i="76"/>
  <c r="AP19" i="72"/>
  <c r="AM17" i="76"/>
  <c r="H15" i="70" s="1"/>
  <c r="AB15" i="70" s="1"/>
  <c r="G22" i="70"/>
  <c r="J22" i="70" s="1"/>
  <c r="AQ24" i="76"/>
  <c r="AP26" i="72"/>
  <c r="AM24" i="76"/>
  <c r="H22" i="70" s="1"/>
  <c r="AB22" i="70" s="1"/>
  <c r="AN24" i="76"/>
  <c r="I22" i="70" s="1"/>
  <c r="AR24" i="76"/>
  <c r="AR27" i="76"/>
  <c r="AQ27" i="76"/>
  <c r="G25" i="70"/>
  <c r="J25" i="70" s="1"/>
  <c r="AP29" i="72"/>
  <c r="AM27" i="76"/>
  <c r="H25" i="70" s="1"/>
  <c r="AB25" i="70" s="1"/>
  <c r="AN27" i="76"/>
  <c r="I25" i="70" s="1"/>
  <c r="AP16" i="72"/>
  <c r="AN14" i="76"/>
  <c r="I12" i="70" s="1"/>
  <c r="AQ14" i="76"/>
  <c r="G12" i="70"/>
  <c r="J12" i="70" s="1"/>
  <c r="AR14" i="76"/>
  <c r="AM14" i="76"/>
  <c r="H12" i="70" s="1"/>
  <c r="AB12" i="70" s="1"/>
  <c r="AM13" i="76"/>
  <c r="AP15" i="72"/>
  <c r="G11" i="70"/>
  <c r="J11" i="70" s="1"/>
  <c r="AR13" i="76"/>
  <c r="AQ13" i="76"/>
  <c r="AN13" i="76"/>
  <c r="I11" i="70" s="1"/>
  <c r="AR32" i="76"/>
  <c r="AP34" i="72"/>
  <c r="AM32" i="76"/>
  <c r="H30" i="70" s="1"/>
  <c r="AB30" i="70" s="1"/>
  <c r="G30" i="70"/>
  <c r="J30" i="70" s="1"/>
  <c r="AQ32" i="76"/>
  <c r="AN32" i="76"/>
  <c r="I30" i="70" s="1"/>
  <c r="G29" i="70"/>
  <c r="J29" i="70" s="1"/>
  <c r="AM31" i="76"/>
  <c r="H29" i="70" s="1"/>
  <c r="AB29" i="70" s="1"/>
  <c r="AQ31" i="76"/>
  <c r="AP33" i="72"/>
  <c r="AN31" i="76"/>
  <c r="I29" i="70" s="1"/>
  <c r="AR31" i="76"/>
  <c r="AM21" i="76"/>
  <c r="H19" i="70" s="1"/>
  <c r="AB19" i="70" s="1"/>
  <c r="AP23" i="72"/>
  <c r="AN21" i="76"/>
  <c r="I19" i="70" s="1"/>
  <c r="G19" i="70"/>
  <c r="J19" i="70" s="1"/>
  <c r="AR21" i="76"/>
  <c r="AQ21" i="76"/>
  <c r="AF27" i="70"/>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I31" i="70" l="1"/>
  <c r="AU36" i="61"/>
  <c r="J15" i="70"/>
  <c r="J31" i="70" s="1"/>
  <c r="I34" i="70" s="1"/>
  <c r="AN33" i="76"/>
  <c r="H11" i="70"/>
  <c r="AM33" i="76"/>
  <c r="AX6" i="76"/>
  <c r="AX7" i="76" s="1"/>
  <c r="BJ6" i="76"/>
  <c r="BJ7" i="76" s="1"/>
  <c r="I33" i="70" s="1"/>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I35" i="70" l="1"/>
  <c r="E13" i="12"/>
  <c r="N13" i="12" s="1"/>
  <c r="I40" i="70"/>
  <c r="AB11" i="70"/>
  <c r="H31" i="70"/>
  <c r="N17" i="12"/>
  <c r="Z131" i="61"/>
  <c r="B24" i="65" l="1"/>
  <c r="D24" i="65" s="1"/>
  <c r="E20" i="12"/>
  <c r="G13" i="12"/>
  <c r="G20" i="12"/>
  <c r="G36" i="11"/>
  <c r="I5" i="89"/>
  <c r="D25" i="65"/>
  <c r="D29" i="65"/>
  <c r="G5" i="89"/>
  <c r="D30" i="65"/>
  <c r="G28" i="12"/>
  <c r="G29" i="11"/>
  <c r="G11" i="11"/>
  <c r="G36" i="12"/>
  <c r="E30" i="11"/>
  <c r="G30" i="12"/>
  <c r="G17" i="12"/>
  <c r="G17" i="11"/>
  <c r="G27" i="12"/>
  <c r="D26" i="65"/>
  <c r="G23" i="11"/>
  <c r="G22" i="12"/>
  <c r="G15" i="11"/>
  <c r="G26" i="12"/>
  <c r="G13" i="11" s="1"/>
  <c r="T38" i="61"/>
  <c r="C22" i="69" s="1"/>
  <c r="G19" i="11"/>
  <c r="T40" i="61"/>
  <c r="G25" i="12"/>
  <c r="G12" i="12"/>
  <c r="K36" i="70"/>
  <c r="L33" i="70"/>
  <c r="K33" i="70"/>
  <c r="I39" i="70"/>
  <c r="G37" i="70"/>
  <c r="I37" i="70"/>
  <c r="I20" i="12"/>
  <c r="E23" i="12"/>
  <c r="B27" i="65" l="1"/>
  <c r="B31" i="65"/>
  <c r="D31" i="65" s="1"/>
  <c r="E31" i="12"/>
  <c r="G31" i="12" s="1"/>
  <c r="G30" i="11"/>
  <c r="I30" i="11"/>
  <c r="G23" i="12"/>
  <c r="D27" i="65"/>
  <c r="B33" i="65" l="1"/>
  <c r="B34" i="65" s="1"/>
  <c r="E34" i="12"/>
  <c r="B35" i="65" l="1"/>
  <c r="D33" i="65"/>
  <c r="M34" i="12"/>
  <c r="I34" i="12"/>
  <c r="C27" i="43" s="1"/>
  <c r="E38" i="12"/>
  <c r="K34" i="12"/>
  <c r="G34" i="12"/>
  <c r="I38" i="12" l="1"/>
  <c r="G38" i="12"/>
  <c r="K38" i="12"/>
  <c r="M38" i="12"/>
  <c r="C28" i="43"/>
  <c r="H38" i="12"/>
  <c r="N38" i="12" s="1"/>
  <c r="H3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<sst xmlns="http://schemas.openxmlformats.org/spreadsheetml/2006/main" count="5316" uniqueCount="1601">
  <si>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</si>
  <si>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</si>
  <si>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</si>
  <si>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</si>
  <si>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</si>
  <si>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</si>
  <si>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</si>
  <si>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</si>
  <si>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</si>
  <si>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</si>
  <si>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</si>
  <si>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</si>
  <si>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</si>
  <si>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</si>
  <si>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</si>
  <si>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</si>
  <si>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</si>
  <si>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</si>
  <si>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</si>
  <si>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</si>
  <si>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</si>
  <si>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</si>
  <si>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</si>
  <si>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</si>
  <si>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</si>
  <si>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</si>
  <si>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</si>
  <si>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</si>
  <si>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</si>
  <si>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</si>
  <si>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</si>
  <si>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</si>
  <si>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</si>
  <si>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</si>
  <si>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</si>
  <si>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</si>
  <si>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</si>
  <si>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</si>
  <si>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</si>
  <si>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</si>
  <si>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</si>
  <si>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</si>
  <si>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</si>
  <si>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</si>
  <si>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</si>
  <si>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</si>
  <si>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</si>
  <si>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</si>
  <si>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</si>
  <si>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</si>
  <si>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</si>
  <si>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</si>
  <si>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</si>
  <si>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</si>
  <si>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</si>
  <si>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</si>
  <si>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</si>
  <si>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</si>
  <si>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</si>
  <si>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</si>
  <si>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</si>
  <si>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</si>
  <si>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</si>
  <si>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</si>
  <si>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</si>
  <si>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</si>
  <si>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</si>
  <si>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</si>
  <si>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</si>
  <si>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</si>
  <si>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</si>
  <si>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</si>
  <si>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</si>
  <si>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</si>
  <si>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</si>
  <si>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</si>
  <si>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</si>
  <si>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</si>
  <si>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</si>
  <si>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</si>
  <si>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</si>
  <si>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</si>
  <si>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</si>
  <si>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</si>
  <si>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</si>
  <si>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</si>
  <si>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</si>
  <si>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</si>
  <si>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</si>
  <si>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</si>
  <si>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</si>
  <si>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</si>
  <si>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</si>
  <si>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</si>
  <si>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</si>
  <si>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</si>
  <si>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</si>
  <si>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</si>
  <si>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</si>
  <si>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</si>
  <si>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</si>
  <si>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</si>
  <si>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</si>
  <si>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</si>
  <si>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</si>
  <si>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</si>
  <si>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</si>
  <si>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</si>
  <si>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</si>
  <si>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</si>
  <si>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</si>
  <si>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</si>
  <si>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</si>
  <si>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</si>
  <si>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</si>
  <si>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</si>
  <si>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</si>
  <si>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</si>
  <si>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</si>
  <si>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</si>
  <si>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</si>
  <si>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</si>
  <si>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</si>
  <si>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</si>
  <si>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</si>
  <si>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</si>
  <si>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</si>
  <si>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</si>
  <si>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</si>
  <si>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</si>
  <si>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</si>
  <si>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</si>
  <si>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</si>
  <si>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</si>
  <si>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</si>
  <si>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</si>
  <si>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</si>
  <si>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</si>
  <si>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</si>
  <si>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</si>
  <si>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</si>
  <si>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</si>
  <si>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</si>
  <si>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</si>
  <si>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</si>
  <si>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</si>
  <si>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</si>
  <si>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</si>
  <si>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</si>
  <si>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</si>
  <si>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</si>
  <si>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</si>
  <si>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</si>
  <si>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</si>
  <si>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</si>
  <si>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</si>
  <si>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</si>
  <si>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</si>
  <si>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</si>
  <si>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</si>
  <si>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</si>
  <si>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</si>
  <si>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</si>
  <si>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</si>
  <si>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</si>
  <si>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</si>
  <si>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</si>
  <si>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</si>
  <si>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</si>
  <si>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</si>
  <si>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</si>
  <si>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</si>
  <si>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</si>
  <si>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</si>
  <si>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</si>
  <si>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</si>
  <si>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</si>
  <si>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</si>
  <si>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</si>
  <si>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</si>
  <si>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</si>
  <si>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</si>
  <si>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</si>
  <si>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</si>
  <si>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</si>
  <si>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</si>
  <si>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</si>
  <si>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</si>
  <si>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</si>
  <si>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</si>
  <si>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</si>
  <si>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</si>
  <si>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</si>
  <si>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</si>
  <si>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</si>
  <si>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</si>
  <si>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</si>
  <si>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</si>
  <si>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</si>
  <si>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</si>
  <si>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</si>
  <si>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</si>
  <si>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</si>
  <si>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</si>
  <si>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</si>
  <si>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</si>
  <si>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</si>
  <si>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</si>
  <si>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</si>
  <si>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</si>
  <si>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</si>
  <si>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</si>
  <si>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</si>
  <si>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</si>
  <si>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</si>
  <si>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</si>
  <si>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</si>
  <si>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</si>
  <si>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</si>
  <si>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</si>
  <si>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</si>
  <si>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</si>
  <si>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</si>
  <si>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</si>
  <si>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</si>
  <si>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</si>
  <si>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</si>
  <si>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</si>
  <si>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</si>
  <si>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</si>
  <si>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</si>
  <si>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</si>
  <si>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</si>
  <si>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</si>
  <si>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</si>
  <si>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</si>
  <si>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</si>
  <si>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</si>
  <si>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</si>
  <si>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</si>
  <si>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</si>
  <si>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</si>
  <si>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</si>
  <si>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</si>
  <si>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</si>
  <si>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</si>
  <si>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</si>
  <si>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</si>
  <si>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</si>
  <si>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</si>
  <si>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</si>
  <si>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</si>
  <si>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</si>
  <si>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</si>
  <si>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</si>
  <si>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</si>
  <si>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</si>
  <si>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</si>
  <si>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</si>
  <si>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</si>
  <si>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</si>
  <si>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</si>
  <si>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</si>
  <si>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</si>
  <si>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</si>
  <si>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</si>
  <si>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</si>
  <si>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</si>
  <si>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</si>
  <si>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</si>
  <si>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</si>
  <si>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</si>
  <si>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</si>
  <si>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</si>
  <si>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</si>
  <si>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</si>
  <si>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</si>
  <si>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</si>
  <si>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</si>
  <si>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</si>
  <si>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</si>
  <si>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</si>
  <si>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</si>
  <si>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</si>
  <si>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</si>
  <si>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</si>
  <si>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</si>
  <si>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</si>
  <si>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</si>
  <si>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</si>
  <si>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</si>
  <si>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</si>
  <si>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</si>
  <si>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</si>
  <si>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</si>
  <si>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</si>
  <si>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</si>
  <si>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</si>
  <si>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</si>
  <si>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</si>
  <si>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</si>
  <si>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</si>
  <si>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</si>
  <si>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</si>
  <si>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</si>
  <si>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</si>
  <si>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</si>
  <si>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</si>
  <si>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</si>
  <si>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</si>
  <si>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</si>
  <si>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</si>
  <si>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</si>
  <si>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</si>
  <si>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</si>
  <si>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</si>
  <si>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</si>
  <si>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</si>
  <si>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</si>
  <si>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</si>
  <si>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</si>
  <si>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</si>
  <si>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</si>
  <si>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</si>
  <si>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</si>
  <si>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</si>
  <si>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</si>
  <si>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</si>
  <si>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</si>
  <si>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</si>
  <si>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</si>
  <si>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</si>
  <si>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</si>
  <si>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</si>
  <si>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</si>
  <si>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</si>
  <si>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</si>
  <si>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</si>
  <si>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</si>
  <si>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</si>
  <si>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</si>
  <si>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</si>
  <si>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</si>
  <si>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</si>
  <si>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</si>
  <si>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</si>
  <si>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</si>
  <si>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</si>
  <si>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</si>
  <si>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</si>
  <si>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</si>
  <si>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</si>
  <si>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</si>
  <si>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</si>
  <si>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</si>
  <si>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</si>
  <si>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</si>
  <si>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</si>
  <si>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</si>
  <si>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</si>
  <si>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</si>
  <si>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</si>
  <si>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</si>
  <si>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</si>
  <si>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</si>
  <si>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</si>
  <si>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</si>
  <si>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</si>
  <si>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</si>
  <si>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</si>
  <si>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</si>
  <si>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</si>
  <si>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</si>
  <si>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</si>
  <si>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</si>
  <si>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</si>
  <si>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</si>
  <si>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</si>
  <si>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</si>
  <si>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</si>
  <si>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</si>
  <si>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</si>
  <si>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</si>
  <si>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</si>
  <si>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</si>
  <si>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</si>
  <si>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</si>
  <si>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</si>
  <si>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</si>
  <si>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</si>
  <si>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</si>
  <si>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</si>
  <si>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</si>
  <si>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</si>
  <si>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</si>
  <si>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</si>
  <si>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</si>
  <si>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</si>
  <si>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</si>
  <si>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</si>
  <si>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</si>
  <si>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</si>
  <si>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</si>
  <si>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</si>
  <si>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</si>
  <si>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</si>
  <si>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</si>
  <si>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</si>
  <si>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</si>
  <si>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</si>
  <si>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</si>
  <si>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</si>
  <si>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</si>
  <si>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</si>
  <si>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</si>
  <si>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</si>
  <si>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</si>
  <si>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</si>
  <si>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</si>
  <si>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</si>
  <si>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</si>
  <si>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</si>
  <si>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</si>
  <si>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</si>
  <si>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</si>
  <si>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</si>
  <si>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</si>
  <si>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</si>
  <si>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</si>
  <si>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</si>
  <si>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</si>
  <si>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</si>
  <si>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</si>
  <si>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</si>
  <si>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</si>
  <si>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</si>
  <si>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</si>
  <si>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</si>
  <si>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</si>
  <si>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</si>
  <si>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</si>
  <si>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</si>
  <si>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</si>
  <si>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</si>
  <si>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</si>
  <si>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</si>
  <si>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</si>
  <si>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</si>
  <si>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</si>
  <si>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</si>
  <si>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</si>
  <si>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</si>
  <si>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</si>
  <si>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</si>
  <si>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</si>
  <si>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</si>
  <si>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</si>
  <si>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</si>
  <si>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</si>
  <si>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</si>
  <si>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</si>
  <si>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</si>
  <si>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</si>
  <si>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</si>
  <si>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</si>
  <si>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</si>
  <si>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</si>
  <si>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</si>
  <si>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</si>
  <si>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</si>
  <si>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</si>
  <si>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</si>
  <si>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</si>
  <si>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</si>
  <si>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</si>
  <si>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</si>
  <si>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</si>
  <si>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</si>
  <si>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</si>
  <si>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</si>
  <si>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</si>
  <si>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</si>
  <si>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</si>
  <si>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</si>
  <si>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</si>
  <si>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</si>
  <si>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</si>
  <si>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</si>
  <si>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</si>
  <si>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</si>
  <si>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</si>
  <si>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</si>
  <si>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</si>
  <si>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</si>
  <si>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</si>
  <si>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</si>
  <si>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</si>
  <si>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</si>
  <si>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</si>
  <si>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</si>
  <si>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</si>
  <si>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</si>
  <si>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</si>
  <si>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</si>
  <si>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</si>
  <si>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</si>
  <si>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</si>
  <si>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</si>
  <si>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</si>
  <si>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</si>
  <si>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</si>
  <si>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</si>
  <si>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</si>
  <si>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</si>
  <si>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</si>
  <si>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</si>
  <si>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</si>
  <si>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</si>
  <si>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</si>
  <si>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</si>
  <si>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</si>
  <si>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</si>
  <si>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</si>
  <si>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</si>
  <si>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</si>
  <si>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</si>
  <si>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</si>
  <si>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</si>
  <si>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</si>
  <si>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</si>
  <si>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</si>
  <si>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</si>
  <si>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</si>
  <si>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</si>
  <si>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</si>
  <si>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</si>
  <si>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</si>
  <si>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</si>
  <si>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</si>
  <si>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</si>
  <si>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</si>
  <si>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</si>
  <si>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</si>
  <si>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</si>
  <si>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</si>
  <si>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</si>
  <si>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</si>
  <si>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</si>
  <si>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</si>
  <si>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</si>
  <si>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</si>
  <si>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</si>
  <si>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</si>
  <si>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</si>
  <si>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</si>
  <si>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</si>
  <si>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</si>
  <si>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</si>
  <si>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</si>
  <si>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</si>
  <si>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</si>
  <si>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</si>
  <si>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</si>
  <si>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</si>
  <si>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</si>
  <si>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</si>
  <si>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</si>
  <si>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</si>
  <si>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</si>
  <si>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</si>
  <si>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</si>
  <si>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</si>
  <si>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</si>
  <si>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</si>
  <si>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</si>
  <si>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</si>
  <si>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</si>
  <si>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</si>
  <si>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</si>
  <si>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</si>
  <si>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</si>
  <si>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</si>
  <si>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</si>
  <si>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</si>
  <si>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</si>
  <si>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</si>
  <si>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</si>
  <si>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</si>
  <si>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</si>
  <si>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</si>
  <si>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</si>
  <si>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</si>
  <si>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</si>
  <si>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</si>
  <si>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</si>
  <si>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</si>
  <si>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</si>
  <si>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</si>
  <si>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</si>
  <si>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</si>
  <si>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</si>
  <si>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</si>
  <si>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</si>
  <si>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</si>
  <si>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</si>
  <si>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</si>
  <si>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</si>
  <si>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</si>
  <si>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</si>
  <si>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</si>
  <si>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</si>
  <si>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</si>
  <si>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</si>
  <si>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</si>
  <si>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</si>
  <si>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</si>
  <si>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</si>
  <si>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</si>
  <si>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</si>
  <si>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</si>
  <si>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</si>
  <si>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</si>
  <si>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</si>
  <si>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</si>
  <si>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</si>
  <si>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</si>
  <si>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</si>
  <si>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</si>
  <si>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</si>
  <si>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</si>
  <si>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</si>
  <si>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</si>
  <si>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</si>
  <si>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</si>
  <si>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</si>
  <si>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</si>
  <si>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</si>
  <si>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</si>
  <si>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</si>
  <si>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</si>
  <si>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</si>
  <si>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</si>
  <si>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</si>
  <si>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</si>
  <si>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</si>
  <si>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</si>
  <si>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</si>
  <si>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</si>
  <si>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</si>
  <si>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</si>
  <si>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</si>
  <si>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</si>
  <si>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</si>
  <si>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</si>
  <si>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</si>
  <si>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</si>
  <si>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</si>
  <si>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</si>
  <si>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</si>
  <si>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</si>
  <si>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</si>
  <si>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</si>
  <si>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</si>
  <si>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</si>
  <si>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</si>
  <si>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</si>
  <si>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</si>
  <si>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</si>
  <si>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</si>
  <si>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</si>
  <si>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</si>
  <si>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</si>
  <si>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</si>
  <si>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</si>
  <si>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</si>
  <si>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</si>
  <si>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</si>
  <si>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</si>
  <si>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</si>
  <si>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</si>
  <si>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</si>
  <si>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</si>
  <si>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</si>
  <si>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</si>
  <si>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</si>
  <si>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</si>
  <si>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</si>
  <si>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</si>
  <si>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</si>
  <si>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</si>
  <si>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</si>
  <si>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</si>
  <si>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</si>
  <si>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</si>
  <si>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</si>
  <si>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</si>
  <si>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</si>
  <si>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</si>
  <si>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</si>
  <si>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</si>
  <si>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</si>
  <si>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</si>
  <si>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</si>
  <si>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</si>
  <si>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</si>
  <si>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</si>
  <si>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</si>
  <si>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</si>
  <si>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</si>
  <si>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</si>
  <si>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</si>
  <si>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</si>
  <si>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</si>
  <si>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</si>
  <si>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</si>
  <si>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</si>
  <si>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</si>
  <si>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</si>
  <si>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</si>
  <si>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</si>
  <si>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</si>
  <si>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</si>
  <si>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</si>
  <si>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</si>
  <si>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</si>
  <si>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</si>
  <si>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</si>
  <si>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</si>
  <si>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</si>
  <si>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</si>
  <si>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</si>
  <si>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</si>
  <si>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</si>
  <si>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</si>
  <si>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</si>
  <si>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</si>
  <si>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</si>
  <si>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</si>
  <si>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</si>
  <si>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</si>
  <si>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</si>
  <si>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</si>
  <si>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</si>
  <si>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</si>
  <si>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</si>
  <si>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</si>
  <si>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</si>
  <si>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</si>
  <si>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</si>
  <si>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</si>
  <si>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</si>
  <si>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</si>
  <si>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</si>
  <si>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</si>
  <si>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</si>
  <si>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</si>
  <si>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</si>
  <si>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</si>
  <si>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</si>
  <si>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</si>
  <si>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</si>
  <si>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</si>
  <si>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</si>
  <si>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</si>
  <si>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</si>
  <si>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</si>
  <si>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</si>
  <si>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</si>
  <si>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</si>
  <si>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</si>
  <si>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</si>
  <si>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</si>
  <si>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</si>
  <si>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</si>
  <si>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</si>
  <si>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</si>
  <si>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</si>
  <si>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</si>
  <si>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</si>
  <si>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</si>
  <si>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</si>
  <si>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</si>
  <si>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</si>
  <si>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</si>
  <si>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</si>
  <si>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</si>
  <si>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</si>
  <si>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</si>
  <si>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</si>
  <si>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</si>
  <si>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</si>
  <si>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</si>
  <si>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</si>
  <si>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</si>
  <si>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</si>
  <si>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</si>
  <si>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</si>
  <si>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</si>
  <si>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</si>
  <si>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</si>
  <si>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</si>
  <si>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</si>
  <si>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</si>
  <si>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</si>
  <si>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</si>
  <si>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</si>
  <si>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</si>
  <si>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</si>
  <si>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</si>
  <si>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</si>
  <si>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</si>
  <si>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</si>
  <si>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</si>
  <si>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</si>
  <si>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</si>
  <si>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</si>
  <si>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</si>
  <si>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</si>
  <si>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</si>
  <si>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</si>
  <si>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</si>
  <si>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</si>
  <si>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</si>
  <si>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</si>
  <si>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</si>
  <si>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</si>
  <si>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</si>
  <si>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</si>
  <si>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</si>
  <si>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</si>
  <si>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</si>
  <si>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</si>
  <si>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</si>
  <si>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</si>
  <si>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</si>
  <si>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</si>
  <si>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</si>
  <si>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</si>
  <si>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</si>
  <si>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</si>
  <si>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</si>
  <si>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</si>
  <si>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</si>
  <si>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</si>
  <si>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</si>
  <si>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</si>
  <si>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</si>
  <si>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</si>
  <si>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</si>
  <si>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</si>
  <si>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</si>
  <si>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</si>
  <si>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</si>
  <si>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</si>
  <si>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</si>
  <si>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</si>
  <si>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</si>
  <si>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</si>
  <si>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</si>
  <si>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</si>
  <si>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</si>
  <si>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</si>
  <si>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</si>
  <si>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</si>
  <si>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</si>
  <si>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</si>
  <si>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</si>
  <si>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</si>
  <si>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</si>
  <si>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</si>
  <si>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</si>
  <si>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</si>
  <si>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</si>
  <si>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</si>
  <si>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</si>
  <si>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</si>
  <si>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</si>
  <si>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</si>
  <si>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</si>
  <si>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</si>
  <si>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</si>
  <si>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</si>
  <si>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</si>
  <si>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</si>
  <si>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</si>
  <si>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</si>
  <si>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</si>
  <si>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</si>
  <si>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</si>
  <si>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</si>
  <si>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</si>
  <si>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</si>
  <si>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</si>
  <si>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</si>
  <si>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</si>
  <si>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</si>
  <si>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</si>
  <si>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</si>
  <si>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</si>
  <si>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</si>
  <si>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</si>
  <si>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</si>
  <si>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</si>
  <si>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</si>
  <si>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</si>
  <si>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</si>
  <si>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</si>
  <si>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</si>
  <si>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</si>
  <si>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</si>
  <si>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</si>
  <si>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</si>
  <si>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</si>
  <si>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</si>
  <si>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</si>
  <si>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</si>
  <si>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</si>
  <si>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</si>
  <si>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</si>
  <si>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</si>
  <si>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</si>
  <si>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</si>
  <si>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</si>
  <si>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</si>
  <si>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</si>
  <si>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</si>
  <si>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</si>
  <si>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</si>
  <si>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</si>
  <si>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</si>
  <si>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</si>
  <si>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</si>
  <si>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</si>
  <si>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</si>
  <si>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</si>
  <si>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</si>
  <si>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</si>
  <si>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</si>
  <si>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</si>
  <si>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</si>
  <si>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</si>
  <si>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</si>
  <si>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</si>
  <si>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</si>
  <si>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</si>
  <si>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</si>
  <si>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</si>
  <si>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</si>
  <si>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</si>
  <si>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</si>
  <si>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</si>
  <si>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</si>
  <si>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</si>
  <si>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</si>
  <si>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</si>
  <si>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</si>
  <si>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</si>
  <si>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</si>
  <si>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</si>
  <si>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</si>
  <si>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</si>
  <si>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</si>
  <si>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</si>
  <si>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</si>
  <si>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</si>
  <si>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</si>
  <si>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</si>
  <si>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</si>
  <si>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</si>
  <si>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</si>
  <si>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</si>
  <si>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</si>
  <si>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</si>
  <si>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</si>
  <si>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</si>
  <si>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</si>
  <si>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</si>
  <si>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</si>
  <si>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</si>
  <si>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</si>
  <si>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</si>
  <si>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</si>
  <si>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</si>
  <si>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</si>
  <si>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</si>
  <si>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</si>
  <si>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</si>
  <si>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</si>
  <si>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</si>
  <si>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</si>
  <si>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</si>
  <si>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</si>
  <si>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</si>
  <si>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</si>
  <si>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</si>
  <si>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</si>
  <si>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</si>
  <si>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</si>
  <si>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</si>
  <si>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</si>
  <si>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</si>
  <si>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</si>
  <si>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</si>
  <si>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</si>
  <si>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</si>
  <si>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</si>
  <si>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</si>
  <si>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</si>
  <si>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</si>
  <si>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</si>
  <si>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</si>
  <si>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</si>
  <si>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</si>
  <si>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</si>
  <si>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</si>
  <si>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</si>
  <si>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</si>
  <si>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</si>
  <si>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</si>
  <si>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</si>
  <si>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</si>
  <si>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</si>
  <si>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</si>
  <si>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</si>
  <si>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</si>
  <si>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</si>
  <si>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</si>
  <si>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</si>
  <si>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</si>
  <si>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</si>
  <si>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</si>
  <si>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</si>
  <si>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</si>
  <si>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</si>
  <si>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</si>
  <si>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</si>
  <si>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</si>
  <si>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</si>
  <si>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</si>
  <si>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</si>
  <si>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</si>
  <si>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</si>
  <si>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</si>
  <si>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</si>
  <si>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</si>
  <si>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</si>
  <si>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</si>
  <si>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</si>
  <si>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</si>
  <si>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</si>
  <si>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</si>
  <si>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</si>
  <si>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</si>
  <si>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</si>
  <si>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</si>
  <si>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</si>
  <si>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</si>
  <si>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</si>
  <si>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</si>
  <si>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</si>
  <si>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</si>
  <si>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</si>
  <si>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</si>
  <si>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</si>
  <si>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</si>
  <si>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</si>
  <si>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</si>
  <si>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</si>
  <si>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</si>
  <si>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</si>
  <si>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</si>
  <si>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</si>
  <si>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</si>
  <si>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</si>
  <si>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</si>
  <si>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</si>
  <si>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</si>
  <si>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</si>
  <si>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</si>
  <si>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</si>
  <si>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</si>
  <si>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</si>
  <si>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</si>
  <si>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</si>
  <si>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</si>
  <si>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</si>
  <si>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</si>
  <si>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</si>
  <si>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</si>
  <si>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</si>
  <si>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</si>
  <si>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</si>
  <si>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</si>
  <si>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</si>
  <si>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</si>
  <si>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</si>
  <si>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</si>
  <si>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</si>
  <si>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</si>
  <si>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</si>
  <si>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</si>
  <si>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</si>
  <si>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</si>
  <si>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</si>
  <si>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</si>
  <si>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</si>
  <si>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</si>
  <si>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</si>
  <si>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</si>
  <si>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</si>
  <si>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</si>
  <si>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</si>
  <si>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</si>
  <si>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</si>
  <si>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</si>
  <si>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</si>
  <si>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</si>
  <si>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</si>
  <si>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</si>
  <si>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</si>
  <si>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</si>
  <si>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</si>
  <si>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</si>
  <si>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</si>
  <si>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</si>
  <si>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</si>
  <si>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</si>
  <si>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</si>
  <si>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</si>
  <si>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</si>
  <si>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</si>
  <si>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</si>
  <si>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</si>
  <si>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</si>
  <si>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</si>
  <si>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</si>
  <si>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</si>
  <si>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</si>
  <si>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</si>
  <si>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</si>
  <si>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</si>
  <si>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</si>
  <si>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</si>
  <si>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</si>
  <si>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</si>
  <si>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</si>
  <si>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</si>
  <si>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</si>
  <si>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</si>
  <si>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</si>
  <si>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</si>
  <si>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</si>
  <si>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</si>
  <si>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</si>
  <si>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</si>
  <si>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</si>
  <si>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</si>
  <si>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</si>
  <si>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</si>
  <si>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</si>
  <si>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</si>
  <si>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</si>
  <si>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</si>
  <si>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</si>
  <si>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</si>
  <si>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</si>
  <si>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</si>
  <si>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</si>
  <si>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</si>
  <si>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</si>
  <si>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</si>
  <si>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</si>
  <si>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</si>
  <si>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</si>
  <si>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</si>
  <si>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</si>
  <si>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</si>
  <si>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</si>
  <si>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</si>
  <si>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</si>
  <si>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</si>
  <si>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</si>
  <si>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</si>
  <si>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</si>
  <si>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</si>
  <si>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</si>
  <si>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</si>
  <si>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</si>
  <si>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</si>
  <si>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</si>
  <si>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</si>
  <si>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</si>
  <si>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</si>
  <si>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</si>
  <si>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</si>
  <si>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</si>
  <si>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</si>
  <si>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</si>
  <si>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</si>
  <si>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</si>
  <si>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</si>
  <si>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</si>
  <si>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</si>
  <si>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</si>
  <si>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</si>
  <si>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</si>
  <si>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</si>
  <si>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</si>
  <si>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</si>
  <si>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</si>
  <si>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</si>
  <si>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</si>
  <si>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</si>
  <si>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</si>
  <si>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</si>
  <si>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</si>
  <si>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</si>
  <si>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</si>
  <si>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</si>
  <si>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</si>
  <si>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</si>
  <si>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</si>
  <si>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</si>
  <si>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</si>
  <si>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</si>
  <si>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</si>
  <si>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</si>
  <si>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</si>
  <si>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</si>
  <si>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</si>
  <si>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</si>
  <si>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</si>
  <si>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</si>
  <si>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</si>
  <si>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</si>
  <si>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</si>
  <si>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</si>
  <si>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</si>
  <si>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</si>
  <si>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</si>
  <si>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</si>
  <si>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</si>
  <si>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</si>
  <si>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</si>
  <si>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</si>
  <si>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</si>
  <si>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</si>
  <si>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</si>
  <si>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</si>
  <si>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</si>
  <si>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</si>
  <si>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</si>
  <si>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</si>
  <si>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</si>
  <si>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</si>
  <si>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</si>
  <si>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</si>
  <si>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</si>
  <si>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</si>
  <si>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</si>
  <si>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</si>
  <si>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</si>
  <si>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</si>
  <si>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</si>
  <si>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</si>
  <si>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</si>
  <si>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</si>
  <si>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</si>
  <si>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</si>
  <si>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</si>
  <si>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</si>
  <si>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</si>
  <si>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</si>
  <si>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</si>
  <si>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</si>
  <si>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</si>
  <si>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</si>
  <si>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</si>
  <si>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</si>
  <si>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</si>
  <si>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</si>
  <si>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</si>
  <si>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</si>
  <si>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</si>
  <si>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</si>
  <si>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</si>
  <si>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</si>
  <si>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</si>
  <si>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</si>
  <si>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</si>
  <si>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</si>
  <si>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</si>
  <si>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</si>
  <si>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</si>
  <si>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</si>
  <si>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</si>
  <si>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</si>
  <si>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</si>
  <si>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</si>
  <si>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</si>
  <si>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</si>
  <si>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</si>
  <si>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</si>
  <si>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</si>
  <si>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</si>
  <si>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</si>
  <si>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</si>
  <si>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</si>
  <si>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</si>
  <si>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</si>
  <si>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</si>
  <si>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</si>
  <si>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</si>
  <si>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</si>
  <si>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</si>
  <si>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</si>
  <si>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</si>
  <si>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</si>
  <si>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</si>
  <si>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</si>
  <si>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</si>
  <si>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</si>
  <si>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</si>
  <si>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</si>
  <si>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</si>
  <si>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</si>
  <si>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</si>
  <si>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</si>
  <si>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</si>
  <si>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</si>
  <si>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</si>
  <si>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</si>
  <si>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</si>
  <si>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</si>
  <si>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</si>
  <si>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</si>
  <si>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</si>
  <si>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</si>
  <si>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</si>
  <si>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</si>
  <si>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</si>
  <si>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</si>
  <si>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</si>
  <si>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</si>
  <si>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</si>
  <si>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</si>
  <si>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</si>
  <si>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</si>
  <si>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</si>
  <si>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</si>
  <si>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</si>
  <si>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</si>
  <si>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</si>
  <si>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</si>
  <si>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</si>
  <si>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</si>
  <si>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</si>
  <si>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</si>
  <si>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</si>
  <si>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</si>
  <si>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</si>
  <si>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</si>
  <si>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</si>
  <si>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</si>
  <si>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</si>
  <si>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</si>
  <si>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</si>
  <si>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</si>
  <si>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</si>
  <si>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</si>
  <si>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</si>
  <si>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</si>
  <si>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</si>
  <si>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</si>
  <si>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</si>
  <si>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</si>
  <si>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</si>
  <si>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</si>
  <si>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</si>
  <si>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</si>
  <si>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</si>
  <si>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</si>
  <si>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</si>
  <si>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</si>
  <si>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</si>
  <si>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</si>
  <si>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</si>
  <si>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</si>
  <si>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</si>
  <si>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</si>
  <si>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</si>
  <si>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</si>
  <si>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</si>
  <si>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</si>
  <si>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</si>
  <si>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</si>
  <si>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</si>
  <si>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</si>
  <si>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</si>
  <si>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</si>
  <si>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</si>
  <si>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</si>
  <si>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</si>
  <si>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</si>
  <si>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</si>
  <si>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</si>
  <si>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</si>
  <si>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</si>
  <si>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</si>
  <si>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</si>
  <si>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</si>
  <si>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</si>
  <si>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</si>
  <si>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</si>
  <si>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</si>
  <si>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</si>
  <si>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</si>
  <si>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</si>
  <si>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</si>
  <si>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</si>
  <si>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</si>
  <si>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</si>
  <si>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</si>
  <si>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</si>
  <si>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</si>
  <si>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</si>
  <si>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</si>
  <si>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</si>
  <si>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</si>
  <si>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</si>
  <si>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</si>
  <si>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</si>
  <si>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</si>
  <si>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</si>
  <si>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</si>
  <si>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</si>
  <si>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</si>
  <si>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</si>
  <si>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</si>
  <si>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</si>
  <si>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</si>
  <si>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</si>
  <si>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</si>
  <si>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</si>
  <si>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</si>
  <si>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</si>
  <si>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</si>
  <si>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</si>
  <si>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</si>
  <si>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</si>
  <si>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</si>
  <si>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</si>
  <si>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</si>
  <si>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</si>
  <si>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</si>
  <si>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</si>
  <si>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</si>
  <si>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</si>
  <si>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</si>
  <si>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</si>
  <si>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</si>
  <si>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</si>
  <si>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</si>
  <si>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</si>
  <si>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</si>
  <si>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</si>
  <si>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</si>
  <si>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</si>
  <si>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</si>
  <si>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</si>
  <si>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</si>
  <si>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</si>
  <si>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</si>
  <si>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</si>
  <si>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</si>
  <si>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</si>
  <si>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</si>
  <si>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</si>
  <si>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</si>
  <si>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</si>
  <si>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</si>
  <si>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</si>
  <si>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</si>
  <si>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</si>
  <si>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</si>
  <si>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</si>
  <si>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</si>
  <si>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</si>
  <si>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</si>
  <si>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</si>
  <si>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</si>
  <si>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</si>
  <si>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</si>
  <si>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</si>
  <si>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</si>
  <si>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</si>
  <si>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</si>
  <si>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</si>
  <si>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</si>
  <si>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</si>
  <si>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</si>
  <si>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</si>
  <si>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</si>
  <si>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</si>
  <si>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</si>
  <si>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</si>
  <si>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</si>
  <si>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</si>
  <si>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</si>
  <si>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</si>
  <si>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</si>
  <si>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</si>
  <si>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</si>
  <si>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</si>
  <si>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</si>
  <si>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</si>
  <si>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</si>
  <si>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</si>
  <si>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</si>
  <si>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</si>
  <si>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</si>
  <si>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</si>
  <si>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</si>
  <si>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</si>
  <si>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</si>
  <si>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</si>
  <si>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</si>
  <si>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</si>
  <si>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</si>
  <si>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</si>
  <si>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</si>
  <si>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</si>
  <si>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</si>
  <si>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</si>
  <si>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</si>
  <si>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</si>
  <si>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</si>
  <si>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</si>
  <si>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</si>
  <si>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</si>
  <si>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</si>
  <si>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</si>
  <si>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</si>
  <si>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</si>
  <si>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</si>
  <si>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</si>
  <si>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</si>
  <si>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</si>
  <si>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</si>
  <si>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</si>
  <si>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</si>
  <si>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</si>
  <si>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</si>
  <si>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</si>
  <si>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</si>
  <si>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</si>
  <si>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</si>
  <si>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</si>
  <si>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</si>
  <si>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</si>
  <si>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</si>
  <si>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</si>
  <si>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</si>
  <si>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</si>
  <si>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</si>
  <si>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</si>
  <si>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</si>
  <si>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</si>
  <si>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</si>
  <si>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</si>
  <si>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</si>
  <si>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</si>
  <si>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</si>
  <si>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</si>
  <si>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</si>
  <si>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</si>
  <si>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</si>
  <si>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</si>
  <si>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</si>
  <si>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</si>
  <si>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</si>
  <si>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</si>
  <si>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</si>
  <si>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</si>
  <si>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</si>
  <si>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</si>
  <si>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</si>
  <si>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</si>
  <si>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</si>
  <si>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</si>
  <si>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</si>
  <si>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</si>
  <si>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</si>
  <si>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</si>
  <si>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</si>
  <si>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</si>
  <si>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</si>
  <si>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</si>
  <si>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</si>
  <si>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</si>
  <si>
    <t>Basket Composition 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</si>
</sst>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0" fillId="0" borderId="0" xfId="0"/>
    <xf numFmtId="0" fontId="42" fillId="0" borderId="0" xfId="0" applyFont="1" applyAlignment="1">
      <alignment horizontal="center" vertical="center" wrapText="1"/>
    </xf>
    <xf numFmtId="10" fontId="0" fillId="3" borderId="0" xfId="0" applyNumberFormat="1" applyFill="1" applyAlignment="1">
      <alignment horizont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00" t="s">
        <v>779</v>
      </c>
      <c r="B1" s="1200"/>
      <c r="C1" s="1200"/>
      <c r="D1" s="1200"/>
      <c r="E1" s="1200"/>
    </row>
    <row r="2" spans="1:5" x14ac:dyDescent="0.25">
      <c r="A2" s="1200" t="s">
        <v>780</v>
      </c>
      <c r="B2" s="1200"/>
      <c r="C2" s="1200"/>
      <c r="D2" s="1200"/>
      <c r="E2" s="1200"/>
    </row>
    <row r="3" spans="1:5" x14ac:dyDescent="0.25">
      <c r="A3" s="74"/>
    </row>
    <row r="4" spans="1:5" ht="78" customHeight="1" x14ac:dyDescent="0.25">
      <c r="A4" s="1218" t="s">
        <v>781</v>
      </c>
      <c r="B4" s="1218"/>
      <c r="C4" s="1218"/>
      <c r="D4" s="1218"/>
      <c r="E4" s="1218"/>
    </row>
    <row r="5" spans="1:5" x14ac:dyDescent="0.25">
      <c r="A5" s="74"/>
    </row>
    <row r="6" spans="1:5" ht="31.5" customHeight="1" x14ac:dyDescent="0.25">
      <c r="A6" s="1217" t="s">
        <v>782</v>
      </c>
      <c r="B6" s="1217"/>
      <c r="C6" s="1217"/>
      <c r="D6" s="1217"/>
      <c r="E6" s="1217"/>
    </row>
    <row r="7" spans="1:5" ht="15.75" thickBot="1" x14ac:dyDescent="0.3">
      <c r="A7" s="75"/>
    </row>
    <row r="8" spans="1:5" ht="15" customHeight="1" x14ac:dyDescent="0.25">
      <c r="A8" s="1211" t="s">
        <v>783</v>
      </c>
      <c r="B8" s="1212"/>
      <c r="C8" s="1212"/>
      <c r="D8" s="1212"/>
      <c r="E8" s="1213"/>
    </row>
    <row r="9" spans="1:5" ht="15" customHeight="1" thickBot="1" x14ac:dyDescent="0.3">
      <c r="A9" s="1214" t="s">
        <v>784</v>
      </c>
      <c r="B9" s="1215"/>
      <c r="C9" s="1215"/>
      <c r="D9" s="1215"/>
      <c r="E9" s="1216"/>
    </row>
    <row r="10" spans="1:5" x14ac:dyDescent="0.25">
      <c r="A10" s="76"/>
      <c r="B10" s="1208"/>
      <c r="C10" s="1208"/>
      <c r="D10" s="80"/>
    </row>
    <row r="11" spans="1:5" ht="31.5" customHeight="1" thickBot="1" x14ac:dyDescent="0.3">
      <c r="A11" s="78" t="s">
        <v>785</v>
      </c>
      <c r="B11" s="1209" t="s">
        <v>786</v>
      </c>
      <c r="C11" s="1209"/>
      <c r="D11" s="80">
        <f>Welcome!$D$4</f>
        <v>0</v>
      </c>
    </row>
    <row r="12" spans="1:5" ht="15.75" thickBot="1" x14ac:dyDescent="0.3">
      <c r="A12" s="78" t="s">
        <v>787</v>
      </c>
      <c r="B12" s="1210">
        <f>'MDA Worksheet'!$R$18</f>
        <v>0</v>
      </c>
      <c r="C12" s="1210"/>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7"/>
      <c r="C17" s="1207"/>
      <c r="D17" s="1207"/>
      <c r="E17" s="1207"/>
    </row>
    <row r="18" spans="1:5" x14ac:dyDescent="0.25">
      <c r="A18" s="76"/>
      <c r="B18" s="119"/>
      <c r="C18" s="76"/>
      <c r="D18" s="119"/>
    </row>
    <row r="19" spans="1:5" ht="15.75" thickBot="1" x14ac:dyDescent="0.3">
      <c r="A19" s="78" t="s">
        <v>863</v>
      </c>
      <c r="B19" s="1207">
        <f>Welcome!$D$8</f>
        <v>0</v>
      </c>
      <c r="C19" s="1207"/>
      <c r="D19" s="1207"/>
      <c r="E19" s="1207"/>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219" t="s">
        <v>1282</v>
      </c>
      <c r="B42" s="1220"/>
      <c r="C42" s="1220"/>
      <c r="D42" s="1220"/>
      <c r="E42" s="1221"/>
    </row>
    <row r="43" spans="1:5" s="900" customFormat="1" x14ac:dyDescent="0.25">
      <c r="A43" s="1188"/>
      <c r="B43" s="1189"/>
      <c r="C43" s="1189"/>
      <c r="D43" s="1189"/>
      <c r="E43" s="1190"/>
    </row>
    <row r="44" spans="1:5" s="900" customFormat="1" ht="15.75" thickBot="1" x14ac:dyDescent="0.3">
      <c r="A44" s="1191"/>
      <c r="B44" s="1192"/>
      <c r="C44" s="1192"/>
      <c r="D44" s="1192"/>
      <c r="E44" s="1193"/>
    </row>
    <row r="45" spans="1:5" s="900" customFormat="1" ht="15.75" thickBot="1" x14ac:dyDescent="0.3">
      <c r="A45" s="958"/>
    </row>
    <row r="46" spans="1:5" s="900" customFormat="1" ht="15.75" thickBot="1" x14ac:dyDescent="0.3">
      <c r="A46" s="1219" t="s">
        <v>1271</v>
      </c>
      <c r="B46" s="1220"/>
      <c r="C46" s="1220"/>
      <c r="D46" s="1220"/>
      <c r="E46" s="1221"/>
    </row>
    <row r="47" spans="1:5" s="900" customFormat="1" ht="15.75" x14ac:dyDescent="0.25">
      <c r="A47" s="959" t="s">
        <v>1272</v>
      </c>
      <c r="B47" s="960"/>
      <c r="C47" s="971" t="s">
        <v>1273</v>
      </c>
      <c r="D47" s="961"/>
      <c r="E47" s="962"/>
    </row>
    <row r="48" spans="1:5" s="900" customFormat="1" ht="15" customHeight="1" x14ac:dyDescent="0.25">
      <c r="A48" s="959" t="s">
        <v>1274</v>
      </c>
      <c r="B48" s="960"/>
      <c r="C48" s="972"/>
      <c r="D48" s="965" t="s">
        <v>1275</v>
      </c>
      <c r="E48" s="973"/>
    </row>
    <row r="49" spans="1:5" s="900" customFormat="1" ht="15.75" x14ac:dyDescent="0.25">
      <c r="A49" s="959" t="s">
        <v>1276</v>
      </c>
      <c r="B49" s="960"/>
      <c r="C49" s="972"/>
      <c r="D49" s="961" t="s">
        <v>1277</v>
      </c>
      <c r="E49" s="973"/>
    </row>
    <row r="50" spans="1:5" s="900" customFormat="1" ht="15.75" x14ac:dyDescent="0.25">
      <c r="A50" s="959" t="s">
        <v>1278</v>
      </c>
      <c r="B50" s="960"/>
      <c r="C50" s="972"/>
      <c r="D50" s="961"/>
      <c r="E50" s="962"/>
    </row>
    <row r="51" spans="1:5" s="900" customFormat="1" ht="15.75" x14ac:dyDescent="0.25">
      <c r="A51" s="959" t="s">
        <v>1279</v>
      </c>
      <c r="B51" s="960"/>
      <c r="C51" s="972"/>
      <c r="D51" s="961" t="s">
        <v>1280</v>
      </c>
      <c r="E51" s="973"/>
    </row>
    <row r="52" spans="1:5" s="900" customFormat="1" ht="15.75" x14ac:dyDescent="0.25">
      <c r="A52" s="959" t="s">
        <v>1281</v>
      </c>
      <c r="B52" s="960"/>
      <c r="C52" s="963"/>
      <c r="D52" s="960"/>
      <c r="E52" s="964"/>
    </row>
    <row r="53" spans="1:5" s="900" customFormat="1" x14ac:dyDescent="0.25">
      <c r="A53" s="1222"/>
      <c r="B53" s="1223"/>
      <c r="C53" s="1223"/>
      <c r="D53" s="1223"/>
      <c r="E53" s="1224"/>
    </row>
    <row r="54" spans="1:5" s="900" customFormat="1" ht="15.75" thickBot="1" x14ac:dyDescent="0.3">
      <c r="A54" s="1225"/>
      <c r="B54" s="1226"/>
      <c r="C54" s="1226"/>
      <c r="D54" s="1226"/>
      <c r="E54" s="1227"/>
    </row>
    <row r="55" spans="1:5" ht="15.75" thickBot="1" x14ac:dyDescent="0.3">
      <c r="A55" s="958"/>
      <c r="B55" s="900"/>
      <c r="C55" s="900"/>
      <c r="D55" s="900"/>
      <c r="E55" s="900"/>
    </row>
    <row r="56" spans="1:5" ht="30.75" customHeight="1" thickBot="1" x14ac:dyDescent="0.3">
      <c r="A56" s="1201" t="s">
        <v>795</v>
      </c>
      <c r="B56" s="1202"/>
      <c r="C56" s="1202"/>
      <c r="D56" s="1202"/>
      <c r="E56" s="1203"/>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4" t="s">
        <v>807</v>
      </c>
      <c r="B67" s="1205"/>
      <c r="C67" s="1205"/>
      <c r="D67" s="1205"/>
      <c r="E67" s="1206"/>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4" t="s">
        <v>1283</v>
      </c>
      <c r="B74" s="1195"/>
      <c r="C74" s="1195"/>
      <c r="D74" s="1195"/>
      <c r="E74" s="1196"/>
    </row>
    <row r="75" spans="1:5" ht="30.95" customHeight="1" thickBot="1" x14ac:dyDescent="0.3">
      <c r="A75" s="969" t="s">
        <v>811</v>
      </c>
      <c r="B75" s="305"/>
      <c r="C75" s="966" t="s">
        <v>797</v>
      </c>
      <c r="D75" s="305"/>
    </row>
    <row r="76" spans="1:5" ht="30.95" customHeight="1" thickBot="1" x14ac:dyDescent="0.3">
      <c r="A76" s="969" t="s">
        <v>1284</v>
      </c>
      <c r="B76" s="305"/>
      <c r="C76" s="966" t="s">
        <v>799</v>
      </c>
      <c r="D76" s="970" t="s">
        <v>1285</v>
      </c>
    </row>
    <row r="77" spans="1:5" ht="15" customHeight="1" thickBot="1" x14ac:dyDescent="0.3">
      <c r="A77" s="967"/>
      <c r="B77" s="967"/>
      <c r="C77" s="968"/>
      <c r="D77" s="968"/>
      <c r="E77" s="968"/>
    </row>
    <row r="78" spans="1:5" ht="15.75" thickBot="1" x14ac:dyDescent="0.3">
      <c r="A78" s="1197" t="s">
        <v>810</v>
      </c>
      <c r="B78" s="1198"/>
      <c r="C78" s="1198"/>
      <c r="D78" s="1198"/>
      <c r="E78" s="1199"/>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7" t="s">
        <v>812</v>
      </c>
      <c r="B83" s="1198"/>
      <c r="C83" s="1198"/>
      <c r="D83" s="1198"/>
      <c r="E83" s="1199"/>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1017</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28" t="s">
        <v>1250</v>
      </c>
      <c r="D3" s="1229"/>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1296</v>
      </c>
      <c r="D6" s="996" t="s">
        <v>1297</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1298</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1209</v>
      </c>
      <c r="Z9" s="137">
        <f>D8</f>
        <v>0</v>
      </c>
      <c r="AA9" s="137"/>
      <c r="AB9" s="137"/>
      <c r="AC9" s="137"/>
    </row>
    <row r="10" spans="1:29" hidden="1" x14ac:dyDescent="0.25">
      <c r="A10" s="144"/>
      <c r="B10" s="398"/>
      <c r="C10" s="384" t="s">
        <v>1210</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1208</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1299</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1195</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1300</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1301</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1302</v>
      </c>
      <c r="F25" s="1004" t="s">
        <v>1303</v>
      </c>
      <c r="G25" s="1003" t="s">
        <v>269</v>
      </c>
      <c r="H25" s="1002" t="s">
        <v>1304</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39" t="s">
        <v>1305</v>
      </c>
      <c r="C29" s="1240"/>
      <c r="D29" s="1240"/>
      <c r="E29" s="1240"/>
      <c r="F29" s="1240"/>
      <c r="G29" s="1240"/>
      <c r="H29" s="1240"/>
      <c r="I29" s="1241"/>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30"/>
      <c r="C30" s="1231"/>
      <c r="D30" s="1231"/>
      <c r="E30" s="1231"/>
      <c r="F30" s="1231"/>
      <c r="G30" s="1231"/>
      <c r="H30" s="1231"/>
      <c r="I30" s="1232"/>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33"/>
      <c r="C31" s="1234"/>
      <c r="D31" s="1234"/>
      <c r="E31" s="1234"/>
      <c r="F31" s="1234"/>
      <c r="G31" s="1234"/>
      <c r="H31" s="1234"/>
      <c r="I31" s="1235"/>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33"/>
      <c r="C32" s="1234"/>
      <c r="D32" s="1234"/>
      <c r="E32" s="1234"/>
      <c r="F32" s="1234"/>
      <c r="G32" s="1234"/>
      <c r="H32" s="1234"/>
      <c r="I32" s="1235"/>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33"/>
      <c r="C33" s="1234"/>
      <c r="D33" s="1234"/>
      <c r="E33" s="1234"/>
      <c r="F33" s="1234"/>
      <c r="G33" s="1234"/>
      <c r="H33" s="1234"/>
      <c r="I33" s="1235"/>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33"/>
      <c r="C34" s="1234"/>
      <c r="D34" s="1234"/>
      <c r="E34" s="1234"/>
      <c r="F34" s="1234"/>
      <c r="G34" s="1234"/>
      <c r="H34" s="1234"/>
      <c r="I34" s="1235"/>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36"/>
      <c r="C35" s="1237"/>
      <c r="D35" s="1237"/>
      <c r="E35" s="1237"/>
      <c r="F35" s="1237"/>
      <c r="G35" s="1237"/>
      <c r="H35" s="1237"/>
      <c r="I35" s="1238"/>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42" t="s">
        <v>1196</v>
      </c>
      <c r="C37" s="1243"/>
      <c r="D37" s="1243"/>
      <c r="E37" s="1243"/>
      <c r="F37" s="1243"/>
      <c r="G37" s="1243"/>
      <c r="H37" s="1243"/>
      <c r="I37" s="1244"/>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30"/>
      <c r="C38" s="1231"/>
      <c r="D38" s="1231"/>
      <c r="E38" s="1231"/>
      <c r="F38" s="1231"/>
      <c r="G38" s="1231"/>
      <c r="H38" s="1231"/>
      <c r="I38" s="1232"/>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33"/>
      <c r="C39" s="1234"/>
      <c r="D39" s="1234"/>
      <c r="E39" s="1234"/>
      <c r="F39" s="1234"/>
      <c r="G39" s="1234"/>
      <c r="H39" s="1234"/>
      <c r="I39" s="1235"/>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33"/>
      <c r="C40" s="1234"/>
      <c r="D40" s="1234"/>
      <c r="E40" s="1234"/>
      <c r="F40" s="1234"/>
      <c r="G40" s="1234"/>
      <c r="H40" s="1234"/>
      <c r="I40" s="1235"/>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33"/>
      <c r="C41" s="1234"/>
      <c r="D41" s="1234"/>
      <c r="E41" s="1234"/>
      <c r="F41" s="1234"/>
      <c r="G41" s="1234"/>
      <c r="H41" s="1234"/>
      <c r="I41" s="1235"/>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33"/>
      <c r="C42" s="1234"/>
      <c r="D42" s="1234"/>
      <c r="E42" s="1234"/>
      <c r="F42" s="1234"/>
      <c r="G42" s="1234"/>
      <c r="H42" s="1234"/>
      <c r="I42" s="1235"/>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36"/>
      <c r="C43" s="1237"/>
      <c r="D43" s="1237"/>
      <c r="E43" s="1237"/>
      <c r="F43" s="1237"/>
      <c r="G43" s="1237"/>
      <c r="H43" s="1237"/>
      <c r="I43" s="1238"/>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E12" sqref="E12"/>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45" t="s">
        <v>942</v>
      </c>
      <c r="G2" s="1245"/>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50"/>
      <c r="M3" s="1250"/>
      <c r="N3" s="1250"/>
      <c r="O3" s="791"/>
      <c r="P3" s="1246" t="str">
        <f>IF(COUNTIFS($P$6:$P$15,"&gt;0")&lt;$C$4,"Must Enter Expected Sales for All Locations","")</f>
        <v/>
      </c>
      <c r="Q3" s="1246"/>
      <c r="R3" s="1246"/>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47" t="str">
        <f>IF(COUNTIFS($P$6:$P$15,"&gt;0")&lt;$C$4,"VVVVV","")</f>
        <v/>
      </c>
      <c r="P4" s="1247"/>
      <c r="Q4" s="1247"/>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1461</v>
      </c>
      <c r="BA4" s="137" t="s">
        <v>1462</v>
      </c>
      <c r="BB4" s="137" t="s">
        <v>1463</v>
      </c>
      <c r="BC4" s="137"/>
      <c r="BD4" s="137" t="s">
        <v>1464</v>
      </c>
    </row>
    <row r="5" spans="1:56" ht="49.5" customHeight="1" thickBot="1" x14ac:dyDescent="0.3">
      <c r="E5" s="663"/>
      <c r="F5" s="733" t="s">
        <v>1067</v>
      </c>
      <c r="G5" s="1067" t="s">
        <v>754</v>
      </c>
      <c r="H5" s="1066" t="s">
        <v>1328</v>
      </c>
      <c r="I5" s="1067" t="s">
        <v>1410</v>
      </c>
      <c r="J5" s="688" t="s">
        <v>1411</v>
      </c>
      <c r="K5" s="1018" t="s">
        <v>940</v>
      </c>
      <c r="L5" s="689" t="s">
        <v>1329</v>
      </c>
      <c r="M5" s="689" t="s">
        <v>1336</v>
      </c>
      <c r="N5" s="689" t="s">
        <v>938</v>
      </c>
      <c r="O5" s="690" t="s">
        <v>1330</v>
      </c>
      <c r="P5" s="800" t="s">
        <v>1331</v>
      </c>
      <c r="Q5" s="801" t="s">
        <v>1332</v>
      </c>
      <c r="R5" s="801" t="s">
        <v>1333</v>
      </c>
      <c r="S5" s="801" t="s">
        <v>205</v>
      </c>
      <c r="T5" s="1022" t="s">
        <v>1334</v>
      </c>
      <c r="U5" s="1023" t="s">
        <v>1335</v>
      </c>
      <c r="V5" s="1027" t="s">
        <v>1501</v>
      </c>
      <c r="W5" s="664"/>
      <c r="X5" s="659" t="s">
        <v>467</v>
      </c>
      <c r="Y5" s="53" t="s">
        <v>941</v>
      </c>
      <c r="Z5" s="53" t="s">
        <v>205</v>
      </c>
      <c r="AA5" s="53" t="s">
        <v>518</v>
      </c>
      <c r="AB5" s="137"/>
      <c r="AC5" t="s">
        <v>957</v>
      </c>
      <c r="AD5">
        <f>MAX(AD6:AD15)</f>
        <v>0</v>
      </c>
      <c r="AE5" s="2"/>
      <c r="AF5" s="137"/>
      <c r="AH5" s="137"/>
      <c r="AI5" s="137"/>
      <c r="AJ5" s="137"/>
      <c r="AK5" s="137" t="s">
        <v>1160</v>
      </c>
      <c r="AL5" s="137" t="s">
        <v>1161</v>
      </c>
      <c r="AM5" s="137" t="s">
        <v>1162</v>
      </c>
      <c r="AN5" s="137" t="s">
        <v>1163</v>
      </c>
      <c r="AO5" s="137"/>
      <c r="AP5" s="137"/>
      <c r="AQ5" s="137"/>
      <c r="AR5" s="137"/>
      <c r="AS5" s="1138" t="s">
        <v>1448</v>
      </c>
      <c r="AT5" s="1138" t="s">
        <v>1454</v>
      </c>
      <c r="AU5" s="1138" t="s">
        <v>1455</v>
      </c>
      <c r="AV5" s="1138" t="s">
        <v>1465</v>
      </c>
      <c r="AW5" s="1138" t="s">
        <v>1466</v>
      </c>
      <c r="AX5" s="1138" t="s">
        <v>1450</v>
      </c>
      <c r="AY5" s="1138" t="s">
        <v>1453</v>
      </c>
      <c r="AZ5" s="1138" t="s">
        <v>1456</v>
      </c>
      <c r="BA5" s="1139" t="s">
        <v>1457</v>
      </c>
      <c r="BB5" s="1139" t="s">
        <v>1458</v>
      </c>
      <c r="BC5" s="1140" t="s">
        <v>1459</v>
      </c>
      <c r="BD5" s="1140" t="s">
        <v>1460</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IF($F6="","",'Multi-Customer'!$BB49)</f>
        <v/>
      </c>
      <c r="M6" s="1020" t="str">
        <f>IF($F6="","",IFERROR(VLOOKUP($G6,'Existing Customers'!$A:$AD,30,FALSE),"Enter Menu Type&gt;&gt;"))</f>
        <v/>
      </c>
      <c r="N6" s="789" t="str">
        <f>IFERROR(IF($C$4&gt;=$C6,VLOOKUP($G6,'Existing Customers'!$A:$J,10,FALSE),""),"Enter Zip Code &gt;")</f>
        <v/>
      </c>
      <c r="O6" s="798" t="str">
        <f>IF($F6="","",'Multi-Customer'!$BB50)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IF($F7="","",'Multi-Customer'!$BY49)</f>
        <v/>
      </c>
      <c r="M7" s="1020" t="str">
        <f>IF($F7="","",IFERROR(VLOOKUP($G7,'Existing Customers'!$A:$AD,30,FALSE),"Enter Menu Type&gt;&gt;"))</f>
        <v/>
      </c>
      <c r="N7" s="785" t="str">
        <f>IFERROR(IF($C$4&gt;=$C7,VLOOKUP($G7,'Existing Customers'!$A:$J,10,FALSE),""),"Enter Zip Code &gt;")</f>
        <v/>
      </c>
      <c r="O7" s="799" t="str">
        <f>IF($F7="","",'Multi-Customer'!$BY50)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IF($F8="","",'Multi-Customer'!$CV49)</f>
        <v/>
      </c>
      <c r="M8" s="1020" t="str">
        <f>IF($F8="","",IFERROR(VLOOKUP($G8,'Existing Customers'!$A:$AD,30,FALSE),"Enter Menu Type&gt;&gt;"))</f>
        <v/>
      </c>
      <c r="N8" s="785" t="str">
        <f>IFERROR(IF($C$4&gt;=$C8,VLOOKUP($G8,'Existing Customers'!$A:$J,10,FALSE),""),"Enter Zip Code &gt;")</f>
        <v/>
      </c>
      <c r="O8" s="799" t="str">
        <f>IF($F8="","",'Multi-Customer'!$CV50)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IF($F9="","",'Multi-Customer'!$DS49)</f>
        <v/>
      </c>
      <c r="M9" s="1020" t="str">
        <f>IF($F9="","",IFERROR(VLOOKUP($G9,'Existing Customers'!$A:$AD,30,FALSE),"Enter Menu Type&gt;&gt;"))</f>
        <v/>
      </c>
      <c r="N9" s="785" t="str">
        <f>IFERROR(IF($C$4&gt;=$C9,VLOOKUP($G9,'Existing Customers'!$A:$J,10,FALSE),""),"Enter Zip Code &gt;")</f>
        <v/>
      </c>
      <c r="O9" s="799" t="str">
        <f>IF($F9="","",'Multi-Customer'!$DS50)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IF($F10="","",'Multi-Customer'!$EP49)</f>
        <v/>
      </c>
      <c r="M10" s="1020" t="str">
        <f>IF($F10="","",IFERROR(VLOOKUP($G10,'Existing Customers'!$A:$AD,30,FALSE),"Enter Menu Type&gt;&gt;"))</f>
        <v/>
      </c>
      <c r="N10" s="785" t="str">
        <f>IFERROR(IF($C$4&gt;=$C10,VLOOKUP($G10,'Existing Customers'!$A:$J,10,FALSE),""),"Enter Zip Code &gt;")</f>
        <v/>
      </c>
      <c r="O10" s="799" t="str">
        <f>IF($F10="","",'Multi-Customer'!$EP50)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IF($F11="","",'Multi-Customer'!$FM49)</f>
        <v/>
      </c>
      <c r="M11" s="1020" t="str">
        <f>IF($F11="","",IFERROR(VLOOKUP($G11,'Existing Customers'!$A:$AD,30,FALSE),"Enter Menu Type&gt;&gt;"))</f>
        <v/>
      </c>
      <c r="N11" s="785" t="str">
        <f>IFERROR(IF($C$4&gt;=$C11,VLOOKUP($G11,'Existing Customers'!$A:$J,10,FALSE),""),"Enter Zip Code &gt;")</f>
        <v/>
      </c>
      <c r="O11" s="799" t="str">
        <f>IF($F11="","",'Multi-Customer'!$FM50)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IF($F12="","",'Multi-Customer'!$GJ49)</f>
        <v/>
      </c>
      <c r="M12" s="1020" t="str">
        <f>IF($F12="","",IFERROR(VLOOKUP($G12,'Existing Customers'!$A:$AD,30,FALSE),"Enter Menu Type&gt;&gt;"))</f>
        <v/>
      </c>
      <c r="N12" s="785" t="str">
        <f>IFERROR(IF($C$4&gt;=$C12,VLOOKUP($G12,'Existing Customers'!$A:$J,10,FALSE),""),"Enter Zip Code &gt;")</f>
        <v/>
      </c>
      <c r="O12" s="799" t="str">
        <f>IF($F12="","",'Multi-Customer'!$GJ50)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IF($F13="","",'Multi-Customer'!$HG49)</f>
        <v/>
      </c>
      <c r="M13" s="1020" t="str">
        <f>IF($F13="","",IFERROR(VLOOKUP($G13,'Existing Customers'!$A:$AD,30,FALSE),"Enter Menu Type&gt;&gt;"))</f>
        <v/>
      </c>
      <c r="N13" s="785" t="str">
        <f>IFERROR(IF($C$4&gt;=$C13,VLOOKUP($G13,'Existing Customers'!$A:$J,10,FALSE),""),"Enter Zip Code &gt;")</f>
        <v/>
      </c>
      <c r="O13" s="799" t="str">
        <f>IF($F13="","",'Multi-Customer'!$HG50)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IF($F14="","",'Multi-Customer'!$ID49)</f>
        <v/>
      </c>
      <c r="M14" s="1020" t="str">
        <f>IF($F14="","",IFERROR(VLOOKUP($G14,'Existing Customers'!$A:$AD,30,FALSE),"Enter Menu Type&gt;&gt;"))</f>
        <v/>
      </c>
      <c r="N14" s="785" t="str">
        <f>IFERROR(IF($C$4&gt;=$C14,VLOOKUP($G14,'Existing Customers'!$A:$J,10,FALSE),""),"Enter Zip Code &gt;")</f>
        <v/>
      </c>
      <c r="O14" s="799" t="str">
        <f>IF($F14="","",'Multi-Customer'!$ID50)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IF($F15="","",'Multi-Customer'!$JA49)</f>
        <v/>
      </c>
      <c r="M15" s="1154" t="str">
        <f>IF($F15="","",IFERROR(VLOOKUP($G15,'Existing Customers'!$A:$AD,30,FALSE),"Enter Menu Type&gt;&gt;"))</f>
        <v/>
      </c>
      <c r="N15" s="786" t="str">
        <f>IFERROR(IF($C$4&gt;=$C15,VLOOKUP($G15,'Existing Customers'!$A:$J,10,FALSE),""),"Enter Zip Code &gt;")</f>
        <v/>
      </c>
      <c r="O15" s="795" t="str">
        <f>IF($F15="","",'Multi-Customer'!$JA50)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f>SUM(BB6:BB15)</f>
        <v>0</v>
      </c>
      <c r="BC16" s="53">
        <f>SUM(BC6:BC15)</f>
        <v>0</v>
      </c>
      <c r="BD16" s="53">
        <f>SUM(BD6:BD15)</f>
        <v>0</v>
      </c>
    </row>
    <row r="17" spans="5:56" ht="14.45" customHeight="1" x14ac:dyDescent="0.25">
      <c r="E17" s="663"/>
      <c r="F17" s="790"/>
      <c r="G17" s="1107" t="s">
        <v>1184</v>
      </c>
      <c r="H17" s="1107" t="s">
        <v>1184</v>
      </c>
      <c r="I17" s="1248">
        <f>SUM($I$6:$I$15)</f>
        <v>0</v>
      </c>
      <c r="J17" s="1251" t="s">
        <v>1442</v>
      </c>
      <c r="K17" s="1253">
        <f>SUM($K$6:$K$15)</f>
        <v>0</v>
      </c>
      <c r="L17" s="1251" t="s">
        <v>1443</v>
      </c>
      <c r="M17" s="790"/>
      <c r="N17" s="790"/>
      <c r="O17" s="790"/>
      <c r="P17" s="1248">
        <f>SUMIF($F$6:$F$15,"&gt;0",$P$6:$P$15)</f>
        <v>0</v>
      </c>
      <c r="Q17" s="1255" t="s">
        <v>1444</v>
      </c>
      <c r="R17" s="1108"/>
      <c r="S17" s="790"/>
      <c r="T17" s="790"/>
      <c r="U17" s="790"/>
      <c r="V17" s="790"/>
      <c r="W17" s="664"/>
      <c r="X17" s="137"/>
      <c r="Y17" s="137"/>
      <c r="Z17" s="137"/>
      <c r="AA17" s="137"/>
      <c r="AB17" s="137" t="s">
        <v>1082</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49"/>
      <c r="J18" s="1252"/>
      <c r="K18" s="1254"/>
      <c r="L18" s="1252"/>
      <c r="M18" s="790"/>
      <c r="N18" s="790"/>
      <c r="O18" s="790"/>
      <c r="P18" s="1249"/>
      <c r="Q18" s="1256"/>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CXIQ4WUvSabpXrSphnWhxBMaTb3/dJ6D/cPsz4Sm+D2vR4InSy4Eb6ZdjTqtAAZveV+AFVYF0GhZkD6ThGzvcg==" saltValue="27lp5iYGQw9yCtrcr5tuL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1298</v>
      </c>
      <c r="E3" s="420">
        <f>Welcome!$D$8</f>
        <v>0</v>
      </c>
      <c r="F3" s="142"/>
      <c r="G3" s="512" t="s">
        <v>110</v>
      </c>
      <c r="H3" s="1268" t="e">
        <f>VLOOKUP($H$4,'Market Geography'!$D:$G,4,FALSE)</f>
        <v>#N/A</v>
      </c>
      <c r="I3" s="1269"/>
      <c r="J3" s="1269"/>
      <c r="K3" s="1270"/>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1299</v>
      </c>
      <c r="E4" s="389" t="str">
        <f>Welcome!$D$12</f>
        <v>Select Term</v>
      </c>
      <c r="F4" s="142"/>
      <c r="G4" s="513" t="s">
        <v>901</v>
      </c>
      <c r="H4" s="1265">
        <f>Welcome!$D$4</f>
        <v>0</v>
      </c>
      <c r="I4" s="1266"/>
      <c r="J4" s="1266"/>
      <c r="K4" s="1267"/>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1306</v>
      </c>
      <c r="E5" s="146">
        <f>$G$31</f>
        <v>0</v>
      </c>
      <c r="F5" s="142"/>
      <c r="G5" s="513" t="s">
        <v>107</v>
      </c>
      <c r="H5" s="1265" t="str">
        <f>'Multi-Customer'!$S$49</f>
        <v>Enter Customer(s)</v>
      </c>
      <c r="I5" s="1266"/>
      <c r="J5" s="1266"/>
      <c r="K5" s="1267"/>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1307</v>
      </c>
      <c r="E6" s="147">
        <f>IFERROR('Variable Costs (Back)'!$K$26,0)</f>
        <v>0</v>
      </c>
      <c r="F6" s="142"/>
      <c r="G6" s="513" t="s">
        <v>1316</v>
      </c>
      <c r="H6" s="1265" t="str">
        <f>'Multi-Customer'!$AH$40</f>
        <v>Enter Customer(s)</v>
      </c>
      <c r="I6" s="1266"/>
      <c r="J6" s="1266"/>
      <c r="K6" s="1267"/>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1308</v>
      </c>
      <c r="E7" s="421">
        <f>IFERROR('PIM Ranges'!$AU$3,0)</f>
        <v>0</v>
      </c>
      <c r="F7" s="142"/>
      <c r="G7" s="514" t="s">
        <v>1309</v>
      </c>
      <c r="H7" s="1271" t="s">
        <v>207</v>
      </c>
      <c r="I7" s="1272"/>
      <c r="J7" s="1272"/>
      <c r="K7" s="1273"/>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1031</v>
      </c>
      <c r="D9" s="536" t="s">
        <v>1393</v>
      </c>
      <c r="E9" s="414" t="s">
        <v>472</v>
      </c>
      <c r="F9" s="151" t="s">
        <v>1441</v>
      </c>
      <c r="G9" s="152" t="s">
        <v>402</v>
      </c>
      <c r="H9" s="153" t="s">
        <v>83</v>
      </c>
      <c r="I9" s="154" t="s">
        <v>1394</v>
      </c>
      <c r="J9" s="151" t="s">
        <v>1395</v>
      </c>
      <c r="K9" s="155" t="s">
        <v>228</v>
      </c>
      <c r="L9" s="156"/>
      <c r="M9" s="157" t="s">
        <v>982</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1037</v>
      </c>
      <c r="AG9" s="142" t="s">
        <v>1038</v>
      </c>
      <c r="AH9" s="142" t="s">
        <v>494</v>
      </c>
      <c r="AI9" s="142"/>
      <c r="AJ9" s="142"/>
      <c r="AK9" s="142"/>
      <c r="AL9" s="142"/>
      <c r="AM9" s="142"/>
    </row>
    <row r="10" spans="1:39" ht="17.25" x14ac:dyDescent="0.25">
      <c r="A10" s="142"/>
      <c r="B10" s="636">
        <v>0</v>
      </c>
      <c r="C10" s="642"/>
      <c r="D10" s="1010" t="s">
        <v>489</v>
      </c>
      <c r="E10" s="637" t="s">
        <v>990</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990</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990</v>
      </c>
      <c r="F12" s="1097" t="s">
        <v>1445</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990</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990</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990</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990</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990</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990</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990</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990</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990</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990</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990</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990</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990</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990</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990</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990</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990</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990</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62" t="s">
        <v>119</v>
      </c>
      <c r="H33" s="1263"/>
      <c r="I33" s="506">
        <f>IF($E$3="MDA",'PIM Ranges'!$AX$7,'PIM Ranges'!$BJ$7)</f>
        <v>8.8999999999999996E-2</v>
      </c>
      <c r="J33" s="137"/>
      <c r="K33" s="1264" t="str">
        <f>IF(COUNTIF($AB$10:$AB$30,"ERROR")&lt;1,"",IF(COUNTIF($AB$10:$AB$30,"ERROR")&lt;2,(COUNTIF($AB$10:$AB$30,"ERROR")&amp;" Margin Missing Above"),(COUNTIF($AB$10:$AB$30,"ERROR")&amp;" Margins Missing Above")))</f>
        <v/>
      </c>
      <c r="L33" s="1264"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7" t="s">
        <v>498</v>
      </c>
      <c r="H34" s="1258"/>
      <c r="I34" s="502">
        <f>J31</f>
        <v>0</v>
      </c>
      <c r="J34" s="137"/>
      <c r="K34" s="1264" t="str">
        <f>IF(COUNTIFS($L$10:$L$30,"X",$AF$10:$AF$30,"BELOW")&lt;1,"",IF(COUNTIFS($L$10:$L$30,"X",$AF$10:$AF$30,"BELOW")&lt;2,(COUNTIFS($L$10:$L$30,"X",$AF$10:$AF$30,"BELOW")&amp;" Margin Below Minimum"),(COUNTIFS($L$10:$L$30,"X",$AF$10:$AF$30,"BELOW")&amp;" Margins Below Minimum")))</f>
        <v/>
      </c>
      <c r="L34" s="1264"/>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7" t="s">
        <v>1396</v>
      </c>
      <c r="H35" s="1258"/>
      <c r="I35" s="503" t="str">
        <f>IFERROR(I34/G31,"")</f>
        <v/>
      </c>
      <c r="K35" s="1264" t="str">
        <f>IF(COUNTIFS($L$10:$L$30,"X",$AF$10:$AF$30,"ABOVE")&lt;1,"",IF(COUNTIFS($L$10:$L$30,"X",$AF$10:$AF$30,"ABOVE")&lt;2,(COUNTIFS($L$10:$L$30,"X",$AF$10:$AF$30,"ABOVE")&amp;" Margin Above Maximum"),(COUNTIFS($L$10:$L$30,"X",$AF$10:$AF$30,"ABOVE")&amp;" Margins Above Maximum")))</f>
        <v/>
      </c>
      <c r="L35" s="1264"/>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7"/>
      <c r="H36" s="1258"/>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7" t="str">
        <f>IFERROR(IF(I35&gt;I33,"","Below Recommended TAGP: "),"")</f>
        <v/>
      </c>
      <c r="H37" s="1258"/>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7"/>
      <c r="H38" s="1258"/>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7" t="s">
        <v>1397</v>
      </c>
      <c r="H39" s="1258"/>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9" t="s">
        <v>499</v>
      </c>
      <c r="H40" s="1260"/>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1"/>
      <c r="G52" s="1261"/>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1"/>
      <c r="G53" s="1261"/>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1"/>
      <c r="G54" s="1261"/>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981</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68" t="e">
        <f>VLOOKUP($L$4,'Market Geography'!$D:$G,4,FALSE)</f>
        <v>#N/A</v>
      </c>
      <c r="M3" s="1269" t="e">
        <f>IF(#REF!="New Business",#REF!,#REF!)</f>
        <v>#REF!</v>
      </c>
      <c r="N3" s="1270"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65">
        <f>Welcome!$D$4</f>
        <v>0</v>
      </c>
      <c r="M4" s="1266"/>
      <c r="N4" s="1267"/>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65" t="str">
        <f>'Multi-Customer'!$S$49</f>
        <v>Enter Customer(s)</v>
      </c>
      <c r="M5" s="1266"/>
      <c r="N5" s="1267"/>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65" t="str">
        <f>'Multi-Customer'!$AH$40</f>
        <v>Enter Customer(s)</v>
      </c>
      <c r="M6" s="1266"/>
      <c r="N6" s="1267"/>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87" t="s">
        <v>207</v>
      </c>
      <c r="M7" s="1288"/>
      <c r="N7" s="1289"/>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90">
        <f>IFERROR('PIM Model'!$G$31,0)</f>
        <v>0</v>
      </c>
      <c r="I9" s="1291"/>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98">
        <f>IFERROR('PIM Model'!$G$32,0)</f>
        <v>0</v>
      </c>
      <c r="I10" s="1299"/>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92"/>
      <c r="H12" s="1293"/>
      <c r="I12" s="193"/>
      <c r="J12" s="1297"/>
      <c r="K12" s="1297"/>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1211</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1221</v>
      </c>
      <c r="H14" s="784"/>
      <c r="I14" s="429" t="s">
        <v>1071</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94" t="str">
        <f>IF($E$15="YES","**Tier 1 used for modeling purposes**","")</f>
        <v/>
      </c>
      <c r="K18" s="1295"/>
      <c r="L18" s="1296"/>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1211</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1221</v>
      </c>
      <c r="H25" s="692"/>
      <c r="I25" s="429" t="s">
        <v>1071</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94" t="str">
        <f>IF($E$26="YES","**Tier 1 used for modeling purposes**","")</f>
        <v/>
      </c>
      <c r="K29" s="1295"/>
      <c r="L29" s="1296"/>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1211</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1221</v>
      </c>
      <c r="H36" s="692"/>
      <c r="I36" s="429" t="s">
        <v>1071</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1072</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94" t="str">
        <f>IF($E$37="YES","**Tier 1 payout used for modeling purposes**","")</f>
        <v/>
      </c>
      <c r="K40" s="1295"/>
      <c r="L40" s="1296"/>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1211</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1212</v>
      </c>
      <c r="E47" s="41"/>
      <c r="F47" s="148"/>
      <c r="G47" s="429" t="s">
        <v>1221</v>
      </c>
      <c r="H47" s="197"/>
      <c r="I47" s="429" t="s">
        <v>1071</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1213</v>
      </c>
      <c r="H49" s="197"/>
      <c r="I49" s="255" t="s">
        <v>1214</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1211</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1221</v>
      </c>
      <c r="H55" s="197"/>
      <c r="I55" s="429" t="s">
        <v>1071</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1286</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1256</v>
      </c>
      <c r="H62" s="197"/>
      <c r="I62" s="255" t="s">
        <v>910</v>
      </c>
      <c r="J62" s="41"/>
      <c r="K62" s="255" t="s">
        <v>891</v>
      </c>
      <c r="L62" s="197"/>
      <c r="M62" s="197"/>
      <c r="N62" s="271"/>
      <c r="O62" s="182"/>
      <c r="Q62" s="742"/>
    </row>
    <row r="63" spans="2:27" s="878" customFormat="1" ht="18.75" x14ac:dyDescent="0.25">
      <c r="B63" s="181"/>
      <c r="C63" s="270"/>
      <c r="D63" s="253" t="s">
        <v>1251</v>
      </c>
      <c r="E63" s="197"/>
      <c r="F63" s="207"/>
      <c r="G63" s="917" t="s">
        <v>546</v>
      </c>
      <c r="H63" s="197"/>
      <c r="I63" s="890" t="s">
        <v>1071</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1258</v>
      </c>
      <c r="E70" s="927"/>
      <c r="F70" s="926"/>
      <c r="G70" s="255" t="s">
        <v>1259</v>
      </c>
      <c r="H70" s="927"/>
      <c r="I70" s="255" t="s">
        <v>910</v>
      </c>
      <c r="J70" s="928"/>
      <c r="K70" s="255" t="s">
        <v>1257</v>
      </c>
      <c r="L70" s="927"/>
      <c r="M70" s="255" t="s">
        <v>1269</v>
      </c>
      <c r="N70" s="271"/>
      <c r="O70" s="182"/>
      <c r="Q70" s="742"/>
    </row>
    <row r="71" spans="2:17" s="922" customFormat="1" ht="17.45" customHeight="1" x14ac:dyDescent="0.25">
      <c r="B71" s="181"/>
      <c r="C71" s="270"/>
      <c r="D71" s="1282"/>
      <c r="E71" s="197"/>
      <c r="F71" s="926"/>
      <c r="G71" s="935"/>
      <c r="H71" s="927"/>
      <c r="I71" s="429" t="s">
        <v>1071</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1287</v>
      </c>
      <c r="E73" s="1284"/>
      <c r="F73" s="926"/>
      <c r="G73" s="1283" t="s">
        <v>1288</v>
      </c>
      <c r="H73" s="1283"/>
      <c r="I73" s="1283"/>
      <c r="J73" s="1283"/>
      <c r="K73" s="1283"/>
      <c r="L73" s="197"/>
      <c r="M73" s="1285"/>
      <c r="N73" s="1286"/>
      <c r="O73" s="182"/>
      <c r="Q73" s="742"/>
    </row>
    <row r="74" spans="2:17" s="915" customFormat="1" ht="16.5" customHeight="1" x14ac:dyDescent="0.25">
      <c r="B74" s="181"/>
      <c r="C74" s="270"/>
      <c r="D74" s="197"/>
      <c r="E74" s="148"/>
      <c r="F74" s="891"/>
      <c r="G74" s="925" t="s">
        <v>1254</v>
      </c>
      <c r="H74" s="205"/>
      <c r="I74" s="6" t="s">
        <v>1255</v>
      </c>
      <c r="J74" s="197"/>
      <c r="K74" s="255" t="s">
        <v>1253</v>
      </c>
      <c r="L74" s="197"/>
      <c r="M74" s="6" t="s">
        <v>500</v>
      </c>
      <c r="N74" s="271"/>
      <c r="O74" s="182"/>
      <c r="Q74" s="742"/>
    </row>
    <row r="75" spans="2:17" s="915" customFormat="1" ht="18" customHeight="1" x14ac:dyDescent="0.25">
      <c r="B75" s="181"/>
      <c r="C75" s="270"/>
      <c r="D75" s="197"/>
      <c r="E75" s="197"/>
      <c r="F75" s="892" t="s">
        <v>1187</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1188</v>
      </c>
      <c r="H79" s="197"/>
      <c r="I79" s="255" t="s">
        <v>910</v>
      </c>
      <c r="J79" s="41"/>
      <c r="K79" s="255" t="s">
        <v>891</v>
      </c>
      <c r="L79" s="197"/>
      <c r="M79" s="237"/>
      <c r="N79" s="271"/>
      <c r="O79" s="182"/>
      <c r="Q79" s="742"/>
    </row>
    <row r="80" spans="2:17" s="5" customFormat="1" ht="18.75" x14ac:dyDescent="0.25">
      <c r="B80" s="181"/>
      <c r="C80" s="270"/>
      <c r="D80" s="253" t="s">
        <v>1187</v>
      </c>
      <c r="E80" s="197"/>
      <c r="F80" s="207"/>
      <c r="G80" s="917" t="s">
        <v>1222</v>
      </c>
      <c r="H80" s="197"/>
      <c r="I80" s="429" t="s">
        <v>1071</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1187</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1198</v>
      </c>
      <c r="G87" s="1274"/>
      <c r="H87" s="148"/>
      <c r="I87" s="255" t="s">
        <v>910</v>
      </c>
      <c r="J87" s="148"/>
      <c r="K87" s="255" t="s">
        <v>891</v>
      </c>
      <c r="L87" s="148"/>
      <c r="M87" s="148"/>
      <c r="N87" s="769"/>
      <c r="O87" s="279"/>
    </row>
    <row r="88" spans="2:20" s="179" customFormat="1" ht="18" customHeight="1" x14ac:dyDescent="0.25">
      <c r="B88" s="277"/>
      <c r="C88" s="195"/>
      <c r="D88" s="253" t="s">
        <v>1083</v>
      </c>
      <c r="E88" s="148"/>
      <c r="F88" s="1274"/>
      <c r="G88" s="1274"/>
      <c r="H88" s="148"/>
      <c r="I88" s="429" t="s">
        <v>1071</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1085</v>
      </c>
      <c r="H90" s="148"/>
      <c r="I90" s="148"/>
      <c r="J90" s="148"/>
      <c r="K90" s="518"/>
      <c r="L90" s="197"/>
      <c r="M90" s="6" t="s">
        <v>500</v>
      </c>
      <c r="N90" s="769"/>
      <c r="O90" s="279"/>
    </row>
    <row r="91" spans="2:20" s="179" customFormat="1" ht="18" customHeight="1" x14ac:dyDescent="0.25">
      <c r="B91" s="277"/>
      <c r="C91" s="195"/>
      <c r="D91" s="148"/>
      <c r="E91" s="744"/>
      <c r="F91" s="207" t="s">
        <v>1084</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1291</v>
      </c>
      <c r="B1" t="s">
        <v>1289</v>
      </c>
      <c r="C1" t="s">
        <v>131</v>
      </c>
    </row>
    <row r="2" spans="1:3" x14ac:dyDescent="0.25">
      <c r="A2" t="s">
        <v>1083</v>
      </c>
      <c r="B2">
        <v>50</v>
      </c>
      <c r="C2" t="s">
        <v>1290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1" zoomScale="80" zoomScaleNormal="80" workbookViewId="0">
      <selection activeCell="E36" sqref="E36"/>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13" t="s">
        <v>211</v>
      </c>
      <c r="D2" s="1313"/>
      <c r="E2" s="1313"/>
      <c r="F2" s="545"/>
      <c r="G2" s="175"/>
      <c r="H2" s="175"/>
      <c r="I2" s="175"/>
      <c r="J2" s="175"/>
      <c r="K2" s="175"/>
      <c r="L2" s="178"/>
    </row>
    <row r="3" spans="2:23" x14ac:dyDescent="0.25">
      <c r="B3" s="181"/>
      <c r="C3" s="1318" t="s">
        <v>1298</v>
      </c>
      <c r="D3" s="1319"/>
      <c r="E3" s="420">
        <f>Welcome!$D$8</f>
        <v>0</v>
      </c>
      <c r="F3" s="424"/>
      <c r="G3" s="512" t="s">
        <v>110</v>
      </c>
      <c r="H3" s="1316" t="str">
        <f>IFERROR(VLOOKUP($H$4,'Market Geography'!$D:$G,4,FALSE),"Select Market")</f>
        <v>Select Market</v>
      </c>
      <c r="I3" s="1316"/>
      <c r="J3" s="1316"/>
      <c r="K3" s="1317"/>
      <c r="L3" s="182"/>
    </row>
    <row r="4" spans="2:23" x14ac:dyDescent="0.25">
      <c r="B4" s="181"/>
      <c r="C4" s="1305" t="s">
        <v>1299</v>
      </c>
      <c r="D4" s="1306"/>
      <c r="E4" s="389" t="str">
        <f>Welcome!$D$12</f>
        <v>Select Term</v>
      </c>
      <c r="F4" s="546"/>
      <c r="G4" s="513" t="s">
        <v>901</v>
      </c>
      <c r="H4" s="1301">
        <f>Welcome!$D$4</f>
        <v>0</v>
      </c>
      <c r="I4" s="1301"/>
      <c r="J4" s="1301"/>
      <c r="K4" s="1302"/>
      <c r="L4" s="182"/>
    </row>
    <row r="5" spans="2:23" x14ac:dyDescent="0.25">
      <c r="B5" s="181"/>
      <c r="C5" s="1305" t="s">
        <v>1306</v>
      </c>
      <c r="D5" s="1306"/>
      <c r="E5" s="146">
        <f>'PIM Model'!$G$31</f>
        <v>0</v>
      </c>
      <c r="F5" s="547"/>
      <c r="G5" s="513" t="s">
        <v>107</v>
      </c>
      <c r="H5" s="1301" t="str">
        <f>'Multi-Customer'!$S$49</f>
        <v>Enter Customer(s)</v>
      </c>
      <c r="I5" s="1301"/>
      <c r="J5" s="1301"/>
      <c r="K5" s="1302"/>
      <c r="L5" s="182"/>
    </row>
    <row r="6" spans="2:23" x14ac:dyDescent="0.25">
      <c r="B6" s="181"/>
      <c r="C6" s="1305" t="s">
        <v>1307</v>
      </c>
      <c r="D6" s="1306"/>
      <c r="E6" s="147">
        <f>'PIM Model'!$E$6</f>
        <v>0</v>
      </c>
      <c r="F6" s="424"/>
      <c r="G6" s="513" t="s">
        <v>1316</v>
      </c>
      <c r="H6" s="1301" t="str">
        <f>IF('Multi-Customer'!$AH$40 = "MULTIPLE MENU TYPES","MULTIPLE TYPES",'Multi-Customer'!$AH$40)</f>
        <v>Enter Customer(s)</v>
      </c>
      <c r="I6" s="1301"/>
      <c r="J6" s="1301"/>
      <c r="K6" s="1302"/>
      <c r="L6" s="182"/>
      <c r="R6" s="548"/>
    </row>
    <row r="7" spans="2:23" ht="15.75" thickBot="1" x14ac:dyDescent="0.3">
      <c r="B7" s="181"/>
      <c r="C7" s="1307" t="s">
        <v>1308</v>
      </c>
      <c r="D7" s="1308"/>
      <c r="E7" s="421">
        <f>IFERROR('PIM Ranges'!$AU$3,0)</f>
        <v>0</v>
      </c>
      <c r="F7" s="180"/>
      <c r="G7" s="514" t="s">
        <v>1309</v>
      </c>
      <c r="H7" s="1303" t="s">
        <v>207</v>
      </c>
      <c r="I7" s="1303"/>
      <c r="J7" s="1303"/>
      <c r="K7" s="1304"/>
      <c r="L7" s="182"/>
      <c r="P7" s="180"/>
      <c r="Q7" s="156"/>
      <c r="R7" s="549"/>
      <c r="S7" s="137"/>
      <c r="T7" s="156"/>
      <c r="U7" s="180"/>
      <c r="V7" s="156"/>
      <c r="W7" s="180"/>
    </row>
    <row r="8" spans="2:23" ht="13.9" customHeight="1" x14ac:dyDescent="0.25">
      <c r="B8" s="181"/>
      <c r="D8" s="139"/>
      <c r="E8" s="1261"/>
      <c r="F8" s="1261"/>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1310</v>
      </c>
      <c r="F10" s="197"/>
      <c r="G10" s="695" t="s">
        <v>1311</v>
      </c>
      <c r="H10" s="197"/>
      <c r="I10" s="1309" t="s">
        <v>906</v>
      </c>
      <c r="J10" s="1309"/>
      <c r="K10" s="271"/>
      <c r="L10" s="182"/>
      <c r="P10" s="180"/>
      <c r="Q10" s="180"/>
      <c r="R10" s="554"/>
      <c r="S10" s="180"/>
      <c r="T10" s="180"/>
      <c r="U10" s="180"/>
      <c r="V10" s="180"/>
      <c r="W10" s="180"/>
    </row>
    <row r="11" spans="2:23" ht="23.45" customHeight="1" x14ac:dyDescent="0.25">
      <c r="B11" s="181"/>
      <c r="C11" s="270"/>
      <c r="D11" s="555" t="s">
        <v>1312</v>
      </c>
      <c r="E11" s="556">
        <f>'Variable Costs (Back)'!$AE$25</f>
        <v>0</v>
      </c>
      <c r="F11" s="197"/>
      <c r="G11" s="557">
        <f>IFERROR(E11/'PIM Model'!$H$31,0)</f>
        <v>0</v>
      </c>
      <c r="H11" s="197"/>
      <c r="I11" s="1310" t="str">
        <f>IFERROR($E11/$E$5,"")</f>
        <v/>
      </c>
      <c r="J11" s="1310"/>
      <c r="K11" s="271"/>
      <c r="L11" s="182"/>
      <c r="R11" s="548"/>
    </row>
    <row r="12" spans="2:23" ht="36" customHeight="1" x14ac:dyDescent="0.25">
      <c r="B12" s="181"/>
      <c r="C12" s="270"/>
      <c r="D12" s="1311" t="s">
        <v>702</v>
      </c>
      <c r="E12" s="1311"/>
      <c r="F12" s="558"/>
      <c r="G12" s="559"/>
      <c r="H12" s="197"/>
      <c r="I12" s="560"/>
      <c r="J12" s="561"/>
      <c r="K12" s="271"/>
      <c r="L12" s="182"/>
    </row>
    <row r="13" spans="2:23" s="835" customFormat="1" ht="23.45" customHeight="1" x14ac:dyDescent="0.25">
      <c r="B13" s="181"/>
      <c r="C13" s="270"/>
      <c r="D13" s="555" t="s">
        <v>1314</v>
      </c>
      <c r="E13" s="556">
        <f>'Tracking &amp; Profitability'!E26*-1</f>
        <v>0</v>
      </c>
      <c r="F13" s="197"/>
      <c r="G13" s="557">
        <f>'Tracking &amp; Profitability'!G26*-1</f>
        <v>0</v>
      </c>
      <c r="H13" s="197"/>
      <c r="I13" s="1310" t="str">
        <f>IFERROR(E13/E5,"")</f>
        <v/>
      </c>
      <c r="J13" s="1310"/>
      <c r="K13" s="271"/>
      <c r="L13" s="182"/>
    </row>
    <row r="14" spans="2:23" s="835" customFormat="1" ht="36.6" customHeight="1" x14ac:dyDescent="0.25">
      <c r="B14" s="181"/>
      <c r="C14" s="270"/>
      <c r="D14" s="1311" t="s">
        <v>1199</v>
      </c>
      <c r="E14" s="1311"/>
      <c r="F14" s="558"/>
      <c r="G14" s="559"/>
      <c r="H14" s="197"/>
      <c r="I14" s="560"/>
      <c r="J14" s="561"/>
      <c r="K14" s="271"/>
      <c r="L14" s="182"/>
    </row>
    <row r="15" spans="2:23" ht="23.45" customHeight="1" x14ac:dyDescent="0.25">
      <c r="B15" s="181"/>
      <c r="C15" s="270"/>
      <c r="D15" s="555" t="s">
        <v>1313</v>
      </c>
      <c r="E15" s="556">
        <f>'Variable Costs (Back)'!$AF$25</f>
        <v>0</v>
      </c>
      <c r="F15" s="197"/>
      <c r="G15" s="557">
        <f>IFERROR(E15/'PIM Model'!$H$31,0)</f>
        <v>0</v>
      </c>
      <c r="H15" s="197"/>
      <c r="I15" s="1310" t="str">
        <f>IFERROR($E15/$E$5,"")</f>
        <v/>
      </c>
      <c r="J15" s="1310"/>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1315</v>
      </c>
      <c r="E17" s="556">
        <f>'Variable Costs (Back)'!$AD$25</f>
        <v>0</v>
      </c>
      <c r="F17" s="197"/>
      <c r="G17" s="557">
        <f>IFERROR(E17/'PIM Model'!$H$31,0)</f>
        <v>0</v>
      </c>
      <c r="H17" s="197"/>
      <c r="I17" s="1310" t="str">
        <f>IFERROR($E17/$E$5,"")</f>
        <v/>
      </c>
      <c r="J17" s="1310"/>
      <c r="K17" s="271"/>
      <c r="L17" s="182"/>
    </row>
    <row r="18" spans="2:12" ht="25.9" customHeight="1" x14ac:dyDescent="0.25">
      <c r="B18" s="181"/>
      <c r="C18" s="270"/>
      <c r="D18" s="1300" t="s">
        <v>703</v>
      </c>
      <c r="E18" s="1312"/>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14" t="str">
        <f>IFERROR($E19/$E$5,"")</f>
        <v/>
      </c>
      <c r="J19" s="1314"/>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970</v>
      </c>
      <c r="E23" s="570">
        <f>IFERROR('EB_CM (Back)'!$G$47,0)</f>
        <v>0</v>
      </c>
      <c r="F23" s="197"/>
      <c r="G23" s="571">
        <f>IFERROR(E23/'PIM Model'!$H$31,0)</f>
        <v>0</v>
      </c>
      <c r="H23" s="197"/>
      <c r="I23" s="1310" t="str">
        <f>IFERROR($E23/$E$5,"")</f>
        <v/>
      </c>
      <c r="J23" s="1310"/>
      <c r="K23" s="271"/>
      <c r="L23" s="182"/>
    </row>
    <row r="24" spans="2:12" ht="16.149999999999999" customHeight="1" x14ac:dyDescent="0.25">
      <c r="B24" s="181"/>
      <c r="C24" s="270"/>
      <c r="D24" s="1315" t="s">
        <v>953</v>
      </c>
      <c r="E24" s="1315"/>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1310</v>
      </c>
      <c r="F28" s="197"/>
      <c r="G28" s="695" t="s">
        <v>1311</v>
      </c>
      <c r="H28" s="197"/>
      <c r="I28" s="1309" t="s">
        <v>906</v>
      </c>
      <c r="J28" s="1309"/>
      <c r="K28" s="271"/>
      <c r="L28" s="182"/>
    </row>
    <row r="29" spans="2:12" ht="25.15" customHeight="1" x14ac:dyDescent="0.25">
      <c r="B29" s="181"/>
      <c r="C29" s="270"/>
      <c r="D29" s="569" t="s">
        <v>224</v>
      </c>
      <c r="E29" s="570">
        <f>IFERROR('EB_CM (Back)'!$F$47,0)</f>
        <v>0</v>
      </c>
      <c r="F29" s="197"/>
      <c r="G29" s="557">
        <f>IFERROR(E29/'PIM Model'!$H$31,0)</f>
        <v>0</v>
      </c>
      <c r="H29" s="197"/>
      <c r="I29" s="1310" t="str">
        <f>IFERROR($E29/$E$5,"")</f>
        <v/>
      </c>
      <c r="J29" s="1310"/>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310" t="str">
        <f>IFERROR($E30/$E$5,"")</f>
        <v/>
      </c>
      <c r="J30" s="1310"/>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1407</v>
      </c>
      <c r="E34" s="1062" t="s">
        <v>269</v>
      </c>
      <c r="F34" s="197"/>
      <c r="G34" s="1062" t="s">
        <v>1311</v>
      </c>
      <c r="H34" s="197"/>
      <c r="I34" s="1063"/>
      <c r="J34" s="1063"/>
      <c r="K34" s="271"/>
      <c r="L34" s="182"/>
    </row>
    <row r="35" spans="2:12" s="1061" customFormat="1" ht="23.25" customHeight="1" x14ac:dyDescent="0.25">
      <c r="B35" s="181"/>
      <c r="C35" s="270"/>
      <c r="D35" s="569" t="s">
        <v>1408</v>
      </c>
      <c r="E35" s="1073">
        <f>IFERROR('Customer Inputs'!BA16,0)</f>
        <v>0</v>
      </c>
      <c r="F35" s="197"/>
      <c r="G35" s="1063"/>
      <c r="H35" s="197"/>
      <c r="I35" s="1063"/>
      <c r="J35" s="1063"/>
      <c r="K35" s="271"/>
      <c r="L35" s="182"/>
    </row>
    <row r="36" spans="2:12" s="1061" customFormat="1" ht="22.5" customHeight="1" x14ac:dyDescent="0.25">
      <c r="B36" s="181"/>
      <c r="C36" s="270"/>
      <c r="D36" s="569" t="s">
        <v>1409</v>
      </c>
      <c r="E36" s="1073">
        <f>IFERROR('Customer Inputs'!BB16,0)</f>
        <v>0</v>
      </c>
      <c r="F36" s="197"/>
      <c r="G36" s="557">
        <f>IFERROR(E36*'Customer Inputs'!BC16/'PIM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D29"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18" t="s">
        <v>1298</v>
      </c>
      <c r="D4" s="1319"/>
      <c r="E4" s="697">
        <f>Welcome!$D$8</f>
        <v>0</v>
      </c>
      <c r="F4" s="142"/>
      <c r="G4" s="512" t="s">
        <v>110</v>
      </c>
      <c r="H4" s="1268" t="str">
        <f>IFERROR(VLOOKUP($H$5,'Market Geography'!$D:$G,4,FALSE),"Select Market")</f>
        <v>Select Market</v>
      </c>
      <c r="I4" s="1269"/>
      <c r="J4" s="1270"/>
      <c r="K4" s="1053"/>
      <c r="L4" s="1053"/>
      <c r="M4" s="1053"/>
      <c r="N4" s="1053"/>
      <c r="O4" s="1053"/>
      <c r="P4" s="884"/>
      <c r="Q4" s="886"/>
      <c r="R4" s="791"/>
      <c r="S4" s="581"/>
    </row>
    <row r="5" spans="1:31" x14ac:dyDescent="0.25">
      <c r="B5" s="181"/>
      <c r="C5" s="1305" t="s">
        <v>1299</v>
      </c>
      <c r="D5" s="1306"/>
      <c r="E5" s="389" t="str">
        <f>Welcome!$D$12</f>
        <v>Select Term</v>
      </c>
      <c r="F5" s="142"/>
      <c r="G5" s="513" t="s">
        <v>901</v>
      </c>
      <c r="H5" s="1265">
        <f>Welcome!$D$4</f>
        <v>0</v>
      </c>
      <c r="I5" s="1266"/>
      <c r="J5" s="1267"/>
      <c r="K5" s="1053"/>
      <c r="L5" s="1053"/>
      <c r="M5" s="1053"/>
      <c r="N5" s="1053"/>
      <c r="O5" s="1053"/>
      <c r="P5" s="884"/>
      <c r="Q5" s="886"/>
      <c r="R5" s="791"/>
      <c r="S5" s="581"/>
    </row>
    <row r="6" spans="1:31" x14ac:dyDescent="0.25">
      <c r="B6" s="181"/>
      <c r="C6" s="1305" t="s">
        <v>1306</v>
      </c>
      <c r="D6" s="1306"/>
      <c r="E6" s="390">
        <f>IFERROR('PIM Model'!$G$31,0)</f>
        <v>0</v>
      </c>
      <c r="F6" s="423"/>
      <c r="G6" s="513" t="s">
        <v>107</v>
      </c>
      <c r="H6" s="1265" t="str">
        <f>'Multi-Customer'!$S$49</f>
        <v>Enter Customer(s)</v>
      </c>
      <c r="I6" s="1266"/>
      <c r="J6" s="1267"/>
      <c r="K6" s="1053"/>
      <c r="L6" s="1053"/>
      <c r="M6" s="1053"/>
      <c r="N6" s="1053"/>
      <c r="O6" s="1053"/>
      <c r="P6" s="884"/>
      <c r="Q6" s="886"/>
      <c r="R6" s="791"/>
      <c r="S6" s="581"/>
    </row>
    <row r="7" spans="1:31" x14ac:dyDescent="0.25">
      <c r="B7" s="181"/>
      <c r="C7" s="1305" t="s">
        <v>1307</v>
      </c>
      <c r="D7" s="1306"/>
      <c r="E7" s="582">
        <f>IFERROR('Variable Costs (Back)'!$K$26,0)</f>
        <v>0</v>
      </c>
      <c r="F7" s="180"/>
      <c r="G7" s="513" t="s">
        <v>1316</v>
      </c>
      <c r="H7" s="1265" t="str">
        <f>'Multi-Customer'!$AH$40</f>
        <v>Enter Customer(s)</v>
      </c>
      <c r="I7" s="1266"/>
      <c r="J7" s="1267"/>
      <c r="K7" s="1053"/>
      <c r="L7" s="1053"/>
      <c r="M7" s="1053"/>
      <c r="N7" s="1053"/>
      <c r="O7" s="1053"/>
      <c r="P7" s="884"/>
      <c r="Q7" s="886"/>
      <c r="R7" s="791"/>
      <c r="S7" s="581"/>
    </row>
    <row r="8" spans="1:31" ht="15.75" thickBot="1" x14ac:dyDescent="0.3">
      <c r="B8" s="181"/>
      <c r="C8" s="1307" t="s">
        <v>1308</v>
      </c>
      <c r="D8" s="1308"/>
      <c r="E8" s="421">
        <f>IFERROR('PIM Ranges'!$AU$3,0)</f>
        <v>0</v>
      </c>
      <c r="F8" s="424"/>
      <c r="G8" s="514" t="s">
        <v>1309</v>
      </c>
      <c r="H8" s="1287" t="s">
        <v>207</v>
      </c>
      <c r="I8" s="1288"/>
      <c r="J8" s="1289"/>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1310</v>
      </c>
      <c r="F11" s="35"/>
      <c r="G11" s="203" t="s">
        <v>1311</v>
      </c>
      <c r="H11" s="205"/>
      <c r="I11" s="197"/>
      <c r="J11" s="197"/>
      <c r="K11" s="197"/>
      <c r="L11" s="197"/>
      <c r="M11" s="197"/>
      <c r="N11" s="197"/>
      <c r="O11" s="199"/>
      <c r="P11"/>
      <c r="Q11" s="1325" t="s">
        <v>1249</v>
      </c>
      <c r="R11" s="1325"/>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1310</v>
      </c>
      <c r="F15" s="35"/>
      <c r="G15" s="127" t="s">
        <v>1311</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1073</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1398</v>
      </c>
      <c r="E17" s="12">
        <f>IFERROR('EB_CM (Back)'!$G$47*-1,0)-E16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1310</v>
      </c>
      <c r="F19" s="35"/>
      <c r="G19" s="203" t="s">
        <v>1311</v>
      </c>
      <c r="H19" s="591"/>
      <c r="I19" s="203" t="s">
        <v>906</v>
      </c>
      <c r="J19" s="593"/>
      <c r="K19" s="587"/>
      <c r="L19" s="587"/>
      <c r="M19" s="587"/>
      <c r="N19" s="593"/>
      <c r="O19" s="592"/>
      <c r="P19"/>
      <c r="Q19" s="882"/>
      <c r="R19" s="879"/>
      <c r="S19" s="182"/>
      <c r="T19" s="5"/>
    </row>
    <row r="20" spans="2:20" ht="21.6" customHeight="1" x14ac:dyDescent="0.25">
      <c r="B20" s="181"/>
      <c r="C20" s="270"/>
      <c r="D20" s="8" t="s">
        <v>973</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20" t="s">
        <v>1249</v>
      </c>
      <c r="R21" s="1321"/>
      <c r="S21" s="182"/>
      <c r="T21" s="5"/>
    </row>
    <row r="22" spans="2:20" ht="24" customHeight="1" x14ac:dyDescent="0.25">
      <c r="B22" s="181"/>
      <c r="C22" s="270"/>
      <c r="D22" s="16" t="s">
        <v>1399</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1400</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1401</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1197</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1313</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1315</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24" t="s">
        <v>233</v>
      </c>
      <c r="E32" s="1324"/>
      <c r="F32" s="1324"/>
      <c r="G32" s="1324"/>
      <c r="H32" s="600"/>
      <c r="I32" s="1323" t="str">
        <f>IF($I$33=0,IF($N$33=0,"","Customer EB % Missing"),IF($N$33=0,"Customer Drops/Wk Missing","Customer EB % &amp; Drops/Wk Missing"))</f>
        <v>Customer Drops/Wk Missing</v>
      </c>
      <c r="J32" s="1323"/>
      <c r="K32" s="1323"/>
      <c r="L32" s="1323"/>
      <c r="M32" s="1323"/>
      <c r="N32" s="1323"/>
      <c r="O32" s="199"/>
      <c r="P32"/>
      <c r="Q32" s="882"/>
      <c r="R32" s="879"/>
      <c r="S32" s="182"/>
      <c r="T32" s="5"/>
    </row>
    <row r="33" spans="2:20" ht="36.75" customHeight="1" x14ac:dyDescent="0.25">
      <c r="B33" s="181"/>
      <c r="C33" s="270"/>
      <c r="D33" s="7"/>
      <c r="E33" s="1054" t="s">
        <v>1310</v>
      </c>
      <c r="F33" s="591"/>
      <c r="G33" s="1055" t="s">
        <v>1311</v>
      </c>
      <c r="H33" s="766" t="e">
        <f>I33+N33</f>
        <v>#VALUE!</v>
      </c>
      <c r="I33" s="1055" t="s">
        <v>906</v>
      </c>
      <c r="J33" s="197"/>
      <c r="K33" s="1055" t="s">
        <v>1403</v>
      </c>
      <c r="L33" s="197"/>
      <c r="M33" s="1056" t="s">
        <v>1404</v>
      </c>
      <c r="N33" s="561">
        <f>'Customer Inputs'!$AA$16</f>
        <v>0</v>
      </c>
      <c r="O33" s="199"/>
      <c r="P33"/>
      <c r="Q33" s="1075"/>
      <c r="R33" s="1074"/>
      <c r="S33" s="182"/>
      <c r="T33" s="5"/>
    </row>
    <row r="34" spans="2:20" ht="24" customHeight="1" x14ac:dyDescent="0.25">
      <c r="B34" s="181"/>
      <c r="C34" s="270"/>
      <c r="D34" s="8" t="s">
        <v>1402</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1405</v>
      </c>
      <c r="E36" s="12">
        <f>IFERROR('Customer Inputs'!BD16,0)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20" t="s">
        <v>1249</v>
      </c>
      <c r="R37" s="1321"/>
      <c r="S37" s="182"/>
    </row>
    <row r="38" spans="2:20" s="1053" customFormat="1" ht="24" customHeight="1" x14ac:dyDescent="0.25">
      <c r="B38" s="181"/>
      <c r="C38" s="270"/>
      <c r="D38" s="8" t="s">
        <v>1406</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22"/>
      <c r="C41" s="1322"/>
      <c r="D41" s="1322"/>
      <c r="N41" s="1277"/>
      <c r="O41" s="1277"/>
      <c r="P41" s="1277"/>
      <c r="Q41" s="1277"/>
      <c r="R41" s="1277"/>
      <c r="S41" s="1277"/>
    </row>
    <row r="42" spans="2:20" x14ac:dyDescent="0.25">
      <c r="S42" s="607"/>
    </row>
  </sheetData>
  <sheetProtection algorithmName="SHA-512" hashValue="UgFr6QY1JPzWhl7lE3hpa1kQMev4bquoRY0x3+iOJb2iCG9mzkqnB1zLOczpsVwMsfDQIHG7pGI6c7sMxy3+Cg==" saltValue="attUfwWD5l8VO5XfqOfj/Q=="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28" t="s">
        <v>667</v>
      </c>
      <c r="D2" s="1329"/>
      <c r="E2" s="1329"/>
      <c r="F2" s="1329"/>
      <c r="G2" s="1329"/>
      <c r="H2" s="1329"/>
      <c r="I2" s="1329"/>
      <c r="J2" s="1329"/>
      <c r="K2" s="1329"/>
      <c r="L2" s="1329"/>
      <c r="M2" s="1329"/>
      <c r="N2" s="1329"/>
      <c r="O2" s="1329"/>
      <c r="P2" s="1330"/>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31"/>
      <c r="G4" s="1331"/>
      <c r="P4" s="658"/>
      <c r="T4" s="1" t="s">
        <v>490</v>
      </c>
    </row>
    <row r="5" spans="3:23" x14ac:dyDescent="0.25">
      <c r="C5" s="140"/>
      <c r="E5" s="435"/>
      <c r="P5" s="141"/>
    </row>
    <row r="6" spans="3:23" x14ac:dyDescent="0.25">
      <c r="C6" s="140"/>
      <c r="E6" s="139" t="s">
        <v>1317</v>
      </c>
      <c r="F6" s="1331"/>
      <c r="G6" s="1331"/>
      <c r="P6" s="141"/>
    </row>
    <row r="7" spans="3:23" x14ac:dyDescent="0.25">
      <c r="C7" s="140"/>
      <c r="E7" s="139"/>
      <c r="P7" s="141"/>
    </row>
    <row r="8" spans="3:23" x14ac:dyDescent="0.25">
      <c r="C8" s="140"/>
      <c r="E8" s="139" t="s">
        <v>1318</v>
      </c>
      <c r="F8" s="1331"/>
      <c r="G8" s="1331"/>
      <c r="P8" s="141"/>
    </row>
    <row r="9" spans="3:23" x14ac:dyDescent="0.25">
      <c r="C9" s="140"/>
      <c r="E9" s="139" t="s">
        <v>1319</v>
      </c>
      <c r="F9" s="1331"/>
      <c r="G9" s="1331"/>
      <c r="P9" s="141"/>
    </row>
    <row r="10" spans="3:23" x14ac:dyDescent="0.25">
      <c r="C10" s="140"/>
      <c r="E10" s="139" t="s">
        <v>897</v>
      </c>
      <c r="F10" s="1331"/>
      <c r="G10" s="1331"/>
      <c r="P10" s="141"/>
    </row>
    <row r="11" spans="3:23" x14ac:dyDescent="0.25">
      <c r="C11" s="140"/>
      <c r="E11" s="139" t="s">
        <v>850</v>
      </c>
      <c r="F11" s="1331"/>
      <c r="G11" s="1331"/>
      <c r="P11" s="141"/>
    </row>
    <row r="12" spans="3:23" x14ac:dyDescent="0.25">
      <c r="C12" s="140"/>
      <c r="E12" s="139" t="s">
        <v>1320</v>
      </c>
      <c r="F12" s="1331"/>
      <c r="G12" s="1331"/>
      <c r="P12" s="141"/>
    </row>
    <row r="13" spans="3:23" x14ac:dyDescent="0.25">
      <c r="C13" s="140"/>
      <c r="E13" s="139"/>
      <c r="F13" s="1333"/>
      <c r="G13" s="1333"/>
      <c r="P13" s="141"/>
    </row>
    <row r="14" spans="3:23" x14ac:dyDescent="0.25">
      <c r="C14" s="140"/>
      <c r="E14" s="139" t="s">
        <v>1321</v>
      </c>
      <c r="F14" s="1332"/>
      <c r="G14" s="1332"/>
      <c r="H14" s="671"/>
      <c r="P14" s="141"/>
      <c r="Q14" s="845">
        <f>WEEKDAY(F14,2)</f>
        <v>6</v>
      </c>
    </row>
    <row r="15" spans="3:23" s="1012" customFormat="1" ht="13.5" customHeight="1" x14ac:dyDescent="0.25">
      <c r="C15" s="140"/>
      <c r="F15" s="55" t="s">
        <v>1032</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1322</v>
      </c>
      <c r="F17" s="1334" t="str">
        <f>IF(F14="","",F14+(363*IF(OR(Welcome!D12="Select Term",Welcome!D12=""),0,Welcome!D12))+6)</f>
        <v/>
      </c>
      <c r="G17" s="1334"/>
      <c r="O17" s="1074"/>
      <c r="P17" s="141"/>
    </row>
    <row r="18" spans="1:17" ht="13.5" customHeight="1" x14ac:dyDescent="0.25">
      <c r="C18" s="140"/>
      <c r="P18" s="141"/>
    </row>
    <row r="19" spans="1:17" s="839" customFormat="1" ht="14.25" customHeight="1" x14ac:dyDescent="0.25">
      <c r="C19" s="140"/>
      <c r="E19" s="139" t="s">
        <v>1323</v>
      </c>
      <c r="F19" s="1326">
        <f>Welcome!D8</f>
        <v>0</v>
      </c>
      <c r="G19" s="1327"/>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1152</v>
      </c>
      <c r="P21" s="141"/>
    </row>
    <row r="22" spans="1:17" ht="44.25" customHeight="1" thickBot="1" x14ac:dyDescent="0.3">
      <c r="C22" s="140"/>
      <c r="E22" s="1013" t="s">
        <v>1324</v>
      </c>
      <c r="F22" s="436" t="s">
        <v>814</v>
      </c>
      <c r="G22" s="436" t="s">
        <v>815</v>
      </c>
      <c r="H22" s="436" t="s">
        <v>820</v>
      </c>
      <c r="I22" s="436" t="s">
        <v>821</v>
      </c>
      <c r="J22" s="436" t="s">
        <v>205</v>
      </c>
      <c r="K22" s="436" t="s">
        <v>813</v>
      </c>
      <c r="L22" s="436" t="s">
        <v>1325</v>
      </c>
      <c r="M22" s="1013" t="s">
        <v>1326</v>
      </c>
      <c r="N22" s="1013" t="s">
        <v>1327</v>
      </c>
      <c r="O22" s="1013" t="s">
        <v>1446</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35" t="s">
        <v>1503</v>
      </c>
      <c r="B1" s="1335"/>
      <c r="C1" s="1335"/>
      <c r="D1" s="1335"/>
      <c r="E1" s="1335"/>
      <c r="F1" s="1335" t="s">
        <v>1504</v>
      </c>
      <c r="G1" s="1335"/>
      <c r="H1" s="1335"/>
      <c r="I1" s="1335" t="s">
        <v>1505</v>
      </c>
      <c r="J1" s="1335"/>
      <c r="K1" s="1335"/>
      <c r="L1" s="1335" t="s">
        <v>1506</v>
      </c>
      <c r="M1" s="1335"/>
      <c r="N1" s="1335"/>
    </row>
    <row r="2" spans="1:14" x14ac:dyDescent="0.25">
      <c r="A2" s="1175" t="s">
        <v>1507</v>
      </c>
      <c r="B2" s="1175" t="s">
        <v>1508</v>
      </c>
      <c r="C2" s="1175" t="s">
        <v>1509</v>
      </c>
      <c r="D2" s="1175" t="s">
        <v>131</v>
      </c>
      <c r="E2" s="1175" t="s">
        <v>1510</v>
      </c>
      <c r="F2" s="1175" t="s">
        <v>1507</v>
      </c>
      <c r="G2" s="1175" t="s">
        <v>1511</v>
      </c>
      <c r="H2" s="1175" t="s">
        <v>1510</v>
      </c>
      <c r="I2" s="1176" t="s">
        <v>1507</v>
      </c>
      <c r="J2" s="1176" t="s">
        <v>1511</v>
      </c>
      <c r="K2" s="1176" t="s">
        <v>1510</v>
      </c>
      <c r="L2" s="1176" t="s">
        <v>1507</v>
      </c>
      <c r="M2" s="1176" t="s">
        <v>1511</v>
      </c>
      <c r="N2" s="1176" t="s">
        <v>1510</v>
      </c>
    </row>
    <row r="3" spans="1:14" x14ac:dyDescent="0.25">
      <c r="A3" s="1177" t="s">
        <v>381</v>
      </c>
      <c r="B3" s="1177" t="s">
        <v>1512</v>
      </c>
      <c r="C3" s="1177" t="s">
        <v>1513</v>
      </c>
      <c r="D3" s="1177" t="s">
        <v>1514</v>
      </c>
      <c r="E3" s="1177" t="s">
        <v>1515</v>
      </c>
      <c r="F3" s="1177" t="s">
        <v>1516</v>
      </c>
      <c r="G3" s="1177" t="s">
        <v>1517</v>
      </c>
      <c r="H3" s="1177" t="s">
        <v>1518</v>
      </c>
      <c r="I3" s="1182"/>
      <c r="J3" s="1182"/>
      <c r="K3" s="1182"/>
      <c r="L3" s="1182"/>
      <c r="M3" s="1182"/>
      <c r="N3" s="1182"/>
    </row>
    <row r="4" spans="1:14" x14ac:dyDescent="0.25">
      <c r="A4" s="1177" t="s">
        <v>1346</v>
      </c>
      <c r="B4" s="1177" t="s">
        <v>1062</v>
      </c>
      <c r="C4" s="1177" t="s">
        <v>1063</v>
      </c>
      <c r="D4" s="1177" t="s">
        <v>1514</v>
      </c>
      <c r="E4" s="1177" t="s">
        <v>1515</v>
      </c>
      <c r="F4" s="1178" t="s">
        <v>1346</v>
      </c>
      <c r="G4" s="1177" t="s">
        <v>1519</v>
      </c>
      <c r="H4" s="1177" t="s">
        <v>1518</v>
      </c>
      <c r="I4" s="1182"/>
      <c r="J4" s="1182"/>
      <c r="K4" s="1182"/>
      <c r="L4" s="1182"/>
      <c r="M4" s="1182"/>
      <c r="N4" s="1182"/>
    </row>
    <row r="5" spans="1:14" x14ac:dyDescent="0.25">
      <c r="A5" s="1179" t="s">
        <v>1324</v>
      </c>
      <c r="B5" s="1177" t="s">
        <v>1520</v>
      </c>
      <c r="C5" s="1177" t="s">
        <v>1521</v>
      </c>
      <c r="D5" s="1177" t="s">
        <v>1522</v>
      </c>
      <c r="E5" s="1177" t="s">
        <v>1523</v>
      </c>
      <c r="F5" s="1179" t="s">
        <v>1324</v>
      </c>
      <c r="G5" s="1177" t="s">
        <v>1521</v>
      </c>
      <c r="H5" s="1177" t="s">
        <v>1524</v>
      </c>
      <c r="I5" s="1182"/>
      <c r="J5" s="1182"/>
      <c r="K5" s="1182"/>
      <c r="L5" s="1182"/>
      <c r="M5" s="1182"/>
      <c r="N5" s="1182"/>
    </row>
    <row r="6" spans="1:14" x14ac:dyDescent="0.25">
      <c r="A6" s="1179" t="s">
        <v>813</v>
      </c>
      <c r="B6" s="1177" t="s">
        <v>1525</v>
      </c>
      <c r="C6" s="1177" t="s">
        <v>1526</v>
      </c>
      <c r="D6" s="1177" t="s">
        <v>1522</v>
      </c>
      <c r="E6" s="1177" t="s">
        <v>1523</v>
      </c>
      <c r="F6" s="1179" t="s">
        <v>813</v>
      </c>
      <c r="G6" s="1177" t="s">
        <v>1527</v>
      </c>
      <c r="H6" s="1177" t="s">
        <v>1524</v>
      </c>
      <c r="I6" s="1182"/>
      <c r="J6" s="1182"/>
      <c r="K6" s="1182"/>
      <c r="L6" s="1182"/>
      <c r="M6" s="1182"/>
      <c r="N6" s="1182"/>
    </row>
    <row r="7" spans="1:14" x14ac:dyDescent="0.25">
      <c r="A7" s="1179" t="s">
        <v>1325</v>
      </c>
      <c r="B7" s="1177" t="s">
        <v>1528</v>
      </c>
      <c r="C7" s="1177" t="s">
        <v>134</v>
      </c>
      <c r="D7" s="1177" t="s">
        <v>1522</v>
      </c>
      <c r="E7" s="1177" t="s">
        <v>1523</v>
      </c>
      <c r="F7" s="1179" t="s">
        <v>1325</v>
      </c>
      <c r="G7" s="1177" t="s">
        <v>1529</v>
      </c>
      <c r="H7" s="1177" t="s">
        <v>1524</v>
      </c>
      <c r="I7" s="1182"/>
      <c r="J7" s="1182"/>
      <c r="K7" s="1182"/>
      <c r="L7" s="1182"/>
      <c r="M7" s="1182"/>
      <c r="N7" s="1182"/>
    </row>
    <row r="8" spans="1:14" x14ac:dyDescent="0.25">
      <c r="A8" s="1179" t="s">
        <v>1326</v>
      </c>
      <c r="B8" s="1177" t="s">
        <v>1530</v>
      </c>
      <c r="C8" s="1177" t="s">
        <v>681</v>
      </c>
      <c r="D8" s="1177" t="s">
        <v>1522</v>
      </c>
      <c r="E8" s="1177" t="s">
        <v>1523</v>
      </c>
      <c r="F8" s="1179" t="s">
        <v>1326</v>
      </c>
      <c r="G8" s="1177" t="s">
        <v>1531</v>
      </c>
      <c r="H8" s="1177" t="s">
        <v>1524</v>
      </c>
      <c r="I8" s="1182"/>
      <c r="J8" s="1182"/>
      <c r="K8" s="1182"/>
      <c r="L8" s="1182"/>
      <c r="M8" s="1182"/>
      <c r="N8" s="1182"/>
    </row>
    <row r="9" spans="1:14" x14ac:dyDescent="0.25">
      <c r="A9" s="1179" t="s">
        <v>1413</v>
      </c>
      <c r="B9" s="1177" t="s">
        <v>1512</v>
      </c>
      <c r="C9" s="1177" t="s">
        <v>1513</v>
      </c>
      <c r="D9" s="1177" t="s">
        <v>1514</v>
      </c>
      <c r="E9" s="1177" t="s">
        <v>1428</v>
      </c>
      <c r="F9" s="1179" t="s">
        <v>1413</v>
      </c>
      <c r="G9" s="1177" t="s">
        <v>1532</v>
      </c>
      <c r="H9" s="1177" t="s">
        <v>1524</v>
      </c>
      <c r="I9" s="1182"/>
      <c r="J9" s="1182"/>
      <c r="K9" s="1182"/>
      <c r="L9" s="1182"/>
      <c r="M9" s="1182"/>
      <c r="N9" s="1182"/>
    </row>
    <row r="10" spans="1:14" x14ac:dyDescent="0.25">
      <c r="A10" s="1179" t="s">
        <v>1446</v>
      </c>
      <c r="B10" s="1177" t="s">
        <v>1533</v>
      </c>
      <c r="C10" s="1177" t="s">
        <v>1534</v>
      </c>
      <c r="D10" s="1177" t="s">
        <v>1522</v>
      </c>
      <c r="E10" s="1177" t="s">
        <v>1523</v>
      </c>
      <c r="F10" s="1179" t="s">
        <v>1446</v>
      </c>
      <c r="G10" s="1177" t="s">
        <v>1535</v>
      </c>
      <c r="H10" s="1177" t="s">
        <v>1524</v>
      </c>
      <c r="I10" s="1182"/>
      <c r="J10" s="1182"/>
      <c r="K10" s="1182"/>
      <c r="L10" s="1182"/>
      <c r="M10" s="1182"/>
      <c r="N10" s="1182"/>
    </row>
    <row r="11" spans="1:14" x14ac:dyDescent="0.25">
      <c r="A11" s="1179" t="s">
        <v>1536</v>
      </c>
      <c r="B11" s="1177" t="s">
        <v>1537</v>
      </c>
      <c r="C11" s="1177" t="s">
        <v>245</v>
      </c>
      <c r="D11" s="1177" t="s">
        <v>1522</v>
      </c>
      <c r="E11" s="1177" t="s">
        <v>1523</v>
      </c>
      <c r="F11" s="1179" t="s">
        <v>1536</v>
      </c>
      <c r="G11" s="1177" t="s">
        <v>1526</v>
      </c>
      <c r="H11" s="1177" t="s">
        <v>1524</v>
      </c>
      <c r="I11" s="1182"/>
      <c r="J11" s="1182"/>
      <c r="K11" s="1182"/>
      <c r="L11" s="1182"/>
      <c r="M11" s="1182"/>
      <c r="N11" s="1182"/>
    </row>
    <row r="12" spans="1:14" ht="30" x14ac:dyDescent="0.25">
      <c r="A12" s="1180" t="s">
        <v>1360</v>
      </c>
      <c r="B12" s="1180" t="s">
        <v>1538</v>
      </c>
      <c r="C12" s="1180" t="s">
        <v>1539</v>
      </c>
      <c r="D12" s="1180" t="s">
        <v>1514</v>
      </c>
      <c r="E12" s="1180" t="s">
        <v>1515</v>
      </c>
      <c r="F12" s="1180" t="s">
        <v>1360</v>
      </c>
      <c r="G12" s="1180" t="s">
        <v>1517</v>
      </c>
      <c r="H12" s="1180" t="s">
        <v>1540</v>
      </c>
      <c r="I12" s="1182"/>
      <c r="J12" s="1182"/>
      <c r="K12" s="1182"/>
      <c r="L12" s="1182"/>
      <c r="M12" s="1182"/>
      <c r="N12" s="1182"/>
    </row>
    <row r="13" spans="1:14" x14ac:dyDescent="0.25">
      <c r="A13" s="1180" t="s">
        <v>1334</v>
      </c>
      <c r="B13" s="1180" t="s">
        <v>1541</v>
      </c>
      <c r="C13" s="1180" t="s">
        <v>1542</v>
      </c>
      <c r="D13" s="1180" t="s">
        <v>1514</v>
      </c>
      <c r="E13" s="1180" t="s">
        <v>129</v>
      </c>
      <c r="F13" s="1180" t="s">
        <v>1543</v>
      </c>
      <c r="G13" s="1180" t="s">
        <v>1519</v>
      </c>
      <c r="H13" s="1180" t="s">
        <v>1540</v>
      </c>
      <c r="I13" s="1182"/>
      <c r="J13" s="1182"/>
      <c r="K13" s="1182"/>
      <c r="L13" s="1182"/>
      <c r="M13" s="1182"/>
      <c r="N13" s="1182"/>
    </row>
    <row r="14" spans="1:14" x14ac:dyDescent="0.25">
      <c r="A14" s="1180" t="s">
        <v>1350</v>
      </c>
      <c r="B14" s="1180" t="s">
        <v>1544</v>
      </c>
      <c r="C14" s="1180" t="s">
        <v>1545</v>
      </c>
      <c r="D14" s="1180" t="s">
        <v>1514</v>
      </c>
      <c r="E14" s="1180" t="s">
        <v>1515</v>
      </c>
      <c r="F14" s="1180" t="s">
        <v>1350</v>
      </c>
      <c r="G14" s="1180" t="s">
        <v>1546</v>
      </c>
      <c r="H14" s="1180" t="s">
        <v>1540</v>
      </c>
      <c r="I14" s="1182"/>
      <c r="J14" s="1182"/>
      <c r="K14" s="1182"/>
      <c r="L14" s="1182"/>
      <c r="M14" s="1182"/>
      <c r="N14" s="1182"/>
    </row>
    <row r="15" spans="1:14" x14ac:dyDescent="0.25">
      <c r="A15" s="1180" t="s">
        <v>1351</v>
      </c>
      <c r="B15" s="1180" t="s">
        <v>1547</v>
      </c>
      <c r="C15" s="1180" t="s">
        <v>1548</v>
      </c>
      <c r="D15" s="1180" t="s">
        <v>1514</v>
      </c>
      <c r="E15" s="1180" t="s">
        <v>1515</v>
      </c>
      <c r="F15" s="1180" t="s">
        <v>1351</v>
      </c>
      <c r="G15" s="1181" t="s">
        <v>680</v>
      </c>
      <c r="H15" s="1180" t="s">
        <v>1540</v>
      </c>
      <c r="I15" s="1182"/>
      <c r="J15" s="1182"/>
      <c r="K15" s="1182"/>
      <c r="L15" s="1182"/>
      <c r="M15" s="1182"/>
      <c r="N15" s="1182"/>
    </row>
    <row r="16" spans="1:14" x14ac:dyDescent="0.25">
      <c r="A16" s="1180" t="s">
        <v>1352</v>
      </c>
      <c r="B16" s="1180" t="s">
        <v>1549</v>
      </c>
      <c r="C16" s="1180" t="s">
        <v>1550</v>
      </c>
      <c r="D16" s="1180" t="s">
        <v>1514</v>
      </c>
      <c r="E16" s="1180" t="s">
        <v>1515</v>
      </c>
      <c r="F16" s="1180" t="s">
        <v>1352</v>
      </c>
      <c r="G16" s="1180" t="s">
        <v>1521</v>
      </c>
      <c r="H16" s="1180" t="s">
        <v>1540</v>
      </c>
      <c r="I16" s="1182"/>
      <c r="J16" s="1182"/>
      <c r="K16" s="1182"/>
      <c r="L16" s="1182"/>
      <c r="M16" s="1182"/>
      <c r="N16" s="1182"/>
    </row>
    <row r="17" spans="1:14" x14ac:dyDescent="0.25">
      <c r="A17" s="1180" t="s">
        <v>1332</v>
      </c>
      <c r="B17" s="1180" t="s">
        <v>1551</v>
      </c>
      <c r="C17" s="1180" t="s">
        <v>1552</v>
      </c>
      <c r="D17" s="1180" t="s">
        <v>1514</v>
      </c>
      <c r="E17" s="1180" t="s">
        <v>129</v>
      </c>
      <c r="F17" s="1180" t="s">
        <v>1332</v>
      </c>
      <c r="G17" s="1180" t="s">
        <v>1527</v>
      </c>
      <c r="H17" s="1180" t="s">
        <v>1540</v>
      </c>
      <c r="I17" s="1182"/>
      <c r="J17" s="1182"/>
      <c r="K17" s="1182"/>
      <c r="L17" s="1182"/>
      <c r="M17" s="1182"/>
      <c r="N17" s="1182"/>
    </row>
    <row r="18" spans="1:14" ht="30" x14ac:dyDescent="0.25">
      <c r="A18" s="1180" t="s">
        <v>1361</v>
      </c>
      <c r="B18" s="1180" t="s">
        <v>1553</v>
      </c>
      <c r="C18" s="1180" t="s">
        <v>1554</v>
      </c>
      <c r="D18" s="1180" t="s">
        <v>1514</v>
      </c>
      <c r="E18" s="1180" t="s">
        <v>1515</v>
      </c>
      <c r="F18" s="1180" t="s">
        <v>1361</v>
      </c>
      <c r="G18" s="1180" t="s">
        <v>1529</v>
      </c>
      <c r="H18" s="1180" t="s">
        <v>1540</v>
      </c>
      <c r="I18" s="1182"/>
      <c r="J18" s="1182"/>
      <c r="K18" s="1182"/>
      <c r="L18" s="1182"/>
      <c r="M18" s="1182"/>
      <c r="N18" s="1182"/>
    </row>
    <row r="19" spans="1:14" x14ac:dyDescent="0.25">
      <c r="A19" s="1180" t="s">
        <v>1363</v>
      </c>
      <c r="B19" s="1180" t="s">
        <v>1555</v>
      </c>
      <c r="C19" s="1180" t="s">
        <v>1556</v>
      </c>
      <c r="D19" s="1180" t="s">
        <v>1514</v>
      </c>
      <c r="E19" s="1180" t="s">
        <v>1515</v>
      </c>
      <c r="F19" s="1180" t="s">
        <v>1363</v>
      </c>
      <c r="G19" s="1180" t="s">
        <v>1531</v>
      </c>
      <c r="H19" s="1180" t="s">
        <v>1540</v>
      </c>
      <c r="I19" s="1182"/>
      <c r="J19" s="1182"/>
      <c r="K19" s="1182"/>
      <c r="L19" s="1182"/>
      <c r="M19" s="1182"/>
      <c r="N19" s="1182"/>
    </row>
    <row r="20" spans="1:14" x14ac:dyDescent="0.25">
      <c r="A20" s="1180" t="s">
        <v>1364</v>
      </c>
      <c r="B20" s="1180" t="s">
        <v>1557</v>
      </c>
      <c r="C20" s="1180" t="s">
        <v>1558</v>
      </c>
      <c r="D20" s="1180" t="s">
        <v>1514</v>
      </c>
      <c r="E20" s="1180" t="s">
        <v>1515</v>
      </c>
      <c r="F20" s="1180" t="s">
        <v>1364</v>
      </c>
      <c r="G20" s="1180" t="s">
        <v>1532</v>
      </c>
      <c r="H20" s="1180" t="s">
        <v>1540</v>
      </c>
      <c r="I20" s="1182"/>
      <c r="J20" s="1182"/>
      <c r="K20" s="1182"/>
      <c r="L20" s="1182"/>
      <c r="M20" s="1182"/>
      <c r="N20" s="1182"/>
    </row>
    <row r="21" spans="1:14" x14ac:dyDescent="0.25">
      <c r="A21" s="1180" t="s">
        <v>1373</v>
      </c>
      <c r="B21" s="1180" t="s">
        <v>1559</v>
      </c>
      <c r="C21" s="1180" t="s">
        <v>1560</v>
      </c>
      <c r="D21" s="1180" t="s">
        <v>1514</v>
      </c>
      <c r="E21" s="1180" t="s">
        <v>1515</v>
      </c>
      <c r="F21" s="1180" t="s">
        <v>1373</v>
      </c>
      <c r="G21" s="1180" t="s">
        <v>1535</v>
      </c>
      <c r="H21" s="1180" t="s">
        <v>1540</v>
      </c>
      <c r="I21" s="1182"/>
      <c r="J21" s="1182"/>
      <c r="K21" s="1182"/>
      <c r="L21" s="1182"/>
      <c r="M21" s="1182"/>
      <c r="N21" s="1182"/>
    </row>
    <row r="22" spans="1:14" x14ac:dyDescent="0.25">
      <c r="A22" s="1180" t="s">
        <v>1374</v>
      </c>
      <c r="B22" s="1180" t="s">
        <v>1561</v>
      </c>
      <c r="C22" s="1180" t="s">
        <v>1562</v>
      </c>
      <c r="D22" s="1180" t="s">
        <v>1514</v>
      </c>
      <c r="E22" s="1180" t="s">
        <v>1515</v>
      </c>
      <c r="F22" s="1180" t="s">
        <v>1374</v>
      </c>
      <c r="G22" s="1180" t="s">
        <v>1526</v>
      </c>
      <c r="H22" s="1180" t="s">
        <v>1540</v>
      </c>
      <c r="I22" s="1182"/>
      <c r="J22" s="1182"/>
      <c r="K22" s="1182"/>
      <c r="L22" s="1182"/>
      <c r="M22" s="1182"/>
      <c r="N22" s="1182"/>
    </row>
    <row r="23" spans="1:14" x14ac:dyDescent="0.25">
      <c r="A23" s="1180" t="s">
        <v>1563</v>
      </c>
      <c r="B23" s="1180" t="s">
        <v>1564</v>
      </c>
      <c r="C23" s="1180" t="s">
        <v>1565</v>
      </c>
      <c r="D23" s="1180" t="s">
        <v>1514</v>
      </c>
      <c r="E23" s="1180" t="s">
        <v>1515</v>
      </c>
      <c r="F23" s="1180" t="s">
        <v>1563</v>
      </c>
      <c r="G23" s="1180" t="s">
        <v>134</v>
      </c>
      <c r="H23" s="1180" t="s">
        <v>1540</v>
      </c>
      <c r="I23" s="1182"/>
      <c r="J23" s="1182"/>
      <c r="K23" s="1182"/>
      <c r="L23" s="1182"/>
      <c r="M23" s="1182"/>
      <c r="N23" s="1182"/>
    </row>
    <row r="24" spans="1:14" ht="30" x14ac:dyDescent="0.25">
      <c r="A24" s="1180" t="s">
        <v>1566</v>
      </c>
      <c r="B24" s="1180" t="s">
        <v>1567</v>
      </c>
      <c r="C24" s="1180" t="s">
        <v>1568</v>
      </c>
      <c r="D24" s="1180" t="s">
        <v>1514</v>
      </c>
      <c r="E24" s="1180" t="s">
        <v>1515</v>
      </c>
      <c r="F24" s="1180" t="s">
        <v>1569</v>
      </c>
      <c r="G24" s="1180" t="s">
        <v>681</v>
      </c>
      <c r="H24" s="1180" t="s">
        <v>1540</v>
      </c>
      <c r="I24" s="1182"/>
      <c r="J24" s="1182"/>
      <c r="K24" s="1182"/>
      <c r="L24" s="1182"/>
      <c r="M24" s="1182"/>
      <c r="N24" s="1182"/>
    </row>
    <row r="25" spans="1:14" ht="30" x14ac:dyDescent="0.25">
      <c r="A25" s="1180" t="s">
        <v>1378</v>
      </c>
      <c r="B25" s="1180" t="s">
        <v>1570</v>
      </c>
      <c r="C25" s="1180" t="s">
        <v>1570</v>
      </c>
      <c r="D25" s="1180" t="s">
        <v>1514</v>
      </c>
      <c r="E25" s="1180" t="s">
        <v>1515</v>
      </c>
      <c r="F25" s="1180" t="s">
        <v>1378</v>
      </c>
      <c r="G25" s="1180" t="s">
        <v>245</v>
      </c>
      <c r="H25" s="1180" t="s">
        <v>1540</v>
      </c>
      <c r="I25" s="1182"/>
      <c r="J25" s="1182"/>
      <c r="K25" s="1182"/>
      <c r="L25" s="1182"/>
      <c r="M25" s="1182"/>
      <c r="N25" s="1182"/>
    </row>
    <row r="26" spans="1:14" x14ac:dyDescent="0.25">
      <c r="A26" s="1180" t="s">
        <v>1365</v>
      </c>
      <c r="B26" s="1180" t="s">
        <v>1571</v>
      </c>
      <c r="C26" s="1180" t="s">
        <v>1572</v>
      </c>
      <c r="D26" s="1180" t="s">
        <v>1514</v>
      </c>
      <c r="E26" s="1180" t="s">
        <v>1515</v>
      </c>
      <c r="F26" s="1180" t="s">
        <v>1365</v>
      </c>
      <c r="G26" s="1180" t="s">
        <v>1534</v>
      </c>
      <c r="H26" s="1180" t="s">
        <v>1540</v>
      </c>
      <c r="I26" s="1182"/>
      <c r="J26" s="1182"/>
      <c r="K26" s="1182"/>
      <c r="L26" s="1182"/>
      <c r="M26" s="1182"/>
      <c r="N26" s="1182"/>
    </row>
    <row r="27" spans="1:14" x14ac:dyDescent="0.25">
      <c r="A27" s="1180" t="s">
        <v>1379</v>
      </c>
      <c r="B27" s="1180" t="s">
        <v>1573</v>
      </c>
      <c r="C27" s="1180" t="s">
        <v>1574</v>
      </c>
      <c r="D27" s="1180" t="s">
        <v>1514</v>
      </c>
      <c r="E27" s="1180" t="s">
        <v>1515</v>
      </c>
      <c r="F27" s="1180" t="s">
        <v>1379</v>
      </c>
      <c r="G27" s="1180" t="s">
        <v>1575</v>
      </c>
      <c r="H27" s="1180" t="s">
        <v>1540</v>
      </c>
      <c r="I27" s="1182"/>
      <c r="J27" s="1182"/>
      <c r="K27" s="1182"/>
      <c r="L27" s="1182"/>
      <c r="M27" s="1182"/>
      <c r="N27" s="1182"/>
    </row>
    <row r="28" spans="1:14" x14ac:dyDescent="0.25">
      <c r="A28" s="1180" t="s">
        <v>1576</v>
      </c>
      <c r="B28" s="1180" t="s">
        <v>1577</v>
      </c>
      <c r="C28" s="1180" t="s">
        <v>1578</v>
      </c>
      <c r="D28" s="1180" t="s">
        <v>1514</v>
      </c>
      <c r="E28" s="1180" t="s">
        <v>1579</v>
      </c>
      <c r="F28" s="1180" t="s">
        <v>1580</v>
      </c>
      <c r="G28" s="1180" t="s">
        <v>1581</v>
      </c>
      <c r="H28" s="1180" t="s">
        <v>1540</v>
      </c>
      <c r="I28" s="1182"/>
      <c r="J28" s="1182"/>
      <c r="K28" s="1182"/>
      <c r="L28" s="1182"/>
      <c r="M28" s="1182"/>
      <c r="N28" s="1182"/>
    </row>
    <row r="29" spans="1:14" x14ac:dyDescent="0.25">
      <c r="A29" s="1180" t="s">
        <v>248</v>
      </c>
      <c r="B29" s="1180" t="s">
        <v>1582</v>
      </c>
      <c r="C29" s="1180" t="s">
        <v>1583</v>
      </c>
      <c r="D29" s="1180" t="s">
        <v>1514</v>
      </c>
      <c r="E29" s="1180" t="s">
        <v>1579</v>
      </c>
      <c r="F29" s="1180" t="s">
        <v>84</v>
      </c>
      <c r="G29" s="1180" t="s">
        <v>1517</v>
      </c>
      <c r="H29" s="1180" t="s">
        <v>1584</v>
      </c>
      <c r="I29" s="1182"/>
      <c r="J29" s="1182"/>
      <c r="K29" s="1182"/>
      <c r="L29" s="1182"/>
      <c r="M29" s="1182"/>
      <c r="N29" s="1182"/>
    </row>
    <row r="30" spans="1:14" x14ac:dyDescent="0.25">
      <c r="A30" s="1180" t="s">
        <v>269</v>
      </c>
      <c r="B30" s="1180" t="s">
        <v>1585</v>
      </c>
      <c r="C30" s="1180" t="s">
        <v>1586</v>
      </c>
      <c r="D30" s="1180" t="s">
        <v>1514</v>
      </c>
      <c r="E30" s="1180" t="s">
        <v>1579</v>
      </c>
      <c r="F30" s="1180" t="s">
        <v>269</v>
      </c>
      <c r="G30" s="1180" t="s">
        <v>1519</v>
      </c>
      <c r="H30" s="1180" t="s">
        <v>1584</v>
      </c>
      <c r="I30" s="1182"/>
      <c r="J30" s="1182"/>
      <c r="K30" s="1182"/>
      <c r="L30" s="1182"/>
      <c r="M30" s="1182"/>
      <c r="N30" s="1182"/>
    </row>
    <row r="31" spans="1:14" x14ac:dyDescent="0.25">
      <c r="A31" s="1180" t="s">
        <v>675</v>
      </c>
      <c r="B31" s="1180" t="s">
        <v>1587</v>
      </c>
      <c r="C31" s="1180" t="s">
        <v>1588</v>
      </c>
      <c r="D31" s="1180" t="s">
        <v>1514</v>
      </c>
      <c r="E31" s="1180" t="s">
        <v>1579</v>
      </c>
      <c r="F31" s="1180" t="s">
        <v>675</v>
      </c>
      <c r="G31" s="1180" t="s">
        <v>1546</v>
      </c>
      <c r="H31" s="1180" t="s">
        <v>1584</v>
      </c>
      <c r="I31" s="1182"/>
      <c r="J31" s="1182"/>
      <c r="K31" s="1182"/>
      <c r="L31" s="1182"/>
      <c r="M31" s="1182"/>
      <c r="N31" s="1182"/>
    </row>
    <row r="32" spans="1:14" x14ac:dyDescent="0.25">
      <c r="A32" s="1180" t="s">
        <v>1302</v>
      </c>
      <c r="B32" s="1180" t="s">
        <v>1589</v>
      </c>
      <c r="C32" s="1180" t="s">
        <v>1590</v>
      </c>
      <c r="D32" s="1180" t="s">
        <v>1514</v>
      </c>
      <c r="E32" s="1180" t="s">
        <v>1579</v>
      </c>
      <c r="F32" s="1180" t="s">
        <v>1302</v>
      </c>
      <c r="G32" s="1180" t="s">
        <v>680</v>
      </c>
      <c r="H32" s="1180" t="s">
        <v>1584</v>
      </c>
      <c r="I32" s="1182"/>
      <c r="J32" s="1182"/>
      <c r="K32" s="1182"/>
      <c r="L32" s="1182"/>
      <c r="M32" s="1182"/>
      <c r="N32" s="1182"/>
    </row>
    <row r="33" spans="1:14" x14ac:dyDescent="0.25">
      <c r="A33" s="1180" t="s">
        <v>1303</v>
      </c>
      <c r="B33" s="1180" t="s">
        <v>1591</v>
      </c>
      <c r="C33" s="1180" t="s">
        <v>1592</v>
      </c>
      <c r="D33" s="1180" t="s">
        <v>1514</v>
      </c>
      <c r="E33" s="1180" t="s">
        <v>1579</v>
      </c>
      <c r="F33" s="1180" t="s">
        <v>1303</v>
      </c>
      <c r="G33" s="1180" t="s">
        <v>1521</v>
      </c>
      <c r="H33" s="1180" t="s">
        <v>1584</v>
      </c>
      <c r="I33" s="1182"/>
      <c r="J33" s="1182"/>
      <c r="K33" s="1182"/>
      <c r="L33" s="1182"/>
      <c r="M33" s="1182"/>
      <c r="N33" s="1182"/>
    </row>
    <row r="34" spans="1:14" x14ac:dyDescent="0.25">
      <c r="A34" s="1180" t="s">
        <v>1304</v>
      </c>
      <c r="B34" s="1180" t="s">
        <v>1593</v>
      </c>
      <c r="C34" s="1180" t="s">
        <v>1594</v>
      </c>
      <c r="D34" s="1180" t="s">
        <v>1514</v>
      </c>
      <c r="E34" s="1180" t="s">
        <v>1579</v>
      </c>
      <c r="F34" s="1180" t="s">
        <v>1304</v>
      </c>
      <c r="G34" s="1180" t="s">
        <v>1527</v>
      </c>
      <c r="H34" s="1180" t="s">
        <v>1584</v>
      </c>
      <c r="I34" s="1182"/>
      <c r="J34" s="1182"/>
      <c r="K34" s="1182"/>
      <c r="L34" s="1182"/>
      <c r="M34" s="1182"/>
      <c r="N34" s="1182"/>
    </row>
    <row r="35" spans="1:14" x14ac:dyDescent="0.25">
      <c r="A35" s="1180" t="s">
        <v>1414</v>
      </c>
      <c r="B35" s="1180" t="s">
        <v>1062</v>
      </c>
      <c r="C35" s="1180" t="s">
        <v>1063</v>
      </c>
      <c r="D35" s="1180" t="s">
        <v>1514</v>
      </c>
      <c r="E35" s="1180" t="s">
        <v>1428</v>
      </c>
      <c r="F35" s="1180" t="s">
        <v>1414</v>
      </c>
      <c r="G35" s="1180" t="s">
        <v>1517</v>
      </c>
      <c r="H35" s="1180" t="s">
        <v>1412</v>
      </c>
      <c r="I35" s="1182"/>
      <c r="J35" s="1182"/>
      <c r="K35" s="1182"/>
      <c r="L35" s="1182"/>
      <c r="M35" s="1182"/>
      <c r="N35" s="1182"/>
    </row>
    <row r="36" spans="1:14" x14ac:dyDescent="0.25">
      <c r="A36" s="1180" t="s">
        <v>1595</v>
      </c>
      <c r="B36" s="1180" t="s">
        <v>1596</v>
      </c>
      <c r="C36" s="1180" t="s">
        <v>1597</v>
      </c>
      <c r="D36" s="1180" t="s">
        <v>1514</v>
      </c>
      <c r="E36" s="1180" t="s">
        <v>1428</v>
      </c>
      <c r="F36" s="1180" t="s">
        <v>1595</v>
      </c>
      <c r="G36" s="1180" t="s">
        <v>1519</v>
      </c>
      <c r="H36" s="1180" t="s">
        <v>1412</v>
      </c>
      <c r="I36" s="1182"/>
      <c r="J36" s="1182"/>
      <c r="K36" s="1182"/>
      <c r="L36" s="1182"/>
      <c r="M36" s="1182"/>
      <c r="N36" s="1182"/>
    </row>
    <row r="37" spans="1:14" x14ac:dyDescent="0.25">
      <c r="A37" s="1180" t="s">
        <v>1416</v>
      </c>
      <c r="B37" s="1177" t="s">
        <v>1598</v>
      </c>
      <c r="C37" s="1177" t="s">
        <v>1599</v>
      </c>
      <c r="D37" s="1180" t="s">
        <v>1514</v>
      </c>
      <c r="E37" s="1180" t="s">
        <v>1428</v>
      </c>
      <c r="F37" s="1180" t="s">
        <v>1416</v>
      </c>
      <c r="G37" s="1180" t="s">
        <v>1546</v>
      </c>
      <c r="H37" s="1180" t="s">
        <v>1412</v>
      </c>
      <c r="I37" s="1182"/>
      <c r="J37" s="1182"/>
      <c r="K37" s="1182"/>
      <c r="L37" s="1182"/>
      <c r="M37" s="1182"/>
      <c r="N37" s="1182"/>
    </row>
    <row r="38" spans="1:14" x14ac:dyDescent="0.25">
      <c r="A38" s="993"/>
      <c r="B38" s="993"/>
      <c r="C38" s="993"/>
      <c r="D38" s="993"/>
      <c r="E38" s="993"/>
      <c r="F38" s="993"/>
      <c r="G38" s="993"/>
      <c r="H38" s="993"/>
      <c r="I38" s="993"/>
      <c r="J38" s="993"/>
      <c r="K38" s="993"/>
      <c r="L38" s="993"/>
      <c r="M38" s="993"/>
      <c r="N38" s="993"/>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36" t="s">
        <v>1343</v>
      </c>
      <c r="C2" s="1337"/>
      <c r="D2" s="1337"/>
      <c r="E2" s="1337"/>
      <c r="F2" s="1337"/>
      <c r="G2" s="1337"/>
      <c r="H2" s="1337"/>
      <c r="I2" s="1338"/>
      <c r="J2" s="1036"/>
      <c r="K2" s="1036"/>
      <c r="L2" s="1036"/>
      <c r="M2" s="1339" t="s">
        <v>1344</v>
      </c>
      <c r="N2" s="1339"/>
      <c r="O2" s="1339"/>
      <c r="P2" s="1036"/>
      <c r="Q2" s="1036"/>
      <c r="R2" s="1036"/>
      <c r="S2" s="1028"/>
    </row>
    <row r="3" spans="1:19" x14ac:dyDescent="0.25">
      <c r="A3" s="1036"/>
      <c r="B3" s="1117"/>
      <c r="C3" s="1076"/>
      <c r="D3" s="1076"/>
      <c r="E3" s="1076"/>
      <c r="F3" s="1076"/>
      <c r="G3" s="1076"/>
      <c r="H3" s="1076"/>
      <c r="I3" s="1118"/>
      <c r="J3" s="1036"/>
      <c r="K3" s="1036"/>
      <c r="L3" s="1036"/>
      <c r="M3" s="1037" t="s">
        <v>1345</v>
      </c>
      <c r="N3" s="1037">
        <v>500</v>
      </c>
      <c r="O3" s="1037">
        <v>25</v>
      </c>
      <c r="P3" s="1036"/>
      <c r="Q3" s="1036" t="s">
        <v>1345</v>
      </c>
      <c r="R3" s="1036"/>
      <c r="S3" s="1028"/>
    </row>
    <row r="4" spans="1:19" ht="25.5" x14ac:dyDescent="0.25">
      <c r="A4" s="1036"/>
      <c r="B4" s="1119" t="s">
        <v>381</v>
      </c>
      <c r="C4" s="1120" t="s">
        <v>1346</v>
      </c>
      <c r="D4" s="1120" t="s">
        <v>1347</v>
      </c>
      <c r="E4" s="1120" t="s">
        <v>1348</v>
      </c>
      <c r="F4" s="1120" t="s">
        <v>1349</v>
      </c>
      <c r="G4" s="1121" t="s">
        <v>1350</v>
      </c>
      <c r="H4" s="1121" t="s">
        <v>1351</v>
      </c>
      <c r="I4" s="1122" t="s">
        <v>1352</v>
      </c>
      <c r="J4" s="1036"/>
      <c r="K4" s="1036"/>
      <c r="L4" s="1036"/>
      <c r="M4" s="1037" t="s">
        <v>1353</v>
      </c>
      <c r="N4" s="1037">
        <v>500</v>
      </c>
      <c r="O4" s="1037">
        <v>35</v>
      </c>
      <c r="P4" s="1036"/>
      <c r="Q4" s="1036" t="s">
        <v>1353</v>
      </c>
      <c r="R4" s="1036"/>
      <c r="S4" s="1028"/>
    </row>
    <row r="5" spans="1:19" ht="15.75" thickBot="1" x14ac:dyDescent="0.3">
      <c r="A5" s="1036"/>
      <c r="B5" s="1038">
        <f>'Existing Customers'!$AB$2</f>
        <v>0</v>
      </c>
      <c r="C5" s="1030" t="s">
        <v>669</v>
      </c>
      <c r="D5" s="1030" t="s">
        <v>1354</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1355</v>
      </c>
      <c r="N5" s="1037">
        <v>500</v>
      </c>
      <c r="O5" s="1037">
        <v>50</v>
      </c>
      <c r="P5" s="1036"/>
      <c r="Q5" s="1036" t="s">
        <v>1355</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1356</v>
      </c>
      <c r="R6" s="1036"/>
      <c r="S6" s="1028"/>
    </row>
    <row r="7" spans="1:19" ht="15.75" thickBot="1" x14ac:dyDescent="0.3">
      <c r="A7" s="1036"/>
      <c r="B7" s="1336" t="s">
        <v>1357</v>
      </c>
      <c r="C7" s="1337"/>
      <c r="D7" s="1337"/>
      <c r="E7" s="1337"/>
      <c r="F7" s="1337"/>
      <c r="G7" s="1337"/>
      <c r="H7" s="1337"/>
      <c r="I7" s="1338"/>
      <c r="J7" s="1036"/>
      <c r="K7" s="1036"/>
      <c r="L7" s="1036"/>
      <c r="M7" s="1037" t="s">
        <v>1356</v>
      </c>
      <c r="N7" s="1037">
        <v>600</v>
      </c>
      <c r="O7" s="1037">
        <v>35</v>
      </c>
      <c r="P7" s="1036"/>
      <c r="Q7" s="1036" t="s">
        <v>1358</v>
      </c>
      <c r="R7" s="1036"/>
      <c r="S7" s="1028"/>
    </row>
    <row r="8" spans="1:19" x14ac:dyDescent="0.25">
      <c r="A8" s="1036"/>
      <c r="B8" s="1123"/>
      <c r="C8" s="1124"/>
      <c r="D8" s="1124"/>
      <c r="E8" s="1124"/>
      <c r="F8" s="1124"/>
      <c r="G8" s="1124"/>
      <c r="H8" s="1124"/>
      <c r="I8" s="1125"/>
      <c r="J8" s="1036"/>
      <c r="K8" s="1036"/>
      <c r="L8" s="1036"/>
      <c r="M8" s="1037" t="s">
        <v>1358</v>
      </c>
      <c r="N8" s="1037">
        <v>600</v>
      </c>
      <c r="O8" s="1037">
        <v>50</v>
      </c>
      <c r="P8" s="1036"/>
      <c r="Q8" s="1036" t="s">
        <v>1359</v>
      </c>
      <c r="R8" s="1036"/>
      <c r="S8" s="1028"/>
    </row>
    <row r="9" spans="1:19" ht="65.25" customHeight="1" x14ac:dyDescent="0.25">
      <c r="A9" s="1036"/>
      <c r="B9" s="1126" t="s">
        <v>1360</v>
      </c>
      <c r="C9" s="1120" t="s">
        <v>1361</v>
      </c>
      <c r="D9" s="1120" t="s">
        <v>1362</v>
      </c>
      <c r="E9" s="1120" t="s">
        <v>1363</v>
      </c>
      <c r="F9" s="1120" t="s">
        <v>1364</v>
      </c>
      <c r="G9" s="1120" t="s">
        <v>1365</v>
      </c>
      <c r="H9" s="1120" t="s">
        <v>1366</v>
      </c>
      <c r="I9" s="1127" t="s">
        <v>1367</v>
      </c>
      <c r="J9" s="1036"/>
      <c r="K9" s="1036"/>
      <c r="L9" s="1036"/>
      <c r="M9" s="1037" t="s">
        <v>1359</v>
      </c>
      <c r="N9" s="1037">
        <v>750</v>
      </c>
      <c r="O9" s="1037">
        <v>35</v>
      </c>
      <c r="P9" s="1036"/>
      <c r="Q9" s="1036" t="s">
        <v>1359</v>
      </c>
      <c r="R9" s="1036"/>
      <c r="S9" s="1028"/>
    </row>
    <row r="10" spans="1:19" x14ac:dyDescent="0.25">
      <c r="A10" s="1036"/>
      <c r="B10" s="1043">
        <v>85</v>
      </c>
      <c r="C10" s="1044">
        <v>500</v>
      </c>
      <c r="D10" s="1045" t="s">
        <v>1353</v>
      </c>
      <c r="E10" s="1041">
        <f>VLOOKUP($D$10,$M$3:$O$17,2,FALSE)</f>
        <v>500</v>
      </c>
      <c r="F10" s="1041">
        <f>VLOOKUP($D$10,$M$3:$O$17,3,FALSE)</f>
        <v>35</v>
      </c>
      <c r="G10" s="1045"/>
      <c r="H10" s="1045" t="s">
        <v>669</v>
      </c>
      <c r="I10" s="1046" t="s">
        <v>1368</v>
      </c>
      <c r="J10" s="1036"/>
      <c r="K10" s="1036"/>
      <c r="L10" s="1036"/>
      <c r="M10" s="1037" t="s">
        <v>1369</v>
      </c>
      <c r="N10" s="1037">
        <v>750</v>
      </c>
      <c r="O10" s="1037">
        <v>50</v>
      </c>
      <c r="P10" s="1036"/>
      <c r="Q10" s="1036" t="s">
        <v>1370</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1371</v>
      </c>
      <c r="R11" s="1036"/>
      <c r="S11" s="1028"/>
    </row>
    <row r="12" spans="1:19" ht="48.75" customHeight="1" x14ac:dyDescent="0.25">
      <c r="A12" s="1036"/>
      <c r="B12" s="1126" t="s">
        <v>1372</v>
      </c>
      <c r="C12" s="1120" t="s">
        <v>1373</v>
      </c>
      <c r="D12" s="1120" t="s">
        <v>1374</v>
      </c>
      <c r="E12" s="1120" t="s">
        <v>1375</v>
      </c>
      <c r="F12" s="1120" t="s">
        <v>1376</v>
      </c>
      <c r="G12" s="1120" t="s">
        <v>1377</v>
      </c>
      <c r="H12" s="1120" t="s">
        <v>1378</v>
      </c>
      <c r="I12" s="1127" t="s">
        <v>1379</v>
      </c>
      <c r="J12" s="1036"/>
      <c r="K12" s="1036"/>
      <c r="L12" s="1036"/>
      <c r="M12" s="1037" t="s">
        <v>1370</v>
      </c>
      <c r="N12" s="1037">
        <v>1000</v>
      </c>
      <c r="O12" s="1037">
        <v>35</v>
      </c>
      <c r="P12" s="1036"/>
      <c r="Q12" s="1036" t="s">
        <v>1380</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1381</v>
      </c>
      <c r="J13" s="1036"/>
      <c r="K13" s="1036"/>
      <c r="L13" s="1036"/>
      <c r="M13" s="1037" t="s">
        <v>1371</v>
      </c>
      <c r="N13" s="1037">
        <v>1000</v>
      </c>
      <c r="O13" s="1037">
        <v>50</v>
      </c>
      <c r="P13" s="1036"/>
      <c r="Q13" s="1036" t="s">
        <v>1382</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1383</v>
      </c>
      <c r="R14" s="1036"/>
      <c r="S14" s="1028"/>
    </row>
    <row r="15" spans="1:19" ht="15.75" thickBot="1" x14ac:dyDescent="0.3">
      <c r="A15" s="1036"/>
      <c r="B15" s="1340" t="s">
        <v>1384</v>
      </c>
      <c r="C15" s="1341"/>
      <c r="D15" s="1341"/>
      <c r="E15" s="1341"/>
      <c r="F15" s="1341"/>
      <c r="G15" s="1342"/>
      <c r="H15" s="704"/>
      <c r="I15" s="704"/>
      <c r="J15" s="1036"/>
      <c r="K15" s="1036"/>
      <c r="L15" s="1036"/>
      <c r="M15" s="1037" t="s">
        <v>1385</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1382</v>
      </c>
      <c r="N16" s="1037">
        <v>1500</v>
      </c>
      <c r="O16" s="1037">
        <v>50</v>
      </c>
      <c r="P16" s="1036"/>
      <c r="Q16" s="1036"/>
      <c r="R16" s="1036"/>
      <c r="S16" s="1028"/>
    </row>
    <row r="17" spans="1:19" ht="51" customHeight="1" x14ac:dyDescent="0.25">
      <c r="A17" s="1036"/>
      <c r="B17" s="1130" t="s">
        <v>1390</v>
      </c>
      <c r="C17" s="1131" t="s">
        <v>1386</v>
      </c>
      <c r="D17" s="1131" t="s">
        <v>1387</v>
      </c>
      <c r="E17" s="1131" t="s">
        <v>1391</v>
      </c>
      <c r="F17" s="1132" t="s">
        <v>1388</v>
      </c>
      <c r="G17" s="1122" t="s">
        <v>1392</v>
      </c>
      <c r="H17" s="704"/>
      <c r="I17" s="704"/>
      <c r="J17" s="1036"/>
      <c r="K17" s="1036"/>
      <c r="L17" s="1036"/>
      <c r="M17" s="1037" t="s">
        <v>1383</v>
      </c>
      <c r="N17" s="1037">
        <v>5000</v>
      </c>
      <c r="O17" s="1037">
        <v>100</v>
      </c>
      <c r="P17" s="1036"/>
      <c r="Q17" s="1036"/>
      <c r="R17" s="1036"/>
      <c r="S17" s="1028"/>
    </row>
    <row r="18" spans="1:19" ht="19.5" customHeight="1" thickBot="1" x14ac:dyDescent="0.3">
      <c r="A18" s="1036"/>
      <c r="B18" s="1033">
        <v>13</v>
      </c>
      <c r="C18" s="1032" t="s">
        <v>685</v>
      </c>
      <c r="D18" s="1034">
        <v>25</v>
      </c>
      <c r="E18" s="1032" t="s">
        <v>1389</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43" t="s">
        <v>1412</v>
      </c>
      <c r="C2" s="1337"/>
      <c r="D2" s="1337"/>
      <c r="E2" s="1337"/>
      <c r="F2" s="1337"/>
      <c r="G2" s="1337"/>
      <c r="H2" s="1337"/>
      <c r="I2" s="1337"/>
      <c r="J2" s="1337"/>
      <c r="K2" s="1337"/>
      <c r="L2" s="1337"/>
      <c r="M2" s="1337"/>
      <c r="N2" s="1338"/>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1413</v>
      </c>
      <c r="C4" s="1078" t="s">
        <v>1414</v>
      </c>
      <c r="D4" s="1078" t="s">
        <v>1415</v>
      </c>
      <c r="E4" s="1078" t="s">
        <v>1416</v>
      </c>
      <c r="F4" s="1078" t="s">
        <v>1417</v>
      </c>
      <c r="G4" s="1078" t="s">
        <v>1418</v>
      </c>
      <c r="H4" s="1078" t="s">
        <v>1419</v>
      </c>
      <c r="I4" s="1078" t="s">
        <v>1420</v>
      </c>
      <c r="J4" s="1078" t="s">
        <v>1421</v>
      </c>
      <c r="K4" s="1078" t="s">
        <v>1422</v>
      </c>
      <c r="L4" s="1078" t="s">
        <v>1423</v>
      </c>
      <c r="M4" s="1079" t="s">
        <v>1424</v>
      </c>
      <c r="N4" s="1080" t="s">
        <v>1425</v>
      </c>
      <c r="O4" s="704"/>
      <c r="U4" s="1109" t="e">
        <f>MATCH("Yes",K11:K30,0)</f>
        <v>#N/A</v>
      </c>
    </row>
    <row r="5" spans="1:21" ht="15.75" thickBot="1" x14ac:dyDescent="0.3">
      <c r="A5" s="704"/>
      <c r="B5" s="1038">
        <v>1</v>
      </c>
      <c r="C5" s="1030"/>
      <c r="D5" s="1030" t="s">
        <v>685</v>
      </c>
      <c r="E5" s="1030" t="s">
        <v>1426</v>
      </c>
      <c r="F5" s="1030" t="s">
        <v>1427</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44" t="s">
        <v>1428</v>
      </c>
      <c r="C8" s="1337"/>
      <c r="D8" s="1337"/>
      <c r="E8" s="1337"/>
      <c r="F8" s="1337"/>
      <c r="G8" s="1337"/>
      <c r="H8" s="1337"/>
      <c r="I8" s="1337"/>
      <c r="J8" s="1337"/>
      <c r="K8" s="1337"/>
      <c r="L8" s="1337"/>
      <c r="M8" s="1337"/>
      <c r="N8" s="1338"/>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1413</v>
      </c>
      <c r="C10" s="1079" t="s">
        <v>1429</v>
      </c>
      <c r="D10" s="1079" t="s">
        <v>1430</v>
      </c>
      <c r="E10" s="1079" t="s">
        <v>1431</v>
      </c>
      <c r="F10" s="1086" t="s">
        <v>1432</v>
      </c>
      <c r="G10" s="1086" t="s">
        <v>1433</v>
      </c>
      <c r="H10" s="1079" t="s">
        <v>1393</v>
      </c>
      <c r="I10" s="1079" t="s">
        <v>1434</v>
      </c>
      <c r="J10" s="1079" t="s">
        <v>1435</v>
      </c>
      <c r="K10" s="1079" t="s">
        <v>1436</v>
      </c>
      <c r="L10" s="1079" t="s">
        <v>1437</v>
      </c>
      <c r="M10" s="1079" t="s">
        <v>1374</v>
      </c>
      <c r="N10" s="1080" t="s">
        <v>1438</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1439</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44" t="s">
        <v>1440</v>
      </c>
      <c r="C32" s="1345"/>
      <c r="D32" s="1345"/>
      <c r="E32" s="1345"/>
      <c r="F32" s="1345"/>
      <c r="G32" s="1345"/>
      <c r="H32" s="1345"/>
      <c r="I32" s="1345"/>
      <c r="J32" s="1345"/>
      <c r="K32" s="1345"/>
      <c r="L32" s="1345"/>
      <c r="M32" s="1345"/>
      <c r="N32" s="1346"/>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1413</v>
      </c>
      <c r="C34" s="1079" t="s">
        <v>1429</v>
      </c>
      <c r="D34" s="1079" t="s">
        <v>1430</v>
      </c>
      <c r="E34" s="1079" t="s">
        <v>1431</v>
      </c>
      <c r="F34" s="1086" t="s">
        <v>1432</v>
      </c>
      <c r="G34" s="1086" t="s">
        <v>1433</v>
      </c>
      <c r="H34" s="1079" t="s">
        <v>1393</v>
      </c>
      <c r="I34" s="1079" t="s">
        <v>1434</v>
      </c>
      <c r="J34" s="1079" t="s">
        <v>1435</v>
      </c>
      <c r="K34" s="1079" t="s">
        <v>1436</v>
      </c>
      <c r="L34" s="1079" t="s">
        <v>1437</v>
      </c>
      <c r="M34" s="1079" t="s">
        <v>1374</v>
      </c>
      <c r="N34" s="1080" t="s">
        <v>1438</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1445</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1445</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1445</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1445</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1445</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1445</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1445</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1445</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1445</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1445</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1439</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8" sqref="AA18"/>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50"/>
      <c r="K2" s="1350"/>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301" t="e">
        <f>VLOOKUP($J$4,'Market Geography'!$D:$G,4,FALSE)</f>
        <v>#N/A</v>
      </c>
      <c r="K3" s="1301"/>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301">
        <f>Welcome!$D$4</f>
        <v>0</v>
      </c>
      <c r="K4" s="1301"/>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51" t="e">
        <f>VLOOKUP($J$4,'Market Geography'!$D:$F,3,FALSE)</f>
        <v>#N/A</v>
      </c>
      <c r="K5" s="1351"/>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301" t="s">
        <v>134</v>
      </c>
      <c r="K6" s="1301"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301" t="str">
        <f>IF(Welcome!$D$8="MDA","C","N")</f>
        <v>N</v>
      </c>
      <c r="K7" s="1301"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47" t="s">
        <v>1001</v>
      </c>
      <c r="AE13" s="1348"/>
      <c r="AF13" s="1349"/>
      <c r="AH13" s="143" t="s">
        <v>60</v>
      </c>
      <c r="AI13" s="143" t="s">
        <v>1</v>
      </c>
      <c r="AJ13" s="143" t="s">
        <v>60</v>
      </c>
      <c r="AK13" s="782" t="s">
        <v>113</v>
      </c>
    </row>
    <row r="14" spans="1:37" ht="38.25" x14ac:dyDescent="0.2">
      <c r="A14" s="143" t="s">
        <v>1066</v>
      </c>
      <c r="B14" s="615" t="s">
        <v>925</v>
      </c>
      <c r="C14" s="615" t="s">
        <v>943</v>
      </c>
      <c r="D14" s="616" t="s">
        <v>992</v>
      </c>
      <c r="E14" s="616" t="s">
        <v>1000</v>
      </c>
      <c r="F14" s="618" t="s">
        <v>1007</v>
      </c>
      <c r="G14" s="617" t="s">
        <v>1002</v>
      </c>
      <c r="H14" s="617" t="s">
        <v>1003</v>
      </c>
      <c r="I14" s="617" t="s">
        <v>205</v>
      </c>
      <c r="J14" s="617" t="s">
        <v>402</v>
      </c>
      <c r="K14" s="617" t="s">
        <v>206</v>
      </c>
      <c r="L14" s="617" t="s">
        <v>1004</v>
      </c>
      <c r="M14" s="617" t="s">
        <v>1065</v>
      </c>
      <c r="N14" s="619" t="s">
        <v>1010</v>
      </c>
      <c r="O14" s="618" t="s">
        <v>1011</v>
      </c>
      <c r="P14" s="618" t="s">
        <v>1012</v>
      </c>
      <c r="Q14" s="616" t="s">
        <v>1005</v>
      </c>
      <c r="R14" s="616" t="s">
        <v>1006</v>
      </c>
      <c r="S14" s="616" t="s">
        <v>1015</v>
      </c>
      <c r="T14" s="616" t="s">
        <v>993</v>
      </c>
      <c r="U14" s="616" t="s">
        <v>994</v>
      </c>
      <c r="V14" s="616" t="s">
        <v>995</v>
      </c>
      <c r="W14" s="627" t="s">
        <v>1013</v>
      </c>
      <c r="X14" s="627" t="s">
        <v>1014</v>
      </c>
      <c r="Y14" s="627" t="s">
        <v>1016</v>
      </c>
      <c r="Z14" s="617" t="s">
        <v>1008</v>
      </c>
      <c r="AA14" s="617" t="s">
        <v>1009</v>
      </c>
      <c r="AB14" s="617"/>
      <c r="AC14" s="629" t="s">
        <v>851</v>
      </c>
      <c r="AD14" s="630" t="s">
        <v>852</v>
      </c>
      <c r="AE14" s="630" t="s">
        <v>853</v>
      </c>
      <c r="AF14" s="630" t="s">
        <v>854</v>
      </c>
      <c r="AG14" s="630" t="s">
        <v>1040</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ROUND('Multi-Customer'!$BB$51,0)</f>
        <v>0</v>
      </c>
      <c r="E15" s="608">
        <f>ROUND('Multi-Customer'!$BB$52,0)</f>
        <v>0</v>
      </c>
      <c r="F15" s="608">
        <f>ROUND('Multi-Customer'!$BC$35,0)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ROUND('Multi-Customer'!$BY$51,0)</f>
        <v>0</v>
      </c>
      <c r="E16" s="608">
        <f>ROUND('Multi-Customer'!$BY$52,0)</f>
        <v>0</v>
      </c>
      <c r="F16" s="608">
        <f>ROUND('Multi-Customer'!$BZ$35,0)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ROUND('Multi-Customer'!$CV$51,0)</f>
        <v>0</v>
      </c>
      <c r="E17" s="608">
        <f>ROUND('Multi-Customer'!$CV$52,0)</f>
        <v>0</v>
      </c>
      <c r="F17" s="608">
        <f>ROUND('Multi-Customer'!$CW$35,0)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ROUND('Multi-Customer'!$DS$51,0)</f>
        <v>0</v>
      </c>
      <c r="E18" s="608">
        <f>ROUND('Multi-Customer'!$DS$52,0)</f>
        <v>0</v>
      </c>
      <c r="F18" s="608">
        <f>ROUND('Multi-Customer'!$DT$35,0)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ROUND('Multi-Customer'!$EP$51,0)</f>
        <v>0</v>
      </c>
      <c r="E19" s="608">
        <f>ROUND('Multi-Customer'!$EP$52,0)</f>
        <v>0</v>
      </c>
      <c r="F19" s="608">
        <f>ROUND('Multi-Customer'!$EQ$35,0)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ROUND('Multi-Customer'!$FM$51,0)</f>
        <v>0</v>
      </c>
      <c r="E20" s="608">
        <f>ROUND('Multi-Customer'!$FM$52,0)</f>
        <v>0</v>
      </c>
      <c r="F20" s="608">
        <f>ROUND('Multi-Customer'!$FN$35,0)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ROUND('Multi-Customer'!$GJ$51,0)</f>
        <v>0</v>
      </c>
      <c r="E21" s="608">
        <f>ROUND('Multi-Customer'!$GJ$52,0)</f>
        <v>0</v>
      </c>
      <c r="F21" s="608">
        <f>ROUND('Multi-Customer'!$GK$35,0)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ROUND('Multi-Customer'!$HG$51,0)</f>
        <v>0</v>
      </c>
      <c r="E22" s="608">
        <f>ROUND('Multi-Customer'!$HG$52,0)</f>
        <v>0</v>
      </c>
      <c r="F22" s="608">
        <f>ROUND('Multi-Customer'!$HH$35,0)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ROUND('Multi-Customer'!$ID$51,0)</f>
        <v>0</v>
      </c>
      <c r="E23" s="608">
        <f>ROUND('Multi-Customer'!$ID$52,0)</f>
        <v>0</v>
      </c>
      <c r="F23" s="608">
        <f>ROUND('Multi-Customer'!$IE$35,0)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ROUND('Multi-Customer'!$JA$51,0)</f>
        <v>0</v>
      </c>
      <c r="E24" s="608">
        <f>ROUND('Multi-Customer'!$JA$52,0)</f>
        <v>0</v>
      </c>
      <c r="F24" s="608">
        <f>ROUND('Multi-Customer'!$JB$35,0)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974</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53" t="s">
        <v>1046</v>
      </c>
      <c r="F1" s="1354"/>
      <c r="G1" s="1354"/>
      <c r="H1" s="1354"/>
      <c r="I1" s="1354"/>
      <c r="J1" s="1355"/>
      <c r="L1" s="1353" t="s">
        <v>1045</v>
      </c>
      <c r="M1" s="1355"/>
      <c r="Q1" s="1" t="s">
        <v>551</v>
      </c>
      <c r="R1" s="1" t="s">
        <v>550</v>
      </c>
    </row>
    <row r="2" spans="1:18" x14ac:dyDescent="0.25">
      <c r="E2" s="1">
        <v>0.1</v>
      </c>
      <c r="F2" s="51">
        <v>1.0999999999999999E-2</v>
      </c>
      <c r="G2" s="51">
        <v>2.7E-2</v>
      </c>
      <c r="H2" s="51">
        <v>3.2000000000000001E-2</v>
      </c>
      <c r="I2" s="51">
        <v>4.9000000000000002E-2</v>
      </c>
      <c r="J2" s="51">
        <v>6.4000000000000001E-2</v>
      </c>
      <c r="L2" s="837" t="s">
        <v>1166</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1167</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1168</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1169</v>
      </c>
      <c r="M5" s="46">
        <v>2E-3</v>
      </c>
      <c r="O5" s="1" t="s">
        <v>555</v>
      </c>
      <c r="P5" s="1" t="s">
        <v>270</v>
      </c>
      <c r="Q5" s="1" t="s">
        <v>14</v>
      </c>
      <c r="R5" s="51">
        <v>0.14499999999999999</v>
      </c>
    </row>
    <row r="6" spans="1:18" x14ac:dyDescent="0.25">
      <c r="A6" s="85" t="s">
        <v>962</v>
      </c>
      <c r="B6" t="str">
        <f>IF(B7&lt;0.25,"Q1",IF(B7&lt;0.5,"Q2",IF(B7&lt;0.75,"Q3","Q4")))</f>
        <v>Q1</v>
      </c>
      <c r="E6" s="1">
        <v>0.3</v>
      </c>
      <c r="F6" s="51">
        <v>3.2000000000000001E-2</v>
      </c>
      <c r="G6" s="51">
        <v>6.5000000000000002E-2</v>
      </c>
      <c r="H6" s="51">
        <v>7.6999999999999999E-2</v>
      </c>
      <c r="I6" s="51">
        <v>9.5000000000000001E-2</v>
      </c>
      <c r="J6" s="51">
        <v>0.12</v>
      </c>
      <c r="L6" s="837" t="s">
        <v>1170</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1171</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1172</v>
      </c>
      <c r="M8" s="46">
        <v>3.5000000000000001E-3</v>
      </c>
      <c r="O8" s="1" t="s">
        <v>558</v>
      </c>
      <c r="P8" s="1" t="s">
        <v>216</v>
      </c>
      <c r="Q8" s="1" t="s">
        <v>62</v>
      </c>
      <c r="R8" s="51">
        <v>0.106</v>
      </c>
    </row>
    <row r="9" spans="1:18" x14ac:dyDescent="0.25">
      <c r="A9" s="85" t="s">
        <v>963</v>
      </c>
      <c r="B9" t="str">
        <f>IF($B$4="Multiple Menu Types",B6&amp;B5,B6&amp;B4)</f>
        <v>Q1Enter Customer(s)</v>
      </c>
      <c r="E9" s="1">
        <v>0.45</v>
      </c>
      <c r="F9" s="51">
        <v>5.6000000000000001E-2</v>
      </c>
      <c r="G9" s="51">
        <v>8.6999999999999994E-2</v>
      </c>
      <c r="H9" s="51">
        <v>0.10100000000000001</v>
      </c>
      <c r="I9" s="51">
        <v>0.12</v>
      </c>
      <c r="J9" s="51">
        <v>0.16700000000000001</v>
      </c>
      <c r="L9" s="837" t="s">
        <v>1173</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1174</v>
      </c>
      <c r="M10" s="46">
        <v>4.4999999999999997E-3</v>
      </c>
      <c r="O10" s="1" t="s">
        <v>560</v>
      </c>
      <c r="P10" s="1" t="s">
        <v>214</v>
      </c>
      <c r="Q10" s="1" t="s">
        <v>74</v>
      </c>
      <c r="R10" s="51">
        <v>7.1999999999999995E-2</v>
      </c>
    </row>
    <row r="11" spans="1:18" x14ac:dyDescent="0.25">
      <c r="A11" s="85" t="s">
        <v>964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1175</v>
      </c>
      <c r="M11" s="46">
        <v>5.0000000000000001E-3</v>
      </c>
      <c r="O11" s="1" t="s">
        <v>561</v>
      </c>
      <c r="P11" s="1" t="s">
        <v>215</v>
      </c>
      <c r="Q11" s="1" t="s">
        <v>74</v>
      </c>
      <c r="R11" s="51">
        <v>0.109</v>
      </c>
    </row>
    <row r="12" spans="1:18" x14ac:dyDescent="0.25">
      <c r="A12" s="85" t="s">
        <v>965</v>
      </c>
      <c r="B12">
        <f>IFERROR(VLOOKUP($B$9,$O:$R,4,FALSE),0)</f>
        <v>0</v>
      </c>
      <c r="E12" s="1">
        <v>0.6</v>
      </c>
      <c r="F12" s="51">
        <v>6.6000000000000003E-2</v>
      </c>
      <c r="G12" s="51">
        <v>0.10299999999999999</v>
      </c>
      <c r="H12" s="51">
        <v>0.11899999999999999</v>
      </c>
      <c r="I12" s="51">
        <v>0.13700000000000001</v>
      </c>
      <c r="J12" s="51">
        <v>0.184</v>
      </c>
      <c r="L12" s="837" t="s">
        <v>1176</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1177</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1178</v>
      </c>
      <c r="M14" s="46">
        <v>6.4999999999999997E-3</v>
      </c>
      <c r="O14" s="1" t="s">
        <v>564</v>
      </c>
      <c r="P14" s="1" t="s">
        <v>214</v>
      </c>
      <c r="Q14" s="1" t="s">
        <v>34</v>
      </c>
      <c r="R14" s="51">
        <v>6.2E-2</v>
      </c>
    </row>
    <row r="15" spans="1:18" x14ac:dyDescent="0.25">
      <c r="A15" s="85" t="s">
        <v>966</v>
      </c>
      <c r="B15" s="38">
        <f>B12*B14</f>
        <v>0</v>
      </c>
      <c r="E15" s="1">
        <v>0.75</v>
      </c>
      <c r="F15" s="51">
        <v>7.8E-2</v>
      </c>
      <c r="G15" s="51">
        <v>0.108</v>
      </c>
      <c r="H15" s="51">
        <v>0.128</v>
      </c>
      <c r="I15" s="51">
        <v>0.154</v>
      </c>
      <c r="J15" s="51">
        <v>0.21</v>
      </c>
      <c r="L15" s="837" t="s">
        <v>1179</v>
      </c>
      <c r="M15" s="46">
        <v>7.0000000000000001E-3</v>
      </c>
      <c r="O15" s="1" t="s">
        <v>565</v>
      </c>
      <c r="P15" s="1" t="s">
        <v>215</v>
      </c>
      <c r="Q15" s="1" t="s">
        <v>34</v>
      </c>
      <c r="R15" s="51">
        <v>0.10199999999999999</v>
      </c>
    </row>
    <row r="16" spans="1:18" x14ac:dyDescent="0.25">
      <c r="A16" s="85" t="s">
        <v>964</v>
      </c>
      <c r="B16">
        <f>B14*B11</f>
        <v>0</v>
      </c>
      <c r="E16" s="1">
        <v>0.8</v>
      </c>
      <c r="F16" s="51">
        <v>9.7000000000000003E-2</v>
      </c>
      <c r="G16" s="51">
        <v>0.13200000000000001</v>
      </c>
      <c r="H16" s="51">
        <v>0.129</v>
      </c>
      <c r="I16" s="51">
        <v>0.156</v>
      </c>
      <c r="J16" s="51">
        <v>0.17</v>
      </c>
      <c r="L16" s="837" t="s">
        <v>1180</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1181</v>
      </c>
      <c r="M17" s="46">
        <v>8.0000000000000002E-3</v>
      </c>
      <c r="O17" s="1" t="s">
        <v>567</v>
      </c>
      <c r="P17" s="1" t="s">
        <v>270</v>
      </c>
      <c r="Q17" s="1" t="s">
        <v>34</v>
      </c>
      <c r="R17" s="51">
        <v>0.11700000000000001</v>
      </c>
    </row>
    <row r="18" spans="2:18" x14ac:dyDescent="0.25">
      <c r="L18" s="837" t="s">
        <v>1182</v>
      </c>
      <c r="M18" s="46">
        <v>8.5000000000000006E-3</v>
      </c>
      <c r="O18" s="1" t="s">
        <v>568</v>
      </c>
      <c r="P18" s="1" t="s">
        <v>214</v>
      </c>
      <c r="Q18" s="1" t="s">
        <v>0</v>
      </c>
      <c r="R18" s="51">
        <v>5.3999999999999999E-2</v>
      </c>
    </row>
    <row r="19" spans="2:18" x14ac:dyDescent="0.25">
      <c r="B19" t="s">
        <v>1052</v>
      </c>
      <c r="C19">
        <f>IF(Welcome!$D$14="Select # of Locations",0,Welcome!$D$14)</f>
        <v>0</v>
      </c>
      <c r="L19" s="837" t="s">
        <v>1183</v>
      </c>
      <c r="M19" s="46">
        <v>8.9999999999999993E-3</v>
      </c>
      <c r="O19" s="1" t="s">
        <v>569</v>
      </c>
      <c r="P19" s="1" t="s">
        <v>215</v>
      </c>
      <c r="Q19" s="1" t="s">
        <v>0</v>
      </c>
      <c r="R19" s="51">
        <v>8.7999999999999995E-2</v>
      </c>
    </row>
    <row r="20" spans="2:18" x14ac:dyDescent="0.25">
      <c r="B20">
        <f>'PIM Model'!$E$3</f>
        <v>0</v>
      </c>
      <c r="E20" s="1353" t="s">
        <v>1047</v>
      </c>
      <c r="F20" s="1354"/>
      <c r="G20" s="1355"/>
      <c r="L20" s="1"/>
      <c r="M20" s="46">
        <v>9.4999999999999998E-3</v>
      </c>
      <c r="O20" s="1" t="s">
        <v>570</v>
      </c>
      <c r="P20" s="1" t="s">
        <v>216</v>
      </c>
      <c r="Q20" s="1" t="s">
        <v>0</v>
      </c>
      <c r="R20" s="51">
        <v>0.112</v>
      </c>
    </row>
    <row r="21" spans="2:18" x14ac:dyDescent="0.25">
      <c r="B21" t="s">
        <v>495</v>
      </c>
      <c r="C21" s="38">
        <f>'PIM Model'!$G$31</f>
        <v>0</v>
      </c>
      <c r="E21" s="87" t="s">
        <v>1054</v>
      </c>
      <c r="F21" s="702">
        <v>2600</v>
      </c>
      <c r="G21" s="51">
        <v>5.6000000000000001E-2</v>
      </c>
      <c r="H21" s="24"/>
      <c r="O21" s="1" t="s">
        <v>571</v>
      </c>
      <c r="P21" s="1" t="s">
        <v>270</v>
      </c>
      <c r="Q21" s="1" t="s">
        <v>0</v>
      </c>
      <c r="R21" s="51">
        <v>0.112</v>
      </c>
    </row>
    <row r="22" spans="2:18" x14ac:dyDescent="0.25">
      <c r="B22" t="s">
        <v>496</v>
      </c>
      <c r="C22" s="38">
        <f>$C$21/52</f>
        <v>0</v>
      </c>
      <c r="D22" t="s">
        <v>1069</v>
      </c>
      <c r="E22" s="87" t="s">
        <v>1055</v>
      </c>
      <c r="F22" s="702">
        <v>4600</v>
      </c>
      <c r="G22" s="51">
        <v>6.3E-2</v>
      </c>
      <c r="H22" s="24"/>
      <c r="L22" s="1352" t="s">
        <v>113</v>
      </c>
      <c r="M22" s="1352"/>
      <c r="O22" s="1" t="s">
        <v>572</v>
      </c>
      <c r="P22" s="1" t="s">
        <v>214</v>
      </c>
      <c r="Q22" s="1" t="s">
        <v>69</v>
      </c>
      <c r="R22" s="51">
        <v>7.6999999999999999E-2</v>
      </c>
    </row>
    <row r="23" spans="2:18" x14ac:dyDescent="0.25">
      <c r="B23" t="s">
        <v>1053</v>
      </c>
      <c r="C23" s="38" t="e">
        <f>$C$22/C19</f>
        <v>#DIV/0!</v>
      </c>
      <c r="E23" s="87" t="s">
        <v>1056</v>
      </c>
      <c r="F23" s="702">
        <v>8300</v>
      </c>
      <c r="G23" s="51">
        <v>5.2999999999999999E-2</v>
      </c>
      <c r="H23" s="24"/>
      <c r="L23" s="1353" t="s">
        <v>1045</v>
      </c>
      <c r="M23" s="1355"/>
      <c r="O23" s="1" t="s">
        <v>573</v>
      </c>
      <c r="P23" s="1" t="s">
        <v>215</v>
      </c>
      <c r="Q23" s="1" t="s">
        <v>69</v>
      </c>
      <c r="R23" s="51">
        <v>0.122</v>
      </c>
    </row>
    <row r="24" spans="2:18" x14ac:dyDescent="0.25">
      <c r="B24" t="s">
        <v>1049</v>
      </c>
      <c r="C24" s="24">
        <v>0.08</v>
      </c>
      <c r="D24" s="24" t="e">
        <f>IF($C$23&lt;$F$21,$G$21,IF($C$23&lt;$F$22,$G$22,IF($C$23&lt;$F$23,$G$23,IF($C$23&lt;$F$24,$G$24,$G$25))))</f>
        <v>#DIV/0!</v>
      </c>
      <c r="E24" s="87" t="s">
        <v>1057</v>
      </c>
      <c r="F24" s="702">
        <v>17000</v>
      </c>
      <c r="G24" s="51">
        <v>7.2999999999999995E-2</v>
      </c>
      <c r="H24" s="24"/>
      <c r="L24" s="427" t="s">
        <v>1166</v>
      </c>
      <c r="M24" s="46">
        <f t="shared" ref="M24:M29" si="0">M25-0.0005</f>
        <v>4.9999999999999975E-3</v>
      </c>
      <c r="O24" s="1" t="s">
        <v>574</v>
      </c>
      <c r="P24" s="1" t="s">
        <v>216</v>
      </c>
      <c r="Q24" s="1" t="s">
        <v>69</v>
      </c>
      <c r="R24" s="51">
        <v>0.151</v>
      </c>
    </row>
    <row r="25" spans="2:18" x14ac:dyDescent="0.25">
      <c r="B25" t="s">
        <v>1050</v>
      </c>
      <c r="C25" s="24">
        <v>0.08</v>
      </c>
      <c r="D25" s="24" t="e">
        <f>IF($C$23&lt;$F$29,$G$29,IF($C$23&lt;$F$30,$G$30,IF($C$23&lt;$F$31,$G$31,IF($C$23&lt;$F$32,$G$32,$G$33))))</f>
        <v>#DIV/0!</v>
      </c>
      <c r="E25" s="87" t="s">
        <v>1058</v>
      </c>
      <c r="F25" s="702"/>
      <c r="G25" s="51">
        <v>6.0999999999999999E-2</v>
      </c>
      <c r="H25" s="24"/>
      <c r="K25" s="796"/>
      <c r="L25" s="427" t="s">
        <v>1167</v>
      </c>
      <c r="M25" s="46">
        <f t="shared" si="0"/>
        <v>5.4999999999999979E-3</v>
      </c>
      <c r="O25" s="1" t="s">
        <v>575</v>
      </c>
      <c r="P25" s="1" t="s">
        <v>270</v>
      </c>
      <c r="Q25" s="1" t="s">
        <v>69</v>
      </c>
      <c r="R25" s="51">
        <v>0.151</v>
      </c>
    </row>
    <row r="26" spans="2:18" x14ac:dyDescent="0.25">
      <c r="B26" t="s">
        <v>1051</v>
      </c>
      <c r="C26" s="24">
        <f>IF($B$20="MDA",$C$24,$C$25)</f>
        <v>0.08</v>
      </c>
      <c r="E26" s="85"/>
      <c r="G26" s="24"/>
      <c r="H26" s="24"/>
      <c r="K26" s="796"/>
      <c r="L26" s="427" t="s">
        <v>1168</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1169</v>
      </c>
      <c r="M27" s="46">
        <f t="shared" si="0"/>
        <v>6.4999999999999988E-3</v>
      </c>
      <c r="O27" s="1" t="s">
        <v>577</v>
      </c>
      <c r="P27" s="1" t="s">
        <v>215</v>
      </c>
      <c r="Q27" s="1" t="s">
        <v>4</v>
      </c>
      <c r="R27" s="51">
        <v>9.2999999999999999E-2</v>
      </c>
    </row>
    <row r="28" spans="2:18" x14ac:dyDescent="0.25">
      <c r="C28" s="24">
        <f>IFERROR(IF($C$27&gt;$C$26,"Approved",C26-C27),0)</f>
        <v>0.08</v>
      </c>
      <c r="E28" s="1352" t="s">
        <v>1048</v>
      </c>
      <c r="F28" s="1352"/>
      <c r="G28" s="1352"/>
      <c r="K28" s="796"/>
      <c r="L28" s="427" t="s">
        <v>1170</v>
      </c>
      <c r="M28" s="46">
        <f t="shared" si="0"/>
        <v>6.9999999999999993E-3</v>
      </c>
      <c r="O28" s="1" t="s">
        <v>578</v>
      </c>
      <c r="P28" s="1" t="s">
        <v>216</v>
      </c>
      <c r="Q28" s="1" t="s">
        <v>4</v>
      </c>
      <c r="R28" s="51">
        <v>0.11600000000000001</v>
      </c>
    </row>
    <row r="29" spans="2:18" x14ac:dyDescent="0.25">
      <c r="E29" s="87" t="s">
        <v>1059</v>
      </c>
      <c r="F29" s="702">
        <v>1500</v>
      </c>
      <c r="G29" s="51">
        <v>8.3000000000000004E-2</v>
      </c>
      <c r="H29" s="24"/>
      <c r="K29" s="796"/>
      <c r="L29" s="427" t="s">
        <v>1171</v>
      </c>
      <c r="M29" s="46">
        <f t="shared" si="0"/>
        <v>7.4999999999999997E-3</v>
      </c>
      <c r="O29" s="1" t="s">
        <v>579</v>
      </c>
      <c r="P29" s="1" t="s">
        <v>270</v>
      </c>
      <c r="Q29" s="1" t="s">
        <v>4</v>
      </c>
      <c r="R29" s="51">
        <v>0.11600000000000001</v>
      </c>
    </row>
    <row r="30" spans="2:18" x14ac:dyDescent="0.25">
      <c r="E30" s="87" t="s">
        <v>1060</v>
      </c>
      <c r="F30" s="702">
        <v>2400</v>
      </c>
      <c r="G30" s="51">
        <v>8.3000000000000004E-2</v>
      </c>
      <c r="H30" s="24"/>
      <c r="K30" s="796"/>
      <c r="L30" s="812" t="s">
        <v>1172</v>
      </c>
      <c r="M30" s="813">
        <v>8.0000000000000002E-3</v>
      </c>
      <c r="O30" s="1" t="s">
        <v>580</v>
      </c>
      <c r="P30" s="1" t="s">
        <v>214</v>
      </c>
      <c r="Q30" s="1" t="s">
        <v>35</v>
      </c>
      <c r="R30" s="51">
        <v>8.6999999999999994E-2</v>
      </c>
    </row>
    <row r="31" spans="2:18" x14ac:dyDescent="0.25">
      <c r="E31" s="87" t="s">
        <v>1061</v>
      </c>
      <c r="F31" s="702">
        <v>4100</v>
      </c>
      <c r="G31" s="51">
        <v>8.3000000000000004E-2</v>
      </c>
      <c r="H31" s="24"/>
      <c r="K31" s="796"/>
      <c r="L31" s="427" t="s">
        <v>1173</v>
      </c>
      <c r="M31" s="46">
        <f>M30+0.0005</f>
        <v>8.5000000000000006E-3</v>
      </c>
      <c r="O31" s="1" t="s">
        <v>581</v>
      </c>
      <c r="P31" s="1" t="s">
        <v>215</v>
      </c>
      <c r="Q31" s="1" t="s">
        <v>35</v>
      </c>
      <c r="R31" s="51">
        <v>8.6999999999999994E-2</v>
      </c>
    </row>
    <row r="32" spans="2:18" x14ac:dyDescent="0.25">
      <c r="E32" s="87" t="s">
        <v>1062</v>
      </c>
      <c r="F32" s="702">
        <v>8000</v>
      </c>
      <c r="G32" s="51">
        <v>8.2000000000000003E-2</v>
      </c>
      <c r="H32" s="24"/>
      <c r="K32" s="796"/>
      <c r="L32" s="427" t="s">
        <v>1174</v>
      </c>
      <c r="M32" s="46">
        <f>M31+0.0005</f>
        <v>9.0000000000000011E-3</v>
      </c>
      <c r="O32" s="1" t="s">
        <v>582</v>
      </c>
      <c r="P32" s="1" t="s">
        <v>216</v>
      </c>
      <c r="Q32" s="1" t="s">
        <v>35</v>
      </c>
      <c r="R32" s="51">
        <v>0.11700000000000001</v>
      </c>
    </row>
    <row r="33" spans="1:18" x14ac:dyDescent="0.25">
      <c r="E33" s="87" t="s">
        <v>1063</v>
      </c>
      <c r="F33" s="702"/>
      <c r="G33" s="51">
        <v>7.9000000000000001E-2</v>
      </c>
      <c r="H33" s="24"/>
      <c r="K33" s="796"/>
      <c r="L33" s="427" t="s">
        <v>1175</v>
      </c>
      <c r="M33" s="46">
        <f t="shared" ref="J33:M42" si="1">M32+0.0005</f>
        <v>9.5000000000000015E-3</v>
      </c>
      <c r="O33" s="1" t="s">
        <v>583</v>
      </c>
      <c r="P33" s="1" t="s">
        <v>270</v>
      </c>
      <c r="Q33" s="1" t="s">
        <v>35</v>
      </c>
      <c r="R33" s="51">
        <v>0.11700000000000001</v>
      </c>
    </row>
    <row r="34" spans="1:18" ht="15.75" thickBot="1" x14ac:dyDescent="0.3">
      <c r="G34" s="24"/>
      <c r="H34" s="24"/>
      <c r="K34" s="796"/>
      <c r="L34" s="427" t="s">
        <v>1176</v>
      </c>
      <c r="M34" s="46">
        <f t="shared" si="1"/>
        <v>1.0000000000000002E-2</v>
      </c>
      <c r="O34" s="1" t="s">
        <v>584</v>
      </c>
      <c r="P34" s="1" t="s">
        <v>214</v>
      </c>
      <c r="Q34" s="1" t="s">
        <v>6</v>
      </c>
      <c r="R34" s="51">
        <v>0.06</v>
      </c>
    </row>
    <row r="35" spans="1:18" ht="15.75" thickBot="1" x14ac:dyDescent="0.3">
      <c r="A35" s="456" t="s">
        <v>969</v>
      </c>
      <c r="K35" s="796"/>
      <c r="L35" s="427" t="s">
        <v>1177</v>
      </c>
      <c r="M35" s="46">
        <f t="shared" si="1"/>
        <v>1.0500000000000002E-2</v>
      </c>
      <c r="O35" s="1" t="s">
        <v>585</v>
      </c>
      <c r="P35" s="1" t="s">
        <v>215</v>
      </c>
      <c r="Q35" s="1" t="s">
        <v>6</v>
      </c>
      <c r="R35" s="51">
        <v>0.106</v>
      </c>
    </row>
    <row r="36" spans="1:18" ht="15.75" thickBot="1" x14ac:dyDescent="0.3">
      <c r="A36" s="452" t="s">
        <v>959</v>
      </c>
      <c r="B36" s="449" t="s">
        <v>925</v>
      </c>
      <c r="C36" s="446" t="s">
        <v>466</v>
      </c>
      <c r="D36" s="446" t="s">
        <v>961</v>
      </c>
      <c r="E36" s="447" t="s">
        <v>967</v>
      </c>
      <c r="F36" s="448" t="s">
        <v>960</v>
      </c>
      <c r="G36" s="447" t="s">
        <v>968</v>
      </c>
      <c r="H36" s="796"/>
      <c r="I36" s="427" t="s">
        <v>1178</v>
      </c>
      <c r="J36" s="46">
        <f>M35+0.0005</f>
        <v>1.1000000000000003E-2</v>
      </c>
      <c r="L36" s="1" t="s">
        <v>586</v>
      </c>
      <c r="M36" s="1" t="s">
        <v>216</v>
      </c>
      <c r="N36" s="1" t="s">
        <v>6</v>
      </c>
      <c r="O36" s="51">
        <v>0.12</v>
      </c>
    </row>
    <row r="37" spans="1:18" x14ac:dyDescent="0.25">
      <c r="A37" s="453">
        <v>1</v>
      </c>
      <c r="B37" s="450" t="str">
        <f>'Customer Inputs'!Y6</f>
        <v/>
      </c>
      <c r="C37" s="30">
        <f>'Customer Inputs'!P6</f>
        <v>0</v>
      </c>
      <c r="D37" s="443">
        <f>'Multi-Customer'!$BB$9</f>
        <v>0</v>
      </c>
      <c r="E37" s="1170">
        <f>'Multi-Customer'!$BB$10</f>
        <v>0</v>
      </c>
      <c r="F37" s="444">
        <f t="shared" ref="F37:F46" si="2">D37*C37</f>
        <v>0</v>
      </c>
      <c r="G37" s="445">
        <f t="shared" ref="G37:G46" si="3">E37*C37</f>
        <v>0</v>
      </c>
      <c r="H37" s="796"/>
      <c r="I37" s="427" t="s">
        <v>1179</v>
      </c>
      <c r="J37" s="46">
        <f t="shared" si="1"/>
        <v>1.1500000000000003E-2</v>
      </c>
      <c r="L37" s="1" t="s">
        <v>587</v>
      </c>
      <c r="M37" s="1" t="s">
        <v>270</v>
      </c>
      <c r="N37" s="1" t="s">
        <v>6</v>
      </c>
      <c r="O37" s="51">
        <v>0.17</v>
      </c>
    </row>
    <row r="38" spans="1:18" x14ac:dyDescent="0.25">
      <c r="A38" s="454">
        <v>2</v>
      </c>
      <c r="B38" s="314" t="str">
        <f>'Customer Inputs'!Y7</f>
        <v/>
      </c>
      <c r="C38" s="1">
        <f>'Customer Inputs'!P7</f>
        <v>0</v>
      </c>
      <c r="D38" s="438">
        <f>'Multi-Customer'!$BY$9</f>
        <v>0</v>
      </c>
      <c r="E38" s="438">
        <f>'Multi-Customer'!$BY$10</f>
        <v>0</v>
      </c>
      <c r="F38" s="439">
        <f t="shared" si="2"/>
        <v>0</v>
      </c>
      <c r="G38" s="440">
        <f t="shared" si="3"/>
        <v>0</v>
      </c>
      <c r="H38" s="796"/>
      <c r="I38" s="427" t="s">
        <v>1180</v>
      </c>
      <c r="J38" s="46">
        <f t="shared" si="1"/>
        <v>1.2000000000000004E-2</v>
      </c>
      <c r="L38" s="1" t="s">
        <v>588</v>
      </c>
      <c r="M38" s="1" t="s">
        <v>214</v>
      </c>
      <c r="N38" s="1" t="s">
        <v>260</v>
      </c>
      <c r="O38" s="51">
        <v>5.9000000000000004E-2</v>
      </c>
    </row>
    <row r="39" spans="1:18" x14ac:dyDescent="0.25">
      <c r="A39" s="454">
        <v>3</v>
      </c>
      <c r="B39" s="314" t="str">
        <f>'Customer Inputs'!Y8</f>
        <v/>
      </c>
      <c r="C39" s="1">
        <f>'Customer Inputs'!P8</f>
        <v>0</v>
      </c>
      <c r="D39" s="438">
        <f>'Multi-Customer'!$CV$9</f>
        <v>0</v>
      </c>
      <c r="E39" s="1170">
        <f>'Multi-Customer'!$CV$10</f>
        <v>0</v>
      </c>
      <c r="F39" s="439">
        <f t="shared" si="2"/>
        <v>0</v>
      </c>
      <c r="G39" s="440">
        <f t="shared" si="3"/>
        <v>0</v>
      </c>
      <c r="H39" s="796"/>
      <c r="I39" s="428" t="s">
        <v>1181</v>
      </c>
      <c r="J39" s="46">
        <f t="shared" si="1"/>
        <v>1.2500000000000004E-2</v>
      </c>
      <c r="L39" s="1" t="s">
        <v>589</v>
      </c>
      <c r="M39" s="1" t="s">
        <v>215</v>
      </c>
      <c r="N39" s="1" t="s">
        <v>260</v>
      </c>
      <c r="O39" s="51">
        <v>9.9000000000000005E-2</v>
      </c>
    </row>
    <row r="40" spans="1:18" x14ac:dyDescent="0.25">
      <c r="A40" s="454">
        <v>4</v>
      </c>
      <c r="B40" s="314" t="str">
        <f>'Customer Inputs'!Y9</f>
        <v/>
      </c>
      <c r="C40" s="1">
        <f>'Customer Inputs'!P9</f>
        <v>0</v>
      </c>
      <c r="D40" s="438">
        <f>'Multi-Customer'!$DS$9</f>
        <v>0</v>
      </c>
      <c r="E40" s="1170">
        <f>'Multi-Customer'!$DS$10</f>
        <v>0</v>
      </c>
      <c r="F40" s="439">
        <f t="shared" si="2"/>
        <v>0</v>
      </c>
      <c r="G40" s="440">
        <f t="shared" si="3"/>
        <v>0</v>
      </c>
      <c r="H40" s="796"/>
      <c r="I40" s="427" t="s">
        <v>1182</v>
      </c>
      <c r="J40" s="46">
        <f t="shared" si="1"/>
        <v>1.3000000000000005E-2</v>
      </c>
      <c r="L40" s="1" t="s">
        <v>590</v>
      </c>
      <c r="M40" s="1" t="s">
        <v>216</v>
      </c>
      <c r="N40" s="1" t="s">
        <v>260</v>
      </c>
      <c r="O40" s="51">
        <v>0.11900000000000001</v>
      </c>
    </row>
    <row r="41" spans="1:18" x14ac:dyDescent="0.25">
      <c r="A41" s="454">
        <v>5</v>
      </c>
      <c r="B41" s="314" t="str">
        <f>'Customer Inputs'!Y10</f>
        <v/>
      </c>
      <c r="C41" s="1">
        <f>'Customer Inputs'!P10</f>
        <v>0</v>
      </c>
      <c r="D41" s="438">
        <f>'Multi-Customer'!$EP$9</f>
        <v>0</v>
      </c>
      <c r="E41" s="1170">
        <f>'Multi-Customer'!$EP$10</f>
        <v>0</v>
      </c>
      <c r="F41" s="439">
        <f t="shared" si="2"/>
        <v>0</v>
      </c>
      <c r="G41" s="440">
        <f t="shared" si="3"/>
        <v>0</v>
      </c>
      <c r="H41" s="796"/>
      <c r="I41" s="427" t="s">
        <v>1183</v>
      </c>
      <c r="J41" s="46">
        <f t="shared" si="1"/>
        <v>1.3500000000000005E-2</v>
      </c>
      <c r="L41" s="1" t="s">
        <v>591</v>
      </c>
      <c r="M41" s="1" t="s">
        <v>270</v>
      </c>
      <c r="N41" s="1" t="s">
        <v>260</v>
      </c>
      <c r="O41" s="51">
        <v>0.15</v>
      </c>
    </row>
    <row r="42" spans="1:18" x14ac:dyDescent="0.25">
      <c r="A42" s="454">
        <v>6</v>
      </c>
      <c r="B42" s="314" t="str">
        <f>'Customer Inputs'!Y11</f>
        <v/>
      </c>
      <c r="C42" s="1">
        <f>'Customer Inputs'!P11</f>
        <v>0</v>
      </c>
      <c r="D42" s="438">
        <f>'Multi-Customer'!$FM$9</f>
        <v>0</v>
      </c>
      <c r="E42" s="1170">
        <f>'Multi-Customer'!$FM$10</f>
        <v>0</v>
      </c>
      <c r="F42" s="439">
        <f t="shared" si="2"/>
        <v>0</v>
      </c>
      <c r="G42" s="440">
        <f t="shared" si="3"/>
        <v>0</v>
      </c>
      <c r="H42" s="796"/>
      <c r="I42" s="797" t="s">
        <v>1184</v>
      </c>
      <c r="J42" s="46">
        <f t="shared" si="1"/>
        <v>1.4000000000000005E-2</v>
      </c>
      <c r="L42" s="1" t="s">
        <v>592</v>
      </c>
      <c r="M42" s="1" t="s">
        <v>214</v>
      </c>
      <c r="N42" s="1" t="s">
        <v>15</v>
      </c>
      <c r="O42" s="51">
        <v>4.5999999999999999E-2</v>
      </c>
    </row>
    <row r="43" spans="1:18" x14ac:dyDescent="0.25">
      <c r="A43" s="454">
        <v>7</v>
      </c>
      <c r="B43" s="314" t="str">
        <f>'Customer Inputs'!Y12</f>
        <v/>
      </c>
      <c r="C43" s="1">
        <f>'Customer Inputs'!P12</f>
        <v>0</v>
      </c>
      <c r="D43" s="438">
        <f>'Multi-Customer'!$GJ$9</f>
        <v>0</v>
      </c>
      <c r="E43" s="1170">
        <f>'Multi-Customer'!$GJ$10</f>
        <v>0</v>
      </c>
      <c r="F43" s="439">
        <f t="shared" si="2"/>
        <v>0</v>
      </c>
      <c r="G43" s="440">
        <f t="shared" si="3"/>
        <v>0</v>
      </c>
      <c r="L43" s="1" t="s">
        <v>593</v>
      </c>
      <c r="M43" s="1" t="s">
        <v>215</v>
      </c>
      <c r="N43" s="1" t="s">
        <v>15</v>
      </c>
      <c r="O43" s="51">
        <v>0.109</v>
      </c>
    </row>
    <row r="44" spans="1:18" x14ac:dyDescent="0.25">
      <c r="A44" s="454">
        <v>8</v>
      </c>
      <c r="B44" s="314" t="str">
        <f>'Customer Inputs'!Y13</f>
        <v/>
      </c>
      <c r="C44" s="1">
        <f>'Customer Inputs'!P13</f>
        <v>0</v>
      </c>
      <c r="D44" s="438">
        <f>'Multi-Customer'!$HG$9</f>
        <v>0</v>
      </c>
      <c r="E44" s="1170">
        <f>'Multi-Customer'!$HG$10</f>
        <v>0</v>
      </c>
      <c r="F44" s="439">
        <f t="shared" si="2"/>
        <v>0</v>
      </c>
      <c r="G44" s="440">
        <f t="shared" si="3"/>
        <v>0</v>
      </c>
      <c r="L44" s="1" t="s">
        <v>594</v>
      </c>
      <c r="M44" s="1" t="s">
        <v>216</v>
      </c>
      <c r="N44" s="1" t="s">
        <v>15</v>
      </c>
      <c r="O44" s="51">
        <v>0.11600000000000001</v>
      </c>
    </row>
    <row r="45" spans="1:18" x14ac:dyDescent="0.25">
      <c r="A45" s="454">
        <v>9</v>
      </c>
      <c r="B45" s="314" t="str">
        <f>'Customer Inputs'!Y14</f>
        <v/>
      </c>
      <c r="C45" s="1">
        <f>'Customer Inputs'!P14</f>
        <v>0</v>
      </c>
      <c r="D45" s="438">
        <f>'Multi-Customer'!$ID$9</f>
        <v>0</v>
      </c>
      <c r="E45" s="1170">
        <f>'Multi-Customer'!$ID$10</f>
        <v>0</v>
      </c>
      <c r="F45" s="439">
        <f t="shared" si="2"/>
        <v>0</v>
      </c>
      <c r="G45" s="440">
        <f t="shared" si="3"/>
        <v>0</v>
      </c>
      <c r="L45" s="1" t="s">
        <v>595</v>
      </c>
      <c r="M45" s="1" t="s">
        <v>270</v>
      </c>
      <c r="N45" s="1" t="s">
        <v>15</v>
      </c>
      <c r="O45" s="51">
        <v>0.11600000000000001</v>
      </c>
    </row>
    <row r="46" spans="1:18" ht="15.75" thickBot="1" x14ac:dyDescent="0.3">
      <c r="A46" s="455">
        <v>10</v>
      </c>
      <c r="B46" s="451" t="str">
        <f>'Customer Inputs'!Y15</f>
        <v/>
      </c>
      <c r="C46" s="33">
        <f>'Customer Inputs'!P15</f>
        <v>0</v>
      </c>
      <c r="D46" s="352">
        <f>'Multi-Customer'!$JA$9</f>
        <v>0</v>
      </c>
      <c r="E46" s="1170">
        <f>'Multi-Customer'!$JA$10</f>
        <v>0</v>
      </c>
      <c r="F46" s="441">
        <f t="shared" si="2"/>
        <v>0</v>
      </c>
      <c r="G46" s="442">
        <f t="shared" si="3"/>
        <v>0</v>
      </c>
      <c r="L46" s="1" t="s">
        <v>596</v>
      </c>
      <c r="M46" s="1" t="s">
        <v>214</v>
      </c>
      <c r="N46" s="1" t="s">
        <v>45</v>
      </c>
      <c r="O46" s="51">
        <v>5.1999999999999998E-2</v>
      </c>
    </row>
    <row r="47" spans="1:18" ht="15.75" thickBot="1" x14ac:dyDescent="0.3">
      <c r="F47" s="457">
        <f>SUM(F37:F46)</f>
        <v>0</v>
      </c>
      <c r="G47" s="458">
        <f>SUM(G37:G46)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BQ3" zoomScale="90" zoomScaleNormal="90" workbookViewId="0">
      <selection activeCell="CH14" sqref="CH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18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149" customWidth="1"/>
    <col min="61" max="61" width="11.85546875" style="1149" customWidth="1"/>
    <col min="62" max="63" width="11.140625" style="1149" customWidth="1"/>
    <col min="64" max="64" width="11.28515625" style="1149" customWidth="1"/>
    <col min="65" max="65" width="12.140625" style="1149" customWidth="1"/>
    <col min="66" max="66" width="10.28515625" style="1149" customWidth="1"/>
    <col min="67" max="69" width="8.5703125" style="1149" customWidth="1"/>
    <col min="70" max="70" width="10.28515625" style="1149" customWidth="1"/>
    <col min="71" max="71" width="10.85546875" style="1149" customWidth="1"/>
    <col min="72" max="72" width="10.7109375" style="1149" customWidth="1"/>
    <col min="75" max="75" width="12.5703125" style="1185" customWidth="1"/>
    <col min="76" max="76" width="28.28515625" bestFit="1" customWidth="1"/>
    <col min="77" max="77" width="17.5703125" bestFit="1" customWidth="1"/>
    <col min="79" max="79" width="12.140625" customWidth="1"/>
    <col min="80" max="80" width="11.7109375" customWidth="1"/>
    <col min="83" max="85" width="9.140625" style="1149"/>
    <col min="86" max="86" width="11.85546875" style="1149" customWidth="1"/>
    <col min="87" max="87" width="11.7109375" style="1149" customWidth="1"/>
    <col min="88" max="88" width="10.140625" style="1149" customWidth="1"/>
    <col min="89" max="89" width="9.85546875" style="1149" customWidth="1"/>
    <col min="90" max="92" width="9.140625" style="1149"/>
    <col min="93" max="93" width="10.28515625" style="1149" customWidth="1"/>
    <col min="94" max="94" width="10.140625" style="1149" customWidth="1"/>
    <col min="95" max="95" width="10" style="1149" customWidth="1"/>
    <col min="98" max="98" width="12.140625" style="1185" customWidth="1"/>
    <col min="99" max="99" width="28.28515625" bestFit="1" customWidth="1"/>
    <col min="100" max="100" width="17.5703125" bestFit="1" customWidth="1"/>
    <col min="102" max="102" width="11.140625" customWidth="1"/>
    <col min="103" max="103" width="10.42578125" customWidth="1"/>
    <col min="106" max="109" width="9.140625" style="1149"/>
    <col min="110" max="110" width="11" style="1149" customWidth="1"/>
    <col min="111" max="111" width="9" style="1149" customWidth="1"/>
    <col min="112" max="112" width="9.42578125" style="1149" customWidth="1"/>
    <col min="113" max="115" width="9.140625" style="1149"/>
    <col min="116" max="116" width="9.28515625" style="1149" customWidth="1"/>
    <col min="117" max="117" width="10.5703125" style="1149" customWidth="1"/>
    <col min="118" max="118" width="9.42578125" style="1149" customWidth="1"/>
    <col min="121" max="121" width="12.28515625" style="1185" customWidth="1"/>
    <col min="122" max="122" width="28.28515625" bestFit="1" customWidth="1"/>
    <col min="123" max="123" width="17.5703125" bestFit="1" customWidth="1"/>
    <col min="125" max="125" width="11.7109375" customWidth="1"/>
    <col min="126" max="126" width="10.28515625" customWidth="1"/>
    <col min="129" max="131" width="9.140625" style="1149"/>
    <col min="132" max="132" width="10.140625" style="1149" customWidth="1"/>
    <col min="133" max="133" width="10.7109375" style="1149" customWidth="1"/>
    <col min="134" max="134" width="10" style="1149" customWidth="1"/>
    <col min="135" max="135" width="10.140625" style="1149" customWidth="1"/>
    <col min="136" max="138" width="9.140625" style="1149"/>
    <col min="139" max="139" width="10" style="1149" customWidth="1"/>
    <col min="140" max="141" width="9.140625" style="1149"/>
    <col min="144" max="144" width="11.140625" style="1185" customWidth="1"/>
    <col min="145" max="145" width="28.28515625" bestFit="1" customWidth="1"/>
    <col min="146" max="146" width="17.5703125" bestFit="1" customWidth="1"/>
    <col min="148" max="148" width="10.140625" customWidth="1"/>
    <col min="149" max="149" width="10.28515625" customWidth="1"/>
    <col min="152" max="155" width="9.140625" style="1149"/>
    <col min="156" max="156" width="11.7109375" style="1149" customWidth="1"/>
    <col min="157" max="164" width="9.140625" style="1149"/>
    <col min="167" max="167" width="10.7109375" style="1185" customWidth="1"/>
    <col min="168" max="168" width="28.28515625" bestFit="1" customWidth="1"/>
    <col min="169" max="169" width="17.5703125" bestFit="1" customWidth="1"/>
    <col min="171" max="171" width="10.140625" customWidth="1"/>
    <col min="175" max="177" width="9.140625" style="1149"/>
    <col min="178" max="178" width="10.7109375" style="1149" customWidth="1"/>
    <col min="179" max="179" width="11.5703125" style="1149" customWidth="1"/>
    <col min="180" max="187" width="9.140625" style="1149"/>
    <col min="190" max="190" width="11.42578125" style="1185" customWidth="1"/>
    <col min="191" max="191" width="28.28515625" bestFit="1" customWidth="1"/>
    <col min="192" max="192" width="17.5703125" bestFit="1" customWidth="1"/>
    <col min="194" max="194" width="10.140625" customWidth="1"/>
    <col min="195" max="195" width="10.85546875" customWidth="1"/>
    <col min="198" max="201" width="9.140625" style="1149"/>
    <col min="202" max="202" width="11.5703125" style="1149" customWidth="1"/>
    <col min="203" max="210" width="9.140625" style="1149"/>
    <col min="213" max="213" width="10.28515625" style="1185" customWidth="1"/>
    <col min="214" max="214" width="28.28515625" bestFit="1" customWidth="1"/>
    <col min="215" max="215" width="17.5703125" bestFit="1" customWidth="1"/>
    <col min="217" max="217" width="11.5703125" customWidth="1"/>
    <col min="218" max="218" width="10.42578125" customWidth="1"/>
    <col min="221" max="224" width="9.140625" style="1149"/>
    <col min="225" max="225" width="11.42578125" style="1149" customWidth="1"/>
    <col min="226" max="233" width="9.140625" style="1149"/>
    <col min="236" max="236" width="10.5703125" style="1185" customWidth="1"/>
    <col min="237" max="237" width="28.28515625" bestFit="1" customWidth="1"/>
    <col min="238" max="238" width="17.5703125" bestFit="1" customWidth="1"/>
    <col min="240" max="241" width="10.42578125" customWidth="1"/>
    <col min="244" max="247" width="9.140625" style="1149"/>
    <col min="248" max="248" width="11.42578125" style="1149" customWidth="1"/>
    <col min="249" max="256" width="9.140625" style="1149"/>
    <col min="258" max="258" width="15" customWidth="1"/>
    <col min="259" max="259" width="15" style="118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149" customWidth="1"/>
    <col min="268" max="268" width="9.42578125" style="1149" customWidth="1"/>
    <col min="269" max="270" width="7.7109375" style="1149" customWidth="1"/>
    <col min="271" max="271" width="12.5703125" style="1149" customWidth="1"/>
    <col min="272" max="272" width="10.85546875" style="1149" customWidth="1"/>
    <col min="273" max="273" width="10.42578125" style="1149" customWidth="1"/>
    <col min="274" max="276" width="7.7109375" style="1149" customWidth="1"/>
    <col min="277" max="277" width="8.5703125" style="1149" customWidth="1"/>
    <col min="278" max="278" width="9.28515625" style="1149" customWidth="1"/>
    <col min="279" max="279" width="11" style="11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356" t="s">
        <v>857</v>
      </c>
      <c r="U1" s="1356"/>
      <c r="V1">
        <f>COUNTIF($BA$1:$JA$1,"New Location")</f>
        <v>0</v>
      </c>
      <c r="AW1" s="741" t="e">
        <f>VLOOKUP('Existing Customers'!AB2,'Market Geography'!A:B,2,0)</f>
        <v>#N/A</v>
      </c>
      <c r="BA1" s="87" t="s">
        <v>822</v>
      </c>
      <c r="BB1" s="88">
        <f>'Customer Inputs'!$G$6</f>
        <v>0</v>
      </c>
      <c r="BC1" s="741" t="e">
        <f>_xlfn.CONCAT($AW$1,"_",IF(NOT(ISBLANK('Customer Inputs'!$H$6)),'Customer Inputs'!$H$6,""),"_",IF(AND(NOT(ISBLANK('Customer Inputs'!$G$6)),'Customer Inputs'!$G$6&lt;&gt;"New"),IF('Customer Inputs'!$M$6&lt;&gt;"Enter Menu Type&gt;&gt;",IF('Customer Inputs'!$R$6=0,'Customer Inputs'!$M$6,'Customer Inputs'!$R$6),'Customer Inputs'!$R$6),""))</f>
        <v>#N/A</v>
      </c>
      <c r="BX1" s="87" t="s">
        <v>823</v>
      </c>
      <c r="BY1" s="88">
        <f>'Customer Inputs'!$G$7</f>
        <v>0</v>
      </c>
      <c r="BZ1" s="741" t="e">
        <f>_xlfn.CONCAT($AW$1,"_",IF(NOT(ISBLANK('Customer Inputs'!$H$7)),'Customer Inputs'!$H$7,""),"_",IF(AND(NOT(ISBLANK('Customer Inputs'!$G$7)),'Customer Inputs'!$G$7&lt;&gt;"New"),IF('Customer Inputs'!$M$7&lt;&gt;"Enter Menu Type&gt;&gt;",IF('Customer Inputs'!$R$7=0,'Customer Inputs'!$M$7,'Customer Inputs'!$R$7),'Customer Inputs'!$R$7),""))</f>
        <v>#N/A</v>
      </c>
      <c r="CU1" s="87" t="s">
        <v>824</v>
      </c>
      <c r="CV1" s="88">
        <f>'Customer Inputs'!$G$8</f>
        <v>0</v>
      </c>
      <c r="CW1" s="741" t="e">
        <f>_xlfn.CONCAT($AW$1,"_",IF(NOT(ISBLANK('Customer Inputs'!$H$8)),'Customer Inputs'!$H$8,""),"_",IF(AND(NOT(ISBLANK('Customer Inputs'!$G$8)),'Customer Inputs'!$G$8&lt;&gt;"New"),IF('Customer Inputs'!$M$8&lt;&gt;"Enter Menu Type&gt;&gt;",IF('Customer Inputs'!$R$8=0,'Customer Inputs'!$M$8,'Customer Inputs'!$R$8),'Customer Inputs'!$R$8),""))</f>
        <v>#N/A</v>
      </c>
      <c r="DR1" s="87" t="s">
        <v>825</v>
      </c>
      <c r="DS1" s="392">
        <f>'Customer Inputs'!$G$9</f>
        <v>0</v>
      </c>
      <c r="DT1" s="741" t="e">
        <f>_xlfn.CONCAT($AW$1,"_",IF(NOT(ISBLANK('Customer Inputs'!$H$9)),'Customer Inputs'!$H$9,""),"_",IF(AND(NOT(ISBLANK('Customer Inputs'!$G$9)),'Customer Inputs'!$G$9&lt;&gt;"New"),IF('Customer Inputs'!$M$9&lt;&gt;"Enter Menu Type&gt;&gt;",IF('Customer Inputs'!$R$9=0,'Customer Inputs'!$M$9,'Customer Inputs'!$R$9),'Customer Inputs'!$R$9),""))</f>
        <v>#N/A</v>
      </c>
      <c r="EO1" s="87" t="s">
        <v>826</v>
      </c>
      <c r="EP1" s="88">
        <f>'Customer Inputs'!$G$10</f>
        <v>0</v>
      </c>
      <c r="EQ1" s="741" t="e">
        <f>_xlfn.CONCAT($AW$1,"_",IF(NOT(ISBLANK('Customer Inputs'!$H$10)),'Customer Inputs'!$H$10,""),"_",IF(AND(NOT(ISBLANK('Customer Inputs'!$G$10)),'Customer Inputs'!$G$10&lt;&gt;"New"),IF('Customer Inputs'!$M$10&lt;&gt;"Enter Menu Type&gt;&gt;",IF('Customer Inputs'!$R$10=0,'Customer Inputs'!$M$10,'Customer Inputs'!$R$10),'Customer Inputs'!$R$10),""))</f>
        <v>#N/A</v>
      </c>
      <c r="FL1" s="87" t="s">
        <v>827</v>
      </c>
      <c r="FM1" s="88">
        <f>'Customer Inputs'!$G$11</f>
        <v>0</v>
      </c>
      <c r="FN1" s="741" t="e">
        <f>_xlfn.CONCAT($AW$1,"_",IF(NOT(ISBLANK('Customer Inputs'!$H$11)),'Customer Inputs'!$H$11,""),"_",IF(AND(NOT(ISBLANK('Customer Inputs'!$G$11)),'Customer Inputs'!$G$11&lt;&gt;"New"),IF('Customer Inputs'!$M$11&lt;&gt;"Enter Menu Type&gt;&gt;",IF('Customer Inputs'!$R$11=0,'Customer Inputs'!$M$11,'Customer Inputs'!$R$11),'Customer Inputs'!$R$11),""))</f>
        <v>#N/A</v>
      </c>
      <c r="GI1" s="87" t="s">
        <v>828</v>
      </c>
      <c r="GJ1" s="88">
        <f>'Customer Inputs'!$G$12</f>
        <v>0</v>
      </c>
      <c r="GK1" s="741" t="e">
        <f>_xlfn.CONCAT($AW$1,"_",IF(NOT(ISBLANK('Customer Inputs'!$H$12)),'Customer Inputs'!$H$12,""),"_",IF(AND(NOT(ISBLANK('Customer Inputs'!$G$12)),'Customer Inputs'!$G$12&lt;&gt;"New"),IF('Customer Inputs'!$M$12&lt;&gt;"Enter Menu Type&gt;&gt;",IF('Customer Inputs'!$R$12=0,'Customer Inputs'!$M$12,'Customer Inputs'!$R$12),'Customer Inputs'!$R$12),""))</f>
        <v>#N/A</v>
      </c>
      <c r="HF1" s="87" t="s">
        <v>829</v>
      </c>
      <c r="HG1" s="88">
        <f>'Customer Inputs'!$G$13</f>
        <v>0</v>
      </c>
      <c r="HH1" s="741" t="e">
        <f>_xlfn.CONCAT($AW$1,"_",IF(NOT(ISBLANK('Customer Inputs'!$H$13)),'Customer Inputs'!$H$13,""),"_",IF(AND(NOT(ISBLANK('Customer Inputs'!$G$13)),'Customer Inputs'!$G$13&lt;&gt;"New"),IF('Customer Inputs'!$M$13&lt;&gt;"Enter Menu Type&gt;&gt;",IF('Customer Inputs'!$R$13=0,'Customer Inputs'!$M$13,'Customer Inputs'!$R$13),'Customer Inputs'!$R$13),""))</f>
        <v>#N/A</v>
      </c>
      <c r="IC1" s="87" t="s">
        <v>830</v>
      </c>
      <c r="ID1" s="88">
        <f>'Customer Inputs'!$G$14</f>
        <v>0</v>
      </c>
      <c r="IE1" s="741" t="e">
        <f>_xlfn.CONCAT($AW$1,"_",IF(NOT(ISBLANK('Customer Inputs'!$H$14)),'Customer Inputs'!$H$14,""),"_",IF(AND(NOT(ISBLANK('Customer Inputs'!$G$14)),'Customer Inputs'!$G$14&lt;&gt;"New"),IF('Customer Inputs'!$M$14&lt;&gt;"Enter Menu Type&gt;&gt;",IF('Customer Inputs'!$R$14=0,'Customer Inputs'!$M$14,'Customer Inputs'!$R$14),'Customer Inputs'!$R$14),""))</f>
        <v>#N/A</v>
      </c>
      <c r="IZ1" s="87" t="s">
        <v>831</v>
      </c>
      <c r="JA1" s="88">
        <f>'Customer Inputs'!$G$15</f>
        <v>0</v>
      </c>
      <c r="JB1" s="741" t="e">
        <f>_xlfn.CONCAT($AW$1,"_",IF(NOT(ISBLANK('Customer Inputs'!$H$15)),'Customer Inputs'!$H$15,""),"_",IF(AND(NOT(ISBLANK('Customer Inputs'!$G$15)),'Customer Inputs'!$G$15&lt;&gt;"New"),IF('Customer Inputs'!$M$15&lt;&gt;"Enter Menu Type&gt;&gt;",IF('Customer Inputs'!$R$15=0,'Customer Inputs'!$M$15,'Customer Inputs'!$R$15),'Customer Inputs'!$R$15),""))</f>
        <v>#N/A</v>
      </c>
    </row>
    <row r="2" spans="2:296" x14ac:dyDescent="0.25">
      <c r="T2" s="85"/>
      <c r="U2" s="85"/>
      <c r="BA2" s="85" t="s">
        <v>927</v>
      </c>
      <c r="BB2" s="88" t="str">
        <f>'Customer Inputs'!$K$6</f>
        <v/>
      </c>
      <c r="BC2" s="1183">
        <f>'Customer Inputs'!$U$6</f>
        <v>0</v>
      </c>
      <c r="BX2" s="85" t="s">
        <v>927</v>
      </c>
      <c r="BY2" s="88" t="str">
        <f>'Customer Inputs'!$K$7</f>
        <v/>
      </c>
      <c r="BZ2" s="1184">
        <f>'Customer Inputs'!$U$7</f>
        <v>0</v>
      </c>
      <c r="CU2" s="85" t="s">
        <v>927</v>
      </c>
      <c r="CV2" s="88" t="str">
        <f>'Customer Inputs'!$K$8</f>
        <v/>
      </c>
      <c r="CW2" s="1184">
        <f>'Customer Inputs'!$U$8</f>
        <v>0</v>
      </c>
      <c r="DR2" s="85" t="s">
        <v>927</v>
      </c>
      <c r="DS2" s="88" t="str">
        <f>'Customer Inputs'!$K$9</f>
        <v/>
      </c>
      <c r="DT2" s="1184">
        <f>'Customer Inputs'!$U$9</f>
        <v>0</v>
      </c>
      <c r="EO2" s="85" t="s">
        <v>927</v>
      </c>
      <c r="EP2" s="88" t="str">
        <f>'Customer Inputs'!$K$10</f>
        <v/>
      </c>
      <c r="EQ2" s="1184">
        <f>'Customer Inputs'!$U$10</f>
        <v>0</v>
      </c>
      <c r="FL2" s="85" t="s">
        <v>927</v>
      </c>
      <c r="FM2" s="88" t="str">
        <f>'Customer Inputs'!$K$11</f>
        <v/>
      </c>
      <c r="FN2" s="1184">
        <f>'Customer Inputs'!$U$11</f>
        <v>0</v>
      </c>
      <c r="GI2" s="85" t="s">
        <v>927</v>
      </c>
      <c r="GJ2" s="88" t="str">
        <f>'Customer Inputs'!$K$12</f>
        <v/>
      </c>
      <c r="GK2" s="1184">
        <f>'Customer Inputs'!$U$12</f>
        <v>0</v>
      </c>
      <c r="HF2" s="85" t="s">
        <v>927</v>
      </c>
      <c r="HG2" s="88" t="str">
        <f>'Customer Inputs'!$K$13</f>
        <v/>
      </c>
      <c r="HH2" s="1184">
        <f>'Customer Inputs'!$U$13</f>
        <v>0</v>
      </c>
      <c r="IC2" s="85" t="s">
        <v>927</v>
      </c>
      <c r="ID2" s="88" t="str">
        <f>'Customer Inputs'!$K$14</f>
        <v/>
      </c>
      <c r="IE2" s="1184">
        <f>'Customer Inputs'!$U$14</f>
        <v>0</v>
      </c>
      <c r="IZ2" s="85" t="s">
        <v>927</v>
      </c>
      <c r="JA2" s="88" t="str">
        <f>'Customer Inputs'!$K$15</f>
        <v/>
      </c>
      <c r="JB2" s="1183">
        <f>'Customer Inputs'!$U$15</f>
        <v>0</v>
      </c>
    </row>
    <row r="3" spans="2:296" x14ac:dyDescent="0.25">
      <c r="T3" s="85"/>
      <c r="U3" s="85"/>
      <c r="BA3" s="85" t="s">
        <v>928</v>
      </c>
      <c r="BB3" s="88">
        <f>'Customer Inputs'!$P$6</f>
        <v>0</v>
      </c>
      <c r="BX3" s="85" t="s">
        <v>928</v>
      </c>
      <c r="BY3" s="88">
        <f>'Customer Inputs'!$P$7</f>
        <v>0</v>
      </c>
      <c r="CU3" s="85" t="s">
        <v>928</v>
      </c>
      <c r="CV3" s="88">
        <f>'Customer Inputs'!$P$8</f>
        <v>0</v>
      </c>
      <c r="DR3" s="85" t="s">
        <v>928</v>
      </c>
      <c r="DS3" s="88">
        <f>'Customer Inputs'!$P$9</f>
        <v>0</v>
      </c>
      <c r="EO3" s="85" t="s">
        <v>928</v>
      </c>
      <c r="EP3" s="88">
        <f>'Customer Inputs'!$P$10</f>
        <v>0</v>
      </c>
      <c r="FL3" s="85" t="s">
        <v>928</v>
      </c>
      <c r="FM3" s="88">
        <f>'Customer Inputs'!$P$11</f>
        <v>0</v>
      </c>
      <c r="GI3" s="85" t="s">
        <v>928</v>
      </c>
      <c r="GJ3" s="88">
        <f>'Customer Inputs'!$P$12</f>
        <v>0</v>
      </c>
      <c r="HF3" s="85" t="s">
        <v>928</v>
      </c>
      <c r="HG3" s="88">
        <f>'Customer Inputs'!$P$13</f>
        <v>0</v>
      </c>
      <c r="IC3" s="85" t="s">
        <v>928</v>
      </c>
      <c r="ID3" s="88">
        <f>'Customer Inputs'!$P$14</f>
        <v>0</v>
      </c>
      <c r="IZ3" s="85" t="s">
        <v>928</v>
      </c>
      <c r="JA3" s="88">
        <f>'Customer Inputs'!$P$15</f>
        <v>0</v>
      </c>
    </row>
    <row r="4" spans="2:296" x14ac:dyDescent="0.25">
      <c r="T4" s="85"/>
      <c r="U4" s="85"/>
      <c r="BA4" s="85" t="s">
        <v>931</v>
      </c>
      <c r="BB4" s="393" t="e">
        <f>BB3/BB2</f>
        <v>#VALUE!</v>
      </c>
      <c r="BX4" s="85" t="s">
        <v>931</v>
      </c>
      <c r="BY4" s="393" t="e">
        <f>BY3/BY2</f>
        <v>#VALUE!</v>
      </c>
      <c r="CU4" s="85" t="s">
        <v>931</v>
      </c>
      <c r="CV4" s="393" t="e">
        <f>CV3/CV2</f>
        <v>#VALUE!</v>
      </c>
      <c r="DR4" s="85" t="s">
        <v>931</v>
      </c>
      <c r="DS4" s="393" t="e">
        <f>DS3/DS2</f>
        <v>#VALUE!</v>
      </c>
      <c r="EO4" s="85" t="s">
        <v>931</v>
      </c>
      <c r="EP4" s="393" t="e">
        <f>EP3/EP2</f>
        <v>#VALUE!</v>
      </c>
      <c r="FL4" s="85" t="s">
        <v>931</v>
      </c>
      <c r="FM4" s="393" t="e">
        <f>FM3/FM2</f>
        <v>#VALUE!</v>
      </c>
      <c r="GI4" s="85" t="s">
        <v>931</v>
      </c>
      <c r="GJ4" s="393" t="e">
        <f>GJ3/GJ2</f>
        <v>#VALUE!</v>
      </c>
      <c r="HF4" s="85" t="s">
        <v>931</v>
      </c>
      <c r="HG4" s="393" t="e">
        <f>HG3/HG2</f>
        <v>#VALUE!</v>
      </c>
      <c r="IC4" s="85" t="s">
        <v>931</v>
      </c>
      <c r="ID4" s="393" t="e">
        <f>ID3/ID2</f>
        <v>#VALUE!</v>
      </c>
      <c r="IZ4" s="85" t="s">
        <v>931</v>
      </c>
      <c r="JA4" s="393" t="e">
        <f>JA3/JA2</f>
        <v>#VALUE!</v>
      </c>
    </row>
    <row r="5" spans="2:296" x14ac:dyDescent="0.25">
      <c r="T5" s="1356" t="s">
        <v>858</v>
      </c>
      <c r="U5" s="1356"/>
      <c r="V5">
        <f>COUNT(BB1,BY1,CV1,DS1,EP1,FM1,GJ1,HG1,ID1,JA1)</f>
        <v>10</v>
      </c>
      <c r="BA5" s="85" t="s">
        <v>958</v>
      </c>
      <c r="BB5">
        <f>IFERROR(VLOOKUP(BB$1,'Existing Customers'!$A:$AD,30,FALSE),BB6)</f>
        <v>0</v>
      </c>
      <c r="BX5" s="85" t="s">
        <v>958</v>
      </c>
      <c r="BY5">
        <f>IFERROR(VLOOKUP(BY$1,'Existing Customers'!$A:$AD,30,FALSE),BY6)</f>
        <v>0</v>
      </c>
      <c r="CU5" s="85" t="s">
        <v>958</v>
      </c>
      <c r="CV5">
        <f>IFERROR(VLOOKUP(CV$1,'Existing Customers'!$A:$AD,30,FALSE),CV6)</f>
        <v>0</v>
      </c>
      <c r="DR5" s="85" t="s">
        <v>958</v>
      </c>
      <c r="DS5">
        <f>IFERROR(VLOOKUP(DS$1,'Existing Customers'!$A:$AD,30,FALSE),DS6)</f>
        <v>0</v>
      </c>
      <c r="EO5" s="85" t="s">
        <v>958</v>
      </c>
      <c r="EP5">
        <f>IFERROR(VLOOKUP(EP$1,'Existing Customers'!$A:$AD,30,FALSE),EP6)</f>
        <v>0</v>
      </c>
      <c r="FL5" s="85" t="s">
        <v>958</v>
      </c>
      <c r="FM5">
        <f>IFERROR(VLOOKUP(FM$1,'Existing Customers'!$A:$AD,30,FALSE),FM6)</f>
        <v>0</v>
      </c>
      <c r="GI5" s="85" t="s">
        <v>958</v>
      </c>
      <c r="GJ5">
        <f>IFERROR(VLOOKUP(GJ$1,'Existing Customers'!$A:$AD,30,FALSE),GJ6)</f>
        <v>0</v>
      </c>
      <c r="HF5" s="85" t="s">
        <v>958</v>
      </c>
      <c r="HG5">
        <f>IFERROR(VLOOKUP(HG$1,'Existing Customers'!$A:$AD,30,FALSE),HG6)</f>
        <v>0</v>
      </c>
      <c r="IC5" s="85" t="s">
        <v>958</v>
      </c>
      <c r="ID5">
        <f>IFERROR(VLOOKUP(ID$1,'Existing Customers'!$A:$AD,30,FALSE),ID6)</f>
        <v>0</v>
      </c>
      <c r="IZ5" s="85" t="s">
        <v>958</v>
      </c>
      <c r="JA5">
        <f>IFERROR(VLOOKUP(JA$1,'Existing Customers'!$A:$AD,30,FALSE),JA6)</f>
        <v>0</v>
      </c>
    </row>
    <row r="6" spans="2:296" x14ac:dyDescent="0.25">
      <c r="T6" s="1356"/>
      <c r="U6" s="1356"/>
      <c r="BA6" s="85" t="s">
        <v>929</v>
      </c>
      <c r="BB6" s="437">
        <f>'Customer Inputs'!$R$6</f>
        <v>0</v>
      </c>
      <c r="BX6" s="85" t="s">
        <v>929</v>
      </c>
      <c r="BY6" s="88">
        <f>'Customer Inputs'!$R$7</f>
        <v>0</v>
      </c>
      <c r="CU6" s="85" t="s">
        <v>929</v>
      </c>
      <c r="CV6" s="88">
        <f>'Customer Inputs'!$R$8</f>
        <v>0</v>
      </c>
      <c r="DR6" s="85" t="s">
        <v>929</v>
      </c>
      <c r="DS6" s="88">
        <f>'Customer Inputs'!$R$9</f>
        <v>0</v>
      </c>
      <c r="EO6" s="85" t="s">
        <v>929</v>
      </c>
      <c r="EP6" s="88">
        <f>'Customer Inputs'!$R$10</f>
        <v>0</v>
      </c>
      <c r="FL6" s="85" t="s">
        <v>929</v>
      </c>
      <c r="FM6" s="88">
        <f>'Customer Inputs'!$R$11</f>
        <v>0</v>
      </c>
      <c r="GI6" s="85" t="s">
        <v>929</v>
      </c>
      <c r="GJ6" s="88">
        <f>'Customer Inputs'!$R$12</f>
        <v>0</v>
      </c>
      <c r="HF6" s="85" t="s">
        <v>929</v>
      </c>
      <c r="HG6" s="88">
        <f>'Customer Inputs'!$R$13</f>
        <v>0</v>
      </c>
      <c r="IC6" s="85" t="s">
        <v>929</v>
      </c>
      <c r="ID6" s="88">
        <f>'Customer Inputs'!$R$14</f>
        <v>0</v>
      </c>
      <c r="IZ6" s="85" t="s">
        <v>929</v>
      </c>
      <c r="JA6" s="88">
        <f>'Customer Inputs'!$R$15</f>
        <v>0</v>
      </c>
    </row>
    <row r="7" spans="2:296" x14ac:dyDescent="0.25">
      <c r="T7" s="85"/>
      <c r="U7" s="85"/>
      <c r="BA7" s="85" t="s">
        <v>939</v>
      </c>
      <c r="BB7" s="415">
        <f>IFERROR(SUMIFS('Existing Customers'!$AC:$AC,'Existing Customers'!$A:$A,'Multi-Customer'!BB$1)/SUMIFS('Existing Customers'!$Q:$Q,'Existing Customers'!$A:$A,'Multi-Customer'!BB$1),0)</f>
        <v>0</v>
      </c>
      <c r="BX7" s="85" t="s">
        <v>939</v>
      </c>
      <c r="BY7" s="415">
        <f>IFERROR(SUMIFS('Existing Customers'!$AC:$AC,'Existing Customers'!$A:$A,'Multi-Customer'!BY$1)/SUMIFS('Existing Customers'!$Q:$Q,'Existing Customers'!$A:$A,'Multi-Customer'!BY$1),0)</f>
        <v>0</v>
      </c>
      <c r="CU7" s="85" t="s">
        <v>939</v>
      </c>
      <c r="CV7" s="415">
        <f>IFERROR(SUMIFS('Existing Customers'!$AC:$AC,'Existing Customers'!$A:$A,'Multi-Customer'!CV$1)/SUMIFS('Existing Customers'!$Q:$Q,'Existing Customers'!$A:$A,'Multi-Customer'!CV$1),0)</f>
        <v>0</v>
      </c>
      <c r="DR7" s="85" t="s">
        <v>939</v>
      </c>
      <c r="DS7" s="415">
        <f>IFERROR(SUMIFS('Existing Customers'!$AC:$AC,'Existing Customers'!$A:$A,'Multi-Customer'!DS$1)/SUMIFS('Existing Customers'!$Q:$Q,'Existing Customers'!$A:$A,'Multi-Customer'!DS$1),0)</f>
        <v>0</v>
      </c>
      <c r="EO7" s="85" t="s">
        <v>939</v>
      </c>
      <c r="EP7" s="415">
        <f>IFERROR(SUMIFS('Existing Customers'!$AC:$AC,'Existing Customers'!$A:$A,'Multi-Customer'!EP$1)/SUMIFS('Existing Customers'!$Q:$Q,'Existing Customers'!$A:$A,'Multi-Customer'!EP$1),0)</f>
        <v>0</v>
      </c>
      <c r="FL7" s="85" t="s">
        <v>939</v>
      </c>
      <c r="FM7" s="415">
        <f>IFERROR(SUMIFS('Existing Customers'!$AC:$AC,'Existing Customers'!$A:$A,'Multi-Customer'!FM$1)/SUMIFS('Existing Customers'!$Q:$Q,'Existing Customers'!$A:$A,'Multi-Customer'!FM$1),0)</f>
        <v>0</v>
      </c>
      <c r="GI7" s="85" t="s">
        <v>939</v>
      </c>
      <c r="GJ7" s="415">
        <f>IFERROR(SUMIFS('Existing Customers'!$AC:$AC,'Existing Customers'!$A:$A,'Multi-Customer'!GJ$1)/SUMIFS('Existing Customers'!$Q:$Q,'Existing Customers'!$A:$A,'Multi-Customer'!GJ$1),0)</f>
        <v>0</v>
      </c>
      <c r="HF7" s="85" t="s">
        <v>939</v>
      </c>
      <c r="HG7" s="415">
        <f>IFERROR(SUMIFS('Existing Customers'!$AC:$AC,'Existing Customers'!$A:$A,'Multi-Customer'!HG$1)/SUMIFS('Existing Customers'!$Q:$Q,'Existing Customers'!$A:$A,'Multi-Customer'!HG$1),0)</f>
        <v>0</v>
      </c>
      <c r="IC7" s="85" t="s">
        <v>939</v>
      </c>
      <c r="ID7" s="415">
        <f>IFERROR(SUMIFS('Existing Customers'!$AC:$AC,'Existing Customers'!$A:$A,'Multi-Customer'!ID$1)/SUMIFS('Existing Customers'!$Q:$Q,'Existing Customers'!$A:$A,'Multi-Customer'!ID$1),0)</f>
        <v>0</v>
      </c>
      <c r="IZ7" s="85" t="s">
        <v>939</v>
      </c>
      <c r="JA7" s="415">
        <f>IFERROR(SUMIFS('Existing Customers'!$AC:$AC,'Existing Customers'!$A:$A,'Multi-Customer'!JA$1)/SUMIFS('Existing Customers'!$Q:$Q,'Existing Customers'!$A:$A,'Multi-Customer'!JA$1),0)</f>
        <v>0</v>
      </c>
    </row>
    <row r="8" spans="2:296" x14ac:dyDescent="0.25">
      <c r="BA8" s="85" t="s">
        <v>932</v>
      </c>
      <c r="BB8" s="395">
        <f>'Customer Inputs'!$T$6</f>
        <v>0</v>
      </c>
      <c r="BX8" s="85" t="s">
        <v>932</v>
      </c>
      <c r="BY8" s="395">
        <f>'Customer Inputs'!$T$7</f>
        <v>0</v>
      </c>
      <c r="CU8" s="85" t="s">
        <v>932</v>
      </c>
      <c r="CV8" s="395">
        <f>'Customer Inputs'!$T$8</f>
        <v>0</v>
      </c>
      <c r="DR8" s="85" t="s">
        <v>932</v>
      </c>
      <c r="DS8" s="395">
        <f>'Customer Inputs'!$T$9</f>
        <v>0</v>
      </c>
      <c r="EO8" s="85" t="s">
        <v>932</v>
      </c>
      <c r="EP8" s="395">
        <f>'Customer Inputs'!$T$10</f>
        <v>0</v>
      </c>
      <c r="FL8" s="85" t="s">
        <v>932</v>
      </c>
      <c r="FM8" s="395">
        <f>'Customer Inputs'!$T$11</f>
        <v>0</v>
      </c>
      <c r="GI8" s="85" t="s">
        <v>932</v>
      </c>
      <c r="GJ8" s="395">
        <f>'Customer Inputs'!$T$12</f>
        <v>0</v>
      </c>
      <c r="HF8" s="85" t="s">
        <v>932</v>
      </c>
      <c r="HG8" s="395">
        <f>'Customer Inputs'!$T$13</f>
        <v>0</v>
      </c>
      <c r="IC8" s="85" t="s">
        <v>932</v>
      </c>
      <c r="ID8" s="395">
        <f>'Customer Inputs'!$T$14</f>
        <v>0</v>
      </c>
      <c r="IZ8" s="85" t="s">
        <v>932</v>
      </c>
      <c r="JA8" s="395">
        <f>'Customer Inputs'!$T$15</f>
        <v>0</v>
      </c>
    </row>
    <row r="9" spans="2:296" s="1149" customFormat="1" x14ac:dyDescent="0.25">
      <c r="AZ9" s="1185"/>
      <c r="BA9" s="1151" t="s">
        <v>550</v>
      </c>
      <c r="BB9" s="395">
        <f>IFERROR($BH$35/$BB$35,0)</f>
        <v>0</v>
      </c>
      <c r="BW9" s="1185"/>
      <c r="BX9" s="1151" t="s">
        <v>550</v>
      </c>
      <c r="BY9" s="395">
        <f>IFERROR($CE$35/$BY$35,0)</f>
        <v>0</v>
      </c>
      <c r="CT9" s="1185"/>
      <c r="CU9" s="1151" t="s">
        <v>550</v>
      </c>
      <c r="CV9" s="395">
        <f>IFERROR($DB$35/$CV$35,0)</f>
        <v>0</v>
      </c>
      <c r="DQ9" s="1185"/>
      <c r="DR9" s="1151" t="s">
        <v>550</v>
      </c>
      <c r="DS9" s="395">
        <f>IFERROR($DY$35/$DS$35,0)</f>
        <v>0</v>
      </c>
      <c r="EN9" s="1185"/>
      <c r="EO9" s="1151" t="s">
        <v>550</v>
      </c>
      <c r="EP9" s="395">
        <f>IFERROR($EV$35/$EP$35,0)</f>
        <v>0</v>
      </c>
      <c r="FK9" s="1185"/>
      <c r="FL9" s="1151" t="s">
        <v>550</v>
      </c>
      <c r="FM9" s="395">
        <f>IFERROR($FS$35/$FM$35,0)</f>
        <v>0</v>
      </c>
      <c r="GH9" s="1185"/>
      <c r="GI9" s="1151" t="s">
        <v>550</v>
      </c>
      <c r="GJ9" s="395">
        <f>IFERROR($GP$35/$GJ$35,0)</f>
        <v>0</v>
      </c>
      <c r="HE9" s="1185"/>
      <c r="HF9" s="1151" t="s">
        <v>550</v>
      </c>
      <c r="HG9" s="395">
        <f>IFERROR($HM$35/$HG$35,0)</f>
        <v>0</v>
      </c>
      <c r="IB9" s="1185"/>
      <c r="IC9" s="1151" t="s">
        <v>550</v>
      </c>
      <c r="ID9" s="395">
        <f>IFERROR($IJ$35/$ID$35,0)</f>
        <v>0</v>
      </c>
      <c r="IY9" s="1185"/>
      <c r="IZ9" s="1151" t="s">
        <v>550</v>
      </c>
      <c r="JA9" s="395">
        <f>IFERROR($JG$35/$JA$35,0)</f>
        <v>0</v>
      </c>
    </row>
    <row r="10" spans="2:296" s="1149" customFormat="1" x14ac:dyDescent="0.25">
      <c r="AZ10" s="1185"/>
      <c r="BA10" s="1151" t="s">
        <v>1481</v>
      </c>
      <c r="BB10" s="395">
        <f>IFERROR($BI$35/$BB$35,0)</f>
        <v>0</v>
      </c>
      <c r="BW10" s="1185"/>
      <c r="BX10" s="1151" t="s">
        <v>1481</v>
      </c>
      <c r="BY10" s="395">
        <f>IFERROR($CF$35/$BY$35,0)</f>
        <v>0</v>
      </c>
      <c r="CT10" s="1185"/>
      <c r="CU10" s="1151" t="s">
        <v>1481</v>
      </c>
      <c r="CV10" s="395">
        <f>IFERROR($DC$35/$CV$35,0)</f>
        <v>0</v>
      </c>
      <c r="DQ10" s="1185"/>
      <c r="DR10" s="1151" t="s">
        <v>1481</v>
      </c>
      <c r="DS10" s="395">
        <f>IFERROR($DZ$35/$DS$35,0)</f>
        <v>0</v>
      </c>
      <c r="EN10" s="1185"/>
      <c r="EO10" s="1151" t="s">
        <v>1481</v>
      </c>
      <c r="EP10" s="395">
        <f>IFERROR($EW$35/$EP$35,0)</f>
        <v>0</v>
      </c>
      <c r="FK10" s="1185"/>
      <c r="FL10" s="1151" t="s">
        <v>1481</v>
      </c>
      <c r="FM10" s="395">
        <f>IFERROR($FT$35/$FM$35,0)</f>
        <v>0</v>
      </c>
      <c r="GH10" s="1185"/>
      <c r="GI10" s="1151" t="s">
        <v>1481</v>
      </c>
      <c r="GJ10" s="395">
        <f>IFERROR($GQ$35/$GJ$35,0)</f>
        <v>0</v>
      </c>
      <c r="HE10" s="1185"/>
      <c r="HF10" s="1151" t="s">
        <v>1481</v>
      </c>
      <c r="HG10" s="395">
        <f>IFERROR($HN$35/$HG$35,0)</f>
        <v>0</v>
      </c>
      <c r="IB10" s="1185"/>
      <c r="IC10" s="1151" t="s">
        <v>1481</v>
      </c>
      <c r="ID10" s="395">
        <f>IFERROR($IK$35/$ID$35,0)</f>
        <v>0</v>
      </c>
      <c r="IY10" s="1185"/>
      <c r="IZ10" s="1151" t="s">
        <v>1481</v>
      </c>
      <c r="JA10" s="395">
        <f>IFERROR($JH$35/$JA$35,0)</f>
        <v>0</v>
      </c>
    </row>
    <row r="11" spans="2:296" ht="15.75" thickBot="1" x14ac:dyDescent="0.3">
      <c r="S11" s="85" t="s">
        <v>842</v>
      </c>
      <c r="U11" t="s">
        <v>972</v>
      </c>
      <c r="V11" s="24">
        <f>IFERROR(V35/U35,0)</f>
        <v>0</v>
      </c>
      <c r="AC11" t="s">
        <v>975</v>
      </c>
      <c r="AH11" t="s">
        <v>1029</v>
      </c>
      <c r="AU11" s="1357" t="s">
        <v>1030</v>
      </c>
      <c r="JU11" t="s">
        <v>1026</v>
      </c>
      <c r="KD11" t="s">
        <v>1027</v>
      </c>
    </row>
    <row r="12" spans="2:296" ht="13.9" customHeight="1" thickBot="1" x14ac:dyDescent="0.3">
      <c r="C12" t="s">
        <v>976</v>
      </c>
      <c r="S12" s="85"/>
      <c r="AB12" s="473" t="s">
        <v>934</v>
      </c>
      <c r="AC12" s="474" t="s">
        <v>935</v>
      </c>
      <c r="AD12" s="475" t="s">
        <v>936</v>
      </c>
      <c r="AE12" s="476"/>
      <c r="AF12" s="476"/>
      <c r="AI12" s="473" t="s">
        <v>1028</v>
      </c>
      <c r="AJ12" s="476"/>
      <c r="AK12" s="476"/>
      <c r="AU12" s="1357"/>
      <c r="BA12" s="85"/>
      <c r="BB12" s="1166" t="str">
        <f>IF(AND($BB$2="Enter Spend&gt;&gt;&gt;",BC2="PROSPECT"),"Spec"&amp;"Sales","Exist"&amp;"Sales")</f>
        <v>ExistSales</v>
      </c>
      <c r="BC12" s="410" t="str">
        <f>IF(AND($BB$2="Enter Spend&gt;&gt;&gt;",BC2="PROSPECT"),"Spec"&amp;"Cases","Exist"&amp;"Cases")</f>
        <v>ExistCases</v>
      </c>
      <c r="BD12" s="410" t="str">
        <f>IF(AND($BB$2="Enter Spend&gt;&gt;&gt;",BC2="PROSPECT"),"Spec"&amp;"Ebcases","Exist"&amp;"Ebcases")</f>
        <v>ExistEbcases</v>
      </c>
      <c r="BE12" s="410" t="str">
        <f>IF(AND($BB$2="Enter Spend&gt;&gt;&gt;",BC2="PROSPECT"),"Spec"&amp;"Weight","Exist"&amp;"Weight")</f>
        <v>ExistWeight</v>
      </c>
      <c r="BF12" s="410" t="str">
        <f>IF(AND($BB$2="Enter Spend&gt;&gt;&gt;",BC2="PROSPECT"),"Spec"&amp;"TAGP","Exist"&amp;"TAGP")</f>
        <v>ExistTAGP</v>
      </c>
      <c r="BG12" s="411" t="str">
        <f>IF(AND($BB$2="Enter Spend&gt;&gt;&gt;",BC2="PROSPECT"),"Spec"&amp;"TGP","Exist"&amp;"TGP")</f>
        <v>ExistTGP</v>
      </c>
      <c r="BH12" s="411" t="str">
        <f>IF(AND($BB$2="Enter Spend&gt;&gt;&gt;",BC2="PROSPECT"),"Spec"&amp;"PA $","Exist"&amp;"PA $")</f>
        <v>ExistPA $</v>
      </c>
      <c r="BI12" s="411" t="str">
        <f>IF(AND($BB$2="Enter Spend&gt;&gt;&gt;",BC2="PROSPECT"),"Spec"&amp;"SFD $","Exist"&amp;"SFD $")</f>
        <v>ExistSFD $</v>
      </c>
      <c r="BJ12" s="404"/>
      <c r="BK12" s="404"/>
      <c r="BL12" s="404"/>
      <c r="BM12" s="404"/>
      <c r="BN12" s="404"/>
      <c r="BO12" s="404"/>
      <c r="BP12" s="404"/>
      <c r="BQ12" s="404"/>
      <c r="BR12" s="404"/>
      <c r="BS12" s="404"/>
      <c r="BT12" s="404"/>
      <c r="BU12" s="404"/>
      <c r="BV12" s="404"/>
      <c r="BW12" s="404"/>
      <c r="BX12" s="404"/>
      <c r="BY12" s="410" t="str">
        <f>IF(AND($BY$2="Enter Spend&gt;&gt;&gt;",BZ2="PROSPECT"),"Spec"&amp;"Sales","Exist"&amp;"Sales")</f>
        <v>ExistSales</v>
      </c>
      <c r="BZ12" s="410" t="str">
        <f>IF(AND($BY$2="Enter Spend&gt;&gt;&gt;",BZ2="PROSPECT"),"Spec"&amp;"Cases","Exist"&amp;"Cases")</f>
        <v>ExistCases</v>
      </c>
      <c r="CA12" s="410" t="str">
        <f>IF(AND($BY$2="Enter Spend&gt;&gt;&gt;",BZ2="PROSPECT"),"Spec"&amp;"Ebcases","Exist"&amp;"Ebcases")</f>
        <v>ExistEbcases</v>
      </c>
      <c r="CB12" s="410" t="str">
        <f>IF(AND($BY$2="Enter Spend&gt;&gt;&gt;",BZ2="PROSPECT"),"Spec"&amp;"Weight","Exist"&amp;"Weight")</f>
        <v>ExistWeight</v>
      </c>
      <c r="CC12" s="410" t="str">
        <f>IF(AND($BY$2="Enter Spend&gt;&gt;&gt;",BZ2="PROSPECT"),"Spec"&amp;"TAGP","Exist"&amp;"TAGP")</f>
        <v>ExistTAGP</v>
      </c>
      <c r="CD12" s="410" t="str">
        <f>IF(AND($BY$2="Enter Spend&gt;&gt;&gt;",BZ2="PROSPECT"),"Spec"&amp;"TGP","Exist"&amp;"TGP")</f>
        <v>ExistTGP</v>
      </c>
      <c r="CE12" s="410" t="str">
        <f>IF(AND($BY$2="Enter Spend&gt;&gt;&gt;",BZ2="PROSPECT"),"Spec"&amp;"PA $","Exist"&amp;"PA $")</f>
        <v>ExistPA $</v>
      </c>
      <c r="CF12" s="410" t="str">
        <f>IF(AND($BY$2="Enter Spend&gt;&gt;&gt;",BZ2="PROSPECT"),"Spec"&amp;"SFD $","Exist"&amp;"SFD $")</f>
        <v>ExistSFD $</v>
      </c>
      <c r="CG12" s="404"/>
      <c r="CH12" s="404"/>
      <c r="CI12" s="404"/>
      <c r="CJ12" s="404"/>
      <c r="CK12" s="404"/>
      <c r="CL12" s="404"/>
      <c r="CM12" s="404"/>
      <c r="CN12" s="404"/>
      <c r="CO12" s="404"/>
      <c r="CP12" s="404"/>
      <c r="CQ12" s="404"/>
      <c r="CR12" s="404"/>
      <c r="CS12" s="404"/>
      <c r="CT12" s="404"/>
      <c r="CU12" s="404"/>
      <c r="CV12" s="409" t="str">
        <f>IF(AND($CV$2="Enter Spend&gt;&gt;&gt;",CW2="PROSPECT"),"Spec"&amp;"Sales","Exist"&amp;"Sales")</f>
        <v>ExistSales</v>
      </c>
      <c r="CW12" s="410" t="str">
        <f>IF(AND($CV$2="Enter Spend&gt;&gt;&gt;",CW2="PROSPECT"),"Spec"&amp;"Cases","Exist"&amp;"Cases")</f>
        <v>ExistCases</v>
      </c>
      <c r="CX12" s="410" t="str">
        <f>IF(AND($CV$2="Enter Spend&gt;&gt;&gt;",CW2="PROSPECT"),"Spec"&amp;"Ebcases","Exist"&amp;"Ebcases")</f>
        <v>ExistEbcases</v>
      </c>
      <c r="CY12" s="410" t="str">
        <f>IF(AND($CV$2="Enter Spend&gt;&gt;&gt;",CW2="PROSPECT"),"Spec"&amp;"Weight","Exist"&amp;"Weight")</f>
        <v>ExistWeight</v>
      </c>
      <c r="CZ12" s="410" t="str">
        <f>IF(AND($CV$2="Enter Spend&gt;&gt;&gt;",CW2="PROSPECT"),"Spec"&amp;"TAGP","Exist"&amp;"TAGP")</f>
        <v>ExistTAGP</v>
      </c>
      <c r="DA12" s="411" t="str">
        <f>IF(AND($CV$2="Enter Spend&gt;&gt;&gt;",CW2="PROSPECT"),"Spec"&amp;"TGP","Exist"&amp;"TGP")</f>
        <v>ExistTGP</v>
      </c>
      <c r="DB12" s="411" t="str">
        <f>IF(AND($CV$2="Enter Spend&gt;&gt;&gt;",CW2="PROSPECT"),"Spec"&amp;"PA $","Exist"&amp;"PA $")</f>
        <v>ExistPA $</v>
      </c>
      <c r="DC12" s="411" t="str">
        <f>IF(AND($CV$2="Enter Spend&gt;&gt;&gt;",CW2="PROSPECT"),"Spec"&amp;"SFD $","Exist"&amp;"SFD $")</f>
        <v>ExistSFD $</v>
      </c>
      <c r="DD12" s="404"/>
      <c r="DE12" s="404"/>
      <c r="DF12" s="404"/>
      <c r="DG12" s="404"/>
      <c r="DH12" s="404"/>
      <c r="DI12" s="404"/>
      <c r="DJ12" s="404"/>
      <c r="DK12" s="404"/>
      <c r="DL12" s="404"/>
      <c r="DM12" s="404"/>
      <c r="DN12" s="404"/>
      <c r="DO12" s="404"/>
      <c r="DP12" s="404"/>
      <c r="DQ12" s="404"/>
      <c r="DR12" s="404"/>
      <c r="DS12" s="409" t="str">
        <f>IF(AND($DS$2="Enter Spend&gt;&gt;&gt;",DT2="PROSPECT"),"Spec"&amp;"Sales","Exist"&amp;"Sales")</f>
        <v>ExistSales</v>
      </c>
      <c r="DT12" s="410" t="str">
        <f>IF(AND($DS$2="Enter Spend&gt;&gt;&gt;",DT2="PROSPECT"),"Spec"&amp;"Cases","Exist"&amp;"Cases")</f>
        <v>ExistCases</v>
      </c>
      <c r="DU12" s="410" t="str">
        <f>IF(AND($DS$2="Enter Spend&gt;&gt;&gt;",DT2="PROSPECT"),"Spec"&amp;"Ebcases","Exist"&amp;"Ebcases")</f>
        <v>ExistEbcases</v>
      </c>
      <c r="DV12" s="410" t="str">
        <f>IF(AND($DS$2="Enter Spend&gt;&gt;&gt;",DT2="PROSPECT"),"Spec"&amp;"Weight","Exist"&amp;"Weight")</f>
        <v>ExistWeight</v>
      </c>
      <c r="DW12" s="410" t="str">
        <f>IF(AND($DS$2="Enter Spend&gt;&gt;&gt;",DT2="PROSPECT"),"Spec"&amp;"TAGP","Exist"&amp;"TAGP")</f>
        <v>ExistTAGP</v>
      </c>
      <c r="DX12" s="411" t="str">
        <f>IF(AND($DS$2="Enter Spend&gt;&gt;&gt;",DT2="PROSPECT"),"Spec"&amp;"TGP","Exist"&amp;"TGP")</f>
        <v>ExistTGP</v>
      </c>
      <c r="DY12" s="411" t="str">
        <f>IF(AND($DS$2="Enter Spend&gt;&gt;&gt;",DT2="PROSPECT"),"Spec"&amp;"PA $","Exist"&amp;"PA $")</f>
        <v>ExistPA $</v>
      </c>
      <c r="DZ12" s="411" t="str">
        <f>IF(AND($DS$2="Enter Spend&gt;&gt;&gt;",DT2="PROSPECT"),"Spec"&amp;"SFD $","Exist"&amp;"SFD $")</f>
        <v>ExistSFD $</v>
      </c>
      <c r="EA12" s="404"/>
      <c r="EB12" s="404"/>
      <c r="EC12" s="404"/>
      <c r="ED12" s="404"/>
      <c r="EE12" s="404"/>
      <c r="EF12" s="404"/>
      <c r="EG12" s="404"/>
      <c r="EH12" s="404"/>
      <c r="EI12" s="404"/>
      <c r="EJ12" s="404"/>
      <c r="EK12" s="404"/>
      <c r="EL12" s="404"/>
      <c r="EM12" s="404"/>
      <c r="EN12" s="404"/>
      <c r="EO12" s="404"/>
      <c r="EP12" s="409" t="str">
        <f>IF(AND($EP$2="Enter Spend&gt;&gt;&gt;",EQ2="PROSPECT"),"Spec"&amp;"Sales","Exist"&amp;"Sales")</f>
        <v>ExistSales</v>
      </c>
      <c r="EQ12" s="410" t="str">
        <f>IF(AND($EP$2="Enter Spend&gt;&gt;&gt;",EQ2="PROSPECT"),"Spec"&amp;"Cases","Exist"&amp;"Cases")</f>
        <v>ExistCases</v>
      </c>
      <c r="ER12" s="410" t="str">
        <f>IF(AND($EP$2="Enter Spend&gt;&gt;&gt;",EQ2="PROSPECT"),"Spec"&amp;"Ebcases","Exist"&amp;"Ebcases")</f>
        <v>ExistEbcases</v>
      </c>
      <c r="ES12" s="410" t="str">
        <f>IF(AND($EP$2="Enter Spend&gt;&gt;&gt;",EQ2="PROSPECT"),"Spec"&amp;"Weight","Exist"&amp;"Weight")</f>
        <v>ExistWeight</v>
      </c>
      <c r="ET12" s="410" t="str">
        <f>IF(AND($EP$2="Enter Spend&gt;&gt;&gt;",EQ2="PROSPECT"),"Spec"&amp;"TAGP","Exist"&amp;"TAGP")</f>
        <v>ExistTAGP</v>
      </c>
      <c r="EU12" s="411" t="str">
        <f>IF(AND($EP$2="Enter Spend&gt;&gt;&gt;",EQ2="PROSPECT"),"Spec"&amp;"TGP","Exist"&amp;"TGP")</f>
        <v>ExistTGP</v>
      </c>
      <c r="EV12" s="411" t="str">
        <f>IF(AND($EP$2="Enter Spend&gt;&gt;&gt;",EQ2="PROSPECT"),"Spec"&amp;"PA $","Exist"&amp;"PA $")</f>
        <v>ExistPA $</v>
      </c>
      <c r="EW12" s="411" t="str">
        <f>IF(AND($EP$2="Enter Spend&gt;&gt;&gt;",EQ2="PROSPECT"),"Spec"&amp;"SFD $","Exist"&amp;"SFD $")</f>
        <v>ExistSFD $</v>
      </c>
      <c r="EX12" s="404"/>
      <c r="EY12" s="404"/>
      <c r="EZ12" s="404"/>
      <c r="FA12" s="404"/>
      <c r="FB12" s="404"/>
      <c r="FC12" s="404"/>
      <c r="FD12" s="404"/>
      <c r="FE12" s="404"/>
      <c r="FF12" s="404"/>
      <c r="FG12" s="404"/>
      <c r="FH12" s="404"/>
      <c r="FI12" s="404"/>
      <c r="FJ12" s="404"/>
      <c r="FK12" s="404"/>
      <c r="FL12" s="404"/>
      <c r="FM12" s="409" t="str">
        <f>IF(AND($FM$2="Enter Spend&gt;&gt;&gt;",FN2="PROSPECT"),"Spec"&amp;"Sales","Exist"&amp;"Sales")</f>
        <v>ExistSales</v>
      </c>
      <c r="FN12" s="410" t="str">
        <f>IF(AND($FM$2="Enter Spend&gt;&gt;&gt;",FN2="PROSPECT"),"Spec"&amp;"Cases","Exist"&amp;"Cases")</f>
        <v>ExistCases</v>
      </c>
      <c r="FO12" s="410" t="str">
        <f>IF(AND($FM$2="Enter Spend&gt;&gt;&gt;",FN2="PROSPECT"),"Spec"&amp;"Ebcases","Exist"&amp;"Ebcases")</f>
        <v>ExistEbcases</v>
      </c>
      <c r="FP12" s="410" t="str">
        <f>IF(AND($FM$2="Enter Spend&gt;&gt;&gt;",FN2="PROSPECT"),"Spec"&amp;"Weight","Exist"&amp;"Weight")</f>
        <v>ExistWeight</v>
      </c>
      <c r="FQ12" s="410" t="str">
        <f>IF(AND($FM$2="Enter Spend&gt;&gt;&gt;",FN2="PROSPECT"),"Spec"&amp;"TAGP","Exist"&amp;"TAGP")</f>
        <v>ExistTAGP</v>
      </c>
      <c r="FR12" s="411" t="str">
        <f>IF(AND($FM$2="Enter Spend&gt;&gt;&gt;",FN2="PROSPECT"),"Spec"&amp;"TGP","Exist"&amp;"TGP")</f>
        <v>ExistTGP</v>
      </c>
      <c r="FS12" s="411" t="str">
        <f>IF(AND($FM$2="Enter Spend&gt;&gt;&gt;",FN2="PROSPECT"),"Spec"&amp;"PA $","Exist"&amp;"PA $")</f>
        <v>ExistPA $</v>
      </c>
      <c r="FT12" s="411" t="str">
        <f>IF(AND($FM$2="Enter Spend&gt;&gt;&gt;",FN2="PROSPECT"),"Spec"&amp;"SFD $","Exist"&amp;"SFD $")</f>
        <v>ExistSFD $</v>
      </c>
      <c r="FU12" s="404"/>
      <c r="FV12" s="404"/>
      <c r="FW12" s="404"/>
      <c r="FX12" s="404"/>
      <c r="FY12" s="404"/>
      <c r="FZ12" s="404"/>
      <c r="GA12" s="404"/>
      <c r="GB12" s="404"/>
      <c r="GC12" s="404"/>
      <c r="GD12" s="404"/>
      <c r="GE12" s="404"/>
      <c r="GF12" s="404"/>
      <c r="GG12" s="404"/>
      <c r="GH12" s="404"/>
      <c r="GI12" s="404"/>
      <c r="GJ12" s="409" t="str">
        <f>IF(AND($GJ$2="Enter Spend&gt;&gt;&gt;",GK2="PROSPECT"),"Spec"&amp;"Sales","Exist"&amp;"Sales")</f>
        <v>ExistSales</v>
      </c>
      <c r="GK12" s="410" t="str">
        <f>IF(AND($GJ$2="Enter Spend&gt;&gt;&gt;",GK2="PROSPECT"),"Spec"&amp;"Cases","Exist"&amp;"Cases")</f>
        <v>ExistCases</v>
      </c>
      <c r="GL12" s="410" t="str">
        <f>IF(AND($GJ$2="Enter Spend&gt;&gt;&gt;",GK2="PROSPECT"),"Spec"&amp;"Ebcases","Exist"&amp;"Ebcases")</f>
        <v>ExistEbcases</v>
      </c>
      <c r="GM12" s="410" t="str">
        <f>IF(AND($GJ$2="Enter Spend&gt;&gt;&gt;",GK2="PROSPECT"),"Spec"&amp;"Weight","Exist"&amp;"Weight")</f>
        <v>ExistWeight</v>
      </c>
      <c r="GN12" s="410" t="str">
        <f>IF(AND($GJ$2="Enter Spend&gt;&gt;&gt;",GK2="PROSPECT"),"Spec"&amp;"TAGP","Exist"&amp;"TAGP")</f>
        <v>ExistTAGP</v>
      </c>
      <c r="GO12" s="411" t="str">
        <f>IF(AND($GJ$2="Enter Spend&gt;&gt;&gt;",GK2="PROSPECT"),"Spec"&amp;"TGP","Exist"&amp;"TGP")</f>
        <v>ExistTGP</v>
      </c>
      <c r="GP12" s="411" t="str">
        <f>IF(AND($GJ$2="Enter Spend&gt;&gt;&gt;",GK2="PROSPECT"),"Spec"&amp;"PA $","Exist"&amp;"PA $")</f>
        <v>ExistPA $</v>
      </c>
      <c r="GQ12" s="411" t="str">
        <f>IF(AND($GJ$2="Enter Spend&gt;&gt;&gt;",GK2="PROSPECT"),"Spec"&amp;"SFD $","Exist"&amp;"SFD $")</f>
        <v>ExistSFD $</v>
      </c>
      <c r="GR12" s="404"/>
      <c r="GS12" s="404"/>
      <c r="GT12" s="404"/>
      <c r="GU12" s="404"/>
      <c r="GV12" s="404"/>
      <c r="GW12" s="404"/>
      <c r="GX12" s="404"/>
      <c r="GY12" s="404"/>
      <c r="GZ12" s="404"/>
      <c r="HA12" s="404"/>
      <c r="HB12" s="404"/>
      <c r="HC12" s="404"/>
      <c r="HD12" s="404"/>
      <c r="HE12" s="404"/>
      <c r="HF12" s="404"/>
      <c r="HG12" s="409" t="str">
        <f>IF(AND($HG$2="Enter Spend&gt;&gt;&gt;",HH2="PROSPECT"),"Spec"&amp;"Sales","Exist"&amp;"Sales")</f>
        <v>ExistSales</v>
      </c>
      <c r="HH12" s="410" t="str">
        <f>IF(AND($HG$2="Enter Spend&gt;&gt;&gt;",HH2="PROSPECT"),"Spec"&amp;"Cases","Exist"&amp;"Cases")</f>
        <v>ExistCases</v>
      </c>
      <c r="HI12" s="410" t="str">
        <f>IF(AND($HG$2="Enter Spend&gt;&gt;&gt;",HH2="PROSPECT"),"Spec"&amp;"Ebcases","Exist"&amp;"Ebcases")</f>
        <v>ExistEbcases</v>
      </c>
      <c r="HJ12" s="410" t="str">
        <f>IF(AND($HG$2="Enter Spend&gt;&gt;&gt;",HH2="PROSPECT"),"Spec"&amp;"Weight","Exist"&amp;"Weight")</f>
        <v>ExistWeight</v>
      </c>
      <c r="HK12" s="410" t="str">
        <f>IF(AND($HG$2="Enter Spend&gt;&gt;&gt;",HH2="PROSPECT"),"Spec"&amp;"TAGP","Exist"&amp;"TAGP")</f>
        <v>ExistTAGP</v>
      </c>
      <c r="HL12" s="411" t="str">
        <f>IF(AND($HG$2="Enter Spend&gt;&gt;&gt;",HH2="PROSPECT"),"Spec"&amp;"TGP","Exist"&amp;"TGP")</f>
        <v>ExistTGP</v>
      </c>
      <c r="HM12" s="411" t="str">
        <f>IF(AND($HG$2="Enter Spend&gt;&gt;&gt;",HH2="PROSPECT"),"Spec"&amp;"PA $","Exist"&amp;"PA $")</f>
        <v>ExistPA $</v>
      </c>
      <c r="HN12" s="411" t="str">
        <f>IF(AND($HG$2="Enter Spend&gt;&gt;&gt;",HH2="PROSPECT"),"Spec"&amp;"SFD $","Exist"&amp;"SFD $")</f>
        <v>ExistSFD $</v>
      </c>
      <c r="HO12" s="404"/>
      <c r="HP12" s="404"/>
      <c r="HQ12" s="404"/>
      <c r="HR12" s="404"/>
      <c r="HS12" s="404"/>
      <c r="HT12" s="404"/>
      <c r="HU12" s="404"/>
      <c r="HV12" s="404"/>
      <c r="HW12" s="404"/>
      <c r="HX12" s="404"/>
      <c r="HY12" s="404"/>
      <c r="HZ12" s="404"/>
      <c r="IA12" s="404"/>
      <c r="IB12" s="404"/>
      <c r="IC12" s="404"/>
      <c r="ID12" s="409" t="str">
        <f>IF(AND($ID$2="Enter Spend&gt;&gt;&gt;",IE2="PROSPECT"),"Spec"&amp;"Sales","Exist"&amp;"Sales")</f>
        <v>ExistSales</v>
      </c>
      <c r="IE12" s="410" t="str">
        <f>IF(AND($ID$2="Enter Spend&gt;&gt;&gt;",IE2="PROSPECT"),"Spec"&amp;"Cases","Exist"&amp;"Cases")</f>
        <v>ExistCases</v>
      </c>
      <c r="IF12" s="410" t="str">
        <f>IF(AND($ID$2="Enter Spend&gt;&gt;&gt;",IE2="PROSPECT"),"Spec"&amp;"Ebcases","Exist"&amp;"Ebcases")</f>
        <v>ExistEbcases</v>
      </c>
      <c r="IG12" s="410" t="str">
        <f>IF(AND($ID$2="Enter Spend&gt;&gt;&gt;",IE2="PROSPECT"),"Spec"&amp;"Weight","Exist"&amp;"Weight")</f>
        <v>ExistWeight</v>
      </c>
      <c r="IH12" s="410" t="str">
        <f>IF(AND($ID$2="Enter Spend&gt;&gt;&gt;",IE2="PROSPECT"),"Spec"&amp;"TAGP","Exist"&amp;"TAGP")</f>
        <v>ExistTAGP</v>
      </c>
      <c r="II12" s="411" t="str">
        <f>IF(AND($ID$2="Enter Spend&gt;&gt;&gt;",IE2="PROSPECT"),"Spec"&amp;"TGP","Exist"&amp;"TGP")</f>
        <v>ExistTGP</v>
      </c>
      <c r="IJ12" s="411" t="str">
        <f>IF(AND($ID$2="Enter Spend&gt;&gt;&gt;",IE2="PROSPECT"),"Spec"&amp;"PA $","Exist"&amp;"PA $")</f>
        <v>ExistPA $</v>
      </c>
      <c r="IK12" s="411" t="str">
        <f>IF(AND($ID$2="Enter Spend&gt;&gt;&gt;",IE2="PROSPECT"),"Spec"&amp;"SFD $","Exist"&amp;"SFD $")</f>
        <v>ExistSFD $</v>
      </c>
      <c r="IL12" s="404"/>
      <c r="IM12" s="404"/>
      <c r="IN12" s="404"/>
      <c r="IO12" s="404"/>
      <c r="IP12" s="404"/>
      <c r="IQ12" s="404"/>
      <c r="IR12" s="404"/>
      <c r="IS12" s="404"/>
      <c r="IT12" s="404"/>
      <c r="IU12" s="404"/>
      <c r="IV12" s="404"/>
      <c r="IW12" s="404"/>
      <c r="IX12" s="404"/>
      <c r="IY12" s="404"/>
      <c r="IZ12" s="404"/>
      <c r="JA12" s="409" t="str">
        <f>IF(AND($JA$2="Enter Spend&gt;&gt;&gt;",JB2="PROSPECT"),"Spec"&amp;"Sales","Exist"&amp;"Sales")</f>
        <v>ExistSales</v>
      </c>
      <c r="JB12" s="410" t="str">
        <f>IF(AND($JA$2="Enter Spend&gt;&gt;&gt;",JB2="PROSPECT"),"Spec"&amp;"Cases","Exist"&amp;"Cases")</f>
        <v>ExistCases</v>
      </c>
      <c r="JC12" s="410" t="str">
        <f>IF(AND($JA$2="Enter Spend&gt;&gt;&gt;",JB2="PROSPECT"),"Spec"&amp;"Ebcases","Exist"&amp;"Ebcases")</f>
        <v>ExistEbcases</v>
      </c>
      <c r="JD12" s="410" t="str">
        <f>IF(AND($JA$2="Enter Spend&gt;&gt;&gt;",JB2="PROSPECT"),"Spec"&amp;"Weight","Exist"&amp;"Weight")</f>
        <v>ExistWeight</v>
      </c>
      <c r="JE12" s="410" t="str">
        <f>IF(AND($JA$2="Enter Spend&gt;&gt;&gt;",JB2="PROSPECT"),"Spec"&amp;"TAGP","Exist"&amp;"TAGP")</f>
        <v>ExistTAGP</v>
      </c>
      <c r="JF12" s="411" t="str">
        <f>IF(AND($JA$2="Enter Spend&gt;&gt;&gt;",JB2="PROSPECT"),"Spec"&amp;"TGP","Exist"&amp;"TGP")</f>
        <v>ExistTGP</v>
      </c>
      <c r="JG12" s="411" t="str">
        <f>IF(AND($JA$2="Enter Spend&gt;&gt;&gt;",JB2="PROSPECT"),"Spec"&amp;"PA $","Exist"&amp;"PA $")</f>
        <v>ExistPA $</v>
      </c>
      <c r="JH12" s="411" t="str">
        <f>IF(AND($JA$2="Enter Spend&gt;&gt;&gt;",JB2="PROSPECT"),"Spec"&amp;"SFD $","Exist"&amp;"SFD $")</f>
        <v>ExistSFD $</v>
      </c>
      <c r="JI12" s="404"/>
      <c r="JJ12" s="404"/>
      <c r="JK12" s="404"/>
      <c r="JL12" s="404"/>
      <c r="JM12" s="404"/>
      <c r="JN12" s="404"/>
      <c r="JO12" s="404"/>
      <c r="JP12" s="404"/>
      <c r="JQ12" s="404"/>
      <c r="JR12" s="404"/>
      <c r="JS12" s="404"/>
      <c r="JU12" s="404"/>
      <c r="JV12" s="409" t="str">
        <f>IF(JV2="Enter Spend&gt;&gt;&gt;","Spec"&amp;"Sales","Exist"&amp;"Sales")</f>
        <v>ExistSales</v>
      </c>
      <c r="JW12" s="410" t="str">
        <f>IF(JV2="Enter Spend&gt;&gt;&gt;","Spec"&amp;"Cases","Exist"&amp;"Cases")</f>
        <v>ExistCases</v>
      </c>
      <c r="JX12" s="410" t="str">
        <f>IF(JV2="Enter Spend&gt;&gt;&gt;","Spec"&amp;"Ebcases","Exist"&amp;"Ebcases")</f>
        <v>ExistEbcases</v>
      </c>
      <c r="JY12" s="410" t="str">
        <f>IF(JV2="Enter Spend&gt;&gt;&gt;","Spec"&amp;"Weight","Exist"&amp;"Weight")</f>
        <v>ExistWeight</v>
      </c>
      <c r="JZ12" s="410" t="str">
        <f>IF(JV2="Enter Spend&gt;&gt;&gt;","Spec"&amp;"TAGP","Exist"&amp;"TAGP")</f>
        <v>ExistTAGP</v>
      </c>
      <c r="KA12" s="411" t="str">
        <f>IF(JV2="Enter Spend&gt;&gt;&gt;","Spec"&amp;"TGP","Exist"&amp;"TGP")</f>
        <v>ExistTGP</v>
      </c>
      <c r="KB12" s="404"/>
      <c r="KC12" s="404"/>
      <c r="KD12" s="404"/>
      <c r="KE12" s="409" t="str">
        <f>IF(KE2="Enter Spend&gt;&gt;&gt;","Spec"&amp;"Sales","Exist"&amp;"Sales")</f>
        <v>ExistSales</v>
      </c>
      <c r="KF12" s="410" t="str">
        <f>IF(KE2="Enter Spend&gt;&gt;&gt;","Spec"&amp;"Cases","Exist"&amp;"Cases")</f>
        <v>ExistCases</v>
      </c>
      <c r="KG12" s="410" t="str">
        <f>IF(KE2="Enter Spend&gt;&gt;&gt;","Spec"&amp;"Ebcases","Exist"&amp;"Ebcases")</f>
        <v>ExistEbcases</v>
      </c>
      <c r="KH12" s="410" t="str">
        <f>IF(KE2="Enter Spend&gt;&gt;&gt;","Spec"&amp;"Weight","Exist"&amp;"Weight")</f>
        <v>ExistWeight</v>
      </c>
      <c r="KI12" s="410" t="str">
        <f>IF(KE2="Enter Spend&gt;&gt;&gt;","Spec"&amp;"TAGP","Exist"&amp;"TAGP")</f>
        <v>ExistTAGP</v>
      </c>
      <c r="KJ12" s="411" t="str">
        <f>IF(KE2="Enter Spend&gt;&gt;&gt;","Spec"&amp;"TGP","Exist"&amp;"TGP")</f>
        <v>ExistTGP</v>
      </c>
    </row>
    <row r="13" spans="2:296" ht="34.5" thickBot="1" x14ac:dyDescent="0.3">
      <c r="B13" s="90" t="s">
        <v>108</v>
      </c>
      <c r="C13" s="477" t="s">
        <v>82</v>
      </c>
      <c r="D13" s="478" t="s">
        <v>83</v>
      </c>
      <c r="E13" s="478" t="s">
        <v>404</v>
      </c>
      <c r="F13" s="478" t="s">
        <v>508</v>
      </c>
      <c r="G13" s="479" t="s">
        <v>405</v>
      </c>
      <c r="H13" s="479" t="s">
        <v>200</v>
      </c>
      <c r="I13" s="477" t="s">
        <v>218</v>
      </c>
      <c r="J13" s="477" t="s">
        <v>1469</v>
      </c>
      <c r="K13" s="477" t="s">
        <v>203</v>
      </c>
      <c r="L13" s="477" t="s">
        <v>1470</v>
      </c>
      <c r="M13" s="477" t="s">
        <v>1471</v>
      </c>
      <c r="N13" s="1156" t="s">
        <v>1472</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1017</v>
      </c>
      <c r="AQ13" s="511"/>
      <c r="AR13" s="511" t="s">
        <v>1068</v>
      </c>
      <c r="AS13" s="394"/>
      <c r="AT13" s="394"/>
      <c r="AU13" s="1357"/>
      <c r="AV13" s="394"/>
      <c r="AW13" s="394"/>
      <c r="AX13" s="394"/>
      <c r="AY13" s="64" t="s">
        <v>930</v>
      </c>
      <c r="AZ13" s="1186" t="s">
        <v>1600</v>
      </c>
      <c r="BA13" s="90" t="s">
        <v>108</v>
      </c>
      <c r="BB13" s="91" t="s">
        <v>82</v>
      </c>
      <c r="BC13" s="92" t="s">
        <v>83</v>
      </c>
      <c r="BD13" s="92" t="s">
        <v>404</v>
      </c>
      <c r="BE13" s="92" t="s">
        <v>508</v>
      </c>
      <c r="BF13" s="401" t="s">
        <v>405</v>
      </c>
      <c r="BG13" s="93" t="s">
        <v>200</v>
      </c>
      <c r="BH13" s="93" t="s">
        <v>960</v>
      </c>
      <c r="BI13" s="1162" t="s">
        <v>1473</v>
      </c>
      <c r="BJ13" s="93" t="s">
        <v>1474</v>
      </c>
      <c r="BK13" s="93" t="s">
        <v>1475</v>
      </c>
      <c r="BL13" s="93" t="s">
        <v>1476</v>
      </c>
      <c r="BM13" s="93" t="s">
        <v>1477</v>
      </c>
      <c r="BN13" s="1167" t="s">
        <v>1478</v>
      </c>
      <c r="BO13" s="1167" t="s">
        <v>218</v>
      </c>
      <c r="BP13" s="93" t="s">
        <v>1469</v>
      </c>
      <c r="BQ13" s="93" t="s">
        <v>203</v>
      </c>
      <c r="BR13" s="1167" t="s">
        <v>1479</v>
      </c>
      <c r="BS13" s="1167" t="s">
        <v>1480</v>
      </c>
      <c r="BT13" s="1167" t="s">
        <v>1472</v>
      </c>
      <c r="BU13" s="394"/>
      <c r="BV13" s="64" t="s">
        <v>930</v>
      </c>
      <c r="BW13" s="1186" t="s">
        <v>1600</v>
      </c>
      <c r="BX13" s="90" t="s">
        <v>108</v>
      </c>
      <c r="BY13" s="91" t="s">
        <v>82</v>
      </c>
      <c r="BZ13" s="92" t="s">
        <v>83</v>
      </c>
      <c r="CA13" s="92" t="s">
        <v>404</v>
      </c>
      <c r="CB13" s="92" t="s">
        <v>508</v>
      </c>
      <c r="CC13" s="93" t="s">
        <v>405</v>
      </c>
      <c r="CD13" s="93" t="s">
        <v>200</v>
      </c>
      <c r="CE13" s="93" t="s">
        <v>960</v>
      </c>
      <c r="CF13" s="1162" t="s">
        <v>1473</v>
      </c>
      <c r="CG13" s="93" t="s">
        <v>1474</v>
      </c>
      <c r="CH13" s="93" t="s">
        <v>1475</v>
      </c>
      <c r="CI13" s="93" t="s">
        <v>1476</v>
      </c>
      <c r="CJ13" s="1167" t="s">
        <v>1477</v>
      </c>
      <c r="CK13" s="1167" t="s">
        <v>1478</v>
      </c>
      <c r="CL13" s="93" t="s">
        <v>218</v>
      </c>
      <c r="CM13" s="93" t="s">
        <v>1469</v>
      </c>
      <c r="CN13" s="93" t="s">
        <v>203</v>
      </c>
      <c r="CO13" s="1167" t="s">
        <v>1479</v>
      </c>
      <c r="CP13" s="1167" t="s">
        <v>1480</v>
      </c>
      <c r="CQ13" s="1167" t="s">
        <v>1472</v>
      </c>
      <c r="CR13" s="394"/>
      <c r="CS13" s="64" t="s">
        <v>930</v>
      </c>
      <c r="CT13" s="1186" t="s">
        <v>1600</v>
      </c>
      <c r="CU13" s="90" t="s">
        <v>108</v>
      </c>
      <c r="CV13" s="91" t="s">
        <v>82</v>
      </c>
      <c r="CW13" s="92" t="s">
        <v>83</v>
      </c>
      <c r="CX13" s="92" t="s">
        <v>404</v>
      </c>
      <c r="CY13" s="92" t="s">
        <v>508</v>
      </c>
      <c r="CZ13" s="93" t="s">
        <v>405</v>
      </c>
      <c r="DA13" s="93" t="s">
        <v>200</v>
      </c>
      <c r="DB13" s="93" t="s">
        <v>960</v>
      </c>
      <c r="DC13" s="93" t="s">
        <v>1473</v>
      </c>
      <c r="DD13" s="93" t="s">
        <v>1474</v>
      </c>
      <c r="DE13" s="93" t="s">
        <v>1475</v>
      </c>
      <c r="DF13" s="93" t="s">
        <v>1476</v>
      </c>
      <c r="DG13" s="1167" t="s">
        <v>1477</v>
      </c>
      <c r="DH13" s="1167" t="s">
        <v>1478</v>
      </c>
      <c r="DI13" s="93" t="s">
        <v>218</v>
      </c>
      <c r="DJ13" s="93" t="s">
        <v>1469</v>
      </c>
      <c r="DK13" s="93" t="s">
        <v>203</v>
      </c>
      <c r="DL13" s="1167" t="s">
        <v>1479</v>
      </c>
      <c r="DM13" s="1167" t="s">
        <v>1480</v>
      </c>
      <c r="DN13" s="1167" t="s">
        <v>1472</v>
      </c>
      <c r="DO13" s="394"/>
      <c r="DP13" s="64" t="s">
        <v>930</v>
      </c>
      <c r="DQ13" s="1186" t="s">
        <v>1600</v>
      </c>
      <c r="DR13" s="90" t="s">
        <v>108</v>
      </c>
      <c r="DS13" s="91" t="s">
        <v>82</v>
      </c>
      <c r="DT13" s="92" t="s">
        <v>83</v>
      </c>
      <c r="DU13" s="92" t="s">
        <v>404</v>
      </c>
      <c r="DV13" s="92" t="s">
        <v>508</v>
      </c>
      <c r="DW13" s="93" t="s">
        <v>405</v>
      </c>
      <c r="DX13" s="93" t="s">
        <v>200</v>
      </c>
      <c r="DY13" s="93" t="s">
        <v>960</v>
      </c>
      <c r="DZ13" s="93" t="s">
        <v>1473</v>
      </c>
      <c r="EA13" s="93" t="s">
        <v>1474</v>
      </c>
      <c r="EB13" s="93" t="s">
        <v>1475</v>
      </c>
      <c r="EC13" s="93" t="s">
        <v>1476</v>
      </c>
      <c r="ED13" s="1167" t="s">
        <v>1477</v>
      </c>
      <c r="EE13" s="1167" t="s">
        <v>1478</v>
      </c>
      <c r="EF13" s="93" t="s">
        <v>218</v>
      </c>
      <c r="EG13" s="93" t="s">
        <v>1469</v>
      </c>
      <c r="EH13" s="93" t="s">
        <v>203</v>
      </c>
      <c r="EI13" s="1167" t="s">
        <v>1479</v>
      </c>
      <c r="EJ13" s="1167" t="s">
        <v>1480</v>
      </c>
      <c r="EK13" s="1167" t="s">
        <v>1472</v>
      </c>
      <c r="EL13" s="394"/>
      <c r="EM13" s="64" t="s">
        <v>930</v>
      </c>
      <c r="EN13" s="1186" t="s">
        <v>1600</v>
      </c>
      <c r="EO13" s="90" t="s">
        <v>108</v>
      </c>
      <c r="EP13" s="91" t="s">
        <v>82</v>
      </c>
      <c r="EQ13" s="92" t="s">
        <v>83</v>
      </c>
      <c r="ER13" s="92" t="s">
        <v>404</v>
      </c>
      <c r="ES13" s="92" t="s">
        <v>508</v>
      </c>
      <c r="ET13" s="93" t="s">
        <v>405</v>
      </c>
      <c r="EU13" s="93" t="s">
        <v>200</v>
      </c>
      <c r="EV13" s="93" t="s">
        <v>960</v>
      </c>
      <c r="EW13" s="93" t="s">
        <v>1473</v>
      </c>
      <c r="EX13" s="93" t="s">
        <v>1474</v>
      </c>
      <c r="EY13" s="93" t="s">
        <v>1475</v>
      </c>
      <c r="EZ13" s="93" t="s">
        <v>1476</v>
      </c>
      <c r="FA13" s="1167" t="s">
        <v>1477</v>
      </c>
      <c r="FB13" s="1167" t="s">
        <v>1478</v>
      </c>
      <c r="FC13" s="93" t="s">
        <v>218</v>
      </c>
      <c r="FD13" s="93" t="s">
        <v>1469</v>
      </c>
      <c r="FE13" s="93" t="s">
        <v>203</v>
      </c>
      <c r="FF13" s="1167" t="s">
        <v>1479</v>
      </c>
      <c r="FG13" s="1167" t="s">
        <v>1480</v>
      </c>
      <c r="FH13" s="1167" t="s">
        <v>1472</v>
      </c>
      <c r="FI13" s="394"/>
      <c r="FJ13" s="64" t="s">
        <v>930</v>
      </c>
      <c r="FK13" s="1186" t="s">
        <v>1600</v>
      </c>
      <c r="FL13" s="90" t="s">
        <v>108</v>
      </c>
      <c r="FM13" s="91" t="s">
        <v>82</v>
      </c>
      <c r="FN13" s="92" t="s">
        <v>83</v>
      </c>
      <c r="FO13" s="92" t="s">
        <v>404</v>
      </c>
      <c r="FP13" s="92" t="s">
        <v>508</v>
      </c>
      <c r="FQ13" s="93" t="s">
        <v>405</v>
      </c>
      <c r="FR13" s="93" t="s">
        <v>200</v>
      </c>
      <c r="FS13" s="93" t="s">
        <v>960</v>
      </c>
      <c r="FT13" s="93" t="s">
        <v>1473</v>
      </c>
      <c r="FU13" s="93" t="s">
        <v>1474</v>
      </c>
      <c r="FV13" s="93" t="s">
        <v>1475</v>
      </c>
      <c r="FW13" s="93" t="s">
        <v>1476</v>
      </c>
      <c r="FX13" s="1167" t="s">
        <v>1477</v>
      </c>
      <c r="FY13" s="1167" t="s">
        <v>1478</v>
      </c>
      <c r="FZ13" s="93" t="s">
        <v>218</v>
      </c>
      <c r="GA13" s="93" t="s">
        <v>1469</v>
      </c>
      <c r="GB13" s="93" t="s">
        <v>203</v>
      </c>
      <c r="GC13" s="1167" t="s">
        <v>1479</v>
      </c>
      <c r="GD13" s="1167" t="s">
        <v>1480</v>
      </c>
      <c r="GE13" s="1167" t="s">
        <v>1472</v>
      </c>
      <c r="GF13" s="394"/>
      <c r="GG13" s="64" t="s">
        <v>930</v>
      </c>
      <c r="GH13" s="1186" t="s">
        <v>1600</v>
      </c>
      <c r="GI13" s="90" t="s">
        <v>108</v>
      </c>
      <c r="GJ13" s="91" t="s">
        <v>82</v>
      </c>
      <c r="GK13" s="92" t="s">
        <v>83</v>
      </c>
      <c r="GL13" s="92" t="s">
        <v>404</v>
      </c>
      <c r="GM13" s="92" t="s">
        <v>508</v>
      </c>
      <c r="GN13" s="93" t="s">
        <v>405</v>
      </c>
      <c r="GO13" s="93" t="s">
        <v>200</v>
      </c>
      <c r="GP13" s="93" t="s">
        <v>960</v>
      </c>
      <c r="GQ13" s="93" t="s">
        <v>1473</v>
      </c>
      <c r="GR13" s="93" t="s">
        <v>1474</v>
      </c>
      <c r="GS13" s="93" t="s">
        <v>1475</v>
      </c>
      <c r="GT13" s="93" t="s">
        <v>1476</v>
      </c>
      <c r="GU13" s="1167" t="s">
        <v>1477</v>
      </c>
      <c r="GV13" s="1167" t="s">
        <v>1478</v>
      </c>
      <c r="GW13" s="93" t="s">
        <v>218</v>
      </c>
      <c r="GX13" s="93" t="s">
        <v>1469</v>
      </c>
      <c r="GY13" s="93" t="s">
        <v>203</v>
      </c>
      <c r="GZ13" s="1167" t="s">
        <v>1479</v>
      </c>
      <c r="HA13" s="1167" t="s">
        <v>1480</v>
      </c>
      <c r="HB13" s="1167" t="s">
        <v>1472</v>
      </c>
      <c r="HC13" s="394"/>
      <c r="HD13" s="64" t="s">
        <v>930</v>
      </c>
      <c r="HE13" s="1186" t="s">
        <v>1600</v>
      </c>
      <c r="HF13" s="90" t="s">
        <v>108</v>
      </c>
      <c r="HG13" s="91" t="s">
        <v>82</v>
      </c>
      <c r="HH13" s="92" t="s">
        <v>83</v>
      </c>
      <c r="HI13" s="92" t="s">
        <v>404</v>
      </c>
      <c r="HJ13" s="92" t="s">
        <v>508</v>
      </c>
      <c r="HK13" s="93" t="s">
        <v>405</v>
      </c>
      <c r="HL13" s="93" t="s">
        <v>200</v>
      </c>
      <c r="HM13" s="93" t="s">
        <v>960</v>
      </c>
      <c r="HN13" s="93" t="s">
        <v>1473</v>
      </c>
      <c r="HO13" s="93" t="s">
        <v>1474</v>
      </c>
      <c r="HP13" s="93" t="s">
        <v>1475</v>
      </c>
      <c r="HQ13" s="93" t="s">
        <v>1476</v>
      </c>
      <c r="HR13" s="1167" t="s">
        <v>1477</v>
      </c>
      <c r="HS13" s="1167" t="s">
        <v>1478</v>
      </c>
      <c r="HT13" s="93" t="s">
        <v>218</v>
      </c>
      <c r="HU13" s="93" t="s">
        <v>1469</v>
      </c>
      <c r="HV13" s="93" t="s">
        <v>203</v>
      </c>
      <c r="HW13" s="1167" t="s">
        <v>1479</v>
      </c>
      <c r="HX13" s="1167" t="s">
        <v>1480</v>
      </c>
      <c r="HY13" s="1167" t="s">
        <v>1472</v>
      </c>
      <c r="HZ13" s="394"/>
      <c r="IA13" s="64" t="s">
        <v>930</v>
      </c>
      <c r="IB13" s="1186" t="s">
        <v>1600</v>
      </c>
      <c r="IC13" s="90" t="s">
        <v>108</v>
      </c>
      <c r="ID13" s="91" t="s">
        <v>82</v>
      </c>
      <c r="IE13" s="92" t="s">
        <v>83</v>
      </c>
      <c r="IF13" s="92" t="s">
        <v>404</v>
      </c>
      <c r="IG13" s="92" t="s">
        <v>508</v>
      </c>
      <c r="IH13" s="401" t="s">
        <v>405</v>
      </c>
      <c r="II13" s="93" t="s">
        <v>200</v>
      </c>
      <c r="IJ13" s="93" t="s">
        <v>960</v>
      </c>
      <c r="IK13" s="93" t="s">
        <v>1473</v>
      </c>
      <c r="IL13" s="93" t="s">
        <v>1474</v>
      </c>
      <c r="IM13" s="93" t="s">
        <v>1475</v>
      </c>
      <c r="IN13" s="93" t="s">
        <v>1476</v>
      </c>
      <c r="IO13" s="1167" t="s">
        <v>1477</v>
      </c>
      <c r="IP13" s="1167" t="s">
        <v>1478</v>
      </c>
      <c r="IQ13" s="93" t="s">
        <v>218</v>
      </c>
      <c r="IR13" s="93" t="s">
        <v>1469</v>
      </c>
      <c r="IS13" s="93" t="s">
        <v>203</v>
      </c>
      <c r="IT13" s="1167" t="s">
        <v>1479</v>
      </c>
      <c r="IU13" s="1167" t="s">
        <v>1480</v>
      </c>
      <c r="IV13" s="1167" t="s">
        <v>1472</v>
      </c>
      <c r="IW13" s="394"/>
      <c r="IX13" s="64" t="s">
        <v>930</v>
      </c>
      <c r="IY13" s="1186" t="s">
        <v>1600</v>
      </c>
      <c r="IZ13" s="90" t="s">
        <v>108</v>
      </c>
      <c r="JA13" s="405" t="s">
        <v>82</v>
      </c>
      <c r="JB13" s="406" t="s">
        <v>83</v>
      </c>
      <c r="JC13" s="406" t="s">
        <v>404</v>
      </c>
      <c r="JD13" s="406" t="s">
        <v>508</v>
      </c>
      <c r="JE13" s="407" t="s">
        <v>405</v>
      </c>
      <c r="JF13" s="408" t="s">
        <v>200</v>
      </c>
      <c r="JG13" s="93" t="s">
        <v>960</v>
      </c>
      <c r="JH13" s="93" t="s">
        <v>1473</v>
      </c>
      <c r="JI13" s="93" t="s">
        <v>1474</v>
      </c>
      <c r="JJ13" s="93" t="s">
        <v>1475</v>
      </c>
      <c r="JK13" s="93" t="s">
        <v>1476</v>
      </c>
      <c r="JL13" s="1167" t="s">
        <v>1477</v>
      </c>
      <c r="JM13" s="1167" t="s">
        <v>1478</v>
      </c>
      <c r="JN13" s="93" t="s">
        <v>218</v>
      </c>
      <c r="JO13" s="93" t="s">
        <v>1469</v>
      </c>
      <c r="JP13" s="93" t="s">
        <v>203</v>
      </c>
      <c r="JQ13" s="1167" t="s">
        <v>1479</v>
      </c>
      <c r="JR13" s="1167" t="s">
        <v>1480</v>
      </c>
      <c r="JS13" s="1167" t="s">
        <v>1472</v>
      </c>
      <c r="JU13" s="90" t="s">
        <v>108</v>
      </c>
      <c r="JV13" s="91" t="s">
        <v>82</v>
      </c>
      <c r="JW13" s="92" t="s">
        <v>83</v>
      </c>
      <c r="JX13" s="92" t="s">
        <v>404</v>
      </c>
      <c r="JY13" s="92" t="s">
        <v>508</v>
      </c>
      <c r="JZ13" s="401" t="s">
        <v>405</v>
      </c>
      <c r="KA13" s="93" t="s">
        <v>200</v>
      </c>
      <c r="KB13" s="394"/>
      <c r="KC13" s="64" t="s">
        <v>930</v>
      </c>
      <c r="KD13" s="90" t="s">
        <v>108</v>
      </c>
      <c r="KE13" s="405" t="s">
        <v>82</v>
      </c>
      <c r="KF13" s="406" t="s">
        <v>83</v>
      </c>
      <c r="KG13" s="406" t="s">
        <v>404</v>
      </c>
      <c r="KH13" s="406" t="s">
        <v>508</v>
      </c>
      <c r="KI13" s="407" t="s">
        <v>405</v>
      </c>
      <c r="KJ13" s="408" t="s">
        <v>200</v>
      </c>
    </row>
    <row r="14" spans="2:296" ht="15.75" thickBot="1" x14ac:dyDescent="0.3">
      <c r="B14" s="102" t="s">
        <v>99</v>
      </c>
      <c r="C14" s="480">
        <f>(BB14+BY14+CV14+DS14+EP14+FM14+GJ14+HG14+ID14+JA14)</f>
        <v>0</v>
      </c>
      <c r="D14" s="496">
        <f>($BC14+$BZ14+$CW14+$DT14+$EQ14+$FN14+$GK14+$HH14+$IE14+$JB14)</f>
        <v>0</v>
      </c>
      <c r="E14" s="496">
        <f>($BD14+$CA14+$CX14+$DU14+$ER14+$FO14+$GL14+$HI14+$IF14+$JC14)</f>
        <v>0</v>
      </c>
      <c r="F14" s="496">
        <f>($BE14+$CB14+$CY14+$DV14+$ES14+$FP14+$GM14+$HJ14+$IG14+$JD14)</f>
        <v>0</v>
      </c>
      <c r="G14" s="497">
        <f>($BF14+$CC14+$CZ14+$DW14+$ET14+$FQ14+$GN14+$HK14+$IH14+$JE14)</f>
        <v>0</v>
      </c>
      <c r="H14" s="496">
        <f>($BG14+$CD14+$DA14+$DX14+$EU14+$FR14+$GO14+$HL14+$II14+$JF14)</f>
        <v>0</v>
      </c>
      <c r="I14" s="1157" t="e">
        <f t="shared" ref="I14:I35" si="0">ROUND(SUM($BB14*BO14+$BY14*CL14+$CV14*DI14+$DS14*EF14+$EP14*FC14+$FM14*FZ14+$GJ14*GW14+$HG14*HT14+$ID14*IQ14+$JA14*JN14)/$C14,2)</f>
        <v>#DIV/0!</v>
      </c>
      <c r="J14" s="1157" t="e">
        <f t="shared" ref="J14:J35" si="1">ROUND(SUM($BB14*BP14+$BY14*CM14+$CV14*DJ14+$DS14*EG14+$EP14*FD14+$FM14*GA14+$GJ14*GX14+$HG14*HU14+$ID14*IR14+$JA14*JO14)/$C14,2)</f>
        <v>#DIV/0!</v>
      </c>
      <c r="K14" s="1157" t="e">
        <f t="shared" ref="K14:K35" si="2">ROUND(SUM($BB14*BQ14+$BY14*CN14+$CV14*DK14+$DS14*EH14+$EP14*FE14+$FM14*GB14+$GJ14*GY14+$HG14*HV14+$ID14*IS14+$JA14*JP14)/$C14,2)</f>
        <v>#DIV/0!</v>
      </c>
      <c r="L14" s="496" t="e">
        <f t="shared" ref="L14:L34" si="3">SUM(AY14*BB14,BV14*BY14,CS14*CV14,DP14*DS14,EM14*EP14,FJ14*FM14,GG14*GJ14,HD14*HG14,IA14*ID14,IX14*JA14)/C14</f>
        <v>#DIV/0!</v>
      </c>
      <c r="M14" s="496" t="e">
        <f>L14/$L$35</f>
        <v>#DIV/0!</v>
      </c>
      <c r="N14" s="1158" t="e">
        <f t="shared" ref="N14:N35" si="4">ROUND(SUM($BB14*BT14+$BY14*CQ14+$CV14*DN14+$DS14*EK14+$EP14*FH14+$FM14*GE14+$GJ14*HB14+$HG14*HY14+$ID14*IV14+$JA14*JS14)/$C14,2)</f>
        <v>#DIV/0!</v>
      </c>
      <c r="P14" t="str">
        <f>'PIM Model'!E10</f>
        <v>INCLUDE</v>
      </c>
      <c r="Q14">
        <f>IFERROR(T14/$T$35,0)</f>
        <v>0</v>
      </c>
      <c r="R14">
        <f>IF(P14="Include",Q14,0)</f>
        <v>0</v>
      </c>
      <c r="S14" s="102" t="s">
        <v>99</v>
      </c>
      <c r="T14" s="110">
        <f>($BB14+$BY14+$CV14+$DS14+$EP14+$FM14+$GJ14+$HG14+$ID14+$JA14)*(1+($V$1/$V$5))</f>
        <v>0</v>
      </c>
      <c r="U14" s="111">
        <f t="shared" ref="U14:U34" si="5">(BC14+BZ14+CW14+DT14+EQ14+FN14+GK14+HH14+IE14+JB14)*(1+($V$1/$V$5))</f>
        <v>0</v>
      </c>
      <c r="V14" s="111">
        <f t="shared" ref="V14:V34" si="6">(BD14+CA14+CX14+DU14+ER14+FO14+GL14+HI14+IF14+JC14)*(1+($V$1/$V$5))</f>
        <v>0</v>
      </c>
      <c r="W14" s="111">
        <f t="shared" ref="W14:W34" si="7">(BE14+CB14+CY14+DV14+ES14+FP14+GM14+HJ14+IG14+JD14)*(1+($V$1/$V$5))</f>
        <v>0</v>
      </c>
      <c r="X14" s="113">
        <f t="shared" ref="X14:X34" si="8">(BF14+CC14+CZ14+DW14+ET14+FQ14+GN14+HK14+IH14+JE14)*(1+($V$1/$V$5))</f>
        <v>0</v>
      </c>
      <c r="Y14" s="116">
        <f>IFERROR(X14/T14,0)</f>
        <v>0</v>
      </c>
      <c r="Z14" s="400"/>
      <c r="AA14" s="102" t="s">
        <v>99</v>
      </c>
      <c r="AB14" s="480">
        <f t="shared" ref="AB14:AD34" si="9">SUMIFS($BB14:$JF14,$BB$12:$JF$12,AB$12)</f>
        <v>0</v>
      </c>
      <c r="AC14" s="481">
        <f t="shared" si="9"/>
        <v>0</v>
      </c>
      <c r="AD14" s="481">
        <f t="shared" si="9"/>
        <v>0</v>
      </c>
      <c r="AE14" s="482">
        <f>IFERROR(AC14/AB14,0)</f>
        <v>0</v>
      </c>
      <c r="AF14" s="483">
        <f>IFERROR(AD14/AB14,0)</f>
        <v>0</v>
      </c>
      <c r="AG14" s="400"/>
      <c r="AH14" s="102" t="s">
        <v>99</v>
      </c>
      <c r="AI14" s="480">
        <f t="shared" ref="AI14:AI34" si="10">SUMIFS($BB14:$JF14,$BB$12:$JF$12,AI$12)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400" t="e">
        <f>$N14</f>
        <v>#DIV/0!</v>
      </c>
      <c r="AR14">
        <f>'PIM Model'!C10</f>
        <v>0</v>
      </c>
      <c r="AS14" s="400"/>
      <c r="AT14" s="400"/>
      <c r="AU14" s="400" t="e">
        <f>IF($AR14="AVG",IFERROR((AC14+AJ14)/(AB14+AI14),AQ14),(AC14+AJ14)/(AB14+AI14))</f>
        <v>#DIV/0!</v>
      </c>
      <c r="AV14" s="400"/>
      <c r="AW14" s="400"/>
      <c r="AX14" s="108">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96" t="e">
        <f>AY14/$AY$35</f>
        <v>#DIV/0!</v>
      </c>
      <c r="BA14" s="102" t="s">
        <v>99</v>
      </c>
      <c r="BB14" s="94">
        <f>IFERROR(IF(AND($BB$2&lt;&gt;"Enter Spend&gt;&gt;&gt;",BC2="EXISTING"),SUMIFS('Existing Customers'!$Q:$Q,'Existing Customers'!$A:$A,$BB$1,'Existing Customers'!$H:$H,$BA14)*$BB$4,$BB$3*$AZ14),0)</f>
        <v>0</v>
      </c>
      <c r="BC14" s="95">
        <f>IFERROR(IF(AND($BB$2&lt;&gt;"Enter Spend&gt;&gt;&gt;",BC2="EXISTING"),SUMIFS('Existing Customers'!$N:$N,'Existing Customers'!$A:$A,$BB$1,'Existing Customers'!$H:$H,$BA14)*$BB$4,$BB14/$BM14),0)</f>
        <v>0</v>
      </c>
      <c r="BD14" s="95">
        <f>IFERROR(IF(AND($BB$2&lt;&gt;"Enter Spend&gt;&gt;&gt;",BC2="EXISTING"),SUMIFS('Existing Customers'!$O:$O,'Existing Customers'!$H:$H,$BA14,'Existing Customers'!$A:$A,$BB$1)*$BB$4,$BC14*$BB$8),0)</f>
        <v>0</v>
      </c>
      <c r="BE14" s="95">
        <f>IFERROR(IF(AND($BB$2&lt;&gt;"Enter Spend&gt;&gt;&gt;",BC2="EXISTING"),SUMIFS('Existing Customers'!$P:$P,'Existing Customers'!$A:$A,$BB$1,'Existing Customers'!$H:$H,$BA14)*$BB$4,$BB14/$BN14),0)</f>
        <v>0</v>
      </c>
      <c r="BF14" s="402">
        <f>IFERROR(IF(AND($BB$2&lt;&gt;"Enter Spend&gt;&gt;&gt;",BC2="EXISTING"),SUMIFS('Existing Customers'!$V:$V,'Existing Customers'!$H:$H,$BA14,'Existing Customers'!$A:$A,$BB$1)*$BB$4,0),0)</f>
        <v>0</v>
      </c>
      <c r="BG14" s="96">
        <f>IFERROR(IF(AND($BB$2&lt;&gt;"Enter Spend&gt;&gt;&gt;",BC2="EXISTING"),SUMIFS('Existing Customers'!$R:$R,'Existing Customers'!$H:$H,$BA14,'Existing Customers'!$A:$A,$BB$1)*$BB$4,0),0)</f>
        <v>0</v>
      </c>
      <c r="BH14" s="96">
        <f>IFERROR(IF(AND($BB$2&lt;&gt;"Enter Spend&gt;&gt;&gt;",BC2="EXISTING"),SUMIFS('Existing Customers'!$S:$S,'Existing Customers'!$H:$H,$BA14,'Existing Customers'!$A:$A,$BB$1),BR14*BB14),0)</f>
        <v>0</v>
      </c>
      <c r="BI14" s="96">
        <f>IFERROR(IF(AND($BB$2&lt;&gt;"Enter Spend&gt;&gt;&gt;",BC2="EXISTING"),SUMIFS('Existing Customers'!$U:$U,'Existing Customers'!$H:$H,$BA14,'Existing Customers'!$A:$A,$BB$1),BS14*BB14),0)</f>
        <v>0</v>
      </c>
      <c r="BJ14" s="1163" t="e">
        <f>_xlfn.CONCAT($BC$1,"_",BA14)</f>
        <v>#N/A</v>
      </c>
      <c r="BK14" s="1164">
        <f t="array" ref="BK14">IFERROR(INDEX('Margin Guidence Table'!$A$1:$AG$10000,MATCH(1,('Margin Guidence Table'!$A$1:$A$10000=$BJ14)*('Margin Guidence Table'!$I$1:$I$10000&lt;=ROUND($BB$3,0))*('Margin Guidence Table'!$J$1:$J$10000&gt;=ROUND($BB$3,0)),0),MATCH("DATA_POINTS",'Margin Guidence Table'!$A$1:$AG$1,0)),0)</f>
        <v>0</v>
      </c>
      <c r="BL14" s="1161" t="str">
        <f>IF(BK14&gt;15,"SEGMENT","DEFAULT")</f>
        <v>DEFAULT</v>
      </c>
      <c r="BM14" s="116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16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16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16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16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16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16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16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9"/>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96" t="e">
        <f>BV14/$BV$35</f>
        <v>#DIV/0!</v>
      </c>
      <c r="BX14" s="102" t="s">
        <v>99</v>
      </c>
      <c r="BY14" s="94">
        <f>IFERROR(IF(AND($BY$2&lt;&gt;"Enter Spend&gt;&gt;&gt;",BZ2="EXISTING"),SUMIFS('Existing Customers'!$Q:$Q,'Existing Customers'!$A:$A,$BY$1,'Existing Customers'!$H:$H,$BX14)*$BY$4,$BY$3*$BW14),0)</f>
        <v>0</v>
      </c>
      <c r="BZ14" s="89">
        <f>IFERROR(IF(AND($BY$2&lt;&gt;"Enter Spend&gt;&gt;&gt;",BZ2="EXISTING"),SUMIFS('Existing Customers'!$N:$N,'Existing Customers'!$A:$A,$BY$1,'Existing Customers'!$H:$H,$BX14)*$BY$4,$BY14/$CJ14),0)</f>
        <v>0</v>
      </c>
      <c r="CA14" s="95">
        <f>IFERROR(IF(AND($BY$2&lt;&gt;"Enter Spend&gt;&gt;&gt;",BZ2="EXISTING"),SUMIFS('Existing Customers'!$O:$O,'Existing Customers'!$H:$H,$BX14,'Existing Customers'!$A:$A,$BY$1)*$BY$4,$BZ14*$BY$8),0)</f>
        <v>0</v>
      </c>
      <c r="CB14" s="95">
        <f>IFERROR(IF(AND($BY$2&lt;&gt;"Enter Spend&gt;&gt;&gt;",BZ2="EXISTING"),SUMIFS('Existing Customers'!$P:$P,'Existing Customers'!$A:$A,$BY$1,'Existing Customers'!$H:$H,$BX14)*$BY$4,$BY14/$CK14),0)</f>
        <v>0</v>
      </c>
      <c r="CC14" s="96">
        <f>IFERROR(IF(AND($BY$2&lt;&gt;"Enter Spend&gt;&gt;&gt;",BZ2="EXISTING"),SUMIFS('Existing Customers'!$V:$V,'Existing Customers'!$H:$H,$BX14,'Existing Customers'!$A:$A,$BY$1)*$BY$4,0),0)</f>
        <v>0</v>
      </c>
      <c r="CD14" s="96">
        <f>IFERROR(IF(AND($BY$2&lt;&gt;"Enter Spend&gt;&gt;&gt;",BZ2="EXISTING"),SUMIFS('Existing Customers'!$R:$R,'Existing Customers'!$H:$H,$BX14,'Existing Customers'!$A:$A,$BY$1)*$BY$4,0),0)</f>
        <v>0</v>
      </c>
      <c r="CE14" s="1161">
        <f>IFERROR(IF(AND($BY$2&lt;&gt;"Enter Spend&gt;&gt;&gt;",BZ2="EXISTING"),SUMIFS('Existing Customers'!$S:$S,'Existing Customers'!$H:$H,$BX14,'Existing Customers'!$A:$A,$BY$1),CO14*BY14),0)</f>
        <v>0</v>
      </c>
      <c r="CF14" s="1161">
        <f>IFERROR(IF(AND($BY$2&lt;&gt;"Enter Spend&gt;&gt;&gt;",BZ2="EXISTING"),SUMIFS('Existing Customers'!$U:$U,'Existing Customers'!$H:$H,$BX14,'Existing Customers'!$A:$A,$BY$1),CP14*BY14),0)</f>
        <v>0</v>
      </c>
      <c r="CG14" s="1164" t="e">
        <f>_xlfn.CONCAT($BZ$1,"_",BX14)</f>
        <v>#N/A</v>
      </c>
      <c r="CH14" s="1164">
        <f t="array" ref="CH14">IFERROR(INDEX('Margin Guidence Table'!$A$1:$AG$10000,MATCH(1,('Margin Guidence Table'!$A$1:$A$10000=$CG14)*('Margin Guidence Table'!$I$1:$I$10000&lt;=ROUND($BY$3,0))*('Margin Guidence Table'!$J$1:$J$10000&gt;=ROUND($BY$3,0)),0),MATCH("DATA_POINTS",'Margin Guidence Table'!$A$1:$AG$1,0)),0)</f>
        <v>0</v>
      </c>
      <c r="CI14" s="1161" t="str">
        <f>IF(CH14&gt;15,"SEGMENT","DEFAULT")</f>
        <v>DEFAULT</v>
      </c>
      <c r="CJ14" s="116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16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16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16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16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16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16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16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9"/>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96" t="e">
        <f>CS14/$CS$35</f>
        <v>#DIV/0!</v>
      </c>
      <c r="CU14" s="102" t="s">
        <v>99</v>
      </c>
      <c r="CV14" s="94">
        <f>IFERROR(IF(AND($CV$2&lt;&gt;"Enter Spend&gt;&gt;&gt;",CW2="EXISTING"),SUMIFS('Existing Customers'!$Q:$Q,'Existing Customers'!$A:$A,$CV$1,'Existing Customers'!$H:$H,$CU14)*$CV$4,$CV$3*$CT14),0)</f>
        <v>0</v>
      </c>
      <c r="CW14" s="89">
        <f>IFERROR(IF(AND($CV$2&lt;&gt;"Enter Spend&gt;&gt;&gt;",CW2="EXISTING"),SUMIFS('Existing Customers'!$N:$N,'Existing Customers'!$A:$A,$CV$1,'Existing Customers'!$H:$H,$CU14)*$CV$4,$CV14/$DG14),0)</f>
        <v>0</v>
      </c>
      <c r="CX14" s="95">
        <f>IFERROR(IF(AND($CV$2&lt;&gt;"Enter Spend&gt;&gt;&gt;",BC28="EXISTING"),SUMIFS('Existing Customers'!$O:$O,'Existing Customers'!$H:$H,$CU14,'Existing Customers'!$A:$A,$CV$1)*$CV$4,$CW14*$CV$8),0)</f>
        <v>0</v>
      </c>
      <c r="CY14" s="95">
        <f>IFERROR(IF(AND($CV$2&lt;&gt;"Enter Spend&gt;&gt;&gt;",CW2="EXISTING"),SUMIFS('Existing Customers'!$P:$P,'Existing Customers'!$A:$A,$CV$1,'Existing Customers'!$H:$H,$CU14)*$CV$4,$CV14/$DH14),0)</f>
        <v>0</v>
      </c>
      <c r="CZ14" s="96">
        <f>IFERROR(IF(AND($CV$2&lt;&gt;"Enter Spend&gt;&gt;&gt;",CW2="EXISTING"),SUMIFS('Existing Customers'!$V:$V,'Existing Customers'!$H:$H,$CU14,'Existing Customers'!$A:$A,$CV$1)*$CV$4,0),0)</f>
        <v>0</v>
      </c>
      <c r="DA14" s="96">
        <f>IFERROR(IF(AND($CV$2&lt;&gt;"Enter Spend&gt;&gt;&gt;",CW2="EXISTING"),SUMIFS('Existing Customers'!$R:$R,'Existing Customers'!$H:$H,$CU14,'Existing Customers'!$A:$A,$CV$1)*$CV$4,0),0)</f>
        <v>0</v>
      </c>
      <c r="DB14" s="1161">
        <f>IFERROR(IF(AND($CV$2&lt;&gt;"Enter Spend&gt;&gt;&gt;",CW2="EXISTING"),SUMIFS('Existing Customers'!$S:$S,'Existing Customers'!$H:$H,$CU14,'Existing Customers'!$A:$A,$CV$1),DL14*CV14),0)</f>
        <v>0</v>
      </c>
      <c r="DC14" s="1161">
        <f>IFERROR(IF(AND($CV$2&lt;&gt;"Enter Spend&gt;&gt;&gt;",CW2="EXISTING"),SUMIFS('Existing Customers'!$U:$U,'Existing Customers'!$H:$H,$CU14,'Existing Customers'!$A:$A,$CV$1),DM14*CV14),0)</f>
        <v>0</v>
      </c>
      <c r="DD14" s="1164" t="e">
        <f>_xlfn.CONCAT($CW$1,"_",CU14)</f>
        <v>#N/A</v>
      </c>
      <c r="DE14" s="1164">
        <f t="array" ref="DE14">IFERROR(INDEX('Margin Guidence Table'!$A$1:$AG$10000,MATCH(1,('Margin Guidence Table'!$A$1:$A$10000=DD14)*('Margin Guidence Table'!$I$1:$I$10000&lt;=ROUND($CV$3,0))*('Margin Guidence Table'!$J$1:$J$10000&gt;=ROUND($CV$3,0)),0),MATCH("DATA_POINTS",'Margin Guidence Table'!$A$1:$AG$1,0)),0)</f>
        <v>0</v>
      </c>
      <c r="DF14" s="1161" t="str">
        <f>IF(DE14&gt;15,"SEGMENT","DEFAULT")</f>
        <v>DEFAULT</v>
      </c>
      <c r="DG14" s="116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16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16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16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16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16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16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16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9"/>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96" t="e">
        <f>DP14/$DP$35</f>
        <v>#DIV/0!</v>
      </c>
      <c r="DR14" s="102" t="s">
        <v>99</v>
      </c>
      <c r="DS14" s="94">
        <f>IFERROR(IF(AND($DS$2&lt;&gt;"Enter Spend&gt;&gt;&gt;",DT2="EXISTING"),SUMIFS('Existing Customers'!$Q:$Q,'Existing Customers'!$A:$A,$DS$1,'Existing Customers'!$H:$H,$DR14)*$DS$4,$DS$3*$DQ14),0)</f>
        <v>0</v>
      </c>
      <c r="DT14" s="89">
        <f>IFERROR(IF(AND($DS$2&lt;&gt;"Enter Spend&gt;&gt;&gt;",DT2="EXISTING"),SUMIFS('Existing Customers'!$N:$N,'Existing Customers'!$A:$A,$DS$1,'Existing Customers'!$H:$H,$DR14)*$DS$4,$DS14/$ED14),0)</f>
        <v>0</v>
      </c>
      <c r="DU14" s="95">
        <f>IFERROR(IF(AND($DS$2&lt;&gt;"Enter Spend&gt;&gt;&gt;",DT2="EXISTING"),SUMIFS('Existing Customers'!$O:$O,'Existing Customers'!$H:$H,$DR14,'Existing Customers'!$A:$A,$DS$1)*$DS$4,$DT14*$DS$8),0)</f>
        <v>0</v>
      </c>
      <c r="DV14" s="95">
        <f>IFERROR(IF(AND($DS$2&lt;&gt;"Enter Spend&gt;&gt;&gt;",DT2="EXISTING"),SUMIFS('Existing Customers'!$P:$P,'Existing Customers'!$A:$A,$DS$1,'Existing Customers'!$H:$H,$DR14)*$DS$4,$DS14/$EE14),0)</f>
        <v>0</v>
      </c>
      <c r="DW14" s="96">
        <f>IFERROR(IF(AND($DS$2&lt;&gt;"Enter Spend&gt;&gt;&gt;",EQ2="EXISTING"),SUMIFS('Existing Customers'!$V:$V,'Existing Customers'!$H:$H,$DR14,'Existing Customers'!$A:$A,$DS$1)*$DS$4,0),0)</f>
        <v>0</v>
      </c>
      <c r="DX14" s="96">
        <f>IFERROR(IF(AND($DS$2&lt;&gt;"Enter Spend&gt;&gt;&gt;",DT2="EXISTING"),SUMIFS('Existing Customers'!$R:$R,'Existing Customers'!$H:$H,$DR14,'Existing Customers'!$A:$A,$DS$1)*$DS$4,0),0)</f>
        <v>0</v>
      </c>
      <c r="DY14" s="1161">
        <f>IFERROR(IF(AND($DS$2&lt;&gt;"Enter Spend&gt;&gt;&gt;",DT2="EXISTING"),SUMIFS('Existing Customers'!$S:$S,'Existing Customers'!$H:$H,$DT14,'Existing Customers'!$A:$A,$DS$1),EI14*DS14),0)</f>
        <v>0</v>
      </c>
      <c r="DZ14" s="1161">
        <f>IFERROR(IF(AND($DS$2&lt;&gt;"Enter Spend&gt;&gt;&gt;",DT2="EXISTING"),SUMIFS('Existing Customers'!$U:$U,'Existing Customers'!$H:$H,$DR14,'Existing Customers'!$A:$A,$DS$1),EJ14*DS14),0)</f>
        <v>0</v>
      </c>
      <c r="EA14" s="1164" t="e">
        <f>_xlfn.CONCAT($DT$1,"_",DR14)</f>
        <v>#N/A</v>
      </c>
      <c r="EB14" s="1164">
        <f t="array" ref="EB14">IFERROR(INDEX('Margin Guidence Table'!$A$1:$AG$10000,MATCH(1,('Margin Guidence Table'!$A$1:$A$10000=EA14)*('Margin Guidence Table'!$I$1:$I$10000&lt;=ROUND($DS$3,0))*('Margin Guidence Table'!$J$1:$J$10000&gt;=ROUND($DS$3,0)),0),MATCH("DATA_POINTS",'Margin Guidence Table'!$A$1:$AG$1,0)),0)</f>
        <v>0</v>
      </c>
      <c r="EC14" s="1161" t="str">
        <f>IF(EB14&gt;15,"SEGMENT","DEFAULT")</f>
        <v>DEFAULT</v>
      </c>
      <c r="ED14" s="116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16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16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16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16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16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16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16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9"/>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96" t="e">
        <f>EM14/$EM$35</f>
        <v>#DIV/0!</v>
      </c>
      <c r="EO14" s="102" t="s">
        <v>99</v>
      </c>
      <c r="EP14" s="94">
        <f>IFERROR(IF(AND($EP$2&lt;&gt;"Enter Spend&gt;&gt;&gt;",EQ2="EXISTING"),SUMIFS('Existing Customers'!$Q:$Q,'Existing Customers'!$A:$A,$EP$1,'Existing Customers'!$H:$H,$EO14)*$EP$4,$EP$3*$EN14),0)</f>
        <v>0</v>
      </c>
      <c r="EQ14" s="89">
        <f>IFERROR(IF(AND($EP$2&lt;&gt;"Enter Spend&gt;&gt;&gt;",EQ2="EXISTING"),SUMIFS('Existing Customers'!$N:$N,'Existing Customers'!$A:$A,$EP$1,'Existing Customers'!$H:$H,$EO14)*$EP$4,$EP14/$FA14),0)</f>
        <v>0</v>
      </c>
      <c r="ER14" s="95">
        <f>IFERROR(IF(AND($EP$2&lt;&gt;"Enter Spend&gt;&gt;&gt;",EQ2="EXISTING"),SUMIFS('Existing Customers'!$O:$O,'Existing Customers'!$H:$H,$EO14,'Existing Customers'!$A:$A,$EP$1)*$EP$4,$EQ14*$EP$8),0)</f>
        <v>0</v>
      </c>
      <c r="ES14" s="95">
        <f>IFERROR(IF(AND($EP$2&lt;&gt;"Enter Spend&gt;&gt;&gt;",EQ2="EXISTING"),SUMIFS('Existing Customers'!$P:$P,'Existing Customers'!$A:$A,$EP$1,'Existing Customers'!$H:$H,$EO14)*$EP$4,$EP14/$FB14),0)</f>
        <v>0</v>
      </c>
      <c r="ET14" s="96">
        <f>IFERROR(IF(AND($EP$2&lt;&gt;"Enter Spend&gt;&gt;&gt;",EQ2="EXISTING"),SUMIFS('Existing Customers'!$V:$V,'Existing Customers'!$H:$H,$EO14,'Existing Customers'!$A:$A,$EP$1)*$EP$4,0),0)</f>
        <v>0</v>
      </c>
      <c r="EU14" s="96">
        <f>IFERROR(IF(AND($EP$2&lt;&gt;"Enter Spend&gt;&gt;&gt;",EQ2="EXISTING"),SUMIFS('Existing Customers'!$R:$R,'Existing Customers'!$H:$H,$EO14,'Existing Customers'!$A:$A,$EP$1)*$EP$4,0),0)</f>
        <v>0</v>
      </c>
      <c r="EV14" s="1161">
        <f>IFERROR(IF(AND($EP$2&lt;&gt;"Enter Spend&gt;&gt;&gt;",EQ2="EXISTING"),SUMIFS('Existing Customers'!$S:$S,'Existing Customers'!$H:$H,$EO14,'Existing Customers'!$A:$A,$EP$1),FF14*EP14),0)</f>
        <v>0</v>
      </c>
      <c r="EW14" s="1161">
        <f>IFERROR(IF(AND($EP$2&lt;&gt;"Enter Spend&gt;&gt;&gt;",EQ2="EXISTING"),SUMIFS('Existing Customers'!$U:$U,'Existing Customers'!$H:$H,$EO14,'Existing Customers'!$A:$A,$EP$1),FG14*EP14),0)</f>
        <v>0</v>
      </c>
      <c r="EX14" s="1164" t="e">
        <f>_xlfn.CONCAT($EQ$1,"_",EO14)</f>
        <v>#N/A</v>
      </c>
      <c r="EY14" s="1164">
        <f t="array" ref="EY14">IFERROR(INDEX('Margin Guidence Table'!$A$1:$AG$10000,MATCH(1,('Margin Guidence Table'!$A$1:$A$10000=EX14)*('Margin Guidence Table'!$I$1:$I$10000&lt;=ROUND($EP$3,0))*('Margin Guidence Table'!$J$1:$J$10000&gt;=ROUND($EP$3,0)),0),MATCH("DATA_POINTS",'Margin Guidence Table'!$A$1:$AG$1,0)),0)</f>
        <v>0</v>
      </c>
      <c r="EZ14" s="1161" t="str">
        <f>IF(EY14&gt;15,"SEGMENT","DEFAULT")</f>
        <v>DEFAULT</v>
      </c>
      <c r="FA14" s="116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16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16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16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16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16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16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16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9"/>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96" t="e">
        <f>FJ14/$FJ$35</f>
        <v>#DIV/0!</v>
      </c>
      <c r="FL14" s="102" t="s">
        <v>99</v>
      </c>
      <c r="FM14" s="94">
        <f>IFERROR(IF(AND($FM$2&lt;&gt;"Enter Spend&gt;&gt;&gt;",FN2="EXISTING"),SUMIFS('Existing Customers'!$Q:$Q,'Existing Customers'!$A:$A,$FM$1,'Existing Customers'!$H:$H,$FL14)*$FM$4,$FM$3*$FK14),0)</f>
        <v>0</v>
      </c>
      <c r="FN14" s="89">
        <f>IFERROR(IF(AND($FM$2&lt;&gt;"Enter Spend&gt;&gt;&gt;",FN2="EXISTING"),SUMIFS('Existing Customers'!$N:$N,'Existing Customers'!$A:$A,$FM$1,'Existing Customers'!$H:$H,$FL14)*$FM$4,$FM14/$FX14),0)</f>
        <v>0</v>
      </c>
      <c r="FO14" s="95">
        <f>IFERROR(IF(AND($FM$2&lt;&gt;"Enter Spend&gt;&gt;&gt;",FN2="EXISTING"),SUMIFS('Existing Customers'!$O:$O,'Existing Customers'!$H:$H,$FL14,'Existing Customers'!$A:$A,$FM$1)*$FM$4,$FN14*$FM$8),0)</f>
        <v>0</v>
      </c>
      <c r="FP14" s="95">
        <f>IFERROR(IF(AND($FM$2&lt;&gt;"Enter Spend&gt;&gt;&gt;",FN2="EXISTING"),SUMIFS('Existing Customers'!$P:$P,'Existing Customers'!$A:$A,$FM$1,'Existing Customers'!$H:$H,$FL14)*$FM$4,$FM14/$FY14),0)</f>
        <v>0</v>
      </c>
      <c r="FQ14" s="96">
        <f>IFERROR(IF(AND($FM$2&lt;&gt;"Enter Spend&gt;&gt;&gt;",FN2="EXISTING"),SUMIFS('Existing Customers'!$V:$V,'Existing Customers'!$H:$H,$FL14,'Existing Customers'!$A:$A,$FM$1)*$FM$4,0),0)</f>
        <v>0</v>
      </c>
      <c r="FR14" s="96">
        <f>IFERROR(IF(AND($FM$2&lt;&gt;"Enter Spend&gt;&gt;&gt;",FN2="EXISTING"),SUMIFS('Existing Customers'!$R:$R,'Existing Customers'!$H:$H,$FL14,'Existing Customers'!$A:$A,$FM$1)*$FM$4,0),0)</f>
        <v>0</v>
      </c>
      <c r="FS14" s="1161">
        <f>IFERROR(IF(AND($FM$2&lt;&gt;"Enter Spend&gt;&gt;&gt;",FN2="EXISTING"),SUMIFS('Existing Customers'!$S:$S,'Existing Customers'!$H:$H,$FL14,'Existing Customers'!$A:$A,$FM$1),GC14*FM14),0)</f>
        <v>0</v>
      </c>
      <c r="FT14" s="1161">
        <f>IFERROR(IF(AND($FM$2&lt;&gt;"Enter Spend&gt;&gt;&gt;",FN2="EXISTING"),SUMIFS('Existing Customers'!$U:$U,'Existing Customers'!$H:$H,$FL14,'Existing Customers'!$A:$A,$FM$1),GD14*FM14),0)</f>
        <v>0</v>
      </c>
      <c r="FU14" s="1164" t="e">
        <f>_xlfn.CONCAT($FN$1,"_",FL14)</f>
        <v>#N/A</v>
      </c>
      <c r="FV14" s="1164">
        <f t="array" ref="FV14">IFERROR(INDEX('Margin Guidence Table'!$A$1:$AG$10000,MATCH(1,('Margin Guidence Table'!$A$1:$A$10000=FU14)*('Margin Guidence Table'!$I$1:$I$10000&lt;=ROUND($FM$3,0))*('Margin Guidence Table'!$J$1:$J$10000&gt;=ROUND($FM$3,0)),0),MATCH("DATA_POINTS",'Margin Guidence Table'!$A$1:$AG$1,0)),0)</f>
        <v>0</v>
      </c>
      <c r="FW14" s="1161" t="str">
        <f>IF(FV14&gt;15,"SEGMENT","DEFAULT")</f>
        <v>DEFAULT</v>
      </c>
      <c r="FX14" s="116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16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16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16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16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16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16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16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9"/>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96" t="e">
        <f>GG14/$GG$35</f>
        <v>#DIV/0!</v>
      </c>
      <c r="GI14" s="102" t="s">
        <v>99</v>
      </c>
      <c r="GJ14" s="94">
        <f>IFERROR(IF(AND($GJ$2&lt;&gt;"Enter Spend&gt;&gt;&gt;",GK2="EXISTING"),SUMIFS('Existing Customers'!$Q:$Q,'Existing Customers'!$A:$A,$GJ$1,'Existing Customers'!$H:$H,$GI14)*$GJ$4,$GJ$3*$GH14),0)</f>
        <v>0</v>
      </c>
      <c r="GK14" s="89">
        <f>IFERROR(IF(AND($GJ$2&lt;&gt;"Enter Spend&gt;&gt;&gt;",GK2="EXISTING"),SUMIFS('Existing Customers'!$N:$N,'Existing Customers'!$A:$A,$GJ$1,'Existing Customers'!$H:$H,$GI14)*$GJ$4,$GJ14/$GU14),0)</f>
        <v>0</v>
      </c>
      <c r="GL14" s="95">
        <f>IFERROR(IF(AND($GJ$2&lt;&gt;"Enter Spend&gt;&gt;&gt;",GK2="EXISTING"),SUMIFS('Existing Customers'!$O:$O,'Existing Customers'!$H:$H,$GI14,'Existing Customers'!$A:$A,$GJ$1)*$GJ$4,$GK14*$GJ$8),0)</f>
        <v>0</v>
      </c>
      <c r="GM14" s="95">
        <f>IFERROR(IF(AND($GJ$2&lt;&gt;"Enter Spend&gt;&gt;&gt;",GK2="EXISTING"),SUMIFS('Existing Customers'!$P:$P,'Existing Customers'!$A:$A,$GJ$1,'Existing Customers'!$H:$H,$GI14)*$GJ$4,$GJ14/$GV14),0)</f>
        <v>0</v>
      </c>
      <c r="GN14" s="96">
        <f>IFERROR(IF(AND($GJ$2&lt;&gt;"Enter Spend&gt;&gt;&gt;",GK2="EXISTING"),SUMIFS('Existing Customers'!$V:$V,'Existing Customers'!$H:$H,$GI14,'Existing Customers'!$A:$A,$GJ$1)*$GJ$4,0),0)</f>
        <v>0</v>
      </c>
      <c r="GO14" s="96">
        <f>IFERROR(IF(AND($GJ$2&lt;&gt;"Enter Spend&gt;&gt;&gt;",GK2="EXISTING"),SUMIFS('Existing Customers'!$R:$R,'Existing Customers'!$H:$H,$GI14,'Existing Customers'!$A:$A,$GJ$1)*$GJ$4,0),0)</f>
        <v>0</v>
      </c>
      <c r="GP14" s="1161">
        <f>IFERROR(IF(AND($GJ$2&lt;&gt;"Enter Spend&gt;&gt;&gt;",GK2="EXISTING"),SUMIFS('Existing Customers'!$S:$S,'Existing Customers'!$H:$H,$GI14,'Existing Customers'!$A:$A,$GJ$1),GZ14*GJ14),0)</f>
        <v>0</v>
      </c>
      <c r="GQ14" s="1161">
        <f>IFERROR(IF(AND($GJ$2&lt;&gt;"Enter Spend&gt;&gt;&gt;",GK2="EXISTING"),SUMIFS('Existing Customers'!$U:$U,'Existing Customers'!$H:$H,$GI14,'Existing Customers'!$A:$A,$GJ$1),HA14*GJ14),0)</f>
        <v>0</v>
      </c>
      <c r="GR14" s="1164" t="e">
        <f>_xlfn.CONCAT($GK$1,"_",GI14)</f>
        <v>#N/A</v>
      </c>
      <c r="GS14" s="1164">
        <f t="array" ref="GS14">IFERROR(INDEX('Margin Guidence Table'!$A$1:$AG$10000,MATCH(1,('Margin Guidence Table'!$A$1:$A$10000=GR14)*('Margin Guidence Table'!$I$1:$I$10000&lt;=ROUND($GJ$3,0))*('Margin Guidence Table'!$J$1:$J$10000&gt;=ROUND($GJ$3,0)),0),MATCH("DATA_POINTS",'Margin Guidence Table'!$A$1:$AG$1,0)),0)</f>
        <v>0</v>
      </c>
      <c r="GT14" s="1161" t="str">
        <f>IF(GS14&gt;15,"SEGMENT","DEFAULT")</f>
        <v>DEFAULT</v>
      </c>
      <c r="GU14" s="116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16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16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16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16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16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16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16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9"/>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96" t="e">
        <f>HD14/$HD$35</f>
        <v>#DIV/0!</v>
      </c>
      <c r="HF14" s="102" t="s">
        <v>99</v>
      </c>
      <c r="HG14" s="94">
        <f>IFERROR(IF(AND($HG$2&lt;&gt;"Enter Spend&gt;&gt;&gt;",HH2="EXISTING"),SUMIFS('Existing Customers'!$Q:$Q,'Existing Customers'!$A:$A,$HG$1,'Existing Customers'!$H:$H,$HF14)*$HG$4,$HG$3*$HE14),0)</f>
        <v>0</v>
      </c>
      <c r="HH14" s="89">
        <f>IFERROR(IF(AND($HG$2&lt;&gt;"Enter Spend&gt;&gt;&gt;",HH2="EXISTING"),SUMIFS('Existing Customers'!$N:$N,'Existing Customers'!$A:$A,$HG$1,'Existing Customers'!$H:$H,$HF14)*$HG$4,$HG14/$HR14),0)</f>
        <v>0</v>
      </c>
      <c r="HI14" s="95">
        <f>IFERROR(IF(AND($HG$2&lt;&gt;"Enter Spend&gt;&gt;&gt;",HH2="EXISTING"),SUMIFS('Existing Customers'!$O:$O,'Existing Customers'!$H:$H,$HF14,'Existing Customers'!$A:$A,$HG$1)*$HG$4,$HH14*$HG$8),0)</f>
        <v>0</v>
      </c>
      <c r="HJ14" s="95">
        <f>IFERROR(IF(AND($HG$2&lt;&gt;"Enter Spend&gt;&gt;&gt;",HH2="EXISTING"),SUMIFS('Existing Customers'!$P:$P,'Existing Customers'!$A:$A,$HG$1,'Existing Customers'!$H:$H,$HF14)*$HG$4,$HG14/$HS14),0)</f>
        <v>0</v>
      </c>
      <c r="HK14" s="96">
        <f>IFERROR(IF(AND($HG$2&lt;&gt;"Enter Spend&gt;&gt;&gt;",HH2="EXISTING"),SUMIFS('Existing Customers'!$V:$V,'Existing Customers'!$H:$H,$HF14,'Existing Customers'!$A:$A,$HG$1)*$HG$4,0),0)</f>
        <v>0</v>
      </c>
      <c r="HL14" s="96">
        <f>IFERROR(IF(AND($HG$2&lt;&gt;"Enter Spend&gt;&gt;&gt;",HH2="EXISTING"),SUMIFS('Existing Customers'!$R:$R,'Existing Customers'!$H:$H,$HF14,'Existing Customers'!$A:$A,$HG$1)*$HG$4,0),0)</f>
        <v>0</v>
      </c>
      <c r="HM14" s="1161">
        <f>IFERROR(IF(AND($HG$2&lt;&gt;"Enter Spend&gt;&gt;&gt;",HH2="EXISTING"),SUMIFS('Existing Customers'!$S:$S,'Existing Customers'!$H:$H,$HF14,'Existing Customers'!$A:$A,$HG$1),HW14*HG14),0)</f>
        <v>0</v>
      </c>
      <c r="HN14" s="1161">
        <f>IFERROR(IF(AND($HG$2&lt;&gt;"Enter Spend&gt;&gt;&gt;",HH2="EXISTING"),SUMIFS('Existing Customers'!$U:$U,'Existing Customers'!$H:$H,$HF14,'Existing Customers'!$A:$A,$HG$1),HX14*HG14),0)</f>
        <v>0</v>
      </c>
      <c r="HO14" s="1164" t="e">
        <f>_xlfn.CONCAT($HH$1,"_",HF14)</f>
        <v>#N/A</v>
      </c>
      <c r="HP14" s="1164">
        <f t="array" ref="HP14">IFERROR(INDEX('Margin Guidence Table'!$A$1:$AG$10000,MATCH(1,('Margin Guidence Table'!$A$1:$A$10000=HO14)*('Margin Guidence Table'!$I$1:$I$10000&lt;=ROUND($HG$3,0))*('Margin Guidence Table'!$J$1:$J$10000&gt;=ROUND($HG$3,0)),0),MATCH("DATA_POINTS",'Margin Guidence Table'!$A$1:$AG$1,0)),0)</f>
        <v>0</v>
      </c>
      <c r="HQ14" s="1161" t="str">
        <f>IF(HP14&gt;15,"SEGMENT","DEFAULT")</f>
        <v>DEFAULT</v>
      </c>
      <c r="HR14" s="116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16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16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16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16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16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16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16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9"/>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96" t="e">
        <f>IA14/$IA$35</f>
        <v>#DIV/0!</v>
      </c>
      <c r="IC14" s="102" t="s">
        <v>99</v>
      </c>
      <c r="ID14" s="94">
        <f>IFERROR(IF(AND($ID$2&lt;&gt;"Enter Spend&gt;&gt;&gt;",IE2="EXISTING"),SUMIFS('Existing Customers'!$Q:$Q,'Existing Customers'!$A:$A,$ID$1,'Existing Customers'!$H:$H,$IC14)*$ID$4,$ID$3*$IB14),0)</f>
        <v>0</v>
      </c>
      <c r="IE14" s="89">
        <f>IFERROR(IF(AND($ID$2&lt;&gt;"Enter Spend&gt;&gt;&gt;",IE2="EXISTING"),SUMIFS('Existing Customers'!$N:$N,'Existing Customers'!$A:$A,$ID$1,'Existing Customers'!$H:$H,$IC14)*$ID$4,$ID14/$IO14),0)</f>
        <v>0</v>
      </c>
      <c r="IF14" s="95">
        <f>IFERROR(IF(AND($ID$2&lt;&gt;"Enter Spend&gt;&gt;&gt;",IE2="EXISTING"),SUMIFS('Existing Customers'!$O:$O,'Existing Customers'!$H:$H,$IC14,'Existing Customers'!$A:$A,$ID$1)*$ID$4,$IE14*$ID$8),0)</f>
        <v>0</v>
      </c>
      <c r="IG14" s="95">
        <f>IFERROR(IF(AND($ID$2&lt;&gt;"Enter Spend&gt;&gt;&gt;",IE2="EXISTING"),SUMIFS('Existing Customers'!$P:$P,'Existing Customers'!$A:$A,$ID$1,'Existing Customers'!$H:$H,$IC14)*$ID$4,$ID14/$IP14),0)</f>
        <v>0</v>
      </c>
      <c r="IH14" s="402">
        <f>IFERROR(IF(AND($ID$2&lt;&gt;"Enter Spend&gt;&gt;&gt;",IE2="EXISTING"),SUMIFS('Existing Customers'!$V:$V,'Existing Customers'!$H:$H,$IC14,'Existing Customers'!$A:$A,$ID$1)*$ID$4,0),0)</f>
        <v>0</v>
      </c>
      <c r="II14" s="96">
        <f>IFERROR(IF(AND($ID$2&lt;&gt;"Enter Spend&gt;&gt;&gt;",IE2="EXISTING"),SUMIFS('Existing Customers'!$R:$R,'Existing Customers'!$H:$H,$IC14,'Existing Customers'!$A:$A,$ID$1)*$ID$4,0),0)</f>
        <v>0</v>
      </c>
      <c r="IJ14" s="1161">
        <f>IFERROR(IF(AND($ID$2&lt;&gt;"Enter Spend&gt;&gt;&gt;",IE2="EXISTING"),SUMIFS('Existing Customers'!$S:$S,'Existing Customers'!$H:$H,$IC14,'Existing Customers'!$A:$A,$ID$1),IT14*ID14),0)</f>
        <v>0</v>
      </c>
      <c r="IK14" s="1161">
        <f>IFERROR(IF(AND($ID$2&lt;&gt;"Enter Spend&gt;&gt;&gt;",IE2="EXISTING"),SUMIFS('Existing Customers'!$U:$U,'Existing Customers'!$H:$H,$IC14,'Existing Customers'!$A:$A,$ID$1),IU14*ID14),0)</f>
        <v>0</v>
      </c>
      <c r="IL14" s="1164" t="e">
        <f>_xlfn.CONCAT($IE$1,"_",IC14)</f>
        <v>#N/A</v>
      </c>
      <c r="IM14" s="1164">
        <f t="array" ref="IM14">IFERROR(INDEX('Margin Guidence Table'!$A$1:$AG$10000,MATCH(1,('Margin Guidence Table'!$A$1:$A$10000=IL14)*('Margin Guidence Table'!$I$1:$I$10000&lt;=ROUND($ID$3,0))*('Margin Guidence Table'!$J$1:$J$10000&gt;=ROUND($ID$3,0)),0),MATCH("DATA_POINTS",'Margin Guidence Table'!$A$1:$AG$1,0)),0)</f>
        <v>0</v>
      </c>
      <c r="IN14" s="1161" t="str">
        <f>IF(IM14&gt;15,"SEGMENT","DEFAULT")</f>
        <v>DEFAULT</v>
      </c>
      <c r="IO14" s="116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16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16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16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16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16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16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16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9"/>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96" t="e">
        <f>IX14/$IX$35</f>
        <v>#DIV/0!</v>
      </c>
      <c r="IZ14" s="102" t="s">
        <v>99</v>
      </c>
      <c r="JA14" s="94">
        <f>IFERROR(IF(AND($JA$2&lt;&gt;"Enter Spend&gt;&gt;&gt;",JB2="EXISTING"),SUMIFS('Existing Customers'!$Q:$Q,'Existing Customers'!$A:$A,$JA$1,'Existing Customers'!$H:$H,$IZ14)*$JA$4,$JA$3*$IY14),0)</f>
        <v>0</v>
      </c>
      <c r="JB14" s="89">
        <f>IFERROR(IF(AND($JA$2&lt;&gt;"Enter Spend&gt;&gt;&gt;",JB2="EXISTING"),SUMIFS('Existing Customers'!$N:$N,'Existing Customers'!$A:$A,$JA$1,'Existing Customers'!$H:$H,$IZ14)*$JA$4,$JA14/$JL14),0)</f>
        <v>0</v>
      </c>
      <c r="JC14" s="95">
        <f>IFERROR(IF(AND($JA$2&lt;&gt;"Enter Spend&gt;&gt;&gt;",JB2="EXISTING"),SUMIFS('Existing Customers'!$O:$O,'Existing Customers'!$H:$H,$IZ14,'Existing Customers'!$A:$A,$JA$1)*$JA$4,$JB14*$JA$8),0)</f>
        <v>0</v>
      </c>
      <c r="JD14" s="95">
        <f>IFERROR(IF(AND($JA$2&lt;&gt;"Enter Spend&gt;&gt;&gt;",JB2="EXISTING"),SUMIFS('Existing Customers'!$P:$P,'Existing Customers'!$A:$A,$JA$1,'Existing Customers'!$H:$H,$IZ14)*$JA$4,$JA14/$JM14),0)</f>
        <v>0</v>
      </c>
      <c r="JE14" s="402">
        <f>IFERROR(IF(AND($JA$2&lt;&gt;"Enter Spend&gt;&gt;&gt;",JB2="EXISTING"),SUMIFS('Existing Customers'!$V:$V,'Existing Customers'!$H:$H,$IZ14,'Existing Customers'!$A:$A,$JA$1)*$JA$4,0),0)</f>
        <v>0</v>
      </c>
      <c r="JF14" s="96">
        <f>IFERROR(IF(AND($JA$2&lt;&gt;"Enter Spend&gt;&gt;&gt;",JB2="EXISTING"),SUMIFS('Existing Customers'!$R:$R,'Existing Customers'!$H:$H,$IZ14,'Existing Customers'!$A:$A,$JA$1)*$JA$4,0),0)</f>
        <v>0</v>
      </c>
      <c r="JG14" s="1161">
        <f>IFERROR(IF(AND($JA$2&lt;&gt;"Enter Spend&gt;&gt;&gt;",JB2="EXISTING"),SUMIFS('Existing Customers'!$S:$S,'Existing Customers'!$H:$H,$IZ14,'Existing Customers'!$A:$A,$JA$1),JQ14*JA14),0)</f>
        <v>0</v>
      </c>
      <c r="JH14" s="1161">
        <f>IFERROR(IF(AND($JA$2&lt;&gt;"Enter Spend&gt;&gt;&gt;",JB2="EXISTING"),SUMIFS('Existing Customers'!$U:$U,'Existing Customers'!$H:$H,$IZ14,'Existing Customers'!$A:$A,$JA$1),JR14*JA14),0)</f>
        <v>0</v>
      </c>
      <c r="JI14" s="1164" t="e">
        <f>_xlfn.CONCAT($JB$1,"_",IZ14)</f>
        <v>#N/A</v>
      </c>
      <c r="JJ14" s="1164">
        <f t="array" ref="JJ14">IFERROR(INDEX('Margin Guidence Table'!$A$1:$AG$10000,MATCH(1,('Margin Guidence Table'!$A$1:$A$10000=JI14)*('Margin Guidence Table'!$I$1:$I$10000&lt;=ROUND($JA$3,0))*('Margin Guidence Table'!$J$1:$J$10000&gt;=ROUND($JA$3,0)),0),MATCH("DATA_POINTS",'Margin Guidence Table'!$A$1:$AG$1,0)),0)</f>
        <v>0</v>
      </c>
      <c r="JK14" s="1161" t="str">
        <f>IF(JJ14&gt;15,"SEGMENT","DEFAULT")</f>
        <v>DEFAULT</v>
      </c>
      <c r="JL14" s="116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16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16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16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16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16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16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16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2" t="s">
        <v>99</v>
      </c>
      <c r="JV14" s="94"/>
      <c r="JW14" s="89"/>
      <c r="JX14" s="95"/>
      <c r="JY14" s="95"/>
      <c r="JZ14" s="402"/>
      <c r="KA14" s="96"/>
      <c r="KB14" s="129"/>
      <c r="KD14" s="102" t="s">
        <v>99</v>
      </c>
      <c r="KE14" s="94"/>
      <c r="KF14" s="89"/>
      <c r="KG14" s="95"/>
      <c r="KH14" s="95"/>
      <c r="KI14" s="402"/>
      <c r="KJ14" s="96"/>
    </row>
    <row r="15" spans="2:296" ht="15.75" thickBot="1" x14ac:dyDescent="0.3">
      <c r="B15" s="102" t="s">
        <v>103</v>
      </c>
      <c r="C15" s="480">
        <f t="shared" ref="C15:C34" si="11">($BB15+$BY15+$CV15+$DS15+$EP15+$FM15+$GJ15+$HG15+$ID15+$JA15)</f>
        <v>0</v>
      </c>
      <c r="D15" s="496">
        <f t="shared" ref="D15:D34" si="12">($BC15+$BZ15+$CW15+$DT15+$EQ15+$FN15+$GK15+$HH15+$IE15+$JB15)</f>
        <v>0</v>
      </c>
      <c r="E15" s="496">
        <f t="shared" ref="E15:E34" si="13">($BD15+$CA15+$CX15+$DU15+$ER15+$FO15+$GL15+$HI15+$IF15+$JC15)</f>
        <v>0</v>
      </c>
      <c r="F15" s="496">
        <f t="shared" ref="F15:F34" si="14">($BE15+$CB15+$CY15+$DV15+$ES15+$FP15+$GM15+$HJ15+$IG15+$JD15)</f>
        <v>0</v>
      </c>
      <c r="G15" s="497">
        <f t="shared" ref="G15:G34" si="15">($BF15+$CC15+$CZ15+$DW15+$ET15+$FQ15+$GN15+$HK15+$IH15+$JE15)</f>
        <v>0</v>
      </c>
      <c r="H15" s="496">
        <f t="shared" ref="H15:H34" si="16">($BG15+$CD15+$DA15+$DX15+$EU15+$FR15+$GO15+$HL15+$II15+$JF15)</f>
        <v>0</v>
      </c>
      <c r="I15" s="1157" t="e">
        <f t="shared" si="0"/>
        <v>#DIV/0!</v>
      </c>
      <c r="J15" s="1157" t="e">
        <f t="shared" si="1"/>
        <v>#DIV/0!</v>
      </c>
      <c r="K15" s="1157" t="e">
        <f t="shared" si="2"/>
        <v>#DIV/0!</v>
      </c>
      <c r="L15" s="496" t="e">
        <f t="shared" si="3"/>
        <v>#DIV/0!</v>
      </c>
      <c r="M15" s="496" t="e">
        <f t="shared" ref="M15:M35" si="17">L15/$L$35</f>
        <v>#DIV/0!</v>
      </c>
      <c r="N15" s="1158" t="e">
        <f t="shared" si="4"/>
        <v>#DIV/0!</v>
      </c>
      <c r="P15" t="str">
        <f>'PIM Model'!E11</f>
        <v>INCLUDE</v>
      </c>
      <c r="Q15">
        <f t="shared" ref="Q15:Q34" si="18">IFERROR(T15/$T$35,0)</f>
        <v>0</v>
      </c>
      <c r="R15">
        <f t="shared" ref="R15:R34" si="19">IF(P15="Include",Q15,0)</f>
        <v>0</v>
      </c>
      <c r="S15" s="102" t="s">
        <v>103</v>
      </c>
      <c r="T15" s="97">
        <f t="shared" ref="T15:T34" si="20">(BB15+BY15+CV15+DS15+EP15+FM15+GJ15+HG15+ID15+JA15)*(1+($V$1/$V$5))</f>
        <v>0</v>
      </c>
      <c r="U15" s="89">
        <f t="shared" si="5"/>
        <v>0</v>
      </c>
      <c r="V15" s="89">
        <f t="shared" si="6"/>
        <v>0</v>
      </c>
      <c r="W15" s="89">
        <f t="shared" si="7"/>
        <v>0</v>
      </c>
      <c r="X15" s="114">
        <f t="shared" si="8"/>
        <v>0</v>
      </c>
      <c r="Y15" s="117">
        <f t="shared" ref="Y15:Y34" si="21">IFERROR(X15/T15,0)</f>
        <v>0</v>
      </c>
      <c r="Z15" s="400"/>
      <c r="AA15" s="102" t="s">
        <v>103</v>
      </c>
      <c r="AB15" s="484">
        <f t="shared" si="9"/>
        <v>0</v>
      </c>
      <c r="AC15" s="485">
        <f t="shared" si="9"/>
        <v>0</v>
      </c>
      <c r="AD15" s="485">
        <f t="shared" si="9"/>
        <v>0</v>
      </c>
      <c r="AE15" s="486">
        <f t="shared" ref="AE15:AE34" si="22">IFERROR(AC15/AB15,0)</f>
        <v>0</v>
      </c>
      <c r="AF15" s="487">
        <f t="shared" ref="AF15:AF34" si="23">IFERROR(AD15/AB15,0)</f>
        <v>0</v>
      </c>
      <c r="AG15" s="400"/>
      <c r="AH15" s="102" t="s">
        <v>103</v>
      </c>
      <c r="AI15" s="484">
        <f t="shared" si="10"/>
        <v>0</v>
      </c>
      <c r="AJ15" s="481">
        <f t="shared" ref="AJ15:AJ34" si="24">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400" t="e">
        <f t="shared" ref="AQ15:AQ34" si="25">$N15</f>
        <v>#DIV/0!</v>
      </c>
      <c r="AR15">
        <f>'PIM Model'!C11</f>
        <v>0</v>
      </c>
      <c r="AS15" s="400"/>
      <c r="AT15" s="400"/>
      <c r="AU15" s="400" t="e">
        <f>IF($AR15="AVG",IFERROR((AC15+AJ15)/(AB15+AI15),AQ15),(AC15+AJ15)/(AB15+AI15))</f>
        <v>#DIV/0!</v>
      </c>
      <c r="AV15" s="400"/>
      <c r="AW15" s="400"/>
      <c r="AX15" s="108">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96" t="e">
        <f t="shared" ref="AZ15:AZ34" si="26">AY15/$AY$35</f>
        <v>#DIV/0!</v>
      </c>
      <c r="BA15" s="102" t="s">
        <v>103</v>
      </c>
      <c r="BB15" s="94">
        <f>IFERROR(IF(AND($BB$2&lt;&gt;"Enter Spend&gt;&gt;&gt;",BC3="EXISTING"),SUMIFS('Existing Customers'!$Q:$Q,'Existing Customers'!$A:$A,$BB$1,'Existing Customers'!$H:$H,$BA15)*$BB$4,$BB$3*$AZ15),0)</f>
        <v>0</v>
      </c>
      <c r="BC15" s="95">
        <f>IFERROR(IF(AND($BB$2&lt;&gt;"Enter Spend&gt;&gt;&gt;",BC2="EXISTING"),SUMIFS('Existing Customers'!$N:$N,'Existing Customers'!$A:$A,$BB$1,'Existing Customers'!$H:$H,$BA15)*$BB$4,$BB15/$BM15),0)</f>
        <v>0</v>
      </c>
      <c r="BD15" s="95">
        <f>IFERROR(IF(AND($BB$2&lt;&gt;"Enter Spend&gt;&gt;&gt;",BC2="EXISTING"),SUMIFS('Existing Customers'!$O:$O,'Existing Customers'!$H:$H,$BA15,'Existing Customers'!$A:$A,$BB$1)*$BB$4,$BC15*$BB$8),0)</f>
        <v>0</v>
      </c>
      <c r="BE15" s="95">
        <f>IFERROR(IF(AND($BB$2&lt;&gt;"Enter Spend&gt;&gt;&gt;",BC2="EXISTING"),SUMIFS('Existing Customers'!$P:$P,'Existing Customers'!$A:$A,$BB$1,'Existing Customers'!$H:$H,$BA15)*$BB$4,$BB15/$BN15),0)</f>
        <v>0</v>
      </c>
      <c r="BF15" s="402">
        <f>IFERROR(IF(AND($BB$2&lt;&gt;"Enter Spend&gt;&gt;&gt;",BC2="EXISTING"),SUMIFS('Existing Customers'!$V:$V,'Existing Customers'!$H:$H,$BA15,'Existing Customers'!$A:$A,$BB$1)*$BB$4,0),0)</f>
        <v>0</v>
      </c>
      <c r="BG15" s="96">
        <f>IFERROR(IF(AND($BB$2&lt;&gt;"Enter Spend&gt;&gt;&gt;",BC2="EXISTING"),SUMIFS('Existing Customers'!$R:$R,'Existing Customers'!$H:$H,$BA15,'Existing Customers'!$A:$A,$BB$1)*$BB$4,0),0)</f>
        <v>0</v>
      </c>
      <c r="BH15" s="96">
        <f>IFERROR(IF(AND($BB$2&lt;&gt;"Enter Spend&gt;&gt;&gt;",BC2="EXISTING"),SUMIFS('Existing Customers'!$S:$S,'Existing Customers'!$H:$H,$BA15,'Existing Customers'!$A:$A,$BB$1),BR15*BB15),0)</f>
        <v>0</v>
      </c>
      <c r="BI15" s="96">
        <f>IFERROR(IF(AND($BB$2&lt;&gt;"Enter Spend&gt;&gt;&gt;",BC2="EXISTING"),SUMIFS('Existing Customers'!$U:$U,'Existing Customers'!$H:$H,$BA15,'Existing Customers'!$A:$A,$BB$1),BS15*BB15),0)</f>
        <v>0</v>
      </c>
      <c r="BJ15" s="1163" t="e">
        <f t="shared" ref="BJ15:BJ34" si="27">_xlfn.CONCAT($BC$1,"_",BA15)</f>
        <v>#N/A</v>
      </c>
      <c r="BK15" s="1164">
        <f t="array" ref="BK15">IFERROR(INDEX('Margin Guidence Table'!$A$1:$AG$10000,MATCH(1,('Margin Guidence Table'!$A$1:$A$10000=$BJ15)*('Margin Guidence Table'!$I$1:$I$10000&lt;=ROUND($BB$3,0))*('Margin Guidence Table'!$J$1:$J$10000&gt;=ROUND($BB$3,0)),0),MATCH("DATA_POINTS",'Margin Guidence Table'!$A$1:$AG$1,0)),0)</f>
        <v>0</v>
      </c>
      <c r="BL15" s="1161" t="str">
        <f t="shared" ref="BL15:BL34" si="28">IF(BK15&gt;15,"SEGMENT","DEFAULT")</f>
        <v>DEFAULT</v>
      </c>
      <c r="BM15" s="116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16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16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16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16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16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16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16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9"/>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96" t="e">
        <f t="shared" ref="BW15:BW34" si="29">BV15/$BV$35</f>
        <v>#DIV/0!</v>
      </c>
      <c r="BX15" s="102" t="s">
        <v>103</v>
      </c>
      <c r="BY15" s="94">
        <f>IFERROR(IF(AND($BY$2&lt;&gt;"Enter Spend&gt;&gt;&gt;",BZ3="EXISTING"),SUMIFS('Existing Customers'!$Q:$Q,'Existing Customers'!$A:$A,$BY$1,'Existing Customers'!$H:$H,$BX15)*$BY$4,$BY$3*$BW15),0)</f>
        <v>0</v>
      </c>
      <c r="BZ15" s="89">
        <f>IFERROR(IF(AND($BY$2&lt;&gt;"Enter Spend&gt;&gt;&gt;",BZ2="EXISTING"),SUMIFS('Existing Customers'!$N:$N,'Existing Customers'!$A:$A,$BY$1,'Existing Customers'!$H:$H,$BX15)*$BY$4,$BY15/$CJ15),0)</f>
        <v>0</v>
      </c>
      <c r="CA15" s="95">
        <f>IFERROR(IF(AND($BY$2&lt;&gt;"Enter Spend&gt;&gt;&gt;",BZ2="EXISTING"),SUMIFS('Existing Customers'!$O:$O,'Existing Customers'!$H:$H,$BX15,'Existing Customers'!$A:$A,$BY$1)*$BY$4,$BZ15*$BY$8),0)</f>
        <v>0</v>
      </c>
      <c r="CB15" s="95">
        <f>IFERROR(IF(AND($BY$2&lt;&gt;"Enter Spend&gt;&gt;&gt;",BZ2="EXISTING"),SUMIFS('Existing Customers'!$P:$P,'Existing Customers'!$A:$A,$BY$1,'Existing Customers'!$H:$H,$BX15)*$BY$4,$BY15/$CK15),0)</f>
        <v>0</v>
      </c>
      <c r="CC15" s="96">
        <f>IFERROR(IF(AND($BY$2&lt;&gt;"Enter Spend&gt;&gt;&gt;",BZ2="EXISTING"),SUMIFS('Existing Customers'!$V:$V,'Existing Customers'!$H:$H,$BX15,'Existing Customers'!$A:$A,$BY$1)*$BY$4,0),0)</f>
        <v>0</v>
      </c>
      <c r="CD15" s="96">
        <f>IFERROR(IF(AND($BY$2&lt;&gt;"Enter Spend&gt;&gt;&gt;",BZ2="EXISTING"),SUMIFS('Existing Customers'!$R:$R,'Existing Customers'!$H:$H,$BX15,'Existing Customers'!$A:$A,$BY$1)*$BY$4,0),0)</f>
        <v>0</v>
      </c>
      <c r="CE15" s="1161">
        <f>IFERROR(IF(AND($BY$2&lt;&gt;"Enter Spend&gt;&gt;&gt;",BZ2="EXISTING"),SUMIFS('Existing Customers'!$S:$S,'Existing Customers'!$H:$H,$BX15,'Existing Customers'!$A:$A,$BY$1),CO15*BY15),0)</f>
        <v>0</v>
      </c>
      <c r="CF15" s="1161">
        <f>IFERROR(IF(AND($BY$2&lt;&gt;"Enter Spend&gt;&gt;&gt;",BZ2="EXISTING"),SUMIFS('Existing Customers'!$U:$U,'Existing Customers'!$H:$H,$BX15,'Existing Customers'!$A:$A,$BY$1),CP15*BY15),0)</f>
        <v>0</v>
      </c>
      <c r="CG15" s="1164" t="e">
        <f t="shared" ref="CG15:CG34" si="30">_xlfn.CONCAT($BZ$1,"_",BX15)</f>
        <v>#N/A</v>
      </c>
      <c r="CH15" s="1164">
        <f t="array" ref="CH15">IFERROR(INDEX('Margin Guidence Table'!$A$1:$AG$10000,MATCH(1,('Margin Guidence Table'!$A$1:$A$10000=$CG15)*('Margin Guidence Table'!$I$1:$I$10000&lt;=ROUND($BY$3,0))*('Margin Guidence Table'!$J$1:$J$10000&gt;=ROUND($BY$3,0)),0),MATCH("DATA_POINTS",'Margin Guidence Table'!$A$1:$AG$1,0)),0)</f>
        <v>0</v>
      </c>
      <c r="CI15" s="1161" t="str">
        <f t="shared" ref="CI15:CI34" si="31">IF(CH15&gt;15,"SEGMENT","DEFAULT")</f>
        <v>DEFAULT</v>
      </c>
      <c r="CJ15" s="116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16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16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16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16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16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16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16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9"/>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96" t="e">
        <f t="shared" ref="CT15:CT34" si="32">CS15/$CS$35</f>
        <v>#DIV/0!</v>
      </c>
      <c r="CU15" s="102" t="s">
        <v>103</v>
      </c>
      <c r="CV15" s="94">
        <f>IFERROR(IF(AND($CV$2&lt;&gt;"Enter Spend&gt;&gt;&gt;",CW3="EXISTING"),SUMIFS('Existing Customers'!$Q:$Q,'Existing Customers'!$A:$A,$CV$1,'Existing Customers'!$H:$H,$CU15)*$CV$4,$CV$3*$CT15),0)</f>
        <v>0</v>
      </c>
      <c r="CW15" s="89">
        <f>IFERROR(IF(AND($CV$2&lt;&gt;"Enter Spend&gt;&gt;&gt;",CW2="EXISTING"),SUMIFS('Existing Customers'!$N:$N,'Existing Customers'!$A:$A,$CV$1,'Existing Customers'!$H:$H,$CU15)*$CV$4,$CV15/$DG15),0)</f>
        <v>0</v>
      </c>
      <c r="CX15" s="95">
        <f>IFERROR(IF(AND($CV$2&lt;&gt;"Enter Spend&gt;&gt;&gt;",BC28="EXISTING"),SUMIFS('Existing Customers'!$O:$O,'Existing Customers'!$H:$H,$CU15,'Existing Customers'!$A:$A,$CV$1)*$CV$4,$CW15*$CV$8),0)</f>
        <v>0</v>
      </c>
      <c r="CY15" s="95">
        <f>IFERROR(IF(AND($CV$2&lt;&gt;"Enter Spend&gt;&gt;&gt;",CW2="EXISTING"),SUMIFS('Existing Customers'!$P:$P,'Existing Customers'!$A:$A,$CV$1,'Existing Customers'!$H:$H,$CU15)*$CV$4,$CV15/$DH15),0)</f>
        <v>0</v>
      </c>
      <c r="CZ15" s="96">
        <f>IFERROR(IF(AND($CV$2&lt;&gt;"Enter Spend&gt;&gt;&gt;",CW2="EXISTING"),SUMIFS('Existing Customers'!$V:$V,'Existing Customers'!$H:$H,$CU15,'Existing Customers'!$A:$A,$CV$1)*$CV$4,0),0)</f>
        <v>0</v>
      </c>
      <c r="DA15" s="96">
        <f>IFERROR(IF(AND($CV$2&lt;&gt;"Enter Spend&gt;&gt;&gt;",CW2="EXISTING"),SUMIFS('Existing Customers'!$R:$R,'Existing Customers'!$H:$H,$BA15,'Existing Customers'!$A:$A,$CV$1)*$CV$4,0),0)</f>
        <v>0</v>
      </c>
      <c r="DB15" s="1161">
        <f>IFERROR(IF(AND($CV$2&lt;&gt;"Enter Spend&gt;&gt;&gt;",CW2="EXISTING"),SUMIFS('Existing Customers'!$S:$S,'Existing Customers'!$H:$H,$CU15,'Existing Customers'!$A:$A,$CV$1),DL15*CV15),0)</f>
        <v>0</v>
      </c>
      <c r="DC15" s="1161">
        <f>IFERROR(IF(AND($CV$2&lt;&gt;"Enter Spend&gt;&gt;&gt;",CW2="EXISTING"),SUMIFS('Existing Customers'!$U:$U,'Existing Customers'!$H:$H,$CU15,'Existing Customers'!$A:$A,$CV$1),DM15*CV15),0)</f>
        <v>0</v>
      </c>
      <c r="DD15" s="1164" t="e">
        <f t="shared" ref="DD15:DD34" si="33">_xlfn.CONCAT($CW$1,"_",CU15)</f>
        <v>#N/A</v>
      </c>
      <c r="DE15" s="1164">
        <f t="array" ref="DE15">IFERROR(INDEX('Margin Guidence Table'!$A$1:$AG$10000,MATCH(1,('Margin Guidence Table'!$A$1:$A$10000=DD15)*('Margin Guidence Table'!$I$1:$I$10000&lt;=ROUND($CV$3,0))*('Margin Guidence Table'!$J$1:$J$10000&gt;=ROUND($CV$3,0)),0),MATCH("DATA_POINTS",'Margin Guidence Table'!$A$1:$AG$1,0)),0)</f>
        <v>0</v>
      </c>
      <c r="DF15" s="1161" t="str">
        <f t="shared" ref="DF15:DF34" si="34">IF(DE15&gt;15,"SEGMENT","DEFAULT")</f>
        <v>DEFAULT</v>
      </c>
      <c r="DG15" s="116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16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16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16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16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16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16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16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9"/>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96" t="e">
        <f t="shared" ref="DQ15:DQ34" si="35">DP15/$DP$35</f>
        <v>#DIV/0!</v>
      </c>
      <c r="DR15" s="102" t="s">
        <v>103</v>
      </c>
      <c r="DS15" s="94">
        <f>IFERROR(IF(AND($DS$2&lt;&gt;"Enter Spend&gt;&gt;&gt;",DT3="EXISTING"),SUMIFS('Existing Customers'!$Q:$Q,'Existing Customers'!$A:$A,$DS$1,'Existing Customers'!$H:$H,$DR15)*$DS$4,$DS$3*$DQ15),0)</f>
        <v>0</v>
      </c>
      <c r="DT15" s="89">
        <f>IFERROR(IF(AND($DS$2&lt;&gt;"Enter Spend&gt;&gt;&gt;",DT2="EXISTING"),SUMIFS('Existing Customers'!$N:$N,'Existing Customers'!$A:$A,$DS$1,'Existing Customers'!$H:$H,$DR15)*$DS$4,$DS15/$ED15),0)</f>
        <v>0</v>
      </c>
      <c r="DU15" s="95">
        <f>IFERROR(IF(AND($DS$2&lt;&gt;"Enter Spend&gt;&gt;&gt;",DT2="EXISTING"),SUMIFS('Existing Customers'!$O:$O,'Existing Customers'!$H:$H,$DR15,'Existing Customers'!$A:$A,$DS$1)*$DS$4,$DT15*$DS$8),0)</f>
        <v>0</v>
      </c>
      <c r="DV15" s="95">
        <f>IFERROR(IF(AND($DS$2&lt;&gt;"Enter Spend&gt;&gt;&gt;",DT2="EXISTING"),SUMIFS('Existing Customers'!$P:$P,'Existing Customers'!$A:$A,$DS$1,'Existing Customers'!$H:$H,$DR15)*$DS$4,$DS15/$EE15),0)</f>
        <v>0</v>
      </c>
      <c r="DW15" s="96">
        <f>IFERROR(IF(AND($DS$2&lt;&gt;"Enter Spend&gt;&gt;&gt;",EQ2="EXISTING"),SUMIFS('Existing Customers'!$V:$V,'Existing Customers'!$H:$H,$DR15,'Existing Customers'!$A:$A,$DS$1)*$DS$4,0),0)</f>
        <v>0</v>
      </c>
      <c r="DX15" s="96">
        <f>IFERROR(IF(AND($DS$2&lt;&gt;"Enter Spend&gt;&gt;&gt;",DT2="EXISTING"),SUMIFS('Existing Customers'!$R:$R,'Existing Customers'!$H:$H,$DR15,'Existing Customers'!$A:$A,$DS$1)*$DS$4,0),0)</f>
        <v>0</v>
      </c>
      <c r="DY15" s="1161">
        <f>IFERROR(IF(AND($DS$2&lt;&gt;"Enter Spend&gt;&gt;&gt;",DT2="EXISTING"),SUMIFS('Existing Customers'!$S:$S,'Existing Customers'!$H:$H,$DT15,'Existing Customers'!$A:$A,$DS$1),EI15*DS15),0)</f>
        <v>0</v>
      </c>
      <c r="DZ15" s="1161">
        <f>IFERROR(IF(AND($DS$2&lt;&gt;"Enter Spend&gt;&gt;&gt;",DT2="EXISTING"),SUMIFS('Existing Customers'!$U:$U,'Existing Customers'!$H:$H,$DR15,'Existing Customers'!$A:$A,$DS$1),EJ15*DS15),0)</f>
        <v>0</v>
      </c>
      <c r="EA15" s="1164" t="e">
        <f t="shared" ref="EA15:EA34" si="36">_xlfn.CONCAT($DT$1,"_",DR15)</f>
        <v>#N/A</v>
      </c>
      <c r="EB15" s="1164">
        <f t="array" ref="EB15">IFERROR(INDEX('Margin Guidence Table'!$A$1:$AG$10000,MATCH(1,('Margin Guidence Table'!$A$1:$A$10000=EA15)*('Margin Guidence Table'!$I$1:$I$10000&lt;=ROUND($DS$3,0))*('Margin Guidence Table'!$J$1:$J$10000&gt;=ROUND($DS$3,0)),0),MATCH("DATA_POINTS",'Margin Guidence Table'!$A$1:$AG$1,0)),0)</f>
        <v>0</v>
      </c>
      <c r="EC15" s="1161" t="str">
        <f t="shared" ref="EC15:EC34" si="37">IF(EB15&gt;15,"SEGMENT","DEFAULT")</f>
        <v>DEFAULT</v>
      </c>
      <c r="ED15" s="116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16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16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16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16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16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16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16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9"/>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96" t="e">
        <f t="shared" ref="EN15:EN34" si="38">EM15/$EM$35</f>
        <v>#DIV/0!</v>
      </c>
      <c r="EO15" s="102" t="s">
        <v>103</v>
      </c>
      <c r="EP15" s="94">
        <f>IFERROR(IF(AND($EP$2&lt;&gt;"Enter Spend&gt;&gt;&gt;",EQ3="EXISTING"),SUMIFS('Existing Customers'!$Q:$Q,'Existing Customers'!$A:$A,$EP$1,'Existing Customers'!$H:$H,$EO15)*$EP$4,$EP$3*$EN15),0)</f>
        <v>0</v>
      </c>
      <c r="EQ15" s="89">
        <f>IFERROR(IF(AND($EP$2&lt;&gt;"Enter Spend&gt;&gt;&gt;",EQ2="EXISTING"),SUMIFS('Existing Customers'!$N:$N,'Existing Customers'!$A:$A,$EP$1,'Existing Customers'!$H:$H,$EO15)*$EP$4,$EP15/$FA15),0)</f>
        <v>0</v>
      </c>
      <c r="ER15" s="95">
        <f>IFERROR(IF(AND($EP$2&lt;&gt;"Enter Spend&gt;&gt;&gt;",EQ2="EXISTING"),SUMIFS('Existing Customers'!$O:$O,'Existing Customers'!$H:$H,$EO15,'Existing Customers'!$A:$A,$EP$1)*$EP$4,$EQ15*$EP$8),0)</f>
        <v>0</v>
      </c>
      <c r="ES15" s="95">
        <f>IFERROR(IF(AND($EP$2&lt;&gt;"Enter Spend&gt;&gt;&gt;",EQ2="EXISTING"),SUMIFS('Existing Customers'!$P:$P,'Existing Customers'!$A:$A,$EP$1,'Existing Customers'!$H:$H,$EO15)*$EP$4,$EP15/$FB15),0)</f>
        <v>0</v>
      </c>
      <c r="ET15" s="96">
        <f>IFERROR(IF(AND($EP$2&lt;&gt;"Enter Spend&gt;&gt;&gt;",EQ2="EXISTING"),SUMIFS('Existing Customers'!$V:$V,'Existing Customers'!$H:$H,$EO15,'Existing Customers'!$A:$A,$EP$1)*$EP$4,0),0)</f>
        <v>0</v>
      </c>
      <c r="EU15" s="96">
        <f>IFERROR(IF(AND($EP$2&lt;&gt;"Enter Spend&gt;&gt;&gt;",EQ2="EXISTING"),SUMIFS('Existing Customers'!$R:$R,'Existing Customers'!$H:$H,$EO15,'Existing Customers'!$A:$A,$EP$1)*$EP$4,0),0)</f>
        <v>0</v>
      </c>
      <c r="EV15" s="1161">
        <f>IFERROR(IF(AND($EP$2&lt;&gt;"Enter Spend&gt;&gt;&gt;",EQ2="EXISTING"),SUMIFS('Existing Customers'!$S:$S,'Existing Customers'!$H:$H,$EO15,'Existing Customers'!$A:$A,$EP$1),FF15*EP15),0)</f>
        <v>0</v>
      </c>
      <c r="EW15" s="1161">
        <f>IFERROR(IF(AND($EP$2&lt;&gt;"Enter Spend&gt;&gt;&gt;",EQ2="EXISTING"),SUMIFS('Existing Customers'!$U:$U,'Existing Customers'!$H:$H,$EO15,'Existing Customers'!$A:$A,$EP$1),FG15*EP15),0)</f>
        <v>0</v>
      </c>
      <c r="EX15" s="1164" t="e">
        <f t="shared" ref="EX15:EX34" si="39">_xlfn.CONCAT($EQ$1,"_",EO15)</f>
        <v>#N/A</v>
      </c>
      <c r="EY15" s="1164">
        <f t="array" ref="EY15">IFERROR(INDEX('Margin Guidence Table'!$A$1:$AG$10000,MATCH(1,('Margin Guidence Table'!$A$1:$A$10000=EX15)*('Margin Guidence Table'!$I$1:$I$10000&lt;=ROUND($EP$3,0))*('Margin Guidence Table'!$J$1:$J$10000&gt;=ROUND($EP$3,0)),0),MATCH("DATA_POINTS",'Margin Guidence Table'!$A$1:$AG$1,0)),0)</f>
        <v>0</v>
      </c>
      <c r="EZ15" s="1161" t="str">
        <f t="shared" ref="EZ15:EZ34" si="40">IF(EY15&gt;15,"SEGMENT","DEFAULT")</f>
        <v>DEFAULT</v>
      </c>
      <c r="FA15" s="116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16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16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16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16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16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16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16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9"/>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96" t="e">
        <f t="shared" ref="FK15:FK34" si="41">FJ15/$FJ$35</f>
        <v>#DIV/0!</v>
      </c>
      <c r="FL15" s="102" t="s">
        <v>103</v>
      </c>
      <c r="FM15" s="94">
        <f>IFERROR(IF(AND($FM$2&lt;&gt;"Enter Spend&gt;&gt;&gt;",FN3="EXISTING"),SUMIFS('Existing Customers'!$Q:$Q,'Existing Customers'!$A:$A,$FM$1,'Existing Customers'!$H:$H,$FL15)*$FM$4,$FM$3*$FK15),0)</f>
        <v>0</v>
      </c>
      <c r="FN15" s="89">
        <f>IFERROR(IF(AND($FM$2&lt;&gt;"Enter Spend&gt;&gt;&gt;",FN2="EXISTING"),SUMIFS('Existing Customers'!$N:$N,'Existing Customers'!$A:$A,$FM$1,'Existing Customers'!$H:$H,$FL15)*$FM$4,$FM15/$FX15),0)</f>
        <v>0</v>
      </c>
      <c r="FO15" s="95">
        <f>IFERROR(IF(AND($FM$2&lt;&gt;"Enter Spend&gt;&gt;&gt;",FN2="EXISTING"),SUMIFS('Existing Customers'!$O:$O,'Existing Customers'!$H:$H,$FL15,'Existing Customers'!$A:$A,$FM$1)*$FM$4,$FN15*$FM$8),0)</f>
        <v>0</v>
      </c>
      <c r="FP15" s="95">
        <f>IFERROR(IF(AND($FM$2&lt;&gt;"Enter Spend&gt;&gt;&gt;",FN2="EXISTING"),SUMIFS('Existing Customers'!$P:$P,'Existing Customers'!$A:$A,$FM$1,'Existing Customers'!$H:$H,$FL15)*$FM$4,$FM15/$FY15),0)</f>
        <v>0</v>
      </c>
      <c r="FQ15" s="96">
        <f>IFERROR(IF(AND($FM$2&lt;&gt;"Enter Spend&gt;&gt;&gt;",FN2="EXISTING"),SUMIFS('Existing Customers'!$V:$V,'Existing Customers'!$H:$H,$FL15,'Existing Customers'!$A:$A,$FM$1)*$FM$4,0),0)</f>
        <v>0</v>
      </c>
      <c r="FR15" s="96">
        <f>IFERROR(IF(AND($FM$2&lt;&gt;"Enter Spend&gt;&gt;&gt;",FN2="EXISTING"),SUMIFS('Existing Customers'!$R:$R,'Existing Customers'!$H:$H,$FL15,'Existing Customers'!$A:$A,$FM$1)*$FM$4,0),0)</f>
        <v>0</v>
      </c>
      <c r="FS15" s="1161">
        <f>IFERROR(IF(AND($FM$2&lt;&gt;"Enter Spend&gt;&gt;&gt;",FN2="EXISTING"),SUMIFS('Existing Customers'!$S:$S,'Existing Customers'!$H:$H,$FL15,'Existing Customers'!$A:$A,$FM$1),GC15*FM15),0)</f>
        <v>0</v>
      </c>
      <c r="FT15" s="1161">
        <f>IFERROR(IF(AND($FM$2&lt;&gt;"Enter Spend&gt;&gt;&gt;",FN2="EXISTING"),SUMIFS('Existing Customers'!$U:$U,'Existing Customers'!$H:$H,$FL15,'Existing Customers'!$A:$A,$FM$1),GD15*FM15),0)</f>
        <v>0</v>
      </c>
      <c r="FU15" s="1164" t="e">
        <f t="shared" ref="FU15:FU34" si="42">_xlfn.CONCAT($FN$1,"_",FL15)</f>
        <v>#N/A</v>
      </c>
      <c r="FV15" s="1164">
        <f t="array" ref="FV15">IFERROR(INDEX('Margin Guidence Table'!$A$1:$AG$10000,MATCH(1,('Margin Guidence Table'!$A$1:$A$10000=FU15)*('Margin Guidence Table'!$I$1:$I$10000&lt;=ROUND($FM$3,0))*('Margin Guidence Table'!$J$1:$J$10000&gt;=ROUND($FM$3,0)),0),MATCH("DATA_POINTS",'Margin Guidence Table'!$A$1:$AG$1,0)),0)</f>
        <v>0</v>
      </c>
      <c r="FW15" s="1161" t="str">
        <f t="shared" ref="FW15:FW34" si="43">IF(FV15&gt;15,"SEGMENT","DEFAULT")</f>
        <v>DEFAULT</v>
      </c>
      <c r="FX15" s="116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16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16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16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16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16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16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16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9"/>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96" t="e">
        <f t="shared" ref="GH15:GH34" si="44">GG15/$GG$35</f>
        <v>#DIV/0!</v>
      </c>
      <c r="GI15" s="102" t="s">
        <v>103</v>
      </c>
      <c r="GJ15" s="94">
        <f>IFERROR(IF(AND($GJ$2&lt;&gt;"Enter Spend&gt;&gt;&gt;",GK3="EXISTING"),SUMIFS('Existing Customers'!$Q:$Q,'Existing Customers'!$A:$A,$GJ$1,'Existing Customers'!$H:$H,$GI15)*$GJ$4,$GJ$3*$GH15),0)</f>
        <v>0</v>
      </c>
      <c r="GK15" s="89">
        <f>IFERROR(IF(AND($GJ$2&lt;&gt;"Enter Spend&gt;&gt;&gt;",GK2="EXISTING"),SUMIFS('Existing Customers'!$N:$N,'Existing Customers'!$A:$A,$GJ$1,'Existing Customers'!$H:$H,$GI15)*$GJ$4,$GJ15/$GU15),0)</f>
        <v>0</v>
      </c>
      <c r="GL15" s="95">
        <f>IFERROR(IF(AND($GJ$2&lt;&gt;"Enter Spend&gt;&gt;&gt;",GK2="EXISTING"),SUMIFS('Existing Customers'!$O:$O,'Existing Customers'!$H:$H,$GI15,'Existing Customers'!$A:$A,$GJ$1)*$GJ$4,$GK15*$GJ$8),0)</f>
        <v>0</v>
      </c>
      <c r="GM15" s="95">
        <f>IFERROR(IF(AND($GJ$2&lt;&gt;"Enter Spend&gt;&gt;&gt;",GK2="EXISTING"),SUMIFS('Existing Customers'!$P:$P,'Existing Customers'!$A:$A,$GJ$1,'Existing Customers'!$H:$H,$GI15)*$GJ$4,$GJ15/$GV15),0)</f>
        <v>0</v>
      </c>
      <c r="GN15" s="96">
        <f>IFERROR(IF(AND($GJ$2&lt;&gt;"Enter Spend&gt;&gt;&gt;",GK2="EXISTING"),SUMIFS('Existing Customers'!$V:$V,'Existing Customers'!$H:$H,$GI15,'Existing Customers'!$A:$A,$GJ$1)*$GJ$4,0),0)</f>
        <v>0</v>
      </c>
      <c r="GO15" s="96">
        <f>IFERROR(IF(AND($GJ$2&lt;&gt;"Enter Spend&gt;&gt;&gt;",GK2="EXISTING"),SUMIFS('Existing Customers'!$R:$R,'Existing Customers'!$H:$H,$GI15,'Existing Customers'!$A:$A,$GJ$1)*$GJ$4,0),0)</f>
        <v>0</v>
      </c>
      <c r="GP15" s="1161">
        <f>IFERROR(IF(AND($GJ$2&lt;&gt;"Enter Spend&gt;&gt;&gt;",GK2="EXISTING"),SUMIFS('Existing Customers'!$S:$S,'Existing Customers'!$H:$H,$GI15,'Existing Customers'!$A:$A,$GJ$1),GZ15*GJ15),0)</f>
        <v>0</v>
      </c>
      <c r="GQ15" s="1161">
        <f>IFERROR(IF(AND($GJ$2&lt;&gt;"Enter Spend&gt;&gt;&gt;",GK2="EXISTING"),SUMIFS('Existing Customers'!$U:$U,'Existing Customers'!$H:$H,$GI15,'Existing Customers'!$A:$A,$GJ$1),HA15*GJ15),0)</f>
        <v>0</v>
      </c>
      <c r="GR15" s="1164" t="e">
        <f t="shared" ref="GR15:GR34" si="45">_xlfn.CONCAT($GK$1,"_",GI15)</f>
        <v>#N/A</v>
      </c>
      <c r="GS15" s="1164">
        <f t="array" ref="GS15">IFERROR(INDEX('Margin Guidence Table'!$A$1:$AG$10000,MATCH(1,('Margin Guidence Table'!$A$1:$A$10000=GR15)*('Margin Guidence Table'!$I$1:$I$10000&lt;=ROUND($GJ$3,0))*('Margin Guidence Table'!$J$1:$J$10000&gt;=ROUND($GJ$3,0)),0),MATCH("DATA_POINTS",'Margin Guidence Table'!$A$1:$AG$1,0)),0)</f>
        <v>0</v>
      </c>
      <c r="GT15" s="1161" t="str">
        <f t="shared" ref="GT15:GT34" si="46">IF(GS15&gt;15,"SEGMENT","DEFAULT")</f>
        <v>DEFAULT</v>
      </c>
      <c r="GU15" s="116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16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16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16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16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16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16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16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9"/>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96" t="e">
        <f t="shared" ref="HE15:HE34" si="47">HD15/$HD$35</f>
        <v>#DIV/0!</v>
      </c>
      <c r="HF15" s="102" t="s">
        <v>103</v>
      </c>
      <c r="HG15" s="94">
        <f>IFERROR(IF(AND($HG$2&lt;&gt;"Enter Spend&gt;&gt;&gt;",HH3="EXISTING"),SUMIFS('Existing Customers'!$Q:$Q,'Existing Customers'!$A:$A,$HG$1,'Existing Customers'!$H:$H,$HF15)*$HG$4,$HG$3*$HE15),0)</f>
        <v>0</v>
      </c>
      <c r="HH15" s="89">
        <f>IFERROR(IF(AND($HG$2&lt;&gt;"Enter Spend&gt;&gt;&gt;",HH2="EXISTING"),SUMIFS('Existing Customers'!$N:$N,'Existing Customers'!$A:$A,$HG$1,'Existing Customers'!$H:$H,$HF15)*$HG$4,$HG15/$HR15),0)</f>
        <v>0</v>
      </c>
      <c r="HI15" s="95">
        <f>IFERROR(IF(AND($HG$2&lt;&gt;"Enter Spend&gt;&gt;&gt;",HH2="EXISTING"),SUMIFS('Existing Customers'!$O:$O,'Existing Customers'!$H:$H,$HF15,'Existing Customers'!$A:$A,$HG$1)*$HG$4,$HH15*$HG$8),0)</f>
        <v>0</v>
      </c>
      <c r="HJ15" s="95">
        <f>IFERROR(IF(AND($HG$2&lt;&gt;"Enter Spend&gt;&gt;&gt;",HH2="EXISTING"),SUMIFS('Existing Customers'!$P:$P,'Existing Customers'!$A:$A,$HG$1,'Existing Customers'!$H:$H,$HF15)*$HG$4,$HG15/$HS15),0)</f>
        <v>0</v>
      </c>
      <c r="HK15" s="96">
        <f>IFERROR(IF(AND($HG$2&lt;&gt;"Enter Spend&gt;&gt;&gt;",HH2="EXISTING"),SUMIFS('Existing Customers'!$V:$V,'Existing Customers'!$H:$H,$HF15,'Existing Customers'!$A:$A,$HG$1)*$HG$4,0),0)</f>
        <v>0</v>
      </c>
      <c r="HL15" s="96">
        <f>IFERROR(IF(AND($HG$2&lt;&gt;"Enter Spend&gt;&gt;&gt;",HH2="EXISTING"),SUMIFS('Existing Customers'!$R:$R,'Existing Customers'!$H:$H,$HF15,'Existing Customers'!$A:$A,$HG$1)*$HG$4,0),0)</f>
        <v>0</v>
      </c>
      <c r="HM15" s="1161">
        <f>IFERROR(IF(AND($HG$2&lt;&gt;"Enter Spend&gt;&gt;&gt;",HH2="EXISTING"),SUMIFS('Existing Customers'!$S:$S,'Existing Customers'!$H:$H,$HF15,'Existing Customers'!$A:$A,$HG$1),HW15*HG15),0)</f>
        <v>0</v>
      </c>
      <c r="HN15" s="1161">
        <f>IFERROR(IF(AND($HG$2&lt;&gt;"Enter Spend&gt;&gt;&gt;",HH2="EXISTING"),SUMIFS('Existing Customers'!$U:$U,'Existing Customers'!$H:$H,$HF15,'Existing Customers'!$A:$A,$HG$1),HX15*HG15),0)</f>
        <v>0</v>
      </c>
      <c r="HO15" s="1164" t="e">
        <f t="shared" ref="HO15:HO34" si="48">_xlfn.CONCAT($HH$1,"_",HF15)</f>
        <v>#N/A</v>
      </c>
      <c r="HP15" s="1164">
        <f t="array" ref="HP15">IFERROR(INDEX('Margin Guidence Table'!$A$1:$AG$10000,MATCH(1,('Margin Guidence Table'!$A$1:$A$10000=HO15)*('Margin Guidence Table'!$I$1:$I$10000&lt;=ROUND($HG$3,0))*('Margin Guidence Table'!$J$1:$J$10000&gt;=ROUND($HG$3,0)),0),MATCH("DATA_POINTS",'Margin Guidence Table'!$A$1:$AG$1,0)),0)</f>
        <v>0</v>
      </c>
      <c r="HQ15" s="1161" t="str">
        <f t="shared" ref="HQ15:HQ34" si="49">IF(HP15&gt;15,"SEGMENT","DEFAULT")</f>
        <v>DEFAULT</v>
      </c>
      <c r="HR15" s="116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16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16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16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16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16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16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16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9"/>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96" t="e">
        <f t="shared" ref="IB15:IB34" si="50">IA15/$IA$35</f>
        <v>#DIV/0!</v>
      </c>
      <c r="IC15" s="102" t="s">
        <v>103</v>
      </c>
      <c r="ID15" s="94">
        <f>IFERROR(IF(AND($ID$2&lt;&gt;"Enter Spend&gt;&gt;&gt;",IE3="EXISTING"),SUMIFS('Existing Customers'!$Q:$Q,'Existing Customers'!$A:$A,$ID$1,'Existing Customers'!$H:$H,$IC15)*$ID$4,$ID$3*$IB15),0)</f>
        <v>0</v>
      </c>
      <c r="IE15" s="89">
        <f>IFERROR(IF(AND($ID$2&lt;&gt;"Enter Spend&gt;&gt;&gt;",IE2="EXISTING"),SUMIFS('Existing Customers'!$N:$N,'Existing Customers'!$A:$A,$ID$1,'Existing Customers'!$H:$H,$IC15)*$ID$4,$ID15/$IO15),0)</f>
        <v>0</v>
      </c>
      <c r="IF15" s="95">
        <f>IFERROR(IF(AND($ID$2&lt;&gt;"Enter Spend&gt;&gt;&gt;",IE2="EXISTING"),SUMIFS('Existing Customers'!$O:$O,'Existing Customers'!$H:$H,$IC15,'Existing Customers'!$A:$A,$ID$1)*$ID$4,$IE15*$ID$8),0)</f>
        <v>0</v>
      </c>
      <c r="IG15" s="95">
        <f>IFERROR(IF(AND($ID$2&lt;&gt;"Enter Spend&gt;&gt;&gt;",IE2="EXISTING"),SUMIFS('Existing Customers'!$P:$P,'Existing Customers'!$A:$A,$ID$1,'Existing Customers'!$H:$H,$IC15)*$ID$4,$ID15/$IP15),0)</f>
        <v>0</v>
      </c>
      <c r="IH15" s="402">
        <f>IFERROR(IF(AND($ID$2&lt;&gt;"Enter Spend&gt;&gt;&gt;",IE2="EXISTING"),SUMIFS('Existing Customers'!$V:$V,'Existing Customers'!$H:$H,$IC15,'Existing Customers'!$A:$A,$ID$1)*$ID$4,0),0)</f>
        <v>0</v>
      </c>
      <c r="II15" s="96">
        <f>IFERROR(IF(AND($ID$2&lt;&gt;"Enter Spend&gt;&gt;&gt;",IE2="EXISTING"),SUMIFS('Existing Customers'!$R:$R,'Existing Customers'!$H:$H,$IC15,'Existing Customers'!$A:$A,$ID$1)*$ID$4,0),0)</f>
        <v>0</v>
      </c>
      <c r="IJ15" s="1161">
        <f>IFERROR(IF(AND($ID$2&lt;&gt;"Enter Spend&gt;&gt;&gt;",IE2="EXISTING"),SUMIFS('Existing Customers'!$S:$S,'Existing Customers'!$H:$H,$IC15,'Existing Customers'!$A:$A,$ID$1),IT15*ID15),0)</f>
        <v>0</v>
      </c>
      <c r="IK15" s="1161">
        <f>IFERROR(IF(AND($ID$2&lt;&gt;"Enter Spend&gt;&gt;&gt;",IE2="EXISTING"),SUMIFS('Existing Customers'!$U:$U,'Existing Customers'!$H:$H,$IC15,'Existing Customers'!$A:$A,$ID$1),IU15*ID15),0)</f>
        <v>0</v>
      </c>
      <c r="IL15" s="1164" t="e">
        <f t="shared" ref="IL15:IL34" si="51">_xlfn.CONCAT($IE$1,"_",IC15)</f>
        <v>#N/A</v>
      </c>
      <c r="IM15" s="1164">
        <f t="array" ref="IM15">IFERROR(INDEX('Margin Guidence Table'!$A$1:$AG$10000,MATCH(1,('Margin Guidence Table'!$A$1:$A$10000=IL15)*('Margin Guidence Table'!$I$1:$I$10000&lt;=ROUND($ID$3,0))*('Margin Guidence Table'!$J$1:$J$10000&gt;=ROUND($ID$3,0)),0),MATCH("DATA_POINTS",'Margin Guidence Table'!$A$1:$AG$1,0)),0)</f>
        <v>0</v>
      </c>
      <c r="IN15" s="1161" t="str">
        <f t="shared" ref="IN15:IN34" si="52">IF(IM15&gt;15,"SEGMENT","DEFAULT")</f>
        <v>DEFAULT</v>
      </c>
      <c r="IO15" s="116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16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16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16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16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16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16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16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9"/>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96" t="e">
        <f t="shared" ref="IY15:IY34" si="53">IX15/$IX$35</f>
        <v>#DIV/0!</v>
      </c>
      <c r="IZ15" s="102" t="s">
        <v>103</v>
      </c>
      <c r="JA15" s="94">
        <f>IFERROR(IF(AND($JA$2&lt;&gt;"Enter Spend&gt;&gt;&gt;",JB3="EXISTING"),SUMIFS('Existing Customers'!$Q:$Q,'Existing Customers'!$A:$A,$JA$1,'Existing Customers'!$H:$H,$IZ15)*$JA$4,$JA$3*$IY15),0)</f>
        <v>0</v>
      </c>
      <c r="JB15" s="89">
        <f>IFERROR(IF(AND($JA$2&lt;&gt;"Enter Spend&gt;&gt;&gt;",JB2="EXISTING"),SUMIFS('Existing Customers'!$N:$N,'Existing Customers'!$A:$A,$JA$1,'Existing Customers'!$H:$H,$IZ15)*$JA$4,$JA15/$JL15),0)</f>
        <v>0</v>
      </c>
      <c r="JC15" s="95">
        <f>IFERROR(IF(AND($JA$2&lt;&gt;"Enter Spend&gt;&gt;&gt;",JB2="EXISTING"),SUMIFS('Existing Customers'!$O:$O,'Existing Customers'!$H:$H,$IZ15,'Existing Customers'!$A:$A,$JA$1)*$JA$4,$JB15*$JA$8),0)</f>
        <v>0</v>
      </c>
      <c r="JD15" s="95">
        <f>IFERROR(IF(AND($JA$2&lt;&gt;"Enter Spend&gt;&gt;&gt;",JB2="EXISTING"),SUMIFS('Existing Customers'!$P:$P,'Existing Customers'!$A:$A,$JA$1,'Existing Customers'!$H:$H,$IZ15)*$JA$4,$JA15/$JM15),0)</f>
        <v>0</v>
      </c>
      <c r="JE15" s="402">
        <f>IFERROR(IF(AND($JA$2&lt;&gt;"Enter Spend&gt;&gt;&gt;",JB2="EXISTING"),SUMIFS('Existing Customers'!$V:$V,'Existing Customers'!$H:$H,$IZ15,'Existing Customers'!$A:$A,$JA$1)*$JA$4,0),0)</f>
        <v>0</v>
      </c>
      <c r="JF15" s="96">
        <f>IFERROR(IF(AND($JA$2&lt;&gt;"Enter Spend&gt;&gt;&gt;",JB2="EXISTING"),SUMIFS('Existing Customers'!$R:$R,'Existing Customers'!$H:$H,$IZ15,'Existing Customers'!$A:$A,$JA$1)*$JA$4,0),0)</f>
        <v>0</v>
      </c>
      <c r="JG15" s="1161">
        <f>IFERROR(IF(AND($JA$2&lt;&gt;"Enter Spend&gt;&gt;&gt;",JB2="EXISTING"),SUMIFS('Existing Customers'!$S:$S,'Existing Customers'!$H:$H,$IZ15,'Existing Customers'!$A:$A,$JA$1),JQ15*JA15),0)</f>
        <v>0</v>
      </c>
      <c r="JH15" s="1161">
        <f>IFERROR(IF(AND($JA$2&lt;&gt;"Enter Spend&gt;&gt;&gt;",JB2="EXISTING"),SUMIFS('Existing Customers'!$U:$U,'Existing Customers'!$H:$H,$IZ15,'Existing Customers'!$A:$A,$JA$1),JR15*JA15),0)</f>
        <v>0</v>
      </c>
      <c r="JI15" s="1164" t="e">
        <f t="shared" ref="JI15:JI34" si="54">_xlfn.CONCAT($JB$1,"_",IZ15)</f>
        <v>#N/A</v>
      </c>
      <c r="JJ15" s="1164">
        <f t="array" ref="JJ15">IFERROR(INDEX('Margin Guidence Table'!$A$1:$AG$10000,MATCH(1,('Margin Guidence Table'!$A$1:$A$10000=JI15)*('Margin Guidence Table'!$I$1:$I$10000&lt;=ROUND($JA$3,0))*('Margin Guidence Table'!$J$1:$J$10000&gt;=ROUND($JA$3,0)),0),MATCH("DATA_POINTS",'Margin Guidence Table'!$A$1:$AG$1,0)),0)</f>
        <v>0</v>
      </c>
      <c r="JK15" s="1161" t="str">
        <f t="shared" ref="JK15:JK34" si="55">IF(JJ15&gt;15,"SEGMENT","DEFAULT")</f>
        <v>DEFAULT</v>
      </c>
      <c r="JL15" s="116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16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16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16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16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16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16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16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2" t="s">
        <v>103</v>
      </c>
      <c r="JV15" s="97"/>
      <c r="JW15" s="89"/>
      <c r="JX15" s="89"/>
      <c r="JY15" s="89"/>
      <c r="JZ15" s="114"/>
      <c r="KA15" s="98"/>
      <c r="KB15" s="129"/>
      <c r="KD15" s="102" t="s">
        <v>103</v>
      </c>
      <c r="KE15" s="97"/>
      <c r="KF15" s="89"/>
      <c r="KG15" s="89"/>
      <c r="KH15" s="89"/>
      <c r="KI15" s="114"/>
      <c r="KJ15" s="98"/>
    </row>
    <row r="16" spans="2:296" ht="15.75" thickBot="1" x14ac:dyDescent="0.3">
      <c r="B16" s="102" t="s">
        <v>1445</v>
      </c>
      <c r="C16" s="480">
        <f t="shared" si="11"/>
        <v>0</v>
      </c>
      <c r="D16" s="496">
        <f t="shared" si="12"/>
        <v>0</v>
      </c>
      <c r="E16" s="496">
        <f t="shared" si="13"/>
        <v>0</v>
      </c>
      <c r="F16" s="496">
        <f t="shared" si="14"/>
        <v>0</v>
      </c>
      <c r="G16" s="497">
        <f t="shared" si="15"/>
        <v>0</v>
      </c>
      <c r="H16" s="496">
        <f t="shared" si="16"/>
        <v>0</v>
      </c>
      <c r="I16" s="1157" t="e">
        <f t="shared" si="0"/>
        <v>#DIV/0!</v>
      </c>
      <c r="J16" s="1157" t="e">
        <f t="shared" si="1"/>
        <v>#DIV/0!</v>
      </c>
      <c r="K16" s="1157" t="e">
        <f t="shared" si="2"/>
        <v>#DIV/0!</v>
      </c>
      <c r="L16" s="496" t="e">
        <f t="shared" si="3"/>
        <v>#DIV/0!</v>
      </c>
      <c r="M16" s="496" t="e">
        <f t="shared" si="17"/>
        <v>#DIV/0!</v>
      </c>
      <c r="N16" s="1158" t="e">
        <f t="shared" si="4"/>
        <v>#DIV/0!</v>
      </c>
      <c r="P16" t="str">
        <f>'PIM Model'!E12</f>
        <v>INCLUDE</v>
      </c>
      <c r="Q16">
        <f t="shared" si="18"/>
        <v>0</v>
      </c>
      <c r="R16">
        <f t="shared" si="19"/>
        <v>0</v>
      </c>
      <c r="S16" s="102" t="s">
        <v>1445</v>
      </c>
      <c r="T16" s="97">
        <f t="shared" si="20"/>
        <v>0</v>
      </c>
      <c r="U16" s="89">
        <f t="shared" si="5"/>
        <v>0</v>
      </c>
      <c r="V16" s="89">
        <f t="shared" si="6"/>
        <v>0</v>
      </c>
      <c r="W16" s="89">
        <f t="shared" si="7"/>
        <v>0</v>
      </c>
      <c r="X16" s="114">
        <f t="shared" si="8"/>
        <v>0</v>
      </c>
      <c r="Y16" s="117">
        <f t="shared" si="21"/>
        <v>0</v>
      </c>
      <c r="Z16" s="400"/>
      <c r="AA16" s="102" t="s">
        <v>1445</v>
      </c>
      <c r="AB16" s="484">
        <f t="shared" si="9"/>
        <v>0</v>
      </c>
      <c r="AC16" s="485">
        <f t="shared" si="9"/>
        <v>0</v>
      </c>
      <c r="AD16" s="485">
        <f t="shared" si="9"/>
        <v>0</v>
      </c>
      <c r="AE16" s="486">
        <f t="shared" si="22"/>
        <v>0</v>
      </c>
      <c r="AF16" s="487">
        <f t="shared" si="23"/>
        <v>0</v>
      </c>
      <c r="AG16" s="400"/>
      <c r="AH16" s="102" t="s">
        <v>1445</v>
      </c>
      <c r="AI16" s="484">
        <f t="shared" si="10"/>
        <v>0</v>
      </c>
      <c r="AJ16" s="481">
        <f t="shared" si="24"/>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400" t="e">
        <f t="shared" si="25"/>
        <v>#DIV/0!</v>
      </c>
      <c r="AR16">
        <f>'PIM Model'!C12</f>
        <v>0</v>
      </c>
      <c r="AS16" s="400"/>
      <c r="AT16" s="400"/>
      <c r="AU16" s="400" t="e">
        <f t="shared" ref="AU16:AU34" si="56">IF($AR16="AVG",IFERROR((AC16+AJ16)/(AB16+AI16),AQ16),(AC16+AJ16)/(AB16+AI16))</f>
        <v>#DIV/0!</v>
      </c>
      <c r="AV16" s="400"/>
      <c r="AW16" s="400"/>
      <c r="AX16" s="108">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96" t="e">
        <f t="shared" si="26"/>
        <v>#DIV/0!</v>
      </c>
      <c r="BA16" s="102" t="s">
        <v>1445</v>
      </c>
      <c r="BB16" s="94">
        <f>IFERROR(IF(AND($BB$2&lt;&gt;"Enter Spend&gt;&gt;&gt;",BC4="EXISTING"),SUMIFS('Existing Customers'!$Q:$Q,'Existing Customers'!$A:$A,$BB$1,'Existing Customers'!$H:$H,$BA16)*$BB$4,$BB$3*$AZ16),0)</f>
        <v>0</v>
      </c>
      <c r="BC16" s="95">
        <f>IFERROR(IF(AND($BB$2&lt;&gt;"Enter Spend&gt;&gt;&gt;",BC2="EXISTING"),SUMIFS('Existing Customers'!$N:$N,'Existing Customers'!$A:$A,$BB$1,'Existing Customers'!$H:$H,$BA16)*$BB$4,$BB16/$BM16),0)</f>
        <v>0</v>
      </c>
      <c r="BD16" s="95">
        <f>IFERROR(IF(AND($BB$2&lt;&gt;"Enter Spend&gt;&gt;&gt;",BC2="EXISTING"),SUMIFS('Existing Customers'!$O:$O,'Existing Customers'!$H:$H,$BA16,'Existing Customers'!$A:$A,$BB$1)*$BB$4,$BC16*$BB$8),0)</f>
        <v>0</v>
      </c>
      <c r="BE16" s="95">
        <f>IFERROR(IF(AND($BB$2&lt;&gt;"Enter Spend&gt;&gt;&gt;",BC2="EXISTING"),SUMIFS('Existing Customers'!$P:$P,'Existing Customers'!$A:$A,$BB$1,'Existing Customers'!$H:$H,$BA16)*$BB$4,$BB16/$BN16),0)</f>
        <v>0</v>
      </c>
      <c r="BF16" s="402">
        <f>IFERROR(IF(AND($BB$2&lt;&gt;"Enter Spend&gt;&gt;&gt;",BC2="EXISTING"),SUMIFS('Existing Customers'!$V:$V,'Existing Customers'!$H:$H,$BA16,'Existing Customers'!$A:$A,$BB$1)*$BB$4,0),0)</f>
        <v>0</v>
      </c>
      <c r="BG16" s="96">
        <f>IFERROR(IF(AND($BB$2&lt;&gt;"Enter Spend&gt;&gt;&gt;",BC2="EXISTING"),SUMIFS('Existing Customers'!$R:$R,'Existing Customers'!$H:$H,$BA16,'Existing Customers'!$A:$A,$BB$1)*$BB$4,0),0)</f>
        <v>0</v>
      </c>
      <c r="BH16" s="96">
        <f>IFERROR(IF(AND($BB$2&lt;&gt;"Enter Spend&gt;&gt;&gt;",BC2="EXISTING"),SUMIFS('Existing Customers'!$S:$S,'Existing Customers'!$H:$H,$BA16,'Existing Customers'!$A:$A,$BB$1),BR16*BB16),0)</f>
        <v>0</v>
      </c>
      <c r="BI16" s="96">
        <f>IFERROR(IF(AND($BB$2&lt;&gt;"Enter Spend&gt;&gt;&gt;",BC2="EXISTING"),SUMIFS('Existing Customers'!$U:$U,'Existing Customers'!$H:$H,$BA16,'Existing Customers'!$A:$A,$BB$1),BS16*BB16),0)</f>
        <v>0</v>
      </c>
      <c r="BJ16" s="1163" t="e">
        <f t="shared" si="27"/>
        <v>#N/A</v>
      </c>
      <c r="BK16" s="1164">
        <f t="array" ref="BK16">IFERROR(INDEX('Margin Guidence Table'!$A$1:$AG$10000,MATCH(1,('Margin Guidence Table'!$A$1:$A$10000=$BJ16)*('Margin Guidence Table'!$I$1:$I$10000&lt;=ROUND($BB$3,0))*('Margin Guidence Table'!$J$1:$J$10000&gt;=ROUND($BB$3,0)),0),MATCH("DATA_POINTS",'Margin Guidence Table'!$A$1:$AG$1,0)),0)</f>
        <v>0</v>
      </c>
      <c r="BL16" s="1161" t="str">
        <f t="shared" si="28"/>
        <v>DEFAULT</v>
      </c>
      <c r="BM16" s="116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16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16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16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16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16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16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16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9"/>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96" t="e">
        <f t="shared" si="29"/>
        <v>#DIV/0!</v>
      </c>
      <c r="BX16" s="102" t="s">
        <v>1445</v>
      </c>
      <c r="BY16" s="94">
        <f>IFERROR(IF(AND($BY$2&lt;&gt;"Enter Spend&gt;&gt;&gt;",BZ4="EXISTING"),SUMIFS('Existing Customers'!$Q:$Q,'Existing Customers'!$A:$A,$BY$1,'Existing Customers'!$H:$H,$BX16)*$BY$4,$BY$3*$BW16),0)</f>
        <v>0</v>
      </c>
      <c r="BZ16" s="89">
        <f>IFERROR(IF(AND($BY$2&lt;&gt;"Enter Spend&gt;&gt;&gt;",BZ2="EXISTING"),SUMIFS('Existing Customers'!$N:$N,'Existing Customers'!$A:$A,$BY$1,'Existing Customers'!$H:$H,$BX16)*$BY$4,$BY16/$CJ16),0)</f>
        <v>0</v>
      </c>
      <c r="CA16" s="95">
        <f>IFERROR(IF(AND($BY$2&lt;&gt;"Enter Spend&gt;&gt;&gt;",BZ2="EXISTING"),SUMIFS('Existing Customers'!$O:$O,'Existing Customers'!$H:$H,$BX16,'Existing Customers'!$A:$A,$BY$1)*$BY$4,$BZ16*$BY$8),0)</f>
        <v>0</v>
      </c>
      <c r="CB16" s="95">
        <f>IFERROR(IF(AND($BY$2&lt;&gt;"Enter Spend&gt;&gt;&gt;",BZ2="EXISTING"),SUMIFS('Existing Customers'!$P:$P,'Existing Customers'!$A:$A,$BY$1,'Existing Customers'!$H:$H,$BX16)*$BY$4,$BY16/$CK16),0)</f>
        <v>0</v>
      </c>
      <c r="CC16" s="96">
        <f>IFERROR(IF(AND($BY$2&lt;&gt;"Enter Spend&gt;&gt;&gt;",BZ2="EXISTING"),SUMIFS('Existing Customers'!$V:$V,'Existing Customers'!$H:$H,$BX16,'Existing Customers'!$A:$A,$BY$1)*$BY$4,0),0)</f>
        <v>0</v>
      </c>
      <c r="CD16" s="96">
        <f>IFERROR(IF(AND($BY$2&lt;&gt;"Enter Spend&gt;&gt;&gt;",BZ2="EXISTING"),SUMIFS('Existing Customers'!$R:$R,'Existing Customers'!$H:$H,$BX16,'Existing Customers'!$A:$A,$BY$1)*$BY$4,0),0)</f>
        <v>0</v>
      </c>
      <c r="CE16" s="1161">
        <f>IFERROR(IF(AND($BY$2&lt;&gt;"Enter Spend&gt;&gt;&gt;",BZ2="EXISTING"),SUMIFS('Existing Customers'!$S:$S,'Existing Customers'!$H:$H,$BX16,'Existing Customers'!$A:$A,$BY$1),CO16*BY16),0)</f>
        <v>0</v>
      </c>
      <c r="CF16" s="1161">
        <f>IFERROR(IF(AND($BY$2&lt;&gt;"Enter Spend&gt;&gt;&gt;",BZ2="EXISTING"),SUMIFS('Existing Customers'!$U:$U,'Existing Customers'!$H:$H,$BX16,'Existing Customers'!$A:$A,$BY$1),CP16*BY16),0)</f>
        <v>0</v>
      </c>
      <c r="CG16" s="1164" t="e">
        <f t="shared" si="30"/>
        <v>#N/A</v>
      </c>
      <c r="CH16" s="1164">
        <f t="array" ref="CH16">IFERROR(INDEX('Margin Guidence Table'!$A$1:$AG$10000,MATCH(1,('Margin Guidence Table'!$A$1:$A$10000=$CG16)*('Margin Guidence Table'!$I$1:$I$10000&lt;=ROUND($BY$3,0))*('Margin Guidence Table'!$J$1:$J$10000&gt;=ROUND($BY$3,0)),0),MATCH("DATA_POINTS",'Margin Guidence Table'!$A$1:$AG$1,0)),0)</f>
        <v>0</v>
      </c>
      <c r="CI16" s="1161" t="str">
        <f t="shared" si="31"/>
        <v>DEFAULT</v>
      </c>
      <c r="CJ16" s="116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16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16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16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16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16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16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16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9"/>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96" t="e">
        <f t="shared" si="32"/>
        <v>#DIV/0!</v>
      </c>
      <c r="CU16" s="102" t="s">
        <v>1445</v>
      </c>
      <c r="CV16" s="94">
        <f>IFERROR(IF(AND($CV$2&lt;&gt;"Enter Spend&gt;&gt;&gt;",CW4="EXISTING"),SUMIFS('Existing Customers'!$Q:$Q,'Existing Customers'!$A:$A,$CV$1,'Existing Customers'!$H:$H,$CU16)*$CV$4,$CV$3*$CT16),0)</f>
        <v>0</v>
      </c>
      <c r="CW16" s="89">
        <f>IFERROR(IF(AND($CV$2&lt;&gt;"Enter Spend&gt;&gt;&gt;",CW2="EXISTING"),SUMIFS('Existing Customers'!$N:$N,'Existing Customers'!$A:$A,$CV$1,'Existing Customers'!$H:$H,$CU16)*$CV$4,$CV16/$DG16),0)</f>
        <v>0</v>
      </c>
      <c r="CX16" s="95">
        <f>IFERROR(IF(AND($CV$2&lt;&gt;"Enter Spend&gt;&gt;&gt;",BC28="EXISTING"),SUMIFS('Existing Customers'!$O:$O,'Existing Customers'!$H:$H,$CU16,'Existing Customers'!$A:$A,$CV$1)*$CV$4,$CW16*$CV$8),0)</f>
        <v>0</v>
      </c>
      <c r="CY16" s="95">
        <f>IFERROR(IF(AND($CV$2&lt;&gt;"Enter Spend&gt;&gt;&gt;",CW2="EXISTING"),SUMIFS('Existing Customers'!$P:$P,'Existing Customers'!$A:$A,$CV$1,'Existing Customers'!$H:$H,$CU16)*$CV$4,$CV16/$DH16),0)</f>
        <v>0</v>
      </c>
      <c r="CZ16" s="96">
        <f>IFERROR(IF(AND($CV$2&lt;&gt;"Enter Spend&gt;&gt;&gt;",CW2="EXISTING"),SUMIFS('Existing Customers'!$V:$V,'Existing Customers'!$H:$H,$CU16,'Existing Customers'!$A:$A,$CV$1)*$CV$4,0),0)</f>
        <v>0</v>
      </c>
      <c r="DA16" s="96">
        <f>IFERROR(IF(AND($CV$2&lt;&gt;"Enter Spend&gt;&gt;&gt;",CW2="EXISTING"),SUMIFS('Existing Customers'!$R:$R,'Existing Customers'!$H:$H,$BA16,'Existing Customers'!$A:$A,$CV$1)*$CV$4,0),0)</f>
        <v>0</v>
      </c>
      <c r="DB16" s="1161">
        <f>IFERROR(IF(AND($CV$2&lt;&gt;"Enter Spend&gt;&gt;&gt;",CW2="EXISTING"),SUMIFS('Existing Customers'!$S:$S,'Existing Customers'!$H:$H,$CU16,'Existing Customers'!$A:$A,$CV$1),DL16*CV16),0)</f>
        <v>0</v>
      </c>
      <c r="DC16" s="1161">
        <f>IFERROR(IF(AND($CV$2&lt;&gt;"Enter Spend&gt;&gt;&gt;",CW2="EXISTING"),SUMIFS('Existing Customers'!$U:$U,'Existing Customers'!$H:$H,$CU16,'Existing Customers'!$A:$A,$CV$1),DM16*CV16),0)</f>
        <v>0</v>
      </c>
      <c r="DD16" s="1164" t="e">
        <f t="shared" si="33"/>
        <v>#N/A</v>
      </c>
      <c r="DE16" s="1164">
        <f t="array" ref="DE16">IFERROR(INDEX('Margin Guidence Table'!$A$1:$AG$10000,MATCH(1,('Margin Guidence Table'!$A$1:$A$10000=DD16)*('Margin Guidence Table'!$I$1:$I$10000&lt;=ROUND($CV$3,0))*('Margin Guidence Table'!$J$1:$J$10000&gt;=ROUND($CV$3,0)),0),MATCH("DATA_POINTS",'Margin Guidence Table'!$A$1:$AG$1,0)),0)</f>
        <v>0</v>
      </c>
      <c r="DF16" s="1161" t="str">
        <f t="shared" si="34"/>
        <v>DEFAULT</v>
      </c>
      <c r="DG16" s="116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16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16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16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16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16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16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16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9"/>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96" t="e">
        <f t="shared" si="35"/>
        <v>#DIV/0!</v>
      </c>
      <c r="DR16" s="102" t="s">
        <v>1445</v>
      </c>
      <c r="DS16" s="94">
        <f>IFERROR(IF(AND($DS$2&lt;&gt;"Enter Spend&gt;&gt;&gt;",DT4="EXISTING"),SUMIFS('Existing Customers'!$Q:$Q,'Existing Customers'!$A:$A,$DS$1,'Existing Customers'!$H:$H,$DR16)*$DS$4,$DS$3*$DQ16),0)</f>
        <v>0</v>
      </c>
      <c r="DT16" s="89">
        <f>IFERROR(IF(AND($DS$2&lt;&gt;"Enter Spend&gt;&gt;&gt;",DT2="EXISTING"),SUMIFS('Existing Customers'!$N:$N,'Existing Customers'!$A:$A,$DS$1,'Existing Customers'!$H:$H,$DR16)*$DS$4,$DS16/$ED16),0)</f>
        <v>0</v>
      </c>
      <c r="DU16" s="95">
        <f>IFERROR(IF(AND($DS$2&lt;&gt;"Enter Spend&gt;&gt;&gt;",DT2="EXISTING"),SUMIFS('Existing Customers'!$O:$O,'Existing Customers'!$H:$H,$DR16,'Existing Customers'!$A:$A,$DS$1)*$DS$4,$DT16*$DS$8),0)</f>
        <v>0</v>
      </c>
      <c r="DV16" s="95">
        <f>IFERROR(IF(AND($DS$2&lt;&gt;"Enter Spend&gt;&gt;&gt;",DT2="EXISTING"),SUMIFS('Existing Customers'!$P:$P,'Existing Customers'!$A:$A,$DS$1,'Existing Customers'!$H:$H,$DR16)*$DS$4,$DS16/$EE16),0)</f>
        <v>0</v>
      </c>
      <c r="DW16" s="96">
        <f>IFERROR(IF(AND($DS$2&lt;&gt;"Enter Spend&gt;&gt;&gt;",EQ2="EXISTING"),SUMIFS('Existing Customers'!$V:$V,'Existing Customers'!$H:$H,$DR16,'Existing Customers'!$A:$A,$DS$1)*$DS$4,0),0)</f>
        <v>0</v>
      </c>
      <c r="DX16" s="96">
        <f>IFERROR(IF(AND($DS$2&lt;&gt;"Enter Spend&gt;&gt;&gt;",DT2="EXISTING"),SUMIFS('Existing Customers'!$R:$R,'Existing Customers'!$H:$H,$DR16,'Existing Customers'!$A:$A,$DS$1)*$DS$4,0),0)</f>
        <v>0</v>
      </c>
      <c r="DY16" s="1161">
        <f>IFERROR(IF(AND($DS$2&lt;&gt;"Enter Spend&gt;&gt;&gt;",DT2="EXISTING"),SUMIFS('Existing Customers'!$S:$S,'Existing Customers'!$H:$H,$DT16,'Existing Customers'!$A:$A,$DS$1),EI16*DS16),0)</f>
        <v>0</v>
      </c>
      <c r="DZ16" s="1161">
        <f>IFERROR(IF(AND($DS$2&lt;&gt;"Enter Spend&gt;&gt;&gt;",DT2="EXISTING"),SUMIFS('Existing Customers'!$U:$U,'Existing Customers'!$H:$H,$DR16,'Existing Customers'!$A:$A,$DS$1),EJ16*DS16),0)</f>
        <v>0</v>
      </c>
      <c r="EA16" s="1164" t="e">
        <f t="shared" si="36"/>
        <v>#N/A</v>
      </c>
      <c r="EB16" s="1164">
        <f t="array" ref="EB16">IFERROR(INDEX('Margin Guidence Table'!$A$1:$AG$10000,MATCH(1,('Margin Guidence Table'!$A$1:$A$10000=EA16)*('Margin Guidence Table'!$I$1:$I$10000&lt;=ROUND($DS$3,0))*('Margin Guidence Table'!$J$1:$J$10000&gt;=ROUND($DS$3,0)),0),MATCH("DATA_POINTS",'Margin Guidence Table'!$A$1:$AG$1,0)),0)</f>
        <v>0</v>
      </c>
      <c r="EC16" s="1161" t="str">
        <f t="shared" si="37"/>
        <v>DEFAULT</v>
      </c>
      <c r="ED16" s="116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16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16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16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16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16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16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16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9"/>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96" t="e">
        <f t="shared" si="38"/>
        <v>#DIV/0!</v>
      </c>
      <c r="EO16" s="102" t="s">
        <v>1445</v>
      </c>
      <c r="EP16" s="94">
        <f>IFERROR(IF(AND($EP$2&lt;&gt;"Enter Spend&gt;&gt;&gt;",EQ4="EXISTING"),SUMIFS('Existing Customers'!$Q:$Q,'Existing Customers'!$A:$A,$EP$1,'Existing Customers'!$H:$H,$EO16)*$EP$4,$EP$3*$EN16),0)</f>
        <v>0</v>
      </c>
      <c r="EQ16" s="89">
        <f>IFERROR(IF(AND($EP$2&lt;&gt;"Enter Spend&gt;&gt;&gt;",EQ2="EXISTING"),SUMIFS('Existing Customers'!$N:$N,'Existing Customers'!$A:$A,$EP$1,'Existing Customers'!$H:$H,$EO16)*$EP$4,$EP16/$FA16),0)</f>
        <v>0</v>
      </c>
      <c r="ER16" s="95">
        <f>IFERROR(IF(AND($EP$2&lt;&gt;"Enter Spend&gt;&gt;&gt;",EQ2="EXISTING"),SUMIFS('Existing Customers'!$O:$O,'Existing Customers'!$H:$H,$EO16,'Existing Customers'!$A:$A,$EP$1)*$EP$4,$EQ16*$EP$8),0)</f>
        <v>0</v>
      </c>
      <c r="ES16" s="95">
        <f>IFERROR(IF(AND($EP$2&lt;&gt;"Enter Spend&gt;&gt;&gt;",EQ2="EXISTING"),SUMIFS('Existing Customers'!$P:$P,'Existing Customers'!$A:$A,$EP$1,'Existing Customers'!$H:$H,$EO16)*$EP$4,$EP16/$FB16),0)</f>
        <v>0</v>
      </c>
      <c r="ET16" s="96">
        <f>IFERROR(IF(AND($EP$2&lt;&gt;"Enter Spend&gt;&gt;&gt;",EQ2="EXISTING"),SUMIFS('Existing Customers'!$V:$V,'Existing Customers'!$H:$H,$EO16,'Existing Customers'!$A:$A,$EP$1)*$EP$4,0),0)</f>
        <v>0</v>
      </c>
      <c r="EU16" s="96">
        <f>IFERROR(IF(AND($EP$2&lt;&gt;"Enter Spend&gt;&gt;&gt;",EQ2="EXISTING"),SUMIFS('Existing Customers'!$R:$R,'Existing Customers'!$H:$H,$EO16,'Existing Customers'!$A:$A,$EP$1)*$EP$4,0),0)</f>
        <v>0</v>
      </c>
      <c r="EV16" s="1161">
        <f>IFERROR(IF(AND($EP$2&lt;&gt;"Enter Spend&gt;&gt;&gt;",EQ2="EXISTING"),SUMIFS('Existing Customers'!$S:$S,'Existing Customers'!$H:$H,$EO16,'Existing Customers'!$A:$A,$EP$1),FF16*EP16),0)</f>
        <v>0</v>
      </c>
      <c r="EW16" s="1161">
        <f>IFERROR(IF(AND($EP$2&lt;&gt;"Enter Spend&gt;&gt;&gt;",EQ2="EXISTING"),SUMIFS('Existing Customers'!$U:$U,'Existing Customers'!$H:$H,$EO16,'Existing Customers'!$A:$A,$EP$1),FG16*EP16),0)</f>
        <v>0</v>
      </c>
      <c r="EX16" s="1164" t="e">
        <f t="shared" si="39"/>
        <v>#N/A</v>
      </c>
      <c r="EY16" s="1164">
        <f t="array" ref="EY16">IFERROR(INDEX('Margin Guidence Table'!$A$1:$AG$10000,MATCH(1,('Margin Guidence Table'!$A$1:$A$10000=EX16)*('Margin Guidence Table'!$I$1:$I$10000&lt;=ROUND($EP$3,0))*('Margin Guidence Table'!$J$1:$J$10000&gt;=ROUND($EP$3,0)),0),MATCH("DATA_POINTS",'Margin Guidence Table'!$A$1:$AG$1,0)),0)</f>
        <v>0</v>
      </c>
      <c r="EZ16" s="1161" t="str">
        <f t="shared" si="40"/>
        <v>DEFAULT</v>
      </c>
      <c r="FA16" s="116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16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16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16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16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16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16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16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9"/>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96" t="e">
        <f t="shared" si="41"/>
        <v>#DIV/0!</v>
      </c>
      <c r="FL16" s="102" t="s">
        <v>1445</v>
      </c>
      <c r="FM16" s="94">
        <f>IFERROR(IF(AND($FM$2&lt;&gt;"Enter Spend&gt;&gt;&gt;",FN4="EXISTING"),SUMIFS('Existing Customers'!$Q:$Q,'Existing Customers'!$A:$A,$FM$1,'Existing Customers'!$H:$H,$FL16)*$FM$4,$FM$3*$FK16),0)</f>
        <v>0</v>
      </c>
      <c r="FN16" s="89">
        <f>IFERROR(IF(AND($FM$2&lt;&gt;"Enter Spend&gt;&gt;&gt;",FN2="EXISTING"),SUMIFS('Existing Customers'!$N:$N,'Existing Customers'!$A:$A,$FM$1,'Existing Customers'!$H:$H,$FL16)*$FM$4,$FM16/$FX16),0)</f>
        <v>0</v>
      </c>
      <c r="FO16" s="95">
        <f>IFERROR(IF(AND($FM$2&lt;&gt;"Enter Spend&gt;&gt;&gt;",FN2="EXISTING"),SUMIFS('Existing Customers'!$O:$O,'Existing Customers'!$H:$H,$FL16,'Existing Customers'!$A:$A,$FM$1)*$FM$4,$FN16*$FM$8),0)</f>
        <v>0</v>
      </c>
      <c r="FP16" s="95">
        <f>IFERROR(IF(AND($FM$2&lt;&gt;"Enter Spend&gt;&gt;&gt;",FN2="EXISTING"),SUMIFS('Existing Customers'!$P:$P,'Existing Customers'!$A:$A,$FM$1,'Existing Customers'!$H:$H,$FL16)*$FM$4,$FM16/$FY16),0)</f>
        <v>0</v>
      </c>
      <c r="FQ16" s="96">
        <f>IFERROR(IF(AND($FM$2&lt;&gt;"Enter Spend&gt;&gt;&gt;",FN2="EXISTING"),SUMIFS('Existing Customers'!$V:$V,'Existing Customers'!$H:$H,$FL16,'Existing Customers'!$A:$A,$FM$1)*$FM$4,0),0)</f>
        <v>0</v>
      </c>
      <c r="FR16" s="96">
        <f>IFERROR(IF(AND($FM$2&lt;&gt;"Enter Spend&gt;&gt;&gt;",FN2="EXISTING"),SUMIFS('Existing Customers'!$R:$R,'Existing Customers'!$H:$H,$FL16,'Existing Customers'!$A:$A,$FM$1)*$FM$4,0),0)</f>
        <v>0</v>
      </c>
      <c r="FS16" s="1161">
        <f>IFERROR(IF(AND($FM$2&lt;&gt;"Enter Spend&gt;&gt;&gt;",FN2="EXISTING"),SUMIFS('Existing Customers'!$S:$S,'Existing Customers'!$H:$H,$FL16,'Existing Customers'!$A:$A,$FM$1),GC16*FM16),0)</f>
        <v>0</v>
      </c>
      <c r="FT16" s="1161">
        <f>IFERROR(IF(AND($FM$2&lt;&gt;"Enter Spend&gt;&gt;&gt;",FN2="EXISTING"),SUMIFS('Existing Customers'!$U:$U,'Existing Customers'!$H:$H,$FL16,'Existing Customers'!$A:$A,$FM$1),GD16*FM16),0)</f>
        <v>0</v>
      </c>
      <c r="FU16" s="1164" t="e">
        <f t="shared" si="42"/>
        <v>#N/A</v>
      </c>
      <c r="FV16" s="1164">
        <f t="array" ref="FV16">IFERROR(INDEX('Margin Guidence Table'!$A$1:$AG$10000,MATCH(1,('Margin Guidence Table'!$A$1:$A$10000=FU16)*('Margin Guidence Table'!$I$1:$I$10000&lt;=ROUND($FM$3,0))*('Margin Guidence Table'!$J$1:$J$10000&gt;=ROUND($FM$3,0)),0),MATCH("DATA_POINTS",'Margin Guidence Table'!$A$1:$AG$1,0)),0)</f>
        <v>0</v>
      </c>
      <c r="FW16" s="1161" t="str">
        <f t="shared" si="43"/>
        <v>DEFAULT</v>
      </c>
      <c r="FX16" s="116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16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16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16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16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16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16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16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9"/>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96" t="e">
        <f t="shared" si="44"/>
        <v>#DIV/0!</v>
      </c>
      <c r="GI16" s="102" t="s">
        <v>1445</v>
      </c>
      <c r="GJ16" s="94">
        <f>IFERROR(IF(AND($GJ$2&lt;&gt;"Enter Spend&gt;&gt;&gt;",GK4="EXISTING"),SUMIFS('Existing Customers'!$Q:$Q,'Existing Customers'!$A:$A,$GJ$1,'Existing Customers'!$H:$H,$GI16)*$GJ$4,$GJ$3*$GH16),0)</f>
        <v>0</v>
      </c>
      <c r="GK16" s="89">
        <f>IFERROR(IF(AND($GJ$2&lt;&gt;"Enter Spend&gt;&gt;&gt;",GK2="EXISTING"),SUMIFS('Existing Customers'!$N:$N,'Existing Customers'!$A:$A,$GJ$1,'Existing Customers'!$H:$H,$GI16)*$GJ$4,$GJ16/$GU16),0)</f>
        <v>0</v>
      </c>
      <c r="GL16" s="95">
        <f>IFERROR(IF(AND($GJ$2&lt;&gt;"Enter Spend&gt;&gt;&gt;",GK2="EXISTING"),SUMIFS('Existing Customers'!$O:$O,'Existing Customers'!$H:$H,$GI16,'Existing Customers'!$A:$A,$GJ$1)*$GJ$4,$GK16*$GJ$8),0)</f>
        <v>0</v>
      </c>
      <c r="GM16" s="95">
        <f>IFERROR(IF(AND($GJ$2&lt;&gt;"Enter Spend&gt;&gt;&gt;",GK2="EXISTING"),SUMIFS('Existing Customers'!$P:$P,'Existing Customers'!$A:$A,$GJ$1,'Existing Customers'!$H:$H,$GI16)*$GJ$4,$GJ16/$GV16),0)</f>
        <v>0</v>
      </c>
      <c r="GN16" s="96">
        <f>IFERROR(IF(AND($GJ$2&lt;&gt;"Enter Spend&gt;&gt;&gt;",GK2="EXISTING"),SUMIFS('Existing Customers'!$V:$V,'Existing Customers'!$H:$H,$GI16,'Existing Customers'!$A:$A,$GJ$1)*$GJ$4,0),0)</f>
        <v>0</v>
      </c>
      <c r="GO16" s="96">
        <f>IFERROR(IF(AND($GJ$2&lt;&gt;"Enter Spend&gt;&gt;&gt;",GK2="EXISTING"),SUMIFS('Existing Customers'!$R:$R,'Existing Customers'!$H:$H,$GI16,'Existing Customers'!$A:$A,$GJ$1)*$GJ$4,0),0)</f>
        <v>0</v>
      </c>
      <c r="GP16" s="1161">
        <f>IFERROR(IF(AND($GJ$2&lt;&gt;"Enter Spend&gt;&gt;&gt;",GK2="EXISTING"),SUMIFS('Existing Customers'!$S:$S,'Existing Customers'!$H:$H,$GI16,'Existing Customers'!$A:$A,$GJ$1),GZ16*GJ16),0)</f>
        <v>0</v>
      </c>
      <c r="GQ16" s="1161">
        <f>IFERROR(IF(AND($GJ$2&lt;&gt;"Enter Spend&gt;&gt;&gt;",GK2="EXISTING"),SUMIFS('Existing Customers'!$U:$U,'Existing Customers'!$H:$H,$GI16,'Existing Customers'!$A:$A,$GJ$1),HA16*GJ16),0)</f>
        <v>0</v>
      </c>
      <c r="GR16" s="1164" t="e">
        <f t="shared" si="45"/>
        <v>#N/A</v>
      </c>
      <c r="GS16" s="1164">
        <f t="array" ref="GS16">IFERROR(INDEX('Margin Guidence Table'!$A$1:$AG$10000,MATCH(1,('Margin Guidence Table'!$A$1:$A$10000=GR16)*('Margin Guidence Table'!$I$1:$I$10000&lt;=ROUND($GJ$3,0))*('Margin Guidence Table'!$J$1:$J$10000&gt;=ROUND($GJ$3,0)),0),MATCH("DATA_POINTS",'Margin Guidence Table'!$A$1:$AG$1,0)),0)</f>
        <v>0</v>
      </c>
      <c r="GT16" s="1161" t="str">
        <f t="shared" si="46"/>
        <v>DEFAULT</v>
      </c>
      <c r="GU16" s="116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16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16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16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16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16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16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16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9"/>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96" t="e">
        <f t="shared" si="47"/>
        <v>#DIV/0!</v>
      </c>
      <c r="HF16" s="102" t="s">
        <v>1445</v>
      </c>
      <c r="HG16" s="94">
        <f>IFERROR(IF(AND($HG$2&lt;&gt;"Enter Spend&gt;&gt;&gt;",HH4="EXISTING"),SUMIFS('Existing Customers'!$Q:$Q,'Existing Customers'!$A:$A,$HG$1,'Existing Customers'!$H:$H,$HF16)*$HG$4,$HG$3*$HE16),0)</f>
        <v>0</v>
      </c>
      <c r="HH16" s="89">
        <f>IFERROR(IF(AND($HG$2&lt;&gt;"Enter Spend&gt;&gt;&gt;",HH2="EXISTING"),SUMIFS('Existing Customers'!$N:$N,'Existing Customers'!$A:$A,$HG$1,'Existing Customers'!$H:$H,$HF16)*$HG$4,$HG16/$HR16),0)</f>
        <v>0</v>
      </c>
      <c r="HI16" s="95">
        <f>IFERROR(IF(AND($HG$2&lt;&gt;"Enter Spend&gt;&gt;&gt;",HH2="EXISTING"),SUMIFS('Existing Customers'!$O:$O,'Existing Customers'!$H:$H,$HF16,'Existing Customers'!$A:$A,$HG$1)*$HG$4,$HH16*$HG$8),0)</f>
        <v>0</v>
      </c>
      <c r="HJ16" s="95">
        <f>IFERROR(IF(AND($HG$2&lt;&gt;"Enter Spend&gt;&gt;&gt;",HH2="EXISTING"),SUMIFS('Existing Customers'!$P:$P,'Existing Customers'!$A:$A,$HG$1,'Existing Customers'!$H:$H,$HF16)*$HG$4,$HG16/$HS16),0)</f>
        <v>0</v>
      </c>
      <c r="HK16" s="96">
        <f>IFERROR(IF(AND($HG$2&lt;&gt;"Enter Spend&gt;&gt;&gt;",HH2="EXISTING"),SUMIFS('Existing Customers'!$V:$V,'Existing Customers'!$H:$H,$HF16,'Existing Customers'!$A:$A,$HG$1)*$HG$4,0),0)</f>
        <v>0</v>
      </c>
      <c r="HL16" s="96">
        <f>IFERROR(IF(AND($HG$2&lt;&gt;"Enter Spend&gt;&gt;&gt;",HH2="EXISTING"),SUMIFS('Existing Customers'!$R:$R,'Existing Customers'!$H:$H,$HF16,'Existing Customers'!$A:$A,$HG$1)*$HG$4,0),0)</f>
        <v>0</v>
      </c>
      <c r="HM16" s="1161">
        <f>IFERROR(IF(AND($HG$2&lt;&gt;"Enter Spend&gt;&gt;&gt;",HH2="EXISTING"),SUMIFS('Existing Customers'!$S:$S,'Existing Customers'!$H:$H,$HF16,'Existing Customers'!$A:$A,$HG$1),HW16*HG16),0)</f>
        <v>0</v>
      </c>
      <c r="HN16" s="1161">
        <f>IFERROR(IF(AND($HG$2&lt;&gt;"Enter Spend&gt;&gt;&gt;",HH2="EXISTING"),SUMIFS('Existing Customers'!$U:$U,'Existing Customers'!$H:$H,$HF16,'Existing Customers'!$A:$A,$HG$1),HX16*HG16),0)</f>
        <v>0</v>
      </c>
      <c r="HO16" s="1164" t="e">
        <f t="shared" si="48"/>
        <v>#N/A</v>
      </c>
      <c r="HP16" s="1164">
        <f t="array" ref="HP16">IFERROR(INDEX('Margin Guidence Table'!$A$1:$AG$10000,MATCH(1,('Margin Guidence Table'!$A$1:$A$10000=HO16)*('Margin Guidence Table'!$I$1:$I$10000&lt;=ROUND($HG$3,0))*('Margin Guidence Table'!$J$1:$J$10000&gt;=ROUND($HG$3,0)),0),MATCH("DATA_POINTS",'Margin Guidence Table'!$A$1:$AG$1,0)),0)</f>
        <v>0</v>
      </c>
      <c r="HQ16" s="1161" t="str">
        <f t="shared" si="49"/>
        <v>DEFAULT</v>
      </c>
      <c r="HR16" s="116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16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16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16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16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16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16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16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9"/>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96" t="e">
        <f t="shared" si="50"/>
        <v>#DIV/0!</v>
      </c>
      <c r="IC16" s="102" t="s">
        <v>1445</v>
      </c>
      <c r="ID16" s="94">
        <f>IFERROR(IF(AND($ID$2&lt;&gt;"Enter Spend&gt;&gt;&gt;",IE4="EXISTING"),SUMIFS('Existing Customers'!$Q:$Q,'Existing Customers'!$A:$A,$ID$1,'Existing Customers'!$H:$H,$IC16)*$ID$4,$ID$3*$IB16),0)</f>
        <v>0</v>
      </c>
      <c r="IE16" s="89">
        <f>IFERROR(IF(AND($ID$2&lt;&gt;"Enter Spend&gt;&gt;&gt;",IE2="EXISTING"),SUMIFS('Existing Customers'!$N:$N,'Existing Customers'!$A:$A,$ID$1,'Existing Customers'!$H:$H,$IC16)*$ID$4,$ID16/$IO16),0)</f>
        <v>0</v>
      </c>
      <c r="IF16" s="95">
        <f>IFERROR(IF(AND($ID$2&lt;&gt;"Enter Spend&gt;&gt;&gt;",IE2="EXISTING"),SUMIFS('Existing Customers'!$O:$O,'Existing Customers'!$H:$H,$IC16,'Existing Customers'!$A:$A,$ID$1)*$ID$4,$IE16*$ID$8),0)</f>
        <v>0</v>
      </c>
      <c r="IG16" s="95">
        <f>IFERROR(IF(AND($ID$2&lt;&gt;"Enter Spend&gt;&gt;&gt;",IE2="EXISTING"),SUMIFS('Existing Customers'!$P:$P,'Existing Customers'!$A:$A,$ID$1,'Existing Customers'!$H:$H,$IC16)*$ID$4,$ID16/$IP16),0)</f>
        <v>0</v>
      </c>
      <c r="IH16" s="402">
        <f>IFERROR(IF(AND($ID$2&lt;&gt;"Enter Spend&gt;&gt;&gt;",IE2="EXISTING"),SUMIFS('Existing Customers'!$V:$V,'Existing Customers'!$H:$H,$IC16,'Existing Customers'!$A:$A,$ID$1)*$ID$4,0),0)</f>
        <v>0</v>
      </c>
      <c r="II16" s="96">
        <f>IFERROR(IF(AND($ID$2&lt;&gt;"Enter Spend&gt;&gt;&gt;",IE2="EXISTING"),SUMIFS('Existing Customers'!$R:$R,'Existing Customers'!$H:$H,$IC16,'Existing Customers'!$A:$A,$ID$1)*$ID$4,0),0)</f>
        <v>0</v>
      </c>
      <c r="IJ16" s="1161">
        <f>IFERROR(IF(AND($ID$2&lt;&gt;"Enter Spend&gt;&gt;&gt;",IE2="EXISTING"),SUMIFS('Existing Customers'!$S:$S,'Existing Customers'!$H:$H,$IC16,'Existing Customers'!$A:$A,$ID$1),IT16*ID16),0)</f>
        <v>0</v>
      </c>
      <c r="IK16" s="1161">
        <f>IFERROR(IF(AND($ID$2&lt;&gt;"Enter Spend&gt;&gt;&gt;",IE2="EXISTING"),SUMIFS('Existing Customers'!$U:$U,'Existing Customers'!$H:$H,$IC16,'Existing Customers'!$A:$A,$ID$1),IU16*ID16),0)</f>
        <v>0</v>
      </c>
      <c r="IL16" s="1164" t="e">
        <f t="shared" si="51"/>
        <v>#N/A</v>
      </c>
      <c r="IM16" s="1164">
        <f t="array" ref="IM16">IFERROR(INDEX('Margin Guidence Table'!$A$1:$AG$10000,MATCH(1,('Margin Guidence Table'!$A$1:$A$10000=IL16)*('Margin Guidence Table'!$I$1:$I$10000&lt;=ROUND($ID$3,0))*('Margin Guidence Table'!$J$1:$J$10000&gt;=ROUND($ID$3,0)),0),MATCH("DATA_POINTS",'Margin Guidence Table'!$A$1:$AG$1,0)),0)</f>
        <v>0</v>
      </c>
      <c r="IN16" s="1161" t="str">
        <f t="shared" si="52"/>
        <v>DEFAULT</v>
      </c>
      <c r="IO16" s="116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16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16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16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16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16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16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16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9"/>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96" t="e">
        <f t="shared" si="53"/>
        <v>#DIV/0!</v>
      </c>
      <c r="IZ16" s="102" t="s">
        <v>1445</v>
      </c>
      <c r="JA16" s="94">
        <f>IFERROR(IF(AND($JA$2&lt;&gt;"Enter Spend&gt;&gt;&gt;",JB4="EXISTING"),SUMIFS('Existing Customers'!$Q:$Q,'Existing Customers'!$A:$A,$JA$1,'Existing Customers'!$H:$H,$IZ16)*$JA$4,$JA$3*$IY16),0)</f>
        <v>0</v>
      </c>
      <c r="JB16" s="89">
        <f>IFERROR(IF(AND($JA$2&lt;&gt;"Enter Spend&gt;&gt;&gt;",JB2="EXISTING"),SUMIFS('Existing Customers'!$N:$N,'Existing Customers'!$A:$A,$JA$1,'Existing Customers'!$H:$H,$IZ16)*$JA$4,$JA16/$JL16),0)</f>
        <v>0</v>
      </c>
      <c r="JC16" s="95">
        <f>IFERROR(IF(AND($JA$2&lt;&gt;"Enter Spend&gt;&gt;&gt;",JB2="EXISTING"),SUMIFS('Existing Customers'!$O:$O,'Existing Customers'!$H:$H,$IZ16,'Existing Customers'!$A:$A,$JA$1)*$JA$4,$JB16*$JA$8),0)</f>
        <v>0</v>
      </c>
      <c r="JD16" s="95">
        <f>IFERROR(IF(AND($JA$2&lt;&gt;"Enter Spend&gt;&gt;&gt;",JB2="EXISTING"),SUMIFS('Existing Customers'!$P:$P,'Existing Customers'!$A:$A,$JA$1,'Existing Customers'!$H:$H,$IZ16)*$JA$4,$JA16/$JM16),0)</f>
        <v>0</v>
      </c>
      <c r="JE16" s="402">
        <f>IFERROR(IF(AND($JA$2&lt;&gt;"Enter Spend&gt;&gt;&gt;",JB2="EXISTING"),SUMIFS('Existing Customers'!$V:$V,'Existing Customers'!$H:$H,$IZ16,'Existing Customers'!$A:$A,$JA$1)*$JA$4,0),0)</f>
        <v>0</v>
      </c>
      <c r="JF16" s="96">
        <f>IFERROR(IF(AND($JA$2&lt;&gt;"Enter Spend&gt;&gt;&gt;",JB2="EXISTING"),SUMIFS('Existing Customers'!$R:$R,'Existing Customers'!$H:$H,$IZ16,'Existing Customers'!$A:$A,$JA$1)*$JA$4,0),0)</f>
        <v>0</v>
      </c>
      <c r="JG16" s="1161">
        <f>IFERROR(IF(AND($JA$2&lt;&gt;"Enter Spend&gt;&gt;&gt;",JB2="EXISTING"),SUMIFS('Existing Customers'!$S:$S,'Existing Customers'!$H:$H,$IZ16,'Existing Customers'!$A:$A,$JA$1),JQ16*JA16),0)</f>
        <v>0</v>
      </c>
      <c r="JH16" s="1161">
        <f>IFERROR(IF(AND($JA$2&lt;&gt;"Enter Spend&gt;&gt;&gt;",JB2="EXISTING"),SUMIFS('Existing Customers'!$U:$U,'Existing Customers'!$H:$H,$IZ16,'Existing Customers'!$A:$A,$JA$1),JR16*JA16),0)</f>
        <v>0</v>
      </c>
      <c r="JI16" s="1164" t="e">
        <f t="shared" si="54"/>
        <v>#N/A</v>
      </c>
      <c r="JJ16" s="1164">
        <f t="array" ref="JJ16">IFERROR(INDEX('Margin Guidence Table'!$A$1:$AG$10000,MATCH(1,('Margin Guidence Table'!$A$1:$A$10000=JI16)*('Margin Guidence Table'!$I$1:$I$10000&lt;=ROUND($JA$3,0))*('Margin Guidence Table'!$J$1:$J$10000&gt;=ROUND($JA$3,0)),0),MATCH("DATA_POINTS",'Margin Guidence Table'!$A$1:$AG$1,0)),0)</f>
        <v>0</v>
      </c>
      <c r="JK16" s="1161" t="str">
        <f t="shared" si="55"/>
        <v>DEFAULT</v>
      </c>
      <c r="JL16" s="116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16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16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16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16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16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16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16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2" t="s">
        <v>1445</v>
      </c>
      <c r="JV16" s="97"/>
      <c r="JW16" s="89"/>
      <c r="JX16" s="89"/>
      <c r="JY16" s="89"/>
      <c r="JZ16" s="114"/>
      <c r="KA16" s="98"/>
      <c r="KB16" s="129"/>
      <c r="KD16" s="102" t="s">
        <v>1445</v>
      </c>
      <c r="KE16" s="97"/>
      <c r="KF16" s="89"/>
      <c r="KG16" s="89"/>
      <c r="KH16" s="89"/>
      <c r="KI16" s="114"/>
      <c r="KJ16" s="98"/>
    </row>
    <row r="17" spans="2:296" ht="15.75" thickBot="1" x14ac:dyDescent="0.3">
      <c r="B17" s="102" t="s">
        <v>102</v>
      </c>
      <c r="C17" s="480">
        <f t="shared" si="11"/>
        <v>0</v>
      </c>
      <c r="D17" s="496">
        <f t="shared" si="12"/>
        <v>0</v>
      </c>
      <c r="E17" s="496">
        <f t="shared" si="13"/>
        <v>0</v>
      </c>
      <c r="F17" s="496">
        <f t="shared" si="14"/>
        <v>0</v>
      </c>
      <c r="G17" s="497">
        <f t="shared" si="15"/>
        <v>0</v>
      </c>
      <c r="H17" s="496">
        <f t="shared" si="16"/>
        <v>0</v>
      </c>
      <c r="I17" s="1157" t="e">
        <f t="shared" si="0"/>
        <v>#DIV/0!</v>
      </c>
      <c r="J17" s="1157" t="e">
        <f t="shared" si="1"/>
        <v>#DIV/0!</v>
      </c>
      <c r="K17" s="1157" t="e">
        <f t="shared" si="2"/>
        <v>#DIV/0!</v>
      </c>
      <c r="L17" s="496" t="e">
        <f t="shared" si="3"/>
        <v>#DIV/0!</v>
      </c>
      <c r="M17" s="496" t="e">
        <f t="shared" si="17"/>
        <v>#DIV/0!</v>
      </c>
      <c r="N17" s="1158" t="e">
        <f t="shared" si="4"/>
        <v>#DIV/0!</v>
      </c>
      <c r="P17" t="str">
        <f>'PIM Model'!E13</f>
        <v>INCLUDE</v>
      </c>
      <c r="Q17">
        <f t="shared" si="18"/>
        <v>0</v>
      </c>
      <c r="R17">
        <f t="shared" si="19"/>
        <v>0</v>
      </c>
      <c r="S17" s="102" t="s">
        <v>102</v>
      </c>
      <c r="T17" s="97">
        <f t="shared" si="20"/>
        <v>0</v>
      </c>
      <c r="U17" s="89">
        <f t="shared" si="5"/>
        <v>0</v>
      </c>
      <c r="V17" s="89">
        <f t="shared" si="6"/>
        <v>0</v>
      </c>
      <c r="W17" s="89">
        <f t="shared" si="7"/>
        <v>0</v>
      </c>
      <c r="X17" s="114">
        <f t="shared" si="8"/>
        <v>0</v>
      </c>
      <c r="Y17" s="117">
        <f t="shared" si="21"/>
        <v>0</v>
      </c>
      <c r="Z17" s="400"/>
      <c r="AA17" s="102" t="s">
        <v>102</v>
      </c>
      <c r="AB17" s="484">
        <f t="shared" si="9"/>
        <v>0</v>
      </c>
      <c r="AC17" s="485">
        <f t="shared" si="9"/>
        <v>0</v>
      </c>
      <c r="AD17" s="485">
        <f t="shared" si="9"/>
        <v>0</v>
      </c>
      <c r="AE17" s="486">
        <f t="shared" si="22"/>
        <v>0</v>
      </c>
      <c r="AF17" s="487">
        <f t="shared" si="23"/>
        <v>0</v>
      </c>
      <c r="AG17" s="400"/>
      <c r="AH17" s="102" t="s">
        <v>102</v>
      </c>
      <c r="AI17" s="484">
        <f t="shared" si="10"/>
        <v>0</v>
      </c>
      <c r="AJ17" s="481">
        <f t="shared" si="24"/>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400" t="e">
        <f t="shared" si="25"/>
        <v>#DIV/0!</v>
      </c>
      <c r="AR17">
        <f>'PIM Model'!C13</f>
        <v>0</v>
      </c>
      <c r="AS17" s="400"/>
      <c r="AT17" s="400"/>
      <c r="AU17" s="400" t="e">
        <f t="shared" si="56"/>
        <v>#DIV/0!</v>
      </c>
      <c r="AV17" s="400"/>
      <c r="AW17" s="400"/>
      <c r="AX17" s="108">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96" t="e">
        <f t="shared" si="26"/>
        <v>#DIV/0!</v>
      </c>
      <c r="BA17" s="102" t="s">
        <v>102</v>
      </c>
      <c r="BB17" s="94">
        <f>IFERROR(IF(AND($BB$2&lt;&gt;"Enter Spend&gt;&gt;&gt;",BC5="EXISTING"),SUMIFS('Existing Customers'!$Q:$Q,'Existing Customers'!$A:$A,$BB$1,'Existing Customers'!$H:$H,$BA17)*$BB$4,$BB$3*$AZ17),0)</f>
        <v>0</v>
      </c>
      <c r="BC17" s="95">
        <f>IFERROR(IF(AND($BB$2&lt;&gt;"Enter Spend&gt;&gt;&gt;",BC2="EXISTING"),SUMIFS('Existing Customers'!$N:$N,'Existing Customers'!$A:$A,$BB$1,'Existing Customers'!$H:$H,$BA17)*$BB$4,$BB17/$BM17),0)</f>
        <v>0</v>
      </c>
      <c r="BD17" s="95">
        <f>IFERROR(IF(AND($BB$2&lt;&gt;"Enter Spend&gt;&gt;&gt;",BC2="EXISTING"),SUMIFS('Existing Customers'!$O:$O,'Existing Customers'!$H:$H,$BA17,'Existing Customers'!$A:$A,$BB$1)*$BB$4,$BC17*$BB$8),0)</f>
        <v>0</v>
      </c>
      <c r="BE17" s="95">
        <f>IFERROR(IF(AND($BB$2&lt;&gt;"Enter Spend&gt;&gt;&gt;",BC2="EXISTING"),SUMIFS('Existing Customers'!$P:$P,'Existing Customers'!$A:$A,$BB$1,'Existing Customers'!$H:$H,$BA17)*$BB$4,$BB17/$BN17),0)</f>
        <v>0</v>
      </c>
      <c r="BF17" s="402">
        <f>IFERROR(IF(AND($BB$2&lt;&gt;"Enter Spend&gt;&gt;&gt;",BC2="EXISTING"),SUMIFS('Existing Customers'!$V:$V,'Existing Customers'!$H:$H,$BA17,'Existing Customers'!$A:$A,$BB$1)*$BB$4,0),0)</f>
        <v>0</v>
      </c>
      <c r="BG17" s="96">
        <f>IFERROR(IF(AND($BB$2&lt;&gt;"Enter Spend&gt;&gt;&gt;",BC2="EXISTING"),SUMIFS('Existing Customers'!$R:$R,'Existing Customers'!$H:$H,$BA17,'Existing Customers'!$A:$A,$BB$1)*$BB$4,0),0)</f>
        <v>0</v>
      </c>
      <c r="BH17" s="96">
        <f>IFERROR(IF(AND($BB$2&lt;&gt;"Enter Spend&gt;&gt;&gt;",BC2="EXISTING"),SUMIFS('Existing Customers'!$S:$S,'Existing Customers'!$H:$H,$BA17,'Existing Customers'!$A:$A,$BB$1),BR17*BB17),0)</f>
        <v>0</v>
      </c>
      <c r="BI17" s="96">
        <f>IFERROR(IF(AND($BB$2&lt;&gt;"Enter Spend&gt;&gt;&gt;",BC2="EXISTING"),SUMIFS('Existing Customers'!$U:$U,'Existing Customers'!$H:$H,$BA17,'Existing Customers'!$A:$A,$BB$1),BS17*BB17),0)</f>
        <v>0</v>
      </c>
      <c r="BJ17" s="1163" t="e">
        <f t="shared" si="27"/>
        <v>#N/A</v>
      </c>
      <c r="BK17" s="1164">
        <f t="array" ref="BK17">IFERROR(INDEX('Margin Guidence Table'!$A$1:$AG$10000,MATCH(1,('Margin Guidence Table'!$A$1:$A$10000=$BJ17)*('Margin Guidence Table'!$I$1:$I$10000&lt;=ROUND($BB$3,0))*('Margin Guidence Table'!$J$1:$J$10000&gt;=ROUND($BB$3,0)),0),MATCH("DATA_POINTS",'Margin Guidence Table'!$A$1:$AG$1,0)),0)</f>
        <v>0</v>
      </c>
      <c r="BL17" s="1161" t="str">
        <f t="shared" si="28"/>
        <v>DEFAULT</v>
      </c>
      <c r="BM17" s="116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16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16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16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16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16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16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16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9"/>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96" t="e">
        <f t="shared" si="29"/>
        <v>#DIV/0!</v>
      </c>
      <c r="BX17" s="102" t="s">
        <v>102</v>
      </c>
      <c r="BY17" s="94">
        <f>IFERROR(IF(AND($BY$2&lt;&gt;"Enter Spend&gt;&gt;&gt;",BZ5="EXISTING"),SUMIFS('Existing Customers'!$Q:$Q,'Existing Customers'!$A:$A,$BY$1,'Existing Customers'!$H:$H,$BX17)*$BY$4,$BY$3*$BW17),0)</f>
        <v>0</v>
      </c>
      <c r="BZ17" s="89">
        <f>IFERROR(IF(AND($BY$2&lt;&gt;"Enter Spend&gt;&gt;&gt;",BZ2="EXISTING"),SUMIFS('Existing Customers'!$N:$N,'Existing Customers'!$A:$A,$BY$1,'Existing Customers'!$H:$H,$BX17)*$BY$4,$BY17/$CJ17),0)</f>
        <v>0</v>
      </c>
      <c r="CA17" s="95">
        <f>IFERROR(IF(AND($BY$2&lt;&gt;"Enter Spend&gt;&gt;&gt;",BZ2="EXISTING"),SUMIFS('Existing Customers'!$O:$O,'Existing Customers'!$H:$H,$BX17,'Existing Customers'!$A:$A,$BY$1)*$BY$4,$BZ17*$BY$8),0)</f>
        <v>0</v>
      </c>
      <c r="CB17" s="95">
        <f>IFERROR(IF(AND($BY$2&lt;&gt;"Enter Spend&gt;&gt;&gt;",BZ2="EXISTING"),SUMIFS('Existing Customers'!$P:$P,'Existing Customers'!$A:$A,$BY$1,'Existing Customers'!$H:$H,$BX17)*$BY$4,$BY17/$CK17),0)</f>
        <v>0</v>
      </c>
      <c r="CC17" s="96">
        <f>IFERROR(IF(AND($BY$2&lt;&gt;"Enter Spend&gt;&gt;&gt;",BZ2="EXISTING"),SUMIFS('Existing Customers'!$V:$V,'Existing Customers'!$H:$H,$BX17,'Existing Customers'!$A:$A,$BY$1)*$BY$4,0),0)</f>
        <v>0</v>
      </c>
      <c r="CD17" s="96">
        <f>IFERROR(IF(AND($BY$2&lt;&gt;"Enter Spend&gt;&gt;&gt;",BZ2="EXISTING"),SUMIFS('Existing Customers'!$R:$R,'Existing Customers'!$H:$H,$BX17,'Existing Customers'!$A:$A,$BY$1)*$BY$4,0),0)</f>
        <v>0</v>
      </c>
      <c r="CE17" s="1161">
        <f>IFERROR(IF(AND($BY$2&lt;&gt;"Enter Spend&gt;&gt;&gt;",BZ2="EXISTING"),SUMIFS('Existing Customers'!$S:$S,'Existing Customers'!$H:$H,$BX17,'Existing Customers'!$A:$A,$BY$1),CO17*BY17),0)</f>
        <v>0</v>
      </c>
      <c r="CF17" s="1161">
        <f>IFERROR(IF(AND($BY$2&lt;&gt;"Enter Spend&gt;&gt;&gt;",BZ2="EXISTING"),SUMIFS('Existing Customers'!$U:$U,'Existing Customers'!$H:$H,$BX17,'Existing Customers'!$A:$A,$BY$1),CP17*BY17),0)</f>
        <v>0</v>
      </c>
      <c r="CG17" s="1164" t="e">
        <f t="shared" si="30"/>
        <v>#N/A</v>
      </c>
      <c r="CH17" s="1164">
        <f t="array" ref="CH17">IFERROR(INDEX('Margin Guidence Table'!$A$1:$AG$10000,MATCH(1,('Margin Guidence Table'!$A$1:$A$10000=$CG17)*('Margin Guidence Table'!$I$1:$I$10000&lt;=ROUND($BY$3,0))*('Margin Guidence Table'!$J$1:$J$10000&gt;=ROUND($BY$3,0)),0),MATCH("DATA_POINTS",'Margin Guidence Table'!$A$1:$AG$1,0)),0)</f>
        <v>0</v>
      </c>
      <c r="CI17" s="1161" t="str">
        <f t="shared" si="31"/>
        <v>DEFAULT</v>
      </c>
      <c r="CJ17" s="116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16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16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16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16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16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16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16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9"/>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96" t="e">
        <f t="shared" si="32"/>
        <v>#DIV/0!</v>
      </c>
      <c r="CU17" s="102" t="s">
        <v>102</v>
      </c>
      <c r="CV17" s="94">
        <f>IFERROR(IF(AND($CV$2&lt;&gt;"Enter Spend&gt;&gt;&gt;",CW5="EXISTING"),SUMIFS('Existing Customers'!$Q:$Q,'Existing Customers'!$A:$A,$CV$1,'Existing Customers'!$H:$H,$CU17)*$CV$4,$CV$3*$CT17),0)</f>
        <v>0</v>
      </c>
      <c r="CW17" s="89">
        <f>IFERROR(IF(AND($CV$2&lt;&gt;"Enter Spend&gt;&gt;&gt;",CW2="EXISTING"),SUMIFS('Existing Customers'!$N:$N,'Existing Customers'!$A:$A,$CV$1,'Existing Customers'!$H:$H,$CU17)*$CV$4,$CV17/$DG17),0)</f>
        <v>0</v>
      </c>
      <c r="CX17" s="95">
        <f>IFERROR(IF(AND($CV$2&lt;&gt;"Enter Spend&gt;&gt;&gt;",BC28="EXISTING"),SUMIFS('Existing Customers'!$O:$O,'Existing Customers'!$H:$H,$CU17,'Existing Customers'!$A:$A,$CV$1)*$CV$4,$CW17*$CV$8),0)</f>
        <v>0</v>
      </c>
      <c r="CY17" s="95">
        <f>IFERROR(IF(AND($CV$2&lt;&gt;"Enter Spend&gt;&gt;&gt;",CW2="EXISTING"),SUMIFS('Existing Customers'!$P:$P,'Existing Customers'!$A:$A,$CV$1,'Existing Customers'!$H:$H,$CU17)*$CV$4,$CV17/$DH17),0)</f>
        <v>0</v>
      </c>
      <c r="CZ17" s="96">
        <f>IFERROR(IF(AND($CV$2&lt;&gt;"Enter Spend&gt;&gt;&gt;",CW2="EXISTING"),SUMIFS('Existing Customers'!$V:$V,'Existing Customers'!$H:$H,$CU17,'Existing Customers'!$A:$A,$CV$1)*$CV$4,0),0)</f>
        <v>0</v>
      </c>
      <c r="DA17" s="96">
        <f>IFERROR(IF(AND($CV$2&lt;&gt;"Enter Spend&gt;&gt;&gt;",CW2="EXISTING"),SUMIFS('Existing Customers'!$R:$R,'Existing Customers'!$H:$H,$BA17,'Existing Customers'!$A:$A,$CV$1)*$CV$4,0),0)</f>
        <v>0</v>
      </c>
      <c r="DB17" s="1161">
        <f>IFERROR(IF(AND($CV$2&lt;&gt;"Enter Spend&gt;&gt;&gt;",CW2="EXISTING"),SUMIFS('Existing Customers'!$S:$S,'Existing Customers'!$H:$H,$CU17,'Existing Customers'!$A:$A,$CV$1),DL17*CV17),0)</f>
        <v>0</v>
      </c>
      <c r="DC17" s="1161">
        <f>IFERROR(IF(AND($CV$2&lt;&gt;"Enter Spend&gt;&gt;&gt;",CW2="EXISTING"),SUMIFS('Existing Customers'!$U:$U,'Existing Customers'!$H:$H,$CU17,'Existing Customers'!$A:$A,$CV$1),DM17*CV17),0)</f>
        <v>0</v>
      </c>
      <c r="DD17" s="1164" t="e">
        <f t="shared" si="33"/>
        <v>#N/A</v>
      </c>
      <c r="DE17" s="1164">
        <f t="array" ref="DE17">IFERROR(INDEX('Margin Guidence Table'!$A$1:$AG$10000,MATCH(1,('Margin Guidence Table'!$A$1:$A$10000=DD17)*('Margin Guidence Table'!$I$1:$I$10000&lt;=ROUND($CV$3,0))*('Margin Guidence Table'!$J$1:$J$10000&gt;=ROUND($CV$3,0)),0),MATCH("DATA_POINTS",'Margin Guidence Table'!$A$1:$AG$1,0)),0)</f>
        <v>0</v>
      </c>
      <c r="DF17" s="1161" t="str">
        <f t="shared" si="34"/>
        <v>DEFAULT</v>
      </c>
      <c r="DG17" s="116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16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16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16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16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16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16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16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9"/>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96" t="e">
        <f t="shared" si="35"/>
        <v>#DIV/0!</v>
      </c>
      <c r="DR17" s="102" t="s">
        <v>102</v>
      </c>
      <c r="DS17" s="94">
        <f>IFERROR(IF(AND($DS$2&lt;&gt;"Enter Spend&gt;&gt;&gt;",DT5="EXISTING"),SUMIFS('Existing Customers'!$Q:$Q,'Existing Customers'!$A:$A,$DS$1,'Existing Customers'!$H:$H,$DR17)*$DS$4,$DS$3*$DQ17),0)</f>
        <v>0</v>
      </c>
      <c r="DT17" s="89">
        <f>IFERROR(IF(AND($DS$2&lt;&gt;"Enter Spend&gt;&gt;&gt;",DT2="EXISTING"),SUMIFS('Existing Customers'!$N:$N,'Existing Customers'!$A:$A,$DS$1,'Existing Customers'!$H:$H,$DR17)*$DS$4,$DS17/$ED17),0)</f>
        <v>0</v>
      </c>
      <c r="DU17" s="95">
        <f>IFERROR(IF(AND($DS$2&lt;&gt;"Enter Spend&gt;&gt;&gt;",DT2="EXISTING"),SUMIFS('Existing Customers'!$O:$O,'Existing Customers'!$H:$H,$DR17,'Existing Customers'!$A:$A,$DS$1)*$DS$4,$DT17*$DS$8),0)</f>
        <v>0</v>
      </c>
      <c r="DV17" s="95">
        <f>IFERROR(IF(AND($DS$2&lt;&gt;"Enter Spend&gt;&gt;&gt;",DT2="EXISTING"),SUMIFS('Existing Customers'!$P:$P,'Existing Customers'!$A:$A,$DS$1,'Existing Customers'!$H:$H,$DR17)*$DS$4,$DS17/$EE17),0)</f>
        <v>0</v>
      </c>
      <c r="DW17" s="96">
        <f>IFERROR(IF(AND($DS$2&lt;&gt;"Enter Spend&gt;&gt;&gt;",EQ2="EXISTING"),SUMIFS('Existing Customers'!$V:$V,'Existing Customers'!$H:$H,$DR17,'Existing Customers'!$A:$A,$DS$1)*$DS$4,0),0)</f>
        <v>0</v>
      </c>
      <c r="DX17" s="96">
        <f>IFERROR(IF(AND($DS$2&lt;&gt;"Enter Spend&gt;&gt;&gt;",DT2="EXISTING"),SUMIFS('Existing Customers'!$R:$R,'Existing Customers'!$H:$H,$DR17,'Existing Customers'!$A:$A,$DS$1)*$DS$4,0),0)</f>
        <v>0</v>
      </c>
      <c r="DY17" s="1161">
        <f>IFERROR(IF(AND($DS$2&lt;&gt;"Enter Spend&gt;&gt;&gt;",DT2="EXISTING"),SUMIFS('Existing Customers'!$S:$S,'Existing Customers'!$H:$H,$DT17,'Existing Customers'!$A:$A,$DS$1),EI17*DS17),0)</f>
        <v>0</v>
      </c>
      <c r="DZ17" s="1161">
        <f>IFERROR(IF(AND($DS$2&lt;&gt;"Enter Spend&gt;&gt;&gt;",DT2="EXISTING"),SUMIFS('Existing Customers'!$U:$U,'Existing Customers'!$H:$H,$DR17,'Existing Customers'!$A:$A,$DS$1),EJ17*DS17),0)</f>
        <v>0</v>
      </c>
      <c r="EA17" s="1164" t="e">
        <f t="shared" si="36"/>
        <v>#N/A</v>
      </c>
      <c r="EB17" s="1164">
        <f t="array" ref="EB17">IFERROR(INDEX('Margin Guidence Table'!$A$1:$AG$10000,MATCH(1,('Margin Guidence Table'!$A$1:$A$10000=EA17)*('Margin Guidence Table'!$I$1:$I$10000&lt;=ROUND($DS$3,0))*('Margin Guidence Table'!$J$1:$J$10000&gt;=ROUND($DS$3,0)),0),MATCH("DATA_POINTS",'Margin Guidence Table'!$A$1:$AG$1,0)),0)</f>
        <v>0</v>
      </c>
      <c r="EC17" s="1161" t="str">
        <f t="shared" si="37"/>
        <v>DEFAULT</v>
      </c>
      <c r="ED17" s="116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16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16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16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16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16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16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16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9"/>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96" t="e">
        <f t="shared" si="38"/>
        <v>#DIV/0!</v>
      </c>
      <c r="EO17" s="102" t="s">
        <v>102</v>
      </c>
      <c r="EP17" s="94">
        <f>IFERROR(IF(AND($EP$2&lt;&gt;"Enter Spend&gt;&gt;&gt;",EQ5="EXISTING"),SUMIFS('Existing Customers'!$Q:$Q,'Existing Customers'!$A:$A,$EP$1,'Existing Customers'!$H:$H,$EO17)*$EP$4,$EP$3*$EN17),0)</f>
        <v>0</v>
      </c>
      <c r="EQ17" s="89">
        <f>IFERROR(IF(AND($EP$2&lt;&gt;"Enter Spend&gt;&gt;&gt;",EQ2="EXISTING"),SUMIFS('Existing Customers'!$N:$N,'Existing Customers'!$A:$A,$EP$1,'Existing Customers'!$H:$H,$EO17)*$EP$4,$EP17/$FA17),0)</f>
        <v>0</v>
      </c>
      <c r="ER17" s="95">
        <f>IFERROR(IF(AND($EP$2&lt;&gt;"Enter Spend&gt;&gt;&gt;",EQ2="EXISTING"),SUMIFS('Existing Customers'!$O:$O,'Existing Customers'!$H:$H,$EO17,'Existing Customers'!$A:$A,$EP$1)*$EP$4,$EQ17*$EP$8),0)</f>
        <v>0</v>
      </c>
      <c r="ES17" s="95">
        <f>IFERROR(IF(AND($EP$2&lt;&gt;"Enter Spend&gt;&gt;&gt;",EQ2="EXISTING"),SUMIFS('Existing Customers'!$P:$P,'Existing Customers'!$A:$A,$EP$1,'Existing Customers'!$H:$H,$EO17)*$EP$4,$EP17/$FB17),0)</f>
        <v>0</v>
      </c>
      <c r="ET17" s="96">
        <f>IFERROR(IF(AND($EP$2&lt;&gt;"Enter Spend&gt;&gt;&gt;",EQ2="EXISTING"),SUMIFS('Existing Customers'!$V:$V,'Existing Customers'!$H:$H,$EO17,'Existing Customers'!$A:$A,$EP$1)*$EP$4,0),0)</f>
        <v>0</v>
      </c>
      <c r="EU17" s="96">
        <f>IFERROR(IF(AND($EP$2&lt;&gt;"Enter Spend&gt;&gt;&gt;",EQ2="EXISTING"),SUMIFS('Existing Customers'!$R:$R,'Existing Customers'!$H:$H,$EO17,'Existing Customers'!$A:$A,$EP$1)*$EP$4,0),0)</f>
        <v>0</v>
      </c>
      <c r="EV17" s="1161">
        <f>IFERROR(IF(AND($EP$2&lt;&gt;"Enter Spend&gt;&gt;&gt;",EQ2="EXISTING"),SUMIFS('Existing Customers'!$S:$S,'Existing Customers'!$H:$H,$EO17,'Existing Customers'!$A:$A,$EP$1),FF17*EP17),0)</f>
        <v>0</v>
      </c>
      <c r="EW17" s="1161">
        <f>IFERROR(IF(AND($EP$2&lt;&gt;"Enter Spend&gt;&gt;&gt;",EQ2="EXISTING"),SUMIFS('Existing Customers'!$U:$U,'Existing Customers'!$H:$H,$EO17,'Existing Customers'!$A:$A,$EP$1),FG17*EP17),0)</f>
        <v>0</v>
      </c>
      <c r="EX17" s="1164" t="e">
        <f t="shared" si="39"/>
        <v>#N/A</v>
      </c>
      <c r="EY17" s="1164">
        <f t="array" ref="EY17">IFERROR(INDEX('Margin Guidence Table'!$A$1:$AG$10000,MATCH(1,('Margin Guidence Table'!$A$1:$A$10000=EX17)*('Margin Guidence Table'!$I$1:$I$10000&lt;=ROUND($EP$3,0))*('Margin Guidence Table'!$J$1:$J$10000&gt;=ROUND($EP$3,0)),0),MATCH("DATA_POINTS",'Margin Guidence Table'!$A$1:$AG$1,0)),0)</f>
        <v>0</v>
      </c>
      <c r="EZ17" s="1161" t="str">
        <f t="shared" si="40"/>
        <v>DEFAULT</v>
      </c>
      <c r="FA17" s="116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16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16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16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16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16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16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16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9"/>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96" t="e">
        <f t="shared" si="41"/>
        <v>#DIV/0!</v>
      </c>
      <c r="FL17" s="102" t="s">
        <v>102</v>
      </c>
      <c r="FM17" s="94">
        <f>IFERROR(IF(AND($FM$2&lt;&gt;"Enter Spend&gt;&gt;&gt;",FN5="EXISTING"),SUMIFS('Existing Customers'!$Q:$Q,'Existing Customers'!$A:$A,$FM$1,'Existing Customers'!$H:$H,$FL17)*$FM$4,$FM$3*$FK17),0)</f>
        <v>0</v>
      </c>
      <c r="FN17" s="89">
        <f>IFERROR(IF(AND($FM$2&lt;&gt;"Enter Spend&gt;&gt;&gt;",FN2="EXISTING"),SUMIFS('Existing Customers'!$N:$N,'Existing Customers'!$A:$A,$FM$1,'Existing Customers'!$H:$H,$FL17)*$FM$4,$FM17/$FX17),0)</f>
        <v>0</v>
      </c>
      <c r="FO17" s="95">
        <f>IFERROR(IF(AND($FM$2&lt;&gt;"Enter Spend&gt;&gt;&gt;",FN2="EXISTING"),SUMIFS('Existing Customers'!$O:$O,'Existing Customers'!$H:$H,$FL17,'Existing Customers'!$A:$A,$FM$1)*$FM$4,$FN17*$FM$8),0)</f>
        <v>0</v>
      </c>
      <c r="FP17" s="95">
        <f>IFERROR(IF(AND($FM$2&lt;&gt;"Enter Spend&gt;&gt;&gt;",FN2="EXISTING"),SUMIFS('Existing Customers'!$P:$P,'Existing Customers'!$A:$A,$FM$1,'Existing Customers'!$H:$H,$FL17)*$FM$4,$FM17/$FY17),0)</f>
        <v>0</v>
      </c>
      <c r="FQ17" s="96">
        <f>IFERROR(IF(AND($FM$2&lt;&gt;"Enter Spend&gt;&gt;&gt;",FN2="EXISTING"),SUMIFS('Existing Customers'!$V:$V,'Existing Customers'!$H:$H,$FL17,'Existing Customers'!$A:$A,$FM$1)*$FM$4,0),0)</f>
        <v>0</v>
      </c>
      <c r="FR17" s="96">
        <f>IFERROR(IF(AND($FM$2&lt;&gt;"Enter Spend&gt;&gt;&gt;",FN2="EXISTING"),SUMIFS('Existing Customers'!$R:$R,'Existing Customers'!$H:$H,$FL17,'Existing Customers'!$A:$A,$FM$1)*$FM$4,0),0)</f>
        <v>0</v>
      </c>
      <c r="FS17" s="1161">
        <f>IFERROR(IF(AND($FM$2&lt;&gt;"Enter Spend&gt;&gt;&gt;",FN2="EXISTING"),SUMIFS('Existing Customers'!$S:$S,'Existing Customers'!$H:$H,$FL17,'Existing Customers'!$A:$A,$FM$1),GC17*FM17),0)</f>
        <v>0</v>
      </c>
      <c r="FT17" s="1161">
        <f>IFERROR(IF(AND($FM$2&lt;&gt;"Enter Spend&gt;&gt;&gt;",FN2="EXISTING"),SUMIFS('Existing Customers'!$U:$U,'Existing Customers'!$H:$H,$FL17,'Existing Customers'!$A:$A,$FM$1),GD17*FM17),0)</f>
        <v>0</v>
      </c>
      <c r="FU17" s="1164" t="e">
        <f t="shared" si="42"/>
        <v>#N/A</v>
      </c>
      <c r="FV17" s="1164">
        <f t="array" ref="FV17">IFERROR(INDEX('Margin Guidence Table'!$A$1:$AG$10000,MATCH(1,('Margin Guidence Table'!$A$1:$A$10000=FU17)*('Margin Guidence Table'!$I$1:$I$10000&lt;=ROUND($FM$3,0))*('Margin Guidence Table'!$J$1:$J$10000&gt;=ROUND($FM$3,0)),0),MATCH("DATA_POINTS",'Margin Guidence Table'!$A$1:$AG$1,0)),0)</f>
        <v>0</v>
      </c>
      <c r="FW17" s="1161" t="str">
        <f t="shared" si="43"/>
        <v>DEFAULT</v>
      </c>
      <c r="FX17" s="116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16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16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16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16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16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16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16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9"/>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96" t="e">
        <f t="shared" si="44"/>
        <v>#DIV/0!</v>
      </c>
      <c r="GI17" s="102" t="s">
        <v>102</v>
      </c>
      <c r="GJ17" s="94">
        <f>IFERROR(IF(AND($GJ$2&lt;&gt;"Enter Spend&gt;&gt;&gt;",GK5="EXISTING"),SUMIFS('Existing Customers'!$Q:$Q,'Existing Customers'!$A:$A,$GJ$1,'Existing Customers'!$H:$H,$GI17)*$GJ$4,$GJ$3*$GH17),0)</f>
        <v>0</v>
      </c>
      <c r="GK17" s="89">
        <f>IFERROR(IF(AND($GJ$2&lt;&gt;"Enter Spend&gt;&gt;&gt;",GK2="EXISTING"),SUMIFS('Existing Customers'!$N:$N,'Existing Customers'!$A:$A,$GJ$1,'Existing Customers'!$H:$H,$GI17)*$GJ$4,$GJ17/$GU17),0)</f>
        <v>0</v>
      </c>
      <c r="GL17" s="95">
        <f>IFERROR(IF(AND($GJ$2&lt;&gt;"Enter Spend&gt;&gt;&gt;",GK2="EXISTING"),SUMIFS('Existing Customers'!$O:$O,'Existing Customers'!$H:$H,$GI17,'Existing Customers'!$A:$A,$GJ$1)*$GJ$4,$GK17*$GJ$8),0)</f>
        <v>0</v>
      </c>
      <c r="GM17" s="95">
        <f>IFERROR(IF(AND($GJ$2&lt;&gt;"Enter Spend&gt;&gt;&gt;",GK2="EXISTING"),SUMIFS('Existing Customers'!$P:$P,'Existing Customers'!$A:$A,$GJ$1,'Existing Customers'!$H:$H,$GI17)*$GJ$4,$GJ17/$GV17),0)</f>
        <v>0</v>
      </c>
      <c r="GN17" s="96">
        <f>IFERROR(IF(AND($GJ$2&lt;&gt;"Enter Spend&gt;&gt;&gt;",GK2="EXISTING"),SUMIFS('Existing Customers'!$V:$V,'Existing Customers'!$H:$H,$GI17,'Existing Customers'!$A:$A,$GJ$1)*$GJ$4,0),0)</f>
        <v>0</v>
      </c>
      <c r="GO17" s="96">
        <f>IFERROR(IF(AND($GJ$2&lt;&gt;"Enter Spend&gt;&gt;&gt;",GK2="EXISTING"),SUMIFS('Existing Customers'!$R:$R,'Existing Customers'!$H:$H,$GI17,'Existing Customers'!$A:$A,$GJ$1)*$GJ$4,0),0)</f>
        <v>0</v>
      </c>
      <c r="GP17" s="1161">
        <f>IFERROR(IF(AND($GJ$2&lt;&gt;"Enter Spend&gt;&gt;&gt;",GK2="EXISTING"),SUMIFS('Existing Customers'!$S:$S,'Existing Customers'!$H:$H,$GI17,'Existing Customers'!$A:$A,$GJ$1),GZ17*GJ17),0)</f>
        <v>0</v>
      </c>
      <c r="GQ17" s="1161">
        <f>IFERROR(IF(AND($GJ$2&lt;&gt;"Enter Spend&gt;&gt;&gt;",GK2="EXISTING"),SUMIFS('Existing Customers'!$U:$U,'Existing Customers'!$H:$H,$GI17,'Existing Customers'!$A:$A,$GJ$1),HA17*GJ17),0)</f>
        <v>0</v>
      </c>
      <c r="GR17" s="1164" t="e">
        <f t="shared" si="45"/>
        <v>#N/A</v>
      </c>
      <c r="GS17" s="1164">
        <f t="array" ref="GS17">IFERROR(INDEX('Margin Guidence Table'!$A$1:$AG$10000,MATCH(1,('Margin Guidence Table'!$A$1:$A$10000=GR17)*('Margin Guidence Table'!$I$1:$I$10000&lt;=ROUND($GJ$3,0))*('Margin Guidence Table'!$J$1:$J$10000&gt;=ROUND($GJ$3,0)),0),MATCH("DATA_POINTS",'Margin Guidence Table'!$A$1:$AG$1,0)),0)</f>
        <v>0</v>
      </c>
      <c r="GT17" s="1161" t="str">
        <f t="shared" si="46"/>
        <v>DEFAULT</v>
      </c>
      <c r="GU17" s="116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16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16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16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16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16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16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16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9"/>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96" t="e">
        <f t="shared" si="47"/>
        <v>#DIV/0!</v>
      </c>
      <c r="HF17" s="102" t="s">
        <v>102</v>
      </c>
      <c r="HG17" s="94">
        <f>IFERROR(IF(AND($HG$2&lt;&gt;"Enter Spend&gt;&gt;&gt;",HH5="EXISTING"),SUMIFS('Existing Customers'!$Q:$Q,'Existing Customers'!$A:$A,$HG$1,'Existing Customers'!$H:$H,$HF17)*$HG$4,$HG$3*$HE17),0)</f>
        <v>0</v>
      </c>
      <c r="HH17" s="89">
        <f>IFERROR(IF(AND($HG$2&lt;&gt;"Enter Spend&gt;&gt;&gt;",HH2="EXISTING"),SUMIFS('Existing Customers'!$N:$N,'Existing Customers'!$A:$A,$HG$1,'Existing Customers'!$H:$H,$HF17)*$HG$4,$HG17/$HR17),0)</f>
        <v>0</v>
      </c>
      <c r="HI17" s="95">
        <f>IFERROR(IF(AND($HG$2&lt;&gt;"Enter Spend&gt;&gt;&gt;",HH2="EXISTING"),SUMIFS('Existing Customers'!$O:$O,'Existing Customers'!$H:$H,$HF17,'Existing Customers'!$A:$A,$HG$1)*$HG$4,$HH17*$HG$8),0)</f>
        <v>0</v>
      </c>
      <c r="HJ17" s="95">
        <f>IFERROR(IF(AND($HG$2&lt;&gt;"Enter Spend&gt;&gt;&gt;",HH2="EXISTING"),SUMIFS('Existing Customers'!$P:$P,'Existing Customers'!$A:$A,$HG$1,'Existing Customers'!$H:$H,$HF17)*$HG$4,$HG17/$HS17),0)</f>
        <v>0</v>
      </c>
      <c r="HK17" s="96">
        <f>IFERROR(IF(AND($HG$2&lt;&gt;"Enter Spend&gt;&gt;&gt;",HH2="EXISTING"),SUMIFS('Existing Customers'!$V:$V,'Existing Customers'!$H:$H,$HF17,'Existing Customers'!$A:$A,$HG$1)*$HG$4,0),0)</f>
        <v>0</v>
      </c>
      <c r="HL17" s="96">
        <f>IFERROR(IF(AND($HG$2&lt;&gt;"Enter Spend&gt;&gt;&gt;",HH2="EXISTING"),SUMIFS('Existing Customers'!$R:$R,'Existing Customers'!$H:$H,$HF17,'Existing Customers'!$A:$A,$HG$1)*$HG$4,0),0)</f>
        <v>0</v>
      </c>
      <c r="HM17" s="1161">
        <f>IFERROR(IF(AND($HG$2&lt;&gt;"Enter Spend&gt;&gt;&gt;",HH2="EXISTING"),SUMIFS('Existing Customers'!$S:$S,'Existing Customers'!$H:$H,$HF17,'Existing Customers'!$A:$A,$HG$1),HW17*HG17),0)</f>
        <v>0</v>
      </c>
      <c r="HN17" s="1161">
        <f>IFERROR(IF(AND($HG$2&lt;&gt;"Enter Spend&gt;&gt;&gt;",HH2="EXISTING"),SUMIFS('Existing Customers'!$U:$U,'Existing Customers'!$H:$H,$HF17,'Existing Customers'!$A:$A,$HG$1),HX17*HG17),0)</f>
        <v>0</v>
      </c>
      <c r="HO17" s="1164" t="e">
        <f t="shared" si="48"/>
        <v>#N/A</v>
      </c>
      <c r="HP17" s="1164">
        <f t="array" ref="HP17">IFERROR(INDEX('Margin Guidence Table'!$A$1:$AG$10000,MATCH(1,('Margin Guidence Table'!$A$1:$A$10000=HO17)*('Margin Guidence Table'!$I$1:$I$10000&lt;=ROUND($HG$3,0))*('Margin Guidence Table'!$J$1:$J$10000&gt;=ROUND($HG$3,0)),0),MATCH("DATA_POINTS",'Margin Guidence Table'!$A$1:$AG$1,0)),0)</f>
        <v>0</v>
      </c>
      <c r="HQ17" s="1161" t="str">
        <f t="shared" si="49"/>
        <v>DEFAULT</v>
      </c>
      <c r="HR17" s="116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16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16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16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16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16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16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16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9"/>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96" t="e">
        <f t="shared" si="50"/>
        <v>#DIV/0!</v>
      </c>
      <c r="IC17" s="102" t="s">
        <v>102</v>
      </c>
      <c r="ID17" s="94">
        <f>IFERROR(IF(AND($ID$2&lt;&gt;"Enter Spend&gt;&gt;&gt;",IE5="EXISTING"),SUMIFS('Existing Customers'!$Q:$Q,'Existing Customers'!$A:$A,$ID$1,'Existing Customers'!$H:$H,$IC17)*$ID$4,$ID$3*$IB17),0)</f>
        <v>0</v>
      </c>
      <c r="IE17" s="89">
        <f>IFERROR(IF(AND($ID$2&lt;&gt;"Enter Spend&gt;&gt;&gt;",IE2="EXISTING"),SUMIFS('Existing Customers'!$N:$N,'Existing Customers'!$A:$A,$ID$1,'Existing Customers'!$H:$H,$IC17)*$ID$4,$ID17/$IO17),0)</f>
        <v>0</v>
      </c>
      <c r="IF17" s="95">
        <f>IFERROR(IF(AND($ID$2&lt;&gt;"Enter Spend&gt;&gt;&gt;",IE2="EXISTING"),SUMIFS('Existing Customers'!$O:$O,'Existing Customers'!$H:$H,$IC17,'Existing Customers'!$A:$A,$ID$1)*$ID$4,$IE17*$ID$8),0)</f>
        <v>0</v>
      </c>
      <c r="IG17" s="95">
        <f>IFERROR(IF(AND($ID$2&lt;&gt;"Enter Spend&gt;&gt;&gt;",IE2="EXISTING"),SUMIFS('Existing Customers'!$P:$P,'Existing Customers'!$A:$A,$ID$1,'Existing Customers'!$H:$H,$IC17)*$ID$4,$ID17/$IP17),0)</f>
        <v>0</v>
      </c>
      <c r="IH17" s="402">
        <f>IFERROR(IF(AND($ID$2&lt;&gt;"Enter Spend&gt;&gt;&gt;",IE2="EXISTING"),SUMIFS('Existing Customers'!$V:$V,'Existing Customers'!$H:$H,$IC17,'Existing Customers'!$A:$A,$ID$1)*$ID$4,0),0)</f>
        <v>0</v>
      </c>
      <c r="II17" s="96">
        <f>IFERROR(IF(AND($ID$2&lt;&gt;"Enter Spend&gt;&gt;&gt;",IE2="EXISTING"),SUMIFS('Existing Customers'!$R:$R,'Existing Customers'!$H:$H,$IC17,'Existing Customers'!$A:$A,$ID$1)*$ID$4,0),0)</f>
        <v>0</v>
      </c>
      <c r="IJ17" s="1161">
        <f>IFERROR(IF(AND($ID$2&lt;&gt;"Enter Spend&gt;&gt;&gt;",IE2="EXISTING"),SUMIFS('Existing Customers'!$S:$S,'Existing Customers'!$H:$H,$IC17,'Existing Customers'!$A:$A,$ID$1),IT17*ID17),0)</f>
        <v>0</v>
      </c>
      <c r="IK17" s="1161">
        <f>IFERROR(IF(AND($ID$2&lt;&gt;"Enter Spend&gt;&gt;&gt;",IE2="EXISTING"),SUMIFS('Existing Customers'!$U:$U,'Existing Customers'!$H:$H,$IC17,'Existing Customers'!$A:$A,$ID$1),IU17*ID17),0)</f>
        <v>0</v>
      </c>
      <c r="IL17" s="1164" t="e">
        <f t="shared" si="51"/>
        <v>#N/A</v>
      </c>
      <c r="IM17" s="1164">
        <f t="array" ref="IM17">IFERROR(INDEX('Margin Guidence Table'!$A$1:$AG$10000,MATCH(1,('Margin Guidence Table'!$A$1:$A$10000=IL17)*('Margin Guidence Table'!$I$1:$I$10000&lt;=ROUND($ID$3,0))*('Margin Guidence Table'!$J$1:$J$10000&gt;=ROUND($ID$3,0)),0),MATCH("DATA_POINTS",'Margin Guidence Table'!$A$1:$AG$1,0)),0)</f>
        <v>0</v>
      </c>
      <c r="IN17" s="1161" t="str">
        <f t="shared" si="52"/>
        <v>DEFAULT</v>
      </c>
      <c r="IO17" s="116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16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16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16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16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16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16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16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9"/>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96" t="e">
        <f t="shared" si="53"/>
        <v>#DIV/0!</v>
      </c>
      <c r="IZ17" s="102" t="s">
        <v>102</v>
      </c>
      <c r="JA17" s="94">
        <f>IFERROR(IF(AND($JA$2&lt;&gt;"Enter Spend&gt;&gt;&gt;",JB5="EXISTING"),SUMIFS('Existing Customers'!$Q:$Q,'Existing Customers'!$A:$A,$JA$1,'Existing Customers'!$H:$H,$IZ17)*$JA$4,$JA$3*$IY17),0)</f>
        <v>0</v>
      </c>
      <c r="JB17" s="89">
        <f>IFERROR(IF(AND($JA$2&lt;&gt;"Enter Spend&gt;&gt;&gt;",JB2="EXISTING"),SUMIFS('Existing Customers'!$N:$N,'Existing Customers'!$A:$A,$JA$1,'Existing Customers'!$H:$H,$IZ17)*$JA$4,$JA17/$JL17),0)</f>
        <v>0</v>
      </c>
      <c r="JC17" s="95">
        <f>IFERROR(IF(AND($JA$2&lt;&gt;"Enter Spend&gt;&gt;&gt;",JB2="EXISTING"),SUMIFS('Existing Customers'!$O:$O,'Existing Customers'!$H:$H,$IZ17,'Existing Customers'!$A:$A,$JA$1)*$JA$4,$JB17*$JA$8),0)</f>
        <v>0</v>
      </c>
      <c r="JD17" s="95">
        <f>IFERROR(IF(AND($JA$2&lt;&gt;"Enter Spend&gt;&gt;&gt;",JB2="EXISTING"),SUMIFS('Existing Customers'!$P:$P,'Existing Customers'!$A:$A,$JA$1,'Existing Customers'!$H:$H,$IZ17)*$JA$4,$JA17/$JM17),0)</f>
        <v>0</v>
      </c>
      <c r="JE17" s="402">
        <f>IFERROR(IF(AND($JA$2&lt;&gt;"Enter Spend&gt;&gt;&gt;",JB2="EXISTING"),SUMIFS('Existing Customers'!$V:$V,'Existing Customers'!$H:$H,$IZ17,'Existing Customers'!$A:$A,$JA$1)*$JA$4,0),0)</f>
        <v>0</v>
      </c>
      <c r="JF17" s="96">
        <f>IFERROR(IF(AND($JA$2&lt;&gt;"Enter Spend&gt;&gt;&gt;",JB2="EXISTING"),SUMIFS('Existing Customers'!$R:$R,'Existing Customers'!$H:$H,$IZ17,'Existing Customers'!$A:$A,$JA$1)*$JA$4,0),0)</f>
        <v>0</v>
      </c>
      <c r="JG17" s="1161">
        <f>IFERROR(IF(AND($JA$2&lt;&gt;"Enter Spend&gt;&gt;&gt;",JB2="EXISTING"),SUMIFS('Existing Customers'!$S:$S,'Existing Customers'!$H:$H,$IZ17,'Existing Customers'!$A:$A,$JA$1),JQ17*JA17),0)</f>
        <v>0</v>
      </c>
      <c r="JH17" s="1161">
        <f>IFERROR(IF(AND($JA$2&lt;&gt;"Enter Spend&gt;&gt;&gt;",JB2="EXISTING"),SUMIFS('Existing Customers'!$U:$U,'Existing Customers'!$H:$H,$IZ17,'Existing Customers'!$A:$A,$JA$1),JR17*JA17),0)</f>
        <v>0</v>
      </c>
      <c r="JI17" s="1164" t="e">
        <f t="shared" si="54"/>
        <v>#N/A</v>
      </c>
      <c r="JJ17" s="1164">
        <f t="array" ref="JJ17">IFERROR(INDEX('Margin Guidence Table'!$A$1:$AG$10000,MATCH(1,('Margin Guidence Table'!$A$1:$A$10000=JI17)*('Margin Guidence Table'!$I$1:$I$10000&lt;=ROUND($JA$3,0))*('Margin Guidence Table'!$J$1:$J$10000&gt;=ROUND($JA$3,0)),0),MATCH("DATA_POINTS",'Margin Guidence Table'!$A$1:$AG$1,0)),0)</f>
        <v>0</v>
      </c>
      <c r="JK17" s="1161" t="str">
        <f t="shared" si="55"/>
        <v>DEFAULT</v>
      </c>
      <c r="JL17" s="116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16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16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16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16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16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16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16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2" t="s">
        <v>102</v>
      </c>
      <c r="JV17" s="97"/>
      <c r="JW17" s="89"/>
      <c r="JX17" s="89"/>
      <c r="JY17" s="89"/>
      <c r="JZ17" s="114"/>
      <c r="KA17" s="98"/>
      <c r="KB17" s="129"/>
      <c r="KD17" s="102" t="s">
        <v>102</v>
      </c>
      <c r="KE17" s="97"/>
      <c r="KF17" s="89"/>
      <c r="KG17" s="89"/>
      <c r="KH17" s="89"/>
      <c r="KI17" s="114"/>
      <c r="KJ17" s="98"/>
    </row>
    <row r="18" spans="2:296" ht="15.75" thickBot="1" x14ac:dyDescent="0.3">
      <c r="B18" s="102" t="s">
        <v>100</v>
      </c>
      <c r="C18" s="480">
        <f t="shared" si="11"/>
        <v>0</v>
      </c>
      <c r="D18" s="496">
        <f t="shared" si="12"/>
        <v>0</v>
      </c>
      <c r="E18" s="496">
        <f t="shared" si="13"/>
        <v>0</v>
      </c>
      <c r="F18" s="496">
        <f t="shared" si="14"/>
        <v>0</v>
      </c>
      <c r="G18" s="497">
        <f t="shared" si="15"/>
        <v>0</v>
      </c>
      <c r="H18" s="496">
        <f t="shared" si="16"/>
        <v>0</v>
      </c>
      <c r="I18" s="1157" t="e">
        <f t="shared" si="0"/>
        <v>#DIV/0!</v>
      </c>
      <c r="J18" s="1157" t="e">
        <f t="shared" si="1"/>
        <v>#DIV/0!</v>
      </c>
      <c r="K18" s="1157" t="e">
        <f t="shared" si="2"/>
        <v>#DIV/0!</v>
      </c>
      <c r="L18" s="496" t="e">
        <f t="shared" si="3"/>
        <v>#DIV/0!</v>
      </c>
      <c r="M18" s="496" t="e">
        <f t="shared" si="17"/>
        <v>#DIV/0!</v>
      </c>
      <c r="N18" s="1158" t="e">
        <f t="shared" si="4"/>
        <v>#DIV/0!</v>
      </c>
      <c r="P18" t="str">
        <f>'PIM Model'!E14</f>
        <v>INCLUDE</v>
      </c>
      <c r="Q18">
        <f t="shared" si="18"/>
        <v>0</v>
      </c>
      <c r="R18">
        <f t="shared" si="19"/>
        <v>0</v>
      </c>
      <c r="S18" s="102" t="s">
        <v>100</v>
      </c>
      <c r="T18" s="97">
        <f t="shared" si="20"/>
        <v>0</v>
      </c>
      <c r="U18" s="89">
        <f t="shared" si="5"/>
        <v>0</v>
      </c>
      <c r="V18" s="89">
        <f t="shared" si="6"/>
        <v>0</v>
      </c>
      <c r="W18" s="89">
        <f t="shared" si="7"/>
        <v>0</v>
      </c>
      <c r="X18" s="114">
        <f t="shared" si="8"/>
        <v>0</v>
      </c>
      <c r="Y18" s="117">
        <f t="shared" si="21"/>
        <v>0</v>
      </c>
      <c r="Z18" s="400"/>
      <c r="AA18" s="102" t="s">
        <v>100</v>
      </c>
      <c r="AB18" s="484">
        <f t="shared" si="9"/>
        <v>0</v>
      </c>
      <c r="AC18" s="485">
        <f t="shared" si="9"/>
        <v>0</v>
      </c>
      <c r="AD18" s="485">
        <f t="shared" si="9"/>
        <v>0</v>
      </c>
      <c r="AE18" s="486">
        <f t="shared" si="22"/>
        <v>0</v>
      </c>
      <c r="AF18" s="487">
        <f t="shared" si="23"/>
        <v>0</v>
      </c>
      <c r="AG18" s="400"/>
      <c r="AH18" s="102" t="s">
        <v>100</v>
      </c>
      <c r="AI18" s="484">
        <f t="shared" si="10"/>
        <v>0</v>
      </c>
      <c r="AJ18" s="481">
        <f t="shared" si="24"/>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400" t="e">
        <f t="shared" si="25"/>
        <v>#DIV/0!</v>
      </c>
      <c r="AR18">
        <f>'PIM Model'!C14</f>
        <v>0</v>
      </c>
      <c r="AS18" s="400"/>
      <c r="AT18" s="400"/>
      <c r="AU18" s="400" t="e">
        <f t="shared" si="56"/>
        <v>#DIV/0!</v>
      </c>
      <c r="AV18" s="400"/>
      <c r="AW18" s="400"/>
      <c r="AX18" s="108">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96" t="e">
        <f t="shared" si="26"/>
        <v>#DIV/0!</v>
      </c>
      <c r="BA18" s="102" t="s">
        <v>100</v>
      </c>
      <c r="BB18" s="94">
        <f>IFERROR(IF(AND($BB$2&lt;&gt;"Enter Spend&gt;&gt;&gt;",BC6="EXISTING"),SUMIFS('Existing Customers'!$Q:$Q,'Existing Customers'!$A:$A,$BB$1,'Existing Customers'!$H:$H,$BA18)*$BB$4,$BB$3*$AZ18),0)</f>
        <v>0</v>
      </c>
      <c r="BC18" s="95">
        <f>IFERROR(IF(AND($BB$2&lt;&gt;"Enter Spend&gt;&gt;&gt;",BC2="EXISTING"),SUMIFS('Existing Customers'!$N:$N,'Existing Customers'!$A:$A,$BB$1,'Existing Customers'!$H:$H,$BA18)*$BB$4,$BB18/$BM18),0)</f>
        <v>0</v>
      </c>
      <c r="BD18" s="95">
        <f>IFERROR(IF(AND($BB$2&lt;&gt;"Enter Spend&gt;&gt;&gt;",BC2="EXISTING"),SUMIFS('Existing Customers'!$O:$O,'Existing Customers'!$H:$H,$BA18,'Existing Customers'!$A:$A,$BB$1)*$BB$4,$BC18*$BB$8),0)</f>
        <v>0</v>
      </c>
      <c r="BE18" s="95">
        <f>IFERROR(IF(AND($BB$2&lt;&gt;"Enter Spend&gt;&gt;&gt;",BC2="EXISTING"),SUMIFS('Existing Customers'!$P:$P,'Existing Customers'!$A:$A,$BB$1,'Existing Customers'!$H:$H,$BA18)*$BB$4,$BB18/$BN18),0)</f>
        <v>0</v>
      </c>
      <c r="BF18" s="402">
        <f>IFERROR(IF(AND($BB$2&lt;&gt;"Enter Spend&gt;&gt;&gt;",BC2="EXISTING"),SUMIFS('Existing Customers'!$V:$V,'Existing Customers'!$H:$H,$BA18,'Existing Customers'!$A:$A,$BB$1)*$BB$4,0),0)</f>
        <v>0</v>
      </c>
      <c r="BG18" s="96">
        <f>IFERROR(IF(AND($BB$2&lt;&gt;"Enter Spend&gt;&gt;&gt;",BC2="EXISTING"),SUMIFS('Existing Customers'!$R:$R,'Existing Customers'!$H:$H,$BA18,'Existing Customers'!$A:$A,$BB$1)*$BB$4,0),0)</f>
        <v>0</v>
      </c>
      <c r="BH18" s="96">
        <f>IFERROR(IF(AND($BB$2&lt;&gt;"Enter Spend&gt;&gt;&gt;",BC2="EXISTING"),SUMIFS('Existing Customers'!$S:$S,'Existing Customers'!$H:$H,$BA18,'Existing Customers'!$A:$A,$BB$1),BR18*BB18),0)</f>
        <v>0</v>
      </c>
      <c r="BI18" s="96">
        <f>IFERROR(IF(AND($BB$2&lt;&gt;"Enter Spend&gt;&gt;&gt;",BC2="EXISTING"),SUMIFS('Existing Customers'!$U:$U,'Existing Customers'!$H:$H,$BA18,'Existing Customers'!$A:$A,$BB$1),BS18*BB18),0)</f>
        <v>0</v>
      </c>
      <c r="BJ18" s="1163" t="e">
        <f t="shared" si="27"/>
        <v>#N/A</v>
      </c>
      <c r="BK18" s="1164">
        <f t="array" ref="BK18">IFERROR(INDEX('Margin Guidence Table'!$A$1:$AG$10000,MATCH(1,('Margin Guidence Table'!$A$1:$A$10000=$BJ18)*('Margin Guidence Table'!$I$1:$I$10000&lt;=ROUND($BB$3,0))*('Margin Guidence Table'!$J$1:$J$10000&gt;=ROUND($BB$3,0)),0),MATCH("DATA_POINTS",'Margin Guidence Table'!$A$1:$AG$1,0)),0)</f>
        <v>0</v>
      </c>
      <c r="BL18" s="1161" t="str">
        <f t="shared" si="28"/>
        <v>DEFAULT</v>
      </c>
      <c r="BM18" s="116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16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16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16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16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16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16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16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9"/>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96" t="e">
        <f t="shared" si="29"/>
        <v>#DIV/0!</v>
      </c>
      <c r="BX18" s="102" t="s">
        <v>100</v>
      </c>
      <c r="BY18" s="94">
        <f>IFERROR(IF(AND($BY$2&lt;&gt;"Enter Spend&gt;&gt;&gt;",BZ6="EXISTING"),SUMIFS('Existing Customers'!$Q:$Q,'Existing Customers'!$A:$A,$BY$1,'Existing Customers'!$H:$H,$BX18)*$BY$4,$BY$3*$BW18),0)</f>
        <v>0</v>
      </c>
      <c r="BZ18" s="89">
        <f>IFERROR(IF(AND($BY$2&lt;&gt;"Enter Spend&gt;&gt;&gt;",BZ2="EXISTING"),SUMIFS('Existing Customers'!$N:$N,'Existing Customers'!$A:$A,$BY$1,'Existing Customers'!$H:$H,$BX18)*$BY$4,$BY18/$CJ18),0)</f>
        <v>0</v>
      </c>
      <c r="CA18" s="95">
        <f>IFERROR(IF(AND($BY$2&lt;&gt;"Enter Spend&gt;&gt;&gt;",BZ2="EXISTING"),SUMIFS('Existing Customers'!$O:$O,'Existing Customers'!$H:$H,$BX18,'Existing Customers'!$A:$A,$BY$1)*$BY$4,$BZ18*$BY$8),0)</f>
        <v>0</v>
      </c>
      <c r="CB18" s="95">
        <f>IFERROR(IF(AND($BY$2&lt;&gt;"Enter Spend&gt;&gt;&gt;",BZ2="EXISTING"),SUMIFS('Existing Customers'!$P:$P,'Existing Customers'!$A:$A,$BY$1,'Existing Customers'!$H:$H,$BX18)*$BY$4,$BY18/$CK18),0)</f>
        <v>0</v>
      </c>
      <c r="CC18" s="96">
        <f>IFERROR(IF(AND($BY$2&lt;&gt;"Enter Spend&gt;&gt;&gt;",BZ2="EXISTING"),SUMIFS('Existing Customers'!$V:$V,'Existing Customers'!$H:$H,$BX18,'Existing Customers'!$A:$A,$BY$1)*$BY$4,0),0)</f>
        <v>0</v>
      </c>
      <c r="CD18" s="96">
        <f>IFERROR(IF(AND($BY$2&lt;&gt;"Enter Spend&gt;&gt;&gt;",BZ2="EXISTING"),SUMIFS('Existing Customers'!$R:$R,'Existing Customers'!$H:$H,$BX18,'Existing Customers'!$A:$A,$BY$1)*$BY$4,0),0)</f>
        <v>0</v>
      </c>
      <c r="CE18" s="1161">
        <f>IFERROR(IF(AND($BY$2&lt;&gt;"Enter Spend&gt;&gt;&gt;",BZ2="EXISTING"),SUMIFS('Existing Customers'!$S:$S,'Existing Customers'!$H:$H,$BX18,'Existing Customers'!$A:$A,$BY$1),CO18*BY18),0)</f>
        <v>0</v>
      </c>
      <c r="CF18" s="1161">
        <f>IFERROR(IF(AND($BY$2&lt;&gt;"Enter Spend&gt;&gt;&gt;",BZ2="EXISTING"),SUMIFS('Existing Customers'!$U:$U,'Existing Customers'!$H:$H,$BX18,'Existing Customers'!$A:$A,$BY$1),CP18*BY18),0)</f>
        <v>0</v>
      </c>
      <c r="CG18" s="1164" t="e">
        <f t="shared" si="30"/>
        <v>#N/A</v>
      </c>
      <c r="CH18" s="1164">
        <f t="array" ref="CH18">IFERROR(INDEX('Margin Guidence Table'!$A$1:$AG$10000,MATCH(1,('Margin Guidence Table'!$A$1:$A$10000=$CG18)*('Margin Guidence Table'!$I$1:$I$10000&lt;=ROUND($BY$3,0))*('Margin Guidence Table'!$J$1:$J$10000&gt;=ROUND($BY$3,0)),0),MATCH("DATA_POINTS",'Margin Guidence Table'!$A$1:$AG$1,0)),0)</f>
        <v>0</v>
      </c>
      <c r="CI18" s="1161" t="str">
        <f t="shared" si="31"/>
        <v>DEFAULT</v>
      </c>
      <c r="CJ18" s="116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16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16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16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16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16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16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16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9"/>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96" t="e">
        <f t="shared" si="32"/>
        <v>#DIV/0!</v>
      </c>
      <c r="CU18" s="102" t="s">
        <v>100</v>
      </c>
      <c r="CV18" s="94">
        <f>IFERROR(IF(AND($CV$2&lt;&gt;"Enter Spend&gt;&gt;&gt;",CW6="EXISTING"),SUMIFS('Existing Customers'!$Q:$Q,'Existing Customers'!$A:$A,$CV$1,'Existing Customers'!$H:$H,$CU18)*$CV$4,$CV$3*$CT18),0)</f>
        <v>0</v>
      </c>
      <c r="CW18" s="89">
        <f>IFERROR(IF(AND($CV$2&lt;&gt;"Enter Spend&gt;&gt;&gt;",CW2="EXISTING"),SUMIFS('Existing Customers'!$N:$N,'Existing Customers'!$A:$A,$CV$1,'Existing Customers'!$H:$H,$CU18)*$CV$4,$CV18/$DG18),0)</f>
        <v>0</v>
      </c>
      <c r="CX18" s="95">
        <f>IFERROR(IF(AND($CV$2&lt;&gt;"Enter Spend&gt;&gt;&gt;",BC28="EXISTING"),SUMIFS('Existing Customers'!$O:$O,'Existing Customers'!$H:$H,$CU18,'Existing Customers'!$A:$A,$CV$1)*$CV$4,$CW18*$CV$8),0)</f>
        <v>0</v>
      </c>
      <c r="CY18" s="95">
        <f>IFERROR(IF(AND($CV$2&lt;&gt;"Enter Spend&gt;&gt;&gt;",CW2="EXISTING"),SUMIFS('Existing Customers'!$P:$P,'Existing Customers'!$A:$A,$CV$1,'Existing Customers'!$H:$H,$CU18)*$CV$4,$CV18/$DH18),0)</f>
        <v>0</v>
      </c>
      <c r="CZ18" s="96">
        <f>IFERROR(IF(AND($CV$2&lt;&gt;"Enter Spend&gt;&gt;&gt;",CW2="EXISTING"),SUMIFS('Existing Customers'!$V:$V,'Existing Customers'!$H:$H,$CU18,'Existing Customers'!$A:$A,$CV$1)*$CV$4,0),0)</f>
        <v>0</v>
      </c>
      <c r="DA18" s="96">
        <f>IFERROR(IF(AND($CV$2&lt;&gt;"Enter Spend&gt;&gt;&gt;",CW2="EXISTING"),SUMIFS('Existing Customers'!$R:$R,'Existing Customers'!$H:$H,$BA18,'Existing Customers'!$A:$A,$CV$1)*$CV$4,0),0)</f>
        <v>0</v>
      </c>
      <c r="DB18" s="1161">
        <f>IFERROR(IF(AND($CV$2&lt;&gt;"Enter Spend&gt;&gt;&gt;",CW2="EXISTING"),SUMIFS('Existing Customers'!$S:$S,'Existing Customers'!$H:$H,$CU18,'Existing Customers'!$A:$A,$CV$1),DL18*CV18),0)</f>
        <v>0</v>
      </c>
      <c r="DC18" s="1161">
        <f>IFERROR(IF(AND($CV$2&lt;&gt;"Enter Spend&gt;&gt;&gt;",CW2="EXISTING"),SUMIFS('Existing Customers'!$U:$U,'Existing Customers'!$H:$H,$CU18,'Existing Customers'!$A:$A,$CV$1),DM18*CV18),0)</f>
        <v>0</v>
      </c>
      <c r="DD18" s="1164" t="e">
        <f t="shared" si="33"/>
        <v>#N/A</v>
      </c>
      <c r="DE18" s="1164">
        <f t="array" ref="DE18">IFERROR(INDEX('Margin Guidence Table'!$A$1:$AG$10000,MATCH(1,('Margin Guidence Table'!$A$1:$A$10000=DD18)*('Margin Guidence Table'!$I$1:$I$10000&lt;=ROUND($CV$3,0))*('Margin Guidence Table'!$J$1:$J$10000&gt;=ROUND($CV$3,0)),0),MATCH("DATA_POINTS",'Margin Guidence Table'!$A$1:$AG$1,0)),0)</f>
        <v>0</v>
      </c>
      <c r="DF18" s="1161" t="str">
        <f t="shared" si="34"/>
        <v>DEFAULT</v>
      </c>
      <c r="DG18" s="116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16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16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16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16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16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16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16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9"/>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96" t="e">
        <f t="shared" si="35"/>
        <v>#DIV/0!</v>
      </c>
      <c r="DR18" s="102" t="s">
        <v>100</v>
      </c>
      <c r="DS18" s="94">
        <f>IFERROR(IF(AND($DS$2&lt;&gt;"Enter Spend&gt;&gt;&gt;",DT6="EXISTING"),SUMIFS('Existing Customers'!$Q:$Q,'Existing Customers'!$A:$A,$DS$1,'Existing Customers'!$H:$H,$DR18)*$DS$4,$DS$3*$DQ18),0)</f>
        <v>0</v>
      </c>
      <c r="DT18" s="89">
        <f>IFERROR(IF(AND($DS$2&lt;&gt;"Enter Spend&gt;&gt;&gt;",DT2="EXISTING"),SUMIFS('Existing Customers'!$N:$N,'Existing Customers'!$A:$A,$DS$1,'Existing Customers'!$H:$H,$DR18)*$DS$4,$DS18/$ED18),0)</f>
        <v>0</v>
      </c>
      <c r="DU18" s="95">
        <f>IFERROR(IF(AND($DS$2&lt;&gt;"Enter Spend&gt;&gt;&gt;",DT2="EXISTING"),SUMIFS('Existing Customers'!$O:$O,'Existing Customers'!$H:$H,$DR18,'Existing Customers'!$A:$A,$DS$1)*$DS$4,$DT18*$DS$8),0)</f>
        <v>0</v>
      </c>
      <c r="DV18" s="95">
        <f>IFERROR(IF(AND($DS$2&lt;&gt;"Enter Spend&gt;&gt;&gt;",DT2="EXISTING"),SUMIFS('Existing Customers'!$P:$P,'Existing Customers'!$A:$A,$DS$1,'Existing Customers'!$H:$H,$DR18)*$DS$4,$DS18/$EE18),0)</f>
        <v>0</v>
      </c>
      <c r="DW18" s="96">
        <f>IFERROR(IF(AND($DS$2&lt;&gt;"Enter Spend&gt;&gt;&gt;",EQ2="EXISTING"),SUMIFS('Existing Customers'!$V:$V,'Existing Customers'!$H:$H,$DR18,'Existing Customers'!$A:$A,$DS$1)*$DS$4,0),0)</f>
        <v>0</v>
      </c>
      <c r="DX18" s="96">
        <f>IFERROR(IF(AND($DS$2&lt;&gt;"Enter Spend&gt;&gt;&gt;",DT2="EXISTING"),SUMIFS('Existing Customers'!$R:$R,'Existing Customers'!$H:$H,$DR18,'Existing Customers'!$A:$A,$DS$1)*$DS$4,0),0)</f>
        <v>0</v>
      </c>
      <c r="DY18" s="1161">
        <f>IFERROR(IF(AND($DS$2&lt;&gt;"Enter Spend&gt;&gt;&gt;",DT2="EXISTING"),SUMIFS('Existing Customers'!$S:$S,'Existing Customers'!$H:$H,$DT18,'Existing Customers'!$A:$A,$DS$1),EI18*DS18),0)</f>
        <v>0</v>
      </c>
      <c r="DZ18" s="1161">
        <f>IFERROR(IF(AND($DS$2&lt;&gt;"Enter Spend&gt;&gt;&gt;",DT2="EXISTING"),SUMIFS('Existing Customers'!$U:$U,'Existing Customers'!$H:$H,$DR18,'Existing Customers'!$A:$A,$DS$1),EJ18*DS18),0)</f>
        <v>0</v>
      </c>
      <c r="EA18" s="1164" t="e">
        <f t="shared" si="36"/>
        <v>#N/A</v>
      </c>
      <c r="EB18" s="1164">
        <f t="array" ref="EB18">IFERROR(INDEX('Margin Guidence Table'!$A$1:$AG$10000,MATCH(1,('Margin Guidence Table'!$A$1:$A$10000=EA18)*('Margin Guidence Table'!$I$1:$I$10000&lt;=ROUND($DS$3,0))*('Margin Guidence Table'!$J$1:$J$10000&gt;=ROUND($DS$3,0)),0),MATCH("DATA_POINTS",'Margin Guidence Table'!$A$1:$AG$1,0)),0)</f>
        <v>0</v>
      </c>
      <c r="EC18" s="1161" t="str">
        <f t="shared" si="37"/>
        <v>DEFAULT</v>
      </c>
      <c r="ED18" s="116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16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16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16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16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16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16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16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9"/>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96" t="e">
        <f t="shared" si="38"/>
        <v>#DIV/0!</v>
      </c>
      <c r="EO18" s="102" t="s">
        <v>100</v>
      </c>
      <c r="EP18" s="94">
        <f>IFERROR(IF(AND($EP$2&lt;&gt;"Enter Spend&gt;&gt;&gt;",EQ6="EXISTING"),SUMIFS('Existing Customers'!$Q:$Q,'Existing Customers'!$A:$A,$EP$1,'Existing Customers'!$H:$H,$EO18)*$EP$4,$EP$3*$EN18),0)</f>
        <v>0</v>
      </c>
      <c r="EQ18" s="89">
        <f>IFERROR(IF(AND($EP$2&lt;&gt;"Enter Spend&gt;&gt;&gt;",EQ2="EXISTING"),SUMIFS('Existing Customers'!$N:$N,'Existing Customers'!$A:$A,$EP$1,'Existing Customers'!$H:$H,$EO18)*$EP$4,$EP18/$FA18),0)</f>
        <v>0</v>
      </c>
      <c r="ER18" s="95">
        <f>IFERROR(IF(AND($EP$2&lt;&gt;"Enter Spend&gt;&gt;&gt;",EQ2="EXISTING"),SUMIFS('Existing Customers'!$O:$O,'Existing Customers'!$H:$H,$EO18,'Existing Customers'!$A:$A,$EP$1)*$EP$4,$EQ18*$EP$8),0)</f>
        <v>0</v>
      </c>
      <c r="ES18" s="95">
        <f>IFERROR(IF(AND($EP$2&lt;&gt;"Enter Spend&gt;&gt;&gt;",EQ2="EXISTING"),SUMIFS('Existing Customers'!$P:$P,'Existing Customers'!$A:$A,$EP$1,'Existing Customers'!$H:$H,$EO18)*$EP$4,$EP18/$FB18),0)</f>
        <v>0</v>
      </c>
      <c r="ET18" s="96">
        <f>IFERROR(IF(AND($EP$2&lt;&gt;"Enter Spend&gt;&gt;&gt;",EQ2="EXISTING"),SUMIFS('Existing Customers'!$V:$V,'Existing Customers'!$H:$H,$EO18,'Existing Customers'!$A:$A,$EP$1)*$EP$4,0),0)</f>
        <v>0</v>
      </c>
      <c r="EU18" s="96">
        <f>IFERROR(IF(AND($EP$2&lt;&gt;"Enter Spend&gt;&gt;&gt;",EQ2="EXISTING"),SUMIFS('Existing Customers'!$R:$R,'Existing Customers'!$H:$H,$EO18,'Existing Customers'!$A:$A,$EP$1)*$EP$4,0),0)</f>
        <v>0</v>
      </c>
      <c r="EV18" s="1161">
        <f>IFERROR(IF(AND($EP$2&lt;&gt;"Enter Spend&gt;&gt;&gt;",EQ2="EXISTING"),SUMIFS('Existing Customers'!$S:$S,'Existing Customers'!$H:$H,$EO18,'Existing Customers'!$A:$A,$EP$1),FF18*EP18),0)</f>
        <v>0</v>
      </c>
      <c r="EW18" s="1161">
        <f>IFERROR(IF(AND($EP$2&lt;&gt;"Enter Spend&gt;&gt;&gt;",EQ2="EXISTING"),SUMIFS('Existing Customers'!$U:$U,'Existing Customers'!$H:$H,$EO18,'Existing Customers'!$A:$A,$EP$1),FG18*EP18),0)</f>
        <v>0</v>
      </c>
      <c r="EX18" s="1164" t="e">
        <f t="shared" si="39"/>
        <v>#N/A</v>
      </c>
      <c r="EY18" s="1164">
        <f t="array" ref="EY18">IFERROR(INDEX('Margin Guidence Table'!$A$1:$AG$10000,MATCH(1,('Margin Guidence Table'!$A$1:$A$10000=EX18)*('Margin Guidence Table'!$I$1:$I$10000&lt;=ROUND($EP$3,0))*('Margin Guidence Table'!$J$1:$J$10000&gt;=ROUND($EP$3,0)),0),MATCH("DATA_POINTS",'Margin Guidence Table'!$A$1:$AG$1,0)),0)</f>
        <v>0</v>
      </c>
      <c r="EZ18" s="1161" t="str">
        <f t="shared" si="40"/>
        <v>DEFAULT</v>
      </c>
      <c r="FA18" s="116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16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16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16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16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16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16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16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9"/>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96" t="e">
        <f t="shared" si="41"/>
        <v>#DIV/0!</v>
      </c>
      <c r="FL18" s="102" t="s">
        <v>100</v>
      </c>
      <c r="FM18" s="94">
        <f>IFERROR(IF(AND($FM$2&lt;&gt;"Enter Spend&gt;&gt;&gt;",FN6="EXISTING"),SUMIFS('Existing Customers'!$Q:$Q,'Existing Customers'!$A:$A,$FM$1,'Existing Customers'!$H:$H,$FL18)*$FM$4,$FM$3*$FK18),0)</f>
        <v>0</v>
      </c>
      <c r="FN18" s="89">
        <f>IFERROR(IF(AND($FM$2&lt;&gt;"Enter Spend&gt;&gt;&gt;",FN2="EXISTING"),SUMIFS('Existing Customers'!$N:$N,'Existing Customers'!$A:$A,$FM$1,'Existing Customers'!$H:$H,$FL18)*$FM$4,$FM18/$FX18),0)</f>
        <v>0</v>
      </c>
      <c r="FO18" s="95">
        <f>IFERROR(IF(AND($FM$2&lt;&gt;"Enter Spend&gt;&gt;&gt;",FN2="EXISTING"),SUMIFS('Existing Customers'!$O:$O,'Existing Customers'!$H:$H,$FL18,'Existing Customers'!$A:$A,$FM$1)*$FM$4,$FN18*$FM$8),0)</f>
        <v>0</v>
      </c>
      <c r="FP18" s="95">
        <f>IFERROR(IF(AND($FM$2&lt;&gt;"Enter Spend&gt;&gt;&gt;",FN2="EXISTING"),SUMIFS('Existing Customers'!$P:$P,'Existing Customers'!$A:$A,$FM$1,'Existing Customers'!$H:$H,$FL18)*$FM$4,$FM18/$FY18),0)</f>
        <v>0</v>
      </c>
      <c r="FQ18" s="96">
        <f>IFERROR(IF(AND($FM$2&lt;&gt;"Enter Spend&gt;&gt;&gt;",FN2="EXISTING"),SUMIFS('Existing Customers'!$V:$V,'Existing Customers'!$H:$H,$FL18,'Existing Customers'!$A:$A,$FM$1)*$FM$4,0),0)</f>
        <v>0</v>
      </c>
      <c r="FR18" s="96">
        <f>IFERROR(IF(AND($FM$2&lt;&gt;"Enter Spend&gt;&gt;&gt;",FN2="EXISTING"),SUMIFS('Existing Customers'!$R:$R,'Existing Customers'!$H:$H,$FL18,'Existing Customers'!$A:$A,$FM$1)*$FM$4,0),0)</f>
        <v>0</v>
      </c>
      <c r="FS18" s="1161">
        <f>IFERROR(IF(AND($FM$2&lt;&gt;"Enter Spend&gt;&gt;&gt;",FN2="EXISTING"),SUMIFS('Existing Customers'!$S:$S,'Existing Customers'!$H:$H,$FL18,'Existing Customers'!$A:$A,$FM$1),GC18*FM18),0)</f>
        <v>0</v>
      </c>
      <c r="FT18" s="1161">
        <f>IFERROR(IF(AND($FM$2&lt;&gt;"Enter Spend&gt;&gt;&gt;",FN2="EXISTING"),SUMIFS('Existing Customers'!$U:$U,'Existing Customers'!$H:$H,$FL18,'Existing Customers'!$A:$A,$FM$1),GD18*FM18),0)</f>
        <v>0</v>
      </c>
      <c r="FU18" s="1164" t="e">
        <f t="shared" si="42"/>
        <v>#N/A</v>
      </c>
      <c r="FV18" s="1164">
        <f t="array" ref="FV18">IFERROR(INDEX('Margin Guidence Table'!$A$1:$AG$10000,MATCH(1,('Margin Guidence Table'!$A$1:$A$10000=FU18)*('Margin Guidence Table'!$I$1:$I$10000&lt;=ROUND($FM$3,0))*('Margin Guidence Table'!$J$1:$J$10000&gt;=ROUND($FM$3,0)),0),MATCH("DATA_POINTS",'Margin Guidence Table'!$A$1:$AG$1,0)),0)</f>
        <v>0</v>
      </c>
      <c r="FW18" s="1161" t="str">
        <f t="shared" si="43"/>
        <v>DEFAULT</v>
      </c>
      <c r="FX18" s="116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16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16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16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16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16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16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16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9"/>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96" t="e">
        <f t="shared" si="44"/>
        <v>#DIV/0!</v>
      </c>
      <c r="GI18" s="102" t="s">
        <v>100</v>
      </c>
      <c r="GJ18" s="94">
        <f>IFERROR(IF(AND($GJ$2&lt;&gt;"Enter Spend&gt;&gt;&gt;",GK6="EXISTING"),SUMIFS('Existing Customers'!$Q:$Q,'Existing Customers'!$A:$A,$GJ$1,'Existing Customers'!$H:$H,$GI18)*$GJ$4,$GJ$3*$GH18),0)</f>
        <v>0</v>
      </c>
      <c r="GK18" s="89">
        <f>IFERROR(IF(AND($GJ$2&lt;&gt;"Enter Spend&gt;&gt;&gt;",GK2="EXISTING"),SUMIFS('Existing Customers'!$N:$N,'Existing Customers'!$A:$A,$GJ$1,'Existing Customers'!$H:$H,$GI18)*$GJ$4,$GJ18/$GU18),0)</f>
        <v>0</v>
      </c>
      <c r="GL18" s="95">
        <f>IFERROR(IF(AND($GJ$2&lt;&gt;"Enter Spend&gt;&gt;&gt;",GK2="EXISTING"),SUMIFS('Existing Customers'!$O:$O,'Existing Customers'!$H:$H,$GI18,'Existing Customers'!$A:$A,$GJ$1)*$GJ$4,$GK18*$GJ$8),0)</f>
        <v>0</v>
      </c>
      <c r="GM18" s="95">
        <f>IFERROR(IF(AND($GJ$2&lt;&gt;"Enter Spend&gt;&gt;&gt;",GK2="EXISTING"),SUMIFS('Existing Customers'!$P:$P,'Existing Customers'!$A:$A,$GJ$1,'Existing Customers'!$H:$H,$GI18)*$GJ$4,$GJ18/$GV18),0)</f>
        <v>0</v>
      </c>
      <c r="GN18" s="96">
        <f>IFERROR(IF(AND($GJ$2&lt;&gt;"Enter Spend&gt;&gt;&gt;",GK2="EXISTING"),SUMIFS('Existing Customers'!$V:$V,'Existing Customers'!$H:$H,$GI18,'Existing Customers'!$A:$A,$GJ$1)*$GJ$4,0),0)</f>
        <v>0</v>
      </c>
      <c r="GO18" s="96">
        <f>IFERROR(IF(AND($GJ$2&lt;&gt;"Enter Spend&gt;&gt;&gt;",GK2="EXISTING"),SUMIFS('Existing Customers'!$R:$R,'Existing Customers'!$H:$H,$GI18,'Existing Customers'!$A:$A,$GJ$1)*$GJ$4,0),0)</f>
        <v>0</v>
      </c>
      <c r="GP18" s="1161">
        <f>IFERROR(IF(AND($GJ$2&lt;&gt;"Enter Spend&gt;&gt;&gt;",GK2="EXISTING"),SUMIFS('Existing Customers'!$S:$S,'Existing Customers'!$H:$H,$GI18,'Existing Customers'!$A:$A,$GJ$1),GZ18*GJ18),0)</f>
        <v>0</v>
      </c>
      <c r="GQ18" s="1161">
        <f>IFERROR(IF(AND($GJ$2&lt;&gt;"Enter Spend&gt;&gt;&gt;",GK2="EXISTING"),SUMIFS('Existing Customers'!$U:$U,'Existing Customers'!$H:$H,$GI18,'Existing Customers'!$A:$A,$GJ$1),HA18*GJ18),0)</f>
        <v>0</v>
      </c>
      <c r="GR18" s="1164" t="e">
        <f t="shared" si="45"/>
        <v>#N/A</v>
      </c>
      <c r="GS18" s="1164">
        <f t="array" ref="GS18">IFERROR(INDEX('Margin Guidence Table'!$A$1:$AG$10000,MATCH(1,('Margin Guidence Table'!$A$1:$A$10000=GR18)*('Margin Guidence Table'!$I$1:$I$10000&lt;=ROUND($GJ$3,0))*('Margin Guidence Table'!$J$1:$J$10000&gt;=ROUND($GJ$3,0)),0),MATCH("DATA_POINTS",'Margin Guidence Table'!$A$1:$AG$1,0)),0)</f>
        <v>0</v>
      </c>
      <c r="GT18" s="1161" t="str">
        <f t="shared" si="46"/>
        <v>DEFAULT</v>
      </c>
      <c r="GU18" s="116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16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16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16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16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16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16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16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9"/>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96" t="e">
        <f t="shared" si="47"/>
        <v>#DIV/0!</v>
      </c>
      <c r="HF18" s="102" t="s">
        <v>100</v>
      </c>
      <c r="HG18" s="94">
        <f>IFERROR(IF(AND($HG$2&lt;&gt;"Enter Spend&gt;&gt;&gt;",HH6="EXISTING"),SUMIFS('Existing Customers'!$Q:$Q,'Existing Customers'!$A:$A,$HG$1,'Existing Customers'!$H:$H,$HF18)*$HG$4,$HG$3*$HE18),0)</f>
        <v>0</v>
      </c>
      <c r="HH18" s="89">
        <f>IFERROR(IF(AND($HG$2&lt;&gt;"Enter Spend&gt;&gt;&gt;",HH2="EXISTING"),SUMIFS('Existing Customers'!$N:$N,'Existing Customers'!$A:$A,$HG$1,'Existing Customers'!$H:$H,$HF18)*$HG$4,$HG18/$HR18),0)</f>
        <v>0</v>
      </c>
      <c r="HI18" s="95">
        <f>IFERROR(IF(AND($HG$2&lt;&gt;"Enter Spend&gt;&gt;&gt;",HH2="EXISTING"),SUMIFS('Existing Customers'!$O:$O,'Existing Customers'!$H:$H,$HF18,'Existing Customers'!$A:$A,$HG$1)*$HG$4,$HH18*$HG$8),0)</f>
        <v>0</v>
      </c>
      <c r="HJ18" s="95">
        <f>IFERROR(IF(AND($HG$2&lt;&gt;"Enter Spend&gt;&gt;&gt;",HH2="EXISTING"),SUMIFS('Existing Customers'!$P:$P,'Existing Customers'!$A:$A,$HG$1,'Existing Customers'!$H:$H,$HF18)*$HG$4,$HG18/$HS18),0)</f>
        <v>0</v>
      </c>
      <c r="HK18" s="96">
        <f>IFERROR(IF(AND($HG$2&lt;&gt;"Enter Spend&gt;&gt;&gt;",HH2="EXISTING"),SUMIFS('Existing Customers'!$V:$V,'Existing Customers'!$H:$H,$HF18,'Existing Customers'!$A:$A,$HG$1)*$HG$4,0),0)</f>
        <v>0</v>
      </c>
      <c r="HL18" s="96">
        <f>IFERROR(IF(AND($HG$2&lt;&gt;"Enter Spend&gt;&gt;&gt;",HH2="EXISTING"),SUMIFS('Existing Customers'!$R:$R,'Existing Customers'!$H:$H,$HF18,'Existing Customers'!$A:$A,$HG$1)*$HG$4,0),0)</f>
        <v>0</v>
      </c>
      <c r="HM18" s="1161">
        <f>IFERROR(IF(AND($HG$2&lt;&gt;"Enter Spend&gt;&gt;&gt;",HH2="EXISTING"),SUMIFS('Existing Customers'!$S:$S,'Existing Customers'!$H:$H,$HF18,'Existing Customers'!$A:$A,$HG$1),HW18*HG18),0)</f>
        <v>0</v>
      </c>
      <c r="HN18" s="1161">
        <f>IFERROR(IF(AND($HG$2&lt;&gt;"Enter Spend&gt;&gt;&gt;",HH2="EXISTING"),SUMIFS('Existing Customers'!$U:$U,'Existing Customers'!$H:$H,$HF18,'Existing Customers'!$A:$A,$HG$1),HX18*HG18),0)</f>
        <v>0</v>
      </c>
      <c r="HO18" s="1164" t="e">
        <f t="shared" si="48"/>
        <v>#N/A</v>
      </c>
      <c r="HP18" s="1164">
        <f t="array" ref="HP18">IFERROR(INDEX('Margin Guidence Table'!$A$1:$AG$10000,MATCH(1,('Margin Guidence Table'!$A$1:$A$10000=HO18)*('Margin Guidence Table'!$I$1:$I$10000&lt;=ROUND($HG$3,0))*('Margin Guidence Table'!$J$1:$J$10000&gt;=ROUND($HG$3,0)),0),MATCH("DATA_POINTS",'Margin Guidence Table'!$A$1:$AG$1,0)),0)</f>
        <v>0</v>
      </c>
      <c r="HQ18" s="1161" t="str">
        <f t="shared" si="49"/>
        <v>DEFAULT</v>
      </c>
      <c r="HR18" s="116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16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16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16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16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16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16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16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9"/>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96" t="e">
        <f t="shared" si="50"/>
        <v>#DIV/0!</v>
      </c>
      <c r="IC18" s="102" t="s">
        <v>100</v>
      </c>
      <c r="ID18" s="94">
        <f>IFERROR(IF(AND($ID$2&lt;&gt;"Enter Spend&gt;&gt;&gt;",IE6="EXISTING"),SUMIFS('Existing Customers'!$Q:$Q,'Existing Customers'!$A:$A,$ID$1,'Existing Customers'!$H:$H,$IC18)*$ID$4,$ID$3*$IB18),0)</f>
        <v>0</v>
      </c>
      <c r="IE18" s="89">
        <f>IFERROR(IF(AND($ID$2&lt;&gt;"Enter Spend&gt;&gt;&gt;",IE2="EXISTING"),SUMIFS('Existing Customers'!$N:$N,'Existing Customers'!$A:$A,$ID$1,'Existing Customers'!$H:$H,$IC18)*$ID$4,$ID18/$IO18),0)</f>
        <v>0</v>
      </c>
      <c r="IF18" s="95">
        <f>IFERROR(IF(AND($ID$2&lt;&gt;"Enter Spend&gt;&gt;&gt;",IE2="EXISTING"),SUMIFS('Existing Customers'!$O:$O,'Existing Customers'!$H:$H,$IC18,'Existing Customers'!$A:$A,$ID$1)*$ID$4,$IE18*$ID$8),0)</f>
        <v>0</v>
      </c>
      <c r="IG18" s="95">
        <f>IFERROR(IF(AND($ID$2&lt;&gt;"Enter Spend&gt;&gt;&gt;",IE2="EXISTING"),SUMIFS('Existing Customers'!$P:$P,'Existing Customers'!$A:$A,$ID$1,'Existing Customers'!$H:$H,$IC18)*$ID$4,$ID18/$IP18),0)</f>
        <v>0</v>
      </c>
      <c r="IH18" s="402">
        <f>IFERROR(IF(AND($ID$2&lt;&gt;"Enter Spend&gt;&gt;&gt;",IE2="EXISTING"),SUMIFS('Existing Customers'!$V:$V,'Existing Customers'!$H:$H,$IC18,'Existing Customers'!$A:$A,$ID$1)*$ID$4,0),0)</f>
        <v>0</v>
      </c>
      <c r="II18" s="96">
        <f>IFERROR(IF(AND($ID$2&lt;&gt;"Enter Spend&gt;&gt;&gt;",IE2="EXISTING"),SUMIFS('Existing Customers'!$R:$R,'Existing Customers'!$H:$H,$IC18,'Existing Customers'!$A:$A,$ID$1)*$ID$4,0),0)</f>
        <v>0</v>
      </c>
      <c r="IJ18" s="1161">
        <f>IFERROR(IF(AND($ID$2&lt;&gt;"Enter Spend&gt;&gt;&gt;",IE2="EXISTING"),SUMIFS('Existing Customers'!$S:$S,'Existing Customers'!$H:$H,$IC18,'Existing Customers'!$A:$A,$ID$1),IT18*ID18),0)</f>
        <v>0</v>
      </c>
      <c r="IK18" s="1161">
        <f>IFERROR(IF(AND($ID$2&lt;&gt;"Enter Spend&gt;&gt;&gt;",IE2="EXISTING"),SUMIFS('Existing Customers'!$U:$U,'Existing Customers'!$H:$H,$IC18,'Existing Customers'!$A:$A,$ID$1),IU18*ID18),0)</f>
        <v>0</v>
      </c>
      <c r="IL18" s="1164" t="e">
        <f t="shared" si="51"/>
        <v>#N/A</v>
      </c>
      <c r="IM18" s="1164">
        <f t="array" ref="IM18">IFERROR(INDEX('Margin Guidence Table'!$A$1:$AG$10000,MATCH(1,('Margin Guidence Table'!$A$1:$A$10000=IL18)*('Margin Guidence Table'!$I$1:$I$10000&lt;=ROUND($ID$3,0))*('Margin Guidence Table'!$J$1:$J$10000&gt;=ROUND($ID$3,0)),0),MATCH("DATA_POINTS",'Margin Guidence Table'!$A$1:$AG$1,0)),0)</f>
        <v>0</v>
      </c>
      <c r="IN18" s="1161" t="str">
        <f t="shared" si="52"/>
        <v>DEFAULT</v>
      </c>
      <c r="IO18" s="116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16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16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16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16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16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16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16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9"/>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96" t="e">
        <f t="shared" si="53"/>
        <v>#DIV/0!</v>
      </c>
      <c r="IZ18" s="102" t="s">
        <v>100</v>
      </c>
      <c r="JA18" s="94">
        <f>IFERROR(IF(AND($JA$2&lt;&gt;"Enter Spend&gt;&gt;&gt;",JB6="EXISTING"),SUMIFS('Existing Customers'!$Q:$Q,'Existing Customers'!$A:$A,$JA$1,'Existing Customers'!$H:$H,$IZ18)*$JA$4,$JA$3*$IY18),0)</f>
        <v>0</v>
      </c>
      <c r="JB18" s="89">
        <f>IFERROR(IF(AND($JA$2&lt;&gt;"Enter Spend&gt;&gt;&gt;",JB2="EXISTING"),SUMIFS('Existing Customers'!$N:$N,'Existing Customers'!$A:$A,$JA$1,'Existing Customers'!$H:$H,$IZ18)*$JA$4,$JA18/$JL18),0)</f>
        <v>0</v>
      </c>
      <c r="JC18" s="95">
        <f>IFERROR(IF(AND($JA$2&lt;&gt;"Enter Spend&gt;&gt;&gt;",JB2="EXISTING"),SUMIFS('Existing Customers'!$O:$O,'Existing Customers'!$H:$H,$IZ18,'Existing Customers'!$A:$A,$JA$1)*$JA$4,$JB18*$JA$8),0)</f>
        <v>0</v>
      </c>
      <c r="JD18" s="95">
        <f>IFERROR(IF(AND($JA$2&lt;&gt;"Enter Spend&gt;&gt;&gt;",JB2="EXISTING"),SUMIFS('Existing Customers'!$P:$P,'Existing Customers'!$A:$A,$JA$1,'Existing Customers'!$H:$H,$IZ18)*$JA$4,$JA18/$JM18),0)</f>
        <v>0</v>
      </c>
      <c r="JE18" s="402">
        <f>IFERROR(IF(AND($JA$2&lt;&gt;"Enter Spend&gt;&gt;&gt;",JB2="EXISTING"),SUMIFS('Existing Customers'!$V:$V,'Existing Customers'!$H:$H,$IZ18,'Existing Customers'!$A:$A,$JA$1)*$JA$4,0),0)</f>
        <v>0</v>
      </c>
      <c r="JF18" s="96">
        <f>IFERROR(IF(AND($JA$2&lt;&gt;"Enter Spend&gt;&gt;&gt;",JB2="EXISTING"),SUMIFS('Existing Customers'!$R:$R,'Existing Customers'!$H:$H,$IZ18,'Existing Customers'!$A:$A,$JA$1)*$JA$4,0),0)</f>
        <v>0</v>
      </c>
      <c r="JG18" s="1161">
        <f>IFERROR(IF(AND($JA$2&lt;&gt;"Enter Spend&gt;&gt;&gt;",JB2="EXISTING"),SUMIFS('Existing Customers'!$S:$S,'Existing Customers'!$H:$H,$IZ18,'Existing Customers'!$A:$A,$JA$1),JQ18*JA18),0)</f>
        <v>0</v>
      </c>
      <c r="JH18" s="1161">
        <f>IFERROR(IF(AND($JA$2&lt;&gt;"Enter Spend&gt;&gt;&gt;",JB2="EXISTING"),SUMIFS('Existing Customers'!$U:$U,'Existing Customers'!$H:$H,$IZ18,'Existing Customers'!$A:$A,$JA$1),JR18*JA18),0)</f>
        <v>0</v>
      </c>
      <c r="JI18" s="1164" t="e">
        <f t="shared" si="54"/>
        <v>#N/A</v>
      </c>
      <c r="JJ18" s="1164">
        <f t="array" ref="JJ18">IFERROR(INDEX('Margin Guidence Table'!$A$1:$AG$10000,MATCH(1,('Margin Guidence Table'!$A$1:$A$10000=JI18)*('Margin Guidence Table'!$I$1:$I$10000&lt;=ROUND($JA$3,0))*('Margin Guidence Table'!$J$1:$J$10000&gt;=ROUND($JA$3,0)),0),MATCH("DATA_POINTS",'Margin Guidence Table'!$A$1:$AG$1,0)),0)</f>
        <v>0</v>
      </c>
      <c r="JK18" s="1161" t="str">
        <f t="shared" si="55"/>
        <v>DEFAULT</v>
      </c>
      <c r="JL18" s="116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16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16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16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16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16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16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16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2" t="s">
        <v>100</v>
      </c>
      <c r="JV18" s="97"/>
      <c r="JW18" s="89"/>
      <c r="JX18" s="89"/>
      <c r="JY18" s="89"/>
      <c r="JZ18" s="114"/>
      <c r="KA18" s="98"/>
      <c r="KB18" s="129"/>
      <c r="KD18" s="102" t="s">
        <v>100</v>
      </c>
      <c r="KE18" s="97"/>
      <c r="KF18" s="89"/>
      <c r="KG18" s="89"/>
      <c r="KH18" s="89"/>
      <c r="KI18" s="114"/>
      <c r="KJ18" s="98"/>
    </row>
    <row r="19" spans="2:296" ht="15.75" thickBot="1" x14ac:dyDescent="0.3">
      <c r="B19" s="102" t="s">
        <v>104</v>
      </c>
      <c r="C19" s="480">
        <f t="shared" si="11"/>
        <v>0</v>
      </c>
      <c r="D19" s="496">
        <f t="shared" si="12"/>
        <v>0</v>
      </c>
      <c r="E19" s="496">
        <f t="shared" si="13"/>
        <v>0</v>
      </c>
      <c r="F19" s="496">
        <f t="shared" si="14"/>
        <v>0</v>
      </c>
      <c r="G19" s="497">
        <f t="shared" si="15"/>
        <v>0</v>
      </c>
      <c r="H19" s="496">
        <f t="shared" si="16"/>
        <v>0</v>
      </c>
      <c r="I19" s="1157" t="e">
        <f t="shared" si="0"/>
        <v>#DIV/0!</v>
      </c>
      <c r="J19" s="1157" t="e">
        <f t="shared" si="1"/>
        <v>#DIV/0!</v>
      </c>
      <c r="K19" s="1157" t="e">
        <f t="shared" si="2"/>
        <v>#DIV/0!</v>
      </c>
      <c r="L19" s="496" t="e">
        <f t="shared" si="3"/>
        <v>#DIV/0!</v>
      </c>
      <c r="M19" s="496" t="e">
        <f t="shared" si="17"/>
        <v>#DIV/0!</v>
      </c>
      <c r="N19" s="1158" t="e">
        <f t="shared" si="4"/>
        <v>#DIV/0!</v>
      </c>
      <c r="P19" t="str">
        <f>'PIM Model'!E15</f>
        <v>INCLUDE</v>
      </c>
      <c r="Q19">
        <f t="shared" si="18"/>
        <v>0</v>
      </c>
      <c r="R19">
        <f t="shared" si="19"/>
        <v>0</v>
      </c>
      <c r="S19" s="102" t="s">
        <v>104</v>
      </c>
      <c r="T19" s="97">
        <f t="shared" si="20"/>
        <v>0</v>
      </c>
      <c r="U19" s="89">
        <f t="shared" si="5"/>
        <v>0</v>
      </c>
      <c r="V19" s="89">
        <f t="shared" si="6"/>
        <v>0</v>
      </c>
      <c r="W19" s="89">
        <f t="shared" si="7"/>
        <v>0</v>
      </c>
      <c r="X19" s="114">
        <f t="shared" si="8"/>
        <v>0</v>
      </c>
      <c r="Y19" s="117">
        <f t="shared" si="21"/>
        <v>0</v>
      </c>
      <c r="Z19" s="400"/>
      <c r="AA19" s="102" t="s">
        <v>104</v>
      </c>
      <c r="AB19" s="484">
        <f t="shared" si="9"/>
        <v>0</v>
      </c>
      <c r="AC19" s="485">
        <f t="shared" si="9"/>
        <v>0</v>
      </c>
      <c r="AD19" s="485">
        <f t="shared" si="9"/>
        <v>0</v>
      </c>
      <c r="AE19" s="486">
        <f t="shared" si="22"/>
        <v>0</v>
      </c>
      <c r="AF19" s="487">
        <f t="shared" si="23"/>
        <v>0</v>
      </c>
      <c r="AG19" s="400"/>
      <c r="AH19" s="102" t="s">
        <v>104</v>
      </c>
      <c r="AI19" s="484">
        <f t="shared" si="10"/>
        <v>0</v>
      </c>
      <c r="AJ19" s="481">
        <f t="shared" si="24"/>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400" t="e">
        <f t="shared" si="25"/>
        <v>#DIV/0!</v>
      </c>
      <c r="AR19">
        <f>'PIM Model'!C15</f>
        <v>0</v>
      </c>
      <c r="AS19" s="400"/>
      <c r="AT19" s="400"/>
      <c r="AU19" s="400" t="e">
        <f t="shared" si="56"/>
        <v>#DIV/0!</v>
      </c>
      <c r="AV19" s="400"/>
      <c r="AW19" s="400"/>
      <c r="AX19" s="108">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96" t="e">
        <f t="shared" si="26"/>
        <v>#DIV/0!</v>
      </c>
      <c r="BA19" s="102" t="s">
        <v>104</v>
      </c>
      <c r="BB19" s="94">
        <f>IFERROR(IF(AND($BB$2&lt;&gt;"Enter Spend&gt;&gt;&gt;",BC7="EXISTING"),SUMIFS('Existing Customers'!$Q:$Q,'Existing Customers'!$A:$A,$BB$1,'Existing Customers'!$H:$H,$BA19)*$BB$4,$BB$3*$AZ19),0)</f>
        <v>0</v>
      </c>
      <c r="BC19" s="95">
        <f>IFERROR(IF(AND($BB$2&lt;&gt;"Enter Spend&gt;&gt;&gt;",BC2="EXISTING"),SUMIFS('Existing Customers'!$N:$N,'Existing Customers'!$A:$A,$BB$1,'Existing Customers'!$H:$H,$BA19)*$BB$4,$BB19/$BM19),0)</f>
        <v>0</v>
      </c>
      <c r="BD19" s="95">
        <f>IFERROR(IF(AND($BB$2&lt;&gt;"Enter Spend&gt;&gt;&gt;",BC2="EXISTING"),SUMIFS('Existing Customers'!$O:$O,'Existing Customers'!$H:$H,$BA19,'Existing Customers'!$A:$A,$BB$1)*$BB$4,$BC19*$BB$8),0)</f>
        <v>0</v>
      </c>
      <c r="BE19" s="95">
        <f>IFERROR(IF(AND($BB$2&lt;&gt;"Enter Spend&gt;&gt;&gt;",BC2="EXISTING"),SUMIFS('Existing Customers'!$P:$P,'Existing Customers'!$A:$A,$BB$1,'Existing Customers'!$H:$H,$BA19)*$BB$4,$BB19/$BN19),0)</f>
        <v>0</v>
      </c>
      <c r="BF19" s="402">
        <f>IFERROR(IF(AND($BB$2&lt;&gt;"Enter Spend&gt;&gt;&gt;",BC2="EXISTING"),SUMIFS('Existing Customers'!$V:$V,'Existing Customers'!$H:$H,$BA19,'Existing Customers'!$A:$A,$BB$1)*$BB$4,0),0)</f>
        <v>0</v>
      </c>
      <c r="BG19" s="96">
        <f>IFERROR(IF(AND($BB$2&lt;&gt;"Enter Spend&gt;&gt;&gt;",BC2="EXISTING"),SUMIFS('Existing Customers'!$R:$R,'Existing Customers'!$H:$H,$BA19,'Existing Customers'!$A:$A,$BB$1)*$BB$4,0),0)</f>
        <v>0</v>
      </c>
      <c r="BH19" s="96">
        <f>IFERROR(IF(AND($BB$2&lt;&gt;"Enter Spend&gt;&gt;&gt;",BC2="EXISTING"),SUMIFS('Existing Customers'!$S:$S,'Existing Customers'!$H:$H,$BA19,'Existing Customers'!$A:$A,$BB$1),BR19*BB19),0)</f>
        <v>0</v>
      </c>
      <c r="BI19" s="96">
        <f>IFERROR(IF(AND($BB$2&lt;&gt;"Enter Spend&gt;&gt;&gt;",BC2="EXISTING"),SUMIFS('Existing Customers'!$U:$U,'Existing Customers'!$H:$H,$BA19,'Existing Customers'!$A:$A,$BB$1),BS19*BB19),0)</f>
        <v>0</v>
      </c>
      <c r="BJ19" s="1163" t="e">
        <f t="shared" si="27"/>
        <v>#N/A</v>
      </c>
      <c r="BK19" s="1164">
        <f t="array" ref="BK19">IFERROR(INDEX('Margin Guidence Table'!$A$1:$AG$10000,MATCH(1,('Margin Guidence Table'!$A$1:$A$10000=$BJ19)*('Margin Guidence Table'!$I$1:$I$10000&lt;=ROUND($BB$3,0))*('Margin Guidence Table'!$J$1:$J$10000&gt;=ROUND($BB$3,0)),0),MATCH("DATA_POINTS",'Margin Guidence Table'!$A$1:$AG$1,0)),0)</f>
        <v>0</v>
      </c>
      <c r="BL19" s="1161" t="str">
        <f t="shared" si="28"/>
        <v>DEFAULT</v>
      </c>
      <c r="BM19" s="116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16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16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16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16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16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16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16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9"/>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96" t="e">
        <f t="shared" si="29"/>
        <v>#DIV/0!</v>
      </c>
      <c r="BX19" s="102" t="s">
        <v>104</v>
      </c>
      <c r="BY19" s="94">
        <f>IFERROR(IF(AND($BY$2&lt;&gt;"Enter Spend&gt;&gt;&gt;",BZ7="EXISTING"),SUMIFS('Existing Customers'!$Q:$Q,'Existing Customers'!$A:$A,$BY$1,'Existing Customers'!$H:$H,$BX19)*$BY$4,$BY$3*$BW19),0)</f>
        <v>0</v>
      </c>
      <c r="BZ19" s="89">
        <f>IFERROR(IF(AND($BY$2&lt;&gt;"Enter Spend&gt;&gt;&gt;",BZ2="EXISTING"),SUMIFS('Existing Customers'!$N:$N,'Existing Customers'!$A:$A,$BY$1,'Existing Customers'!$H:$H,$BX19)*$BY$4,$BY19/$CJ19),0)</f>
        <v>0</v>
      </c>
      <c r="CA19" s="95">
        <f>IFERROR(IF(AND($BY$2&lt;&gt;"Enter Spend&gt;&gt;&gt;",BZ2="EXISTING"),SUMIFS('Existing Customers'!$O:$O,'Existing Customers'!$H:$H,$BX19,'Existing Customers'!$A:$A,$BY$1)*$BY$4,$BZ19*$BY$8),0)</f>
        <v>0</v>
      </c>
      <c r="CB19" s="95">
        <f>IFERROR(IF(AND($BY$2&lt;&gt;"Enter Spend&gt;&gt;&gt;",BZ2="EXISTING"),SUMIFS('Existing Customers'!$P:$P,'Existing Customers'!$A:$A,$BY$1,'Existing Customers'!$H:$H,$BX19)*$BY$4,$BY19/$CK19),0)</f>
        <v>0</v>
      </c>
      <c r="CC19" s="96">
        <f>IFERROR(IF(AND($BY$2&lt;&gt;"Enter Spend&gt;&gt;&gt;",BZ2="EXISTING"),SUMIFS('Existing Customers'!$V:$V,'Existing Customers'!$H:$H,$BX19,'Existing Customers'!$A:$A,$BY$1)*$BY$4,0),0)</f>
        <v>0</v>
      </c>
      <c r="CD19" s="96">
        <f>IFERROR(IF(AND($BY$2&lt;&gt;"Enter Spend&gt;&gt;&gt;",BZ2="EXISTING"),SUMIFS('Existing Customers'!$R:$R,'Existing Customers'!$H:$H,$BX19,'Existing Customers'!$A:$A,$BY$1)*$BY$4,0),0)</f>
        <v>0</v>
      </c>
      <c r="CE19" s="1161">
        <f>IFERROR(IF(AND($BY$2&lt;&gt;"Enter Spend&gt;&gt;&gt;",BZ2="EXISTING"),SUMIFS('Existing Customers'!$S:$S,'Existing Customers'!$H:$H,$BX19,'Existing Customers'!$A:$A,$BY$1),CO19*BY19),0)</f>
        <v>0</v>
      </c>
      <c r="CF19" s="1161">
        <f>IFERROR(IF(AND($BY$2&lt;&gt;"Enter Spend&gt;&gt;&gt;",BZ2="EXISTING"),SUMIFS('Existing Customers'!$U:$U,'Existing Customers'!$H:$H,$BX19,'Existing Customers'!$A:$A,$BY$1),CP19*BY19),0)</f>
        <v>0</v>
      </c>
      <c r="CG19" s="1164" t="e">
        <f t="shared" si="30"/>
        <v>#N/A</v>
      </c>
      <c r="CH19" s="1164">
        <f t="array" ref="CH19">IFERROR(INDEX('Margin Guidence Table'!$A$1:$AG$10000,MATCH(1,('Margin Guidence Table'!$A$1:$A$10000=$CG19)*('Margin Guidence Table'!$I$1:$I$10000&lt;=ROUND($BY$3,0))*('Margin Guidence Table'!$J$1:$J$10000&gt;=ROUND($BY$3,0)),0),MATCH("DATA_POINTS",'Margin Guidence Table'!$A$1:$AG$1,0)),0)</f>
        <v>0</v>
      </c>
      <c r="CI19" s="1161" t="str">
        <f t="shared" si="31"/>
        <v>DEFAULT</v>
      </c>
      <c r="CJ19" s="116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16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16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16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16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16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16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16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9"/>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96" t="e">
        <f t="shared" si="32"/>
        <v>#DIV/0!</v>
      </c>
      <c r="CU19" s="102" t="s">
        <v>104</v>
      </c>
      <c r="CV19" s="94">
        <f>IFERROR(IF(AND($CV$2&lt;&gt;"Enter Spend&gt;&gt;&gt;",CW7="EXISTING"),SUMIFS('Existing Customers'!$Q:$Q,'Existing Customers'!$A:$A,$CV$1,'Existing Customers'!$H:$H,$CU19)*$CV$4,$CV$3*$CT19),0)</f>
        <v>0</v>
      </c>
      <c r="CW19" s="89">
        <f>IFERROR(IF(AND($CV$2&lt;&gt;"Enter Spend&gt;&gt;&gt;",CW2="EXISTING"),SUMIFS('Existing Customers'!$N:$N,'Existing Customers'!$A:$A,$CV$1,'Existing Customers'!$H:$H,$CU19)*$CV$4,$CV19/$DG19),0)</f>
        <v>0</v>
      </c>
      <c r="CX19" s="95">
        <f>IFERROR(IF(AND($CV$2&lt;&gt;"Enter Spend&gt;&gt;&gt;",BC28="EXISTING"),SUMIFS('Existing Customers'!$O:$O,'Existing Customers'!$H:$H,$CU19,'Existing Customers'!$A:$A,$CV$1)*$CV$4,$CW19*$CV$8),0)</f>
        <v>0</v>
      </c>
      <c r="CY19" s="95">
        <f>IFERROR(IF(AND($CV$2&lt;&gt;"Enter Spend&gt;&gt;&gt;",CW2="EXISTING"),SUMIFS('Existing Customers'!$P:$P,'Existing Customers'!$A:$A,$CV$1,'Existing Customers'!$H:$H,$CU19)*$CV$4,$CV19/$DH19),0)</f>
        <v>0</v>
      </c>
      <c r="CZ19" s="96">
        <f>IFERROR(IF(AND($CV$2&lt;&gt;"Enter Spend&gt;&gt;&gt;",CW2="EXISTING"),SUMIFS('Existing Customers'!$V:$V,'Existing Customers'!$H:$H,$CU19,'Existing Customers'!$A:$A,$CV$1)*$CV$4,0),0)</f>
        <v>0</v>
      </c>
      <c r="DA19" s="96">
        <f>IFERROR(IF(AND($CV$2&lt;&gt;"Enter Spend&gt;&gt;&gt;",CW2="EXISTING"),SUMIFS('Existing Customers'!$R:$R,'Existing Customers'!$H:$H,$BA19,'Existing Customers'!$A:$A,$CV$1)*$CV$4,0),0)</f>
        <v>0</v>
      </c>
      <c r="DB19" s="1161">
        <f>IFERROR(IF(AND($CV$2&lt;&gt;"Enter Spend&gt;&gt;&gt;",CW2="EXISTING"),SUMIFS('Existing Customers'!$S:$S,'Existing Customers'!$H:$H,$CU19,'Existing Customers'!$A:$A,$CV$1),DL19*CV19),0)</f>
        <v>0</v>
      </c>
      <c r="DC19" s="1161">
        <f>IFERROR(IF(AND($CV$2&lt;&gt;"Enter Spend&gt;&gt;&gt;",CW2="EXISTING"),SUMIFS('Existing Customers'!$U:$U,'Existing Customers'!$H:$H,$CU19,'Existing Customers'!$A:$A,$CV$1),DM19*CV19),0)</f>
        <v>0</v>
      </c>
      <c r="DD19" s="1164" t="e">
        <f t="shared" si="33"/>
        <v>#N/A</v>
      </c>
      <c r="DE19" s="1164">
        <f t="array" ref="DE19">IFERROR(INDEX('Margin Guidence Table'!$A$1:$AG$10000,MATCH(1,('Margin Guidence Table'!$A$1:$A$10000=DD19)*('Margin Guidence Table'!$I$1:$I$10000&lt;=ROUND($CV$3,0))*('Margin Guidence Table'!$J$1:$J$10000&gt;=ROUND($CV$3,0)),0),MATCH("DATA_POINTS",'Margin Guidence Table'!$A$1:$AG$1,0)),0)</f>
        <v>0</v>
      </c>
      <c r="DF19" s="1161" t="str">
        <f t="shared" si="34"/>
        <v>DEFAULT</v>
      </c>
      <c r="DG19" s="116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16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16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16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16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16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16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16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9"/>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96" t="e">
        <f t="shared" si="35"/>
        <v>#DIV/0!</v>
      </c>
      <c r="DR19" s="102" t="s">
        <v>104</v>
      </c>
      <c r="DS19" s="94">
        <f>IFERROR(IF(AND($DS$2&lt;&gt;"Enter Spend&gt;&gt;&gt;",DT7="EXISTING"),SUMIFS('Existing Customers'!$Q:$Q,'Existing Customers'!$A:$A,$DS$1,'Existing Customers'!$H:$H,$DR19)*$DS$4,$DS$3*$DQ19),0)</f>
        <v>0</v>
      </c>
      <c r="DT19" s="89">
        <f>IFERROR(IF(AND($DS$2&lt;&gt;"Enter Spend&gt;&gt;&gt;",DT2="EXISTING"),SUMIFS('Existing Customers'!$N:$N,'Existing Customers'!$A:$A,$DS$1,'Existing Customers'!$H:$H,$DR19)*$DS$4,$DS19/$ED19),0)</f>
        <v>0</v>
      </c>
      <c r="DU19" s="95">
        <f>IFERROR(IF(AND($DS$2&lt;&gt;"Enter Spend&gt;&gt;&gt;",DT2="EXISTING"),SUMIFS('Existing Customers'!$O:$O,'Existing Customers'!$H:$H,$DR19,'Existing Customers'!$A:$A,$DS$1)*$DS$4,$DT19*$DS$8),0)</f>
        <v>0</v>
      </c>
      <c r="DV19" s="95">
        <f>IFERROR(IF(AND($DS$2&lt;&gt;"Enter Spend&gt;&gt;&gt;",DT2="EXISTING"),SUMIFS('Existing Customers'!$P:$P,'Existing Customers'!$A:$A,$DS$1,'Existing Customers'!$H:$H,$DR19)*$DS$4,$DS19/$EE19),0)</f>
        <v>0</v>
      </c>
      <c r="DW19" s="96">
        <f>IFERROR(IF(AND($DS$2&lt;&gt;"Enter Spend&gt;&gt;&gt;",EQ2="EXISTING"),SUMIFS('Existing Customers'!$V:$V,'Existing Customers'!$H:$H,$DR19,'Existing Customers'!$A:$A,$DS$1)*$DS$4,0),0)</f>
        <v>0</v>
      </c>
      <c r="DX19" s="96">
        <f>IFERROR(IF(AND($DS$2&lt;&gt;"Enter Spend&gt;&gt;&gt;",DT2="EXISTING"),SUMIFS('Existing Customers'!$R:$R,'Existing Customers'!$H:$H,$DR19,'Existing Customers'!$A:$A,$DS$1)*$DS$4,0),0)</f>
        <v>0</v>
      </c>
      <c r="DY19" s="1161">
        <f>IFERROR(IF(AND($DS$2&lt;&gt;"Enter Spend&gt;&gt;&gt;",DT2="EXISTING"),SUMIFS('Existing Customers'!$S:$S,'Existing Customers'!$H:$H,$DT19,'Existing Customers'!$A:$A,$DS$1),EI19*DS19),0)</f>
        <v>0</v>
      </c>
      <c r="DZ19" s="1161">
        <f>IFERROR(IF(AND($DS$2&lt;&gt;"Enter Spend&gt;&gt;&gt;",DT2="EXISTING"),SUMIFS('Existing Customers'!$U:$U,'Existing Customers'!$H:$H,$DR19,'Existing Customers'!$A:$A,$DS$1),EJ19*DS19),0)</f>
        <v>0</v>
      </c>
      <c r="EA19" s="1164" t="e">
        <f t="shared" si="36"/>
        <v>#N/A</v>
      </c>
      <c r="EB19" s="1164">
        <f t="array" ref="EB19">IFERROR(INDEX('Margin Guidence Table'!$A$1:$AG$10000,MATCH(1,('Margin Guidence Table'!$A$1:$A$10000=EA19)*('Margin Guidence Table'!$I$1:$I$10000&lt;=ROUND($DS$3,0))*('Margin Guidence Table'!$J$1:$J$10000&gt;=ROUND($DS$3,0)),0),MATCH("DATA_POINTS",'Margin Guidence Table'!$A$1:$AG$1,0)),0)</f>
        <v>0</v>
      </c>
      <c r="EC19" s="1161" t="str">
        <f t="shared" si="37"/>
        <v>DEFAULT</v>
      </c>
      <c r="ED19" s="116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16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16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16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16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16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16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16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9"/>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96" t="e">
        <f t="shared" si="38"/>
        <v>#DIV/0!</v>
      </c>
      <c r="EO19" s="102" t="s">
        <v>104</v>
      </c>
      <c r="EP19" s="94">
        <f>IFERROR(IF(AND($EP$2&lt;&gt;"Enter Spend&gt;&gt;&gt;",EQ7="EXISTING"),SUMIFS('Existing Customers'!$Q:$Q,'Existing Customers'!$A:$A,$EP$1,'Existing Customers'!$H:$H,$EO19)*$EP$4,$EP$3*$EN19),0)</f>
        <v>0</v>
      </c>
      <c r="EQ19" s="89">
        <f>IFERROR(IF(AND($EP$2&lt;&gt;"Enter Spend&gt;&gt;&gt;",EQ2="EXISTING"),SUMIFS('Existing Customers'!$N:$N,'Existing Customers'!$A:$A,$EP$1,'Existing Customers'!$H:$H,$EO19)*$EP$4,$EP19/$FA19),0)</f>
        <v>0</v>
      </c>
      <c r="ER19" s="95">
        <f>IFERROR(IF(AND($EP$2&lt;&gt;"Enter Spend&gt;&gt;&gt;",EQ2="EXISTING"),SUMIFS('Existing Customers'!$O:$O,'Existing Customers'!$H:$H,$EO19,'Existing Customers'!$A:$A,$EP$1)*$EP$4,$EQ19*$EP$8),0)</f>
        <v>0</v>
      </c>
      <c r="ES19" s="95">
        <f>IFERROR(IF(AND($EP$2&lt;&gt;"Enter Spend&gt;&gt;&gt;",EQ2="EXISTING"),SUMIFS('Existing Customers'!$P:$P,'Existing Customers'!$A:$A,$EP$1,'Existing Customers'!$H:$H,$EO19)*$EP$4,$EP19/$FB19),0)</f>
        <v>0</v>
      </c>
      <c r="ET19" s="96">
        <f>IFERROR(IF(AND($EP$2&lt;&gt;"Enter Spend&gt;&gt;&gt;",EQ2="EXISTING"),SUMIFS('Existing Customers'!$V:$V,'Existing Customers'!$H:$H,$EO19,'Existing Customers'!$A:$A,$EP$1)*$EP$4,0),0)</f>
        <v>0</v>
      </c>
      <c r="EU19" s="96">
        <f>IFERROR(IF(AND($EP$2&lt;&gt;"Enter Spend&gt;&gt;&gt;",EQ2="EXISTING"),SUMIFS('Existing Customers'!$R:$R,'Existing Customers'!$H:$H,$EO19,'Existing Customers'!$A:$A,$EP$1)*$EP$4,0),0)</f>
        <v>0</v>
      </c>
      <c r="EV19" s="1161">
        <f>IFERROR(IF(AND($EP$2&lt;&gt;"Enter Spend&gt;&gt;&gt;",EQ2="EXISTING"),SUMIFS('Existing Customers'!$S:$S,'Existing Customers'!$H:$H,$EO19,'Existing Customers'!$A:$A,$EP$1),FF19*EP19),0)</f>
        <v>0</v>
      </c>
      <c r="EW19" s="1161">
        <f>IFERROR(IF(AND($EP$2&lt;&gt;"Enter Spend&gt;&gt;&gt;",EQ2="EXISTING"),SUMIFS('Existing Customers'!$U:$U,'Existing Customers'!$H:$H,$EO19,'Existing Customers'!$A:$A,$EP$1),FG19*EP19),0)</f>
        <v>0</v>
      </c>
      <c r="EX19" s="1164" t="e">
        <f t="shared" si="39"/>
        <v>#N/A</v>
      </c>
      <c r="EY19" s="1164">
        <f t="array" ref="EY19">IFERROR(INDEX('Margin Guidence Table'!$A$1:$AG$10000,MATCH(1,('Margin Guidence Table'!$A$1:$A$10000=EX19)*('Margin Guidence Table'!$I$1:$I$10000&lt;=ROUND($EP$3,0))*('Margin Guidence Table'!$J$1:$J$10000&gt;=ROUND($EP$3,0)),0),MATCH("DATA_POINTS",'Margin Guidence Table'!$A$1:$AG$1,0)),0)</f>
        <v>0</v>
      </c>
      <c r="EZ19" s="1161" t="str">
        <f t="shared" si="40"/>
        <v>DEFAULT</v>
      </c>
      <c r="FA19" s="116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16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16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16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16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16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16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16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9"/>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96" t="e">
        <f t="shared" si="41"/>
        <v>#DIV/0!</v>
      </c>
      <c r="FL19" s="102" t="s">
        <v>104</v>
      </c>
      <c r="FM19" s="94">
        <f>IFERROR(IF(AND($FM$2&lt;&gt;"Enter Spend&gt;&gt;&gt;",FN7="EXISTING"),SUMIFS('Existing Customers'!$Q:$Q,'Existing Customers'!$A:$A,$FM$1,'Existing Customers'!$H:$H,$FL19)*$FM$4,$FM$3*$FK19),0)</f>
        <v>0</v>
      </c>
      <c r="FN19" s="89">
        <f>IFERROR(IF(AND($FM$2&lt;&gt;"Enter Spend&gt;&gt;&gt;",FN2="EXISTING"),SUMIFS('Existing Customers'!$N:$N,'Existing Customers'!$A:$A,$FM$1,'Existing Customers'!$H:$H,$FL19)*$FM$4,$FM19/$FX19),0)</f>
        <v>0</v>
      </c>
      <c r="FO19" s="95">
        <f>IFERROR(IF(AND($FM$2&lt;&gt;"Enter Spend&gt;&gt;&gt;",FN2="EXISTING"),SUMIFS('Existing Customers'!$O:$O,'Existing Customers'!$H:$H,$FL19,'Existing Customers'!$A:$A,$FM$1)*$FM$4,$FN19*$FM$8),0)</f>
        <v>0</v>
      </c>
      <c r="FP19" s="95">
        <f>IFERROR(IF(AND($FM$2&lt;&gt;"Enter Spend&gt;&gt;&gt;",FN2="EXISTING"),SUMIFS('Existing Customers'!$P:$P,'Existing Customers'!$A:$A,$FM$1,'Existing Customers'!$H:$H,$FL19)*$FM$4,$FM19/$FY19),0)</f>
        <v>0</v>
      </c>
      <c r="FQ19" s="96">
        <f>IFERROR(IF(AND($FM$2&lt;&gt;"Enter Spend&gt;&gt;&gt;",FN2="EXISTING"),SUMIFS('Existing Customers'!$V:$V,'Existing Customers'!$H:$H,$FL19,'Existing Customers'!$A:$A,$FM$1)*$FM$4,0),0)</f>
        <v>0</v>
      </c>
      <c r="FR19" s="96">
        <f>IFERROR(IF(AND($FM$2&lt;&gt;"Enter Spend&gt;&gt;&gt;",FN2="EXISTING"),SUMIFS('Existing Customers'!$R:$R,'Existing Customers'!$H:$H,$FL19,'Existing Customers'!$A:$A,$FM$1)*$FM$4,0),0)</f>
        <v>0</v>
      </c>
      <c r="FS19" s="1161">
        <f>IFERROR(IF(AND($FM$2&lt;&gt;"Enter Spend&gt;&gt;&gt;",FN2="EXISTING"),SUMIFS('Existing Customers'!$S:$S,'Existing Customers'!$H:$H,$FL19,'Existing Customers'!$A:$A,$FM$1),GC19*FM19),0)</f>
        <v>0</v>
      </c>
      <c r="FT19" s="1161">
        <f>IFERROR(IF(AND($FM$2&lt;&gt;"Enter Spend&gt;&gt;&gt;",FN2="EXISTING"),SUMIFS('Existing Customers'!$U:$U,'Existing Customers'!$H:$H,$FL19,'Existing Customers'!$A:$A,$FM$1),GD19*FM19),0)</f>
        <v>0</v>
      </c>
      <c r="FU19" s="1164" t="e">
        <f t="shared" si="42"/>
        <v>#N/A</v>
      </c>
      <c r="FV19" s="1164">
        <f t="array" ref="FV19">IFERROR(INDEX('Margin Guidence Table'!$A$1:$AG$10000,MATCH(1,('Margin Guidence Table'!$A$1:$A$10000=FU19)*('Margin Guidence Table'!$I$1:$I$10000&lt;=ROUND($FM$3,0))*('Margin Guidence Table'!$J$1:$J$10000&gt;=ROUND($FM$3,0)),0),MATCH("DATA_POINTS",'Margin Guidence Table'!$A$1:$AG$1,0)),0)</f>
        <v>0</v>
      </c>
      <c r="FW19" s="1161" t="str">
        <f t="shared" si="43"/>
        <v>DEFAULT</v>
      </c>
      <c r="FX19" s="116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16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16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16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16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16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16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16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9"/>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96" t="e">
        <f t="shared" si="44"/>
        <v>#DIV/0!</v>
      </c>
      <c r="GI19" s="102" t="s">
        <v>104</v>
      </c>
      <c r="GJ19" s="94">
        <f>IFERROR(IF(AND($GJ$2&lt;&gt;"Enter Spend&gt;&gt;&gt;",GK7="EXISTING"),SUMIFS('Existing Customers'!$Q:$Q,'Existing Customers'!$A:$A,$GJ$1,'Existing Customers'!$H:$H,$GI19)*$GJ$4,$GJ$3*$GH19),0)</f>
        <v>0</v>
      </c>
      <c r="GK19" s="89">
        <f>IFERROR(IF(AND($GJ$2&lt;&gt;"Enter Spend&gt;&gt;&gt;",GK2="EXISTING"),SUMIFS('Existing Customers'!$N:$N,'Existing Customers'!$A:$A,$GJ$1,'Existing Customers'!$H:$H,$GI19)*$GJ$4,$GJ19/$GU19),0)</f>
        <v>0</v>
      </c>
      <c r="GL19" s="95">
        <f>IFERROR(IF(AND($GJ$2&lt;&gt;"Enter Spend&gt;&gt;&gt;",GK2="EXISTING"),SUMIFS('Existing Customers'!$O:$O,'Existing Customers'!$H:$H,$GI19,'Existing Customers'!$A:$A,$GJ$1)*$GJ$4,$GK19*$GJ$8),0)</f>
        <v>0</v>
      </c>
      <c r="GM19" s="95">
        <f>IFERROR(IF(AND($GJ$2&lt;&gt;"Enter Spend&gt;&gt;&gt;",GK2="EXISTING"),SUMIFS('Existing Customers'!$P:$P,'Existing Customers'!$A:$A,$GJ$1,'Existing Customers'!$H:$H,$GI19)*$GJ$4,$GJ19/$GV19),0)</f>
        <v>0</v>
      </c>
      <c r="GN19" s="96">
        <f>IFERROR(IF(AND($GJ$2&lt;&gt;"Enter Spend&gt;&gt;&gt;",GK2="EXISTING"),SUMIFS('Existing Customers'!$V:$V,'Existing Customers'!$H:$H,$GI19,'Existing Customers'!$A:$A,$GJ$1)*$GJ$4,0),0)</f>
        <v>0</v>
      </c>
      <c r="GO19" s="96">
        <f>IFERROR(IF(AND($GJ$2&lt;&gt;"Enter Spend&gt;&gt;&gt;",GK2="EXISTING"),SUMIFS('Existing Customers'!$R:$R,'Existing Customers'!$H:$H,$GI19,'Existing Customers'!$A:$A,$GJ$1)*$GJ$4,0),0)</f>
        <v>0</v>
      </c>
      <c r="GP19" s="1161">
        <f>IFERROR(IF(AND($GJ$2&lt;&gt;"Enter Spend&gt;&gt;&gt;",GK2="EXISTING"),SUMIFS('Existing Customers'!$S:$S,'Existing Customers'!$H:$H,$GI19,'Existing Customers'!$A:$A,$GJ$1),GZ19*GJ19),0)</f>
        <v>0</v>
      </c>
      <c r="GQ19" s="1161">
        <f>IFERROR(IF(AND($GJ$2&lt;&gt;"Enter Spend&gt;&gt;&gt;",GK2="EXISTING"),SUMIFS('Existing Customers'!$U:$U,'Existing Customers'!$H:$H,$GI19,'Existing Customers'!$A:$A,$GJ$1),HA19*GJ19),0)</f>
        <v>0</v>
      </c>
      <c r="GR19" s="1164" t="e">
        <f t="shared" si="45"/>
        <v>#N/A</v>
      </c>
      <c r="GS19" s="1164">
        <f t="array" ref="GS19">IFERROR(INDEX('Margin Guidence Table'!$A$1:$AG$10000,MATCH(1,('Margin Guidence Table'!$A$1:$A$10000=GR19)*('Margin Guidence Table'!$I$1:$I$10000&lt;=ROUND($GJ$3,0))*('Margin Guidence Table'!$J$1:$J$10000&gt;=ROUND($GJ$3,0)),0),MATCH("DATA_POINTS",'Margin Guidence Table'!$A$1:$AG$1,0)),0)</f>
        <v>0</v>
      </c>
      <c r="GT19" s="1161" t="str">
        <f t="shared" si="46"/>
        <v>DEFAULT</v>
      </c>
      <c r="GU19" s="116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16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16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16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16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16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16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16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9"/>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96" t="e">
        <f t="shared" si="47"/>
        <v>#DIV/0!</v>
      </c>
      <c r="HF19" s="102" t="s">
        <v>104</v>
      </c>
      <c r="HG19" s="94">
        <f>IFERROR(IF(AND($HG$2&lt;&gt;"Enter Spend&gt;&gt;&gt;",HH7="EXISTING"),SUMIFS('Existing Customers'!$Q:$Q,'Existing Customers'!$A:$A,$HG$1,'Existing Customers'!$H:$H,$HF19)*$HG$4,$HG$3*$HE19),0)</f>
        <v>0</v>
      </c>
      <c r="HH19" s="89">
        <f>IFERROR(IF(AND($HG$2&lt;&gt;"Enter Spend&gt;&gt;&gt;",HH2="EXISTING"),SUMIFS('Existing Customers'!$N:$N,'Existing Customers'!$A:$A,$HG$1,'Existing Customers'!$H:$H,$HF19)*$HG$4,$HG19/$HR19),0)</f>
        <v>0</v>
      </c>
      <c r="HI19" s="95">
        <f>IFERROR(IF(AND($HG$2&lt;&gt;"Enter Spend&gt;&gt;&gt;",HH2="EXISTING"),SUMIFS('Existing Customers'!$O:$O,'Existing Customers'!$H:$H,$HF19,'Existing Customers'!$A:$A,$HG$1)*$HG$4,$HH19*$HG$8),0)</f>
        <v>0</v>
      </c>
      <c r="HJ19" s="95">
        <f>IFERROR(IF(AND($HG$2&lt;&gt;"Enter Spend&gt;&gt;&gt;",HH2="EXISTING"),SUMIFS('Existing Customers'!$P:$P,'Existing Customers'!$A:$A,$HG$1,'Existing Customers'!$H:$H,$HF19)*$HG$4,$HG19/$HS19),0)</f>
        <v>0</v>
      </c>
      <c r="HK19" s="96">
        <f>IFERROR(IF(AND($HG$2&lt;&gt;"Enter Spend&gt;&gt;&gt;",HH2="EXISTING"),SUMIFS('Existing Customers'!$V:$V,'Existing Customers'!$H:$H,$HF19,'Existing Customers'!$A:$A,$HG$1)*$HG$4,0),0)</f>
        <v>0</v>
      </c>
      <c r="HL19" s="96">
        <f>IFERROR(IF(AND($HG$2&lt;&gt;"Enter Spend&gt;&gt;&gt;",HH2="EXISTING"),SUMIFS('Existing Customers'!$R:$R,'Existing Customers'!$H:$H,$HF19,'Existing Customers'!$A:$A,$HG$1)*$HG$4,0),0)</f>
        <v>0</v>
      </c>
      <c r="HM19" s="1161">
        <f>IFERROR(IF(AND($HG$2&lt;&gt;"Enter Spend&gt;&gt;&gt;",HH2="EXISTING"),SUMIFS('Existing Customers'!$S:$S,'Existing Customers'!$H:$H,$HF19,'Existing Customers'!$A:$A,$HG$1),HW19*HG19),0)</f>
        <v>0</v>
      </c>
      <c r="HN19" s="1161">
        <f>IFERROR(IF(AND($HG$2&lt;&gt;"Enter Spend&gt;&gt;&gt;",HH2="EXISTING"),SUMIFS('Existing Customers'!$U:$U,'Existing Customers'!$H:$H,$HF19,'Existing Customers'!$A:$A,$HG$1),HX19*HG19),0)</f>
        <v>0</v>
      </c>
      <c r="HO19" s="1164" t="e">
        <f t="shared" si="48"/>
        <v>#N/A</v>
      </c>
      <c r="HP19" s="1164">
        <f t="array" ref="HP19">IFERROR(INDEX('Margin Guidence Table'!$A$1:$AG$10000,MATCH(1,('Margin Guidence Table'!$A$1:$A$10000=HO19)*('Margin Guidence Table'!$I$1:$I$10000&lt;=ROUND($HG$3,0))*('Margin Guidence Table'!$J$1:$J$10000&gt;=ROUND($HG$3,0)),0),MATCH("DATA_POINTS",'Margin Guidence Table'!$A$1:$AG$1,0)),0)</f>
        <v>0</v>
      </c>
      <c r="HQ19" s="1161" t="str">
        <f t="shared" si="49"/>
        <v>DEFAULT</v>
      </c>
      <c r="HR19" s="116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16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16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16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16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16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16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16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9"/>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96" t="e">
        <f t="shared" si="50"/>
        <v>#DIV/0!</v>
      </c>
      <c r="IC19" s="102" t="s">
        <v>104</v>
      </c>
      <c r="ID19" s="94">
        <f>IFERROR(IF(AND($ID$2&lt;&gt;"Enter Spend&gt;&gt;&gt;",IE7="EXISTING"),SUMIFS('Existing Customers'!$Q:$Q,'Existing Customers'!$A:$A,$ID$1,'Existing Customers'!$H:$H,$IC19)*$ID$4,$ID$3*$IB19),0)</f>
        <v>0</v>
      </c>
      <c r="IE19" s="89">
        <f>IFERROR(IF(AND($ID$2&lt;&gt;"Enter Spend&gt;&gt;&gt;",IE2="EXISTING"),SUMIFS('Existing Customers'!$N:$N,'Existing Customers'!$A:$A,$ID$1,'Existing Customers'!$H:$H,$IC19)*$ID$4,$ID19/$IO19),0)</f>
        <v>0</v>
      </c>
      <c r="IF19" s="95">
        <f>IFERROR(IF(AND($ID$2&lt;&gt;"Enter Spend&gt;&gt;&gt;",IE2="EXISTING"),SUMIFS('Existing Customers'!$O:$O,'Existing Customers'!$H:$H,$IC19,'Existing Customers'!$A:$A,$ID$1)*$ID$4,$IE19*$ID$8),0)</f>
        <v>0</v>
      </c>
      <c r="IG19" s="95">
        <f>IFERROR(IF(AND($ID$2&lt;&gt;"Enter Spend&gt;&gt;&gt;",IE2="EXISTING"),SUMIFS('Existing Customers'!$P:$P,'Existing Customers'!$A:$A,$ID$1,'Existing Customers'!$H:$H,$IC19)*$ID$4,$ID19/$IP19),0)</f>
        <v>0</v>
      </c>
      <c r="IH19" s="402">
        <f>IFERROR(IF(AND($ID$2&lt;&gt;"Enter Spend&gt;&gt;&gt;",IE2="EXISTING"),SUMIFS('Existing Customers'!$V:$V,'Existing Customers'!$H:$H,$IC19,'Existing Customers'!$A:$A,$ID$1)*$ID$4,0),0)</f>
        <v>0</v>
      </c>
      <c r="II19" s="96">
        <f>IFERROR(IF(AND($ID$2&lt;&gt;"Enter Spend&gt;&gt;&gt;",IE2="EXISTING"),SUMIFS('Existing Customers'!$R:$R,'Existing Customers'!$H:$H,$IC19,'Existing Customers'!$A:$A,$ID$1)*$ID$4,0),0)</f>
        <v>0</v>
      </c>
      <c r="IJ19" s="1161">
        <f>IFERROR(IF(AND($ID$2&lt;&gt;"Enter Spend&gt;&gt;&gt;",IE2="EXISTING"),SUMIFS('Existing Customers'!$S:$S,'Existing Customers'!$H:$H,$IC19,'Existing Customers'!$A:$A,$ID$1),IT19*ID19),0)</f>
        <v>0</v>
      </c>
      <c r="IK19" s="1161">
        <f>IFERROR(IF(AND($ID$2&lt;&gt;"Enter Spend&gt;&gt;&gt;",IE2="EXISTING"),SUMIFS('Existing Customers'!$U:$U,'Existing Customers'!$H:$H,$IC19,'Existing Customers'!$A:$A,$ID$1),IU19*ID19),0)</f>
        <v>0</v>
      </c>
      <c r="IL19" s="1164" t="e">
        <f t="shared" si="51"/>
        <v>#N/A</v>
      </c>
      <c r="IM19" s="1164">
        <f t="array" ref="IM19">IFERROR(INDEX('Margin Guidence Table'!$A$1:$AG$10000,MATCH(1,('Margin Guidence Table'!$A$1:$A$10000=IL19)*('Margin Guidence Table'!$I$1:$I$10000&lt;=ROUND($ID$3,0))*('Margin Guidence Table'!$J$1:$J$10000&gt;=ROUND($ID$3,0)),0),MATCH("DATA_POINTS",'Margin Guidence Table'!$A$1:$AG$1,0)),0)</f>
        <v>0</v>
      </c>
      <c r="IN19" s="1161" t="str">
        <f t="shared" si="52"/>
        <v>DEFAULT</v>
      </c>
      <c r="IO19" s="116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16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16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16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16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16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16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16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9"/>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96" t="e">
        <f t="shared" si="53"/>
        <v>#DIV/0!</v>
      </c>
      <c r="IZ19" s="102" t="s">
        <v>104</v>
      </c>
      <c r="JA19" s="94">
        <f>IFERROR(IF(AND($JA$2&lt;&gt;"Enter Spend&gt;&gt;&gt;",JB7="EXISTING"),SUMIFS('Existing Customers'!$Q:$Q,'Existing Customers'!$A:$A,$JA$1,'Existing Customers'!$H:$H,$IZ19)*$JA$4,$JA$3*$IY19),0)</f>
        <v>0</v>
      </c>
      <c r="JB19" s="89">
        <f>IFERROR(IF(AND($JA$2&lt;&gt;"Enter Spend&gt;&gt;&gt;",JB2="EXISTING"),SUMIFS('Existing Customers'!$N:$N,'Existing Customers'!$A:$A,$JA$1,'Existing Customers'!$H:$H,$IZ19)*$JA$4,$JA19/$JL19),0)</f>
        <v>0</v>
      </c>
      <c r="JC19" s="95">
        <f>IFERROR(IF(AND($JA$2&lt;&gt;"Enter Spend&gt;&gt;&gt;",JB2="EXISTING"),SUMIFS('Existing Customers'!$O:$O,'Existing Customers'!$H:$H,$IZ19,'Existing Customers'!$A:$A,$JA$1)*$JA$4,$JB19*$JA$8),0)</f>
        <v>0</v>
      </c>
      <c r="JD19" s="95">
        <f>IFERROR(IF(AND($JA$2&lt;&gt;"Enter Spend&gt;&gt;&gt;",JB2="EXISTING"),SUMIFS('Existing Customers'!$P:$P,'Existing Customers'!$A:$A,$JA$1,'Existing Customers'!$H:$H,$IZ19)*$JA$4,$JA19/$JM19),0)</f>
        <v>0</v>
      </c>
      <c r="JE19" s="402">
        <f>IFERROR(IF(AND($JA$2&lt;&gt;"Enter Spend&gt;&gt;&gt;",JB2="EXISTING"),SUMIFS('Existing Customers'!$V:$V,'Existing Customers'!$H:$H,$IZ19,'Existing Customers'!$A:$A,$JA$1)*$JA$4,0),0)</f>
        <v>0</v>
      </c>
      <c r="JF19" s="96">
        <f>IFERROR(IF(AND($JA$2&lt;&gt;"Enter Spend&gt;&gt;&gt;",JB2="EXISTING"),SUMIFS('Existing Customers'!$R:$R,'Existing Customers'!$H:$H,$IZ19,'Existing Customers'!$A:$A,$JA$1)*$JA$4,0),0)</f>
        <v>0</v>
      </c>
      <c r="JG19" s="1161">
        <f>IFERROR(IF(AND($JA$2&lt;&gt;"Enter Spend&gt;&gt;&gt;",JB2="EXISTING"),SUMIFS('Existing Customers'!$S:$S,'Existing Customers'!$H:$H,$IZ19,'Existing Customers'!$A:$A,$JA$1),JQ19*JA19),0)</f>
        <v>0</v>
      </c>
      <c r="JH19" s="1161">
        <f>IFERROR(IF(AND($JA$2&lt;&gt;"Enter Spend&gt;&gt;&gt;",JB2="EXISTING"),SUMIFS('Existing Customers'!$U:$U,'Existing Customers'!$H:$H,$IZ19,'Existing Customers'!$A:$A,$JA$1),JR19*JA19),0)</f>
        <v>0</v>
      </c>
      <c r="JI19" s="1164" t="e">
        <f t="shared" si="54"/>
        <v>#N/A</v>
      </c>
      <c r="JJ19" s="1164">
        <f t="array" ref="JJ19">IFERROR(INDEX('Margin Guidence Table'!$A$1:$AG$10000,MATCH(1,('Margin Guidence Table'!$A$1:$A$10000=JI19)*('Margin Guidence Table'!$I$1:$I$10000&lt;=ROUND($JA$3,0))*('Margin Guidence Table'!$J$1:$J$10000&gt;=ROUND($JA$3,0)),0),MATCH("DATA_POINTS",'Margin Guidence Table'!$A$1:$AG$1,0)),0)</f>
        <v>0</v>
      </c>
      <c r="JK19" s="1161" t="str">
        <f t="shared" si="55"/>
        <v>DEFAULT</v>
      </c>
      <c r="JL19" s="116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16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16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16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16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16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16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16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2" t="s">
        <v>104</v>
      </c>
      <c r="JV19" s="97"/>
      <c r="JW19" s="89"/>
      <c r="JX19" s="89"/>
      <c r="JY19" s="89"/>
      <c r="JZ19" s="114"/>
      <c r="KA19" s="98"/>
      <c r="KB19" s="129"/>
      <c r="KD19" s="102" t="s">
        <v>104</v>
      </c>
      <c r="KE19" s="97"/>
      <c r="KF19" s="89"/>
      <c r="KG19" s="89"/>
      <c r="KH19" s="89"/>
      <c r="KI19" s="114"/>
      <c r="KJ19" s="98"/>
    </row>
    <row r="20" spans="2:296" ht="15.75" thickBot="1" x14ac:dyDescent="0.3">
      <c r="B20" s="102" t="s">
        <v>98</v>
      </c>
      <c r="C20" s="480">
        <f t="shared" si="11"/>
        <v>0</v>
      </c>
      <c r="D20" s="496">
        <f t="shared" si="12"/>
        <v>0</v>
      </c>
      <c r="E20" s="496">
        <f t="shared" si="13"/>
        <v>0</v>
      </c>
      <c r="F20" s="496">
        <f t="shared" si="14"/>
        <v>0</v>
      </c>
      <c r="G20" s="497">
        <f t="shared" si="15"/>
        <v>0</v>
      </c>
      <c r="H20" s="496">
        <f t="shared" si="16"/>
        <v>0</v>
      </c>
      <c r="I20" s="1157" t="e">
        <f t="shared" si="0"/>
        <v>#DIV/0!</v>
      </c>
      <c r="J20" s="1157" t="e">
        <f t="shared" si="1"/>
        <v>#DIV/0!</v>
      </c>
      <c r="K20" s="1157" t="e">
        <f t="shared" si="2"/>
        <v>#DIV/0!</v>
      </c>
      <c r="L20" s="496" t="e">
        <f t="shared" si="3"/>
        <v>#DIV/0!</v>
      </c>
      <c r="M20" s="496" t="e">
        <f t="shared" si="17"/>
        <v>#DIV/0!</v>
      </c>
      <c r="N20" s="1158" t="e">
        <f t="shared" si="4"/>
        <v>#DIV/0!</v>
      </c>
      <c r="P20" t="str">
        <f>'PIM Model'!E16</f>
        <v>INCLUDE</v>
      </c>
      <c r="Q20">
        <f t="shared" si="18"/>
        <v>0</v>
      </c>
      <c r="R20">
        <f t="shared" si="19"/>
        <v>0</v>
      </c>
      <c r="S20" s="102" t="s">
        <v>98</v>
      </c>
      <c r="T20" s="97">
        <f t="shared" si="20"/>
        <v>0</v>
      </c>
      <c r="U20" s="89">
        <f t="shared" si="5"/>
        <v>0</v>
      </c>
      <c r="V20" s="89">
        <f t="shared" si="6"/>
        <v>0</v>
      </c>
      <c r="W20" s="89">
        <f t="shared" si="7"/>
        <v>0</v>
      </c>
      <c r="X20" s="114">
        <f t="shared" si="8"/>
        <v>0</v>
      </c>
      <c r="Y20" s="117">
        <f t="shared" si="21"/>
        <v>0</v>
      </c>
      <c r="Z20" s="400"/>
      <c r="AA20" s="102" t="s">
        <v>98</v>
      </c>
      <c r="AB20" s="484">
        <f t="shared" si="9"/>
        <v>0</v>
      </c>
      <c r="AC20" s="485">
        <f t="shared" si="9"/>
        <v>0</v>
      </c>
      <c r="AD20" s="485">
        <f t="shared" si="9"/>
        <v>0</v>
      </c>
      <c r="AE20" s="486">
        <f t="shared" si="22"/>
        <v>0</v>
      </c>
      <c r="AF20" s="487">
        <f t="shared" si="23"/>
        <v>0</v>
      </c>
      <c r="AG20" s="400"/>
      <c r="AH20" s="102" t="s">
        <v>98</v>
      </c>
      <c r="AI20" s="484">
        <f t="shared" si="10"/>
        <v>0</v>
      </c>
      <c r="AJ20" s="481">
        <f t="shared" si="24"/>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400" t="e">
        <f t="shared" si="25"/>
        <v>#DIV/0!</v>
      </c>
      <c r="AR20">
        <f>'PIM Model'!C16</f>
        <v>0</v>
      </c>
      <c r="AS20" s="400"/>
      <c r="AT20" s="400"/>
      <c r="AU20" s="400" t="e">
        <f t="shared" si="56"/>
        <v>#DIV/0!</v>
      </c>
      <c r="AV20" s="400"/>
      <c r="AW20" s="400"/>
      <c r="AX20" s="108">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96" t="e">
        <f t="shared" si="26"/>
        <v>#DIV/0!</v>
      </c>
      <c r="BA20" s="102" t="s">
        <v>98</v>
      </c>
      <c r="BB20" s="94">
        <f>IFERROR(IF(AND($BB$2&lt;&gt;"Enter Spend&gt;&gt;&gt;",BC8="EXISTING"),SUMIFS('Existing Customers'!$Q:$Q,'Existing Customers'!$A:$A,$BB$1,'Existing Customers'!$H:$H,$BA20)*$BB$4,$BB$3*$AZ20),0)</f>
        <v>0</v>
      </c>
      <c r="BC20" s="95">
        <f>IFERROR(IF(AND($BB$2&lt;&gt;"Enter Spend&gt;&gt;&gt;",BC2="EXISTING"),SUMIFS('Existing Customers'!$N:$N,'Existing Customers'!$A:$A,$BB$1,'Existing Customers'!$H:$H,$BA20)*$BB$4,$BB20/$BM20),0)</f>
        <v>0</v>
      </c>
      <c r="BD20" s="95">
        <f>IFERROR(IF(AND($BB$2&lt;&gt;"Enter Spend&gt;&gt;&gt;",BC2="EXISTING"),SUMIFS('Existing Customers'!$O:$O,'Existing Customers'!$H:$H,$BA20,'Existing Customers'!$A:$A,$BB$1)*$BB$4,$BC20*$BB$8),0)</f>
        <v>0</v>
      </c>
      <c r="BE20" s="95">
        <f>IFERROR(IF(AND($BB$2&lt;&gt;"Enter Spend&gt;&gt;&gt;",BC2="EXISTING"),SUMIFS('Existing Customers'!$P:$P,'Existing Customers'!$A:$A,$BB$1,'Existing Customers'!$H:$H,$BA20)*$BB$4,$BB20/$BN20),0)</f>
        <v>0</v>
      </c>
      <c r="BF20" s="402">
        <f>IFERROR(IF(AND($BB$2&lt;&gt;"Enter Spend&gt;&gt;&gt;",BC2="EXISTING"),SUMIFS('Existing Customers'!$V:$V,'Existing Customers'!$H:$H,$BA20,'Existing Customers'!$A:$A,$BB$1)*$BB$4,0),0)</f>
        <v>0</v>
      </c>
      <c r="BG20" s="96">
        <f>IFERROR(IF(AND($BB$2&lt;&gt;"Enter Spend&gt;&gt;&gt;",BC2="EXISTING"),SUMIFS('Existing Customers'!$R:$R,'Existing Customers'!$H:$H,$BA20,'Existing Customers'!$A:$A,$BB$1)*$BB$4,0),0)</f>
        <v>0</v>
      </c>
      <c r="BH20" s="96">
        <f>IFERROR(IF(AND($BB$2&lt;&gt;"Enter Spend&gt;&gt;&gt;",BC2="EXISTING"),SUMIFS('Existing Customers'!$S:$S,'Existing Customers'!$H:$H,$BA20,'Existing Customers'!$A:$A,$BB$1),BR20*BB20),0)</f>
        <v>0</v>
      </c>
      <c r="BI20" s="96">
        <f>IFERROR(IF(AND($BB$2&lt;&gt;"Enter Spend&gt;&gt;&gt;",BC2="EXISTING"),SUMIFS('Existing Customers'!$U:$U,'Existing Customers'!$H:$H,$BA20,'Existing Customers'!$A:$A,$BB$1),BS20*BB20),0)</f>
        <v>0</v>
      </c>
      <c r="BJ20" s="1163" t="e">
        <f t="shared" si="27"/>
        <v>#N/A</v>
      </c>
      <c r="BK20" s="1164">
        <f t="array" ref="BK20">IFERROR(INDEX('Margin Guidence Table'!$A$1:$AG$10000,MATCH(1,('Margin Guidence Table'!$A$1:$A$10000=$BJ20)*('Margin Guidence Table'!$I$1:$I$10000&lt;=ROUND($BB$3,0))*('Margin Guidence Table'!$J$1:$J$10000&gt;=ROUND($BB$3,0)),0),MATCH("DATA_POINTS",'Margin Guidence Table'!$A$1:$AG$1,0)),0)</f>
        <v>0</v>
      </c>
      <c r="BL20" s="1161" t="str">
        <f t="shared" si="28"/>
        <v>DEFAULT</v>
      </c>
      <c r="BM20" s="116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16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16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16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16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16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16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16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9"/>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96" t="e">
        <f t="shared" si="29"/>
        <v>#DIV/0!</v>
      </c>
      <c r="BX20" s="102" t="s">
        <v>98</v>
      </c>
      <c r="BY20" s="94">
        <f>IFERROR(IF(AND($BY$2&lt;&gt;"Enter Spend&gt;&gt;&gt;",BZ8="EXISTING"),SUMIFS('Existing Customers'!$Q:$Q,'Existing Customers'!$A:$A,$BY$1,'Existing Customers'!$H:$H,$BX20)*$BY$4,$BY$3*$BW20),0)</f>
        <v>0</v>
      </c>
      <c r="BZ20" s="89">
        <f>IFERROR(IF(AND($BY$2&lt;&gt;"Enter Spend&gt;&gt;&gt;",BZ2="EXISTING"),SUMIFS('Existing Customers'!$N:$N,'Existing Customers'!$A:$A,$BY$1,'Existing Customers'!$H:$H,$BX20)*$BY$4,$BY20/$CJ20),0)</f>
        <v>0</v>
      </c>
      <c r="CA20" s="95">
        <f>IFERROR(IF(AND($BY$2&lt;&gt;"Enter Spend&gt;&gt;&gt;",BZ2="EXISTING"),SUMIFS('Existing Customers'!$O:$O,'Existing Customers'!$H:$H,$BX20,'Existing Customers'!$A:$A,$BY$1)*$BY$4,$BZ20*$BY$8),0)</f>
        <v>0</v>
      </c>
      <c r="CB20" s="95">
        <f>IFERROR(IF(AND($BY$2&lt;&gt;"Enter Spend&gt;&gt;&gt;",BZ2="EXISTING"),SUMIFS('Existing Customers'!$P:$P,'Existing Customers'!$A:$A,$BY$1,'Existing Customers'!$H:$H,$BX20)*$BY$4,$BY20/$CK20),0)</f>
        <v>0</v>
      </c>
      <c r="CC20" s="96">
        <f>IFERROR(IF(AND($BY$2&lt;&gt;"Enter Spend&gt;&gt;&gt;",BZ2="EXISTING"),SUMIFS('Existing Customers'!$V:$V,'Existing Customers'!$H:$H,$BX20,'Existing Customers'!$A:$A,$BY$1)*$BY$4,0),0)</f>
        <v>0</v>
      </c>
      <c r="CD20" s="96">
        <f>IFERROR(IF(AND($BY$2&lt;&gt;"Enter Spend&gt;&gt;&gt;",BZ2="EXISTING"),SUMIFS('Existing Customers'!$R:$R,'Existing Customers'!$H:$H,$BX20,'Existing Customers'!$A:$A,$BY$1)*$BY$4,0),0)</f>
        <v>0</v>
      </c>
      <c r="CE20" s="1161">
        <f>IFERROR(IF(AND($BY$2&lt;&gt;"Enter Spend&gt;&gt;&gt;",BZ2="EXISTING"),SUMIFS('Existing Customers'!$S:$S,'Existing Customers'!$H:$H,$BX20,'Existing Customers'!$A:$A,$BY$1),CO20*BY20),0)</f>
        <v>0</v>
      </c>
      <c r="CF20" s="1161">
        <f>IFERROR(IF(AND($BY$2&lt;&gt;"Enter Spend&gt;&gt;&gt;",BZ2="EXISTING"),SUMIFS('Existing Customers'!$U:$U,'Existing Customers'!$H:$H,$BX20,'Existing Customers'!$A:$A,$BY$1),CP20*BY20),0)</f>
        <v>0</v>
      </c>
      <c r="CG20" s="1164" t="e">
        <f t="shared" si="30"/>
        <v>#N/A</v>
      </c>
      <c r="CH20" s="1164">
        <f t="array" ref="CH20">IFERROR(INDEX('Margin Guidence Table'!$A$1:$AG$10000,MATCH(1,('Margin Guidence Table'!$A$1:$A$10000=$CG20)*('Margin Guidence Table'!$I$1:$I$10000&lt;=ROUND($BY$3,0))*('Margin Guidence Table'!$J$1:$J$10000&gt;=ROUND($BY$3,0)),0),MATCH("DATA_POINTS",'Margin Guidence Table'!$A$1:$AG$1,0)),0)</f>
        <v>0</v>
      </c>
      <c r="CI20" s="1161" t="str">
        <f t="shared" si="31"/>
        <v>DEFAULT</v>
      </c>
      <c r="CJ20" s="116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16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16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16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16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16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16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16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9"/>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96" t="e">
        <f t="shared" si="32"/>
        <v>#DIV/0!</v>
      </c>
      <c r="CU20" s="102" t="s">
        <v>98</v>
      </c>
      <c r="CV20" s="94">
        <f>IFERROR(IF(AND($CV$2&lt;&gt;"Enter Spend&gt;&gt;&gt;",CW8="EXISTING"),SUMIFS('Existing Customers'!$Q:$Q,'Existing Customers'!$A:$A,$CV$1,'Existing Customers'!$H:$H,$CU20)*$CV$4,$CV$3*$CT20),0)</f>
        <v>0</v>
      </c>
      <c r="CW20" s="89">
        <f>IFERROR(IF(AND($CV$2&lt;&gt;"Enter Spend&gt;&gt;&gt;",CW2="EXISTING"),SUMIFS('Existing Customers'!$N:$N,'Existing Customers'!$A:$A,$CV$1,'Existing Customers'!$H:$H,$CU20)*$CV$4,$CV20/$DG20),0)</f>
        <v>0</v>
      </c>
      <c r="CX20" s="95">
        <f>IFERROR(IF(AND($CV$2&lt;&gt;"Enter Spend&gt;&gt;&gt;",BC28="EXISTING"),SUMIFS('Existing Customers'!$O:$O,'Existing Customers'!$H:$H,$CU20,'Existing Customers'!$A:$A,$CV$1)*$CV$4,$CW20*$CV$8),0)</f>
        <v>0</v>
      </c>
      <c r="CY20" s="95">
        <f>IFERROR(IF(AND($CV$2&lt;&gt;"Enter Spend&gt;&gt;&gt;",CW2="EXISTING"),SUMIFS('Existing Customers'!$P:$P,'Existing Customers'!$A:$A,$CV$1,'Existing Customers'!$H:$H,$CU20)*$CV$4,$CV20/$DH20),0)</f>
        <v>0</v>
      </c>
      <c r="CZ20" s="96">
        <f>IFERROR(IF(AND($CV$2&lt;&gt;"Enter Spend&gt;&gt;&gt;",CW2="EXISTING"),SUMIFS('Existing Customers'!$V:$V,'Existing Customers'!$H:$H,$CU20,'Existing Customers'!$A:$A,$CV$1)*$CV$4,0),0)</f>
        <v>0</v>
      </c>
      <c r="DA20" s="96">
        <f>IFERROR(IF(AND($CV$2&lt;&gt;"Enter Spend&gt;&gt;&gt;",CW2="EXISTING"),SUMIFS('Existing Customers'!$R:$R,'Existing Customers'!$H:$H,$BA20,'Existing Customers'!$A:$A,$CV$1)*$CV$4,0),0)</f>
        <v>0</v>
      </c>
      <c r="DB20" s="1161">
        <f>IFERROR(IF(AND($CV$2&lt;&gt;"Enter Spend&gt;&gt;&gt;",CW2="EXISTING"),SUMIFS('Existing Customers'!$S:$S,'Existing Customers'!$H:$H,$CU20,'Existing Customers'!$A:$A,$CV$1),DL20*CV20),0)</f>
        <v>0</v>
      </c>
      <c r="DC20" s="1161">
        <f>IFERROR(IF(AND($CV$2&lt;&gt;"Enter Spend&gt;&gt;&gt;",CW2="EXISTING"),SUMIFS('Existing Customers'!$U:$U,'Existing Customers'!$H:$H,$CU20,'Existing Customers'!$A:$A,$CV$1),DM20*CV20),0)</f>
        <v>0</v>
      </c>
      <c r="DD20" s="1164" t="e">
        <f t="shared" si="33"/>
        <v>#N/A</v>
      </c>
      <c r="DE20" s="1164">
        <f t="array" ref="DE20">IFERROR(INDEX('Margin Guidence Table'!$A$1:$AG$10000,MATCH(1,('Margin Guidence Table'!$A$1:$A$10000=DD20)*('Margin Guidence Table'!$I$1:$I$10000&lt;=ROUND($CV$3,0))*('Margin Guidence Table'!$J$1:$J$10000&gt;=ROUND($CV$3,0)),0),MATCH("DATA_POINTS",'Margin Guidence Table'!$A$1:$AG$1,0)),0)</f>
        <v>0</v>
      </c>
      <c r="DF20" s="1161" t="str">
        <f t="shared" si="34"/>
        <v>DEFAULT</v>
      </c>
      <c r="DG20" s="116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16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16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16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16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16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16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16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9"/>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96" t="e">
        <f t="shared" si="35"/>
        <v>#DIV/0!</v>
      </c>
      <c r="DR20" s="102" t="s">
        <v>98</v>
      </c>
      <c r="DS20" s="94">
        <f>IFERROR(IF(AND($DS$2&lt;&gt;"Enter Spend&gt;&gt;&gt;",DT8="EXISTING"),SUMIFS('Existing Customers'!$Q:$Q,'Existing Customers'!$A:$A,$DS$1,'Existing Customers'!$H:$H,$DR20)*$DS$4,$DS$3*$DQ20),0)</f>
        <v>0</v>
      </c>
      <c r="DT20" s="89">
        <f>IFERROR(IF(AND($DS$2&lt;&gt;"Enter Spend&gt;&gt;&gt;",DT2="EXISTING"),SUMIFS('Existing Customers'!$N:$N,'Existing Customers'!$A:$A,$DS$1,'Existing Customers'!$H:$H,$DR20)*$DS$4,$DS20/$ED20),0)</f>
        <v>0</v>
      </c>
      <c r="DU20" s="95">
        <f>IFERROR(IF(AND($DS$2&lt;&gt;"Enter Spend&gt;&gt;&gt;",DT2="EXISTING"),SUMIFS('Existing Customers'!$O:$O,'Existing Customers'!$H:$H,$DR20,'Existing Customers'!$A:$A,$DS$1)*$DS$4,$DT20*$DS$8),0)</f>
        <v>0</v>
      </c>
      <c r="DV20" s="95">
        <f>IFERROR(IF(AND($DS$2&lt;&gt;"Enter Spend&gt;&gt;&gt;",DT2="EXISTING"),SUMIFS('Existing Customers'!$P:$P,'Existing Customers'!$A:$A,$DS$1,'Existing Customers'!$H:$H,$DR20)*$DS$4,$DS20/$EE20),0)</f>
        <v>0</v>
      </c>
      <c r="DW20" s="96">
        <f>IFERROR(IF(AND($DS$2&lt;&gt;"Enter Spend&gt;&gt;&gt;",EQ2="EXISTING"),SUMIFS('Existing Customers'!$V:$V,'Existing Customers'!$H:$H,$DR20,'Existing Customers'!$A:$A,$DS$1)*$DS$4,0),0)</f>
        <v>0</v>
      </c>
      <c r="DX20" s="96">
        <f>IFERROR(IF(AND($DS$2&lt;&gt;"Enter Spend&gt;&gt;&gt;",DT2="EXISTING"),SUMIFS('Existing Customers'!$R:$R,'Existing Customers'!$H:$H,$DR20,'Existing Customers'!$A:$A,$DS$1)*$DS$4,0),0)</f>
        <v>0</v>
      </c>
      <c r="DY20" s="1161">
        <f>IFERROR(IF(AND($DS$2&lt;&gt;"Enter Spend&gt;&gt;&gt;",DT2="EXISTING"),SUMIFS('Existing Customers'!$S:$S,'Existing Customers'!$H:$H,$DT20,'Existing Customers'!$A:$A,$DS$1),EI20*DS20),0)</f>
        <v>0</v>
      </c>
      <c r="DZ20" s="1161">
        <f>IFERROR(IF(AND($DS$2&lt;&gt;"Enter Spend&gt;&gt;&gt;",DT2="EXISTING"),SUMIFS('Existing Customers'!$U:$U,'Existing Customers'!$H:$H,$DR20,'Existing Customers'!$A:$A,$DS$1),EJ20*DS20),0)</f>
        <v>0</v>
      </c>
      <c r="EA20" s="1164" t="e">
        <f t="shared" si="36"/>
        <v>#N/A</v>
      </c>
      <c r="EB20" s="1164">
        <f t="array" ref="EB20">IFERROR(INDEX('Margin Guidence Table'!$A$1:$AG$10000,MATCH(1,('Margin Guidence Table'!$A$1:$A$10000=EA20)*('Margin Guidence Table'!$I$1:$I$10000&lt;=ROUND($DS$3,0))*('Margin Guidence Table'!$J$1:$J$10000&gt;=ROUND($DS$3,0)),0),MATCH("DATA_POINTS",'Margin Guidence Table'!$A$1:$AG$1,0)),0)</f>
        <v>0</v>
      </c>
      <c r="EC20" s="1161" t="str">
        <f t="shared" si="37"/>
        <v>DEFAULT</v>
      </c>
      <c r="ED20" s="116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16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16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16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16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16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16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16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9"/>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96" t="e">
        <f t="shared" si="38"/>
        <v>#DIV/0!</v>
      </c>
      <c r="EO20" s="102" t="s">
        <v>98</v>
      </c>
      <c r="EP20" s="94">
        <f>IFERROR(IF(AND($EP$2&lt;&gt;"Enter Spend&gt;&gt;&gt;",EQ8="EXISTING"),SUMIFS('Existing Customers'!$Q:$Q,'Existing Customers'!$A:$A,$EP$1,'Existing Customers'!$H:$H,$EO20)*$EP$4,$EP$3*$EN20),0)</f>
        <v>0</v>
      </c>
      <c r="EQ20" s="89">
        <f>IFERROR(IF(AND($EP$2&lt;&gt;"Enter Spend&gt;&gt;&gt;",EQ2="EXISTING"),SUMIFS('Existing Customers'!$N:$N,'Existing Customers'!$A:$A,$EP$1,'Existing Customers'!$H:$H,$EO20)*$EP$4,$EP20/$FA20),0)</f>
        <v>0</v>
      </c>
      <c r="ER20" s="95">
        <f>IFERROR(IF(AND($EP$2&lt;&gt;"Enter Spend&gt;&gt;&gt;",EQ2="EXISTING"),SUMIFS('Existing Customers'!$O:$O,'Existing Customers'!$H:$H,$EO20,'Existing Customers'!$A:$A,$EP$1)*$EP$4,$EQ20*$EP$8),0)</f>
        <v>0</v>
      </c>
      <c r="ES20" s="95">
        <f>IFERROR(IF(AND($EP$2&lt;&gt;"Enter Spend&gt;&gt;&gt;",EQ2="EXISTING"),SUMIFS('Existing Customers'!$P:$P,'Existing Customers'!$A:$A,$EP$1,'Existing Customers'!$H:$H,$EO20)*$EP$4,$EP20/$FB20),0)</f>
        <v>0</v>
      </c>
      <c r="ET20" s="96">
        <f>IFERROR(IF(AND($EP$2&lt;&gt;"Enter Spend&gt;&gt;&gt;",EQ2="EXISTING"),SUMIFS('Existing Customers'!$V:$V,'Existing Customers'!$H:$H,$EO20,'Existing Customers'!$A:$A,$EP$1)*$EP$4,0),0)</f>
        <v>0</v>
      </c>
      <c r="EU20" s="96">
        <f>IFERROR(IF(AND($EP$2&lt;&gt;"Enter Spend&gt;&gt;&gt;",EQ2="EXISTING"),SUMIFS('Existing Customers'!$R:$R,'Existing Customers'!$H:$H,$EO20,'Existing Customers'!$A:$A,$EP$1)*$EP$4,0),0)</f>
        <v>0</v>
      </c>
      <c r="EV20" s="1161">
        <f>IFERROR(IF(AND($EP$2&lt;&gt;"Enter Spend&gt;&gt;&gt;",EQ2="EXISTING"),SUMIFS('Existing Customers'!$S:$S,'Existing Customers'!$H:$H,$EO20,'Existing Customers'!$A:$A,$EP$1),FF20*EP20),0)</f>
        <v>0</v>
      </c>
      <c r="EW20" s="1161">
        <f>IFERROR(IF(AND($EP$2&lt;&gt;"Enter Spend&gt;&gt;&gt;",EQ2="EXISTING"),SUMIFS('Existing Customers'!$U:$U,'Existing Customers'!$H:$H,$EO20,'Existing Customers'!$A:$A,$EP$1),FG20*EP20),0)</f>
        <v>0</v>
      </c>
      <c r="EX20" s="1164" t="e">
        <f t="shared" si="39"/>
        <v>#N/A</v>
      </c>
      <c r="EY20" s="1164">
        <f t="array" ref="EY20">IFERROR(INDEX('Margin Guidence Table'!$A$1:$AG$10000,MATCH(1,('Margin Guidence Table'!$A$1:$A$10000=EX20)*('Margin Guidence Table'!$I$1:$I$10000&lt;=ROUND($EP$3,0))*('Margin Guidence Table'!$J$1:$J$10000&gt;=ROUND($EP$3,0)),0),MATCH("DATA_POINTS",'Margin Guidence Table'!$A$1:$AG$1,0)),0)</f>
        <v>0</v>
      </c>
      <c r="EZ20" s="1161" t="str">
        <f t="shared" si="40"/>
        <v>DEFAULT</v>
      </c>
      <c r="FA20" s="116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16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16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16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16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16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16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16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9"/>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96" t="e">
        <f t="shared" si="41"/>
        <v>#DIV/0!</v>
      </c>
      <c r="FL20" s="102" t="s">
        <v>98</v>
      </c>
      <c r="FM20" s="94">
        <f>IFERROR(IF(AND($FM$2&lt;&gt;"Enter Spend&gt;&gt;&gt;",FN8="EXISTING"),SUMIFS('Existing Customers'!$Q:$Q,'Existing Customers'!$A:$A,$FM$1,'Existing Customers'!$H:$H,$FL20)*$FM$4,$FM$3*$FK20),0)</f>
        <v>0</v>
      </c>
      <c r="FN20" s="89">
        <f>IFERROR(IF(AND($FM$2&lt;&gt;"Enter Spend&gt;&gt;&gt;",FN2="EXISTING"),SUMIFS('Existing Customers'!$N:$N,'Existing Customers'!$A:$A,$FM$1,'Existing Customers'!$H:$H,$FL20)*$FM$4,$FM20/$FX20),0)</f>
        <v>0</v>
      </c>
      <c r="FO20" s="95">
        <f>IFERROR(IF(AND($FM$2&lt;&gt;"Enter Spend&gt;&gt;&gt;",FN2="EXISTING"),SUMIFS('Existing Customers'!$O:$O,'Existing Customers'!$H:$H,$FL20,'Existing Customers'!$A:$A,$FM$1)*$FM$4,$FN20*$FM$8),0)</f>
        <v>0</v>
      </c>
      <c r="FP20" s="95">
        <f>IFERROR(IF(AND($FM$2&lt;&gt;"Enter Spend&gt;&gt;&gt;",FN2="EXISTING"),SUMIFS('Existing Customers'!$P:$P,'Existing Customers'!$A:$A,$FM$1,'Existing Customers'!$H:$H,$FL20)*$FM$4,$FM20/$FY20),0)</f>
        <v>0</v>
      </c>
      <c r="FQ20" s="96">
        <f>IFERROR(IF(AND($FM$2&lt;&gt;"Enter Spend&gt;&gt;&gt;",FN2="EXISTING"),SUMIFS('Existing Customers'!$V:$V,'Existing Customers'!$H:$H,$FL20,'Existing Customers'!$A:$A,$FM$1)*$FM$4,0),0)</f>
        <v>0</v>
      </c>
      <c r="FR20" s="96">
        <f>IFERROR(IF(AND($FM$2&lt;&gt;"Enter Spend&gt;&gt;&gt;",FN2="EXISTING"),SUMIFS('Existing Customers'!$R:$R,'Existing Customers'!$H:$H,$FL20,'Existing Customers'!$A:$A,$FM$1)*$FM$4,0),0)</f>
        <v>0</v>
      </c>
      <c r="FS20" s="1161">
        <f>IFERROR(IF(AND($FM$2&lt;&gt;"Enter Spend&gt;&gt;&gt;",FN2="EXISTING"),SUMIFS('Existing Customers'!$S:$S,'Existing Customers'!$H:$H,$FL20,'Existing Customers'!$A:$A,$FM$1),GC20*FM20),0)</f>
        <v>0</v>
      </c>
      <c r="FT20" s="1161">
        <f>IFERROR(IF(AND($FM$2&lt;&gt;"Enter Spend&gt;&gt;&gt;",FN2="EXISTING"),SUMIFS('Existing Customers'!$U:$U,'Existing Customers'!$H:$H,$FL20,'Existing Customers'!$A:$A,$FM$1),GD20*FM20),0)</f>
        <v>0</v>
      </c>
      <c r="FU20" s="1164" t="e">
        <f t="shared" si="42"/>
        <v>#N/A</v>
      </c>
      <c r="FV20" s="1164">
        <f t="array" ref="FV20">IFERROR(INDEX('Margin Guidence Table'!$A$1:$AG$10000,MATCH(1,('Margin Guidence Table'!$A$1:$A$10000=FU20)*('Margin Guidence Table'!$I$1:$I$10000&lt;=ROUND($FM$3,0))*('Margin Guidence Table'!$J$1:$J$10000&gt;=ROUND($FM$3,0)),0),MATCH("DATA_POINTS",'Margin Guidence Table'!$A$1:$AG$1,0)),0)</f>
        <v>0</v>
      </c>
      <c r="FW20" s="1161" t="str">
        <f t="shared" si="43"/>
        <v>DEFAULT</v>
      </c>
      <c r="FX20" s="116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16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16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16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16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16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16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16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9"/>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96" t="e">
        <f t="shared" si="44"/>
        <v>#DIV/0!</v>
      </c>
      <c r="GI20" s="102" t="s">
        <v>98</v>
      </c>
      <c r="GJ20" s="94">
        <f>IFERROR(IF(AND($GJ$2&lt;&gt;"Enter Spend&gt;&gt;&gt;",GK8="EXISTING"),SUMIFS('Existing Customers'!$Q:$Q,'Existing Customers'!$A:$A,$GJ$1,'Existing Customers'!$H:$H,$GI20)*$GJ$4,$GJ$3*$GH20),0)</f>
        <v>0</v>
      </c>
      <c r="GK20" s="89">
        <f>IFERROR(IF(AND($GJ$2&lt;&gt;"Enter Spend&gt;&gt;&gt;",GK2="EXISTING"),SUMIFS('Existing Customers'!$N:$N,'Existing Customers'!$A:$A,$GJ$1,'Existing Customers'!$H:$H,$GI20)*$GJ$4,$GJ20/$GU20),0)</f>
        <v>0</v>
      </c>
      <c r="GL20" s="95">
        <f>IFERROR(IF(AND($GJ$2&lt;&gt;"Enter Spend&gt;&gt;&gt;",GK2="EXISTING"),SUMIFS('Existing Customers'!$O:$O,'Existing Customers'!$H:$H,$GI20,'Existing Customers'!$A:$A,$GJ$1)*$GJ$4,$GK20*$GJ$8),0)</f>
        <v>0</v>
      </c>
      <c r="GM20" s="95">
        <f>IFERROR(IF(AND($GJ$2&lt;&gt;"Enter Spend&gt;&gt;&gt;",GK2="EXISTING"),SUMIFS('Existing Customers'!$P:$P,'Existing Customers'!$A:$A,$GJ$1,'Existing Customers'!$H:$H,$GI20)*$GJ$4,$GJ20/$GV20),0)</f>
        <v>0</v>
      </c>
      <c r="GN20" s="96">
        <f>IFERROR(IF(AND($GJ$2&lt;&gt;"Enter Spend&gt;&gt;&gt;",GK2="EXISTING"),SUMIFS('Existing Customers'!$V:$V,'Existing Customers'!$H:$H,$GI20,'Existing Customers'!$A:$A,$GJ$1)*$GJ$4,0),0)</f>
        <v>0</v>
      </c>
      <c r="GO20" s="96">
        <f>IFERROR(IF(AND($GJ$2&lt;&gt;"Enter Spend&gt;&gt;&gt;",GK2="EXISTING"),SUMIFS('Existing Customers'!$R:$R,'Existing Customers'!$H:$H,$GI20,'Existing Customers'!$A:$A,$GJ$1)*$GJ$4,0),0)</f>
        <v>0</v>
      </c>
      <c r="GP20" s="1161">
        <f>IFERROR(IF(AND($GJ$2&lt;&gt;"Enter Spend&gt;&gt;&gt;",GK2="EXISTING"),SUMIFS('Existing Customers'!$S:$S,'Existing Customers'!$H:$H,$GI20,'Existing Customers'!$A:$A,$GJ$1),GZ20*GJ20),0)</f>
        <v>0</v>
      </c>
      <c r="GQ20" s="1161">
        <f>IFERROR(IF(AND($GJ$2&lt;&gt;"Enter Spend&gt;&gt;&gt;",GK2="EXISTING"),SUMIFS('Existing Customers'!$U:$U,'Existing Customers'!$H:$H,$GI20,'Existing Customers'!$A:$A,$GJ$1),HA20*GJ20),0)</f>
        <v>0</v>
      </c>
      <c r="GR20" s="1164" t="e">
        <f t="shared" si="45"/>
        <v>#N/A</v>
      </c>
      <c r="GS20" s="1164">
        <f t="array" ref="GS20">IFERROR(INDEX('Margin Guidence Table'!$A$1:$AG$10000,MATCH(1,('Margin Guidence Table'!$A$1:$A$10000=GR20)*('Margin Guidence Table'!$I$1:$I$10000&lt;=ROUND($GJ$3,0))*('Margin Guidence Table'!$J$1:$J$10000&gt;=ROUND($GJ$3,0)),0),MATCH("DATA_POINTS",'Margin Guidence Table'!$A$1:$AG$1,0)),0)</f>
        <v>0</v>
      </c>
      <c r="GT20" s="1161" t="str">
        <f t="shared" si="46"/>
        <v>DEFAULT</v>
      </c>
      <c r="GU20" s="116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16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16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16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16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16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16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16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9"/>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96" t="e">
        <f t="shared" si="47"/>
        <v>#DIV/0!</v>
      </c>
      <c r="HF20" s="102" t="s">
        <v>98</v>
      </c>
      <c r="HG20" s="94">
        <f>IFERROR(IF(AND($HG$2&lt;&gt;"Enter Spend&gt;&gt;&gt;",HH8="EXISTING"),SUMIFS('Existing Customers'!$Q:$Q,'Existing Customers'!$A:$A,$HG$1,'Existing Customers'!$H:$H,$HF20)*$HG$4,$HG$3*$HE20),0)</f>
        <v>0</v>
      </c>
      <c r="HH20" s="89">
        <f>IFERROR(IF(AND($HG$2&lt;&gt;"Enter Spend&gt;&gt;&gt;",HH2="EXISTING"),SUMIFS('Existing Customers'!$N:$N,'Existing Customers'!$A:$A,$HG$1,'Existing Customers'!$H:$H,$HF20)*$HG$4,$HG20/$HR20),0)</f>
        <v>0</v>
      </c>
      <c r="HI20" s="95">
        <f>IFERROR(IF(AND($HG$2&lt;&gt;"Enter Spend&gt;&gt;&gt;",HH2="EXISTING"),SUMIFS('Existing Customers'!$O:$O,'Existing Customers'!$H:$H,$HF20,'Existing Customers'!$A:$A,$HG$1)*$HG$4,$HH20*$HG$8),0)</f>
        <v>0</v>
      </c>
      <c r="HJ20" s="95">
        <f>IFERROR(IF(AND($HG$2&lt;&gt;"Enter Spend&gt;&gt;&gt;",HH2="EXISTING"),SUMIFS('Existing Customers'!$P:$P,'Existing Customers'!$A:$A,$HG$1,'Existing Customers'!$H:$H,$HF20)*$HG$4,$HG20/$HS20),0)</f>
        <v>0</v>
      </c>
      <c r="HK20" s="96">
        <f>IFERROR(IF(AND($HG$2&lt;&gt;"Enter Spend&gt;&gt;&gt;",HH2="EXISTING"),SUMIFS('Existing Customers'!$V:$V,'Existing Customers'!$H:$H,$HF20,'Existing Customers'!$A:$A,$HG$1)*$HG$4,0),0)</f>
        <v>0</v>
      </c>
      <c r="HL20" s="96">
        <f>IFERROR(IF(AND($HG$2&lt;&gt;"Enter Spend&gt;&gt;&gt;",HH2="EXISTING"),SUMIFS('Existing Customers'!$R:$R,'Existing Customers'!$H:$H,$HF20,'Existing Customers'!$A:$A,$HG$1)*$HG$4,0),0)</f>
        <v>0</v>
      </c>
      <c r="HM20" s="1161">
        <f>IFERROR(IF(AND($HG$2&lt;&gt;"Enter Spend&gt;&gt;&gt;",HH2="EXISTING"),SUMIFS('Existing Customers'!$S:$S,'Existing Customers'!$H:$H,$HF20,'Existing Customers'!$A:$A,$HG$1),HW20*HG20),0)</f>
        <v>0</v>
      </c>
      <c r="HN20" s="1161">
        <f>IFERROR(IF(AND($HG$2&lt;&gt;"Enter Spend&gt;&gt;&gt;",HH2="EXISTING"),SUMIFS('Existing Customers'!$U:$U,'Existing Customers'!$H:$H,$HF20,'Existing Customers'!$A:$A,$HG$1),HX20*HG20),0)</f>
        <v>0</v>
      </c>
      <c r="HO20" s="1164" t="e">
        <f t="shared" si="48"/>
        <v>#N/A</v>
      </c>
      <c r="HP20" s="1164">
        <f t="array" ref="HP20">IFERROR(INDEX('Margin Guidence Table'!$A$1:$AG$10000,MATCH(1,('Margin Guidence Table'!$A$1:$A$10000=HO20)*('Margin Guidence Table'!$I$1:$I$10000&lt;=ROUND($HG$3,0))*('Margin Guidence Table'!$J$1:$J$10000&gt;=ROUND($HG$3,0)),0),MATCH("DATA_POINTS",'Margin Guidence Table'!$A$1:$AG$1,0)),0)</f>
        <v>0</v>
      </c>
      <c r="HQ20" s="1161" t="str">
        <f t="shared" si="49"/>
        <v>DEFAULT</v>
      </c>
      <c r="HR20" s="116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16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16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16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16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16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16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16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9"/>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96" t="e">
        <f t="shared" si="50"/>
        <v>#DIV/0!</v>
      </c>
      <c r="IC20" s="102" t="s">
        <v>98</v>
      </c>
      <c r="ID20" s="94">
        <f>IFERROR(IF(AND($ID$2&lt;&gt;"Enter Spend&gt;&gt;&gt;",IE8="EXISTING"),SUMIFS('Existing Customers'!$Q:$Q,'Existing Customers'!$A:$A,$ID$1,'Existing Customers'!$H:$H,$IC20)*$ID$4,$ID$3*$IB20),0)</f>
        <v>0</v>
      </c>
      <c r="IE20" s="89">
        <f>IFERROR(IF(AND($ID$2&lt;&gt;"Enter Spend&gt;&gt;&gt;",IE2="EXISTING"),SUMIFS('Existing Customers'!$N:$N,'Existing Customers'!$A:$A,$ID$1,'Existing Customers'!$H:$H,$IC20)*$ID$4,$ID20/$IO20),0)</f>
        <v>0</v>
      </c>
      <c r="IF20" s="95">
        <f>IFERROR(IF(AND($ID$2&lt;&gt;"Enter Spend&gt;&gt;&gt;",IE2="EXISTING"),SUMIFS('Existing Customers'!$O:$O,'Existing Customers'!$H:$H,$IC20,'Existing Customers'!$A:$A,$ID$1)*$ID$4,$IE20*$ID$8),0)</f>
        <v>0</v>
      </c>
      <c r="IG20" s="95">
        <f>IFERROR(IF(AND($ID$2&lt;&gt;"Enter Spend&gt;&gt;&gt;",IE2="EXISTING"),SUMIFS('Existing Customers'!$P:$P,'Existing Customers'!$A:$A,$ID$1,'Existing Customers'!$H:$H,$IC20)*$ID$4,$ID20/$IP20),0)</f>
        <v>0</v>
      </c>
      <c r="IH20" s="402">
        <f>IFERROR(IF(AND($ID$2&lt;&gt;"Enter Spend&gt;&gt;&gt;",IE2="EXISTING"),SUMIFS('Existing Customers'!$V:$V,'Existing Customers'!$H:$H,$IC20,'Existing Customers'!$A:$A,$ID$1)*$ID$4,0),0)</f>
        <v>0</v>
      </c>
      <c r="II20" s="96">
        <f>IFERROR(IF(AND($ID$2&lt;&gt;"Enter Spend&gt;&gt;&gt;",IE2="EXISTING"),SUMIFS('Existing Customers'!$R:$R,'Existing Customers'!$H:$H,$IC20,'Existing Customers'!$A:$A,$ID$1)*$ID$4,0),0)</f>
        <v>0</v>
      </c>
      <c r="IJ20" s="1161">
        <f>IFERROR(IF(AND($ID$2&lt;&gt;"Enter Spend&gt;&gt;&gt;",IE2="EXISTING"),SUMIFS('Existing Customers'!$S:$S,'Existing Customers'!$H:$H,$IC20,'Existing Customers'!$A:$A,$ID$1),IT20*ID20),0)</f>
        <v>0</v>
      </c>
      <c r="IK20" s="1161">
        <f>IFERROR(IF(AND($ID$2&lt;&gt;"Enter Spend&gt;&gt;&gt;",IE2="EXISTING"),SUMIFS('Existing Customers'!$U:$U,'Existing Customers'!$H:$H,$IC20,'Existing Customers'!$A:$A,$ID$1),IU20*ID20),0)</f>
        <v>0</v>
      </c>
      <c r="IL20" s="1164" t="e">
        <f t="shared" si="51"/>
        <v>#N/A</v>
      </c>
      <c r="IM20" s="1164">
        <f t="array" ref="IM20">IFERROR(INDEX('Margin Guidence Table'!$A$1:$AG$10000,MATCH(1,('Margin Guidence Table'!$A$1:$A$10000=IL20)*('Margin Guidence Table'!$I$1:$I$10000&lt;=ROUND($ID$3,0))*('Margin Guidence Table'!$J$1:$J$10000&gt;=ROUND($ID$3,0)),0),MATCH("DATA_POINTS",'Margin Guidence Table'!$A$1:$AG$1,0)),0)</f>
        <v>0</v>
      </c>
      <c r="IN20" s="1161" t="str">
        <f t="shared" si="52"/>
        <v>DEFAULT</v>
      </c>
      <c r="IO20" s="116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16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16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16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16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16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16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16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9"/>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96" t="e">
        <f t="shared" si="53"/>
        <v>#DIV/0!</v>
      </c>
      <c r="IZ20" s="102" t="s">
        <v>98</v>
      </c>
      <c r="JA20" s="94">
        <f>IFERROR(IF(AND($JA$2&lt;&gt;"Enter Spend&gt;&gt;&gt;",JB8="EXISTING"),SUMIFS('Existing Customers'!$Q:$Q,'Existing Customers'!$A:$A,$JA$1,'Existing Customers'!$H:$H,$IZ20)*$JA$4,$JA$3*$IY20),0)</f>
        <v>0</v>
      </c>
      <c r="JB20" s="89">
        <f>IFERROR(IF(AND($JA$2&lt;&gt;"Enter Spend&gt;&gt;&gt;",JB2="EXISTING"),SUMIFS('Existing Customers'!$N:$N,'Existing Customers'!$A:$A,$JA$1,'Existing Customers'!$H:$H,$IZ20)*$JA$4,$JA20/$JL20),0)</f>
        <v>0</v>
      </c>
      <c r="JC20" s="95">
        <f>IFERROR(IF(AND($JA$2&lt;&gt;"Enter Spend&gt;&gt;&gt;",JB2="EXISTING"),SUMIFS('Existing Customers'!$O:$O,'Existing Customers'!$H:$H,$IZ20,'Existing Customers'!$A:$A,$JA$1)*$JA$4,$JB20*$JA$8),0)</f>
        <v>0</v>
      </c>
      <c r="JD20" s="95">
        <f>IFERROR(IF(AND($JA$2&lt;&gt;"Enter Spend&gt;&gt;&gt;",JB2="EXISTING"),SUMIFS('Existing Customers'!$P:$P,'Existing Customers'!$A:$A,$JA$1,'Existing Customers'!$H:$H,$IZ20)*$JA$4,$JA20/$JM20),0)</f>
        <v>0</v>
      </c>
      <c r="JE20" s="402">
        <f>IFERROR(IF(AND($JA$2&lt;&gt;"Enter Spend&gt;&gt;&gt;",JB2="EXISTING"),SUMIFS('Existing Customers'!$V:$V,'Existing Customers'!$H:$H,$IZ20,'Existing Customers'!$A:$A,$JA$1)*$JA$4,0),0)</f>
        <v>0</v>
      </c>
      <c r="JF20" s="96">
        <f>IFERROR(IF(AND($JA$2&lt;&gt;"Enter Spend&gt;&gt;&gt;",JB2="EXISTING"),SUMIFS('Existing Customers'!$R:$R,'Existing Customers'!$H:$H,$IZ20,'Existing Customers'!$A:$A,$JA$1)*$JA$4,0),0)</f>
        <v>0</v>
      </c>
      <c r="JG20" s="1161">
        <f>IFERROR(IF(AND($JA$2&lt;&gt;"Enter Spend&gt;&gt;&gt;",JB2="EXISTING"),SUMIFS('Existing Customers'!$S:$S,'Existing Customers'!$H:$H,$IZ20,'Existing Customers'!$A:$A,$JA$1),JQ20*JA20),0)</f>
        <v>0</v>
      </c>
      <c r="JH20" s="1161">
        <f>IFERROR(IF(AND($JA$2&lt;&gt;"Enter Spend&gt;&gt;&gt;",JB2="EXISTING"),SUMIFS('Existing Customers'!$U:$U,'Existing Customers'!$H:$H,$IZ20,'Existing Customers'!$A:$A,$JA$1),JR20*JA20),0)</f>
        <v>0</v>
      </c>
      <c r="JI20" s="1164" t="e">
        <f t="shared" si="54"/>
        <v>#N/A</v>
      </c>
      <c r="JJ20" s="1164">
        <f t="array" ref="JJ20">IFERROR(INDEX('Margin Guidence Table'!$A$1:$AG$10000,MATCH(1,('Margin Guidence Table'!$A$1:$A$10000=JI20)*('Margin Guidence Table'!$I$1:$I$10000&lt;=ROUND($JA$3,0))*('Margin Guidence Table'!$J$1:$J$10000&gt;=ROUND($JA$3,0)),0),MATCH("DATA_POINTS",'Margin Guidence Table'!$A$1:$AG$1,0)),0)</f>
        <v>0</v>
      </c>
      <c r="JK20" s="1161" t="str">
        <f t="shared" si="55"/>
        <v>DEFAULT</v>
      </c>
      <c r="JL20" s="116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16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16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16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16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16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16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16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2" t="s">
        <v>98</v>
      </c>
      <c r="JV20" s="97"/>
      <c r="JW20" s="89"/>
      <c r="JX20" s="89"/>
      <c r="JY20" s="89"/>
      <c r="JZ20" s="114"/>
      <c r="KA20" s="98"/>
      <c r="KB20" s="129"/>
      <c r="KD20" s="102" t="s">
        <v>98</v>
      </c>
      <c r="KE20" s="97"/>
      <c r="KF20" s="89"/>
      <c r="KG20" s="89"/>
      <c r="KH20" s="89"/>
      <c r="KI20" s="114"/>
      <c r="KJ20" s="98"/>
    </row>
    <row r="21" spans="2:296" ht="15.75" thickBot="1" x14ac:dyDescent="0.3">
      <c r="B21" s="102" t="s">
        <v>95</v>
      </c>
      <c r="C21" s="480">
        <f t="shared" si="11"/>
        <v>0</v>
      </c>
      <c r="D21" s="496">
        <f t="shared" si="12"/>
        <v>0</v>
      </c>
      <c r="E21" s="496">
        <f t="shared" si="13"/>
        <v>0</v>
      </c>
      <c r="F21" s="496">
        <f t="shared" si="14"/>
        <v>0</v>
      </c>
      <c r="G21" s="497">
        <f t="shared" si="15"/>
        <v>0</v>
      </c>
      <c r="H21" s="496">
        <f t="shared" si="16"/>
        <v>0</v>
      </c>
      <c r="I21" s="1157" t="e">
        <f t="shared" si="0"/>
        <v>#DIV/0!</v>
      </c>
      <c r="J21" s="1157" t="e">
        <f t="shared" si="1"/>
        <v>#DIV/0!</v>
      </c>
      <c r="K21" s="1157" t="e">
        <f t="shared" si="2"/>
        <v>#DIV/0!</v>
      </c>
      <c r="L21" s="496" t="e">
        <f t="shared" si="3"/>
        <v>#DIV/0!</v>
      </c>
      <c r="M21" s="496" t="e">
        <f t="shared" si="17"/>
        <v>#DIV/0!</v>
      </c>
      <c r="N21" s="1158" t="e">
        <f t="shared" si="4"/>
        <v>#DIV/0!</v>
      </c>
      <c r="P21" t="str">
        <f>'PIM Model'!E17</f>
        <v>INCLUDE</v>
      </c>
      <c r="Q21">
        <f t="shared" si="18"/>
        <v>0</v>
      </c>
      <c r="R21">
        <f t="shared" si="19"/>
        <v>0</v>
      </c>
      <c r="S21" s="102" t="s">
        <v>95</v>
      </c>
      <c r="T21" s="97">
        <f t="shared" si="20"/>
        <v>0</v>
      </c>
      <c r="U21" s="89">
        <f t="shared" si="5"/>
        <v>0</v>
      </c>
      <c r="V21" s="89">
        <f t="shared" si="6"/>
        <v>0</v>
      </c>
      <c r="W21" s="89">
        <f t="shared" si="7"/>
        <v>0</v>
      </c>
      <c r="X21" s="114">
        <f t="shared" si="8"/>
        <v>0</v>
      </c>
      <c r="Y21" s="117">
        <f t="shared" si="21"/>
        <v>0</v>
      </c>
      <c r="Z21" s="400"/>
      <c r="AA21" s="102" t="s">
        <v>95</v>
      </c>
      <c r="AB21" s="484">
        <f t="shared" si="9"/>
        <v>0</v>
      </c>
      <c r="AC21" s="485">
        <f t="shared" si="9"/>
        <v>0</v>
      </c>
      <c r="AD21" s="485">
        <f t="shared" si="9"/>
        <v>0</v>
      </c>
      <c r="AE21" s="486">
        <f t="shared" si="22"/>
        <v>0</v>
      </c>
      <c r="AF21" s="487">
        <f t="shared" si="23"/>
        <v>0</v>
      </c>
      <c r="AG21" s="400"/>
      <c r="AH21" s="102" t="s">
        <v>95</v>
      </c>
      <c r="AI21" s="484">
        <f t="shared" si="10"/>
        <v>0</v>
      </c>
      <c r="AJ21" s="481">
        <f t="shared" si="24"/>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400" t="e">
        <f t="shared" si="25"/>
        <v>#DIV/0!</v>
      </c>
      <c r="AR21">
        <f>'PIM Model'!C17</f>
        <v>0</v>
      </c>
      <c r="AS21" s="400"/>
      <c r="AT21" s="400"/>
      <c r="AU21" s="400" t="e">
        <f t="shared" si="56"/>
        <v>#DIV/0!</v>
      </c>
      <c r="AV21" s="400"/>
      <c r="AW21" s="400"/>
      <c r="AX21" s="108">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96" t="e">
        <f t="shared" si="26"/>
        <v>#DIV/0!</v>
      </c>
      <c r="BA21" s="102" t="s">
        <v>95</v>
      </c>
      <c r="BB21" s="94">
        <f>IFERROR(IF(AND($BB$2&lt;&gt;"Enter Spend&gt;&gt;&gt;",BC9="EXISTING"),SUMIFS('Existing Customers'!$Q:$Q,'Existing Customers'!$A:$A,$BB$1,'Existing Customers'!$H:$H,$BA21)*$BB$4,$BB$3*$AZ21),0)</f>
        <v>0</v>
      </c>
      <c r="BC21" s="95">
        <f>IFERROR(IF(AND($BB$2&lt;&gt;"Enter Spend&gt;&gt;&gt;",BC2="EXISTING"),SUMIFS('Existing Customers'!$N:$N,'Existing Customers'!$A:$A,$BB$1,'Existing Customers'!$H:$H,$BA21)*$BB$4,$BB21/$BM21),0)</f>
        <v>0</v>
      </c>
      <c r="BD21" s="95">
        <f>IFERROR(IF(AND($BB$2&lt;&gt;"Enter Spend&gt;&gt;&gt;",BC2="EXISTING"),SUMIFS('Existing Customers'!$O:$O,'Existing Customers'!$H:$H,$BA21,'Existing Customers'!$A:$A,$BB$1)*$BB$4,$BC21*$BB$8),0)</f>
        <v>0</v>
      </c>
      <c r="BE21" s="95">
        <f>IFERROR(IF(AND($BB$2&lt;&gt;"Enter Spend&gt;&gt;&gt;",BC2="EXISTING"),SUMIFS('Existing Customers'!$P:$P,'Existing Customers'!$A:$A,$BB$1,'Existing Customers'!$H:$H,$BA21)*$BB$4,$BB21/$BN21),0)</f>
        <v>0</v>
      </c>
      <c r="BF21" s="402">
        <f>IFERROR(IF(AND($BB$2&lt;&gt;"Enter Spend&gt;&gt;&gt;",BC2="EXISTING"),SUMIFS('Existing Customers'!$V:$V,'Existing Customers'!$H:$H,$BA21,'Existing Customers'!$A:$A,$BB$1)*$BB$4,0),0)</f>
        <v>0</v>
      </c>
      <c r="BG21" s="96">
        <f>IFERROR(IF(AND($BB$2&lt;&gt;"Enter Spend&gt;&gt;&gt;",BC2="EXISTING"),SUMIFS('Existing Customers'!$R:$R,'Existing Customers'!$H:$H,$BA21,'Existing Customers'!$A:$A,$BB$1)*$BB$4,0),0)</f>
        <v>0</v>
      </c>
      <c r="BH21" s="96">
        <f>IFERROR(IF(AND($BB$2&lt;&gt;"Enter Spend&gt;&gt;&gt;",BC2="EXISTING"),SUMIFS('Existing Customers'!$S:$S,'Existing Customers'!$H:$H,$BA21,'Existing Customers'!$A:$A,$BB$1),BR21*BB21),0)</f>
        <v>0</v>
      </c>
      <c r="BI21" s="96">
        <f>IFERROR(IF(AND($BB$2&lt;&gt;"Enter Spend&gt;&gt;&gt;",BC2="EXISTING"),SUMIFS('Existing Customers'!$U:$U,'Existing Customers'!$H:$H,$BA21,'Existing Customers'!$A:$A,$BB$1),BS21*BB21),0)</f>
        <v>0</v>
      </c>
      <c r="BJ21" s="1163" t="e">
        <f t="shared" si="27"/>
        <v>#N/A</v>
      </c>
      <c r="BK21" s="1164">
        <f t="array" ref="BK21">IFERROR(INDEX('Margin Guidence Table'!$A$1:$AG$10000,MATCH(1,('Margin Guidence Table'!$A$1:$A$10000=$BJ21)*('Margin Guidence Table'!$I$1:$I$10000&lt;=ROUND($BB$3,0))*('Margin Guidence Table'!$J$1:$J$10000&gt;=ROUND($BB$3,0)),0),MATCH("DATA_POINTS",'Margin Guidence Table'!$A$1:$AG$1,0)),0)</f>
        <v>0</v>
      </c>
      <c r="BL21" s="1161" t="str">
        <f t="shared" si="28"/>
        <v>DEFAULT</v>
      </c>
      <c r="BM21" s="116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16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16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16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16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16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16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16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9"/>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96" t="e">
        <f t="shared" si="29"/>
        <v>#DIV/0!</v>
      </c>
      <c r="BX21" s="102" t="s">
        <v>95</v>
      </c>
      <c r="BY21" s="94">
        <f>IFERROR(IF(AND($BY$2&lt;&gt;"Enter Spend&gt;&gt;&gt;",BZ9="EXISTING"),SUMIFS('Existing Customers'!$Q:$Q,'Existing Customers'!$A:$A,$BY$1,'Existing Customers'!$H:$H,$BX21)*$BY$4,$BY$3*$BW21),0)</f>
        <v>0</v>
      </c>
      <c r="BZ21" s="89">
        <f>IFERROR(IF(AND($BY$2&lt;&gt;"Enter Spend&gt;&gt;&gt;",BZ2="EXISTING"),SUMIFS('Existing Customers'!$N:$N,'Existing Customers'!$A:$A,$BY$1,'Existing Customers'!$H:$H,$BX21)*$BY$4,$BY21/$CJ21),0)</f>
        <v>0</v>
      </c>
      <c r="CA21" s="95">
        <f>IFERROR(IF(AND($BY$2&lt;&gt;"Enter Spend&gt;&gt;&gt;",BZ2="EXISTING"),SUMIFS('Existing Customers'!$O:$O,'Existing Customers'!$H:$H,$BX21,'Existing Customers'!$A:$A,$BY$1)*$BY$4,$BZ21*$BY$8),0)</f>
        <v>0</v>
      </c>
      <c r="CB21" s="95">
        <f>IFERROR(IF(AND($BY$2&lt;&gt;"Enter Spend&gt;&gt;&gt;",BZ2="EXISTING"),SUMIFS('Existing Customers'!$P:$P,'Existing Customers'!$A:$A,$BY$1,'Existing Customers'!$H:$H,$BX21)*$BY$4,$BY21/$CK21),0)</f>
        <v>0</v>
      </c>
      <c r="CC21" s="96">
        <f>IFERROR(IF(AND($BY$2&lt;&gt;"Enter Spend&gt;&gt;&gt;",BZ2="EXISTING"),SUMIFS('Existing Customers'!$V:$V,'Existing Customers'!$H:$H,$BX21,'Existing Customers'!$A:$A,$BY$1)*$BY$4,0),0)</f>
        <v>0</v>
      </c>
      <c r="CD21" s="96">
        <f>IFERROR(IF(AND($BY$2&lt;&gt;"Enter Spend&gt;&gt;&gt;",BZ2="EXISTING"),SUMIFS('Existing Customers'!$R:$R,'Existing Customers'!$H:$H,$BX21,'Existing Customers'!$A:$A,$BY$1)*$BY$4,0),0)</f>
        <v>0</v>
      </c>
      <c r="CE21" s="1161">
        <f>IFERROR(IF(AND($BY$2&lt;&gt;"Enter Spend&gt;&gt;&gt;",BZ2="EXISTING"),SUMIFS('Existing Customers'!$S:$S,'Existing Customers'!$H:$H,$BX21,'Existing Customers'!$A:$A,$BY$1),CO21*BY21),0)</f>
        <v>0</v>
      </c>
      <c r="CF21" s="1161">
        <f>IFERROR(IF(AND($BY$2&lt;&gt;"Enter Spend&gt;&gt;&gt;",BZ2="EXISTING"),SUMIFS('Existing Customers'!$U:$U,'Existing Customers'!$H:$H,$BX21,'Existing Customers'!$A:$A,$BY$1),CP21*BY21),0)</f>
        <v>0</v>
      </c>
      <c r="CG21" s="1164" t="e">
        <f t="shared" si="30"/>
        <v>#N/A</v>
      </c>
      <c r="CH21" s="1164">
        <f t="array" ref="CH21">IFERROR(INDEX('Margin Guidence Table'!$A$1:$AG$10000,MATCH(1,('Margin Guidence Table'!$A$1:$A$10000=$CG21)*('Margin Guidence Table'!$I$1:$I$10000&lt;=ROUND($BY$3,0))*('Margin Guidence Table'!$J$1:$J$10000&gt;=ROUND($BY$3,0)),0),MATCH("DATA_POINTS",'Margin Guidence Table'!$A$1:$AG$1,0)),0)</f>
        <v>0</v>
      </c>
      <c r="CI21" s="1161" t="str">
        <f t="shared" si="31"/>
        <v>DEFAULT</v>
      </c>
      <c r="CJ21" s="116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16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16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16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16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16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16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16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9"/>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96" t="e">
        <f t="shared" si="32"/>
        <v>#DIV/0!</v>
      </c>
      <c r="CU21" s="102" t="s">
        <v>95</v>
      </c>
      <c r="CV21" s="94">
        <f>IFERROR(IF(AND($CV$2&lt;&gt;"Enter Spend&gt;&gt;&gt;",CW9="EXISTING"),SUMIFS('Existing Customers'!$Q:$Q,'Existing Customers'!$A:$A,$CV$1,'Existing Customers'!$H:$H,$CU21)*$CV$4,$CV$3*$CT21),0)</f>
        <v>0</v>
      </c>
      <c r="CW21" s="89">
        <f>IFERROR(IF(AND($CV$2&lt;&gt;"Enter Spend&gt;&gt;&gt;",CW2="EXISTING"),SUMIFS('Existing Customers'!$N:$N,'Existing Customers'!$A:$A,$CV$1,'Existing Customers'!$H:$H,$CU21)*$CV$4,$CV21/$DG21),0)</f>
        <v>0</v>
      </c>
      <c r="CX21" s="95">
        <f>IFERROR(IF(AND($CV$2&lt;&gt;"Enter Spend&gt;&gt;&gt;",BC28="EXISTING"),SUMIFS('Existing Customers'!$O:$O,'Existing Customers'!$H:$H,$CU21,'Existing Customers'!$A:$A,$CV$1)*$CV$4,$CW21*$CV$8),0)</f>
        <v>0</v>
      </c>
      <c r="CY21" s="95">
        <f>IFERROR(IF(AND($CV$2&lt;&gt;"Enter Spend&gt;&gt;&gt;",CW2="EXISTING"),SUMIFS('Existing Customers'!$P:$P,'Existing Customers'!$A:$A,$CV$1,'Existing Customers'!$H:$H,$CU21)*$CV$4,$CV21/$DH21),0)</f>
        <v>0</v>
      </c>
      <c r="CZ21" s="96">
        <f>IFERROR(IF(AND($CV$2&lt;&gt;"Enter Spend&gt;&gt;&gt;",CW2="EXISTING"),SUMIFS('Existing Customers'!$V:$V,'Existing Customers'!$H:$H,$CU21,'Existing Customers'!$A:$A,$CV$1)*$CV$4,0),0)</f>
        <v>0</v>
      </c>
      <c r="DA21" s="96">
        <f>IFERROR(IF(AND($CV$2&lt;&gt;"Enter Spend&gt;&gt;&gt;",CW2="EXISTING"),SUMIFS('Existing Customers'!$R:$R,'Existing Customers'!$H:$H,$BA21,'Existing Customers'!$A:$A,$CV$1)*$CV$4,0),0)</f>
        <v>0</v>
      </c>
      <c r="DB21" s="1161">
        <f>IFERROR(IF(AND($CV$2&lt;&gt;"Enter Spend&gt;&gt;&gt;",CW2="EXISTING"),SUMIFS('Existing Customers'!$S:$S,'Existing Customers'!$H:$H,$CU21,'Existing Customers'!$A:$A,$CV$1),DL21*CV21),0)</f>
        <v>0</v>
      </c>
      <c r="DC21" s="1161">
        <f>IFERROR(IF(AND($CV$2&lt;&gt;"Enter Spend&gt;&gt;&gt;",CW2="EXISTING"),SUMIFS('Existing Customers'!$U:$U,'Existing Customers'!$H:$H,$CU21,'Existing Customers'!$A:$A,$CV$1),DM21*CV21),0)</f>
        <v>0</v>
      </c>
      <c r="DD21" s="1164" t="e">
        <f t="shared" si="33"/>
        <v>#N/A</v>
      </c>
      <c r="DE21" s="1164">
        <f t="array" ref="DE21">IFERROR(INDEX('Margin Guidence Table'!$A$1:$AG$10000,MATCH(1,('Margin Guidence Table'!$A$1:$A$10000=DD21)*('Margin Guidence Table'!$I$1:$I$10000&lt;=ROUND($CV$3,0))*('Margin Guidence Table'!$J$1:$J$10000&gt;=ROUND($CV$3,0)),0),MATCH("DATA_POINTS",'Margin Guidence Table'!$A$1:$AG$1,0)),0)</f>
        <v>0</v>
      </c>
      <c r="DF21" s="1161" t="str">
        <f t="shared" si="34"/>
        <v>DEFAULT</v>
      </c>
      <c r="DG21" s="116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16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16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16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16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16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16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16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9"/>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96" t="e">
        <f t="shared" si="35"/>
        <v>#DIV/0!</v>
      </c>
      <c r="DR21" s="102" t="s">
        <v>95</v>
      </c>
      <c r="DS21" s="94">
        <f>IFERROR(IF(AND($DS$2&lt;&gt;"Enter Spend&gt;&gt;&gt;",DT9="EXISTING"),SUMIFS('Existing Customers'!$Q:$Q,'Existing Customers'!$A:$A,$DS$1,'Existing Customers'!$H:$H,$DR21)*$DS$4,$DS$3*$DQ21),0)</f>
        <v>0</v>
      </c>
      <c r="DT21" s="89">
        <f>IFERROR(IF(AND($DS$2&lt;&gt;"Enter Spend&gt;&gt;&gt;",DT2="EXISTING"),SUMIFS('Existing Customers'!$N:$N,'Existing Customers'!$A:$A,$DS$1,'Existing Customers'!$H:$H,$DR21)*$DS$4,$DS21/$ED21),0)</f>
        <v>0</v>
      </c>
      <c r="DU21" s="95">
        <f>IFERROR(IF(AND($DS$2&lt;&gt;"Enter Spend&gt;&gt;&gt;",DT2="EXISTING"),SUMIFS('Existing Customers'!$O:$O,'Existing Customers'!$H:$H,$DR21,'Existing Customers'!$A:$A,$DS$1)*$DS$4,$DT21*$DS$8),0)</f>
        <v>0</v>
      </c>
      <c r="DV21" s="95">
        <f>IFERROR(IF(AND($DS$2&lt;&gt;"Enter Spend&gt;&gt;&gt;",DT2="EXISTING"),SUMIFS('Existing Customers'!$P:$P,'Existing Customers'!$A:$A,$DS$1,'Existing Customers'!$H:$H,$DR21)*$DS$4,$DS21/$EE21),0)</f>
        <v>0</v>
      </c>
      <c r="DW21" s="96">
        <f>IFERROR(IF(AND($DS$2&lt;&gt;"Enter Spend&gt;&gt;&gt;",EQ2="EXISTING"),SUMIFS('Existing Customers'!$V:$V,'Existing Customers'!$H:$H,$DR21,'Existing Customers'!$A:$A,$DS$1)*$DS$4,0),0)</f>
        <v>0</v>
      </c>
      <c r="DX21" s="96">
        <f>IFERROR(IF(AND($DS$2&lt;&gt;"Enter Spend&gt;&gt;&gt;",DT2="EXISTING"),SUMIFS('Existing Customers'!$R:$R,'Existing Customers'!$H:$H,$DR21,'Existing Customers'!$A:$A,$DS$1)*$DS$4,0),0)</f>
        <v>0</v>
      </c>
      <c r="DY21" s="1161">
        <f>IFERROR(IF(AND($DS$2&lt;&gt;"Enter Spend&gt;&gt;&gt;",DT2="EXISTING"),SUMIFS('Existing Customers'!$S:$S,'Existing Customers'!$H:$H,$DT21,'Existing Customers'!$A:$A,$DS$1),EI21*DS21),0)</f>
        <v>0</v>
      </c>
      <c r="DZ21" s="1161">
        <f>IFERROR(IF(AND($DS$2&lt;&gt;"Enter Spend&gt;&gt;&gt;",DT2="EXISTING"),SUMIFS('Existing Customers'!$U:$U,'Existing Customers'!$H:$H,$DR21,'Existing Customers'!$A:$A,$DS$1),EJ21*DS21),0)</f>
        <v>0</v>
      </c>
      <c r="EA21" s="1164" t="e">
        <f t="shared" si="36"/>
        <v>#N/A</v>
      </c>
      <c r="EB21" s="1164">
        <f t="array" ref="EB21">IFERROR(INDEX('Margin Guidence Table'!$A$1:$AG$10000,MATCH(1,('Margin Guidence Table'!$A$1:$A$10000=EA21)*('Margin Guidence Table'!$I$1:$I$10000&lt;=ROUND($DS$3,0))*('Margin Guidence Table'!$J$1:$J$10000&gt;=ROUND($DS$3,0)),0),MATCH("DATA_POINTS",'Margin Guidence Table'!$A$1:$AG$1,0)),0)</f>
        <v>0</v>
      </c>
      <c r="EC21" s="1161" t="str">
        <f t="shared" si="37"/>
        <v>DEFAULT</v>
      </c>
      <c r="ED21" s="116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16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16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16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16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16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16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16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9"/>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96" t="e">
        <f t="shared" si="38"/>
        <v>#DIV/0!</v>
      </c>
      <c r="EO21" s="102" t="s">
        <v>95</v>
      </c>
      <c r="EP21" s="94">
        <f>IFERROR(IF(AND($EP$2&lt;&gt;"Enter Spend&gt;&gt;&gt;",EQ9="EXISTING"),SUMIFS('Existing Customers'!$Q:$Q,'Existing Customers'!$A:$A,$EP$1,'Existing Customers'!$H:$H,$EO21)*$EP$4,$EP$3*$EN21),0)</f>
        <v>0</v>
      </c>
      <c r="EQ21" s="89">
        <f>IFERROR(IF(AND($EP$2&lt;&gt;"Enter Spend&gt;&gt;&gt;",EQ2="EXISTING"),SUMIFS('Existing Customers'!$N:$N,'Existing Customers'!$A:$A,$EP$1,'Existing Customers'!$H:$H,$EO21)*$EP$4,$EP21/$FA21),0)</f>
        <v>0</v>
      </c>
      <c r="ER21" s="95">
        <f>IFERROR(IF(AND($EP$2&lt;&gt;"Enter Spend&gt;&gt;&gt;",EQ2="EXISTING"),SUMIFS('Existing Customers'!$O:$O,'Existing Customers'!$H:$H,$EO21,'Existing Customers'!$A:$A,$EP$1)*$EP$4,$EQ21*$EP$8),0)</f>
        <v>0</v>
      </c>
      <c r="ES21" s="95">
        <f>IFERROR(IF(AND($EP$2&lt;&gt;"Enter Spend&gt;&gt;&gt;",EQ2="EXISTING"),SUMIFS('Existing Customers'!$P:$P,'Existing Customers'!$A:$A,$EP$1,'Existing Customers'!$H:$H,$EO21)*$EP$4,$EP21/$FB21),0)</f>
        <v>0</v>
      </c>
      <c r="ET21" s="96">
        <f>IFERROR(IF(AND($EP$2&lt;&gt;"Enter Spend&gt;&gt;&gt;",EQ2="EXISTING"),SUMIFS('Existing Customers'!$V:$V,'Existing Customers'!$H:$H,$EO21,'Existing Customers'!$A:$A,$EP$1)*$EP$4,0),0)</f>
        <v>0</v>
      </c>
      <c r="EU21" s="96">
        <f>IFERROR(IF(AND($EP$2&lt;&gt;"Enter Spend&gt;&gt;&gt;",EQ2="EXISTING"),SUMIFS('Existing Customers'!$R:$R,'Existing Customers'!$H:$H,$EO21,'Existing Customers'!$A:$A,$EP$1)*$EP$4,0),0)</f>
        <v>0</v>
      </c>
      <c r="EV21" s="1161">
        <f>IFERROR(IF(AND($EP$2&lt;&gt;"Enter Spend&gt;&gt;&gt;",EQ2="EXISTING"),SUMIFS('Existing Customers'!$S:$S,'Existing Customers'!$H:$H,$EO21,'Existing Customers'!$A:$A,$EP$1),FF21*EP21),0)</f>
        <v>0</v>
      </c>
      <c r="EW21" s="1161">
        <f>IFERROR(IF(AND($EP$2&lt;&gt;"Enter Spend&gt;&gt;&gt;",EQ2="EXISTING"),SUMIFS('Existing Customers'!$U:$U,'Existing Customers'!$H:$H,$EO21,'Existing Customers'!$A:$A,$EP$1),FG21*EP21),0)</f>
        <v>0</v>
      </c>
      <c r="EX21" s="1164" t="e">
        <f t="shared" si="39"/>
        <v>#N/A</v>
      </c>
      <c r="EY21" s="1164">
        <f t="array" ref="EY21">IFERROR(INDEX('Margin Guidence Table'!$A$1:$AG$10000,MATCH(1,('Margin Guidence Table'!$A$1:$A$10000=EX21)*('Margin Guidence Table'!$I$1:$I$10000&lt;=ROUND($EP$3,0))*('Margin Guidence Table'!$J$1:$J$10000&gt;=ROUND($EP$3,0)),0),MATCH("DATA_POINTS",'Margin Guidence Table'!$A$1:$AG$1,0)),0)</f>
        <v>0</v>
      </c>
      <c r="EZ21" s="1161" t="str">
        <f t="shared" si="40"/>
        <v>DEFAULT</v>
      </c>
      <c r="FA21" s="116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16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16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16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16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16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16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16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9"/>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96" t="e">
        <f t="shared" si="41"/>
        <v>#DIV/0!</v>
      </c>
      <c r="FL21" s="102" t="s">
        <v>95</v>
      </c>
      <c r="FM21" s="94">
        <f>IFERROR(IF(AND($FM$2&lt;&gt;"Enter Spend&gt;&gt;&gt;",FN9="EXISTING"),SUMIFS('Existing Customers'!$Q:$Q,'Existing Customers'!$A:$A,$FM$1,'Existing Customers'!$H:$H,$FL21)*$FM$4,$FM$3*$FK21),0)</f>
        <v>0</v>
      </c>
      <c r="FN21" s="89">
        <f>IFERROR(IF(AND($FM$2&lt;&gt;"Enter Spend&gt;&gt;&gt;",FN2="EXISTING"),SUMIFS('Existing Customers'!$N:$N,'Existing Customers'!$A:$A,$FM$1,'Existing Customers'!$H:$H,$FL21)*$FM$4,$FM21/$FX21),0)</f>
        <v>0</v>
      </c>
      <c r="FO21" s="95">
        <f>IFERROR(IF(AND($FM$2&lt;&gt;"Enter Spend&gt;&gt;&gt;",FN2="EXISTING"),SUMIFS('Existing Customers'!$O:$O,'Existing Customers'!$H:$H,$FL21,'Existing Customers'!$A:$A,$FM$1)*$FM$4,$FN21*$FM$8),0)</f>
        <v>0</v>
      </c>
      <c r="FP21" s="95">
        <f>IFERROR(IF(AND($FM$2&lt;&gt;"Enter Spend&gt;&gt;&gt;",FN2="EXISTING"),SUMIFS('Existing Customers'!$P:$P,'Existing Customers'!$A:$A,$FM$1,'Existing Customers'!$H:$H,$FL21)*$FM$4,$FM21/$FY21),0)</f>
        <v>0</v>
      </c>
      <c r="FQ21" s="96">
        <f>IFERROR(IF(AND($FM$2&lt;&gt;"Enter Spend&gt;&gt;&gt;",FN2="EXISTING"),SUMIFS('Existing Customers'!$V:$V,'Existing Customers'!$H:$H,$FL21,'Existing Customers'!$A:$A,$FM$1)*$FM$4,0),0)</f>
        <v>0</v>
      </c>
      <c r="FR21" s="96">
        <f>IFERROR(IF(AND($FM$2&lt;&gt;"Enter Spend&gt;&gt;&gt;",FN2="EXISTING"),SUMIFS('Existing Customers'!$R:$R,'Existing Customers'!$H:$H,$FL21,'Existing Customers'!$A:$A,$FM$1)*$FM$4,0),0)</f>
        <v>0</v>
      </c>
      <c r="FS21" s="1161">
        <f>IFERROR(IF(AND($FM$2&lt;&gt;"Enter Spend&gt;&gt;&gt;",FN2="EXISTING"),SUMIFS('Existing Customers'!$S:$S,'Existing Customers'!$H:$H,$FL21,'Existing Customers'!$A:$A,$FM$1),GC21*FM21),0)</f>
        <v>0</v>
      </c>
      <c r="FT21" s="1161">
        <f>IFERROR(IF(AND($FM$2&lt;&gt;"Enter Spend&gt;&gt;&gt;",FN2="EXISTING"),SUMIFS('Existing Customers'!$U:$U,'Existing Customers'!$H:$H,$FL21,'Existing Customers'!$A:$A,$FM$1),GD21*FM21),0)</f>
        <v>0</v>
      </c>
      <c r="FU21" s="1164" t="e">
        <f t="shared" si="42"/>
        <v>#N/A</v>
      </c>
      <c r="FV21" s="1164">
        <f t="array" ref="FV21">IFERROR(INDEX('Margin Guidence Table'!$A$1:$AG$10000,MATCH(1,('Margin Guidence Table'!$A$1:$A$10000=FU21)*('Margin Guidence Table'!$I$1:$I$10000&lt;=ROUND($FM$3,0))*('Margin Guidence Table'!$J$1:$J$10000&gt;=ROUND($FM$3,0)),0),MATCH("DATA_POINTS",'Margin Guidence Table'!$A$1:$AG$1,0)),0)</f>
        <v>0</v>
      </c>
      <c r="FW21" s="1161" t="str">
        <f t="shared" si="43"/>
        <v>DEFAULT</v>
      </c>
      <c r="FX21" s="116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16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16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16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16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16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16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16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9"/>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96" t="e">
        <f t="shared" si="44"/>
        <v>#DIV/0!</v>
      </c>
      <c r="GI21" s="102" t="s">
        <v>95</v>
      </c>
      <c r="GJ21" s="94">
        <f>IFERROR(IF(AND($GJ$2&lt;&gt;"Enter Spend&gt;&gt;&gt;",GK9="EXISTING"),SUMIFS('Existing Customers'!$Q:$Q,'Existing Customers'!$A:$A,$GJ$1,'Existing Customers'!$H:$H,$GI21)*$GJ$4,$GJ$3*$GH21),0)</f>
        <v>0</v>
      </c>
      <c r="GK21" s="89">
        <f>IFERROR(IF(AND($GJ$2&lt;&gt;"Enter Spend&gt;&gt;&gt;",GK2="EXISTING"),SUMIFS('Existing Customers'!$N:$N,'Existing Customers'!$A:$A,$GJ$1,'Existing Customers'!$H:$H,$GI21)*$GJ$4,$GJ21/$GU21),0)</f>
        <v>0</v>
      </c>
      <c r="GL21" s="95">
        <f>IFERROR(IF(AND($GJ$2&lt;&gt;"Enter Spend&gt;&gt;&gt;",GK2="EXISTING"),SUMIFS('Existing Customers'!$O:$O,'Existing Customers'!$H:$H,$GI21,'Existing Customers'!$A:$A,$GJ$1)*$GJ$4,$GK21*$GJ$8),0)</f>
        <v>0</v>
      </c>
      <c r="GM21" s="95">
        <f>IFERROR(IF(AND($GJ$2&lt;&gt;"Enter Spend&gt;&gt;&gt;",GK2="EXISTING"),SUMIFS('Existing Customers'!$P:$P,'Existing Customers'!$A:$A,$GJ$1,'Existing Customers'!$H:$H,$GI21)*$GJ$4,$GJ21/$GV21),0)</f>
        <v>0</v>
      </c>
      <c r="GN21" s="96">
        <f>IFERROR(IF(AND($GJ$2&lt;&gt;"Enter Spend&gt;&gt;&gt;",GK2="EXISTING"),SUMIFS('Existing Customers'!$V:$V,'Existing Customers'!$H:$H,$GI21,'Existing Customers'!$A:$A,$GJ$1)*$GJ$4,0),0)</f>
        <v>0</v>
      </c>
      <c r="GO21" s="96">
        <f>IFERROR(IF(AND($GJ$2&lt;&gt;"Enter Spend&gt;&gt;&gt;",GK2="EXISTING"),SUMIFS('Existing Customers'!$R:$R,'Existing Customers'!$H:$H,$GI21,'Existing Customers'!$A:$A,$GJ$1)*$GJ$4,0),0)</f>
        <v>0</v>
      </c>
      <c r="GP21" s="1161">
        <f>IFERROR(IF(AND($GJ$2&lt;&gt;"Enter Spend&gt;&gt;&gt;",GK2="EXISTING"),SUMIFS('Existing Customers'!$S:$S,'Existing Customers'!$H:$H,$GI21,'Existing Customers'!$A:$A,$GJ$1),GZ21*GJ21),0)</f>
        <v>0</v>
      </c>
      <c r="GQ21" s="1161">
        <f>IFERROR(IF(AND($GJ$2&lt;&gt;"Enter Spend&gt;&gt;&gt;",GK2="EXISTING"),SUMIFS('Existing Customers'!$U:$U,'Existing Customers'!$H:$H,$GI21,'Existing Customers'!$A:$A,$GJ$1),HA21*GJ21),0)</f>
        <v>0</v>
      </c>
      <c r="GR21" s="1164" t="e">
        <f t="shared" si="45"/>
        <v>#N/A</v>
      </c>
      <c r="GS21" s="1164">
        <f t="array" ref="GS21">IFERROR(INDEX('Margin Guidence Table'!$A$1:$AG$10000,MATCH(1,('Margin Guidence Table'!$A$1:$A$10000=GR21)*('Margin Guidence Table'!$I$1:$I$10000&lt;=ROUND($GJ$3,0))*('Margin Guidence Table'!$J$1:$J$10000&gt;=ROUND($GJ$3,0)),0),MATCH("DATA_POINTS",'Margin Guidence Table'!$A$1:$AG$1,0)),0)</f>
        <v>0</v>
      </c>
      <c r="GT21" s="1161" t="str">
        <f t="shared" si="46"/>
        <v>DEFAULT</v>
      </c>
      <c r="GU21" s="116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16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16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16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16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16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16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16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9"/>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96" t="e">
        <f t="shared" si="47"/>
        <v>#DIV/0!</v>
      </c>
      <c r="HF21" s="102" t="s">
        <v>95</v>
      </c>
      <c r="HG21" s="94">
        <f>IFERROR(IF(AND($HG$2&lt;&gt;"Enter Spend&gt;&gt;&gt;",HH9="EXISTING"),SUMIFS('Existing Customers'!$Q:$Q,'Existing Customers'!$A:$A,$HG$1,'Existing Customers'!$H:$H,$HF21)*$HG$4,$HG$3*$HE21),0)</f>
        <v>0</v>
      </c>
      <c r="HH21" s="89">
        <f>IFERROR(IF(AND($HG$2&lt;&gt;"Enter Spend&gt;&gt;&gt;",HH2="EXISTING"),SUMIFS('Existing Customers'!$N:$N,'Existing Customers'!$A:$A,$HG$1,'Existing Customers'!$H:$H,$HF21)*$HG$4,$HG21/$HR21),0)</f>
        <v>0</v>
      </c>
      <c r="HI21" s="95">
        <f>IFERROR(IF(AND($HG$2&lt;&gt;"Enter Spend&gt;&gt;&gt;",HH2="EXISTING"),SUMIFS('Existing Customers'!$O:$O,'Existing Customers'!$H:$H,$HF21,'Existing Customers'!$A:$A,$HG$1)*$HG$4,$HH21*$HG$8),0)</f>
        <v>0</v>
      </c>
      <c r="HJ21" s="95">
        <f>IFERROR(IF(AND($HG$2&lt;&gt;"Enter Spend&gt;&gt;&gt;",HH2="EXISTING"),SUMIFS('Existing Customers'!$P:$P,'Existing Customers'!$A:$A,$HG$1,'Existing Customers'!$H:$H,$HF21)*$HG$4,$HG21/$HS21),0)</f>
        <v>0</v>
      </c>
      <c r="HK21" s="96">
        <f>IFERROR(IF(AND($HG$2&lt;&gt;"Enter Spend&gt;&gt;&gt;",HH2="EXISTING"),SUMIFS('Existing Customers'!$V:$V,'Existing Customers'!$H:$H,$HF21,'Existing Customers'!$A:$A,$HG$1)*$HG$4,0),0)</f>
        <v>0</v>
      </c>
      <c r="HL21" s="96">
        <f>IFERROR(IF(AND($HG$2&lt;&gt;"Enter Spend&gt;&gt;&gt;",HH2="EXISTING"),SUMIFS('Existing Customers'!$R:$R,'Existing Customers'!$H:$H,$HF21,'Existing Customers'!$A:$A,$HG$1)*$HG$4,0),0)</f>
        <v>0</v>
      </c>
      <c r="HM21" s="1161">
        <f>IFERROR(IF(AND($HG$2&lt;&gt;"Enter Spend&gt;&gt;&gt;",HH2="EXISTING"),SUMIFS('Existing Customers'!$S:$S,'Existing Customers'!$H:$H,$HF21,'Existing Customers'!$A:$A,$HG$1),HW21*HG21),0)</f>
        <v>0</v>
      </c>
      <c r="HN21" s="1161">
        <f>IFERROR(IF(AND($HG$2&lt;&gt;"Enter Spend&gt;&gt;&gt;",HH2="EXISTING"),SUMIFS('Existing Customers'!$U:$U,'Existing Customers'!$H:$H,$HF21,'Existing Customers'!$A:$A,$HG$1),HX21*HG21),0)</f>
        <v>0</v>
      </c>
      <c r="HO21" s="1164" t="e">
        <f t="shared" si="48"/>
        <v>#N/A</v>
      </c>
      <c r="HP21" s="1164">
        <f t="array" ref="HP21">IFERROR(INDEX('Margin Guidence Table'!$A$1:$AG$10000,MATCH(1,('Margin Guidence Table'!$A$1:$A$10000=HO21)*('Margin Guidence Table'!$I$1:$I$10000&lt;=ROUND($HG$3,0))*('Margin Guidence Table'!$J$1:$J$10000&gt;=ROUND($HG$3,0)),0),MATCH("DATA_POINTS",'Margin Guidence Table'!$A$1:$AG$1,0)),0)</f>
        <v>0</v>
      </c>
      <c r="HQ21" s="1161" t="str">
        <f t="shared" si="49"/>
        <v>DEFAULT</v>
      </c>
      <c r="HR21" s="116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16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16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16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16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16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16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16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9"/>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96" t="e">
        <f t="shared" si="50"/>
        <v>#DIV/0!</v>
      </c>
      <c r="IC21" s="102" t="s">
        <v>95</v>
      </c>
      <c r="ID21" s="94">
        <f>IFERROR(IF(AND($ID$2&lt;&gt;"Enter Spend&gt;&gt;&gt;",IE9="EXISTING"),SUMIFS('Existing Customers'!$Q:$Q,'Existing Customers'!$A:$A,$ID$1,'Existing Customers'!$H:$H,$IC21)*$ID$4,$ID$3*$IB21),0)</f>
        <v>0</v>
      </c>
      <c r="IE21" s="89">
        <f>IFERROR(IF(AND($ID$2&lt;&gt;"Enter Spend&gt;&gt;&gt;",IE2="EXISTING"),SUMIFS('Existing Customers'!$N:$N,'Existing Customers'!$A:$A,$ID$1,'Existing Customers'!$H:$H,$IC21)*$ID$4,$ID21/$IO21),0)</f>
        <v>0</v>
      </c>
      <c r="IF21" s="95">
        <f>IFERROR(IF(AND($ID$2&lt;&gt;"Enter Spend&gt;&gt;&gt;",IE2="EXISTING"),SUMIFS('Existing Customers'!$O:$O,'Existing Customers'!$H:$H,$IC21,'Existing Customers'!$A:$A,$ID$1)*$ID$4,$IE21*$ID$8),0)</f>
        <v>0</v>
      </c>
      <c r="IG21" s="95">
        <f>IFERROR(IF(AND($ID$2&lt;&gt;"Enter Spend&gt;&gt;&gt;",IE2="EXISTING"),SUMIFS('Existing Customers'!$P:$P,'Existing Customers'!$A:$A,$ID$1,'Existing Customers'!$H:$H,$IC21)*$ID$4,$ID21/$IP21),0)</f>
        <v>0</v>
      </c>
      <c r="IH21" s="402">
        <f>IFERROR(IF(AND($ID$2&lt;&gt;"Enter Spend&gt;&gt;&gt;",IE2="EXISTING"),SUMIFS('Existing Customers'!$V:$V,'Existing Customers'!$H:$H,$IC21,'Existing Customers'!$A:$A,$ID$1)*$ID$4,0),0)</f>
        <v>0</v>
      </c>
      <c r="II21" s="96">
        <f>IFERROR(IF(AND($ID$2&lt;&gt;"Enter Spend&gt;&gt;&gt;",IE2="EXISTING"),SUMIFS('Existing Customers'!$R:$R,'Existing Customers'!$H:$H,$IC21,'Existing Customers'!$A:$A,$ID$1)*$ID$4,0),0)</f>
        <v>0</v>
      </c>
      <c r="IJ21" s="1161">
        <f>IFERROR(IF(AND($ID$2&lt;&gt;"Enter Spend&gt;&gt;&gt;",IE2="EXISTING"),SUMIFS('Existing Customers'!$S:$S,'Existing Customers'!$H:$H,$IC21,'Existing Customers'!$A:$A,$ID$1),IT21*ID21),0)</f>
        <v>0</v>
      </c>
      <c r="IK21" s="1161">
        <f>IFERROR(IF(AND($ID$2&lt;&gt;"Enter Spend&gt;&gt;&gt;",IE2="EXISTING"),SUMIFS('Existing Customers'!$U:$U,'Existing Customers'!$H:$H,$IC21,'Existing Customers'!$A:$A,$ID$1),IU21*ID21),0)</f>
        <v>0</v>
      </c>
      <c r="IL21" s="1164" t="e">
        <f t="shared" si="51"/>
        <v>#N/A</v>
      </c>
      <c r="IM21" s="1164">
        <f t="array" ref="IM21">IFERROR(INDEX('Margin Guidence Table'!$A$1:$AG$10000,MATCH(1,('Margin Guidence Table'!$A$1:$A$10000=IL21)*('Margin Guidence Table'!$I$1:$I$10000&lt;=ROUND($ID$3,0))*('Margin Guidence Table'!$J$1:$J$10000&gt;=ROUND($ID$3,0)),0),MATCH("DATA_POINTS",'Margin Guidence Table'!$A$1:$AG$1,0)),0)</f>
        <v>0</v>
      </c>
      <c r="IN21" s="1161" t="str">
        <f t="shared" si="52"/>
        <v>DEFAULT</v>
      </c>
      <c r="IO21" s="116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16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16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16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16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16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16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16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9"/>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96" t="e">
        <f t="shared" si="53"/>
        <v>#DIV/0!</v>
      </c>
      <c r="IZ21" s="102" t="s">
        <v>95</v>
      </c>
      <c r="JA21" s="94">
        <f>IFERROR(IF(AND($JA$2&lt;&gt;"Enter Spend&gt;&gt;&gt;",JB9="EXISTING"),SUMIFS('Existing Customers'!$Q:$Q,'Existing Customers'!$A:$A,$JA$1,'Existing Customers'!$H:$H,$IZ21)*$JA$4,$JA$3*$IY21),0)</f>
        <v>0</v>
      </c>
      <c r="JB21" s="89">
        <f>IFERROR(IF(AND($JA$2&lt;&gt;"Enter Spend&gt;&gt;&gt;",JB2="EXISTING"),SUMIFS('Existing Customers'!$N:$N,'Existing Customers'!$A:$A,$JA$1,'Existing Customers'!$H:$H,$IZ21)*$JA$4,$JA21/$JL21),0)</f>
        <v>0</v>
      </c>
      <c r="JC21" s="95">
        <f>IFERROR(IF(AND($JA$2&lt;&gt;"Enter Spend&gt;&gt;&gt;",JB2="EXISTING"),SUMIFS('Existing Customers'!$O:$O,'Existing Customers'!$H:$H,$IZ21,'Existing Customers'!$A:$A,$JA$1)*$JA$4,$JB21*$JA$8),0)</f>
        <v>0</v>
      </c>
      <c r="JD21" s="95">
        <f>IFERROR(IF(AND($JA$2&lt;&gt;"Enter Spend&gt;&gt;&gt;",JB2="EXISTING"),SUMIFS('Existing Customers'!$P:$P,'Existing Customers'!$A:$A,$JA$1,'Existing Customers'!$H:$H,$IZ21)*$JA$4,$JA21/$JM21),0)</f>
        <v>0</v>
      </c>
      <c r="JE21" s="402">
        <f>IFERROR(IF(AND($JA$2&lt;&gt;"Enter Spend&gt;&gt;&gt;",JB2="EXISTING"),SUMIFS('Existing Customers'!$V:$V,'Existing Customers'!$H:$H,$IZ21,'Existing Customers'!$A:$A,$JA$1)*$JA$4,0),0)</f>
        <v>0</v>
      </c>
      <c r="JF21" s="96">
        <f>IFERROR(IF(AND($JA$2&lt;&gt;"Enter Spend&gt;&gt;&gt;",JB2="EXISTING"),SUMIFS('Existing Customers'!$R:$R,'Existing Customers'!$H:$H,$IZ21,'Existing Customers'!$A:$A,$JA$1)*$JA$4,0),0)</f>
        <v>0</v>
      </c>
      <c r="JG21" s="1161">
        <f>IFERROR(IF(AND($JA$2&lt;&gt;"Enter Spend&gt;&gt;&gt;",JB2="EXISTING"),SUMIFS('Existing Customers'!$S:$S,'Existing Customers'!$H:$H,$IZ21,'Existing Customers'!$A:$A,$JA$1),JQ21*JA21),0)</f>
        <v>0</v>
      </c>
      <c r="JH21" s="1161">
        <f>IFERROR(IF(AND($JA$2&lt;&gt;"Enter Spend&gt;&gt;&gt;",JB2="EXISTING"),SUMIFS('Existing Customers'!$U:$U,'Existing Customers'!$H:$H,$IZ21,'Existing Customers'!$A:$A,$JA$1),JR21*JA21),0)</f>
        <v>0</v>
      </c>
      <c r="JI21" s="1164" t="e">
        <f t="shared" si="54"/>
        <v>#N/A</v>
      </c>
      <c r="JJ21" s="1164">
        <f t="array" ref="JJ21">IFERROR(INDEX('Margin Guidence Table'!$A$1:$AG$10000,MATCH(1,('Margin Guidence Table'!$A$1:$A$10000=JI21)*('Margin Guidence Table'!$I$1:$I$10000&lt;=ROUND($JA$3,0))*('Margin Guidence Table'!$J$1:$J$10000&gt;=ROUND($JA$3,0)),0),MATCH("DATA_POINTS",'Margin Guidence Table'!$A$1:$AG$1,0)),0)</f>
        <v>0</v>
      </c>
      <c r="JK21" s="1161" t="str">
        <f t="shared" si="55"/>
        <v>DEFAULT</v>
      </c>
      <c r="JL21" s="116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16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16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16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16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16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16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16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2" t="s">
        <v>95</v>
      </c>
      <c r="JV21" s="97"/>
      <c r="JW21" s="89"/>
      <c r="JX21" s="89"/>
      <c r="JY21" s="89"/>
      <c r="JZ21" s="114"/>
      <c r="KA21" s="98"/>
      <c r="KB21" s="129"/>
      <c r="KD21" s="102" t="s">
        <v>95</v>
      </c>
      <c r="KE21" s="97"/>
      <c r="KF21" s="89"/>
      <c r="KG21" s="89"/>
      <c r="KH21" s="89"/>
      <c r="KI21" s="114"/>
      <c r="KJ21" s="98"/>
    </row>
    <row r="22" spans="2:296" ht="15.75" thickBot="1" x14ac:dyDescent="0.3">
      <c r="B22" s="102" t="s">
        <v>96</v>
      </c>
      <c r="C22" s="480">
        <f t="shared" si="11"/>
        <v>0</v>
      </c>
      <c r="D22" s="496">
        <f t="shared" si="12"/>
        <v>0</v>
      </c>
      <c r="E22" s="496">
        <f t="shared" si="13"/>
        <v>0</v>
      </c>
      <c r="F22" s="496">
        <f t="shared" si="14"/>
        <v>0</v>
      </c>
      <c r="G22" s="497">
        <f t="shared" si="15"/>
        <v>0</v>
      </c>
      <c r="H22" s="496">
        <f t="shared" si="16"/>
        <v>0</v>
      </c>
      <c r="I22" s="1157" t="e">
        <f t="shared" si="0"/>
        <v>#DIV/0!</v>
      </c>
      <c r="J22" s="1157" t="e">
        <f t="shared" si="1"/>
        <v>#DIV/0!</v>
      </c>
      <c r="K22" s="1157" t="e">
        <f t="shared" si="2"/>
        <v>#DIV/0!</v>
      </c>
      <c r="L22" s="496" t="e">
        <f t="shared" si="3"/>
        <v>#DIV/0!</v>
      </c>
      <c r="M22" s="496" t="e">
        <f t="shared" si="17"/>
        <v>#DIV/0!</v>
      </c>
      <c r="N22" s="1158" t="e">
        <f t="shared" si="4"/>
        <v>#DIV/0!</v>
      </c>
      <c r="P22" t="str">
        <f>'PIM Model'!E18</f>
        <v>INCLUDE</v>
      </c>
      <c r="Q22">
        <f t="shared" si="18"/>
        <v>0</v>
      </c>
      <c r="R22">
        <f t="shared" si="19"/>
        <v>0</v>
      </c>
      <c r="S22" s="102" t="s">
        <v>96</v>
      </c>
      <c r="T22" s="97">
        <f t="shared" si="20"/>
        <v>0</v>
      </c>
      <c r="U22" s="89">
        <f t="shared" si="5"/>
        <v>0</v>
      </c>
      <c r="V22" s="89">
        <f t="shared" si="6"/>
        <v>0</v>
      </c>
      <c r="W22" s="89">
        <f t="shared" si="7"/>
        <v>0</v>
      </c>
      <c r="X22" s="114">
        <f t="shared" si="8"/>
        <v>0</v>
      </c>
      <c r="Y22" s="117">
        <f t="shared" si="21"/>
        <v>0</v>
      </c>
      <c r="Z22" s="400"/>
      <c r="AA22" s="102" t="s">
        <v>96</v>
      </c>
      <c r="AB22" s="484">
        <f t="shared" si="9"/>
        <v>0</v>
      </c>
      <c r="AC22" s="485">
        <f t="shared" si="9"/>
        <v>0</v>
      </c>
      <c r="AD22" s="485">
        <f t="shared" si="9"/>
        <v>0</v>
      </c>
      <c r="AE22" s="486">
        <f t="shared" si="22"/>
        <v>0</v>
      </c>
      <c r="AF22" s="487">
        <f t="shared" si="23"/>
        <v>0</v>
      </c>
      <c r="AG22" s="400"/>
      <c r="AH22" s="102" t="s">
        <v>96</v>
      </c>
      <c r="AI22" s="484">
        <f t="shared" si="10"/>
        <v>0</v>
      </c>
      <c r="AJ22" s="481">
        <f t="shared" si="24"/>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400" t="e">
        <f t="shared" si="25"/>
        <v>#DIV/0!</v>
      </c>
      <c r="AR22">
        <f>'PIM Model'!C18</f>
        <v>0</v>
      </c>
      <c r="AS22" s="400"/>
      <c r="AT22" s="400"/>
      <c r="AU22" s="400" t="e">
        <f t="shared" si="56"/>
        <v>#DIV/0!</v>
      </c>
      <c r="AV22" s="400"/>
      <c r="AW22" s="400"/>
      <c r="AX22" s="108">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96" t="e">
        <f t="shared" si="26"/>
        <v>#DIV/0!</v>
      </c>
      <c r="BA22" s="102" t="s">
        <v>96</v>
      </c>
      <c r="BB22" s="94">
        <f>IFERROR(IF(AND($BB$2&lt;&gt;"Enter Spend&gt;&gt;&gt;",BC10="EXISTING"),SUMIFS('Existing Customers'!$Q:$Q,'Existing Customers'!$A:$A,$BB$1,'Existing Customers'!$H:$H,$BA22)*$BB$4,$BB$3*$AZ22),0)</f>
        <v>0</v>
      </c>
      <c r="BC22" s="95">
        <f>IFERROR(IF(AND($BB$2&lt;&gt;"Enter Spend&gt;&gt;&gt;",BC2="EXISTING"),SUMIFS('Existing Customers'!$N:$N,'Existing Customers'!$A:$A,$BB$1,'Existing Customers'!$H:$H,$BA22)*$BB$4,$BB22/$BM22),0)</f>
        <v>0</v>
      </c>
      <c r="BD22" s="95">
        <f>IFERROR(IF(AND($BB$2&lt;&gt;"Enter Spend&gt;&gt;&gt;",BC2="EXISTING"),SUMIFS('Existing Customers'!$O:$O,'Existing Customers'!$H:$H,$BA22,'Existing Customers'!$A:$A,$BB$1)*$BB$4,$BC22*$BB$8),0)</f>
        <v>0</v>
      </c>
      <c r="BE22" s="95">
        <f>IFERROR(IF(AND($BB$2&lt;&gt;"Enter Spend&gt;&gt;&gt;",BC2="EXISTING"),SUMIFS('Existing Customers'!$P:$P,'Existing Customers'!$A:$A,$BB$1,'Existing Customers'!$H:$H,$BA22)*$BB$4,$BB22/$BN22),0)</f>
        <v>0</v>
      </c>
      <c r="BF22" s="402">
        <f>IFERROR(IF(AND($BB$2&lt;&gt;"Enter Spend&gt;&gt;&gt;",BC2="EXISTING"),SUMIFS('Existing Customers'!$V:$V,'Existing Customers'!$H:$H,$BA22,'Existing Customers'!$A:$A,$BB$1)*$BB$4,0),0)</f>
        <v>0</v>
      </c>
      <c r="BG22" s="96">
        <f>IFERROR(IF(AND($BB$2&lt;&gt;"Enter Spend&gt;&gt;&gt;",BC2="EXISTING"),SUMIFS('Existing Customers'!$R:$R,'Existing Customers'!$H:$H,$BA22,'Existing Customers'!$A:$A,$BB$1)*$BB$4,0),0)</f>
        <v>0</v>
      </c>
      <c r="BH22" s="96">
        <f>IFERROR(IF(AND($BB$2&lt;&gt;"Enter Spend&gt;&gt;&gt;",BC2="EXISTING"),SUMIFS('Existing Customers'!$S:$S,'Existing Customers'!$H:$H,$BA22,'Existing Customers'!$A:$A,$BB$1),BR22*BB22),0)</f>
        <v>0</v>
      </c>
      <c r="BI22" s="96">
        <f>IFERROR(IF(AND($BB$2&lt;&gt;"Enter Spend&gt;&gt;&gt;",BC2="EXISTING"),SUMIFS('Existing Customers'!$U:$U,'Existing Customers'!$H:$H,$BA22,'Existing Customers'!$A:$A,$BB$1),BS22*BB22),0)</f>
        <v>0</v>
      </c>
      <c r="BJ22" s="1163" t="e">
        <f t="shared" si="27"/>
        <v>#N/A</v>
      </c>
      <c r="BK22" s="1164">
        <f t="array" ref="BK22">IFERROR(INDEX('Margin Guidence Table'!$A$1:$AG$10000,MATCH(1,('Margin Guidence Table'!$A$1:$A$10000=$BJ22)*('Margin Guidence Table'!$I$1:$I$10000&lt;=ROUND($BB$3,0))*('Margin Guidence Table'!$J$1:$J$10000&gt;=ROUND($BB$3,0)),0),MATCH("DATA_POINTS",'Margin Guidence Table'!$A$1:$AG$1,0)),0)</f>
        <v>0</v>
      </c>
      <c r="BL22" s="1161" t="str">
        <f t="shared" si="28"/>
        <v>DEFAULT</v>
      </c>
      <c r="BM22" s="116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16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16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16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16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16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16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16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9"/>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96" t="e">
        <f t="shared" si="29"/>
        <v>#DIV/0!</v>
      </c>
      <c r="BX22" s="102" t="s">
        <v>96</v>
      </c>
      <c r="BY22" s="94">
        <f>IFERROR(IF(AND($BY$2&lt;&gt;"Enter Spend&gt;&gt;&gt;",BZ10="EXISTING"),SUMIFS('Existing Customers'!$Q:$Q,'Existing Customers'!$A:$A,$BY$1,'Existing Customers'!$H:$H,$BX22)*$BY$4,$BY$3*$BW22),0)</f>
        <v>0</v>
      </c>
      <c r="BZ22" s="89">
        <f>IFERROR(IF(AND($BY$2&lt;&gt;"Enter Spend&gt;&gt;&gt;",BZ2="EXISTING"),SUMIFS('Existing Customers'!$N:$N,'Existing Customers'!$A:$A,$BY$1,'Existing Customers'!$H:$H,$BX22)*$BY$4,$BY22/$CJ22),0)</f>
        <v>0</v>
      </c>
      <c r="CA22" s="95">
        <f>IFERROR(IF(AND($BY$2&lt;&gt;"Enter Spend&gt;&gt;&gt;",BZ2="EXISTING"),SUMIFS('Existing Customers'!$O:$O,'Existing Customers'!$H:$H,$BX22,'Existing Customers'!$A:$A,$BY$1)*$BY$4,$BZ22*$BY$8),0)</f>
        <v>0</v>
      </c>
      <c r="CB22" s="95">
        <f>IFERROR(IF(AND($BY$2&lt;&gt;"Enter Spend&gt;&gt;&gt;",BZ2="EXISTING"),SUMIFS('Existing Customers'!$P:$P,'Existing Customers'!$A:$A,$BY$1,'Existing Customers'!$H:$H,$BX22)*$BY$4,$BY22/$CK22),0)</f>
        <v>0</v>
      </c>
      <c r="CC22" s="96">
        <f>IFERROR(IF(AND($BY$2&lt;&gt;"Enter Spend&gt;&gt;&gt;",BZ2="EXISTING"),SUMIFS('Existing Customers'!$V:$V,'Existing Customers'!$H:$H,$BX22,'Existing Customers'!$A:$A,$BY$1)*$BY$4,0),0)</f>
        <v>0</v>
      </c>
      <c r="CD22" s="96">
        <f>IFERROR(IF(AND($BY$2&lt;&gt;"Enter Spend&gt;&gt;&gt;",BZ2="EXISTING"),SUMIFS('Existing Customers'!$R:$R,'Existing Customers'!$H:$H,$BX22,'Existing Customers'!$A:$A,$BY$1)*$BY$4,0),0)</f>
        <v>0</v>
      </c>
      <c r="CE22" s="1161">
        <f>IFERROR(IF(AND($BY$2&lt;&gt;"Enter Spend&gt;&gt;&gt;",BZ2="EXISTING"),SUMIFS('Existing Customers'!$S:$S,'Existing Customers'!$H:$H,$BX22,'Existing Customers'!$A:$A,$BY$1),CO22*BY22),0)</f>
        <v>0</v>
      </c>
      <c r="CF22" s="1161">
        <f>IFERROR(IF(AND($BY$2&lt;&gt;"Enter Spend&gt;&gt;&gt;",BZ2="EXISTING"),SUMIFS('Existing Customers'!$U:$U,'Existing Customers'!$H:$H,$BX22,'Existing Customers'!$A:$A,$BY$1),CP22*BY22),0)</f>
        <v>0</v>
      </c>
      <c r="CG22" s="1164" t="e">
        <f t="shared" si="30"/>
        <v>#N/A</v>
      </c>
      <c r="CH22" s="1164">
        <f t="array" ref="CH22">IFERROR(INDEX('Margin Guidence Table'!$A$1:$AG$10000,MATCH(1,('Margin Guidence Table'!$A$1:$A$10000=$CG22)*('Margin Guidence Table'!$I$1:$I$10000&lt;=ROUND($BY$3,0))*('Margin Guidence Table'!$J$1:$J$10000&gt;=ROUND($BY$3,0)),0),MATCH("DATA_POINTS",'Margin Guidence Table'!$A$1:$AG$1,0)),0)</f>
        <v>0</v>
      </c>
      <c r="CI22" s="1161" t="str">
        <f t="shared" si="31"/>
        <v>DEFAULT</v>
      </c>
      <c r="CJ22" s="116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16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16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16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16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16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16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16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9"/>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96" t="e">
        <f t="shared" si="32"/>
        <v>#DIV/0!</v>
      </c>
      <c r="CU22" s="102" t="s">
        <v>96</v>
      </c>
      <c r="CV22" s="94">
        <f>IFERROR(IF(AND($CV$2&lt;&gt;"Enter Spend&gt;&gt;&gt;",CW10="EXISTING"),SUMIFS('Existing Customers'!$Q:$Q,'Existing Customers'!$A:$A,$CV$1,'Existing Customers'!$H:$H,$CU22)*$CV$4,$CV$3*$CT22),0)</f>
        <v>0</v>
      </c>
      <c r="CW22" s="89">
        <f>IFERROR(IF(AND($CV$2&lt;&gt;"Enter Spend&gt;&gt;&gt;",CW2="EXISTING"),SUMIFS('Existing Customers'!$N:$N,'Existing Customers'!$A:$A,$CV$1,'Existing Customers'!$H:$H,$CU22)*$CV$4,$CV22/$DG22),0)</f>
        <v>0</v>
      </c>
      <c r="CX22" s="95">
        <f>IFERROR(IF(AND($CV$2&lt;&gt;"Enter Spend&gt;&gt;&gt;",BC28="EXISTING"),SUMIFS('Existing Customers'!$O:$O,'Existing Customers'!$H:$H,$CU22,'Existing Customers'!$A:$A,$CV$1)*$CV$4,$CW22*$CV$8),0)</f>
        <v>0</v>
      </c>
      <c r="CY22" s="95">
        <f>IFERROR(IF(AND($CV$2&lt;&gt;"Enter Spend&gt;&gt;&gt;",CW2="EXISTING"),SUMIFS('Existing Customers'!$P:$P,'Existing Customers'!$A:$A,$CV$1,'Existing Customers'!$H:$H,$CU22)*$CV$4,$CV22/$DH22),0)</f>
        <v>0</v>
      </c>
      <c r="CZ22" s="96">
        <f>IFERROR(IF(AND($CV$2&lt;&gt;"Enter Spend&gt;&gt;&gt;",CW2="EXISTING"),SUMIFS('Existing Customers'!$V:$V,'Existing Customers'!$H:$H,$CU22,'Existing Customers'!$A:$A,$CV$1)*$CV$4,0),0)</f>
        <v>0</v>
      </c>
      <c r="DA22" s="96">
        <f>IFERROR(IF(AND($CV$2&lt;&gt;"Enter Spend&gt;&gt;&gt;",CW2="EXISTING"),SUMIFS('Existing Customers'!$R:$R,'Existing Customers'!$H:$H,$BA22,'Existing Customers'!$A:$A,$CV$1)*$CV$4,0),0)</f>
        <v>0</v>
      </c>
      <c r="DB22" s="1161">
        <f>IFERROR(IF(AND($CV$2&lt;&gt;"Enter Spend&gt;&gt;&gt;",CW2="EXISTING"),SUMIFS('Existing Customers'!$S:$S,'Existing Customers'!$H:$H,$CU22,'Existing Customers'!$A:$A,$CV$1),DL22*CV22),0)</f>
        <v>0</v>
      </c>
      <c r="DC22" s="1161">
        <f>IFERROR(IF(AND($CV$2&lt;&gt;"Enter Spend&gt;&gt;&gt;",CW2="EXISTING"),SUMIFS('Existing Customers'!$U:$U,'Existing Customers'!$H:$H,$CU22,'Existing Customers'!$A:$A,$CV$1),DM22*CV22),0)</f>
        <v>0</v>
      </c>
      <c r="DD22" s="1164" t="e">
        <f t="shared" si="33"/>
        <v>#N/A</v>
      </c>
      <c r="DE22" s="1164">
        <f t="array" ref="DE22">IFERROR(INDEX('Margin Guidence Table'!$A$1:$AG$10000,MATCH(1,('Margin Guidence Table'!$A$1:$A$10000=DD22)*('Margin Guidence Table'!$I$1:$I$10000&lt;=ROUND($CV$3,0))*('Margin Guidence Table'!$J$1:$J$10000&gt;=ROUND($CV$3,0)),0),MATCH("DATA_POINTS",'Margin Guidence Table'!$A$1:$AG$1,0)),0)</f>
        <v>0</v>
      </c>
      <c r="DF22" s="1161" t="str">
        <f t="shared" si="34"/>
        <v>DEFAULT</v>
      </c>
      <c r="DG22" s="116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16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16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16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16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16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16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16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9"/>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96" t="e">
        <f t="shared" si="35"/>
        <v>#DIV/0!</v>
      </c>
      <c r="DR22" s="102" t="s">
        <v>96</v>
      </c>
      <c r="DS22" s="94">
        <f>IFERROR(IF(AND($DS$2&lt;&gt;"Enter Spend&gt;&gt;&gt;",DT10="EXISTING"),SUMIFS('Existing Customers'!$Q:$Q,'Existing Customers'!$A:$A,$DS$1,'Existing Customers'!$H:$H,$DR22)*$DS$4,$DS$3*$DQ22),0)</f>
        <v>0</v>
      </c>
      <c r="DT22" s="89">
        <f>IFERROR(IF(AND($DS$2&lt;&gt;"Enter Spend&gt;&gt;&gt;",DT2="EXISTING"),SUMIFS('Existing Customers'!$N:$N,'Existing Customers'!$A:$A,$DS$1,'Existing Customers'!$H:$H,$DR22)*$DS$4,$DS22/$ED22),0)</f>
        <v>0</v>
      </c>
      <c r="DU22" s="95">
        <f>IFERROR(IF(AND($DS$2&lt;&gt;"Enter Spend&gt;&gt;&gt;",DT2="EXISTING"),SUMIFS('Existing Customers'!$O:$O,'Existing Customers'!$H:$H,$DR22,'Existing Customers'!$A:$A,$DS$1)*$DS$4,$DT22*$DS$8),0)</f>
        <v>0</v>
      </c>
      <c r="DV22" s="95">
        <f>IFERROR(IF(AND($DS$2&lt;&gt;"Enter Spend&gt;&gt;&gt;",DT2="EXISTING"),SUMIFS('Existing Customers'!$P:$P,'Existing Customers'!$A:$A,$DS$1,'Existing Customers'!$H:$H,$DR22)*$DS$4,$DS22/$EE22),0)</f>
        <v>0</v>
      </c>
      <c r="DW22" s="96">
        <f>IFERROR(IF(AND($DS$2&lt;&gt;"Enter Spend&gt;&gt;&gt;",EQ2="EXISTING"),SUMIFS('Existing Customers'!$V:$V,'Existing Customers'!$H:$H,$DR22,'Existing Customers'!$A:$A,$DS$1)*$DS$4,0),0)</f>
        <v>0</v>
      </c>
      <c r="DX22" s="96">
        <f>IFERROR(IF(AND($DS$2&lt;&gt;"Enter Spend&gt;&gt;&gt;",DT2="EXISTING"),SUMIFS('Existing Customers'!$R:$R,'Existing Customers'!$H:$H,$DR22,'Existing Customers'!$A:$A,$DS$1)*$DS$4,0),0)</f>
        <v>0</v>
      </c>
      <c r="DY22" s="1161">
        <f>IFERROR(IF(AND($DS$2&lt;&gt;"Enter Spend&gt;&gt;&gt;",DT2="EXISTING"),SUMIFS('Existing Customers'!$S:$S,'Existing Customers'!$H:$H,$DT22,'Existing Customers'!$A:$A,$DS$1),EI22*DS22),0)</f>
        <v>0</v>
      </c>
      <c r="DZ22" s="1161">
        <f>IFERROR(IF(AND($DS$2&lt;&gt;"Enter Spend&gt;&gt;&gt;",DT2="EXISTING"),SUMIFS('Existing Customers'!$U:$U,'Existing Customers'!$H:$H,$DR22,'Existing Customers'!$A:$A,$DS$1),EJ22*DS22),0)</f>
        <v>0</v>
      </c>
      <c r="EA22" s="1164" t="e">
        <f t="shared" si="36"/>
        <v>#N/A</v>
      </c>
      <c r="EB22" s="1164">
        <f t="array" ref="EB22">IFERROR(INDEX('Margin Guidence Table'!$A$1:$AG$10000,MATCH(1,('Margin Guidence Table'!$A$1:$A$10000=EA22)*('Margin Guidence Table'!$I$1:$I$10000&lt;=ROUND($DS$3,0))*('Margin Guidence Table'!$J$1:$J$10000&gt;=ROUND($DS$3,0)),0),MATCH("DATA_POINTS",'Margin Guidence Table'!$A$1:$AG$1,0)),0)</f>
        <v>0</v>
      </c>
      <c r="EC22" s="1161" t="str">
        <f t="shared" si="37"/>
        <v>DEFAULT</v>
      </c>
      <c r="ED22" s="116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16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16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16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16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16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16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16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9"/>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96" t="e">
        <f t="shared" si="38"/>
        <v>#DIV/0!</v>
      </c>
      <c r="EO22" s="102" t="s">
        <v>96</v>
      </c>
      <c r="EP22" s="94">
        <f>IFERROR(IF(AND($EP$2&lt;&gt;"Enter Spend&gt;&gt;&gt;",EQ10="EXISTING"),SUMIFS('Existing Customers'!$Q:$Q,'Existing Customers'!$A:$A,$EP$1,'Existing Customers'!$H:$H,$EO22)*$EP$4,$EP$3*$EN22),0)</f>
        <v>0</v>
      </c>
      <c r="EQ22" s="89">
        <f>IFERROR(IF(AND($EP$2&lt;&gt;"Enter Spend&gt;&gt;&gt;",EQ2="EXISTING"),SUMIFS('Existing Customers'!$N:$N,'Existing Customers'!$A:$A,$EP$1,'Existing Customers'!$H:$H,$EO22)*$EP$4,$EP22/$FA22),0)</f>
        <v>0</v>
      </c>
      <c r="ER22" s="95">
        <f>IFERROR(IF(AND($EP$2&lt;&gt;"Enter Spend&gt;&gt;&gt;",EQ2="EXISTING"),SUMIFS('Existing Customers'!$O:$O,'Existing Customers'!$H:$H,$EO22,'Existing Customers'!$A:$A,$EP$1)*$EP$4,$EQ22*$EP$8),0)</f>
        <v>0</v>
      </c>
      <c r="ES22" s="95">
        <f>IFERROR(IF(AND($EP$2&lt;&gt;"Enter Spend&gt;&gt;&gt;",EQ2="EXISTING"),SUMIFS('Existing Customers'!$P:$P,'Existing Customers'!$A:$A,$EP$1,'Existing Customers'!$H:$H,$EO22)*$EP$4,$EP22/$FB22),0)</f>
        <v>0</v>
      </c>
      <c r="ET22" s="96">
        <f>IFERROR(IF(AND($EP$2&lt;&gt;"Enter Spend&gt;&gt;&gt;",EQ2="EXISTING"),SUMIFS('Existing Customers'!$V:$V,'Existing Customers'!$H:$H,$EO22,'Existing Customers'!$A:$A,$EP$1)*$EP$4,0),0)</f>
        <v>0</v>
      </c>
      <c r="EU22" s="96">
        <f>IFERROR(IF(AND($EP$2&lt;&gt;"Enter Spend&gt;&gt;&gt;",EQ2="EXISTING"),SUMIFS('Existing Customers'!$R:$R,'Existing Customers'!$H:$H,$EO22,'Existing Customers'!$A:$A,$EP$1)*$EP$4,0),0)</f>
        <v>0</v>
      </c>
      <c r="EV22" s="1161">
        <f>IFERROR(IF(AND($EP$2&lt;&gt;"Enter Spend&gt;&gt;&gt;",EQ2="EXISTING"),SUMIFS('Existing Customers'!$S:$S,'Existing Customers'!$H:$H,$EO22,'Existing Customers'!$A:$A,$EP$1),FF22*EP22),0)</f>
        <v>0</v>
      </c>
      <c r="EW22" s="1161">
        <f>IFERROR(IF(AND($EP$2&lt;&gt;"Enter Spend&gt;&gt;&gt;",EQ2="EXISTING"),SUMIFS('Existing Customers'!$U:$U,'Existing Customers'!$H:$H,$EO22,'Existing Customers'!$A:$A,$EP$1),FG22*EP22),0)</f>
        <v>0</v>
      </c>
      <c r="EX22" s="1164" t="e">
        <f t="shared" si="39"/>
        <v>#N/A</v>
      </c>
      <c r="EY22" s="1164">
        <f t="array" ref="EY22">IFERROR(INDEX('Margin Guidence Table'!$A$1:$AG$10000,MATCH(1,('Margin Guidence Table'!$A$1:$A$10000=EX22)*('Margin Guidence Table'!$I$1:$I$10000&lt;=ROUND($EP$3,0))*('Margin Guidence Table'!$J$1:$J$10000&gt;=ROUND($EP$3,0)),0),MATCH("DATA_POINTS",'Margin Guidence Table'!$A$1:$AG$1,0)),0)</f>
        <v>0</v>
      </c>
      <c r="EZ22" s="1161" t="str">
        <f t="shared" si="40"/>
        <v>DEFAULT</v>
      </c>
      <c r="FA22" s="116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16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16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16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16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16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16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16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9"/>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96" t="e">
        <f t="shared" si="41"/>
        <v>#DIV/0!</v>
      </c>
      <c r="FL22" s="102" t="s">
        <v>96</v>
      </c>
      <c r="FM22" s="94">
        <f>IFERROR(IF(AND($FM$2&lt;&gt;"Enter Spend&gt;&gt;&gt;",FN10="EXISTING"),SUMIFS('Existing Customers'!$Q:$Q,'Existing Customers'!$A:$A,$FM$1,'Existing Customers'!$H:$H,$FL22)*$FM$4,$FM$3*$FK22),0)</f>
        <v>0</v>
      </c>
      <c r="FN22" s="89">
        <f>IFERROR(IF(AND($FM$2&lt;&gt;"Enter Spend&gt;&gt;&gt;",FN2="EXISTING"),SUMIFS('Existing Customers'!$N:$N,'Existing Customers'!$A:$A,$FM$1,'Existing Customers'!$H:$H,$FL22)*$FM$4,$FM22/$FX22),0)</f>
        <v>0</v>
      </c>
      <c r="FO22" s="95">
        <f>IFERROR(IF(AND($FM$2&lt;&gt;"Enter Spend&gt;&gt;&gt;",FN2="EXISTING"),SUMIFS('Existing Customers'!$O:$O,'Existing Customers'!$H:$H,$FL22,'Existing Customers'!$A:$A,$FM$1)*$FM$4,$FN22*$FM$8),0)</f>
        <v>0</v>
      </c>
      <c r="FP22" s="95">
        <f>IFERROR(IF(AND($FM$2&lt;&gt;"Enter Spend&gt;&gt;&gt;",FN2="EXISTING"),SUMIFS('Existing Customers'!$P:$P,'Existing Customers'!$A:$A,$FM$1,'Existing Customers'!$H:$H,$FL22)*$FM$4,$FM22/$FY22),0)</f>
        <v>0</v>
      </c>
      <c r="FQ22" s="96">
        <f>IFERROR(IF(AND($FM$2&lt;&gt;"Enter Spend&gt;&gt;&gt;",FN2="EXISTING"),SUMIFS('Existing Customers'!$V:$V,'Existing Customers'!$H:$H,$FL22,'Existing Customers'!$A:$A,$FM$1)*$FM$4,0),0)</f>
        <v>0</v>
      </c>
      <c r="FR22" s="96">
        <f>IFERROR(IF(AND($FM$2&lt;&gt;"Enter Spend&gt;&gt;&gt;",FN2="EXISTING"),SUMIFS('Existing Customers'!$R:$R,'Existing Customers'!$H:$H,$FL22,'Existing Customers'!$A:$A,$FM$1)*$FM$4,0),0)</f>
        <v>0</v>
      </c>
      <c r="FS22" s="1161">
        <f>IFERROR(IF(AND($FM$2&lt;&gt;"Enter Spend&gt;&gt;&gt;",FN2="EXISTING"),SUMIFS('Existing Customers'!$S:$S,'Existing Customers'!$H:$H,$FL22,'Existing Customers'!$A:$A,$FM$1),GC22*FM22),0)</f>
        <v>0</v>
      </c>
      <c r="FT22" s="1161">
        <f>IFERROR(IF(AND($FM$2&lt;&gt;"Enter Spend&gt;&gt;&gt;",FN2="EXISTING"),SUMIFS('Existing Customers'!$U:$U,'Existing Customers'!$H:$H,$FL22,'Existing Customers'!$A:$A,$FM$1),GD22*FM22),0)</f>
        <v>0</v>
      </c>
      <c r="FU22" s="1164" t="e">
        <f t="shared" si="42"/>
        <v>#N/A</v>
      </c>
      <c r="FV22" s="1164">
        <f t="array" ref="FV22">IFERROR(INDEX('Margin Guidence Table'!$A$1:$AG$10000,MATCH(1,('Margin Guidence Table'!$A$1:$A$10000=FU22)*('Margin Guidence Table'!$I$1:$I$10000&lt;=ROUND($FM$3,0))*('Margin Guidence Table'!$J$1:$J$10000&gt;=ROUND($FM$3,0)),0),MATCH("DATA_POINTS",'Margin Guidence Table'!$A$1:$AG$1,0)),0)</f>
        <v>0</v>
      </c>
      <c r="FW22" s="1161" t="str">
        <f t="shared" si="43"/>
        <v>DEFAULT</v>
      </c>
      <c r="FX22" s="116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16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16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16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16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16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16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16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9"/>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96" t="e">
        <f t="shared" si="44"/>
        <v>#DIV/0!</v>
      </c>
      <c r="GI22" s="102" t="s">
        <v>96</v>
      </c>
      <c r="GJ22" s="94">
        <f>IFERROR(IF(AND($GJ$2&lt;&gt;"Enter Spend&gt;&gt;&gt;",GK10="EXISTING"),SUMIFS('Existing Customers'!$Q:$Q,'Existing Customers'!$A:$A,$GJ$1,'Existing Customers'!$H:$H,$GI22)*$GJ$4,$GJ$3*$GH22),0)</f>
        <v>0</v>
      </c>
      <c r="GK22" s="89">
        <f>IFERROR(IF(AND($GJ$2&lt;&gt;"Enter Spend&gt;&gt;&gt;",GK2="EXISTING"),SUMIFS('Existing Customers'!$N:$N,'Existing Customers'!$A:$A,$GJ$1,'Existing Customers'!$H:$H,$GI22)*$GJ$4,$GJ22/$GU22),0)</f>
        <v>0</v>
      </c>
      <c r="GL22" s="95">
        <f>IFERROR(IF(AND($GJ$2&lt;&gt;"Enter Spend&gt;&gt;&gt;",GK2="EXISTING"),SUMIFS('Existing Customers'!$O:$O,'Existing Customers'!$H:$H,$GI22,'Existing Customers'!$A:$A,$GJ$1)*$GJ$4,$GK22*$GJ$8),0)</f>
        <v>0</v>
      </c>
      <c r="GM22" s="95">
        <f>IFERROR(IF(AND($GJ$2&lt;&gt;"Enter Spend&gt;&gt;&gt;",GK2="EXISTING"),SUMIFS('Existing Customers'!$P:$P,'Existing Customers'!$A:$A,$GJ$1,'Existing Customers'!$H:$H,$GI22)*$GJ$4,$GJ22/$GV22),0)</f>
        <v>0</v>
      </c>
      <c r="GN22" s="96">
        <f>IFERROR(IF(AND($GJ$2&lt;&gt;"Enter Spend&gt;&gt;&gt;",GK2="EXISTING"),SUMIFS('Existing Customers'!$V:$V,'Existing Customers'!$H:$H,$GI22,'Existing Customers'!$A:$A,$GJ$1)*$GJ$4,0),0)</f>
        <v>0</v>
      </c>
      <c r="GO22" s="96">
        <f>IFERROR(IF(AND($GJ$2&lt;&gt;"Enter Spend&gt;&gt;&gt;",GK2="EXISTING"),SUMIFS('Existing Customers'!$R:$R,'Existing Customers'!$H:$H,$GI22,'Existing Customers'!$A:$A,$GJ$1)*$GJ$4,0),0)</f>
        <v>0</v>
      </c>
      <c r="GP22" s="1161">
        <f>IFERROR(IF(AND($GJ$2&lt;&gt;"Enter Spend&gt;&gt;&gt;",GK2="EXISTING"),SUMIFS('Existing Customers'!$S:$S,'Existing Customers'!$H:$H,$GI22,'Existing Customers'!$A:$A,$GJ$1),GZ22*GJ22),0)</f>
        <v>0</v>
      </c>
      <c r="GQ22" s="1161">
        <f>IFERROR(IF(AND($GJ$2&lt;&gt;"Enter Spend&gt;&gt;&gt;",GK2="EXISTING"),SUMIFS('Existing Customers'!$U:$U,'Existing Customers'!$H:$H,$GI22,'Existing Customers'!$A:$A,$GJ$1),HA22*GJ22),0)</f>
        <v>0</v>
      </c>
      <c r="GR22" s="1164" t="e">
        <f t="shared" si="45"/>
        <v>#N/A</v>
      </c>
      <c r="GS22" s="1164">
        <f t="array" ref="GS22">IFERROR(INDEX('Margin Guidence Table'!$A$1:$AG$10000,MATCH(1,('Margin Guidence Table'!$A$1:$A$10000=GR22)*('Margin Guidence Table'!$I$1:$I$10000&lt;=ROUND($GJ$3,0))*('Margin Guidence Table'!$J$1:$J$10000&gt;=ROUND($GJ$3,0)),0),MATCH("DATA_POINTS",'Margin Guidence Table'!$A$1:$AG$1,0)),0)</f>
        <v>0</v>
      </c>
      <c r="GT22" s="1161" t="str">
        <f t="shared" si="46"/>
        <v>DEFAULT</v>
      </c>
      <c r="GU22" s="116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16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16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16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16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16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16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16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9"/>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96" t="e">
        <f t="shared" si="47"/>
        <v>#DIV/0!</v>
      </c>
      <c r="HF22" s="102" t="s">
        <v>96</v>
      </c>
      <c r="HG22" s="94">
        <f>IFERROR(IF(AND($HG$2&lt;&gt;"Enter Spend&gt;&gt;&gt;",HH10="EXISTING"),SUMIFS('Existing Customers'!$Q:$Q,'Existing Customers'!$A:$A,$HG$1,'Existing Customers'!$H:$H,$HF22)*$HG$4,$HG$3*$HE22),0)</f>
        <v>0</v>
      </c>
      <c r="HH22" s="89">
        <f>IFERROR(IF(AND($HG$2&lt;&gt;"Enter Spend&gt;&gt;&gt;",HH2="EXISTING"),SUMIFS('Existing Customers'!$N:$N,'Existing Customers'!$A:$A,$HG$1,'Existing Customers'!$H:$H,$HF22)*$HG$4,$HG22/$HR22),0)</f>
        <v>0</v>
      </c>
      <c r="HI22" s="95">
        <f>IFERROR(IF(AND($HG$2&lt;&gt;"Enter Spend&gt;&gt;&gt;",HH2="EXISTING"),SUMIFS('Existing Customers'!$O:$O,'Existing Customers'!$H:$H,$HF22,'Existing Customers'!$A:$A,$HG$1)*$HG$4,$HH22*$HG$8),0)</f>
        <v>0</v>
      </c>
      <c r="HJ22" s="95">
        <f>IFERROR(IF(AND($HG$2&lt;&gt;"Enter Spend&gt;&gt;&gt;",HH2="EXISTING"),SUMIFS('Existing Customers'!$P:$P,'Existing Customers'!$A:$A,$HG$1,'Existing Customers'!$H:$H,$HF22)*$HG$4,$HG22/$HS22),0)</f>
        <v>0</v>
      </c>
      <c r="HK22" s="96">
        <f>IFERROR(IF(AND($HG$2&lt;&gt;"Enter Spend&gt;&gt;&gt;",HH2="EXISTING"),SUMIFS('Existing Customers'!$V:$V,'Existing Customers'!$H:$H,$HF22,'Existing Customers'!$A:$A,$HG$1)*$HG$4,0),0)</f>
        <v>0</v>
      </c>
      <c r="HL22" s="96">
        <f>IFERROR(IF(AND($HG$2&lt;&gt;"Enter Spend&gt;&gt;&gt;",HH2="EXISTING"),SUMIFS('Existing Customers'!$R:$R,'Existing Customers'!$H:$H,$HF22,'Existing Customers'!$A:$A,$HG$1)*$HG$4,0),0)</f>
        <v>0</v>
      </c>
      <c r="HM22" s="1161">
        <f>IFERROR(IF(AND($HG$2&lt;&gt;"Enter Spend&gt;&gt;&gt;",HH2="EXISTING"),SUMIFS('Existing Customers'!$S:$S,'Existing Customers'!$H:$H,$HF22,'Existing Customers'!$A:$A,$HG$1),HW22*HG22),0)</f>
        <v>0</v>
      </c>
      <c r="HN22" s="1161">
        <f>IFERROR(IF(AND($HG$2&lt;&gt;"Enter Spend&gt;&gt;&gt;",HH2="EXISTING"),SUMIFS('Existing Customers'!$U:$U,'Existing Customers'!$H:$H,$HF22,'Existing Customers'!$A:$A,$HG$1),HX22*HG22),0)</f>
        <v>0</v>
      </c>
      <c r="HO22" s="1164" t="e">
        <f t="shared" si="48"/>
        <v>#N/A</v>
      </c>
      <c r="HP22" s="1164">
        <f t="array" ref="HP22">IFERROR(INDEX('Margin Guidence Table'!$A$1:$AG$10000,MATCH(1,('Margin Guidence Table'!$A$1:$A$10000=HO22)*('Margin Guidence Table'!$I$1:$I$10000&lt;=ROUND($HG$3,0))*('Margin Guidence Table'!$J$1:$J$10000&gt;=ROUND($HG$3,0)),0),MATCH("DATA_POINTS",'Margin Guidence Table'!$A$1:$AG$1,0)),0)</f>
        <v>0</v>
      </c>
      <c r="HQ22" s="1161" t="str">
        <f t="shared" si="49"/>
        <v>DEFAULT</v>
      </c>
      <c r="HR22" s="116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16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16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16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16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16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16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16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9"/>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96" t="e">
        <f t="shared" si="50"/>
        <v>#DIV/0!</v>
      </c>
      <c r="IC22" s="102" t="s">
        <v>96</v>
      </c>
      <c r="ID22" s="94">
        <f>IFERROR(IF(AND($ID$2&lt;&gt;"Enter Spend&gt;&gt;&gt;",IE10="EXISTING"),SUMIFS('Existing Customers'!$Q:$Q,'Existing Customers'!$A:$A,$ID$1,'Existing Customers'!$H:$H,$IC22)*$ID$4,$ID$3*$IB22),0)</f>
        <v>0</v>
      </c>
      <c r="IE22" s="89">
        <f>IFERROR(IF(AND($ID$2&lt;&gt;"Enter Spend&gt;&gt;&gt;",IE2="EXISTING"),SUMIFS('Existing Customers'!$N:$N,'Existing Customers'!$A:$A,$ID$1,'Existing Customers'!$H:$H,$IC22)*$ID$4,$ID22/$IO22),0)</f>
        <v>0</v>
      </c>
      <c r="IF22" s="95">
        <f>IFERROR(IF(AND($ID$2&lt;&gt;"Enter Spend&gt;&gt;&gt;",IE2="EXISTING"),SUMIFS('Existing Customers'!$O:$O,'Existing Customers'!$H:$H,$IC22,'Existing Customers'!$A:$A,$ID$1)*$ID$4,$IE22*$ID$8),0)</f>
        <v>0</v>
      </c>
      <c r="IG22" s="95">
        <f>IFERROR(IF(AND($ID$2&lt;&gt;"Enter Spend&gt;&gt;&gt;",IE2="EXISTING"),SUMIFS('Existing Customers'!$P:$P,'Existing Customers'!$A:$A,$ID$1,'Existing Customers'!$H:$H,$IC22)*$ID$4,$ID22/$IP22),0)</f>
        <v>0</v>
      </c>
      <c r="IH22" s="402">
        <f>IFERROR(IF(AND($ID$2&lt;&gt;"Enter Spend&gt;&gt;&gt;",IE2="EXISTING"),SUMIFS('Existing Customers'!$V:$V,'Existing Customers'!$H:$H,$IC22,'Existing Customers'!$A:$A,$ID$1)*$ID$4,0),0)</f>
        <v>0</v>
      </c>
      <c r="II22" s="96">
        <f>IFERROR(IF(AND($ID$2&lt;&gt;"Enter Spend&gt;&gt;&gt;",IE2="EXISTING"),SUMIFS('Existing Customers'!$R:$R,'Existing Customers'!$H:$H,$IC22,'Existing Customers'!$A:$A,$ID$1)*$ID$4,0),0)</f>
        <v>0</v>
      </c>
      <c r="IJ22" s="1161">
        <f>IFERROR(IF(AND($ID$2&lt;&gt;"Enter Spend&gt;&gt;&gt;",IE2="EXISTING"),SUMIFS('Existing Customers'!$S:$S,'Existing Customers'!$H:$H,$IC22,'Existing Customers'!$A:$A,$ID$1),IT22*ID22),0)</f>
        <v>0</v>
      </c>
      <c r="IK22" s="1161">
        <f>IFERROR(IF(AND($ID$2&lt;&gt;"Enter Spend&gt;&gt;&gt;",IE2="EXISTING"),SUMIFS('Existing Customers'!$U:$U,'Existing Customers'!$H:$H,$IC22,'Existing Customers'!$A:$A,$ID$1),IU22*ID22),0)</f>
        <v>0</v>
      </c>
      <c r="IL22" s="1164" t="e">
        <f t="shared" si="51"/>
        <v>#N/A</v>
      </c>
      <c r="IM22" s="1164">
        <f t="array" ref="IM22">IFERROR(INDEX('Margin Guidence Table'!$A$1:$AG$10000,MATCH(1,('Margin Guidence Table'!$A$1:$A$10000=IL22)*('Margin Guidence Table'!$I$1:$I$10000&lt;=ROUND($ID$3,0))*('Margin Guidence Table'!$J$1:$J$10000&gt;=ROUND($ID$3,0)),0),MATCH("DATA_POINTS",'Margin Guidence Table'!$A$1:$AG$1,0)),0)</f>
        <v>0</v>
      </c>
      <c r="IN22" s="1161" t="str">
        <f t="shared" si="52"/>
        <v>DEFAULT</v>
      </c>
      <c r="IO22" s="116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16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16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16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16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16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16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16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9"/>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96" t="e">
        <f t="shared" si="53"/>
        <v>#DIV/0!</v>
      </c>
      <c r="IZ22" s="102" t="s">
        <v>96</v>
      </c>
      <c r="JA22" s="94">
        <f>IFERROR(IF(AND($JA$2&lt;&gt;"Enter Spend&gt;&gt;&gt;",JB10="EXISTING"),SUMIFS('Existing Customers'!$Q:$Q,'Existing Customers'!$A:$A,$JA$1,'Existing Customers'!$H:$H,$IZ22)*$JA$4,$JA$3*$IY22),0)</f>
        <v>0</v>
      </c>
      <c r="JB22" s="89">
        <f>IFERROR(IF(AND($JA$2&lt;&gt;"Enter Spend&gt;&gt;&gt;",JB2="EXISTING"),SUMIFS('Existing Customers'!$N:$N,'Existing Customers'!$A:$A,$JA$1,'Existing Customers'!$H:$H,$IZ22)*$JA$4,$JA22/$JL22),0)</f>
        <v>0</v>
      </c>
      <c r="JC22" s="95">
        <f>IFERROR(IF(AND($JA$2&lt;&gt;"Enter Spend&gt;&gt;&gt;",JB2="EXISTING"),SUMIFS('Existing Customers'!$O:$O,'Existing Customers'!$H:$H,$IZ22,'Existing Customers'!$A:$A,$JA$1)*$JA$4,$JB22*$JA$8),0)</f>
        <v>0</v>
      </c>
      <c r="JD22" s="95">
        <f>IFERROR(IF(AND($JA$2&lt;&gt;"Enter Spend&gt;&gt;&gt;",JB2="EXISTING"),SUMIFS('Existing Customers'!$P:$P,'Existing Customers'!$A:$A,$JA$1,'Existing Customers'!$H:$H,$IZ22)*$JA$4,$JA22/$JM22),0)</f>
        <v>0</v>
      </c>
      <c r="JE22" s="402">
        <f>IFERROR(IF(AND($JA$2&lt;&gt;"Enter Spend&gt;&gt;&gt;",JB2="EXISTING"),SUMIFS('Existing Customers'!$V:$V,'Existing Customers'!$H:$H,$IZ22,'Existing Customers'!$A:$A,$JA$1)*$JA$4,0),0)</f>
        <v>0</v>
      </c>
      <c r="JF22" s="96">
        <f>IFERROR(IF(AND($JA$2&lt;&gt;"Enter Spend&gt;&gt;&gt;",JB2="EXISTING"),SUMIFS('Existing Customers'!$R:$R,'Existing Customers'!$H:$H,$IZ22,'Existing Customers'!$A:$A,$JA$1)*$JA$4,0),0)</f>
        <v>0</v>
      </c>
      <c r="JG22" s="1161">
        <f>IFERROR(IF(AND($JA$2&lt;&gt;"Enter Spend&gt;&gt;&gt;",JB2="EXISTING"),SUMIFS('Existing Customers'!$S:$S,'Existing Customers'!$H:$H,$IZ22,'Existing Customers'!$A:$A,$JA$1),JQ22*JA22),0)</f>
        <v>0</v>
      </c>
      <c r="JH22" s="1161">
        <f>IFERROR(IF(AND($JA$2&lt;&gt;"Enter Spend&gt;&gt;&gt;",JB2="EXISTING"),SUMIFS('Existing Customers'!$U:$U,'Existing Customers'!$H:$H,$IZ22,'Existing Customers'!$A:$A,$JA$1),JR22*JA22),0)</f>
        <v>0</v>
      </c>
      <c r="JI22" s="1164" t="e">
        <f t="shared" si="54"/>
        <v>#N/A</v>
      </c>
      <c r="JJ22" s="1164">
        <f t="array" ref="JJ22">IFERROR(INDEX('Margin Guidence Table'!$A$1:$AG$10000,MATCH(1,('Margin Guidence Table'!$A$1:$A$10000=JI22)*('Margin Guidence Table'!$I$1:$I$10000&lt;=ROUND($JA$3,0))*('Margin Guidence Table'!$J$1:$J$10000&gt;=ROUND($JA$3,0)),0),MATCH("DATA_POINTS",'Margin Guidence Table'!$A$1:$AG$1,0)),0)</f>
        <v>0</v>
      </c>
      <c r="JK22" s="1161" t="str">
        <f t="shared" si="55"/>
        <v>DEFAULT</v>
      </c>
      <c r="JL22" s="116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16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16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16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16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16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16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16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2" t="s">
        <v>96</v>
      </c>
      <c r="JV22" s="97"/>
      <c r="JW22" s="89"/>
      <c r="JX22" s="89"/>
      <c r="JY22" s="89"/>
      <c r="JZ22" s="114"/>
      <c r="KA22" s="98"/>
      <c r="KB22" s="129"/>
      <c r="KD22" s="102" t="s">
        <v>96</v>
      </c>
      <c r="KE22" s="97"/>
      <c r="KF22" s="89"/>
      <c r="KG22" s="89"/>
      <c r="KH22" s="89"/>
      <c r="KI22" s="114"/>
      <c r="KJ22" s="98"/>
    </row>
    <row r="23" spans="2:296" ht="15.75" thickBot="1" x14ac:dyDescent="0.3">
      <c r="B23" s="102" t="s">
        <v>101</v>
      </c>
      <c r="C23" s="480">
        <f t="shared" si="11"/>
        <v>0</v>
      </c>
      <c r="D23" s="496">
        <f t="shared" si="12"/>
        <v>0</v>
      </c>
      <c r="E23" s="496">
        <f t="shared" si="13"/>
        <v>0</v>
      </c>
      <c r="F23" s="496">
        <f t="shared" si="14"/>
        <v>0</v>
      </c>
      <c r="G23" s="497">
        <f t="shared" si="15"/>
        <v>0</v>
      </c>
      <c r="H23" s="496">
        <f t="shared" si="16"/>
        <v>0</v>
      </c>
      <c r="I23" s="1157" t="e">
        <f t="shared" si="0"/>
        <v>#DIV/0!</v>
      </c>
      <c r="J23" s="1157" t="e">
        <f t="shared" si="1"/>
        <v>#DIV/0!</v>
      </c>
      <c r="K23" s="1157" t="e">
        <f t="shared" si="2"/>
        <v>#DIV/0!</v>
      </c>
      <c r="L23" s="496" t="e">
        <f t="shared" si="3"/>
        <v>#DIV/0!</v>
      </c>
      <c r="M23" s="496" t="e">
        <f t="shared" si="17"/>
        <v>#DIV/0!</v>
      </c>
      <c r="N23" s="1158" t="e">
        <f t="shared" si="4"/>
        <v>#DIV/0!</v>
      </c>
      <c r="P23" t="str">
        <f>'PIM Model'!E19</f>
        <v>INCLUDE</v>
      </c>
      <c r="Q23">
        <f t="shared" si="18"/>
        <v>0</v>
      </c>
      <c r="R23">
        <f t="shared" si="19"/>
        <v>0</v>
      </c>
      <c r="S23" s="102" t="s">
        <v>101</v>
      </c>
      <c r="T23" s="97">
        <f t="shared" si="20"/>
        <v>0</v>
      </c>
      <c r="U23" s="89">
        <f t="shared" si="5"/>
        <v>0</v>
      </c>
      <c r="V23" s="89">
        <f t="shared" si="6"/>
        <v>0</v>
      </c>
      <c r="W23" s="89">
        <f t="shared" si="7"/>
        <v>0</v>
      </c>
      <c r="X23" s="114">
        <f t="shared" si="8"/>
        <v>0</v>
      </c>
      <c r="Y23" s="117">
        <f t="shared" si="21"/>
        <v>0</v>
      </c>
      <c r="Z23" s="400"/>
      <c r="AA23" s="102" t="s">
        <v>101</v>
      </c>
      <c r="AB23" s="484">
        <f t="shared" si="9"/>
        <v>0</v>
      </c>
      <c r="AC23" s="485">
        <f t="shared" si="9"/>
        <v>0</v>
      </c>
      <c r="AD23" s="485">
        <f t="shared" si="9"/>
        <v>0</v>
      </c>
      <c r="AE23" s="486">
        <f t="shared" si="22"/>
        <v>0</v>
      </c>
      <c r="AF23" s="487">
        <f t="shared" si="23"/>
        <v>0</v>
      </c>
      <c r="AG23" s="400"/>
      <c r="AH23" s="102" t="s">
        <v>101</v>
      </c>
      <c r="AI23" s="484">
        <f t="shared" si="10"/>
        <v>0</v>
      </c>
      <c r="AJ23" s="481">
        <f t="shared" si="24"/>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400" t="e">
        <f t="shared" si="25"/>
        <v>#DIV/0!</v>
      </c>
      <c r="AR23">
        <f>'PIM Model'!C19</f>
        <v>0</v>
      </c>
      <c r="AS23" s="400"/>
      <c r="AT23" s="400"/>
      <c r="AU23" s="400" t="e">
        <f t="shared" si="56"/>
        <v>#DIV/0!</v>
      </c>
      <c r="AV23" s="400"/>
      <c r="AW23" s="400"/>
      <c r="AX23" s="108">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96" t="e">
        <f t="shared" si="26"/>
        <v>#DIV/0!</v>
      </c>
      <c r="BA23" s="102" t="s">
        <v>101</v>
      </c>
      <c r="BB23" s="94">
        <f>IFERROR(IF(AND($BB$2&lt;&gt;"Enter Spend&gt;&gt;&gt;",BC11="EXISTING"),SUMIFS('Existing Customers'!$Q:$Q,'Existing Customers'!$A:$A,$BB$1,'Existing Customers'!$H:$H,$BA23)*$BB$4,$BB$3*$AZ23),0)</f>
        <v>0</v>
      </c>
      <c r="BC23" s="95">
        <f>IFERROR(IF(AND($BB$2&lt;&gt;"Enter Spend&gt;&gt;&gt;",BC2="EXISTING"),SUMIFS('Existing Customers'!$N:$N,'Existing Customers'!$A:$A,$BB$1,'Existing Customers'!$H:$H,$BA23)*$BB$4,$BB23/$BM23),0)</f>
        <v>0</v>
      </c>
      <c r="BD23" s="95">
        <f>IFERROR(IF(AND($BB$2&lt;&gt;"Enter Spend&gt;&gt;&gt;",BC2="EXISTING"),SUMIFS('Existing Customers'!$O:$O,'Existing Customers'!$H:$H,$BA23,'Existing Customers'!$A:$A,$BB$1)*$BB$4,$BC23*$BB$8),0)</f>
        <v>0</v>
      </c>
      <c r="BE23" s="95">
        <f>IFERROR(IF(AND($BB$2&lt;&gt;"Enter Spend&gt;&gt;&gt;",BC2="EXISTING"),SUMIFS('Existing Customers'!$P:$P,'Existing Customers'!$A:$A,$BB$1,'Existing Customers'!$H:$H,$BA23)*$BB$4,$BB23/$BN23),0)</f>
        <v>0</v>
      </c>
      <c r="BF23" s="402">
        <f>IFERROR(IF(AND($BB$2&lt;&gt;"Enter Spend&gt;&gt;&gt;",BC2="EXISTING"),SUMIFS('Existing Customers'!$V:$V,'Existing Customers'!$H:$H,$BA23,'Existing Customers'!$A:$A,$BB$1)*$BB$4,0),0)</f>
        <v>0</v>
      </c>
      <c r="BG23" s="96">
        <f>IFERROR(IF(AND($BB$2&lt;&gt;"Enter Spend&gt;&gt;&gt;",BC2="EXISTING"),SUMIFS('Existing Customers'!$R:$R,'Existing Customers'!$H:$H,$BA23,'Existing Customers'!$A:$A,$BB$1)*$BB$4,0),0)</f>
        <v>0</v>
      </c>
      <c r="BH23" s="96">
        <f>IFERROR(IF(AND($BB$2&lt;&gt;"Enter Spend&gt;&gt;&gt;",BC2="EXISTING"),SUMIFS('Existing Customers'!$S:$S,'Existing Customers'!$H:$H,$BA23,'Existing Customers'!$A:$A,$BB$1),BR23*BB23),0)</f>
        <v>0</v>
      </c>
      <c r="BI23" s="96">
        <f>IFERROR(IF(AND($BB$2&lt;&gt;"Enter Spend&gt;&gt;&gt;",BC2="EXISTING"),SUMIFS('Existing Customers'!$U:$U,'Existing Customers'!$H:$H,$BA23,'Existing Customers'!$A:$A,$BB$1),BS23*BB23),0)</f>
        <v>0</v>
      </c>
      <c r="BJ23" s="1163" t="e">
        <f t="shared" si="27"/>
        <v>#N/A</v>
      </c>
      <c r="BK23" s="1164">
        <f t="array" ref="BK23">IFERROR(INDEX('Margin Guidence Table'!$A$1:$AG$10000,MATCH(1,('Margin Guidence Table'!$A$1:$A$10000=$BJ23)*('Margin Guidence Table'!$I$1:$I$10000&lt;=ROUND($BB$3,0))*('Margin Guidence Table'!$J$1:$J$10000&gt;=ROUND($BB$3,0)),0),MATCH("DATA_POINTS",'Margin Guidence Table'!$A$1:$AG$1,0)),0)</f>
        <v>0</v>
      </c>
      <c r="BL23" s="1161" t="str">
        <f t="shared" si="28"/>
        <v>DEFAULT</v>
      </c>
      <c r="BM23" s="116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16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16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16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16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16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16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16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9"/>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96" t="e">
        <f t="shared" si="29"/>
        <v>#DIV/0!</v>
      </c>
      <c r="BX23" s="102" t="s">
        <v>101</v>
      </c>
      <c r="BY23" s="94">
        <f>IFERROR(IF(AND($BY$2&lt;&gt;"Enter Spend&gt;&gt;&gt;",BZ11="EXISTING"),SUMIFS('Existing Customers'!$Q:$Q,'Existing Customers'!$A:$A,$BY$1,'Existing Customers'!$H:$H,$BX23)*$BY$4,$BY$3*$BW23),0)</f>
        <v>0</v>
      </c>
      <c r="BZ23" s="89">
        <f>IFERROR(IF(AND($BY$2&lt;&gt;"Enter Spend&gt;&gt;&gt;",BZ2="EXISTING"),SUMIFS('Existing Customers'!$N:$N,'Existing Customers'!$A:$A,$BY$1,'Existing Customers'!$H:$H,$BX23)*$BY$4,$BY23/$CJ23),0)</f>
        <v>0</v>
      </c>
      <c r="CA23" s="95">
        <f>IFERROR(IF(AND($BY$2&lt;&gt;"Enter Spend&gt;&gt;&gt;",BZ2="EXISTING"),SUMIFS('Existing Customers'!$O:$O,'Existing Customers'!$H:$H,$BX23,'Existing Customers'!$A:$A,$BY$1)*$BY$4,$BZ23*$BY$8),0)</f>
        <v>0</v>
      </c>
      <c r="CB23" s="95">
        <f>IFERROR(IF(AND($BY$2&lt;&gt;"Enter Spend&gt;&gt;&gt;",BZ2="EXISTING"),SUMIFS('Existing Customers'!$P:$P,'Existing Customers'!$A:$A,$BY$1,'Existing Customers'!$H:$H,$BX23)*$BY$4,$BY23/$CK23),0)</f>
        <v>0</v>
      </c>
      <c r="CC23" s="96">
        <f>IFERROR(IF(AND($BY$2&lt;&gt;"Enter Spend&gt;&gt;&gt;",BZ2="EXISTING"),SUMIFS('Existing Customers'!$V:$V,'Existing Customers'!$H:$H,$BX23,'Existing Customers'!$A:$A,$BY$1)*$BY$4,0),0)</f>
        <v>0</v>
      </c>
      <c r="CD23" s="96">
        <f>IFERROR(IF(AND($BY$2&lt;&gt;"Enter Spend&gt;&gt;&gt;",BZ2="EXISTING"),SUMIFS('Existing Customers'!$R:$R,'Existing Customers'!$H:$H,$BX23,'Existing Customers'!$A:$A,$BY$1)*$BY$4,0),0)</f>
        <v>0</v>
      </c>
      <c r="CE23" s="1161">
        <f>IFERROR(IF(AND($BY$2&lt;&gt;"Enter Spend&gt;&gt;&gt;",BZ2="EXISTING"),SUMIFS('Existing Customers'!$S:$S,'Existing Customers'!$H:$H,$BX23,'Existing Customers'!$A:$A,$BY$1),CO23*BY23),0)</f>
        <v>0</v>
      </c>
      <c r="CF23" s="1161">
        <f>IFERROR(IF(AND($BY$2&lt;&gt;"Enter Spend&gt;&gt;&gt;",BZ2="EXISTING"),SUMIFS('Existing Customers'!$U:$U,'Existing Customers'!$H:$H,$BX23,'Existing Customers'!$A:$A,$BY$1),CP23*BY23),0)</f>
        <v>0</v>
      </c>
      <c r="CG23" s="1164" t="e">
        <f t="shared" si="30"/>
        <v>#N/A</v>
      </c>
      <c r="CH23" s="1164">
        <f t="array" ref="CH23">IFERROR(INDEX('Margin Guidence Table'!$A$1:$AG$10000,MATCH(1,('Margin Guidence Table'!$A$1:$A$10000=$CG23)*('Margin Guidence Table'!$I$1:$I$10000&lt;=ROUND($BY$3,0))*('Margin Guidence Table'!$J$1:$J$10000&gt;=ROUND($BY$3,0)),0),MATCH("DATA_POINTS",'Margin Guidence Table'!$A$1:$AG$1,0)),0)</f>
        <v>0</v>
      </c>
      <c r="CI23" s="1161" t="str">
        <f t="shared" si="31"/>
        <v>DEFAULT</v>
      </c>
      <c r="CJ23" s="116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16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16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16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16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16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16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16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9"/>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96" t="e">
        <f t="shared" si="32"/>
        <v>#DIV/0!</v>
      </c>
      <c r="CU23" s="102" t="s">
        <v>101</v>
      </c>
      <c r="CV23" s="94">
        <f>IFERROR(IF(AND($CV$2&lt;&gt;"Enter Spend&gt;&gt;&gt;",CW11="EXISTING"),SUMIFS('Existing Customers'!$Q:$Q,'Existing Customers'!$A:$A,$CV$1,'Existing Customers'!$H:$H,$CU23)*$CV$4,$CV$3*$CT23),0)</f>
        <v>0</v>
      </c>
      <c r="CW23" s="89">
        <f>IFERROR(IF(AND($CV$2&lt;&gt;"Enter Spend&gt;&gt;&gt;",CW2="EXISTING"),SUMIFS('Existing Customers'!$N:$N,'Existing Customers'!$A:$A,$CV$1,'Existing Customers'!$H:$H,$CU23)*$CV$4,$CV23/$DG23),0)</f>
        <v>0</v>
      </c>
      <c r="CX23" s="95">
        <f>IFERROR(IF(AND($CV$2&lt;&gt;"Enter Spend&gt;&gt;&gt;",BC28="EXISTING"),SUMIFS('Existing Customers'!$O:$O,'Existing Customers'!$H:$H,$CU23,'Existing Customers'!$A:$A,$CV$1)*$CV$4,$CW23*$CV$8),0)</f>
        <v>0</v>
      </c>
      <c r="CY23" s="95">
        <f>IFERROR(IF(AND($CV$2&lt;&gt;"Enter Spend&gt;&gt;&gt;",CW2="EXISTING"),SUMIFS('Existing Customers'!$P:$P,'Existing Customers'!$A:$A,$CV$1,'Existing Customers'!$H:$H,$CU23)*$CV$4,$CV23/$DH23),0)</f>
        <v>0</v>
      </c>
      <c r="CZ23" s="96">
        <f>IFERROR(IF(AND($CV$2&lt;&gt;"Enter Spend&gt;&gt;&gt;",CW2="EXISTING"),SUMIFS('Existing Customers'!$V:$V,'Existing Customers'!$H:$H,$CU23,'Existing Customers'!$A:$A,$CV$1)*$CV$4,0),0)</f>
        <v>0</v>
      </c>
      <c r="DA23" s="96">
        <f>IFERROR(IF(AND($CV$2&lt;&gt;"Enter Spend&gt;&gt;&gt;",CW2="EXISTING"),SUMIFS('Existing Customers'!$R:$R,'Existing Customers'!$H:$H,$BA23,'Existing Customers'!$A:$A,$CV$1)*$CV$4,0),0)</f>
        <v>0</v>
      </c>
      <c r="DB23" s="1161">
        <f>IFERROR(IF(AND($CV$2&lt;&gt;"Enter Spend&gt;&gt;&gt;",CW2="EXISTING"),SUMIFS('Existing Customers'!$S:$S,'Existing Customers'!$H:$H,$CU23,'Existing Customers'!$A:$A,$CV$1),DL23*CV23),0)</f>
        <v>0</v>
      </c>
      <c r="DC23" s="1161">
        <f>IFERROR(IF(AND($CV$2&lt;&gt;"Enter Spend&gt;&gt;&gt;",CW2="EXISTING"),SUMIFS('Existing Customers'!$U:$U,'Existing Customers'!$H:$H,$CU23,'Existing Customers'!$A:$A,$CV$1),DM23*CV23),0)</f>
        <v>0</v>
      </c>
      <c r="DD23" s="1164" t="e">
        <f t="shared" si="33"/>
        <v>#N/A</v>
      </c>
      <c r="DE23" s="1164">
        <f t="array" ref="DE23">IFERROR(INDEX('Margin Guidence Table'!$A$1:$AG$10000,MATCH(1,('Margin Guidence Table'!$A$1:$A$10000=DD23)*('Margin Guidence Table'!$I$1:$I$10000&lt;=ROUND($CV$3,0))*('Margin Guidence Table'!$J$1:$J$10000&gt;=ROUND($CV$3,0)),0),MATCH("DATA_POINTS",'Margin Guidence Table'!$A$1:$AG$1,0)),0)</f>
        <v>0</v>
      </c>
      <c r="DF23" s="1161" t="str">
        <f t="shared" si="34"/>
        <v>DEFAULT</v>
      </c>
      <c r="DG23" s="116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16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16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16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16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16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16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16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9"/>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96" t="e">
        <f t="shared" si="35"/>
        <v>#DIV/0!</v>
      </c>
      <c r="DR23" s="102" t="s">
        <v>101</v>
      </c>
      <c r="DS23" s="94">
        <f>IFERROR(IF(AND($DS$2&lt;&gt;"Enter Spend&gt;&gt;&gt;",DT11="EXISTING"),SUMIFS('Existing Customers'!$Q:$Q,'Existing Customers'!$A:$A,$DS$1,'Existing Customers'!$H:$H,$DR23)*$DS$4,$DS$3*$DQ23),0)</f>
        <v>0</v>
      </c>
      <c r="DT23" s="89">
        <f>IFERROR(IF(AND($DS$2&lt;&gt;"Enter Spend&gt;&gt;&gt;",DT2="EXISTING"),SUMIFS('Existing Customers'!$N:$N,'Existing Customers'!$A:$A,$DS$1,'Existing Customers'!$H:$H,$DR23)*$DS$4,$DS23/$ED23),0)</f>
        <v>0</v>
      </c>
      <c r="DU23" s="95">
        <f>IFERROR(IF(AND($DS$2&lt;&gt;"Enter Spend&gt;&gt;&gt;",DT2="EXISTING"),SUMIFS('Existing Customers'!$O:$O,'Existing Customers'!$H:$H,$DR23,'Existing Customers'!$A:$A,$DS$1)*$DS$4,$DT23*$DS$8),0)</f>
        <v>0</v>
      </c>
      <c r="DV23" s="95">
        <f>IFERROR(IF(AND($DS$2&lt;&gt;"Enter Spend&gt;&gt;&gt;",DT2="EXISTING"),SUMIFS('Existing Customers'!$P:$P,'Existing Customers'!$A:$A,$DS$1,'Existing Customers'!$H:$H,$DR23)*$DS$4,$DS23/$EE23),0)</f>
        <v>0</v>
      </c>
      <c r="DW23" s="96">
        <f>IFERROR(IF(AND($DS$2&lt;&gt;"Enter Spend&gt;&gt;&gt;",EQ2="EXISTING"),SUMIFS('Existing Customers'!$V:$V,'Existing Customers'!$H:$H,$DR23,'Existing Customers'!$A:$A,$DS$1)*$DS$4,0),0)</f>
        <v>0</v>
      </c>
      <c r="DX23" s="96">
        <f>IFERROR(IF(AND($DS$2&lt;&gt;"Enter Spend&gt;&gt;&gt;",DT2="EXISTING"),SUMIFS('Existing Customers'!$R:$R,'Existing Customers'!$H:$H,$DR23,'Existing Customers'!$A:$A,$DS$1)*$DS$4,0),0)</f>
        <v>0</v>
      </c>
      <c r="DY23" s="1161">
        <f>IFERROR(IF(AND($DS$2&lt;&gt;"Enter Spend&gt;&gt;&gt;",DT2="EXISTING"),SUMIFS('Existing Customers'!$S:$S,'Existing Customers'!$H:$H,$DT23,'Existing Customers'!$A:$A,$DS$1),EI23*DS23),0)</f>
        <v>0</v>
      </c>
      <c r="DZ23" s="1161">
        <f>IFERROR(IF(AND($DS$2&lt;&gt;"Enter Spend&gt;&gt;&gt;",DT2="EXISTING"),SUMIFS('Existing Customers'!$U:$U,'Existing Customers'!$H:$H,$DR23,'Existing Customers'!$A:$A,$DS$1),EJ23*DS23),0)</f>
        <v>0</v>
      </c>
      <c r="EA23" s="1164" t="e">
        <f t="shared" si="36"/>
        <v>#N/A</v>
      </c>
      <c r="EB23" s="1164">
        <f t="array" ref="EB23">IFERROR(INDEX('Margin Guidence Table'!$A$1:$AG$10000,MATCH(1,('Margin Guidence Table'!$A$1:$A$10000=EA23)*('Margin Guidence Table'!$I$1:$I$10000&lt;=ROUND($DS$3,0))*('Margin Guidence Table'!$J$1:$J$10000&gt;=ROUND($DS$3,0)),0),MATCH("DATA_POINTS",'Margin Guidence Table'!$A$1:$AG$1,0)),0)</f>
        <v>0</v>
      </c>
      <c r="EC23" s="1161" t="str">
        <f t="shared" si="37"/>
        <v>DEFAULT</v>
      </c>
      <c r="ED23" s="116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16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16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16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16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16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16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16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9"/>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96" t="e">
        <f t="shared" si="38"/>
        <v>#DIV/0!</v>
      </c>
      <c r="EO23" s="102" t="s">
        <v>101</v>
      </c>
      <c r="EP23" s="94">
        <f>IFERROR(IF(AND($EP$2&lt;&gt;"Enter Spend&gt;&gt;&gt;",EQ11="EXISTING"),SUMIFS('Existing Customers'!$Q:$Q,'Existing Customers'!$A:$A,$EP$1,'Existing Customers'!$H:$H,$EO23)*$EP$4,$EP$3*$EN23),0)</f>
        <v>0</v>
      </c>
      <c r="EQ23" s="89">
        <f>IFERROR(IF(AND($EP$2&lt;&gt;"Enter Spend&gt;&gt;&gt;",EQ2="EXISTING"),SUMIFS('Existing Customers'!$N:$N,'Existing Customers'!$A:$A,$EP$1,'Existing Customers'!$H:$H,$EO23)*$EP$4,$EP23/$FA23),0)</f>
        <v>0</v>
      </c>
      <c r="ER23" s="95">
        <f>IFERROR(IF(AND($EP$2&lt;&gt;"Enter Spend&gt;&gt;&gt;",EQ2="EXISTING"),SUMIFS('Existing Customers'!$O:$O,'Existing Customers'!$H:$H,$EO23,'Existing Customers'!$A:$A,$EP$1)*$EP$4,$EQ23*$EP$8),0)</f>
        <v>0</v>
      </c>
      <c r="ES23" s="95">
        <f>IFERROR(IF(AND($EP$2&lt;&gt;"Enter Spend&gt;&gt;&gt;",EQ2="EXISTING"),SUMIFS('Existing Customers'!$P:$P,'Existing Customers'!$A:$A,$EP$1,'Existing Customers'!$H:$H,$EO23)*$EP$4,$EP23/$FB23),0)</f>
        <v>0</v>
      </c>
      <c r="ET23" s="96">
        <f>IFERROR(IF(AND($EP$2&lt;&gt;"Enter Spend&gt;&gt;&gt;",EQ2="EXISTING"),SUMIFS('Existing Customers'!$V:$V,'Existing Customers'!$H:$H,$EO23,'Existing Customers'!$A:$A,$EP$1)*$EP$4,0),0)</f>
        <v>0</v>
      </c>
      <c r="EU23" s="96">
        <f>IFERROR(IF(AND($EP$2&lt;&gt;"Enter Spend&gt;&gt;&gt;",EQ2="EXISTING"),SUMIFS('Existing Customers'!$R:$R,'Existing Customers'!$H:$H,$EO23,'Existing Customers'!$A:$A,$EP$1)*$EP$4,0),0)</f>
        <v>0</v>
      </c>
      <c r="EV23" s="1161">
        <f>IFERROR(IF(AND($EP$2&lt;&gt;"Enter Spend&gt;&gt;&gt;",EQ2="EXISTING"),SUMIFS('Existing Customers'!$S:$S,'Existing Customers'!$H:$H,$EO23,'Existing Customers'!$A:$A,$EP$1),FF23*EP23),0)</f>
        <v>0</v>
      </c>
      <c r="EW23" s="1161">
        <f>IFERROR(IF(AND($EP$2&lt;&gt;"Enter Spend&gt;&gt;&gt;",EQ2="EXISTING"),SUMIFS('Existing Customers'!$U:$U,'Existing Customers'!$H:$H,$EO23,'Existing Customers'!$A:$A,$EP$1),FG23*EP23),0)</f>
        <v>0</v>
      </c>
      <c r="EX23" s="1164" t="e">
        <f t="shared" si="39"/>
        <v>#N/A</v>
      </c>
      <c r="EY23" s="1164">
        <f t="array" ref="EY23">IFERROR(INDEX('Margin Guidence Table'!$A$1:$AG$10000,MATCH(1,('Margin Guidence Table'!$A$1:$A$10000=EX23)*('Margin Guidence Table'!$I$1:$I$10000&lt;=ROUND($EP$3,0))*('Margin Guidence Table'!$J$1:$J$10000&gt;=ROUND($EP$3,0)),0),MATCH("DATA_POINTS",'Margin Guidence Table'!$A$1:$AG$1,0)),0)</f>
        <v>0</v>
      </c>
      <c r="EZ23" s="1161" t="str">
        <f t="shared" si="40"/>
        <v>DEFAULT</v>
      </c>
      <c r="FA23" s="116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16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16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16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16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16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16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16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9"/>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96" t="e">
        <f t="shared" si="41"/>
        <v>#DIV/0!</v>
      </c>
      <c r="FL23" s="102" t="s">
        <v>101</v>
      </c>
      <c r="FM23" s="94">
        <f>IFERROR(IF(AND($FM$2&lt;&gt;"Enter Spend&gt;&gt;&gt;",FN11="EXISTING"),SUMIFS('Existing Customers'!$Q:$Q,'Existing Customers'!$A:$A,$FM$1,'Existing Customers'!$H:$H,$FL23)*$FM$4,$FM$3*$FK23),0)</f>
        <v>0</v>
      </c>
      <c r="FN23" s="89">
        <f>IFERROR(IF(AND($FM$2&lt;&gt;"Enter Spend&gt;&gt;&gt;",FN2="EXISTING"),SUMIFS('Existing Customers'!$N:$N,'Existing Customers'!$A:$A,$FM$1,'Existing Customers'!$H:$H,$FL23)*$FM$4,$FM23/$FX23),0)</f>
        <v>0</v>
      </c>
      <c r="FO23" s="95">
        <f>IFERROR(IF(AND($FM$2&lt;&gt;"Enter Spend&gt;&gt;&gt;",FN2="EXISTING"),SUMIFS('Existing Customers'!$O:$O,'Existing Customers'!$H:$H,$FL23,'Existing Customers'!$A:$A,$FM$1)*$FM$4,$FN23*$FM$8),0)</f>
        <v>0</v>
      </c>
      <c r="FP23" s="95">
        <f>IFERROR(IF(AND($FM$2&lt;&gt;"Enter Spend&gt;&gt;&gt;",FN2="EXISTING"),SUMIFS('Existing Customers'!$P:$P,'Existing Customers'!$A:$A,$FM$1,'Existing Customers'!$H:$H,$FL23)*$FM$4,$FM23/$FY23),0)</f>
        <v>0</v>
      </c>
      <c r="FQ23" s="96">
        <f>IFERROR(IF(AND($FM$2&lt;&gt;"Enter Spend&gt;&gt;&gt;",FN2="EXISTING"),SUMIFS('Existing Customers'!$V:$V,'Existing Customers'!$H:$H,$FL23,'Existing Customers'!$A:$A,$FM$1)*$FM$4,0),0)</f>
        <v>0</v>
      </c>
      <c r="FR23" s="96">
        <f>IFERROR(IF(AND($FM$2&lt;&gt;"Enter Spend&gt;&gt;&gt;",FN2="EXISTING"),SUMIFS('Existing Customers'!$R:$R,'Existing Customers'!$H:$H,$FL23,'Existing Customers'!$A:$A,$FM$1)*$FM$4,0),0)</f>
        <v>0</v>
      </c>
      <c r="FS23" s="1161">
        <f>IFERROR(IF(AND($FM$2&lt;&gt;"Enter Spend&gt;&gt;&gt;",FN2="EXISTING"),SUMIFS('Existing Customers'!$S:$S,'Existing Customers'!$H:$H,$FL23,'Existing Customers'!$A:$A,$FM$1),GC23*FM23),0)</f>
        <v>0</v>
      </c>
      <c r="FT23" s="1161">
        <f>IFERROR(IF(AND($FM$2&lt;&gt;"Enter Spend&gt;&gt;&gt;",FN2="EXISTING"),SUMIFS('Existing Customers'!$U:$U,'Existing Customers'!$H:$H,$FL23,'Existing Customers'!$A:$A,$FM$1),GD23*FM23),0)</f>
        <v>0</v>
      </c>
      <c r="FU23" s="1164" t="e">
        <f t="shared" si="42"/>
        <v>#N/A</v>
      </c>
      <c r="FV23" s="1164">
        <f t="array" ref="FV23">IFERROR(INDEX('Margin Guidence Table'!$A$1:$AG$10000,MATCH(1,('Margin Guidence Table'!$A$1:$A$10000=FU23)*('Margin Guidence Table'!$I$1:$I$10000&lt;=ROUND($FM$3,0))*('Margin Guidence Table'!$J$1:$J$10000&gt;=ROUND($FM$3,0)),0),MATCH("DATA_POINTS",'Margin Guidence Table'!$A$1:$AG$1,0)),0)</f>
        <v>0</v>
      </c>
      <c r="FW23" s="1161" t="str">
        <f t="shared" si="43"/>
        <v>DEFAULT</v>
      </c>
      <c r="FX23" s="116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16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16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16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16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16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16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16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9"/>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96" t="e">
        <f t="shared" si="44"/>
        <v>#DIV/0!</v>
      </c>
      <c r="GI23" s="102" t="s">
        <v>101</v>
      </c>
      <c r="GJ23" s="94">
        <f>IFERROR(IF(AND($GJ$2&lt;&gt;"Enter Spend&gt;&gt;&gt;",GK11="EXISTING"),SUMIFS('Existing Customers'!$Q:$Q,'Existing Customers'!$A:$A,$GJ$1,'Existing Customers'!$H:$H,$GI23)*$GJ$4,$GJ$3*$GH23),0)</f>
        <v>0</v>
      </c>
      <c r="GK23" s="89">
        <f>IFERROR(IF(AND($GJ$2&lt;&gt;"Enter Spend&gt;&gt;&gt;",GK2="EXISTING"),SUMIFS('Existing Customers'!$N:$N,'Existing Customers'!$A:$A,$GJ$1,'Existing Customers'!$H:$H,$GI23)*$GJ$4,$GJ23/$GU23),0)</f>
        <v>0</v>
      </c>
      <c r="GL23" s="95">
        <f>IFERROR(IF(AND($GJ$2&lt;&gt;"Enter Spend&gt;&gt;&gt;",GK2="EXISTING"),SUMIFS('Existing Customers'!$O:$O,'Existing Customers'!$H:$H,$GI23,'Existing Customers'!$A:$A,$GJ$1)*$GJ$4,$GK23*$GJ$8),0)</f>
        <v>0</v>
      </c>
      <c r="GM23" s="95">
        <f>IFERROR(IF(AND($GJ$2&lt;&gt;"Enter Spend&gt;&gt;&gt;",GK2="EXISTING"),SUMIFS('Existing Customers'!$P:$P,'Existing Customers'!$A:$A,$GJ$1,'Existing Customers'!$H:$H,$GI23)*$GJ$4,$GJ23/$GV23),0)</f>
        <v>0</v>
      </c>
      <c r="GN23" s="96">
        <f>IFERROR(IF(AND($GJ$2&lt;&gt;"Enter Spend&gt;&gt;&gt;",GK2="EXISTING"),SUMIFS('Existing Customers'!$V:$V,'Existing Customers'!$H:$H,$GI23,'Existing Customers'!$A:$A,$GJ$1)*$GJ$4,0),0)</f>
        <v>0</v>
      </c>
      <c r="GO23" s="96">
        <f>IFERROR(IF(AND($GJ$2&lt;&gt;"Enter Spend&gt;&gt;&gt;",GK2="EXISTING"),SUMIFS('Existing Customers'!$R:$R,'Existing Customers'!$H:$H,$GI23,'Existing Customers'!$A:$A,$GJ$1)*$GJ$4,0),0)</f>
        <v>0</v>
      </c>
      <c r="GP23" s="1161">
        <f>IFERROR(IF(AND($GJ$2&lt;&gt;"Enter Spend&gt;&gt;&gt;",GK2="EXISTING"),SUMIFS('Existing Customers'!$S:$S,'Existing Customers'!$H:$H,$GI23,'Existing Customers'!$A:$A,$GJ$1),GZ23*GJ23),0)</f>
        <v>0</v>
      </c>
      <c r="GQ23" s="1161">
        <f>IFERROR(IF(AND($GJ$2&lt;&gt;"Enter Spend&gt;&gt;&gt;",GK2="EXISTING"),SUMIFS('Existing Customers'!$U:$U,'Existing Customers'!$H:$H,$GI23,'Existing Customers'!$A:$A,$GJ$1),HA23*GJ23),0)</f>
        <v>0</v>
      </c>
      <c r="GR23" s="1164" t="e">
        <f t="shared" si="45"/>
        <v>#N/A</v>
      </c>
      <c r="GS23" s="1164">
        <f t="array" ref="GS23">IFERROR(INDEX('Margin Guidence Table'!$A$1:$AG$10000,MATCH(1,('Margin Guidence Table'!$A$1:$A$10000=GR23)*('Margin Guidence Table'!$I$1:$I$10000&lt;=ROUND($GJ$3,0))*('Margin Guidence Table'!$J$1:$J$10000&gt;=ROUND($GJ$3,0)),0),MATCH("DATA_POINTS",'Margin Guidence Table'!$A$1:$AG$1,0)),0)</f>
        <v>0</v>
      </c>
      <c r="GT23" s="1161" t="str">
        <f t="shared" si="46"/>
        <v>DEFAULT</v>
      </c>
      <c r="GU23" s="116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16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16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16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16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16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16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16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9"/>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96" t="e">
        <f t="shared" si="47"/>
        <v>#DIV/0!</v>
      </c>
      <c r="HF23" s="102" t="s">
        <v>101</v>
      </c>
      <c r="HG23" s="94">
        <f>IFERROR(IF(AND($HG$2&lt;&gt;"Enter Spend&gt;&gt;&gt;",HH11="EXISTING"),SUMIFS('Existing Customers'!$Q:$Q,'Existing Customers'!$A:$A,$HG$1,'Existing Customers'!$H:$H,$HF23)*$HG$4,$HG$3*$HE23),0)</f>
        <v>0</v>
      </c>
      <c r="HH23" s="89">
        <f>IFERROR(IF(AND($HG$2&lt;&gt;"Enter Spend&gt;&gt;&gt;",HH2="EXISTING"),SUMIFS('Existing Customers'!$N:$N,'Existing Customers'!$A:$A,$HG$1,'Existing Customers'!$H:$H,$HF23)*$HG$4,$HG23/$HR23),0)</f>
        <v>0</v>
      </c>
      <c r="HI23" s="95">
        <f>IFERROR(IF(AND($HG$2&lt;&gt;"Enter Spend&gt;&gt;&gt;",HH2="EXISTING"),SUMIFS('Existing Customers'!$O:$O,'Existing Customers'!$H:$H,$HF23,'Existing Customers'!$A:$A,$HG$1)*$HG$4,$HH23*$HG$8),0)</f>
        <v>0</v>
      </c>
      <c r="HJ23" s="95">
        <f>IFERROR(IF(AND($HG$2&lt;&gt;"Enter Spend&gt;&gt;&gt;",HH2="EXISTING"),SUMIFS('Existing Customers'!$P:$P,'Existing Customers'!$A:$A,$HG$1,'Existing Customers'!$H:$H,$HF23)*$HG$4,$HG23/$HS23),0)</f>
        <v>0</v>
      </c>
      <c r="HK23" s="96">
        <f>IFERROR(IF(AND($HG$2&lt;&gt;"Enter Spend&gt;&gt;&gt;",HH2="EXISTING"),SUMIFS('Existing Customers'!$V:$V,'Existing Customers'!$H:$H,$HF23,'Existing Customers'!$A:$A,$HG$1)*$HG$4,0),0)</f>
        <v>0</v>
      </c>
      <c r="HL23" s="96">
        <f>IFERROR(IF(AND($HG$2&lt;&gt;"Enter Spend&gt;&gt;&gt;",HH2="EXISTING"),SUMIFS('Existing Customers'!$R:$R,'Existing Customers'!$H:$H,$HF23,'Existing Customers'!$A:$A,$HG$1)*$HG$4,0),0)</f>
        <v>0</v>
      </c>
      <c r="HM23" s="1161">
        <f>IFERROR(IF(AND($HG$2&lt;&gt;"Enter Spend&gt;&gt;&gt;",HH2="EXISTING"),SUMIFS('Existing Customers'!$S:$S,'Existing Customers'!$H:$H,$HF23,'Existing Customers'!$A:$A,$HG$1),HW23*HG23),0)</f>
        <v>0</v>
      </c>
      <c r="HN23" s="1161">
        <f>IFERROR(IF(AND($HG$2&lt;&gt;"Enter Spend&gt;&gt;&gt;",HH2="EXISTING"),SUMIFS('Existing Customers'!$U:$U,'Existing Customers'!$H:$H,$HF23,'Existing Customers'!$A:$A,$HG$1),HX23*HG23),0)</f>
        <v>0</v>
      </c>
      <c r="HO23" s="1164" t="e">
        <f t="shared" si="48"/>
        <v>#N/A</v>
      </c>
      <c r="HP23" s="1164">
        <f t="array" ref="HP23">IFERROR(INDEX('Margin Guidence Table'!$A$1:$AG$10000,MATCH(1,('Margin Guidence Table'!$A$1:$A$10000=HO23)*('Margin Guidence Table'!$I$1:$I$10000&lt;=ROUND($HG$3,0))*('Margin Guidence Table'!$J$1:$J$10000&gt;=ROUND($HG$3,0)),0),MATCH("DATA_POINTS",'Margin Guidence Table'!$A$1:$AG$1,0)),0)</f>
        <v>0</v>
      </c>
      <c r="HQ23" s="1161" t="str">
        <f t="shared" si="49"/>
        <v>DEFAULT</v>
      </c>
      <c r="HR23" s="116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16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16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16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16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16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16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16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9"/>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96" t="e">
        <f t="shared" si="50"/>
        <v>#DIV/0!</v>
      </c>
      <c r="IC23" s="102" t="s">
        <v>101</v>
      </c>
      <c r="ID23" s="94">
        <f>IFERROR(IF(AND($ID$2&lt;&gt;"Enter Spend&gt;&gt;&gt;",IE11="EXISTING"),SUMIFS('Existing Customers'!$Q:$Q,'Existing Customers'!$A:$A,$ID$1,'Existing Customers'!$H:$H,$IC23)*$ID$4,$ID$3*$IB23),0)</f>
        <v>0</v>
      </c>
      <c r="IE23" s="89">
        <f>IFERROR(IF(AND($ID$2&lt;&gt;"Enter Spend&gt;&gt;&gt;",IE2="EXISTING"),SUMIFS('Existing Customers'!$N:$N,'Existing Customers'!$A:$A,$ID$1,'Existing Customers'!$H:$H,$IC23)*$ID$4,$ID23/$IO23),0)</f>
        <v>0</v>
      </c>
      <c r="IF23" s="95">
        <f>IFERROR(IF(AND($ID$2&lt;&gt;"Enter Spend&gt;&gt;&gt;",IE2="EXISTING"),SUMIFS('Existing Customers'!$O:$O,'Existing Customers'!$H:$H,$IC23,'Existing Customers'!$A:$A,$ID$1)*$ID$4,$IE23*$ID$8),0)</f>
        <v>0</v>
      </c>
      <c r="IG23" s="95">
        <f>IFERROR(IF(AND($ID$2&lt;&gt;"Enter Spend&gt;&gt;&gt;",IE2="EXISTING"),SUMIFS('Existing Customers'!$P:$P,'Existing Customers'!$A:$A,$ID$1,'Existing Customers'!$H:$H,$IC23)*$ID$4,$ID23/$IP23),0)</f>
        <v>0</v>
      </c>
      <c r="IH23" s="402">
        <f>IFERROR(IF(AND($ID$2&lt;&gt;"Enter Spend&gt;&gt;&gt;",IE2="EXISTING"),SUMIFS('Existing Customers'!$V:$V,'Existing Customers'!$H:$H,$IC23,'Existing Customers'!$A:$A,$ID$1)*$ID$4,0),0)</f>
        <v>0</v>
      </c>
      <c r="II23" s="96">
        <f>IFERROR(IF(AND($ID$2&lt;&gt;"Enter Spend&gt;&gt;&gt;",IE2="EXISTING"),SUMIFS('Existing Customers'!$R:$R,'Existing Customers'!$H:$H,$IC23,'Existing Customers'!$A:$A,$ID$1)*$ID$4,0),0)</f>
        <v>0</v>
      </c>
      <c r="IJ23" s="1161">
        <f>IFERROR(IF(AND($ID$2&lt;&gt;"Enter Spend&gt;&gt;&gt;",IE2="EXISTING"),SUMIFS('Existing Customers'!$S:$S,'Existing Customers'!$H:$H,$IC23,'Existing Customers'!$A:$A,$ID$1),IT23*ID23),0)</f>
        <v>0</v>
      </c>
      <c r="IK23" s="1161">
        <f>IFERROR(IF(AND($ID$2&lt;&gt;"Enter Spend&gt;&gt;&gt;",IE2="EXISTING"),SUMIFS('Existing Customers'!$U:$U,'Existing Customers'!$H:$H,$IC23,'Existing Customers'!$A:$A,$ID$1),IU23*ID23),0)</f>
        <v>0</v>
      </c>
      <c r="IL23" s="1164" t="e">
        <f t="shared" si="51"/>
        <v>#N/A</v>
      </c>
      <c r="IM23" s="1164">
        <f t="array" ref="IM23">IFERROR(INDEX('Margin Guidence Table'!$A$1:$AG$10000,MATCH(1,('Margin Guidence Table'!$A$1:$A$10000=IL23)*('Margin Guidence Table'!$I$1:$I$10000&lt;=ROUND($ID$3,0))*('Margin Guidence Table'!$J$1:$J$10000&gt;=ROUND($ID$3,0)),0),MATCH("DATA_POINTS",'Margin Guidence Table'!$A$1:$AG$1,0)),0)</f>
        <v>0</v>
      </c>
      <c r="IN23" s="1161" t="str">
        <f t="shared" si="52"/>
        <v>DEFAULT</v>
      </c>
      <c r="IO23" s="116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16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16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16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16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16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16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16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9"/>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96" t="e">
        <f t="shared" si="53"/>
        <v>#DIV/0!</v>
      </c>
      <c r="IZ23" s="102" t="s">
        <v>101</v>
      </c>
      <c r="JA23" s="94">
        <f>IFERROR(IF(AND($JA$2&lt;&gt;"Enter Spend&gt;&gt;&gt;",JB11="EXISTING"),SUMIFS('Existing Customers'!$Q:$Q,'Existing Customers'!$A:$A,$JA$1,'Existing Customers'!$H:$H,$IZ23)*$JA$4,$JA$3*$IY23),0)</f>
        <v>0</v>
      </c>
      <c r="JB23" s="89">
        <f>IFERROR(IF(AND($JA$2&lt;&gt;"Enter Spend&gt;&gt;&gt;",JB2="EXISTING"),SUMIFS('Existing Customers'!$N:$N,'Existing Customers'!$A:$A,$JA$1,'Existing Customers'!$H:$H,$IZ23)*$JA$4,$JA23/$JL23),0)</f>
        <v>0</v>
      </c>
      <c r="JC23" s="95">
        <f>IFERROR(IF(AND($JA$2&lt;&gt;"Enter Spend&gt;&gt;&gt;",JB2="EXISTING"),SUMIFS('Existing Customers'!$O:$O,'Existing Customers'!$H:$H,$IZ23,'Existing Customers'!$A:$A,$JA$1)*$JA$4,$JB23*$JA$8),0)</f>
        <v>0</v>
      </c>
      <c r="JD23" s="95">
        <f>IFERROR(IF(AND($JA$2&lt;&gt;"Enter Spend&gt;&gt;&gt;",JB2="EXISTING"),SUMIFS('Existing Customers'!$P:$P,'Existing Customers'!$A:$A,$JA$1,'Existing Customers'!$H:$H,$IZ23)*$JA$4,$JA23/$JM23),0)</f>
        <v>0</v>
      </c>
      <c r="JE23" s="402">
        <f>IFERROR(IF(AND($JA$2&lt;&gt;"Enter Spend&gt;&gt;&gt;",JB2="EXISTING"),SUMIFS('Existing Customers'!$V:$V,'Existing Customers'!$H:$H,$IZ23,'Existing Customers'!$A:$A,$JA$1)*$JA$4,0),0)</f>
        <v>0</v>
      </c>
      <c r="JF23" s="96">
        <f>IFERROR(IF(AND($JA$2&lt;&gt;"Enter Spend&gt;&gt;&gt;",JB2="EXISTING"),SUMIFS('Existing Customers'!$R:$R,'Existing Customers'!$H:$H,$IZ23,'Existing Customers'!$A:$A,$JA$1)*$JA$4,0),0)</f>
        <v>0</v>
      </c>
      <c r="JG23" s="1161">
        <f>IFERROR(IF(AND($JA$2&lt;&gt;"Enter Spend&gt;&gt;&gt;",JB2="EXISTING"),SUMIFS('Existing Customers'!$S:$S,'Existing Customers'!$H:$H,$IZ23,'Existing Customers'!$A:$A,$JA$1),JQ23*JA23),0)</f>
        <v>0</v>
      </c>
      <c r="JH23" s="1161">
        <f>IFERROR(IF(AND($JA$2&lt;&gt;"Enter Spend&gt;&gt;&gt;",JB2="EXISTING"),SUMIFS('Existing Customers'!$U:$U,'Existing Customers'!$H:$H,$IZ23,'Existing Customers'!$A:$A,$JA$1),JR23*JA23),0)</f>
        <v>0</v>
      </c>
      <c r="JI23" s="1164" t="e">
        <f t="shared" si="54"/>
        <v>#N/A</v>
      </c>
      <c r="JJ23" s="1164">
        <f t="array" ref="JJ23">IFERROR(INDEX('Margin Guidence Table'!$A$1:$AG$10000,MATCH(1,('Margin Guidence Table'!$A$1:$A$10000=JI23)*('Margin Guidence Table'!$I$1:$I$10000&lt;=ROUND($JA$3,0))*('Margin Guidence Table'!$J$1:$J$10000&gt;=ROUND($JA$3,0)),0),MATCH("DATA_POINTS",'Margin Guidence Table'!$A$1:$AG$1,0)),0)</f>
        <v>0</v>
      </c>
      <c r="JK23" s="1161" t="str">
        <f t="shared" si="55"/>
        <v>DEFAULT</v>
      </c>
      <c r="JL23" s="116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16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16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16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16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16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16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16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2" t="s">
        <v>101</v>
      </c>
      <c r="JV23" s="97"/>
      <c r="JW23" s="89"/>
      <c r="JX23" s="89"/>
      <c r="JY23" s="89"/>
      <c r="JZ23" s="114"/>
      <c r="KA23" s="98"/>
      <c r="KB23" s="129"/>
      <c r="KD23" s="102" t="s">
        <v>101</v>
      </c>
      <c r="KE23" s="97"/>
      <c r="KF23" s="89"/>
      <c r="KG23" s="89"/>
      <c r="KH23" s="89"/>
      <c r="KI23" s="114"/>
      <c r="KJ23" s="98"/>
    </row>
    <row r="24" spans="2:296" ht="15.75" thickBot="1" x14ac:dyDescent="0.3">
      <c r="B24" s="102" t="s">
        <v>97</v>
      </c>
      <c r="C24" s="480">
        <f t="shared" si="11"/>
        <v>0</v>
      </c>
      <c r="D24" s="496">
        <f t="shared" si="12"/>
        <v>0</v>
      </c>
      <c r="E24" s="496">
        <f t="shared" si="13"/>
        <v>0</v>
      </c>
      <c r="F24" s="496">
        <f t="shared" si="14"/>
        <v>0</v>
      </c>
      <c r="G24" s="497">
        <f t="shared" si="15"/>
        <v>0</v>
      </c>
      <c r="H24" s="496">
        <f t="shared" si="16"/>
        <v>0</v>
      </c>
      <c r="I24" s="1157" t="e">
        <f t="shared" si="0"/>
        <v>#DIV/0!</v>
      </c>
      <c r="J24" s="1157" t="e">
        <f t="shared" si="1"/>
        <v>#DIV/0!</v>
      </c>
      <c r="K24" s="1157" t="e">
        <f t="shared" si="2"/>
        <v>#DIV/0!</v>
      </c>
      <c r="L24" s="496" t="e">
        <f t="shared" si="3"/>
        <v>#DIV/0!</v>
      </c>
      <c r="M24" s="496" t="e">
        <f t="shared" si="17"/>
        <v>#DIV/0!</v>
      </c>
      <c r="N24" s="1158" t="e">
        <f t="shared" si="4"/>
        <v>#DIV/0!</v>
      </c>
      <c r="P24" t="str">
        <f>'PIM Model'!E20</f>
        <v>INCLUDE</v>
      </c>
      <c r="Q24">
        <f t="shared" si="18"/>
        <v>0</v>
      </c>
      <c r="R24">
        <f t="shared" si="19"/>
        <v>0</v>
      </c>
      <c r="S24" s="102" t="s">
        <v>97</v>
      </c>
      <c r="T24" s="97">
        <f t="shared" si="20"/>
        <v>0</v>
      </c>
      <c r="U24" s="89">
        <f t="shared" si="5"/>
        <v>0</v>
      </c>
      <c r="V24" s="89">
        <f t="shared" si="6"/>
        <v>0</v>
      </c>
      <c r="W24" s="89">
        <f t="shared" si="7"/>
        <v>0</v>
      </c>
      <c r="X24" s="114">
        <f t="shared" si="8"/>
        <v>0</v>
      </c>
      <c r="Y24" s="117">
        <f t="shared" si="21"/>
        <v>0</v>
      </c>
      <c r="Z24" s="400"/>
      <c r="AA24" s="102" t="s">
        <v>97</v>
      </c>
      <c r="AB24" s="484">
        <f t="shared" si="9"/>
        <v>0</v>
      </c>
      <c r="AC24" s="485">
        <f t="shared" si="9"/>
        <v>0</v>
      </c>
      <c r="AD24" s="485">
        <f t="shared" si="9"/>
        <v>0</v>
      </c>
      <c r="AE24" s="486">
        <f t="shared" si="22"/>
        <v>0</v>
      </c>
      <c r="AF24" s="487">
        <f t="shared" si="23"/>
        <v>0</v>
      </c>
      <c r="AG24" s="400"/>
      <c r="AH24" s="102" t="s">
        <v>97</v>
      </c>
      <c r="AI24" s="484">
        <f t="shared" si="10"/>
        <v>0</v>
      </c>
      <c r="AJ24" s="481">
        <f t="shared" si="24"/>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400" t="e">
        <f t="shared" si="25"/>
        <v>#DIV/0!</v>
      </c>
      <c r="AR24">
        <f>'PIM Model'!C20</f>
        <v>0</v>
      </c>
      <c r="AS24" s="400"/>
      <c r="AT24" s="400"/>
      <c r="AU24" s="400" t="e">
        <f t="shared" si="56"/>
        <v>#DIV/0!</v>
      </c>
      <c r="AV24" s="400"/>
      <c r="AW24" s="400"/>
      <c r="AX24" s="108">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96" t="e">
        <f t="shared" si="26"/>
        <v>#DIV/0!</v>
      </c>
      <c r="BA24" s="102" t="s">
        <v>97</v>
      </c>
      <c r="BB24" s="94">
        <f>IFERROR(IF(AND($BB$2&lt;&gt;"Enter Spend&gt;&gt;&gt;",BC12="EXISTING"),SUMIFS('Existing Customers'!$Q:$Q,'Existing Customers'!$A:$A,$BB$1,'Existing Customers'!$H:$H,$BA24)*$BB$4,$BB$3*$AZ24),0)</f>
        <v>0</v>
      </c>
      <c r="BC24" s="95">
        <f>IFERROR(IF(AND($BB$2&lt;&gt;"Enter Spend&gt;&gt;&gt;",BC2="EXISTING"),SUMIFS('Existing Customers'!$N:$N,'Existing Customers'!$A:$A,$BB$1,'Existing Customers'!$H:$H,$BA24)*$BB$4,$BB24/$BM24),0)</f>
        <v>0</v>
      </c>
      <c r="BD24" s="95">
        <f>IFERROR(IF(AND($BB$2&lt;&gt;"Enter Spend&gt;&gt;&gt;",BC2="EXISTING"),SUMIFS('Existing Customers'!$O:$O,'Existing Customers'!$H:$H,$BA24,'Existing Customers'!$A:$A,$BB$1)*$BB$4,$BC24*$BB$8),0)</f>
        <v>0</v>
      </c>
      <c r="BE24" s="95">
        <f>IFERROR(IF(AND($BB$2&lt;&gt;"Enter Spend&gt;&gt;&gt;",BC2="EXISTING"),SUMIFS('Existing Customers'!$P:$P,'Existing Customers'!$A:$A,$BB$1,'Existing Customers'!$H:$H,$BA24)*$BB$4,$BB24/$BN24),0)</f>
        <v>0</v>
      </c>
      <c r="BF24" s="402">
        <f>IFERROR(IF(AND($BB$2&lt;&gt;"Enter Spend&gt;&gt;&gt;",BC2="EXISTING"),SUMIFS('Existing Customers'!$V:$V,'Existing Customers'!$H:$H,$BA24,'Existing Customers'!$A:$A,$BB$1)*$BB$4,0),0)</f>
        <v>0</v>
      </c>
      <c r="BG24" s="96">
        <f>IFERROR(IF(AND($BB$2&lt;&gt;"Enter Spend&gt;&gt;&gt;",BC2="EXISTING"),SUMIFS('Existing Customers'!$R:$R,'Existing Customers'!$H:$H,$BA24,'Existing Customers'!$A:$A,$BB$1)*$BB$4,0),0)</f>
        <v>0</v>
      </c>
      <c r="BH24" s="96">
        <f>IFERROR(IF(AND($BB$2&lt;&gt;"Enter Spend&gt;&gt;&gt;",BC2="EXISTING"),SUMIFS('Existing Customers'!$S:$S,'Existing Customers'!$H:$H,$BA24,'Existing Customers'!$A:$A,$BB$1),BR24*BB24),0)</f>
        <v>0</v>
      </c>
      <c r="BI24" s="96">
        <f>IFERROR(IF(AND($BB$2&lt;&gt;"Enter Spend&gt;&gt;&gt;",BC2="EXISTING"),SUMIFS('Existing Customers'!$U:$U,'Existing Customers'!$H:$H,$BA24,'Existing Customers'!$A:$A,$BB$1),BS24*BB24),0)</f>
        <v>0</v>
      </c>
      <c r="BJ24" s="1163" t="e">
        <f t="shared" si="27"/>
        <v>#N/A</v>
      </c>
      <c r="BK24" s="1164">
        <f t="array" ref="BK24">IFERROR(INDEX('Margin Guidence Table'!$A$1:$AG$10000,MATCH(1,('Margin Guidence Table'!$A$1:$A$10000=$BJ24)*('Margin Guidence Table'!$I$1:$I$10000&lt;=ROUND($BB$3,0))*('Margin Guidence Table'!$J$1:$J$10000&gt;=ROUND($BB$3,0)),0),MATCH("DATA_POINTS",'Margin Guidence Table'!$A$1:$AG$1,0)),0)</f>
        <v>0</v>
      </c>
      <c r="BL24" s="1161" t="str">
        <f t="shared" si="28"/>
        <v>DEFAULT</v>
      </c>
      <c r="BM24" s="116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16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16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16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16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16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16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16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9"/>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96" t="e">
        <f t="shared" si="29"/>
        <v>#DIV/0!</v>
      </c>
      <c r="BX24" s="102" t="s">
        <v>97</v>
      </c>
      <c r="BY24" s="94">
        <f>IFERROR(IF(AND($BY$2&lt;&gt;"Enter Spend&gt;&gt;&gt;",BZ12="EXISTING"),SUMIFS('Existing Customers'!$Q:$Q,'Existing Customers'!$A:$A,$BY$1,'Existing Customers'!$H:$H,$BX24)*$BY$4,$BY$3*$BW24),0)</f>
        <v>0</v>
      </c>
      <c r="BZ24" s="89">
        <f>IFERROR(IF(AND($BY$2&lt;&gt;"Enter Spend&gt;&gt;&gt;",BZ2="EXISTING"),SUMIFS('Existing Customers'!$N:$N,'Existing Customers'!$A:$A,$BY$1,'Existing Customers'!$H:$H,$BX24)*$BY$4,$BY24/$CJ24),0)</f>
        <v>0</v>
      </c>
      <c r="CA24" s="95">
        <f>IFERROR(IF(AND($BY$2&lt;&gt;"Enter Spend&gt;&gt;&gt;",BZ2="EXISTING"),SUMIFS('Existing Customers'!$O:$O,'Existing Customers'!$H:$H,$BX24,'Existing Customers'!$A:$A,$BY$1)*$BY$4,$BZ24*$BY$8),0)</f>
        <v>0</v>
      </c>
      <c r="CB24" s="95">
        <f>IFERROR(IF(AND($BY$2&lt;&gt;"Enter Spend&gt;&gt;&gt;",BZ2="EXISTING"),SUMIFS('Existing Customers'!$P:$P,'Existing Customers'!$A:$A,$BY$1,'Existing Customers'!$H:$H,$BX24)*$BY$4,$BY24/$CK24),0)</f>
        <v>0</v>
      </c>
      <c r="CC24" s="96">
        <f>IFERROR(IF(AND($BY$2&lt;&gt;"Enter Spend&gt;&gt;&gt;",BZ2="EXISTING"),SUMIFS('Existing Customers'!$V:$V,'Existing Customers'!$H:$H,$BX24,'Existing Customers'!$A:$A,$BY$1)*$BY$4,0),0)</f>
        <v>0</v>
      </c>
      <c r="CD24" s="96">
        <f>IFERROR(IF(AND($BY$2&lt;&gt;"Enter Spend&gt;&gt;&gt;",BZ2="EXISTING"),SUMIFS('Existing Customers'!$R:$R,'Existing Customers'!$H:$H,$BX24,'Existing Customers'!$A:$A,$BY$1)*$BY$4,0),0)</f>
        <v>0</v>
      </c>
      <c r="CE24" s="1161">
        <f>IFERROR(IF(AND($BY$2&lt;&gt;"Enter Spend&gt;&gt;&gt;",BZ2="EXISTING"),SUMIFS('Existing Customers'!$S:$S,'Existing Customers'!$H:$H,$BX24,'Existing Customers'!$A:$A,$BY$1),CO24*BY24),0)</f>
        <v>0</v>
      </c>
      <c r="CF24" s="1161">
        <f>IFERROR(IF(AND($BY$2&lt;&gt;"Enter Spend&gt;&gt;&gt;",BZ2="EXISTING"),SUMIFS('Existing Customers'!$U:$U,'Existing Customers'!$H:$H,$BX24,'Existing Customers'!$A:$A,$BY$1),CP24*BY24),0)</f>
        <v>0</v>
      </c>
      <c r="CG24" s="1164" t="e">
        <f t="shared" si="30"/>
        <v>#N/A</v>
      </c>
      <c r="CH24" s="1164">
        <f t="array" ref="CH24">IFERROR(INDEX('Margin Guidence Table'!$A$1:$AG$10000,MATCH(1,('Margin Guidence Table'!$A$1:$A$10000=$CG24)*('Margin Guidence Table'!$I$1:$I$10000&lt;=ROUND($BY$3,0))*('Margin Guidence Table'!$J$1:$J$10000&gt;=ROUND($BY$3,0)),0),MATCH("DATA_POINTS",'Margin Guidence Table'!$A$1:$AG$1,0)),0)</f>
        <v>0</v>
      </c>
      <c r="CI24" s="1161" t="str">
        <f t="shared" si="31"/>
        <v>DEFAULT</v>
      </c>
      <c r="CJ24" s="116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16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16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16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16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16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16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16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9"/>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96" t="e">
        <f t="shared" si="32"/>
        <v>#DIV/0!</v>
      </c>
      <c r="CU24" s="102" t="s">
        <v>97</v>
      </c>
      <c r="CV24" s="94">
        <f>IFERROR(IF(AND($CV$2&lt;&gt;"Enter Spend&gt;&gt;&gt;",CW12="EXISTING"),SUMIFS('Existing Customers'!$Q:$Q,'Existing Customers'!$A:$A,$CV$1,'Existing Customers'!$H:$H,$CU24)*$CV$4,$CV$3*$CT24),0)</f>
        <v>0</v>
      </c>
      <c r="CW24" s="89">
        <f>IFERROR(IF(AND($CV$2&lt;&gt;"Enter Spend&gt;&gt;&gt;",CW2="EXISTING"),SUMIFS('Existing Customers'!$N:$N,'Existing Customers'!$A:$A,$CV$1,'Existing Customers'!$H:$H,$CU24)*$CV$4,$CV24/$DG24),0)</f>
        <v>0</v>
      </c>
      <c r="CX24" s="95">
        <f>IFERROR(IF(AND($CV$2&lt;&gt;"Enter Spend&gt;&gt;&gt;",BC28="EXISTING"),SUMIFS('Existing Customers'!$O:$O,'Existing Customers'!$H:$H,$CU24,'Existing Customers'!$A:$A,$CV$1)*$CV$4,$CW24*$CV$8),0)</f>
        <v>0</v>
      </c>
      <c r="CY24" s="95">
        <f>IFERROR(IF(AND($CV$2&lt;&gt;"Enter Spend&gt;&gt;&gt;",CW2="EXISTING"),SUMIFS('Existing Customers'!$P:$P,'Existing Customers'!$A:$A,$CV$1,'Existing Customers'!$H:$H,$CU24)*$CV$4,$CV24/$DH24),0)</f>
        <v>0</v>
      </c>
      <c r="CZ24" s="96">
        <f>IFERROR(IF(AND($CV$2&lt;&gt;"Enter Spend&gt;&gt;&gt;",CW2="EXISTING"),SUMIFS('Existing Customers'!$V:$V,'Existing Customers'!$H:$H,$CU24,'Existing Customers'!$A:$A,$CV$1)*$CV$4,0),0)</f>
        <v>0</v>
      </c>
      <c r="DA24" s="96">
        <f>IFERROR(IF(AND($CV$2&lt;&gt;"Enter Spend&gt;&gt;&gt;",CW2="EXISTING"),SUMIFS('Existing Customers'!$R:$R,'Existing Customers'!$H:$H,$BA24,'Existing Customers'!$A:$A,$CV$1)*$CV$4,0),0)</f>
        <v>0</v>
      </c>
      <c r="DB24" s="1161">
        <f>IFERROR(IF(AND($CV$2&lt;&gt;"Enter Spend&gt;&gt;&gt;",CW2="EXISTING"),SUMIFS('Existing Customers'!$S:$S,'Existing Customers'!$H:$H,$CU24,'Existing Customers'!$A:$A,$CV$1),DL24*CV24),0)</f>
        <v>0</v>
      </c>
      <c r="DC24" s="1161">
        <f>IFERROR(IF(AND($CV$2&lt;&gt;"Enter Spend&gt;&gt;&gt;",CW2="EXISTING"),SUMIFS('Existing Customers'!$U:$U,'Existing Customers'!$H:$H,$CU24,'Existing Customers'!$A:$A,$CV$1),DM24*CV24),0)</f>
        <v>0</v>
      </c>
      <c r="DD24" s="1164" t="e">
        <f t="shared" si="33"/>
        <v>#N/A</v>
      </c>
      <c r="DE24" s="1164">
        <f t="array" ref="DE24">IFERROR(INDEX('Margin Guidence Table'!$A$1:$AG$10000,MATCH(1,('Margin Guidence Table'!$A$1:$A$10000=DD24)*('Margin Guidence Table'!$I$1:$I$10000&lt;=ROUND($CV$3,0))*('Margin Guidence Table'!$J$1:$J$10000&gt;=ROUND($CV$3,0)),0),MATCH("DATA_POINTS",'Margin Guidence Table'!$A$1:$AG$1,0)),0)</f>
        <v>0</v>
      </c>
      <c r="DF24" s="1161" t="str">
        <f t="shared" si="34"/>
        <v>DEFAULT</v>
      </c>
      <c r="DG24" s="116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16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16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16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16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16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16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16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9"/>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96" t="e">
        <f t="shared" si="35"/>
        <v>#DIV/0!</v>
      </c>
      <c r="DR24" s="102" t="s">
        <v>97</v>
      </c>
      <c r="DS24" s="94">
        <f>IFERROR(IF(AND($DS$2&lt;&gt;"Enter Spend&gt;&gt;&gt;",DT12="EXISTING"),SUMIFS('Existing Customers'!$Q:$Q,'Existing Customers'!$A:$A,$DS$1,'Existing Customers'!$H:$H,$DR24)*$DS$4,$DS$3*$DQ24),0)</f>
        <v>0</v>
      </c>
      <c r="DT24" s="89">
        <f>IFERROR(IF(AND($DS$2&lt;&gt;"Enter Spend&gt;&gt;&gt;",DT2="EXISTING"),SUMIFS('Existing Customers'!$N:$N,'Existing Customers'!$A:$A,$DS$1,'Existing Customers'!$H:$H,$DR24)*$DS$4,$DS24/$ED24),0)</f>
        <v>0</v>
      </c>
      <c r="DU24" s="95">
        <f>IFERROR(IF(AND($DS$2&lt;&gt;"Enter Spend&gt;&gt;&gt;",DT2="EXISTING"),SUMIFS('Existing Customers'!$O:$O,'Existing Customers'!$H:$H,$DR24,'Existing Customers'!$A:$A,$DS$1)*$DS$4,$DT24*$DS$8),0)</f>
        <v>0</v>
      </c>
      <c r="DV24" s="95">
        <f>IFERROR(IF(AND($DS$2&lt;&gt;"Enter Spend&gt;&gt;&gt;",DT2="EXISTING"),SUMIFS('Existing Customers'!$P:$P,'Existing Customers'!$A:$A,$DS$1,'Existing Customers'!$H:$H,$DR24)*$DS$4,$DS24/$EE24),0)</f>
        <v>0</v>
      </c>
      <c r="DW24" s="96">
        <f>IFERROR(IF(AND($DS$2&lt;&gt;"Enter Spend&gt;&gt;&gt;",EQ2="EXISTING"),SUMIFS('Existing Customers'!$V:$V,'Existing Customers'!$H:$H,$DR24,'Existing Customers'!$A:$A,$DS$1)*$DS$4,0),0)</f>
        <v>0</v>
      </c>
      <c r="DX24" s="96">
        <f>IFERROR(IF(AND($DS$2&lt;&gt;"Enter Spend&gt;&gt;&gt;",DT2="EXISTING"),SUMIFS('Existing Customers'!$R:$R,'Existing Customers'!$H:$H,$DR24,'Existing Customers'!$A:$A,$DS$1)*$DS$4,0),0)</f>
        <v>0</v>
      </c>
      <c r="DY24" s="1161">
        <f>IFERROR(IF(AND($DS$2&lt;&gt;"Enter Spend&gt;&gt;&gt;",DT2="EXISTING"),SUMIFS('Existing Customers'!$S:$S,'Existing Customers'!$H:$H,$DT24,'Existing Customers'!$A:$A,$DS$1),EI24*DS24),0)</f>
        <v>0</v>
      </c>
      <c r="DZ24" s="1161">
        <f>IFERROR(IF(AND($DS$2&lt;&gt;"Enter Spend&gt;&gt;&gt;",DT2="EXISTING"),SUMIFS('Existing Customers'!$U:$U,'Existing Customers'!$H:$H,$DR24,'Existing Customers'!$A:$A,$DS$1),EJ24*DS24),0)</f>
        <v>0</v>
      </c>
      <c r="EA24" s="1164" t="e">
        <f t="shared" si="36"/>
        <v>#N/A</v>
      </c>
      <c r="EB24" s="1164">
        <f t="array" ref="EB24">IFERROR(INDEX('Margin Guidence Table'!$A$1:$AG$10000,MATCH(1,('Margin Guidence Table'!$A$1:$A$10000=EA24)*('Margin Guidence Table'!$I$1:$I$10000&lt;=ROUND($DS$3,0))*('Margin Guidence Table'!$J$1:$J$10000&gt;=ROUND($DS$3,0)),0),MATCH("DATA_POINTS",'Margin Guidence Table'!$A$1:$AG$1,0)),0)</f>
        <v>0</v>
      </c>
      <c r="EC24" s="1161" t="str">
        <f t="shared" si="37"/>
        <v>DEFAULT</v>
      </c>
      <c r="ED24" s="116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16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16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16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16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16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16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16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9"/>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96" t="e">
        <f t="shared" si="38"/>
        <v>#DIV/0!</v>
      </c>
      <c r="EO24" s="102" t="s">
        <v>97</v>
      </c>
      <c r="EP24" s="94">
        <f>IFERROR(IF(AND($EP$2&lt;&gt;"Enter Spend&gt;&gt;&gt;",EQ12="EXISTING"),SUMIFS('Existing Customers'!$Q:$Q,'Existing Customers'!$A:$A,$EP$1,'Existing Customers'!$H:$H,$EO24)*$EP$4,$EP$3*$EN24),0)</f>
        <v>0</v>
      </c>
      <c r="EQ24" s="89">
        <f>IFERROR(IF(AND($EP$2&lt;&gt;"Enter Spend&gt;&gt;&gt;",EQ2="EXISTING"),SUMIFS('Existing Customers'!$N:$N,'Existing Customers'!$A:$A,$EP$1,'Existing Customers'!$H:$H,$EO24)*$EP$4,$EP24/$FA24),0)</f>
        <v>0</v>
      </c>
      <c r="ER24" s="95">
        <f>IFERROR(IF(AND($EP$2&lt;&gt;"Enter Spend&gt;&gt;&gt;",EQ2="EXISTING"),SUMIFS('Existing Customers'!$O:$O,'Existing Customers'!$H:$H,$EO24,'Existing Customers'!$A:$A,$EP$1)*$EP$4,$EQ24*$EP$8),0)</f>
        <v>0</v>
      </c>
      <c r="ES24" s="95">
        <f>IFERROR(IF(AND($EP$2&lt;&gt;"Enter Spend&gt;&gt;&gt;",EQ2="EXISTING"),SUMIFS('Existing Customers'!$P:$P,'Existing Customers'!$A:$A,$EP$1,'Existing Customers'!$H:$H,$EO24)*$EP$4,$EP24/$FB24),0)</f>
        <v>0</v>
      </c>
      <c r="ET24" s="96">
        <f>IFERROR(IF(AND($EP$2&lt;&gt;"Enter Spend&gt;&gt;&gt;",EQ2="EXISTING"),SUMIFS('Existing Customers'!$V:$V,'Existing Customers'!$H:$H,$EO24,'Existing Customers'!$A:$A,$EP$1)*$EP$4,0),0)</f>
        <v>0</v>
      </c>
      <c r="EU24" s="96">
        <f>IFERROR(IF(AND($EP$2&lt;&gt;"Enter Spend&gt;&gt;&gt;",EQ2="EXISTING"),SUMIFS('Existing Customers'!$R:$R,'Existing Customers'!$H:$H,$EO24,'Existing Customers'!$A:$A,$EP$1)*$EP$4,0),0)</f>
        <v>0</v>
      </c>
      <c r="EV24" s="1161">
        <f>IFERROR(IF(AND($EP$2&lt;&gt;"Enter Spend&gt;&gt;&gt;",EQ2="EXISTING"),SUMIFS('Existing Customers'!$S:$S,'Existing Customers'!$H:$H,$EO24,'Existing Customers'!$A:$A,$EP$1),FF24*EP24),0)</f>
        <v>0</v>
      </c>
      <c r="EW24" s="1161">
        <f>IFERROR(IF(AND($EP$2&lt;&gt;"Enter Spend&gt;&gt;&gt;",EQ2="EXISTING"),SUMIFS('Existing Customers'!$U:$U,'Existing Customers'!$H:$H,$EO24,'Existing Customers'!$A:$A,$EP$1),FG24*EP24),0)</f>
        <v>0</v>
      </c>
      <c r="EX24" s="1164" t="e">
        <f t="shared" si="39"/>
        <v>#N/A</v>
      </c>
      <c r="EY24" s="1164">
        <f t="array" ref="EY24">IFERROR(INDEX('Margin Guidence Table'!$A$1:$AG$10000,MATCH(1,('Margin Guidence Table'!$A$1:$A$10000=EX24)*('Margin Guidence Table'!$I$1:$I$10000&lt;=ROUND($EP$3,0))*('Margin Guidence Table'!$J$1:$J$10000&gt;=ROUND($EP$3,0)),0),MATCH("DATA_POINTS",'Margin Guidence Table'!$A$1:$AG$1,0)),0)</f>
        <v>0</v>
      </c>
      <c r="EZ24" s="1161" t="str">
        <f t="shared" si="40"/>
        <v>DEFAULT</v>
      </c>
      <c r="FA24" s="116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16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16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16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16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16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16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16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9"/>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96" t="e">
        <f t="shared" si="41"/>
        <v>#DIV/0!</v>
      </c>
      <c r="FL24" s="102" t="s">
        <v>97</v>
      </c>
      <c r="FM24" s="94">
        <f>IFERROR(IF(AND($FM$2&lt;&gt;"Enter Spend&gt;&gt;&gt;",FN12="EXISTING"),SUMIFS('Existing Customers'!$Q:$Q,'Existing Customers'!$A:$A,$FM$1,'Existing Customers'!$H:$H,$FL24)*$FM$4,$FM$3*$FK24),0)</f>
        <v>0</v>
      </c>
      <c r="FN24" s="89">
        <f>IFERROR(IF(AND($FM$2&lt;&gt;"Enter Spend&gt;&gt;&gt;",FN2="EXISTING"),SUMIFS('Existing Customers'!$N:$N,'Existing Customers'!$A:$A,$FM$1,'Existing Customers'!$H:$H,$FL24)*$FM$4,$FM24/$FX24),0)</f>
        <v>0</v>
      </c>
      <c r="FO24" s="95">
        <f>IFERROR(IF(AND($FM$2&lt;&gt;"Enter Spend&gt;&gt;&gt;",FN2="EXISTING"),SUMIFS('Existing Customers'!$O:$O,'Existing Customers'!$H:$H,$FL24,'Existing Customers'!$A:$A,$FM$1)*$FM$4,$FN24*$FM$8),0)</f>
        <v>0</v>
      </c>
      <c r="FP24" s="95">
        <f>IFERROR(IF(AND($FM$2&lt;&gt;"Enter Spend&gt;&gt;&gt;",FN2="EXISTING"),SUMIFS('Existing Customers'!$P:$P,'Existing Customers'!$A:$A,$FM$1,'Existing Customers'!$H:$H,$FL24)*$FM$4,$FM24/$FY24),0)</f>
        <v>0</v>
      </c>
      <c r="FQ24" s="96">
        <f>IFERROR(IF(AND($FM$2&lt;&gt;"Enter Spend&gt;&gt;&gt;",FN2="EXISTING"),SUMIFS('Existing Customers'!$V:$V,'Existing Customers'!$H:$H,$FL24,'Existing Customers'!$A:$A,$FM$1)*$FM$4,0),0)</f>
        <v>0</v>
      </c>
      <c r="FR24" s="96">
        <f>IFERROR(IF(AND($FM$2&lt;&gt;"Enter Spend&gt;&gt;&gt;",FN2="EXISTING"),SUMIFS('Existing Customers'!$R:$R,'Existing Customers'!$H:$H,$FL24,'Existing Customers'!$A:$A,$FM$1)*$FM$4,0),0)</f>
        <v>0</v>
      </c>
      <c r="FS24" s="1161">
        <f>IFERROR(IF(AND($FM$2&lt;&gt;"Enter Spend&gt;&gt;&gt;",FN2="EXISTING"),SUMIFS('Existing Customers'!$S:$S,'Existing Customers'!$H:$H,$FL24,'Existing Customers'!$A:$A,$FM$1),GC24*FM24),0)</f>
        <v>0</v>
      </c>
      <c r="FT24" s="1161">
        <f>IFERROR(IF(AND($FM$2&lt;&gt;"Enter Spend&gt;&gt;&gt;",FN2="EXISTING"),SUMIFS('Existing Customers'!$U:$U,'Existing Customers'!$H:$H,$FL24,'Existing Customers'!$A:$A,$FM$1),GD24*FM24),0)</f>
        <v>0</v>
      </c>
      <c r="FU24" s="1164" t="e">
        <f t="shared" si="42"/>
        <v>#N/A</v>
      </c>
      <c r="FV24" s="1164">
        <f t="array" ref="FV24">IFERROR(INDEX('Margin Guidence Table'!$A$1:$AG$10000,MATCH(1,('Margin Guidence Table'!$A$1:$A$10000=FU24)*('Margin Guidence Table'!$I$1:$I$10000&lt;=ROUND($FM$3,0))*('Margin Guidence Table'!$J$1:$J$10000&gt;=ROUND($FM$3,0)),0),MATCH("DATA_POINTS",'Margin Guidence Table'!$A$1:$AG$1,0)),0)</f>
        <v>0</v>
      </c>
      <c r="FW24" s="1161" t="str">
        <f t="shared" si="43"/>
        <v>DEFAULT</v>
      </c>
      <c r="FX24" s="116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16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16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16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16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16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16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16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9"/>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96" t="e">
        <f t="shared" si="44"/>
        <v>#DIV/0!</v>
      </c>
      <c r="GI24" s="102" t="s">
        <v>97</v>
      </c>
      <c r="GJ24" s="94">
        <f>IFERROR(IF(AND($GJ$2&lt;&gt;"Enter Spend&gt;&gt;&gt;",GK12="EXISTING"),SUMIFS('Existing Customers'!$Q:$Q,'Existing Customers'!$A:$A,$GJ$1,'Existing Customers'!$H:$H,$GI24)*$GJ$4,$GJ$3*$GH24),0)</f>
        <v>0</v>
      </c>
      <c r="GK24" s="89">
        <f>IFERROR(IF(AND($GJ$2&lt;&gt;"Enter Spend&gt;&gt;&gt;",GK2="EXISTING"),SUMIFS('Existing Customers'!$N:$N,'Existing Customers'!$A:$A,$GJ$1,'Existing Customers'!$H:$H,$GI24)*$GJ$4,$GJ24/$GU24),0)</f>
        <v>0</v>
      </c>
      <c r="GL24" s="95">
        <f>IFERROR(IF(AND($GJ$2&lt;&gt;"Enter Spend&gt;&gt;&gt;",GK2="EXISTING"),SUMIFS('Existing Customers'!$O:$O,'Existing Customers'!$H:$H,$GI24,'Existing Customers'!$A:$A,$GJ$1)*$GJ$4,$GK24*$GJ$8),0)</f>
        <v>0</v>
      </c>
      <c r="GM24" s="95">
        <f>IFERROR(IF(AND($GJ$2&lt;&gt;"Enter Spend&gt;&gt;&gt;",GK2="EXISTING"),SUMIFS('Existing Customers'!$P:$P,'Existing Customers'!$A:$A,$GJ$1,'Existing Customers'!$H:$H,$GI24)*$GJ$4,$GJ24/$GV24),0)</f>
        <v>0</v>
      </c>
      <c r="GN24" s="96">
        <f>IFERROR(IF(AND($GJ$2&lt;&gt;"Enter Spend&gt;&gt;&gt;",GK2="EXISTING"),SUMIFS('Existing Customers'!$V:$V,'Existing Customers'!$H:$H,$GI24,'Existing Customers'!$A:$A,$GJ$1)*$GJ$4,0),0)</f>
        <v>0</v>
      </c>
      <c r="GO24" s="96">
        <f>IFERROR(IF(AND($GJ$2&lt;&gt;"Enter Spend&gt;&gt;&gt;",GK2="EXISTING"),SUMIFS('Existing Customers'!$R:$R,'Existing Customers'!$H:$H,$GI24,'Existing Customers'!$A:$A,$GJ$1)*$GJ$4,0),0)</f>
        <v>0</v>
      </c>
      <c r="GP24" s="1161">
        <f>IFERROR(IF(AND($GJ$2&lt;&gt;"Enter Spend&gt;&gt;&gt;",GK2="EXISTING"),SUMIFS('Existing Customers'!$S:$S,'Existing Customers'!$H:$H,$GI24,'Existing Customers'!$A:$A,$GJ$1),GZ24*GJ24),0)</f>
        <v>0</v>
      </c>
      <c r="GQ24" s="1161">
        <f>IFERROR(IF(AND($GJ$2&lt;&gt;"Enter Spend&gt;&gt;&gt;",GK2="EXISTING"),SUMIFS('Existing Customers'!$U:$U,'Existing Customers'!$H:$H,$GI24,'Existing Customers'!$A:$A,$GJ$1),HA24*GJ24),0)</f>
        <v>0</v>
      </c>
      <c r="GR24" s="1164" t="e">
        <f t="shared" si="45"/>
        <v>#N/A</v>
      </c>
      <c r="GS24" s="1164">
        <f t="array" ref="GS24">IFERROR(INDEX('Margin Guidence Table'!$A$1:$AG$10000,MATCH(1,('Margin Guidence Table'!$A$1:$A$10000=GR24)*('Margin Guidence Table'!$I$1:$I$10000&lt;=ROUND($GJ$3,0))*('Margin Guidence Table'!$J$1:$J$10000&gt;=ROUND($GJ$3,0)),0),MATCH("DATA_POINTS",'Margin Guidence Table'!$A$1:$AG$1,0)),0)</f>
        <v>0</v>
      </c>
      <c r="GT24" s="1161" t="str">
        <f t="shared" si="46"/>
        <v>DEFAULT</v>
      </c>
      <c r="GU24" s="116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16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16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16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16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16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16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16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9"/>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96" t="e">
        <f t="shared" si="47"/>
        <v>#DIV/0!</v>
      </c>
      <c r="HF24" s="102" t="s">
        <v>97</v>
      </c>
      <c r="HG24" s="94">
        <f>IFERROR(IF(AND($HG$2&lt;&gt;"Enter Spend&gt;&gt;&gt;",HH12="EXISTING"),SUMIFS('Existing Customers'!$Q:$Q,'Existing Customers'!$A:$A,$HG$1,'Existing Customers'!$H:$H,$HF24)*$HG$4,$HG$3*$HE24),0)</f>
        <v>0</v>
      </c>
      <c r="HH24" s="89">
        <f>IFERROR(IF(AND($HG$2&lt;&gt;"Enter Spend&gt;&gt;&gt;",HH2="EXISTING"),SUMIFS('Existing Customers'!$N:$N,'Existing Customers'!$A:$A,$HG$1,'Existing Customers'!$H:$H,$HF24)*$HG$4,$HG24/$HR24),0)</f>
        <v>0</v>
      </c>
      <c r="HI24" s="95">
        <f>IFERROR(IF(AND($HG$2&lt;&gt;"Enter Spend&gt;&gt;&gt;",HH2="EXISTING"),SUMIFS('Existing Customers'!$O:$O,'Existing Customers'!$H:$H,$HF24,'Existing Customers'!$A:$A,$HG$1)*$HG$4,$HH24*$HG$8),0)</f>
        <v>0</v>
      </c>
      <c r="HJ24" s="95">
        <f>IFERROR(IF(AND($HG$2&lt;&gt;"Enter Spend&gt;&gt;&gt;",HH2="EXISTING"),SUMIFS('Existing Customers'!$P:$P,'Existing Customers'!$A:$A,$HG$1,'Existing Customers'!$H:$H,$HF24)*$HG$4,$HG24/$HS24),0)</f>
        <v>0</v>
      </c>
      <c r="HK24" s="96">
        <f>IFERROR(IF(AND($HG$2&lt;&gt;"Enter Spend&gt;&gt;&gt;",HH2="EXISTING"),SUMIFS('Existing Customers'!$V:$V,'Existing Customers'!$H:$H,$HF24,'Existing Customers'!$A:$A,$HG$1)*$HG$4,0),0)</f>
        <v>0</v>
      </c>
      <c r="HL24" s="96">
        <f>IFERROR(IF(AND($HG$2&lt;&gt;"Enter Spend&gt;&gt;&gt;",HH2="EXISTING"),SUMIFS('Existing Customers'!$R:$R,'Existing Customers'!$H:$H,$HF24,'Existing Customers'!$A:$A,$HG$1)*$HG$4,0),0)</f>
        <v>0</v>
      </c>
      <c r="HM24" s="1161">
        <f>IFERROR(IF(AND($HG$2&lt;&gt;"Enter Spend&gt;&gt;&gt;",HH2="EXISTING"),SUMIFS('Existing Customers'!$S:$S,'Existing Customers'!$H:$H,$HF24,'Existing Customers'!$A:$A,$HG$1),HW24*HG24),0)</f>
        <v>0</v>
      </c>
      <c r="HN24" s="1161">
        <f>IFERROR(IF(AND($HG$2&lt;&gt;"Enter Spend&gt;&gt;&gt;",HH2="EXISTING"),SUMIFS('Existing Customers'!$U:$U,'Existing Customers'!$H:$H,$HF24,'Existing Customers'!$A:$A,$HG$1),HX24*HG24),0)</f>
        <v>0</v>
      </c>
      <c r="HO24" s="1164" t="e">
        <f t="shared" si="48"/>
        <v>#N/A</v>
      </c>
      <c r="HP24" s="1164">
        <f t="array" ref="HP24">IFERROR(INDEX('Margin Guidence Table'!$A$1:$AG$10000,MATCH(1,('Margin Guidence Table'!$A$1:$A$10000=HO24)*('Margin Guidence Table'!$I$1:$I$10000&lt;=ROUND($HG$3,0))*('Margin Guidence Table'!$J$1:$J$10000&gt;=ROUND($HG$3,0)),0),MATCH("DATA_POINTS",'Margin Guidence Table'!$A$1:$AG$1,0)),0)</f>
        <v>0</v>
      </c>
      <c r="HQ24" s="1161" t="str">
        <f t="shared" si="49"/>
        <v>DEFAULT</v>
      </c>
      <c r="HR24" s="116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16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16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16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16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16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16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16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9"/>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96" t="e">
        <f t="shared" si="50"/>
        <v>#DIV/0!</v>
      </c>
      <c r="IC24" s="102" t="s">
        <v>97</v>
      </c>
      <c r="ID24" s="94">
        <f>IFERROR(IF(AND($ID$2&lt;&gt;"Enter Spend&gt;&gt;&gt;",IE12="EXISTING"),SUMIFS('Existing Customers'!$Q:$Q,'Existing Customers'!$A:$A,$ID$1,'Existing Customers'!$H:$H,$IC24)*$ID$4,$ID$3*$IB24),0)</f>
        <v>0</v>
      </c>
      <c r="IE24" s="89">
        <f>IFERROR(IF(AND($ID$2&lt;&gt;"Enter Spend&gt;&gt;&gt;",IE2="EXISTING"),SUMIFS('Existing Customers'!$N:$N,'Existing Customers'!$A:$A,$ID$1,'Existing Customers'!$H:$H,$IC24)*$ID$4,$ID24/$IO24),0)</f>
        <v>0</v>
      </c>
      <c r="IF24" s="95">
        <f>IFERROR(IF(AND($ID$2&lt;&gt;"Enter Spend&gt;&gt;&gt;",IE2="EXISTING"),SUMIFS('Existing Customers'!$O:$O,'Existing Customers'!$H:$H,$IC24,'Existing Customers'!$A:$A,$ID$1)*$ID$4,$IE24*$ID$8),0)</f>
        <v>0</v>
      </c>
      <c r="IG24" s="95">
        <f>IFERROR(IF(AND($ID$2&lt;&gt;"Enter Spend&gt;&gt;&gt;",IE2="EXISTING"),SUMIFS('Existing Customers'!$P:$P,'Existing Customers'!$A:$A,$ID$1,'Existing Customers'!$H:$H,$IC24)*$ID$4,$ID24/$IP24),0)</f>
        <v>0</v>
      </c>
      <c r="IH24" s="402">
        <f>IFERROR(IF(AND($ID$2&lt;&gt;"Enter Spend&gt;&gt;&gt;",IE2="EXISTING"),SUMIFS('Existing Customers'!$V:$V,'Existing Customers'!$H:$H,$IC24,'Existing Customers'!$A:$A,$ID$1)*$ID$4,0),0)</f>
        <v>0</v>
      </c>
      <c r="II24" s="96">
        <f>IFERROR(IF(AND($ID$2&lt;&gt;"Enter Spend&gt;&gt;&gt;",IE2="EXISTING"),SUMIFS('Existing Customers'!$R:$R,'Existing Customers'!$H:$H,$IC24,'Existing Customers'!$A:$A,$ID$1)*$ID$4,0),0)</f>
        <v>0</v>
      </c>
      <c r="IJ24" s="1161">
        <f>IFERROR(IF(AND($ID$2&lt;&gt;"Enter Spend&gt;&gt;&gt;",IE2="EXISTING"),SUMIFS('Existing Customers'!$S:$S,'Existing Customers'!$H:$H,$IC24,'Existing Customers'!$A:$A,$ID$1),IT24*ID24),0)</f>
        <v>0</v>
      </c>
      <c r="IK24" s="1161">
        <f>IFERROR(IF(AND($ID$2&lt;&gt;"Enter Spend&gt;&gt;&gt;",IE2="EXISTING"),SUMIFS('Existing Customers'!$U:$U,'Existing Customers'!$H:$H,$IC24,'Existing Customers'!$A:$A,$ID$1),IU24*ID24),0)</f>
        <v>0</v>
      </c>
      <c r="IL24" s="1164" t="e">
        <f t="shared" si="51"/>
        <v>#N/A</v>
      </c>
      <c r="IM24" s="1164">
        <f t="array" ref="IM24">IFERROR(INDEX('Margin Guidence Table'!$A$1:$AG$10000,MATCH(1,('Margin Guidence Table'!$A$1:$A$10000=IL24)*('Margin Guidence Table'!$I$1:$I$10000&lt;=ROUND($ID$3,0))*('Margin Guidence Table'!$J$1:$J$10000&gt;=ROUND($ID$3,0)),0),MATCH("DATA_POINTS",'Margin Guidence Table'!$A$1:$AG$1,0)),0)</f>
        <v>0</v>
      </c>
      <c r="IN24" s="1161" t="str">
        <f t="shared" si="52"/>
        <v>DEFAULT</v>
      </c>
      <c r="IO24" s="116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16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16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16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16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16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16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16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9"/>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96" t="e">
        <f t="shared" si="53"/>
        <v>#DIV/0!</v>
      </c>
      <c r="IZ24" s="102" t="s">
        <v>97</v>
      </c>
      <c r="JA24" s="94">
        <f>IFERROR(IF(AND($JA$2&lt;&gt;"Enter Spend&gt;&gt;&gt;",JB12="EXISTING"),SUMIFS('Existing Customers'!$Q:$Q,'Existing Customers'!$A:$A,$JA$1,'Existing Customers'!$H:$H,$IZ24)*$JA$4,$JA$3*$IY24),0)</f>
        <v>0</v>
      </c>
      <c r="JB24" s="89">
        <f>IFERROR(IF(AND($JA$2&lt;&gt;"Enter Spend&gt;&gt;&gt;",JB2="EXISTING"),SUMIFS('Existing Customers'!$N:$N,'Existing Customers'!$A:$A,$JA$1,'Existing Customers'!$H:$H,$IZ24)*$JA$4,$JA24/$JL24),0)</f>
        <v>0</v>
      </c>
      <c r="JC24" s="95">
        <f>IFERROR(IF(AND($JA$2&lt;&gt;"Enter Spend&gt;&gt;&gt;",JB2="EXISTING"),SUMIFS('Existing Customers'!$O:$O,'Existing Customers'!$H:$H,$IZ24,'Existing Customers'!$A:$A,$JA$1)*$JA$4,$JB24*$JA$8),0)</f>
        <v>0</v>
      </c>
      <c r="JD24" s="95">
        <f>IFERROR(IF(AND($JA$2&lt;&gt;"Enter Spend&gt;&gt;&gt;",JB2="EXISTING"),SUMIFS('Existing Customers'!$P:$P,'Existing Customers'!$A:$A,$JA$1,'Existing Customers'!$H:$H,$IZ24)*$JA$4,$JA24/$JM24),0)</f>
        <v>0</v>
      </c>
      <c r="JE24" s="402">
        <f>IFERROR(IF(AND($JA$2&lt;&gt;"Enter Spend&gt;&gt;&gt;",JB2="EXISTING"),SUMIFS('Existing Customers'!$V:$V,'Existing Customers'!$H:$H,$IZ24,'Existing Customers'!$A:$A,$JA$1)*$JA$4,0),0)</f>
        <v>0</v>
      </c>
      <c r="JF24" s="96">
        <f>IFERROR(IF(AND($JA$2&lt;&gt;"Enter Spend&gt;&gt;&gt;",JB2="EXISTING"),SUMIFS('Existing Customers'!$R:$R,'Existing Customers'!$H:$H,$IZ24,'Existing Customers'!$A:$A,$JA$1)*$JA$4,0),0)</f>
        <v>0</v>
      </c>
      <c r="JG24" s="1161">
        <f>IFERROR(IF(AND($JA$2&lt;&gt;"Enter Spend&gt;&gt;&gt;",JB2="EXISTING"),SUMIFS('Existing Customers'!$S:$S,'Existing Customers'!$H:$H,$IZ24,'Existing Customers'!$A:$A,$JA$1),JQ24*JA24),0)</f>
        <v>0</v>
      </c>
      <c r="JH24" s="1161">
        <f>IFERROR(IF(AND($JA$2&lt;&gt;"Enter Spend&gt;&gt;&gt;",JB2="EXISTING"),SUMIFS('Existing Customers'!$U:$U,'Existing Customers'!$H:$H,$IZ24,'Existing Customers'!$A:$A,$JA$1),JR24*JA24),0)</f>
        <v>0</v>
      </c>
      <c r="JI24" s="1164" t="e">
        <f t="shared" si="54"/>
        <v>#N/A</v>
      </c>
      <c r="JJ24" s="1164">
        <f t="array" ref="JJ24">IFERROR(INDEX('Margin Guidence Table'!$A$1:$AG$10000,MATCH(1,('Margin Guidence Table'!$A$1:$A$10000=JI24)*('Margin Guidence Table'!$I$1:$I$10000&lt;=ROUND($JA$3,0))*('Margin Guidence Table'!$J$1:$J$10000&gt;=ROUND($JA$3,0)),0),MATCH("DATA_POINTS",'Margin Guidence Table'!$A$1:$AG$1,0)),0)</f>
        <v>0</v>
      </c>
      <c r="JK24" s="1161" t="str">
        <f t="shared" si="55"/>
        <v>DEFAULT</v>
      </c>
      <c r="JL24" s="116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16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16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16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16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16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16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16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2" t="s">
        <v>97</v>
      </c>
      <c r="JV24" s="97"/>
      <c r="JW24" s="89"/>
      <c r="JX24" s="89"/>
      <c r="JY24" s="89"/>
      <c r="JZ24" s="114"/>
      <c r="KA24" s="98"/>
      <c r="KB24" s="129"/>
      <c r="KD24" s="102" t="s">
        <v>97</v>
      </c>
      <c r="KE24" s="97"/>
      <c r="KF24" s="89"/>
      <c r="KG24" s="89"/>
      <c r="KH24" s="89"/>
      <c r="KI24" s="114"/>
      <c r="KJ24" s="98"/>
    </row>
    <row r="25" spans="2:296" ht="15.75" thickBot="1" x14ac:dyDescent="0.3">
      <c r="B25" s="102" t="s">
        <v>93</v>
      </c>
      <c r="C25" s="480">
        <f t="shared" si="11"/>
        <v>0</v>
      </c>
      <c r="D25" s="496">
        <f t="shared" si="12"/>
        <v>0</v>
      </c>
      <c r="E25" s="496">
        <f t="shared" si="13"/>
        <v>0</v>
      </c>
      <c r="F25" s="496">
        <f t="shared" si="14"/>
        <v>0</v>
      </c>
      <c r="G25" s="497">
        <f t="shared" si="15"/>
        <v>0</v>
      </c>
      <c r="H25" s="496">
        <f t="shared" si="16"/>
        <v>0</v>
      </c>
      <c r="I25" s="1157" t="e">
        <f t="shared" si="0"/>
        <v>#DIV/0!</v>
      </c>
      <c r="J25" s="1157" t="e">
        <f t="shared" si="1"/>
        <v>#DIV/0!</v>
      </c>
      <c r="K25" s="1157" t="e">
        <f t="shared" si="2"/>
        <v>#DIV/0!</v>
      </c>
      <c r="L25" s="496" t="e">
        <f t="shared" si="3"/>
        <v>#DIV/0!</v>
      </c>
      <c r="M25" s="496" t="e">
        <f t="shared" si="17"/>
        <v>#DIV/0!</v>
      </c>
      <c r="N25" s="1158" t="e">
        <f t="shared" si="4"/>
        <v>#DIV/0!</v>
      </c>
      <c r="P25" t="str">
        <f>'PIM Model'!E21</f>
        <v>INCLUDE</v>
      </c>
      <c r="Q25">
        <f>IFERROR(T25/$T$35,0)</f>
        <v>0</v>
      </c>
      <c r="R25">
        <f t="shared" si="19"/>
        <v>0</v>
      </c>
      <c r="S25" s="102" t="s">
        <v>93</v>
      </c>
      <c r="T25" s="97">
        <f t="shared" si="20"/>
        <v>0</v>
      </c>
      <c r="U25" s="89">
        <f t="shared" si="5"/>
        <v>0</v>
      </c>
      <c r="V25" s="89">
        <f t="shared" si="6"/>
        <v>0</v>
      </c>
      <c r="W25" s="89">
        <f t="shared" si="7"/>
        <v>0</v>
      </c>
      <c r="X25" s="114">
        <f t="shared" si="8"/>
        <v>0</v>
      </c>
      <c r="Y25" s="117">
        <f t="shared" si="21"/>
        <v>0</v>
      </c>
      <c r="Z25" s="400"/>
      <c r="AA25" s="102" t="s">
        <v>93</v>
      </c>
      <c r="AB25" s="484">
        <f t="shared" si="9"/>
        <v>0</v>
      </c>
      <c r="AC25" s="485">
        <f t="shared" si="9"/>
        <v>0</v>
      </c>
      <c r="AD25" s="485">
        <f t="shared" si="9"/>
        <v>0</v>
      </c>
      <c r="AE25" s="486">
        <f t="shared" si="22"/>
        <v>0</v>
      </c>
      <c r="AF25" s="487">
        <f t="shared" si="23"/>
        <v>0</v>
      </c>
      <c r="AG25" s="400"/>
      <c r="AH25" s="102" t="s">
        <v>93</v>
      </c>
      <c r="AI25" s="484">
        <f t="shared" si="10"/>
        <v>0</v>
      </c>
      <c r="AJ25" s="481">
        <f t="shared" si="24"/>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400" t="e">
        <f t="shared" si="25"/>
        <v>#DIV/0!</v>
      </c>
      <c r="AR25">
        <f>'PIM Model'!C21</f>
        <v>0</v>
      </c>
      <c r="AS25" s="400"/>
      <c r="AT25" s="400"/>
      <c r="AU25" s="400" t="e">
        <f t="shared" si="56"/>
        <v>#DIV/0!</v>
      </c>
      <c r="AV25" s="400"/>
      <c r="AW25" s="400"/>
      <c r="AX25" s="108">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96" t="e">
        <f t="shared" si="26"/>
        <v>#DIV/0!</v>
      </c>
      <c r="BA25" s="102" t="s">
        <v>93</v>
      </c>
      <c r="BB25" s="94">
        <f>IFERROR(IF(AND($BB$2&lt;&gt;"Enter Spend&gt;&gt;&gt;",BC13="EXISTING"),SUMIFS('Existing Customers'!$Q:$Q,'Existing Customers'!$A:$A,$BB$1,'Existing Customers'!$H:$H,$BA25)*$BB$4,$BB$3*$AZ25),0)</f>
        <v>0</v>
      </c>
      <c r="BC25" s="95">
        <f>IFERROR(IF(AND($BB$2&lt;&gt;"Enter Spend&gt;&gt;&gt;",BC2="EXISTING"),SUMIFS('Existing Customers'!$N:$N,'Existing Customers'!$A:$A,$BB$1,'Existing Customers'!$H:$H,$BA25)*$BB$4,$BB25/$BM25),0)</f>
        <v>0</v>
      </c>
      <c r="BD25" s="95">
        <f>IFERROR(IF(AND($BB$2&lt;&gt;"Enter Spend&gt;&gt;&gt;",BC2="EXISTING"),SUMIFS('Existing Customers'!$O:$O,'Existing Customers'!$H:$H,$BA25,'Existing Customers'!$A:$A,$BB$1)*$BB$4,$BC25*$BB$8),0)</f>
        <v>0</v>
      </c>
      <c r="BE25" s="95">
        <f>IFERROR(IF(AND($BB$2&lt;&gt;"Enter Spend&gt;&gt;&gt;",BC2="EXISTING"),SUMIFS('Existing Customers'!$P:$P,'Existing Customers'!$A:$A,$BB$1,'Existing Customers'!$H:$H,$BA25)*$BB$4,$BB25/$BN25),0)</f>
        <v>0</v>
      </c>
      <c r="BF25" s="402">
        <f>IFERROR(IF(AND($BB$2&lt;&gt;"Enter Spend&gt;&gt;&gt;",BC2="EXISTING"),SUMIFS('Existing Customers'!$V:$V,'Existing Customers'!$H:$H,$BA25,'Existing Customers'!$A:$A,$BB$1)*$BB$4,0),0)</f>
        <v>0</v>
      </c>
      <c r="BG25" s="96">
        <f>IFERROR(IF(AND($BB$2&lt;&gt;"Enter Spend&gt;&gt;&gt;",BC2="EXISTING"),SUMIFS('Existing Customers'!$R:$R,'Existing Customers'!$H:$H,$BA25,'Existing Customers'!$A:$A,$BB$1)*$BB$4,0),0)</f>
        <v>0</v>
      </c>
      <c r="BH25" s="96">
        <f>IFERROR(IF(AND($BB$2&lt;&gt;"Enter Spend&gt;&gt;&gt;",BC2="EXISTING"),SUMIFS('Existing Customers'!$S:$S,'Existing Customers'!$H:$H,$BA25,'Existing Customers'!$A:$A,$BB$1),BR25*BB25),0)</f>
        <v>0</v>
      </c>
      <c r="BI25" s="96">
        <f>IFERROR(IF(AND($BB$2&lt;&gt;"Enter Spend&gt;&gt;&gt;",BC2="EXISTING"),SUMIFS('Existing Customers'!$U:$U,'Existing Customers'!$H:$H,$BA25,'Existing Customers'!$A:$A,$BB$1),BS25*BB25),0)</f>
        <v>0</v>
      </c>
      <c r="BJ25" s="1163" t="e">
        <f t="shared" si="27"/>
        <v>#N/A</v>
      </c>
      <c r="BK25" s="1164">
        <f t="array" ref="BK25">IFERROR(INDEX('Margin Guidence Table'!$A$1:$AG$10000,MATCH(1,('Margin Guidence Table'!$A$1:$A$10000=$BJ25)*('Margin Guidence Table'!$I$1:$I$10000&lt;=ROUND($BB$3,0))*('Margin Guidence Table'!$J$1:$J$10000&gt;=ROUND($BB$3,0)),0),MATCH("DATA_POINTS",'Margin Guidence Table'!$A$1:$AG$1,0)),0)</f>
        <v>0</v>
      </c>
      <c r="BL25" s="1161" t="str">
        <f t="shared" si="28"/>
        <v>DEFAULT</v>
      </c>
      <c r="BM25" s="116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16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16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16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16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16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16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16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9"/>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96" t="e">
        <f t="shared" si="29"/>
        <v>#DIV/0!</v>
      </c>
      <c r="BX25" s="102" t="s">
        <v>93</v>
      </c>
      <c r="BY25" s="94">
        <f>IFERROR(IF(AND($BY$2&lt;&gt;"Enter Spend&gt;&gt;&gt;",BZ13="EXISTING"),SUMIFS('Existing Customers'!$Q:$Q,'Existing Customers'!$A:$A,$BY$1,'Existing Customers'!$H:$H,$BX25)*$BY$4,$BY$3*$BW25),0)</f>
        <v>0</v>
      </c>
      <c r="BZ25" s="89">
        <f>IFERROR(IF(AND($BY$2&lt;&gt;"Enter Spend&gt;&gt;&gt;",BZ2="EXISTING"),SUMIFS('Existing Customers'!$N:$N,'Existing Customers'!$A:$A,$BY$1,'Existing Customers'!$H:$H,$BX25)*$BY$4,$BY25/$CJ25),0)</f>
        <v>0</v>
      </c>
      <c r="CA25" s="95">
        <f>IFERROR(IF(AND($BY$2&lt;&gt;"Enter Spend&gt;&gt;&gt;",BZ2="EXISTING"),SUMIFS('Existing Customers'!$O:$O,'Existing Customers'!$H:$H,$BX25,'Existing Customers'!$A:$A,$BY$1)*$BY$4,$BZ25*$BY$8),0)</f>
        <v>0</v>
      </c>
      <c r="CB25" s="95">
        <f>IFERROR(IF(AND($BY$2&lt;&gt;"Enter Spend&gt;&gt;&gt;",BZ2="EXISTING"),SUMIFS('Existing Customers'!$P:$P,'Existing Customers'!$A:$A,$BY$1,'Existing Customers'!$H:$H,$BX25)*$BY$4,$BY25/$CK25),0)</f>
        <v>0</v>
      </c>
      <c r="CC25" s="96">
        <f>IFERROR(IF(AND($BY$2&lt;&gt;"Enter Spend&gt;&gt;&gt;",BZ2="EXISTING"),SUMIFS('Existing Customers'!$V:$V,'Existing Customers'!$H:$H,$BX25,'Existing Customers'!$A:$A,$BY$1)*$BY$4,0),0)</f>
        <v>0</v>
      </c>
      <c r="CD25" s="96">
        <f>IFERROR(IF(AND($BY$2&lt;&gt;"Enter Spend&gt;&gt;&gt;",BZ2="EXISTING"),SUMIFS('Existing Customers'!$R:$R,'Existing Customers'!$H:$H,$BX25,'Existing Customers'!$A:$A,$BY$1)*$BY$4,0),0)</f>
        <v>0</v>
      </c>
      <c r="CE25" s="1161">
        <f>IFERROR(IF(AND($BY$2&lt;&gt;"Enter Spend&gt;&gt;&gt;",BZ2="EXISTING"),SUMIFS('Existing Customers'!$S:$S,'Existing Customers'!$H:$H,$BX25,'Existing Customers'!$A:$A,$BY$1),CO25*BY25),0)</f>
        <v>0</v>
      </c>
      <c r="CF25" s="1161">
        <f>IFERROR(IF(AND($BY$2&lt;&gt;"Enter Spend&gt;&gt;&gt;",BZ2="EXISTING"),SUMIFS('Existing Customers'!$U:$U,'Existing Customers'!$H:$H,$BX25,'Existing Customers'!$A:$A,$BY$1),CP25*BY25),0)</f>
        <v>0</v>
      </c>
      <c r="CG25" s="1164" t="e">
        <f t="shared" si="30"/>
        <v>#N/A</v>
      </c>
      <c r="CH25" s="1164">
        <f t="array" ref="CH25">IFERROR(INDEX('Margin Guidence Table'!$A$1:$AG$10000,MATCH(1,('Margin Guidence Table'!$A$1:$A$10000=$CG25)*('Margin Guidence Table'!$I$1:$I$10000&lt;=ROUND($BY$3,0))*('Margin Guidence Table'!$J$1:$J$10000&gt;=ROUND($BY$3,0)),0),MATCH("DATA_POINTS",'Margin Guidence Table'!$A$1:$AG$1,0)),0)</f>
        <v>0</v>
      </c>
      <c r="CI25" s="1161" t="str">
        <f t="shared" si="31"/>
        <v>DEFAULT</v>
      </c>
      <c r="CJ25" s="116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16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16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16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16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16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16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16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9"/>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96" t="e">
        <f t="shared" si="32"/>
        <v>#DIV/0!</v>
      </c>
      <c r="CU25" s="102" t="s">
        <v>93</v>
      </c>
      <c r="CV25" s="94">
        <f>IFERROR(IF(AND($CV$2&lt;&gt;"Enter Spend&gt;&gt;&gt;",CW13="EXISTING"),SUMIFS('Existing Customers'!$Q:$Q,'Existing Customers'!$A:$A,$CV$1,'Existing Customers'!$H:$H,$CU25)*$CV$4,$CV$3*$CT25),0)</f>
        <v>0</v>
      </c>
      <c r="CW25" s="89">
        <f>IFERROR(IF(AND($CV$2&lt;&gt;"Enter Spend&gt;&gt;&gt;",CW2="EXISTING"),SUMIFS('Existing Customers'!$N:$N,'Existing Customers'!$A:$A,$CV$1,'Existing Customers'!$H:$H,$CU25)*$CV$4,$CV25/$DG25),0)</f>
        <v>0</v>
      </c>
      <c r="CX25" s="95">
        <f>IFERROR(IF(AND($CV$2&lt;&gt;"Enter Spend&gt;&gt;&gt;",BC28="EXISTING"),SUMIFS('Existing Customers'!$O:$O,'Existing Customers'!$H:$H,$CU25,'Existing Customers'!$A:$A,$CV$1)*$CV$4,$CW25*$CV$8),0)</f>
        <v>0</v>
      </c>
      <c r="CY25" s="95">
        <f>IFERROR(IF(AND($CV$2&lt;&gt;"Enter Spend&gt;&gt;&gt;",CW2="EXISTING"),SUMIFS('Existing Customers'!$P:$P,'Existing Customers'!$A:$A,$CV$1,'Existing Customers'!$H:$H,$CU25)*$CV$4,$CV25/$DH25),0)</f>
        <v>0</v>
      </c>
      <c r="CZ25" s="96">
        <f>IFERROR(IF(AND($CV$2&lt;&gt;"Enter Spend&gt;&gt;&gt;",CW2="EXISTING"),SUMIFS('Existing Customers'!$V:$V,'Existing Customers'!$H:$H,$CU25,'Existing Customers'!$A:$A,$CV$1)*$CV$4,0),0)</f>
        <v>0</v>
      </c>
      <c r="DA25" s="96">
        <f>IFERROR(IF(AND($CV$2&lt;&gt;"Enter Spend&gt;&gt;&gt;",CW2="EXISTING"),SUMIFS('Existing Customers'!$R:$R,'Existing Customers'!$H:$H,$BA25,'Existing Customers'!$A:$A,$CV$1)*$CV$4,0),0)</f>
        <v>0</v>
      </c>
      <c r="DB25" s="1161">
        <f>IFERROR(IF(AND($CV$2&lt;&gt;"Enter Spend&gt;&gt;&gt;",CW2="EXISTING"),SUMIFS('Existing Customers'!$S:$S,'Existing Customers'!$H:$H,$CU25,'Existing Customers'!$A:$A,$CV$1),DL25*CV25),0)</f>
        <v>0</v>
      </c>
      <c r="DC25" s="1161">
        <f>IFERROR(IF(AND($CV$2&lt;&gt;"Enter Spend&gt;&gt;&gt;",CW2="EXISTING"),SUMIFS('Existing Customers'!$U:$U,'Existing Customers'!$H:$H,$CU25,'Existing Customers'!$A:$A,$CV$1),DM25*CV25),0)</f>
        <v>0</v>
      </c>
      <c r="DD25" s="1164" t="e">
        <f t="shared" si="33"/>
        <v>#N/A</v>
      </c>
      <c r="DE25" s="1164">
        <f t="array" ref="DE25">IFERROR(INDEX('Margin Guidence Table'!$A$1:$AG$10000,MATCH(1,('Margin Guidence Table'!$A$1:$A$10000=DD25)*('Margin Guidence Table'!$I$1:$I$10000&lt;=ROUND($CV$3,0))*('Margin Guidence Table'!$J$1:$J$10000&gt;=ROUND($CV$3,0)),0),MATCH("DATA_POINTS",'Margin Guidence Table'!$A$1:$AG$1,0)),0)</f>
        <v>0</v>
      </c>
      <c r="DF25" s="1161" t="str">
        <f t="shared" si="34"/>
        <v>DEFAULT</v>
      </c>
      <c r="DG25" s="116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16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16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16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16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16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16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16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9"/>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96" t="e">
        <f t="shared" si="35"/>
        <v>#DIV/0!</v>
      </c>
      <c r="DR25" s="102" t="s">
        <v>93</v>
      </c>
      <c r="DS25" s="94">
        <f>IFERROR(IF(AND($DS$2&lt;&gt;"Enter Spend&gt;&gt;&gt;",DT13="EXISTING"),SUMIFS('Existing Customers'!$Q:$Q,'Existing Customers'!$A:$A,$DS$1,'Existing Customers'!$H:$H,$DR25)*$DS$4,$DS$3*$DQ25),0)</f>
        <v>0</v>
      </c>
      <c r="DT25" s="89">
        <f>IFERROR(IF(AND($DS$2&lt;&gt;"Enter Spend&gt;&gt;&gt;",DT2="EXISTING"),SUMIFS('Existing Customers'!$N:$N,'Existing Customers'!$A:$A,$DS$1,'Existing Customers'!$H:$H,$DR25)*$DS$4,$DS25/$ED25),0)</f>
        <v>0</v>
      </c>
      <c r="DU25" s="95">
        <f>IFERROR(IF(AND($DS$2&lt;&gt;"Enter Spend&gt;&gt;&gt;",DT2="EXISTING"),SUMIFS('Existing Customers'!$O:$O,'Existing Customers'!$H:$H,$DR25,'Existing Customers'!$A:$A,$DS$1)*$DS$4,$DT25*$DS$8),0)</f>
        <v>0</v>
      </c>
      <c r="DV25" s="95">
        <f>IFERROR(IF(AND($DS$2&lt;&gt;"Enter Spend&gt;&gt;&gt;",DT2="EXISTING"),SUMIFS('Existing Customers'!$P:$P,'Existing Customers'!$A:$A,$DS$1,'Existing Customers'!$H:$H,$DR25)*$DS$4,$DS25/$EE25),0)</f>
        <v>0</v>
      </c>
      <c r="DW25" s="96">
        <f>IFERROR(IF(AND($DS$2&lt;&gt;"Enter Spend&gt;&gt;&gt;",EQ2="EXISTING"),SUMIFS('Existing Customers'!$V:$V,'Existing Customers'!$H:$H,$DR25,'Existing Customers'!$A:$A,$DS$1)*$DS$4,0),0)</f>
        <v>0</v>
      </c>
      <c r="DX25" s="96">
        <f>IFERROR(IF(AND($DS$2&lt;&gt;"Enter Spend&gt;&gt;&gt;",DT2="EXISTING"),SUMIFS('Existing Customers'!$R:$R,'Existing Customers'!$H:$H,$DR25,'Existing Customers'!$A:$A,$DS$1)*$DS$4,0),0)</f>
        <v>0</v>
      </c>
      <c r="DY25" s="1161">
        <f>IFERROR(IF(AND($DS$2&lt;&gt;"Enter Spend&gt;&gt;&gt;",DT2="EXISTING"),SUMIFS('Existing Customers'!$S:$S,'Existing Customers'!$H:$H,$DT25,'Existing Customers'!$A:$A,$DS$1),EI25*DS25),0)</f>
        <v>0</v>
      </c>
      <c r="DZ25" s="1161">
        <f>IFERROR(IF(AND($DS$2&lt;&gt;"Enter Spend&gt;&gt;&gt;",DT2="EXISTING"),SUMIFS('Existing Customers'!$U:$U,'Existing Customers'!$H:$H,$DR25,'Existing Customers'!$A:$A,$DS$1),EJ25*DS25),0)</f>
        <v>0</v>
      </c>
      <c r="EA25" s="1164" t="e">
        <f t="shared" si="36"/>
        <v>#N/A</v>
      </c>
      <c r="EB25" s="1164">
        <f t="array" ref="EB25">IFERROR(INDEX('Margin Guidence Table'!$A$1:$AG$10000,MATCH(1,('Margin Guidence Table'!$A$1:$A$10000=EA25)*('Margin Guidence Table'!$I$1:$I$10000&lt;=ROUND($DS$3,0))*('Margin Guidence Table'!$J$1:$J$10000&gt;=ROUND($DS$3,0)),0),MATCH("DATA_POINTS",'Margin Guidence Table'!$A$1:$AG$1,0)),0)</f>
        <v>0</v>
      </c>
      <c r="EC25" s="1161" t="str">
        <f t="shared" si="37"/>
        <v>DEFAULT</v>
      </c>
      <c r="ED25" s="116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16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16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16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16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16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16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16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9"/>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96" t="e">
        <f t="shared" si="38"/>
        <v>#DIV/0!</v>
      </c>
      <c r="EO25" s="102" t="s">
        <v>93</v>
      </c>
      <c r="EP25" s="94">
        <f>IFERROR(IF(AND($EP$2&lt;&gt;"Enter Spend&gt;&gt;&gt;",EQ13="EXISTING"),SUMIFS('Existing Customers'!$Q:$Q,'Existing Customers'!$A:$A,$EP$1,'Existing Customers'!$H:$H,$EO25)*$EP$4,$EP$3*$EN25),0)</f>
        <v>0</v>
      </c>
      <c r="EQ25" s="89">
        <f>IFERROR(IF(AND($EP$2&lt;&gt;"Enter Spend&gt;&gt;&gt;",EQ2="EXISTING"),SUMIFS('Existing Customers'!$N:$N,'Existing Customers'!$A:$A,$EP$1,'Existing Customers'!$H:$H,$EO25)*$EP$4,$EP25/$FA25),0)</f>
        <v>0</v>
      </c>
      <c r="ER25" s="95">
        <f>IFERROR(IF(AND($EP$2&lt;&gt;"Enter Spend&gt;&gt;&gt;",EQ2="EXISTING"),SUMIFS('Existing Customers'!$O:$O,'Existing Customers'!$H:$H,$EO25,'Existing Customers'!$A:$A,$EP$1)*$EP$4,$EQ25*$EP$8),0)</f>
        <v>0</v>
      </c>
      <c r="ES25" s="95">
        <f>IFERROR(IF(AND($EP$2&lt;&gt;"Enter Spend&gt;&gt;&gt;",EQ2="EXISTING"),SUMIFS('Existing Customers'!$P:$P,'Existing Customers'!$A:$A,$EP$1,'Existing Customers'!$H:$H,$EO25)*$EP$4,$EP25/$FB25),0)</f>
        <v>0</v>
      </c>
      <c r="ET25" s="96">
        <f>IFERROR(IF(AND($EP$2&lt;&gt;"Enter Spend&gt;&gt;&gt;",EQ2="EXISTING"),SUMIFS('Existing Customers'!$V:$V,'Existing Customers'!$H:$H,$EO25,'Existing Customers'!$A:$A,$EP$1)*$EP$4,0),0)</f>
        <v>0</v>
      </c>
      <c r="EU25" s="96">
        <f>IFERROR(IF(AND($EP$2&lt;&gt;"Enter Spend&gt;&gt;&gt;",EQ2="EXISTING"),SUMIFS('Existing Customers'!$R:$R,'Existing Customers'!$H:$H,$EO25,'Existing Customers'!$A:$A,$EP$1)*$EP$4,0),0)</f>
        <v>0</v>
      </c>
      <c r="EV25" s="1161">
        <f>IFERROR(IF(AND($EP$2&lt;&gt;"Enter Spend&gt;&gt;&gt;",EQ2="EXISTING"),SUMIFS('Existing Customers'!$S:$S,'Existing Customers'!$H:$H,$EO25,'Existing Customers'!$A:$A,$EP$1),FF25*EP25),0)</f>
        <v>0</v>
      </c>
      <c r="EW25" s="1161">
        <f>IFERROR(IF(AND($EP$2&lt;&gt;"Enter Spend&gt;&gt;&gt;",EQ2="EXISTING"),SUMIFS('Existing Customers'!$U:$U,'Existing Customers'!$H:$H,$EO25,'Existing Customers'!$A:$A,$EP$1),FG25*EP25),0)</f>
        <v>0</v>
      </c>
      <c r="EX25" s="1164" t="e">
        <f t="shared" si="39"/>
        <v>#N/A</v>
      </c>
      <c r="EY25" s="1164">
        <f t="array" ref="EY25">IFERROR(INDEX('Margin Guidence Table'!$A$1:$AG$10000,MATCH(1,('Margin Guidence Table'!$A$1:$A$10000=EX25)*('Margin Guidence Table'!$I$1:$I$10000&lt;=ROUND($EP$3,0))*('Margin Guidence Table'!$J$1:$J$10000&gt;=ROUND($EP$3,0)),0),MATCH("DATA_POINTS",'Margin Guidence Table'!$A$1:$AG$1,0)),0)</f>
        <v>0</v>
      </c>
      <c r="EZ25" s="1161" t="str">
        <f t="shared" si="40"/>
        <v>DEFAULT</v>
      </c>
      <c r="FA25" s="116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16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16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16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16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16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16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16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9"/>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96" t="e">
        <f t="shared" si="41"/>
        <v>#DIV/0!</v>
      </c>
      <c r="FL25" s="102" t="s">
        <v>93</v>
      </c>
      <c r="FM25" s="94">
        <f>IFERROR(IF(AND($FM$2&lt;&gt;"Enter Spend&gt;&gt;&gt;",FN13="EXISTING"),SUMIFS('Existing Customers'!$Q:$Q,'Existing Customers'!$A:$A,$FM$1,'Existing Customers'!$H:$H,$FL25)*$FM$4,$FM$3*$FK25),0)</f>
        <v>0</v>
      </c>
      <c r="FN25" s="89">
        <f>IFERROR(IF(AND($FM$2&lt;&gt;"Enter Spend&gt;&gt;&gt;",FN2="EXISTING"),SUMIFS('Existing Customers'!$N:$N,'Existing Customers'!$A:$A,$FM$1,'Existing Customers'!$H:$H,$FL25)*$FM$4,$FM25/$FX25),0)</f>
        <v>0</v>
      </c>
      <c r="FO25" s="95">
        <f>IFERROR(IF(AND($FM$2&lt;&gt;"Enter Spend&gt;&gt;&gt;",FN2="EXISTING"),SUMIFS('Existing Customers'!$O:$O,'Existing Customers'!$H:$H,$FL25,'Existing Customers'!$A:$A,$FM$1)*$FM$4,$FN25*$FM$8),0)</f>
        <v>0</v>
      </c>
      <c r="FP25" s="95">
        <f>IFERROR(IF(AND($FM$2&lt;&gt;"Enter Spend&gt;&gt;&gt;",FN2="EXISTING"),SUMIFS('Existing Customers'!$P:$P,'Existing Customers'!$A:$A,$FM$1,'Existing Customers'!$H:$H,$FL25)*$FM$4,$FM25/$FY25),0)</f>
        <v>0</v>
      </c>
      <c r="FQ25" s="96">
        <f>IFERROR(IF(AND($FM$2&lt;&gt;"Enter Spend&gt;&gt;&gt;",FN2="EXISTING"),SUMIFS('Existing Customers'!$V:$V,'Existing Customers'!$H:$H,$FL25,'Existing Customers'!$A:$A,$FM$1)*$FM$4,0),0)</f>
        <v>0</v>
      </c>
      <c r="FR25" s="96">
        <f>IFERROR(IF(AND($FM$2&lt;&gt;"Enter Spend&gt;&gt;&gt;",FN2="EXISTING"),SUMIFS('Existing Customers'!$R:$R,'Existing Customers'!$H:$H,$FL25,'Existing Customers'!$A:$A,$FM$1)*$FM$4,0),0)</f>
        <v>0</v>
      </c>
      <c r="FS25" s="1161">
        <f>IFERROR(IF(AND($FM$2&lt;&gt;"Enter Spend&gt;&gt;&gt;",FN2="EXISTING"),SUMIFS('Existing Customers'!$S:$S,'Existing Customers'!$H:$H,$FL25,'Existing Customers'!$A:$A,$FM$1),GC25*FM25),0)</f>
        <v>0</v>
      </c>
      <c r="FT25" s="1161">
        <f>IFERROR(IF(AND($FM$2&lt;&gt;"Enter Spend&gt;&gt;&gt;",FN2="EXISTING"),SUMIFS('Existing Customers'!$U:$U,'Existing Customers'!$H:$H,$FL25,'Existing Customers'!$A:$A,$FM$1),GD25*FM25),0)</f>
        <v>0</v>
      </c>
      <c r="FU25" s="1164" t="e">
        <f t="shared" si="42"/>
        <v>#N/A</v>
      </c>
      <c r="FV25" s="1164">
        <f t="array" ref="FV25">IFERROR(INDEX('Margin Guidence Table'!$A$1:$AG$10000,MATCH(1,('Margin Guidence Table'!$A$1:$A$10000=FU25)*('Margin Guidence Table'!$I$1:$I$10000&lt;=ROUND($FM$3,0))*('Margin Guidence Table'!$J$1:$J$10000&gt;=ROUND($FM$3,0)),0),MATCH("DATA_POINTS",'Margin Guidence Table'!$A$1:$AG$1,0)),0)</f>
        <v>0</v>
      </c>
      <c r="FW25" s="1161" t="str">
        <f t="shared" si="43"/>
        <v>DEFAULT</v>
      </c>
      <c r="FX25" s="116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16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16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16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16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16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16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16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9"/>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96" t="e">
        <f t="shared" si="44"/>
        <v>#DIV/0!</v>
      </c>
      <c r="GI25" s="102" t="s">
        <v>93</v>
      </c>
      <c r="GJ25" s="94">
        <f>IFERROR(IF(AND($GJ$2&lt;&gt;"Enter Spend&gt;&gt;&gt;",GK13="EXISTING"),SUMIFS('Existing Customers'!$Q:$Q,'Existing Customers'!$A:$A,$GJ$1,'Existing Customers'!$H:$H,$GI25)*$GJ$4,$GJ$3*$GH25),0)</f>
        <v>0</v>
      </c>
      <c r="GK25" s="89">
        <f>IFERROR(IF(AND($GJ$2&lt;&gt;"Enter Spend&gt;&gt;&gt;",GK2="EXISTING"),SUMIFS('Existing Customers'!$N:$N,'Existing Customers'!$A:$A,$GJ$1,'Existing Customers'!$H:$H,$GI25)*$GJ$4,$GJ25/$GU25),0)</f>
        <v>0</v>
      </c>
      <c r="GL25" s="95">
        <f>IFERROR(IF(AND($GJ$2&lt;&gt;"Enter Spend&gt;&gt;&gt;",GK2="EXISTING"),SUMIFS('Existing Customers'!$O:$O,'Existing Customers'!$H:$H,$GI25,'Existing Customers'!$A:$A,$GJ$1)*$GJ$4,$GK25*$GJ$8),0)</f>
        <v>0</v>
      </c>
      <c r="GM25" s="95">
        <f>IFERROR(IF(AND($GJ$2&lt;&gt;"Enter Spend&gt;&gt;&gt;",GK2="EXISTING"),SUMIFS('Existing Customers'!$P:$P,'Existing Customers'!$A:$A,$GJ$1,'Existing Customers'!$H:$H,$GI25)*$GJ$4,$GJ25/$GV25),0)</f>
        <v>0</v>
      </c>
      <c r="GN25" s="96">
        <f>IFERROR(IF(AND($GJ$2&lt;&gt;"Enter Spend&gt;&gt;&gt;",GK2="EXISTING"),SUMIFS('Existing Customers'!$V:$V,'Existing Customers'!$H:$H,$GI25,'Existing Customers'!$A:$A,$GJ$1)*$GJ$4,0),0)</f>
        <v>0</v>
      </c>
      <c r="GO25" s="96">
        <f>IFERROR(IF(AND($GJ$2&lt;&gt;"Enter Spend&gt;&gt;&gt;",GK2="EXISTING"),SUMIFS('Existing Customers'!$R:$R,'Existing Customers'!$H:$H,$GI25,'Existing Customers'!$A:$A,$GJ$1)*$GJ$4,0),0)</f>
        <v>0</v>
      </c>
      <c r="GP25" s="1161">
        <f>IFERROR(IF(AND($GJ$2&lt;&gt;"Enter Spend&gt;&gt;&gt;",GK2="EXISTING"),SUMIFS('Existing Customers'!$S:$S,'Existing Customers'!$H:$H,$GI25,'Existing Customers'!$A:$A,$GJ$1),GZ25*GJ25),0)</f>
        <v>0</v>
      </c>
      <c r="GQ25" s="1161">
        <f>IFERROR(IF(AND($GJ$2&lt;&gt;"Enter Spend&gt;&gt;&gt;",GK2="EXISTING"),SUMIFS('Existing Customers'!$U:$U,'Existing Customers'!$H:$H,$GI25,'Existing Customers'!$A:$A,$GJ$1),HA25*GJ25),0)</f>
        <v>0</v>
      </c>
      <c r="GR25" s="1164" t="e">
        <f t="shared" si="45"/>
        <v>#N/A</v>
      </c>
      <c r="GS25" s="1164">
        <f t="array" ref="GS25">IFERROR(INDEX('Margin Guidence Table'!$A$1:$AG$10000,MATCH(1,('Margin Guidence Table'!$A$1:$A$10000=GR25)*('Margin Guidence Table'!$I$1:$I$10000&lt;=ROUND($GJ$3,0))*('Margin Guidence Table'!$J$1:$J$10000&gt;=ROUND($GJ$3,0)),0),MATCH("DATA_POINTS",'Margin Guidence Table'!$A$1:$AG$1,0)),0)</f>
        <v>0</v>
      </c>
      <c r="GT25" s="1161" t="str">
        <f t="shared" si="46"/>
        <v>DEFAULT</v>
      </c>
      <c r="GU25" s="116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16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16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16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16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16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16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16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9"/>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96" t="e">
        <f t="shared" si="47"/>
        <v>#DIV/0!</v>
      </c>
      <c r="HF25" s="102" t="s">
        <v>93</v>
      </c>
      <c r="HG25" s="94">
        <f>IFERROR(IF(AND($HG$2&lt;&gt;"Enter Spend&gt;&gt;&gt;",HH13="EXISTING"),SUMIFS('Existing Customers'!$Q:$Q,'Existing Customers'!$A:$A,$HG$1,'Existing Customers'!$H:$H,$HF25)*$HG$4,$HG$3*$HE25),0)</f>
        <v>0</v>
      </c>
      <c r="HH25" s="89">
        <f>IFERROR(IF(AND($HG$2&lt;&gt;"Enter Spend&gt;&gt;&gt;",HH2="EXISTING"),SUMIFS('Existing Customers'!$N:$N,'Existing Customers'!$A:$A,$HG$1,'Existing Customers'!$H:$H,$HF25)*$HG$4,$HG25/$HR25),0)</f>
        <v>0</v>
      </c>
      <c r="HI25" s="95">
        <f>IFERROR(IF(AND($HG$2&lt;&gt;"Enter Spend&gt;&gt;&gt;",HH2="EXISTING"),SUMIFS('Existing Customers'!$O:$O,'Existing Customers'!$H:$H,$HF25,'Existing Customers'!$A:$A,$HG$1)*$HG$4,$HH25*$HG$8),0)</f>
        <v>0</v>
      </c>
      <c r="HJ25" s="95">
        <f>IFERROR(IF(AND($HG$2&lt;&gt;"Enter Spend&gt;&gt;&gt;",HH2="EXISTING"),SUMIFS('Existing Customers'!$P:$P,'Existing Customers'!$A:$A,$HG$1,'Existing Customers'!$H:$H,$HF25)*$HG$4,$HG25/$HS25),0)</f>
        <v>0</v>
      </c>
      <c r="HK25" s="96">
        <f>IFERROR(IF(AND($HG$2&lt;&gt;"Enter Spend&gt;&gt;&gt;",HH2="EXISTING"),SUMIFS('Existing Customers'!$V:$V,'Existing Customers'!$H:$H,$HF25,'Existing Customers'!$A:$A,$HG$1)*$HG$4,0),0)</f>
        <v>0</v>
      </c>
      <c r="HL25" s="96">
        <f>IFERROR(IF(AND($HG$2&lt;&gt;"Enter Spend&gt;&gt;&gt;",HH2="EXISTING"),SUMIFS('Existing Customers'!$R:$R,'Existing Customers'!$H:$H,$HF25,'Existing Customers'!$A:$A,$HG$1)*$HG$4,0),0)</f>
        <v>0</v>
      </c>
      <c r="HM25" s="1161">
        <f>IFERROR(IF(AND($HG$2&lt;&gt;"Enter Spend&gt;&gt;&gt;",HH2="EXISTING"),SUMIFS('Existing Customers'!$S:$S,'Existing Customers'!$H:$H,$HF25,'Existing Customers'!$A:$A,$HG$1),HW25*HG25),0)</f>
        <v>0</v>
      </c>
      <c r="HN25" s="1161">
        <f>IFERROR(IF(AND($HG$2&lt;&gt;"Enter Spend&gt;&gt;&gt;",HH2="EXISTING"),SUMIFS('Existing Customers'!$U:$U,'Existing Customers'!$H:$H,$HF25,'Existing Customers'!$A:$A,$HG$1),HX25*HG25),0)</f>
        <v>0</v>
      </c>
      <c r="HO25" s="1164" t="e">
        <f t="shared" si="48"/>
        <v>#N/A</v>
      </c>
      <c r="HP25" s="1164">
        <f t="array" ref="HP25">IFERROR(INDEX('Margin Guidence Table'!$A$1:$AG$10000,MATCH(1,('Margin Guidence Table'!$A$1:$A$10000=HO25)*('Margin Guidence Table'!$I$1:$I$10000&lt;=ROUND($HG$3,0))*('Margin Guidence Table'!$J$1:$J$10000&gt;=ROUND($HG$3,0)),0),MATCH("DATA_POINTS",'Margin Guidence Table'!$A$1:$AG$1,0)),0)</f>
        <v>0</v>
      </c>
      <c r="HQ25" s="1161" t="str">
        <f t="shared" si="49"/>
        <v>DEFAULT</v>
      </c>
      <c r="HR25" s="116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16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16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16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16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16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16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16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9"/>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96" t="e">
        <f t="shared" si="50"/>
        <v>#DIV/0!</v>
      </c>
      <c r="IC25" s="102" t="s">
        <v>93</v>
      </c>
      <c r="ID25" s="94">
        <f>IFERROR(IF(AND($ID$2&lt;&gt;"Enter Spend&gt;&gt;&gt;",IE13="EXISTING"),SUMIFS('Existing Customers'!$Q:$Q,'Existing Customers'!$A:$A,$ID$1,'Existing Customers'!$H:$H,$IC25)*$ID$4,$ID$3*$IB25),0)</f>
        <v>0</v>
      </c>
      <c r="IE25" s="89">
        <f>IFERROR(IF(AND($ID$2&lt;&gt;"Enter Spend&gt;&gt;&gt;",IE2="EXISTING"),SUMIFS('Existing Customers'!$N:$N,'Existing Customers'!$A:$A,$ID$1,'Existing Customers'!$H:$H,$IC25)*$ID$4,$ID25/$IO25),0)</f>
        <v>0</v>
      </c>
      <c r="IF25" s="95">
        <f>IFERROR(IF(AND($ID$2&lt;&gt;"Enter Spend&gt;&gt;&gt;",IE2="EXISTING"),SUMIFS('Existing Customers'!$O:$O,'Existing Customers'!$H:$H,$IC25,'Existing Customers'!$A:$A,$ID$1)*$ID$4,$IE25*$ID$8),0)</f>
        <v>0</v>
      </c>
      <c r="IG25" s="95">
        <f>IFERROR(IF(AND($ID$2&lt;&gt;"Enter Spend&gt;&gt;&gt;",IE2="EXISTING"),SUMIFS('Existing Customers'!$P:$P,'Existing Customers'!$A:$A,$ID$1,'Existing Customers'!$H:$H,$IC25)*$ID$4,$ID25/$IP25),0)</f>
        <v>0</v>
      </c>
      <c r="IH25" s="402">
        <f>IFERROR(IF(AND($ID$2&lt;&gt;"Enter Spend&gt;&gt;&gt;",IE2="EXISTING"),SUMIFS('Existing Customers'!$V:$V,'Existing Customers'!$H:$H,$IC25,'Existing Customers'!$A:$A,$ID$1)*$ID$4,0),0)</f>
        <v>0</v>
      </c>
      <c r="II25" s="96">
        <f>IFERROR(IF(AND($ID$2&lt;&gt;"Enter Spend&gt;&gt;&gt;",IE2="EXISTING"),SUMIFS('Existing Customers'!$R:$R,'Existing Customers'!$H:$H,$IC25,'Existing Customers'!$A:$A,$ID$1)*$ID$4,0),0)</f>
        <v>0</v>
      </c>
      <c r="IJ25" s="1161">
        <f>IFERROR(IF(AND($ID$2&lt;&gt;"Enter Spend&gt;&gt;&gt;",IE2="EXISTING"),SUMIFS('Existing Customers'!$S:$S,'Existing Customers'!$H:$H,$IC25,'Existing Customers'!$A:$A,$ID$1),IT25*ID25),0)</f>
        <v>0</v>
      </c>
      <c r="IK25" s="1161">
        <f>IFERROR(IF(AND($ID$2&lt;&gt;"Enter Spend&gt;&gt;&gt;",IE2="EXISTING"),SUMIFS('Existing Customers'!$U:$U,'Existing Customers'!$H:$H,$IC25,'Existing Customers'!$A:$A,$ID$1),IU25*ID25),0)</f>
        <v>0</v>
      </c>
      <c r="IL25" s="1164" t="e">
        <f t="shared" si="51"/>
        <v>#N/A</v>
      </c>
      <c r="IM25" s="1164">
        <f t="array" ref="IM25">IFERROR(INDEX('Margin Guidence Table'!$A$1:$AG$10000,MATCH(1,('Margin Guidence Table'!$A$1:$A$10000=IL25)*('Margin Guidence Table'!$I$1:$I$10000&lt;=ROUND($ID$3,0))*('Margin Guidence Table'!$J$1:$J$10000&gt;=ROUND($ID$3,0)),0),MATCH("DATA_POINTS",'Margin Guidence Table'!$A$1:$AG$1,0)),0)</f>
        <v>0</v>
      </c>
      <c r="IN25" s="1161" t="str">
        <f t="shared" si="52"/>
        <v>DEFAULT</v>
      </c>
      <c r="IO25" s="116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16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16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16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16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16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16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16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9"/>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96" t="e">
        <f t="shared" si="53"/>
        <v>#DIV/0!</v>
      </c>
      <c r="IZ25" s="102" t="s">
        <v>93</v>
      </c>
      <c r="JA25" s="94">
        <f>IFERROR(IF(AND($JA$2&lt;&gt;"Enter Spend&gt;&gt;&gt;",JB13="EXISTING"),SUMIFS('Existing Customers'!$Q:$Q,'Existing Customers'!$A:$A,$JA$1,'Existing Customers'!$H:$H,$IZ25)*$JA$4,$JA$3*$IY25),0)</f>
        <v>0</v>
      </c>
      <c r="JB25" s="89">
        <f>IFERROR(IF(AND($JA$2&lt;&gt;"Enter Spend&gt;&gt;&gt;",JB2="EXISTING"),SUMIFS('Existing Customers'!$N:$N,'Existing Customers'!$A:$A,$JA$1,'Existing Customers'!$H:$H,$IZ25)*$JA$4,$JA25/$JL25),0)</f>
        <v>0</v>
      </c>
      <c r="JC25" s="95">
        <f>IFERROR(IF(AND($JA$2&lt;&gt;"Enter Spend&gt;&gt;&gt;",JB2="EXISTING"),SUMIFS('Existing Customers'!$O:$O,'Existing Customers'!$H:$H,$IZ25,'Existing Customers'!$A:$A,$JA$1)*$JA$4,$JB25*$JA$8),0)</f>
        <v>0</v>
      </c>
      <c r="JD25" s="95">
        <f>IFERROR(IF(AND($JA$2&lt;&gt;"Enter Spend&gt;&gt;&gt;",JB2="EXISTING"),SUMIFS('Existing Customers'!$P:$P,'Existing Customers'!$A:$A,$JA$1,'Existing Customers'!$H:$H,$IZ25)*$JA$4,$JA25/$JM25),0)</f>
        <v>0</v>
      </c>
      <c r="JE25" s="402">
        <f>IFERROR(IF(AND($JA$2&lt;&gt;"Enter Spend&gt;&gt;&gt;",JB2="EXISTING"),SUMIFS('Existing Customers'!$V:$V,'Existing Customers'!$H:$H,$IZ25,'Existing Customers'!$A:$A,$JA$1)*$JA$4,0),0)</f>
        <v>0</v>
      </c>
      <c r="JF25" s="96">
        <f>IFERROR(IF(AND($JA$2&lt;&gt;"Enter Spend&gt;&gt;&gt;",JB2="EXISTING"),SUMIFS('Existing Customers'!$R:$R,'Existing Customers'!$H:$H,$IZ25,'Existing Customers'!$A:$A,$JA$1)*$JA$4,0),0)</f>
        <v>0</v>
      </c>
      <c r="JG25" s="1161">
        <f>IFERROR(IF(AND($JA$2&lt;&gt;"Enter Spend&gt;&gt;&gt;",JB2="EXISTING"),SUMIFS('Existing Customers'!$S:$S,'Existing Customers'!$H:$H,$IZ25,'Existing Customers'!$A:$A,$JA$1),JQ25*JA25),0)</f>
        <v>0</v>
      </c>
      <c r="JH25" s="1161">
        <f>IFERROR(IF(AND($JA$2&lt;&gt;"Enter Spend&gt;&gt;&gt;",JB2="EXISTING"),SUMIFS('Existing Customers'!$U:$U,'Existing Customers'!$H:$H,$IZ25,'Existing Customers'!$A:$A,$JA$1),JR25*JA25),0)</f>
        <v>0</v>
      </c>
      <c r="JI25" s="1164" t="e">
        <f t="shared" si="54"/>
        <v>#N/A</v>
      </c>
      <c r="JJ25" s="1164">
        <f t="array" ref="JJ25">IFERROR(INDEX('Margin Guidence Table'!$A$1:$AG$10000,MATCH(1,('Margin Guidence Table'!$A$1:$A$10000=JI25)*('Margin Guidence Table'!$I$1:$I$10000&lt;=ROUND($JA$3,0))*('Margin Guidence Table'!$J$1:$J$10000&gt;=ROUND($JA$3,0)),0),MATCH("DATA_POINTS",'Margin Guidence Table'!$A$1:$AG$1,0)),0)</f>
        <v>0</v>
      </c>
      <c r="JK25" s="1161" t="str">
        <f t="shared" si="55"/>
        <v>DEFAULT</v>
      </c>
      <c r="JL25" s="116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16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16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16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16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16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16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16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2" t="s">
        <v>93</v>
      </c>
      <c r="JV25" s="97"/>
      <c r="JW25" s="89"/>
      <c r="JX25" s="89"/>
      <c r="JY25" s="89"/>
      <c r="JZ25" s="114"/>
      <c r="KA25" s="98"/>
      <c r="KB25" s="129"/>
      <c r="KD25" s="102" t="s">
        <v>93</v>
      </c>
      <c r="KE25" s="97"/>
      <c r="KF25" s="89"/>
      <c r="KG25" s="89"/>
      <c r="KH25" s="89"/>
      <c r="KI25" s="114"/>
      <c r="KJ25" s="98"/>
    </row>
    <row r="26" spans="2:296" ht="15.75" thickBot="1" x14ac:dyDescent="0.3">
      <c r="B26" s="102" t="s">
        <v>105</v>
      </c>
      <c r="C26" s="480">
        <f t="shared" si="11"/>
        <v>0</v>
      </c>
      <c r="D26" s="496">
        <f t="shared" si="12"/>
        <v>0</v>
      </c>
      <c r="E26" s="496">
        <f t="shared" si="13"/>
        <v>0</v>
      </c>
      <c r="F26" s="496">
        <f t="shared" si="14"/>
        <v>0</v>
      </c>
      <c r="G26" s="497">
        <f t="shared" si="15"/>
        <v>0</v>
      </c>
      <c r="H26" s="496">
        <f t="shared" si="16"/>
        <v>0</v>
      </c>
      <c r="I26" s="1157" t="e">
        <f t="shared" si="0"/>
        <v>#DIV/0!</v>
      </c>
      <c r="J26" s="1157" t="e">
        <f t="shared" si="1"/>
        <v>#DIV/0!</v>
      </c>
      <c r="K26" s="1157" t="e">
        <f t="shared" si="2"/>
        <v>#DIV/0!</v>
      </c>
      <c r="L26" s="496" t="e">
        <f t="shared" si="3"/>
        <v>#DIV/0!</v>
      </c>
      <c r="M26" s="496" t="e">
        <f t="shared" si="17"/>
        <v>#DIV/0!</v>
      </c>
      <c r="N26" s="1158" t="e">
        <f t="shared" si="4"/>
        <v>#DIV/0!</v>
      </c>
      <c r="P26" t="str">
        <f>'PIM Model'!E22</f>
        <v>INCLUDE</v>
      </c>
      <c r="Q26">
        <f t="shared" si="18"/>
        <v>0</v>
      </c>
      <c r="R26">
        <f t="shared" si="19"/>
        <v>0</v>
      </c>
      <c r="S26" s="102" t="s">
        <v>105</v>
      </c>
      <c r="T26" s="97">
        <f t="shared" si="20"/>
        <v>0</v>
      </c>
      <c r="U26" s="89">
        <f t="shared" si="5"/>
        <v>0</v>
      </c>
      <c r="V26" s="89">
        <f t="shared" si="6"/>
        <v>0</v>
      </c>
      <c r="W26" s="89">
        <f t="shared" si="7"/>
        <v>0</v>
      </c>
      <c r="X26" s="114">
        <f t="shared" si="8"/>
        <v>0</v>
      </c>
      <c r="Y26" s="117">
        <f t="shared" si="21"/>
        <v>0</v>
      </c>
      <c r="Z26" s="400"/>
      <c r="AA26" s="102" t="s">
        <v>105</v>
      </c>
      <c r="AB26" s="484">
        <f t="shared" si="9"/>
        <v>0</v>
      </c>
      <c r="AC26" s="485">
        <f t="shared" si="9"/>
        <v>0</v>
      </c>
      <c r="AD26" s="485">
        <f t="shared" si="9"/>
        <v>0</v>
      </c>
      <c r="AE26" s="486">
        <f t="shared" si="22"/>
        <v>0</v>
      </c>
      <c r="AF26" s="487">
        <f t="shared" si="23"/>
        <v>0</v>
      </c>
      <c r="AG26" s="400"/>
      <c r="AH26" s="102" t="s">
        <v>105</v>
      </c>
      <c r="AI26" s="484">
        <f t="shared" si="10"/>
        <v>0</v>
      </c>
      <c r="AJ26" s="481">
        <f t="shared" si="24"/>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400" t="e">
        <f t="shared" si="25"/>
        <v>#DIV/0!</v>
      </c>
      <c r="AR26">
        <f>'PIM Model'!C22</f>
        <v>0</v>
      </c>
      <c r="AS26" s="400"/>
      <c r="AT26" s="400"/>
      <c r="AU26" s="400" t="e">
        <f t="shared" si="56"/>
        <v>#DIV/0!</v>
      </c>
      <c r="AV26" s="400"/>
      <c r="AW26" s="400"/>
      <c r="AX26" s="108">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96" t="e">
        <f t="shared" si="26"/>
        <v>#DIV/0!</v>
      </c>
      <c r="BA26" s="102" t="s">
        <v>105</v>
      </c>
      <c r="BB26" s="94">
        <f>IFERROR(IF(AND($BB$2&lt;&gt;"Enter Spend&gt;&gt;&gt;",BC14="EXISTING"),SUMIFS('Existing Customers'!$Q:$Q,'Existing Customers'!$A:$A,$BB$1,'Existing Customers'!$H:$H,$BA26)*$BB$4,$BB$3*$AZ26),0)</f>
        <v>0</v>
      </c>
      <c r="BC26" s="95">
        <f>IFERROR(IF(AND($BB$2&lt;&gt;"Enter Spend&gt;&gt;&gt;",BC2="EXISTING"),SUMIFS('Existing Customers'!$N:$N,'Existing Customers'!$A:$A,$BB$1,'Existing Customers'!$H:$H,$BA26)*$BB$4,$BB26/$BM26),0)</f>
        <v>0</v>
      </c>
      <c r="BD26" s="95">
        <f>IFERROR(IF(AND($BB$2&lt;&gt;"Enter Spend&gt;&gt;&gt;",BC2="EXISTING"),SUMIFS('Existing Customers'!$O:$O,'Existing Customers'!$H:$H,$BA26,'Existing Customers'!$A:$A,$BB$1)*$BB$4,$BC26*$BB$8),0)</f>
        <v>0</v>
      </c>
      <c r="BE26" s="95">
        <f>IFERROR(IF(AND($BB$2&lt;&gt;"Enter Spend&gt;&gt;&gt;",BC2="EXISTING"),SUMIFS('Existing Customers'!$P:$P,'Existing Customers'!$A:$A,$BB$1,'Existing Customers'!$H:$H,$BA26)*$BB$4,$BB26/$BN26),0)</f>
        <v>0</v>
      </c>
      <c r="BF26" s="402">
        <f>IFERROR(IF(AND($BB$2&lt;&gt;"Enter Spend&gt;&gt;&gt;",BC2="EXISTING"),SUMIFS('Existing Customers'!$V:$V,'Existing Customers'!$H:$H,$BA26,'Existing Customers'!$A:$A,$BB$1)*$BB$4,0),0)</f>
        <v>0</v>
      </c>
      <c r="BG26" s="96">
        <f>IFERROR(IF(AND($BB$2&lt;&gt;"Enter Spend&gt;&gt;&gt;",BC2="EXISTING"),SUMIFS('Existing Customers'!$R:$R,'Existing Customers'!$H:$H,$BA26,'Existing Customers'!$A:$A,$BB$1)*$BB$4,0),0)</f>
        <v>0</v>
      </c>
      <c r="BH26" s="96">
        <f>IFERROR(IF(AND($BB$2&lt;&gt;"Enter Spend&gt;&gt;&gt;",BC2="EXISTING"),SUMIFS('Existing Customers'!$S:$S,'Existing Customers'!$H:$H,$BA26,'Existing Customers'!$A:$A,$BB$1),BR26*BB26),0)</f>
        <v>0</v>
      </c>
      <c r="BI26" s="96">
        <f>IFERROR(IF(AND($BB$2&lt;&gt;"Enter Spend&gt;&gt;&gt;",BC2="EXISTING"),SUMIFS('Existing Customers'!$U:$U,'Existing Customers'!$H:$H,$BA26,'Existing Customers'!$A:$A,$BB$1),BS26*BB26),0)</f>
        <v>0</v>
      </c>
      <c r="BJ26" s="1163" t="e">
        <f t="shared" si="27"/>
        <v>#N/A</v>
      </c>
      <c r="BK26" s="1164">
        <f t="array" ref="BK26">IFERROR(INDEX('Margin Guidence Table'!$A$1:$AG$10000,MATCH(1,('Margin Guidence Table'!$A$1:$A$10000=$BJ26)*('Margin Guidence Table'!$I$1:$I$10000&lt;=ROUND($BB$3,0))*('Margin Guidence Table'!$J$1:$J$10000&gt;=ROUND($BB$3,0)),0),MATCH("DATA_POINTS",'Margin Guidence Table'!$A$1:$AG$1,0)),0)</f>
        <v>0</v>
      </c>
      <c r="BL26" s="1161" t="str">
        <f t="shared" si="28"/>
        <v>DEFAULT</v>
      </c>
      <c r="BM26" s="116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16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16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16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16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16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16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16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9"/>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96" t="e">
        <f t="shared" si="29"/>
        <v>#DIV/0!</v>
      </c>
      <c r="BX26" s="102" t="s">
        <v>105</v>
      </c>
      <c r="BY26" s="94">
        <f>IFERROR(IF(AND($BY$2&lt;&gt;"Enter Spend&gt;&gt;&gt;",BZ14="EXISTING"),SUMIFS('Existing Customers'!$Q:$Q,'Existing Customers'!$A:$A,$BY$1,'Existing Customers'!$H:$H,$BX26)*$BY$4,$BY$3*$BW26),0)</f>
        <v>0</v>
      </c>
      <c r="BZ26" s="89">
        <f>IFERROR(IF(AND($BY$2&lt;&gt;"Enter Spend&gt;&gt;&gt;",BZ2="EXISTING"),SUMIFS('Existing Customers'!$N:$N,'Existing Customers'!$A:$A,$BY$1,'Existing Customers'!$H:$H,$BX26)*$BY$4,$BY26/$CJ26),0)</f>
        <v>0</v>
      </c>
      <c r="CA26" s="95">
        <f>IFERROR(IF(AND($BY$2&lt;&gt;"Enter Spend&gt;&gt;&gt;",BZ2="EXISTING"),SUMIFS('Existing Customers'!$O:$O,'Existing Customers'!$H:$H,$BX26,'Existing Customers'!$A:$A,$BY$1)*$BY$4,$BZ26*$BY$8),0)</f>
        <v>0</v>
      </c>
      <c r="CB26" s="95">
        <f>IFERROR(IF(AND($BY$2&lt;&gt;"Enter Spend&gt;&gt;&gt;",BZ2="EXISTING"),SUMIFS('Existing Customers'!$P:$P,'Existing Customers'!$A:$A,$BY$1,'Existing Customers'!$H:$H,$BX26)*$BY$4,$BY26/$CK26),0)</f>
        <v>0</v>
      </c>
      <c r="CC26" s="96">
        <f>IFERROR(IF(AND($BY$2&lt;&gt;"Enter Spend&gt;&gt;&gt;",BZ2="EXISTING"),SUMIFS('Existing Customers'!$V:$V,'Existing Customers'!$H:$H,$BX26,'Existing Customers'!$A:$A,$BY$1)*$BY$4,0),0)</f>
        <v>0</v>
      </c>
      <c r="CD26" s="96">
        <f>IFERROR(IF(AND($BY$2&lt;&gt;"Enter Spend&gt;&gt;&gt;",BZ2="EXISTING"),SUMIFS('Existing Customers'!$R:$R,'Existing Customers'!$H:$H,$BX26,'Existing Customers'!$A:$A,$BY$1)*$BY$4,0),0)</f>
        <v>0</v>
      </c>
      <c r="CE26" s="1161">
        <f>IFERROR(IF(AND($BY$2&lt;&gt;"Enter Spend&gt;&gt;&gt;",BZ2="EXISTING"),SUMIFS('Existing Customers'!$S:$S,'Existing Customers'!$H:$H,$BX26,'Existing Customers'!$A:$A,$BY$1),CO26*BY26),0)</f>
        <v>0</v>
      </c>
      <c r="CF26" s="1161">
        <f>IFERROR(IF(AND($BY$2&lt;&gt;"Enter Spend&gt;&gt;&gt;",BZ2="EXISTING"),SUMIFS('Existing Customers'!$U:$U,'Existing Customers'!$H:$H,$BX26,'Existing Customers'!$A:$A,$BY$1),CP26*BY26),0)</f>
        <v>0</v>
      </c>
      <c r="CG26" s="1164" t="e">
        <f t="shared" si="30"/>
        <v>#N/A</v>
      </c>
      <c r="CH26" s="1164">
        <f t="array" ref="CH26">IFERROR(INDEX('Margin Guidence Table'!$A$1:$AG$10000,MATCH(1,('Margin Guidence Table'!$A$1:$A$10000=$CG26)*('Margin Guidence Table'!$I$1:$I$10000&lt;=ROUND($BY$3,0))*('Margin Guidence Table'!$J$1:$J$10000&gt;=ROUND($BY$3,0)),0),MATCH("DATA_POINTS",'Margin Guidence Table'!$A$1:$AG$1,0)),0)</f>
        <v>0</v>
      </c>
      <c r="CI26" s="1161" t="str">
        <f t="shared" si="31"/>
        <v>DEFAULT</v>
      </c>
      <c r="CJ26" s="116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16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16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16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16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16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16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16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9"/>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96" t="e">
        <f t="shared" si="32"/>
        <v>#DIV/0!</v>
      </c>
      <c r="CU26" s="102" t="s">
        <v>105</v>
      </c>
      <c r="CV26" s="94">
        <f>IFERROR(IF(AND($CV$2&lt;&gt;"Enter Spend&gt;&gt;&gt;",CW14="EXISTING"),SUMIFS('Existing Customers'!$Q:$Q,'Existing Customers'!$A:$A,$CV$1,'Existing Customers'!$H:$H,$CU26)*$CV$4,$CV$3*$CT26),0)</f>
        <v>0</v>
      </c>
      <c r="CW26" s="89">
        <f>IFERROR(IF(AND($CV$2&lt;&gt;"Enter Spend&gt;&gt;&gt;",CW2="EXISTING"),SUMIFS('Existing Customers'!$N:$N,'Existing Customers'!$A:$A,$CV$1,'Existing Customers'!$H:$H,$CU26)*$CV$4,$CV26/$DG26),0)</f>
        <v>0</v>
      </c>
      <c r="CX26" s="95">
        <f>IFERROR(IF(AND($CV$2&lt;&gt;"Enter Spend&gt;&gt;&gt;",BC28="EXISTING"),SUMIFS('Existing Customers'!$O:$O,'Existing Customers'!$H:$H,$CU26,'Existing Customers'!$A:$A,$CV$1)*$CV$4,$CW26*$CV$8),0)</f>
        <v>0</v>
      </c>
      <c r="CY26" s="95">
        <f>IFERROR(IF(AND($CV$2&lt;&gt;"Enter Spend&gt;&gt;&gt;",CW2="EXISTING"),SUMIFS('Existing Customers'!$P:$P,'Existing Customers'!$A:$A,$CV$1,'Existing Customers'!$H:$H,$CU26)*$CV$4,$CV26/$DH26),0)</f>
        <v>0</v>
      </c>
      <c r="CZ26" s="96">
        <f>IFERROR(IF(AND($CV$2&lt;&gt;"Enter Spend&gt;&gt;&gt;",CW2="EXISTING"),SUMIFS('Existing Customers'!$V:$V,'Existing Customers'!$H:$H,$CU26,'Existing Customers'!$A:$A,$CV$1)*$CV$4,0),0)</f>
        <v>0</v>
      </c>
      <c r="DA26" s="96">
        <f>IFERROR(IF(AND($CV$2&lt;&gt;"Enter Spend&gt;&gt;&gt;",CW2="EXISTING"),SUMIFS('Existing Customers'!$R:$R,'Existing Customers'!$H:$H,$BA26,'Existing Customers'!$A:$A,$CV$1)*$CV$4,0),0)</f>
        <v>0</v>
      </c>
      <c r="DB26" s="1161">
        <f>IFERROR(IF(AND($CV$2&lt;&gt;"Enter Spend&gt;&gt;&gt;",CW2="EXISTING"),SUMIFS('Existing Customers'!$S:$S,'Existing Customers'!$H:$H,$CU26,'Existing Customers'!$A:$A,$CV$1),DL26*CV26),0)</f>
        <v>0</v>
      </c>
      <c r="DC26" s="1161">
        <f>IFERROR(IF(AND($CV$2&lt;&gt;"Enter Spend&gt;&gt;&gt;",CW2="EXISTING"),SUMIFS('Existing Customers'!$U:$U,'Existing Customers'!$H:$H,$CU26,'Existing Customers'!$A:$A,$CV$1),DM26*CV26),0)</f>
        <v>0</v>
      </c>
      <c r="DD26" s="1164" t="e">
        <f t="shared" si="33"/>
        <v>#N/A</v>
      </c>
      <c r="DE26" s="1164">
        <f t="array" ref="DE26">IFERROR(INDEX('Margin Guidence Table'!$A$1:$AG$10000,MATCH(1,('Margin Guidence Table'!$A$1:$A$10000=DD26)*('Margin Guidence Table'!$I$1:$I$10000&lt;=ROUND($CV$3,0))*('Margin Guidence Table'!$J$1:$J$10000&gt;=ROUND($CV$3,0)),0),MATCH("DATA_POINTS",'Margin Guidence Table'!$A$1:$AG$1,0)),0)</f>
        <v>0</v>
      </c>
      <c r="DF26" s="1161" t="str">
        <f t="shared" si="34"/>
        <v>DEFAULT</v>
      </c>
      <c r="DG26" s="116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16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16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16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16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16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16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16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9"/>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96" t="e">
        <f t="shared" si="35"/>
        <v>#DIV/0!</v>
      </c>
      <c r="DR26" s="102" t="s">
        <v>105</v>
      </c>
      <c r="DS26" s="94">
        <f>IFERROR(IF(AND($DS$2&lt;&gt;"Enter Spend&gt;&gt;&gt;",DT14="EXISTING"),SUMIFS('Existing Customers'!$Q:$Q,'Existing Customers'!$A:$A,$DS$1,'Existing Customers'!$H:$H,$DR26)*$DS$4,$DS$3*$DQ26),0)</f>
        <v>0</v>
      </c>
      <c r="DT26" s="89">
        <f>IFERROR(IF(AND($DS$2&lt;&gt;"Enter Spend&gt;&gt;&gt;",DT2="EXISTING"),SUMIFS('Existing Customers'!$N:$N,'Existing Customers'!$A:$A,$DS$1,'Existing Customers'!$H:$H,$DR26)*$DS$4,$DS26/$ED26),0)</f>
        <v>0</v>
      </c>
      <c r="DU26" s="95">
        <f>IFERROR(IF(AND($DS$2&lt;&gt;"Enter Spend&gt;&gt;&gt;",DT2="EXISTING"),SUMIFS('Existing Customers'!$O:$O,'Existing Customers'!$H:$H,$DR26,'Existing Customers'!$A:$A,$DS$1)*$DS$4,$DT26*$DS$8),0)</f>
        <v>0</v>
      </c>
      <c r="DV26" s="95">
        <f>IFERROR(IF(AND($DS$2&lt;&gt;"Enter Spend&gt;&gt;&gt;",DT2="EXISTING"),SUMIFS('Existing Customers'!$P:$P,'Existing Customers'!$A:$A,$DS$1,'Existing Customers'!$H:$H,$DR26)*$DS$4,$DS26/$EE26),0)</f>
        <v>0</v>
      </c>
      <c r="DW26" s="96">
        <f>IFERROR(IF(AND($DS$2&lt;&gt;"Enter Spend&gt;&gt;&gt;",EQ2="EXISTING"),SUMIFS('Existing Customers'!$V:$V,'Existing Customers'!$H:$H,$DR26,'Existing Customers'!$A:$A,$DS$1)*$DS$4,0),0)</f>
        <v>0</v>
      </c>
      <c r="DX26" s="96">
        <f>IFERROR(IF(AND($DS$2&lt;&gt;"Enter Spend&gt;&gt;&gt;",DT2="EXISTING"),SUMIFS('Existing Customers'!$R:$R,'Existing Customers'!$H:$H,$DR26,'Existing Customers'!$A:$A,$DS$1)*$DS$4,0),0)</f>
        <v>0</v>
      </c>
      <c r="DY26" s="1161">
        <f>IFERROR(IF(AND($DS$2&lt;&gt;"Enter Spend&gt;&gt;&gt;",DT2="EXISTING"),SUMIFS('Existing Customers'!$S:$S,'Existing Customers'!$H:$H,$DT26,'Existing Customers'!$A:$A,$DS$1),EI26*DS26),0)</f>
        <v>0</v>
      </c>
      <c r="DZ26" s="1161">
        <f>IFERROR(IF(AND($DS$2&lt;&gt;"Enter Spend&gt;&gt;&gt;",DT2="EXISTING"),SUMIFS('Existing Customers'!$U:$U,'Existing Customers'!$H:$H,$DR26,'Existing Customers'!$A:$A,$DS$1),EJ26*DS26),0)</f>
        <v>0</v>
      </c>
      <c r="EA26" s="1164" t="e">
        <f t="shared" si="36"/>
        <v>#N/A</v>
      </c>
      <c r="EB26" s="1164">
        <f t="array" ref="EB26">IFERROR(INDEX('Margin Guidence Table'!$A$1:$AG$10000,MATCH(1,('Margin Guidence Table'!$A$1:$A$10000=EA26)*('Margin Guidence Table'!$I$1:$I$10000&lt;=ROUND($DS$3,0))*('Margin Guidence Table'!$J$1:$J$10000&gt;=ROUND($DS$3,0)),0),MATCH("DATA_POINTS",'Margin Guidence Table'!$A$1:$AG$1,0)),0)</f>
        <v>0</v>
      </c>
      <c r="EC26" s="1161" t="str">
        <f t="shared" si="37"/>
        <v>DEFAULT</v>
      </c>
      <c r="ED26" s="116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16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16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16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16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16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16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16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9"/>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96" t="e">
        <f t="shared" si="38"/>
        <v>#DIV/0!</v>
      </c>
      <c r="EO26" s="102" t="s">
        <v>105</v>
      </c>
      <c r="EP26" s="94">
        <f>IFERROR(IF(AND($EP$2&lt;&gt;"Enter Spend&gt;&gt;&gt;",EQ14="EXISTING"),SUMIFS('Existing Customers'!$Q:$Q,'Existing Customers'!$A:$A,$EP$1,'Existing Customers'!$H:$H,$EO26)*$EP$4,$EP$3*$EN26),0)</f>
        <v>0</v>
      </c>
      <c r="EQ26" s="89">
        <f>IFERROR(IF(AND($EP$2&lt;&gt;"Enter Spend&gt;&gt;&gt;",EQ2="EXISTING"),SUMIFS('Existing Customers'!$N:$N,'Existing Customers'!$A:$A,$EP$1,'Existing Customers'!$H:$H,$EO26)*$EP$4,$EP26/$FA26),0)</f>
        <v>0</v>
      </c>
      <c r="ER26" s="95">
        <f>IFERROR(IF(AND($EP$2&lt;&gt;"Enter Spend&gt;&gt;&gt;",EQ2="EXISTING"),SUMIFS('Existing Customers'!$O:$O,'Existing Customers'!$H:$H,$EO26,'Existing Customers'!$A:$A,$EP$1)*$EP$4,$EQ26*$EP$8),0)</f>
        <v>0</v>
      </c>
      <c r="ES26" s="95">
        <f>IFERROR(IF(AND($EP$2&lt;&gt;"Enter Spend&gt;&gt;&gt;",EQ2="EXISTING"),SUMIFS('Existing Customers'!$P:$P,'Existing Customers'!$A:$A,$EP$1,'Existing Customers'!$H:$H,$EO26)*$EP$4,$EP26/$FB26),0)</f>
        <v>0</v>
      </c>
      <c r="ET26" s="96">
        <f>IFERROR(IF(AND($EP$2&lt;&gt;"Enter Spend&gt;&gt;&gt;",EQ2="EXISTING"),SUMIFS('Existing Customers'!$V:$V,'Existing Customers'!$H:$H,$EO26,'Existing Customers'!$A:$A,$EP$1)*$EP$4,0),0)</f>
        <v>0</v>
      </c>
      <c r="EU26" s="96">
        <f>IFERROR(IF(AND($EP$2&lt;&gt;"Enter Spend&gt;&gt;&gt;",EQ2="EXISTING"),SUMIFS('Existing Customers'!$R:$R,'Existing Customers'!$H:$H,$EO26,'Existing Customers'!$A:$A,$EP$1)*$EP$4,0),0)</f>
        <v>0</v>
      </c>
      <c r="EV26" s="1161">
        <f>IFERROR(IF(AND($EP$2&lt;&gt;"Enter Spend&gt;&gt;&gt;",EQ2="EXISTING"),SUMIFS('Existing Customers'!$S:$S,'Existing Customers'!$H:$H,$EO26,'Existing Customers'!$A:$A,$EP$1),FF26*EP26),0)</f>
        <v>0</v>
      </c>
      <c r="EW26" s="1161">
        <f>IFERROR(IF(AND($EP$2&lt;&gt;"Enter Spend&gt;&gt;&gt;",EQ2="EXISTING"),SUMIFS('Existing Customers'!$U:$U,'Existing Customers'!$H:$H,$EO26,'Existing Customers'!$A:$A,$EP$1),FG26*EP26),0)</f>
        <v>0</v>
      </c>
      <c r="EX26" s="1164" t="e">
        <f t="shared" si="39"/>
        <v>#N/A</v>
      </c>
      <c r="EY26" s="1164">
        <f t="array" ref="EY26">IFERROR(INDEX('Margin Guidence Table'!$A$1:$AG$10000,MATCH(1,('Margin Guidence Table'!$A$1:$A$10000=EX26)*('Margin Guidence Table'!$I$1:$I$10000&lt;=ROUND($EP$3,0))*('Margin Guidence Table'!$J$1:$J$10000&gt;=ROUND($EP$3,0)),0),MATCH("DATA_POINTS",'Margin Guidence Table'!$A$1:$AG$1,0)),0)</f>
        <v>0</v>
      </c>
      <c r="EZ26" s="1161" t="str">
        <f t="shared" si="40"/>
        <v>DEFAULT</v>
      </c>
      <c r="FA26" s="116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16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16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16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16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16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16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16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9"/>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96" t="e">
        <f t="shared" si="41"/>
        <v>#DIV/0!</v>
      </c>
      <c r="FL26" s="102" t="s">
        <v>105</v>
      </c>
      <c r="FM26" s="94">
        <f>IFERROR(IF(AND($FM$2&lt;&gt;"Enter Spend&gt;&gt;&gt;",FN14="EXISTING"),SUMIFS('Existing Customers'!$Q:$Q,'Existing Customers'!$A:$A,$FM$1,'Existing Customers'!$H:$H,$FL26)*$FM$4,$FM$3*$FK26),0)</f>
        <v>0</v>
      </c>
      <c r="FN26" s="89">
        <f>IFERROR(IF(AND($FM$2&lt;&gt;"Enter Spend&gt;&gt;&gt;",FN2="EXISTING"),SUMIFS('Existing Customers'!$N:$N,'Existing Customers'!$A:$A,$FM$1,'Existing Customers'!$H:$H,$FL26)*$FM$4,$FM26/$FX26),0)</f>
        <v>0</v>
      </c>
      <c r="FO26" s="95">
        <f>IFERROR(IF(AND($FM$2&lt;&gt;"Enter Spend&gt;&gt;&gt;",FN2="EXISTING"),SUMIFS('Existing Customers'!$O:$O,'Existing Customers'!$H:$H,$FL26,'Existing Customers'!$A:$A,$FM$1)*$FM$4,$FN26*$FM$8),0)</f>
        <v>0</v>
      </c>
      <c r="FP26" s="95">
        <f>IFERROR(IF(AND($FM$2&lt;&gt;"Enter Spend&gt;&gt;&gt;",FN2="EXISTING"),SUMIFS('Existing Customers'!$P:$P,'Existing Customers'!$A:$A,$FM$1,'Existing Customers'!$H:$H,$FL26)*$FM$4,$FM26/$FY26),0)</f>
        <v>0</v>
      </c>
      <c r="FQ26" s="96">
        <f>IFERROR(IF(AND($FM$2&lt;&gt;"Enter Spend&gt;&gt;&gt;",FN2="EXISTING"),SUMIFS('Existing Customers'!$V:$V,'Existing Customers'!$H:$H,$FL26,'Existing Customers'!$A:$A,$FM$1)*$FM$4,0),0)</f>
        <v>0</v>
      </c>
      <c r="FR26" s="96">
        <f>IFERROR(IF(AND($FM$2&lt;&gt;"Enter Spend&gt;&gt;&gt;",FN2="EXISTING"),SUMIFS('Existing Customers'!$R:$R,'Existing Customers'!$H:$H,$FL26,'Existing Customers'!$A:$A,$FM$1)*$FM$4,0),0)</f>
        <v>0</v>
      </c>
      <c r="FS26" s="1161">
        <f>IFERROR(IF(AND($FM$2&lt;&gt;"Enter Spend&gt;&gt;&gt;",FN2="EXISTING"),SUMIFS('Existing Customers'!$S:$S,'Existing Customers'!$H:$H,$FL26,'Existing Customers'!$A:$A,$FM$1),GC26*FM26),0)</f>
        <v>0</v>
      </c>
      <c r="FT26" s="1161">
        <f>IFERROR(IF(AND($FM$2&lt;&gt;"Enter Spend&gt;&gt;&gt;",FN2="EXISTING"),SUMIFS('Existing Customers'!$U:$U,'Existing Customers'!$H:$H,$FL26,'Existing Customers'!$A:$A,$FM$1),GD26*FM26),0)</f>
        <v>0</v>
      </c>
      <c r="FU26" s="1164" t="e">
        <f t="shared" si="42"/>
        <v>#N/A</v>
      </c>
      <c r="FV26" s="1164">
        <f t="array" ref="FV26">IFERROR(INDEX('Margin Guidence Table'!$A$1:$AG$10000,MATCH(1,('Margin Guidence Table'!$A$1:$A$10000=FU26)*('Margin Guidence Table'!$I$1:$I$10000&lt;=ROUND($FM$3,0))*('Margin Guidence Table'!$J$1:$J$10000&gt;=ROUND($FM$3,0)),0),MATCH("DATA_POINTS",'Margin Guidence Table'!$A$1:$AG$1,0)),0)</f>
        <v>0</v>
      </c>
      <c r="FW26" s="1161" t="str">
        <f t="shared" si="43"/>
        <v>DEFAULT</v>
      </c>
      <c r="FX26" s="116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16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16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16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16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16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16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16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9"/>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96" t="e">
        <f t="shared" si="44"/>
        <v>#DIV/0!</v>
      </c>
      <c r="GI26" s="102" t="s">
        <v>105</v>
      </c>
      <c r="GJ26" s="94">
        <f>IFERROR(IF(AND($GJ$2&lt;&gt;"Enter Spend&gt;&gt;&gt;",GK14="EXISTING"),SUMIFS('Existing Customers'!$Q:$Q,'Existing Customers'!$A:$A,$GJ$1,'Existing Customers'!$H:$H,$GI26)*$GJ$4,$GJ$3*$GH26),0)</f>
        <v>0</v>
      </c>
      <c r="GK26" s="89">
        <f>IFERROR(IF(AND($GJ$2&lt;&gt;"Enter Spend&gt;&gt;&gt;",GK2="EXISTING"),SUMIFS('Existing Customers'!$N:$N,'Existing Customers'!$A:$A,$GJ$1,'Existing Customers'!$H:$H,$GI26)*$GJ$4,$GJ26/$GU26),0)</f>
        <v>0</v>
      </c>
      <c r="GL26" s="95">
        <f>IFERROR(IF(AND($GJ$2&lt;&gt;"Enter Spend&gt;&gt;&gt;",GK2="EXISTING"),SUMIFS('Existing Customers'!$O:$O,'Existing Customers'!$H:$H,$GI26,'Existing Customers'!$A:$A,$GJ$1)*$GJ$4,$GK26*$GJ$8),0)</f>
        <v>0</v>
      </c>
      <c r="GM26" s="95">
        <f>IFERROR(IF(AND($GJ$2&lt;&gt;"Enter Spend&gt;&gt;&gt;",GK2="EXISTING"),SUMIFS('Existing Customers'!$P:$P,'Existing Customers'!$A:$A,$GJ$1,'Existing Customers'!$H:$H,$GI26)*$GJ$4,$GJ26/$GV26),0)</f>
        <v>0</v>
      </c>
      <c r="GN26" s="96">
        <f>IFERROR(IF(AND($GJ$2&lt;&gt;"Enter Spend&gt;&gt;&gt;",GK2="EXISTING"),SUMIFS('Existing Customers'!$V:$V,'Existing Customers'!$H:$H,$GI26,'Existing Customers'!$A:$A,$GJ$1)*$GJ$4,0),0)</f>
        <v>0</v>
      </c>
      <c r="GO26" s="96">
        <f>IFERROR(IF(AND($GJ$2&lt;&gt;"Enter Spend&gt;&gt;&gt;",GK2="EXISTING"),SUMIFS('Existing Customers'!$R:$R,'Existing Customers'!$H:$H,$GI26,'Existing Customers'!$A:$A,$GJ$1)*$GJ$4,0),0)</f>
        <v>0</v>
      </c>
      <c r="GP26" s="1161">
        <f>IFERROR(IF(AND($GJ$2&lt;&gt;"Enter Spend&gt;&gt;&gt;",GK2="EXISTING"),SUMIFS('Existing Customers'!$S:$S,'Existing Customers'!$H:$H,$GI26,'Existing Customers'!$A:$A,$GJ$1),GZ26*GJ26),0)</f>
        <v>0</v>
      </c>
      <c r="GQ26" s="1161">
        <f>IFERROR(IF(AND($GJ$2&lt;&gt;"Enter Spend&gt;&gt;&gt;",GK2="EXISTING"),SUMIFS('Existing Customers'!$U:$U,'Existing Customers'!$H:$H,$GI26,'Existing Customers'!$A:$A,$GJ$1),HA26*GJ26),0)</f>
        <v>0</v>
      </c>
      <c r="GR26" s="1164" t="e">
        <f t="shared" si="45"/>
        <v>#N/A</v>
      </c>
      <c r="GS26" s="1164">
        <f t="array" ref="GS26">IFERROR(INDEX('Margin Guidence Table'!$A$1:$AG$10000,MATCH(1,('Margin Guidence Table'!$A$1:$A$10000=GR26)*('Margin Guidence Table'!$I$1:$I$10000&lt;=ROUND($GJ$3,0))*('Margin Guidence Table'!$J$1:$J$10000&gt;=ROUND($GJ$3,0)),0),MATCH("DATA_POINTS",'Margin Guidence Table'!$A$1:$AG$1,0)),0)</f>
        <v>0</v>
      </c>
      <c r="GT26" s="1161" t="str">
        <f t="shared" si="46"/>
        <v>DEFAULT</v>
      </c>
      <c r="GU26" s="116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16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16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16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16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16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16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16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9"/>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96" t="e">
        <f t="shared" si="47"/>
        <v>#DIV/0!</v>
      </c>
      <c r="HF26" s="102" t="s">
        <v>105</v>
      </c>
      <c r="HG26" s="94">
        <f>IFERROR(IF(AND($HG$2&lt;&gt;"Enter Spend&gt;&gt;&gt;",HH14="EXISTING"),SUMIFS('Existing Customers'!$Q:$Q,'Existing Customers'!$A:$A,$HG$1,'Existing Customers'!$H:$H,$HF26)*$HG$4,$HG$3*$HE26),0)</f>
        <v>0</v>
      </c>
      <c r="HH26" s="89">
        <f>IFERROR(IF(AND($HG$2&lt;&gt;"Enter Spend&gt;&gt;&gt;",HH2="EXISTING"),SUMIFS('Existing Customers'!$N:$N,'Existing Customers'!$A:$A,$HG$1,'Existing Customers'!$H:$H,$HF26)*$HG$4,$HG26/$HR26),0)</f>
        <v>0</v>
      </c>
      <c r="HI26" s="95">
        <f>IFERROR(IF(AND($HG$2&lt;&gt;"Enter Spend&gt;&gt;&gt;",HH2="EXISTING"),SUMIFS('Existing Customers'!$O:$O,'Existing Customers'!$H:$H,$HF26,'Existing Customers'!$A:$A,$HG$1)*$HG$4,$HH26*$HG$8),0)</f>
        <v>0</v>
      </c>
      <c r="HJ26" s="95">
        <f>IFERROR(IF(AND($HG$2&lt;&gt;"Enter Spend&gt;&gt;&gt;",HH2="EXISTING"),SUMIFS('Existing Customers'!$P:$P,'Existing Customers'!$A:$A,$HG$1,'Existing Customers'!$H:$H,$HF26)*$HG$4,$HG26/$HS26),0)</f>
        <v>0</v>
      </c>
      <c r="HK26" s="96">
        <f>IFERROR(IF(AND($HG$2&lt;&gt;"Enter Spend&gt;&gt;&gt;",HH2="EXISTING"),SUMIFS('Existing Customers'!$V:$V,'Existing Customers'!$H:$H,$HF26,'Existing Customers'!$A:$A,$HG$1)*$HG$4,0),0)</f>
        <v>0</v>
      </c>
      <c r="HL26" s="96">
        <f>IFERROR(IF(AND($HG$2&lt;&gt;"Enter Spend&gt;&gt;&gt;",HH2="EXISTING"),SUMIFS('Existing Customers'!$R:$R,'Existing Customers'!$H:$H,$HF26,'Existing Customers'!$A:$A,$HG$1)*$HG$4,0),0)</f>
        <v>0</v>
      </c>
      <c r="HM26" s="1161">
        <f>IFERROR(IF(AND($HG$2&lt;&gt;"Enter Spend&gt;&gt;&gt;",HH2="EXISTING"),SUMIFS('Existing Customers'!$S:$S,'Existing Customers'!$H:$H,$HF26,'Existing Customers'!$A:$A,$HG$1),HW26*HG26),0)</f>
        <v>0</v>
      </c>
      <c r="HN26" s="1161">
        <f>IFERROR(IF(AND($HG$2&lt;&gt;"Enter Spend&gt;&gt;&gt;",HH2="EXISTING"),SUMIFS('Existing Customers'!$U:$U,'Existing Customers'!$H:$H,$HF26,'Existing Customers'!$A:$A,$HG$1),HX26*HG26),0)</f>
        <v>0</v>
      </c>
      <c r="HO26" s="1164" t="e">
        <f t="shared" si="48"/>
        <v>#N/A</v>
      </c>
      <c r="HP26" s="1164">
        <f t="array" ref="HP26">IFERROR(INDEX('Margin Guidence Table'!$A$1:$AG$10000,MATCH(1,('Margin Guidence Table'!$A$1:$A$10000=HO26)*('Margin Guidence Table'!$I$1:$I$10000&lt;=ROUND($HG$3,0))*('Margin Guidence Table'!$J$1:$J$10000&gt;=ROUND($HG$3,0)),0),MATCH("DATA_POINTS",'Margin Guidence Table'!$A$1:$AG$1,0)),0)</f>
        <v>0</v>
      </c>
      <c r="HQ26" s="1161" t="str">
        <f t="shared" si="49"/>
        <v>DEFAULT</v>
      </c>
      <c r="HR26" s="116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16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16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16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16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16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16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16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9"/>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96" t="e">
        <f t="shared" si="50"/>
        <v>#DIV/0!</v>
      </c>
      <c r="IC26" s="102" t="s">
        <v>105</v>
      </c>
      <c r="ID26" s="94">
        <f>IFERROR(IF(AND($ID$2&lt;&gt;"Enter Spend&gt;&gt;&gt;",IE14="EXISTING"),SUMIFS('Existing Customers'!$Q:$Q,'Existing Customers'!$A:$A,$ID$1,'Existing Customers'!$H:$H,$IC26)*$ID$4,$ID$3*$IB26),0)</f>
        <v>0</v>
      </c>
      <c r="IE26" s="89">
        <f>IFERROR(IF(AND($ID$2&lt;&gt;"Enter Spend&gt;&gt;&gt;",IE2="EXISTING"),SUMIFS('Existing Customers'!$N:$N,'Existing Customers'!$A:$A,$ID$1,'Existing Customers'!$H:$H,$IC26)*$ID$4,$ID26/$IO26),0)</f>
        <v>0</v>
      </c>
      <c r="IF26" s="95">
        <f>IFERROR(IF(AND($ID$2&lt;&gt;"Enter Spend&gt;&gt;&gt;",IE2="EXISTING"),SUMIFS('Existing Customers'!$O:$O,'Existing Customers'!$H:$H,$IC26,'Existing Customers'!$A:$A,$ID$1)*$ID$4,$IE26*$ID$8),0)</f>
        <v>0</v>
      </c>
      <c r="IG26" s="95">
        <f>IFERROR(IF(AND($ID$2&lt;&gt;"Enter Spend&gt;&gt;&gt;",IE2="EXISTING"),SUMIFS('Existing Customers'!$P:$P,'Existing Customers'!$A:$A,$ID$1,'Existing Customers'!$H:$H,$IC26)*$ID$4,$ID26/$IP26),0)</f>
        <v>0</v>
      </c>
      <c r="IH26" s="402">
        <f>IFERROR(IF(AND($ID$2&lt;&gt;"Enter Spend&gt;&gt;&gt;",IE2="EXISTING"),SUMIFS('Existing Customers'!$V:$V,'Existing Customers'!$H:$H,$IC26,'Existing Customers'!$A:$A,$ID$1)*$ID$4,0),0)</f>
        <v>0</v>
      </c>
      <c r="II26" s="96">
        <f>IFERROR(IF(AND($ID$2&lt;&gt;"Enter Spend&gt;&gt;&gt;",IE2="EXISTING"),SUMIFS('Existing Customers'!$R:$R,'Existing Customers'!$H:$H,$IC26,'Existing Customers'!$A:$A,$ID$1)*$ID$4,0),0)</f>
        <v>0</v>
      </c>
      <c r="IJ26" s="1161">
        <f>IFERROR(IF(AND($ID$2&lt;&gt;"Enter Spend&gt;&gt;&gt;",IE2="EXISTING"),SUMIFS('Existing Customers'!$S:$S,'Existing Customers'!$H:$H,$IC26,'Existing Customers'!$A:$A,$ID$1),IT26*ID26),0)</f>
        <v>0</v>
      </c>
      <c r="IK26" s="1161">
        <f>IFERROR(IF(AND($ID$2&lt;&gt;"Enter Spend&gt;&gt;&gt;",IE2="EXISTING"),SUMIFS('Existing Customers'!$U:$U,'Existing Customers'!$H:$H,$IC26,'Existing Customers'!$A:$A,$ID$1),IU26*ID26),0)</f>
        <v>0</v>
      </c>
      <c r="IL26" s="1164" t="e">
        <f t="shared" si="51"/>
        <v>#N/A</v>
      </c>
      <c r="IM26" s="1164">
        <f t="array" ref="IM26">IFERROR(INDEX('Margin Guidence Table'!$A$1:$AG$10000,MATCH(1,('Margin Guidence Table'!$A$1:$A$10000=IL26)*('Margin Guidence Table'!$I$1:$I$10000&lt;=ROUND($ID$3,0))*('Margin Guidence Table'!$J$1:$J$10000&gt;=ROUND($ID$3,0)),0),MATCH("DATA_POINTS",'Margin Guidence Table'!$A$1:$AG$1,0)),0)</f>
        <v>0</v>
      </c>
      <c r="IN26" s="1161" t="str">
        <f t="shared" si="52"/>
        <v>DEFAULT</v>
      </c>
      <c r="IO26" s="116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16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16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16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16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16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16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16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9"/>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96" t="e">
        <f t="shared" si="53"/>
        <v>#DIV/0!</v>
      </c>
      <c r="IZ26" s="102" t="s">
        <v>105</v>
      </c>
      <c r="JA26" s="94">
        <f>IFERROR(IF(AND($JA$2&lt;&gt;"Enter Spend&gt;&gt;&gt;",JB14="EXISTING"),SUMIFS('Existing Customers'!$Q:$Q,'Existing Customers'!$A:$A,$JA$1,'Existing Customers'!$H:$H,$IZ26)*$JA$4,$JA$3*$IY26),0)</f>
        <v>0</v>
      </c>
      <c r="JB26" s="89">
        <f>IFERROR(IF(AND($JA$2&lt;&gt;"Enter Spend&gt;&gt;&gt;",JB2="EXISTING"),SUMIFS('Existing Customers'!$N:$N,'Existing Customers'!$A:$A,$JA$1,'Existing Customers'!$H:$H,$IZ26)*$JA$4,$JA26/$JL26),0)</f>
        <v>0</v>
      </c>
      <c r="JC26" s="95">
        <f>IFERROR(IF(AND($JA$2&lt;&gt;"Enter Spend&gt;&gt;&gt;",JB2="EXISTING"),SUMIFS('Existing Customers'!$O:$O,'Existing Customers'!$H:$H,$IZ26,'Existing Customers'!$A:$A,$JA$1)*$JA$4,$JB26*$JA$8),0)</f>
        <v>0</v>
      </c>
      <c r="JD26" s="95">
        <f>IFERROR(IF(AND($JA$2&lt;&gt;"Enter Spend&gt;&gt;&gt;",JB2="EXISTING"),SUMIFS('Existing Customers'!$P:$P,'Existing Customers'!$A:$A,$JA$1,'Existing Customers'!$H:$H,$IZ26)*$JA$4,$JA26/$JM26),0)</f>
        <v>0</v>
      </c>
      <c r="JE26" s="402">
        <f>IFERROR(IF(AND($JA$2&lt;&gt;"Enter Spend&gt;&gt;&gt;",JB2="EXISTING"),SUMIFS('Existing Customers'!$V:$V,'Existing Customers'!$H:$H,$IZ26,'Existing Customers'!$A:$A,$JA$1)*$JA$4,0),0)</f>
        <v>0</v>
      </c>
      <c r="JF26" s="96">
        <f>IFERROR(IF(AND($JA$2&lt;&gt;"Enter Spend&gt;&gt;&gt;",JB2="EXISTING"),SUMIFS('Existing Customers'!$R:$R,'Existing Customers'!$H:$H,$IZ26,'Existing Customers'!$A:$A,$JA$1)*$JA$4,0),0)</f>
        <v>0</v>
      </c>
      <c r="JG26" s="1161">
        <f>IFERROR(IF(AND($JA$2&lt;&gt;"Enter Spend&gt;&gt;&gt;",JB2="EXISTING"),SUMIFS('Existing Customers'!$S:$S,'Existing Customers'!$H:$H,$IZ26,'Existing Customers'!$A:$A,$JA$1),JQ26*JA26),0)</f>
        <v>0</v>
      </c>
      <c r="JH26" s="1161">
        <f>IFERROR(IF(AND($JA$2&lt;&gt;"Enter Spend&gt;&gt;&gt;",JB2="EXISTING"),SUMIFS('Existing Customers'!$U:$U,'Existing Customers'!$H:$H,$IZ26,'Existing Customers'!$A:$A,$JA$1),JR26*JA26),0)</f>
        <v>0</v>
      </c>
      <c r="JI26" s="1164" t="e">
        <f t="shared" si="54"/>
        <v>#N/A</v>
      </c>
      <c r="JJ26" s="1164">
        <f t="array" ref="JJ26">IFERROR(INDEX('Margin Guidence Table'!$A$1:$AG$10000,MATCH(1,('Margin Guidence Table'!$A$1:$A$10000=JI26)*('Margin Guidence Table'!$I$1:$I$10000&lt;=ROUND($JA$3,0))*('Margin Guidence Table'!$J$1:$J$10000&gt;=ROUND($JA$3,0)),0),MATCH("DATA_POINTS",'Margin Guidence Table'!$A$1:$AG$1,0)),0)</f>
        <v>0</v>
      </c>
      <c r="JK26" s="1161" t="str">
        <f t="shared" si="55"/>
        <v>DEFAULT</v>
      </c>
      <c r="JL26" s="116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16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16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16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16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16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16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16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2" t="s">
        <v>105</v>
      </c>
      <c r="JV26" s="97"/>
      <c r="JW26" s="89"/>
      <c r="JX26" s="89"/>
      <c r="JY26" s="89"/>
      <c r="JZ26" s="114"/>
      <c r="KA26" s="98"/>
      <c r="KB26" s="129"/>
      <c r="KD26" s="102" t="s">
        <v>105</v>
      </c>
      <c r="KE26" s="97"/>
      <c r="KF26" s="89"/>
      <c r="KG26" s="89"/>
      <c r="KH26" s="89"/>
      <c r="KI26" s="114"/>
      <c r="KJ26" s="98"/>
    </row>
    <row r="27" spans="2:296" ht="15.75" thickBot="1" x14ac:dyDescent="0.3">
      <c r="B27" s="102" t="s">
        <v>92</v>
      </c>
      <c r="C27" s="480">
        <f t="shared" si="11"/>
        <v>0</v>
      </c>
      <c r="D27" s="496">
        <f t="shared" si="12"/>
        <v>0</v>
      </c>
      <c r="E27" s="496">
        <f t="shared" si="13"/>
        <v>0</v>
      </c>
      <c r="F27" s="496">
        <f t="shared" si="14"/>
        <v>0</v>
      </c>
      <c r="G27" s="497">
        <f t="shared" si="15"/>
        <v>0</v>
      </c>
      <c r="H27" s="496">
        <f t="shared" si="16"/>
        <v>0</v>
      </c>
      <c r="I27" s="1157" t="e">
        <f t="shared" si="0"/>
        <v>#DIV/0!</v>
      </c>
      <c r="J27" s="1157" t="e">
        <f t="shared" si="1"/>
        <v>#DIV/0!</v>
      </c>
      <c r="K27" s="1157" t="e">
        <f t="shared" si="2"/>
        <v>#DIV/0!</v>
      </c>
      <c r="L27" s="496" t="e">
        <f t="shared" si="3"/>
        <v>#DIV/0!</v>
      </c>
      <c r="M27" s="496" t="e">
        <f t="shared" si="17"/>
        <v>#DIV/0!</v>
      </c>
      <c r="N27" s="1158" t="e">
        <f t="shared" si="4"/>
        <v>#DIV/0!</v>
      </c>
      <c r="P27" t="str">
        <f>'PIM Model'!E23</f>
        <v>INCLUDE</v>
      </c>
      <c r="Q27">
        <f t="shared" si="18"/>
        <v>0</v>
      </c>
      <c r="R27">
        <f t="shared" si="19"/>
        <v>0</v>
      </c>
      <c r="S27" s="102" t="s">
        <v>92</v>
      </c>
      <c r="T27" s="97">
        <f t="shared" si="20"/>
        <v>0</v>
      </c>
      <c r="U27" s="89">
        <f t="shared" si="5"/>
        <v>0</v>
      </c>
      <c r="V27" s="89">
        <f t="shared" si="6"/>
        <v>0</v>
      </c>
      <c r="W27" s="89">
        <f t="shared" si="7"/>
        <v>0</v>
      </c>
      <c r="X27" s="114">
        <f t="shared" si="8"/>
        <v>0</v>
      </c>
      <c r="Y27" s="117">
        <f t="shared" si="21"/>
        <v>0</v>
      </c>
      <c r="Z27" s="400"/>
      <c r="AA27" s="102" t="s">
        <v>92</v>
      </c>
      <c r="AB27" s="484">
        <f t="shared" si="9"/>
        <v>0</v>
      </c>
      <c r="AC27" s="485">
        <f t="shared" si="9"/>
        <v>0</v>
      </c>
      <c r="AD27" s="485">
        <f t="shared" si="9"/>
        <v>0</v>
      </c>
      <c r="AE27" s="486">
        <f t="shared" si="22"/>
        <v>0</v>
      </c>
      <c r="AF27" s="487">
        <f t="shared" si="23"/>
        <v>0</v>
      </c>
      <c r="AG27" s="400"/>
      <c r="AH27" s="102" t="s">
        <v>92</v>
      </c>
      <c r="AI27" s="484">
        <f t="shared" si="10"/>
        <v>0</v>
      </c>
      <c r="AJ27" s="481">
        <f t="shared" si="24"/>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400" t="e">
        <f t="shared" si="25"/>
        <v>#DIV/0!</v>
      </c>
      <c r="AR27">
        <f>'PIM Model'!C23</f>
        <v>0</v>
      </c>
      <c r="AS27" s="400"/>
      <c r="AT27" s="400"/>
      <c r="AU27" s="400" t="e">
        <f t="shared" si="56"/>
        <v>#DIV/0!</v>
      </c>
      <c r="AV27" s="400"/>
      <c r="AW27" s="400"/>
      <c r="AX27" s="108">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96" t="e">
        <f t="shared" si="26"/>
        <v>#DIV/0!</v>
      </c>
      <c r="BA27" s="102" t="s">
        <v>92</v>
      </c>
      <c r="BB27" s="94">
        <f>IFERROR(IF(AND($BB$2&lt;&gt;"Enter Spend&gt;&gt;&gt;",BC15="EXISTING"),SUMIFS('Existing Customers'!$Q:$Q,'Existing Customers'!$A:$A,$BB$1,'Existing Customers'!$H:$H,$BA27)*$BB$4,$BB$3*$AZ27),0)</f>
        <v>0</v>
      </c>
      <c r="BC27" s="95">
        <f>IFERROR(IF(AND($BB$2&lt;&gt;"Enter Spend&gt;&gt;&gt;",BC2="EXISTING"),SUMIFS('Existing Customers'!$N:$N,'Existing Customers'!$A:$A,$BB$1,'Existing Customers'!$H:$H,$BA27)*$BB$4,$BB27/$BM27),0)</f>
        <v>0</v>
      </c>
      <c r="BD27" s="95">
        <f>IFERROR(IF(AND($BB$2&lt;&gt;"Enter Spend&gt;&gt;&gt;",BC2="EXISTING"),SUMIFS('Existing Customers'!$O:$O,'Existing Customers'!$H:$H,$BA27,'Existing Customers'!$A:$A,$BB$1)*$BB$4,$BC27*$BB$8),0)</f>
        <v>0</v>
      </c>
      <c r="BE27" s="95">
        <f>IFERROR(IF(AND($BB$2&lt;&gt;"Enter Spend&gt;&gt;&gt;",BC2="EXISTING"),SUMIFS('Existing Customers'!$P:$P,'Existing Customers'!$A:$A,$BB$1,'Existing Customers'!$H:$H,$BA27)*$BB$4,$BB27/$BN27),0)</f>
        <v>0</v>
      </c>
      <c r="BF27" s="402">
        <f>IFERROR(IF(AND($BB$2&lt;&gt;"Enter Spend&gt;&gt;&gt;",BC2="EXISTING"),SUMIFS('Existing Customers'!$V:$V,'Existing Customers'!$H:$H,$BA27,'Existing Customers'!$A:$A,$BB$1)*$BB$4,0),0)</f>
        <v>0</v>
      </c>
      <c r="BG27" s="96">
        <f>IFERROR(IF(AND($BB$2&lt;&gt;"Enter Spend&gt;&gt;&gt;",BC2="EXISTING"),SUMIFS('Existing Customers'!$R:$R,'Existing Customers'!$H:$H,$BA27,'Existing Customers'!$A:$A,$BB$1)*$BB$4,0),0)</f>
        <v>0</v>
      </c>
      <c r="BH27" s="96">
        <f>IFERROR(IF(AND($BB$2&lt;&gt;"Enter Spend&gt;&gt;&gt;",BC2="EXISTING"),SUMIFS('Existing Customers'!$S:$S,'Existing Customers'!$H:$H,$BA27,'Existing Customers'!$A:$A,$BB$1),BR27*BB27),0)</f>
        <v>0</v>
      </c>
      <c r="BI27" s="96">
        <f>IFERROR(IF(AND($BB$2&lt;&gt;"Enter Spend&gt;&gt;&gt;",BC2="EXISTING"),SUMIFS('Existing Customers'!$U:$U,'Existing Customers'!$H:$H,$BA27,'Existing Customers'!$A:$A,$BB$1),BS27*BB27),0)</f>
        <v>0</v>
      </c>
      <c r="BJ27" s="1163" t="e">
        <f t="shared" si="27"/>
        <v>#N/A</v>
      </c>
      <c r="BK27" s="1164">
        <f t="array" ref="BK27">IFERROR(INDEX('Margin Guidence Table'!$A$1:$AG$10000,MATCH(1,('Margin Guidence Table'!$A$1:$A$10000=$BJ27)*('Margin Guidence Table'!$I$1:$I$10000&lt;=ROUND($BB$3,0))*('Margin Guidence Table'!$J$1:$J$10000&gt;=ROUND($BB$3,0)),0),MATCH("DATA_POINTS",'Margin Guidence Table'!$A$1:$AG$1,0)),0)</f>
        <v>0</v>
      </c>
      <c r="BL27" s="1161" t="str">
        <f t="shared" si="28"/>
        <v>DEFAULT</v>
      </c>
      <c r="BM27" s="116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16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16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16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16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16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16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16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9"/>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96" t="e">
        <f t="shared" si="29"/>
        <v>#DIV/0!</v>
      </c>
      <c r="BX27" s="102" t="s">
        <v>92</v>
      </c>
      <c r="BY27" s="94">
        <f>IFERROR(IF(AND($BY$2&lt;&gt;"Enter Spend&gt;&gt;&gt;",BZ15="EXISTING"),SUMIFS('Existing Customers'!$Q:$Q,'Existing Customers'!$A:$A,$BY$1,'Existing Customers'!$H:$H,$BX27)*$BY$4,$BY$3*$BW27),0)</f>
        <v>0</v>
      </c>
      <c r="BZ27" s="89">
        <f>IFERROR(IF(AND($BY$2&lt;&gt;"Enter Spend&gt;&gt;&gt;",BZ2="EXISTING"),SUMIFS('Existing Customers'!$N:$N,'Existing Customers'!$A:$A,$BY$1,'Existing Customers'!$H:$H,$BX27)*$BY$4,$BY27/$CJ27),0)</f>
        <v>0</v>
      </c>
      <c r="CA27" s="95">
        <f>IFERROR(IF(AND($BY$2&lt;&gt;"Enter Spend&gt;&gt;&gt;",BZ2="EXISTING"),SUMIFS('Existing Customers'!$O:$O,'Existing Customers'!$H:$H,$BX27,'Existing Customers'!$A:$A,$BY$1)*$BY$4,$BZ27*$BY$8),0)</f>
        <v>0</v>
      </c>
      <c r="CB27" s="95">
        <f>IFERROR(IF(AND($BY$2&lt;&gt;"Enter Spend&gt;&gt;&gt;",BZ2="EXISTING"),SUMIFS('Existing Customers'!$P:$P,'Existing Customers'!$A:$A,$BY$1,'Existing Customers'!$H:$H,$BX27)*$BY$4,$BY27/$CK27),0)</f>
        <v>0</v>
      </c>
      <c r="CC27" s="96">
        <f>IFERROR(IF(AND($BY$2&lt;&gt;"Enter Spend&gt;&gt;&gt;",BZ2="EXISTING"),SUMIFS('Existing Customers'!$V:$V,'Existing Customers'!$H:$H,$BX27,'Existing Customers'!$A:$A,$BY$1)*$BY$4,0),0)</f>
        <v>0</v>
      </c>
      <c r="CD27" s="96">
        <f>IFERROR(IF(AND($BY$2&lt;&gt;"Enter Spend&gt;&gt;&gt;",BZ2="EXISTING"),SUMIFS('Existing Customers'!$R:$R,'Existing Customers'!$H:$H,$BX27,'Existing Customers'!$A:$A,$BY$1)*$BY$4,0),0)</f>
        <v>0</v>
      </c>
      <c r="CE27" s="1161">
        <f>IFERROR(IF(AND($BY$2&lt;&gt;"Enter Spend&gt;&gt;&gt;",BZ2="EXISTING"),SUMIFS('Existing Customers'!$S:$S,'Existing Customers'!$H:$H,$BX27,'Existing Customers'!$A:$A,$BY$1),CO27*BY27),0)</f>
        <v>0</v>
      </c>
      <c r="CF27" s="1161">
        <f>IFERROR(IF(AND($BY$2&lt;&gt;"Enter Spend&gt;&gt;&gt;",BZ2="EXISTING"),SUMIFS('Existing Customers'!$U:$U,'Existing Customers'!$H:$H,$BX27,'Existing Customers'!$A:$A,$BY$1),CP27*BY27),0)</f>
        <v>0</v>
      </c>
      <c r="CG27" s="1164" t="e">
        <f t="shared" si="30"/>
        <v>#N/A</v>
      </c>
      <c r="CH27" s="1164">
        <f t="array" ref="CH27">IFERROR(INDEX('Margin Guidence Table'!$A$1:$AG$10000,MATCH(1,('Margin Guidence Table'!$A$1:$A$10000=$CG27)*('Margin Guidence Table'!$I$1:$I$10000&lt;=ROUND($BY$3,0))*('Margin Guidence Table'!$J$1:$J$10000&gt;=ROUND($BY$3,0)),0),MATCH("DATA_POINTS",'Margin Guidence Table'!$A$1:$AG$1,0)),0)</f>
        <v>0</v>
      </c>
      <c r="CI27" s="1161" t="str">
        <f t="shared" si="31"/>
        <v>DEFAULT</v>
      </c>
      <c r="CJ27" s="116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16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16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16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16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16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16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16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9"/>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96" t="e">
        <f t="shared" si="32"/>
        <v>#DIV/0!</v>
      </c>
      <c r="CU27" s="102" t="s">
        <v>92</v>
      </c>
      <c r="CV27" s="94">
        <f>IFERROR(IF(AND($CV$2&lt;&gt;"Enter Spend&gt;&gt;&gt;",CW15="EXISTING"),SUMIFS('Existing Customers'!$Q:$Q,'Existing Customers'!$A:$A,$CV$1,'Existing Customers'!$H:$H,$CU27)*$CV$4,$CV$3*$CT27),0)</f>
        <v>0</v>
      </c>
      <c r="CW27" s="89">
        <f>IFERROR(IF(AND($CV$2&lt;&gt;"Enter Spend&gt;&gt;&gt;",CW2="EXISTING"),SUMIFS('Existing Customers'!$N:$N,'Existing Customers'!$A:$A,$CV$1,'Existing Customers'!$H:$H,$CU27)*$CV$4,$CV27/$DG27),0)</f>
        <v>0</v>
      </c>
      <c r="CX27" s="95">
        <f>IFERROR(IF(AND($CV$2&lt;&gt;"Enter Spend&gt;&gt;&gt;",BC28="EXISTING"),SUMIFS('Existing Customers'!$O:$O,'Existing Customers'!$H:$H,$CU27,'Existing Customers'!$A:$A,$CV$1)*$CV$4,$CW27*$CV$8),0)</f>
        <v>0</v>
      </c>
      <c r="CY27" s="95">
        <f>IFERROR(IF(AND($CV$2&lt;&gt;"Enter Spend&gt;&gt;&gt;",CW2="EXISTING"),SUMIFS('Existing Customers'!$P:$P,'Existing Customers'!$A:$A,$CV$1,'Existing Customers'!$H:$H,$CU27)*$CV$4,$CV27/$DH27),0)</f>
        <v>0</v>
      </c>
      <c r="CZ27" s="96">
        <f>IFERROR(IF(AND($CV$2&lt;&gt;"Enter Spend&gt;&gt;&gt;",CW2="EXISTING"),SUMIFS('Existing Customers'!$V:$V,'Existing Customers'!$H:$H,$CU27,'Existing Customers'!$A:$A,$CV$1)*$CV$4,0),0)</f>
        <v>0</v>
      </c>
      <c r="DA27" s="96">
        <f>IFERROR(IF(AND($CV$2&lt;&gt;"Enter Spend&gt;&gt;&gt;",CW2="EXISTING"),SUMIFS('Existing Customers'!$R:$R,'Existing Customers'!$H:$H,$BA27,'Existing Customers'!$A:$A,$CV$1)*$CV$4,0),0)</f>
        <v>0</v>
      </c>
      <c r="DB27" s="1161">
        <f>IFERROR(IF(AND($CV$2&lt;&gt;"Enter Spend&gt;&gt;&gt;",CW2="EXISTING"),SUMIFS('Existing Customers'!$S:$S,'Existing Customers'!$H:$H,$CU27,'Existing Customers'!$A:$A,$CV$1),DL27*CV27),0)</f>
        <v>0</v>
      </c>
      <c r="DC27" s="1161">
        <f>IFERROR(IF(AND($CV$2&lt;&gt;"Enter Spend&gt;&gt;&gt;",CW2="EXISTING"),SUMIFS('Existing Customers'!$U:$U,'Existing Customers'!$H:$H,$CU27,'Existing Customers'!$A:$A,$CV$1),DM27*CV27),0)</f>
        <v>0</v>
      </c>
      <c r="DD27" s="1164" t="e">
        <f t="shared" si="33"/>
        <v>#N/A</v>
      </c>
      <c r="DE27" s="1164">
        <f t="array" ref="DE27">IFERROR(INDEX('Margin Guidence Table'!$A$1:$AG$10000,MATCH(1,('Margin Guidence Table'!$A$1:$A$10000=DD27)*('Margin Guidence Table'!$I$1:$I$10000&lt;=ROUND($CV$3,0))*('Margin Guidence Table'!$J$1:$J$10000&gt;=ROUND($CV$3,0)),0),MATCH("DATA_POINTS",'Margin Guidence Table'!$A$1:$AG$1,0)),0)</f>
        <v>0</v>
      </c>
      <c r="DF27" s="1161" t="str">
        <f t="shared" si="34"/>
        <v>DEFAULT</v>
      </c>
      <c r="DG27" s="116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16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16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16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16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16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16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16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9"/>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96" t="e">
        <f t="shared" si="35"/>
        <v>#DIV/0!</v>
      </c>
      <c r="DR27" s="102" t="s">
        <v>92</v>
      </c>
      <c r="DS27" s="94">
        <f>IFERROR(IF(AND($DS$2&lt;&gt;"Enter Spend&gt;&gt;&gt;",DT15="EXISTING"),SUMIFS('Existing Customers'!$Q:$Q,'Existing Customers'!$A:$A,$DS$1,'Existing Customers'!$H:$H,$DR27)*$DS$4,$DS$3*$DQ27),0)</f>
        <v>0</v>
      </c>
      <c r="DT27" s="89">
        <f>IFERROR(IF(AND($DS$2&lt;&gt;"Enter Spend&gt;&gt;&gt;",DT2="EXISTING"),SUMIFS('Existing Customers'!$N:$N,'Existing Customers'!$A:$A,$DS$1,'Existing Customers'!$H:$H,$DR27)*$DS$4,$DS27/$ED27),0)</f>
        <v>0</v>
      </c>
      <c r="DU27" s="95">
        <f>IFERROR(IF(AND($DS$2&lt;&gt;"Enter Spend&gt;&gt;&gt;",DT2="EXISTING"),SUMIFS('Existing Customers'!$O:$O,'Existing Customers'!$H:$H,$DR27,'Existing Customers'!$A:$A,$DS$1)*$DS$4,$DT27*$DS$8),0)</f>
        <v>0</v>
      </c>
      <c r="DV27" s="95">
        <f>IFERROR(IF(AND($DS$2&lt;&gt;"Enter Spend&gt;&gt;&gt;",DT2="EXISTING"),SUMIFS('Existing Customers'!$P:$P,'Existing Customers'!$A:$A,$DS$1,'Existing Customers'!$H:$H,$DR27)*$DS$4,$DS27/$EE27),0)</f>
        <v>0</v>
      </c>
      <c r="DW27" s="96">
        <f>IFERROR(IF(AND($DS$2&lt;&gt;"Enter Spend&gt;&gt;&gt;",EQ2="EXISTING"),SUMIFS('Existing Customers'!$V:$V,'Existing Customers'!$H:$H,$DR27,'Existing Customers'!$A:$A,$DS$1)*$DS$4,0),0)</f>
        <v>0</v>
      </c>
      <c r="DX27" s="96">
        <f>IFERROR(IF(AND($DS$2&lt;&gt;"Enter Spend&gt;&gt;&gt;",DT2="EXISTING"),SUMIFS('Existing Customers'!$R:$R,'Existing Customers'!$H:$H,$DR27,'Existing Customers'!$A:$A,$DS$1)*$DS$4,0),0)</f>
        <v>0</v>
      </c>
      <c r="DY27" s="1161">
        <f>IFERROR(IF(AND($DS$2&lt;&gt;"Enter Spend&gt;&gt;&gt;",DT2="EXISTING"),SUMIFS('Existing Customers'!$S:$S,'Existing Customers'!$H:$H,$DT27,'Existing Customers'!$A:$A,$DS$1),EI27*DS27),0)</f>
        <v>0</v>
      </c>
      <c r="DZ27" s="1161">
        <f>IFERROR(IF(AND($DS$2&lt;&gt;"Enter Spend&gt;&gt;&gt;",DT2="EXISTING"),SUMIFS('Existing Customers'!$U:$U,'Existing Customers'!$H:$H,$DR27,'Existing Customers'!$A:$A,$DS$1),EJ27*DS27),0)</f>
        <v>0</v>
      </c>
      <c r="EA27" s="1164" t="e">
        <f t="shared" si="36"/>
        <v>#N/A</v>
      </c>
      <c r="EB27" s="1164">
        <f t="array" ref="EB27">IFERROR(INDEX('Margin Guidence Table'!$A$1:$AG$10000,MATCH(1,('Margin Guidence Table'!$A$1:$A$10000=EA27)*('Margin Guidence Table'!$I$1:$I$10000&lt;=ROUND($DS$3,0))*('Margin Guidence Table'!$J$1:$J$10000&gt;=ROUND($DS$3,0)),0),MATCH("DATA_POINTS",'Margin Guidence Table'!$A$1:$AG$1,0)),0)</f>
        <v>0</v>
      </c>
      <c r="EC27" s="1161" t="str">
        <f t="shared" si="37"/>
        <v>DEFAULT</v>
      </c>
      <c r="ED27" s="116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16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16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16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16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16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16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16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9"/>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96" t="e">
        <f t="shared" si="38"/>
        <v>#DIV/0!</v>
      </c>
      <c r="EO27" s="102" t="s">
        <v>92</v>
      </c>
      <c r="EP27" s="94">
        <f>IFERROR(IF(AND($EP$2&lt;&gt;"Enter Spend&gt;&gt;&gt;",EQ15="EXISTING"),SUMIFS('Existing Customers'!$Q:$Q,'Existing Customers'!$A:$A,$EP$1,'Existing Customers'!$H:$H,$EO27)*$EP$4,$EP$3*$EN27),0)</f>
        <v>0</v>
      </c>
      <c r="EQ27" s="89">
        <f>IFERROR(IF(AND($EP$2&lt;&gt;"Enter Spend&gt;&gt;&gt;",EQ2="EXISTING"),SUMIFS('Existing Customers'!$N:$N,'Existing Customers'!$A:$A,$EP$1,'Existing Customers'!$H:$H,$EO27)*$EP$4,$EP27/$FA27),0)</f>
        <v>0</v>
      </c>
      <c r="ER27" s="95">
        <f>IFERROR(IF(AND($EP$2&lt;&gt;"Enter Spend&gt;&gt;&gt;",EQ2="EXISTING"),SUMIFS('Existing Customers'!$O:$O,'Existing Customers'!$H:$H,$EO27,'Existing Customers'!$A:$A,$EP$1)*$EP$4,$EQ27*$EP$8),0)</f>
        <v>0</v>
      </c>
      <c r="ES27" s="95">
        <f>IFERROR(IF(AND($EP$2&lt;&gt;"Enter Spend&gt;&gt;&gt;",EQ2="EXISTING"),SUMIFS('Existing Customers'!$P:$P,'Existing Customers'!$A:$A,$EP$1,'Existing Customers'!$H:$H,$EO27)*$EP$4,$EP27/$FB27),0)</f>
        <v>0</v>
      </c>
      <c r="ET27" s="96">
        <f>IFERROR(IF(AND($EP$2&lt;&gt;"Enter Spend&gt;&gt;&gt;",EQ2="EXISTING"),SUMIFS('Existing Customers'!$V:$V,'Existing Customers'!$H:$H,$EO27,'Existing Customers'!$A:$A,$EP$1)*$EP$4,0),0)</f>
        <v>0</v>
      </c>
      <c r="EU27" s="96">
        <f>IFERROR(IF(AND($EP$2&lt;&gt;"Enter Spend&gt;&gt;&gt;",EQ2="EXISTING"),SUMIFS('Existing Customers'!$R:$R,'Existing Customers'!$H:$H,$EO27,'Existing Customers'!$A:$A,$EP$1)*$EP$4,0),0)</f>
        <v>0</v>
      </c>
      <c r="EV27" s="1161">
        <f>IFERROR(IF(AND($EP$2&lt;&gt;"Enter Spend&gt;&gt;&gt;",EQ2="EXISTING"),SUMIFS('Existing Customers'!$S:$S,'Existing Customers'!$H:$H,$EO27,'Existing Customers'!$A:$A,$EP$1),FF27*EP27),0)</f>
        <v>0</v>
      </c>
      <c r="EW27" s="1161">
        <f>IFERROR(IF(AND($EP$2&lt;&gt;"Enter Spend&gt;&gt;&gt;",EQ2="EXISTING"),SUMIFS('Existing Customers'!$U:$U,'Existing Customers'!$H:$H,$EO27,'Existing Customers'!$A:$A,$EP$1),FG27*EP27),0)</f>
        <v>0</v>
      </c>
      <c r="EX27" s="1164" t="e">
        <f t="shared" si="39"/>
        <v>#N/A</v>
      </c>
      <c r="EY27" s="1164">
        <f t="array" ref="EY27">IFERROR(INDEX('Margin Guidence Table'!$A$1:$AG$10000,MATCH(1,('Margin Guidence Table'!$A$1:$A$10000=EX27)*('Margin Guidence Table'!$I$1:$I$10000&lt;=ROUND($EP$3,0))*('Margin Guidence Table'!$J$1:$J$10000&gt;=ROUND($EP$3,0)),0),MATCH("DATA_POINTS",'Margin Guidence Table'!$A$1:$AG$1,0)),0)</f>
        <v>0</v>
      </c>
      <c r="EZ27" s="1161" t="str">
        <f t="shared" si="40"/>
        <v>DEFAULT</v>
      </c>
      <c r="FA27" s="116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16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16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16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16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16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16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16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9"/>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96" t="e">
        <f t="shared" si="41"/>
        <v>#DIV/0!</v>
      </c>
      <c r="FL27" s="102" t="s">
        <v>92</v>
      </c>
      <c r="FM27" s="94">
        <f>IFERROR(IF(AND($FM$2&lt;&gt;"Enter Spend&gt;&gt;&gt;",FN15="EXISTING"),SUMIFS('Existing Customers'!$Q:$Q,'Existing Customers'!$A:$A,$FM$1,'Existing Customers'!$H:$H,$FL27)*$FM$4,$FM$3*$FK27),0)</f>
        <v>0</v>
      </c>
      <c r="FN27" s="89">
        <f>IFERROR(IF(AND($FM$2&lt;&gt;"Enter Spend&gt;&gt;&gt;",FN2="EXISTING"),SUMIFS('Existing Customers'!$N:$N,'Existing Customers'!$A:$A,$FM$1,'Existing Customers'!$H:$H,$FL27)*$FM$4,$FM27/$FX27),0)</f>
        <v>0</v>
      </c>
      <c r="FO27" s="95">
        <f>IFERROR(IF(AND($FM$2&lt;&gt;"Enter Spend&gt;&gt;&gt;",FN2="EXISTING"),SUMIFS('Existing Customers'!$O:$O,'Existing Customers'!$H:$H,$FL27,'Existing Customers'!$A:$A,$FM$1)*$FM$4,$FN27*$FM$8),0)</f>
        <v>0</v>
      </c>
      <c r="FP27" s="95">
        <f>IFERROR(IF(AND($FM$2&lt;&gt;"Enter Spend&gt;&gt;&gt;",FN2="EXISTING"),SUMIFS('Existing Customers'!$P:$P,'Existing Customers'!$A:$A,$FM$1,'Existing Customers'!$H:$H,$FL27)*$FM$4,$FM27/$FY27),0)</f>
        <v>0</v>
      </c>
      <c r="FQ27" s="96">
        <f>IFERROR(IF(AND($FM$2&lt;&gt;"Enter Spend&gt;&gt;&gt;",FN2="EXISTING"),SUMIFS('Existing Customers'!$V:$V,'Existing Customers'!$H:$H,$FL27,'Existing Customers'!$A:$A,$FM$1)*$FM$4,0),0)</f>
        <v>0</v>
      </c>
      <c r="FR27" s="96">
        <f>IFERROR(IF(AND($FM$2&lt;&gt;"Enter Spend&gt;&gt;&gt;",FN2="EXISTING"),SUMIFS('Existing Customers'!$R:$R,'Existing Customers'!$H:$H,$FL27,'Existing Customers'!$A:$A,$FM$1)*$FM$4,0),0)</f>
        <v>0</v>
      </c>
      <c r="FS27" s="1161">
        <f>IFERROR(IF(AND($FM$2&lt;&gt;"Enter Spend&gt;&gt;&gt;",FN2="EXISTING"),SUMIFS('Existing Customers'!$S:$S,'Existing Customers'!$H:$H,$FL27,'Existing Customers'!$A:$A,$FM$1),GC27*FM27),0)</f>
        <v>0</v>
      </c>
      <c r="FT27" s="1161">
        <f>IFERROR(IF(AND($FM$2&lt;&gt;"Enter Spend&gt;&gt;&gt;",FN2="EXISTING"),SUMIFS('Existing Customers'!$U:$U,'Existing Customers'!$H:$H,$FL27,'Existing Customers'!$A:$A,$FM$1),GD27*FM27),0)</f>
        <v>0</v>
      </c>
      <c r="FU27" s="1164" t="e">
        <f t="shared" si="42"/>
        <v>#N/A</v>
      </c>
      <c r="FV27" s="1164">
        <f t="array" ref="FV27">IFERROR(INDEX('Margin Guidence Table'!$A$1:$AG$10000,MATCH(1,('Margin Guidence Table'!$A$1:$A$10000=FU27)*('Margin Guidence Table'!$I$1:$I$10000&lt;=ROUND($FM$3,0))*('Margin Guidence Table'!$J$1:$J$10000&gt;=ROUND($FM$3,0)),0),MATCH("DATA_POINTS",'Margin Guidence Table'!$A$1:$AG$1,0)),0)</f>
        <v>0</v>
      </c>
      <c r="FW27" s="1161" t="str">
        <f t="shared" si="43"/>
        <v>DEFAULT</v>
      </c>
      <c r="FX27" s="116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16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16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16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16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16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16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16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9"/>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96" t="e">
        <f t="shared" si="44"/>
        <v>#DIV/0!</v>
      </c>
      <c r="GI27" s="102" t="s">
        <v>92</v>
      </c>
      <c r="GJ27" s="94">
        <f>IFERROR(IF(AND($GJ$2&lt;&gt;"Enter Spend&gt;&gt;&gt;",GK15="EXISTING"),SUMIFS('Existing Customers'!$Q:$Q,'Existing Customers'!$A:$A,$GJ$1,'Existing Customers'!$H:$H,$GI27)*$GJ$4,$GJ$3*$GH27),0)</f>
        <v>0</v>
      </c>
      <c r="GK27" s="89">
        <f>IFERROR(IF(AND($GJ$2&lt;&gt;"Enter Spend&gt;&gt;&gt;",GK2="EXISTING"),SUMIFS('Existing Customers'!$N:$N,'Existing Customers'!$A:$A,$GJ$1,'Existing Customers'!$H:$H,$GI27)*$GJ$4,$GJ27/$GU27),0)</f>
        <v>0</v>
      </c>
      <c r="GL27" s="95">
        <f>IFERROR(IF(AND($GJ$2&lt;&gt;"Enter Spend&gt;&gt;&gt;",GK2="EXISTING"),SUMIFS('Existing Customers'!$O:$O,'Existing Customers'!$H:$H,$GI27,'Existing Customers'!$A:$A,$GJ$1)*$GJ$4,$GK27*$GJ$8),0)</f>
        <v>0</v>
      </c>
      <c r="GM27" s="95">
        <f>IFERROR(IF(AND($GJ$2&lt;&gt;"Enter Spend&gt;&gt;&gt;",GK2="EXISTING"),SUMIFS('Existing Customers'!$P:$P,'Existing Customers'!$A:$A,$GJ$1,'Existing Customers'!$H:$H,$GI27)*$GJ$4,$GJ27/$GV27),0)</f>
        <v>0</v>
      </c>
      <c r="GN27" s="96">
        <f>IFERROR(IF(AND($GJ$2&lt;&gt;"Enter Spend&gt;&gt;&gt;",GK2="EXISTING"),SUMIFS('Existing Customers'!$V:$V,'Existing Customers'!$H:$H,$GI27,'Existing Customers'!$A:$A,$GJ$1)*$GJ$4,0),0)</f>
        <v>0</v>
      </c>
      <c r="GO27" s="96">
        <f>IFERROR(IF(AND($GJ$2&lt;&gt;"Enter Spend&gt;&gt;&gt;",GK2="EXISTING"),SUMIFS('Existing Customers'!$R:$R,'Existing Customers'!$H:$H,$GI27,'Existing Customers'!$A:$A,$GJ$1)*$GJ$4,0),0)</f>
        <v>0</v>
      </c>
      <c r="GP27" s="1161">
        <f>IFERROR(IF(AND($GJ$2&lt;&gt;"Enter Spend&gt;&gt;&gt;",GK2="EXISTING"),SUMIFS('Existing Customers'!$S:$S,'Existing Customers'!$H:$H,$GI27,'Existing Customers'!$A:$A,$GJ$1),GZ27*GJ27),0)</f>
        <v>0</v>
      </c>
      <c r="GQ27" s="1161">
        <f>IFERROR(IF(AND($GJ$2&lt;&gt;"Enter Spend&gt;&gt;&gt;",GK2="EXISTING"),SUMIFS('Existing Customers'!$U:$U,'Existing Customers'!$H:$H,$GI27,'Existing Customers'!$A:$A,$GJ$1),HA27*GJ27),0)</f>
        <v>0</v>
      </c>
      <c r="GR27" s="1164" t="e">
        <f t="shared" si="45"/>
        <v>#N/A</v>
      </c>
      <c r="GS27" s="1164">
        <f t="array" ref="GS27">IFERROR(INDEX('Margin Guidence Table'!$A$1:$AG$10000,MATCH(1,('Margin Guidence Table'!$A$1:$A$10000=GR27)*('Margin Guidence Table'!$I$1:$I$10000&lt;=ROUND($GJ$3,0))*('Margin Guidence Table'!$J$1:$J$10000&gt;=ROUND($GJ$3,0)),0),MATCH("DATA_POINTS",'Margin Guidence Table'!$A$1:$AG$1,0)),0)</f>
        <v>0</v>
      </c>
      <c r="GT27" s="1161" t="str">
        <f t="shared" si="46"/>
        <v>DEFAULT</v>
      </c>
      <c r="GU27" s="116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16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16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16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16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16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16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16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9"/>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96" t="e">
        <f t="shared" si="47"/>
        <v>#DIV/0!</v>
      </c>
      <c r="HF27" s="102" t="s">
        <v>92</v>
      </c>
      <c r="HG27" s="94">
        <f>IFERROR(IF(AND($HG$2&lt;&gt;"Enter Spend&gt;&gt;&gt;",HH15="EXISTING"),SUMIFS('Existing Customers'!$Q:$Q,'Existing Customers'!$A:$A,$HG$1,'Existing Customers'!$H:$H,$HF27)*$HG$4,$HG$3*$HE27),0)</f>
        <v>0</v>
      </c>
      <c r="HH27" s="89">
        <f>IFERROR(IF(AND($HG$2&lt;&gt;"Enter Spend&gt;&gt;&gt;",HH2="EXISTING"),SUMIFS('Existing Customers'!$N:$N,'Existing Customers'!$A:$A,$HG$1,'Existing Customers'!$H:$H,$HF27)*$HG$4,$HG27/$HR27),0)</f>
        <v>0</v>
      </c>
      <c r="HI27" s="95">
        <f>IFERROR(IF(AND($HG$2&lt;&gt;"Enter Spend&gt;&gt;&gt;",HH2="EXISTING"),SUMIFS('Existing Customers'!$O:$O,'Existing Customers'!$H:$H,$HF27,'Existing Customers'!$A:$A,$HG$1)*$HG$4,$HH27*$HG$8),0)</f>
        <v>0</v>
      </c>
      <c r="HJ27" s="95">
        <f>IFERROR(IF(AND($HG$2&lt;&gt;"Enter Spend&gt;&gt;&gt;",HH2="EXISTING"),SUMIFS('Existing Customers'!$P:$P,'Existing Customers'!$A:$A,$HG$1,'Existing Customers'!$H:$H,$HF27)*$HG$4,$HG27/$HS27),0)</f>
        <v>0</v>
      </c>
      <c r="HK27" s="96">
        <f>IFERROR(IF(AND($HG$2&lt;&gt;"Enter Spend&gt;&gt;&gt;",HH2="EXISTING"),SUMIFS('Existing Customers'!$V:$V,'Existing Customers'!$H:$H,$HF27,'Existing Customers'!$A:$A,$HG$1)*$HG$4,0),0)</f>
        <v>0</v>
      </c>
      <c r="HL27" s="96">
        <f>IFERROR(IF(AND($HG$2&lt;&gt;"Enter Spend&gt;&gt;&gt;",HH2="EXISTING"),SUMIFS('Existing Customers'!$R:$R,'Existing Customers'!$H:$H,$HF27,'Existing Customers'!$A:$A,$HG$1)*$HG$4,0),0)</f>
        <v>0</v>
      </c>
      <c r="HM27" s="1161">
        <f>IFERROR(IF(AND($HG$2&lt;&gt;"Enter Spend&gt;&gt;&gt;",HH2="EXISTING"),SUMIFS('Existing Customers'!$S:$S,'Existing Customers'!$H:$H,$HF27,'Existing Customers'!$A:$A,$HG$1),HW27*HG27),0)</f>
        <v>0</v>
      </c>
      <c r="HN27" s="1161">
        <f>IFERROR(IF(AND($HG$2&lt;&gt;"Enter Spend&gt;&gt;&gt;",HH2="EXISTING"),SUMIFS('Existing Customers'!$U:$U,'Existing Customers'!$H:$H,$HF27,'Existing Customers'!$A:$A,$HG$1),HX27*HG27),0)</f>
        <v>0</v>
      </c>
      <c r="HO27" s="1164" t="e">
        <f t="shared" si="48"/>
        <v>#N/A</v>
      </c>
      <c r="HP27" s="1164">
        <f t="array" ref="HP27">IFERROR(INDEX('Margin Guidence Table'!$A$1:$AG$10000,MATCH(1,('Margin Guidence Table'!$A$1:$A$10000=HO27)*('Margin Guidence Table'!$I$1:$I$10000&lt;=ROUND($HG$3,0))*('Margin Guidence Table'!$J$1:$J$10000&gt;=ROUND($HG$3,0)),0),MATCH("DATA_POINTS",'Margin Guidence Table'!$A$1:$AG$1,0)),0)</f>
        <v>0</v>
      </c>
      <c r="HQ27" s="1161" t="str">
        <f t="shared" si="49"/>
        <v>DEFAULT</v>
      </c>
      <c r="HR27" s="116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16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16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16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16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16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16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16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9"/>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96" t="e">
        <f t="shared" si="50"/>
        <v>#DIV/0!</v>
      </c>
      <c r="IC27" s="102" t="s">
        <v>92</v>
      </c>
      <c r="ID27" s="94">
        <f>IFERROR(IF(AND($ID$2&lt;&gt;"Enter Spend&gt;&gt;&gt;",IE15="EXISTING"),SUMIFS('Existing Customers'!$Q:$Q,'Existing Customers'!$A:$A,$ID$1,'Existing Customers'!$H:$H,$IC27)*$ID$4,$ID$3*$IB27),0)</f>
        <v>0</v>
      </c>
      <c r="IE27" s="89">
        <f>IFERROR(IF(AND($ID$2&lt;&gt;"Enter Spend&gt;&gt;&gt;",IE2="EXISTING"),SUMIFS('Existing Customers'!$N:$N,'Existing Customers'!$A:$A,$ID$1,'Existing Customers'!$H:$H,$IC27)*$ID$4,$ID27/$IO27),0)</f>
        <v>0</v>
      </c>
      <c r="IF27" s="95">
        <f>IFERROR(IF(AND($ID$2&lt;&gt;"Enter Spend&gt;&gt;&gt;",IE2="EXISTING"),SUMIFS('Existing Customers'!$O:$O,'Existing Customers'!$H:$H,$IC27,'Existing Customers'!$A:$A,$ID$1)*$ID$4,$IE27*$ID$8),0)</f>
        <v>0</v>
      </c>
      <c r="IG27" s="95">
        <f>IFERROR(IF(AND($ID$2&lt;&gt;"Enter Spend&gt;&gt;&gt;",IE2="EXISTING"),SUMIFS('Existing Customers'!$P:$P,'Existing Customers'!$A:$A,$ID$1,'Existing Customers'!$H:$H,$IC27)*$ID$4,$ID27/$IP27),0)</f>
        <v>0</v>
      </c>
      <c r="IH27" s="402">
        <f>IFERROR(IF(AND($ID$2&lt;&gt;"Enter Spend&gt;&gt;&gt;",IE2="EXISTING"),SUMIFS('Existing Customers'!$V:$V,'Existing Customers'!$H:$H,$IC27,'Existing Customers'!$A:$A,$ID$1)*$ID$4,0),0)</f>
        <v>0</v>
      </c>
      <c r="II27" s="96">
        <f>IFERROR(IF(AND($ID$2&lt;&gt;"Enter Spend&gt;&gt;&gt;",IE2="EXISTING"),SUMIFS('Existing Customers'!$R:$R,'Existing Customers'!$H:$H,$IC27,'Existing Customers'!$A:$A,$ID$1)*$ID$4,0),0)</f>
        <v>0</v>
      </c>
      <c r="IJ27" s="1161">
        <f>IFERROR(IF(AND($ID$2&lt;&gt;"Enter Spend&gt;&gt;&gt;",IE2="EXISTING"),SUMIFS('Existing Customers'!$S:$S,'Existing Customers'!$H:$H,$IC27,'Existing Customers'!$A:$A,$ID$1),IT27*ID27),0)</f>
        <v>0</v>
      </c>
      <c r="IK27" s="1161">
        <f>IFERROR(IF(AND($ID$2&lt;&gt;"Enter Spend&gt;&gt;&gt;",IE2="EXISTING"),SUMIFS('Existing Customers'!$U:$U,'Existing Customers'!$H:$H,$IC27,'Existing Customers'!$A:$A,$ID$1),IU27*ID27),0)</f>
        <v>0</v>
      </c>
      <c r="IL27" s="1164" t="e">
        <f t="shared" si="51"/>
        <v>#N/A</v>
      </c>
      <c r="IM27" s="1164">
        <f t="array" ref="IM27">IFERROR(INDEX('Margin Guidence Table'!$A$1:$AG$10000,MATCH(1,('Margin Guidence Table'!$A$1:$A$10000=IL27)*('Margin Guidence Table'!$I$1:$I$10000&lt;=ROUND($ID$3,0))*('Margin Guidence Table'!$J$1:$J$10000&gt;=ROUND($ID$3,0)),0),MATCH("DATA_POINTS",'Margin Guidence Table'!$A$1:$AG$1,0)),0)</f>
        <v>0</v>
      </c>
      <c r="IN27" s="1161" t="str">
        <f t="shared" si="52"/>
        <v>DEFAULT</v>
      </c>
      <c r="IO27" s="116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16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16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16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16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16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16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16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9"/>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96" t="e">
        <f t="shared" si="53"/>
        <v>#DIV/0!</v>
      </c>
      <c r="IZ27" s="102" t="s">
        <v>92</v>
      </c>
      <c r="JA27" s="94">
        <f>IFERROR(IF(AND($JA$2&lt;&gt;"Enter Spend&gt;&gt;&gt;",JB15="EXISTING"),SUMIFS('Existing Customers'!$Q:$Q,'Existing Customers'!$A:$A,$JA$1,'Existing Customers'!$H:$H,$IZ27)*$JA$4,$JA$3*$IY27),0)</f>
        <v>0</v>
      </c>
      <c r="JB27" s="89">
        <f>IFERROR(IF(AND($JA$2&lt;&gt;"Enter Spend&gt;&gt;&gt;",JB2="EXISTING"),SUMIFS('Existing Customers'!$N:$N,'Existing Customers'!$A:$A,$JA$1,'Existing Customers'!$H:$H,$IZ27)*$JA$4,$JA27/$JL27),0)</f>
        <v>0</v>
      </c>
      <c r="JC27" s="95">
        <f>IFERROR(IF(AND($JA$2&lt;&gt;"Enter Spend&gt;&gt;&gt;",JB2="EXISTING"),SUMIFS('Existing Customers'!$O:$O,'Existing Customers'!$H:$H,$IZ27,'Existing Customers'!$A:$A,$JA$1)*$JA$4,$JB27*$JA$8),0)</f>
        <v>0</v>
      </c>
      <c r="JD27" s="95">
        <f>IFERROR(IF(AND($JA$2&lt;&gt;"Enter Spend&gt;&gt;&gt;",JB2="EXISTING"),SUMIFS('Existing Customers'!$P:$P,'Existing Customers'!$A:$A,$JA$1,'Existing Customers'!$H:$H,$IZ27)*$JA$4,$JA27/$JM27),0)</f>
        <v>0</v>
      </c>
      <c r="JE27" s="402">
        <f>IFERROR(IF(AND($JA$2&lt;&gt;"Enter Spend&gt;&gt;&gt;",JB2="EXISTING"),SUMIFS('Existing Customers'!$V:$V,'Existing Customers'!$H:$H,$IZ27,'Existing Customers'!$A:$A,$JA$1)*$JA$4,0),0)</f>
        <v>0</v>
      </c>
      <c r="JF27" s="96">
        <f>IFERROR(IF(AND($JA$2&lt;&gt;"Enter Spend&gt;&gt;&gt;",JB2="EXISTING"),SUMIFS('Existing Customers'!$R:$R,'Existing Customers'!$H:$H,$IZ27,'Existing Customers'!$A:$A,$JA$1)*$JA$4,0),0)</f>
        <v>0</v>
      </c>
      <c r="JG27" s="1161">
        <f>IFERROR(IF(AND($JA$2&lt;&gt;"Enter Spend&gt;&gt;&gt;",JB2="EXISTING"),SUMIFS('Existing Customers'!$S:$S,'Existing Customers'!$H:$H,$IZ27,'Existing Customers'!$A:$A,$JA$1),JQ27*JA27),0)</f>
        <v>0</v>
      </c>
      <c r="JH27" s="1161">
        <f>IFERROR(IF(AND($JA$2&lt;&gt;"Enter Spend&gt;&gt;&gt;",JB2="EXISTING"),SUMIFS('Existing Customers'!$U:$U,'Existing Customers'!$H:$H,$IZ27,'Existing Customers'!$A:$A,$JA$1),JR27*JA27),0)</f>
        <v>0</v>
      </c>
      <c r="JI27" s="1164" t="e">
        <f t="shared" si="54"/>
        <v>#N/A</v>
      </c>
      <c r="JJ27" s="1164">
        <f t="array" ref="JJ27">IFERROR(INDEX('Margin Guidence Table'!$A$1:$AG$10000,MATCH(1,('Margin Guidence Table'!$A$1:$A$10000=JI27)*('Margin Guidence Table'!$I$1:$I$10000&lt;=ROUND($JA$3,0))*('Margin Guidence Table'!$J$1:$J$10000&gt;=ROUND($JA$3,0)),0),MATCH("DATA_POINTS",'Margin Guidence Table'!$A$1:$AG$1,0)),0)</f>
        <v>0</v>
      </c>
      <c r="JK27" s="1161" t="str">
        <f t="shared" si="55"/>
        <v>DEFAULT</v>
      </c>
      <c r="JL27" s="116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16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16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16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16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16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16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16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2" t="s">
        <v>92</v>
      </c>
      <c r="JV27" s="97"/>
      <c r="JW27" s="89"/>
      <c r="JX27" s="89"/>
      <c r="JY27" s="89"/>
      <c r="JZ27" s="114"/>
      <c r="KA27" s="98"/>
      <c r="KB27" s="129"/>
      <c r="KD27" s="102" t="s">
        <v>92</v>
      </c>
      <c r="KE27" s="97"/>
      <c r="KF27" s="89"/>
      <c r="KG27" s="89"/>
      <c r="KH27" s="89"/>
      <c r="KI27" s="114"/>
      <c r="KJ27" s="98"/>
    </row>
    <row r="28" spans="2:296" ht="15.75" thickBot="1" x14ac:dyDescent="0.3">
      <c r="B28" s="102" t="s">
        <v>91</v>
      </c>
      <c r="C28" s="480">
        <f t="shared" si="11"/>
        <v>0</v>
      </c>
      <c r="D28" s="496">
        <f t="shared" si="12"/>
        <v>0</v>
      </c>
      <c r="E28" s="496">
        <f t="shared" si="13"/>
        <v>0</v>
      </c>
      <c r="F28" s="496">
        <f t="shared" si="14"/>
        <v>0</v>
      </c>
      <c r="G28" s="497">
        <f t="shared" si="15"/>
        <v>0</v>
      </c>
      <c r="H28" s="496">
        <f t="shared" si="16"/>
        <v>0</v>
      </c>
      <c r="I28" s="1157" t="e">
        <f t="shared" si="0"/>
        <v>#DIV/0!</v>
      </c>
      <c r="J28" s="1157" t="e">
        <f t="shared" si="1"/>
        <v>#DIV/0!</v>
      </c>
      <c r="K28" s="1157" t="e">
        <f t="shared" si="2"/>
        <v>#DIV/0!</v>
      </c>
      <c r="L28" s="496" t="e">
        <f t="shared" si="3"/>
        <v>#DIV/0!</v>
      </c>
      <c r="M28" s="496" t="e">
        <f t="shared" si="17"/>
        <v>#DIV/0!</v>
      </c>
      <c r="N28" s="1158" t="e">
        <f t="shared" si="4"/>
        <v>#DIV/0!</v>
      </c>
      <c r="P28" t="str">
        <f>'PIM Model'!E24</f>
        <v>INCLUDE</v>
      </c>
      <c r="Q28">
        <f t="shared" si="18"/>
        <v>0</v>
      </c>
      <c r="R28">
        <f t="shared" si="19"/>
        <v>0</v>
      </c>
      <c r="S28" s="102" t="s">
        <v>91</v>
      </c>
      <c r="T28" s="97">
        <f t="shared" si="20"/>
        <v>0</v>
      </c>
      <c r="U28" s="89">
        <f t="shared" si="5"/>
        <v>0</v>
      </c>
      <c r="V28" s="89">
        <f t="shared" si="6"/>
        <v>0</v>
      </c>
      <c r="W28" s="89">
        <f t="shared" si="7"/>
        <v>0</v>
      </c>
      <c r="X28" s="114">
        <f t="shared" si="8"/>
        <v>0</v>
      </c>
      <c r="Y28" s="117">
        <f t="shared" si="21"/>
        <v>0</v>
      </c>
      <c r="Z28" s="400"/>
      <c r="AA28" s="102" t="s">
        <v>91</v>
      </c>
      <c r="AB28" s="484">
        <f t="shared" si="9"/>
        <v>0</v>
      </c>
      <c r="AC28" s="485">
        <f t="shared" si="9"/>
        <v>0</v>
      </c>
      <c r="AD28" s="485">
        <f t="shared" si="9"/>
        <v>0</v>
      </c>
      <c r="AE28" s="486">
        <f t="shared" si="22"/>
        <v>0</v>
      </c>
      <c r="AF28" s="487">
        <f t="shared" si="23"/>
        <v>0</v>
      </c>
      <c r="AG28" s="400"/>
      <c r="AH28" s="102" t="s">
        <v>91</v>
      </c>
      <c r="AI28" s="484">
        <f t="shared" si="10"/>
        <v>0</v>
      </c>
      <c r="AJ28" s="481">
        <f t="shared" si="24"/>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400" t="e">
        <f t="shared" si="25"/>
        <v>#DIV/0!</v>
      </c>
      <c r="AR28">
        <f>'PIM Model'!C24</f>
        <v>0</v>
      </c>
      <c r="AS28" s="400"/>
      <c r="AT28" s="400"/>
      <c r="AU28" s="400" t="e">
        <f t="shared" si="56"/>
        <v>#DIV/0!</v>
      </c>
      <c r="AV28" s="400"/>
      <c r="AW28" s="400"/>
      <c r="AX28" s="108">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96" t="e">
        <f t="shared" si="26"/>
        <v>#DIV/0!</v>
      </c>
      <c r="BA28" s="102" t="s">
        <v>91</v>
      </c>
      <c r="BB28" s="94">
        <f>IFERROR(IF(AND($BB$2&lt;&gt;"Enter Spend&gt;&gt;&gt;",BC16="EXISTING"),SUMIFS('Existing Customers'!$Q:$Q,'Existing Customers'!$A:$A,$BB$1,'Existing Customers'!$H:$H,$BA28)*$BB$4,$BB$3*$AZ28),0)</f>
        <v>0</v>
      </c>
      <c r="BC28" s="95">
        <f>IFERROR(IF(AND($BB$2&lt;&gt;"Enter Spend&gt;&gt;&gt;",BC2="EXISTING"),SUMIFS('Existing Customers'!$N:$N,'Existing Customers'!$A:$A,$BB$1,'Existing Customers'!$H:$H,$BA28)*$BB$4,$BB28/$BM28),0)</f>
        <v>0</v>
      </c>
      <c r="BD28" s="95">
        <f>IFERROR(IF(AND($BB$2&lt;&gt;"Enter Spend&gt;&gt;&gt;",BC2="EXISTING"),SUMIFS('Existing Customers'!$O:$O,'Existing Customers'!$H:$H,$BA28,'Existing Customers'!$A:$A,$BB$1)*$BB$4,$BC28*$BB$8),0)</f>
        <v>0</v>
      </c>
      <c r="BE28" s="95">
        <f>IFERROR(IF(AND($BB$2&lt;&gt;"Enter Spend&gt;&gt;&gt;",BC2="EXISTING"),SUMIFS('Existing Customers'!$P:$P,'Existing Customers'!$A:$A,$BB$1,'Existing Customers'!$H:$H,$BA28)*$BB$4,$BB28/$BN28),0)</f>
        <v>0</v>
      </c>
      <c r="BF28" s="402">
        <f>IFERROR(IF(AND($BB$2&lt;&gt;"Enter Spend&gt;&gt;&gt;",BC2="EXISTING"),SUMIFS('Existing Customers'!$V:$V,'Existing Customers'!$H:$H,$BA28,'Existing Customers'!$A:$A,$BB$1)*$BB$4,0),0)</f>
        <v>0</v>
      </c>
      <c r="BG28" s="96">
        <f>IFERROR(IF(AND($BB$2&lt;&gt;"Enter Spend&gt;&gt;&gt;",BC2="EXISTING"),SUMIFS('Existing Customers'!$R:$R,'Existing Customers'!$H:$H,$BA28,'Existing Customers'!$A:$A,$BB$1)*$BB$4,0),0)</f>
        <v>0</v>
      </c>
      <c r="BH28" s="96">
        <f>IFERROR(IF(AND($BB$2&lt;&gt;"Enter Spend&gt;&gt;&gt;",BC2="EXISTING"),SUMIFS('Existing Customers'!$S:$S,'Existing Customers'!$H:$H,$BA28,'Existing Customers'!$A:$A,$BB$1),BR28*BB28),0)</f>
        <v>0</v>
      </c>
      <c r="BI28" s="96">
        <f>IFERROR(IF(AND($BB$2&lt;&gt;"Enter Spend&gt;&gt;&gt;",BC2="EXISTING"),SUMIFS('Existing Customers'!$U:$U,'Existing Customers'!$H:$H,$BA28,'Existing Customers'!$A:$A,$BB$1),BS28*BB28),0)</f>
        <v>0</v>
      </c>
      <c r="BJ28" s="1163" t="e">
        <f t="shared" si="27"/>
        <v>#N/A</v>
      </c>
      <c r="BK28" s="1164">
        <f t="array" ref="BK28">IFERROR(INDEX('Margin Guidence Table'!$A$1:$AG$10000,MATCH(1,('Margin Guidence Table'!$A$1:$A$10000=$BJ28)*('Margin Guidence Table'!$I$1:$I$10000&lt;=ROUND($BB$3,0))*('Margin Guidence Table'!$J$1:$J$10000&gt;=ROUND($BB$3,0)),0),MATCH("DATA_POINTS",'Margin Guidence Table'!$A$1:$AG$1,0)),0)</f>
        <v>0</v>
      </c>
      <c r="BL28" s="1161" t="str">
        <f t="shared" si="28"/>
        <v>DEFAULT</v>
      </c>
      <c r="BM28" s="116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16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16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16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16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16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16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16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9"/>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96" t="e">
        <f t="shared" si="29"/>
        <v>#DIV/0!</v>
      </c>
      <c r="BX28" s="102" t="s">
        <v>91</v>
      </c>
      <c r="BY28" s="94">
        <f>IFERROR(IF(AND($BY$2&lt;&gt;"Enter Spend&gt;&gt;&gt;",BZ16="EXISTING"),SUMIFS('Existing Customers'!$Q:$Q,'Existing Customers'!$A:$A,$BY$1,'Existing Customers'!$H:$H,$BX28)*$BY$4,$BY$3*$BW28),0)</f>
        <v>0</v>
      </c>
      <c r="BZ28" s="89">
        <f>IFERROR(IF(AND($BY$2&lt;&gt;"Enter Spend&gt;&gt;&gt;",BZ2="EXISTING"),SUMIFS('Existing Customers'!$N:$N,'Existing Customers'!$A:$A,$BY$1,'Existing Customers'!$H:$H,$BX28)*$BY$4,$BY28/$CJ28),0)</f>
        <v>0</v>
      </c>
      <c r="CA28" s="95">
        <f>IFERROR(IF(AND($BY$2&lt;&gt;"Enter Spend&gt;&gt;&gt;",BZ2="EXISTING"),SUMIFS('Existing Customers'!$O:$O,'Existing Customers'!$H:$H,$BX28,'Existing Customers'!$A:$A,$BY$1)*$BY$4,$BZ28*$BY$8),0)</f>
        <v>0</v>
      </c>
      <c r="CB28" s="95">
        <f>IFERROR(IF(AND($BY$2&lt;&gt;"Enter Spend&gt;&gt;&gt;",BZ2="EXISTING"),SUMIFS('Existing Customers'!$P:$P,'Existing Customers'!$A:$A,$BY$1,'Existing Customers'!$H:$H,$BX28)*$BY$4,$BY28/$CK28),0)</f>
        <v>0</v>
      </c>
      <c r="CC28" s="96">
        <f>IFERROR(IF(AND($BY$2&lt;&gt;"Enter Spend&gt;&gt;&gt;",BZ2="EXISTING"),SUMIFS('Existing Customers'!$V:$V,'Existing Customers'!$H:$H,$BX28,'Existing Customers'!$A:$A,$BY$1)*$BY$4,0),0)</f>
        <v>0</v>
      </c>
      <c r="CD28" s="96">
        <f>IFERROR(IF(AND($BY$2&lt;&gt;"Enter Spend&gt;&gt;&gt;",BZ2="EXISTING"),SUMIFS('Existing Customers'!$R:$R,'Existing Customers'!$H:$H,$BX28,'Existing Customers'!$A:$A,$BY$1)*$BY$4,0),0)</f>
        <v>0</v>
      </c>
      <c r="CE28" s="1161">
        <f>IFERROR(IF(AND($BY$2&lt;&gt;"Enter Spend&gt;&gt;&gt;",BZ2="EXISTING"),SUMIFS('Existing Customers'!$S:$S,'Existing Customers'!$H:$H,$BX28,'Existing Customers'!$A:$A,$BY$1),CO28*BY28),0)</f>
        <v>0</v>
      </c>
      <c r="CF28" s="1161">
        <f>IFERROR(IF(AND($BY$2&lt;&gt;"Enter Spend&gt;&gt;&gt;",BZ2="EXISTING"),SUMIFS('Existing Customers'!$U:$U,'Existing Customers'!$H:$H,$BX28,'Existing Customers'!$A:$A,$BY$1),CP28*BY28),0)</f>
        <v>0</v>
      </c>
      <c r="CG28" s="1164" t="e">
        <f t="shared" si="30"/>
        <v>#N/A</v>
      </c>
      <c r="CH28" s="1164">
        <f t="array" ref="CH28">IFERROR(INDEX('Margin Guidence Table'!$A$1:$AG$10000,MATCH(1,('Margin Guidence Table'!$A$1:$A$10000=$CG28)*('Margin Guidence Table'!$I$1:$I$10000&lt;=ROUND($BY$3,0))*('Margin Guidence Table'!$J$1:$J$10000&gt;=ROUND($BY$3,0)),0),MATCH("DATA_POINTS",'Margin Guidence Table'!$A$1:$AG$1,0)),0)</f>
        <v>0</v>
      </c>
      <c r="CI28" s="1161" t="str">
        <f t="shared" si="31"/>
        <v>DEFAULT</v>
      </c>
      <c r="CJ28" s="116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16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16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16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16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16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16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16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9"/>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96" t="e">
        <f t="shared" si="32"/>
        <v>#DIV/0!</v>
      </c>
      <c r="CU28" s="102" t="s">
        <v>91</v>
      </c>
      <c r="CV28" s="94">
        <f>IFERROR(IF(AND($CV$2&lt;&gt;"Enter Spend&gt;&gt;&gt;",CW16="EXISTING"),SUMIFS('Existing Customers'!$Q:$Q,'Existing Customers'!$A:$A,$CV$1,'Existing Customers'!$H:$H,$CU28)*$CV$4,$CV$3*$CT28),0)</f>
        <v>0</v>
      </c>
      <c r="CW28" s="89">
        <f>IFERROR(IF(AND($CV$2&lt;&gt;"Enter Spend&gt;&gt;&gt;",CW2="EXISTING"),SUMIFS('Existing Customers'!$N:$N,'Existing Customers'!$A:$A,$CV$1,'Existing Customers'!$H:$H,$CU28)*$CV$4,$CV28/$DG28),0)</f>
        <v>0</v>
      </c>
      <c r="CX28" s="95">
        <f>IFERROR(IF(AND($CV$2&lt;&gt;"Enter Spend&gt;&gt;&gt;",BC28="EXISTING"),SUMIFS('Existing Customers'!$O:$O,'Existing Customers'!$H:$H,$CU28,'Existing Customers'!$A:$A,$CV$1)*$CV$4,$CW28*$CV$8),0)</f>
        <v>0</v>
      </c>
      <c r="CY28" s="95">
        <f>IFERROR(IF(AND($CV$2&lt;&gt;"Enter Spend&gt;&gt;&gt;",CW2="EXISTING"),SUMIFS('Existing Customers'!$P:$P,'Existing Customers'!$A:$A,$CV$1,'Existing Customers'!$H:$H,$CU28)*$CV$4,$CV28/$DH28),0)</f>
        <v>0</v>
      </c>
      <c r="CZ28" s="96">
        <f>IFERROR(IF(AND($CV$2&lt;&gt;"Enter Spend&gt;&gt;&gt;",CW2="EXISTING"),SUMIFS('Existing Customers'!$V:$V,'Existing Customers'!$H:$H,$CU28,'Existing Customers'!$A:$A,$CV$1)*$CV$4,0),0)</f>
        <v>0</v>
      </c>
      <c r="DA28" s="96">
        <f>IFERROR(IF(AND($CV$2&lt;&gt;"Enter Spend&gt;&gt;&gt;",CW2="EXISTING"),SUMIFS('Existing Customers'!$R:$R,'Existing Customers'!$H:$H,$BA28,'Existing Customers'!$A:$A,$CV$1)*$CV$4,0),0)</f>
        <v>0</v>
      </c>
      <c r="DB28" s="1161">
        <f>IFERROR(IF(AND($CV$2&lt;&gt;"Enter Spend&gt;&gt;&gt;",CW2="EXISTING"),SUMIFS('Existing Customers'!$S:$S,'Existing Customers'!$H:$H,$CU28,'Existing Customers'!$A:$A,$CV$1),DL28*CV28),0)</f>
        <v>0</v>
      </c>
      <c r="DC28" s="1161">
        <f>IFERROR(IF(AND($CV$2&lt;&gt;"Enter Spend&gt;&gt;&gt;",CW2="EXISTING"),SUMIFS('Existing Customers'!$U:$U,'Existing Customers'!$H:$H,$CU28,'Existing Customers'!$A:$A,$CV$1),DM28*CV28),0)</f>
        <v>0</v>
      </c>
      <c r="DD28" s="1164" t="e">
        <f t="shared" si="33"/>
        <v>#N/A</v>
      </c>
      <c r="DE28" s="1164">
        <f t="array" ref="DE28">IFERROR(INDEX('Margin Guidence Table'!$A$1:$AG$10000,MATCH(1,('Margin Guidence Table'!$A$1:$A$10000=DD28)*('Margin Guidence Table'!$I$1:$I$10000&lt;=ROUND($CV$3,0))*('Margin Guidence Table'!$J$1:$J$10000&gt;=ROUND($CV$3,0)),0),MATCH("DATA_POINTS",'Margin Guidence Table'!$A$1:$AG$1,0)),0)</f>
        <v>0</v>
      </c>
      <c r="DF28" s="1161" t="str">
        <f t="shared" si="34"/>
        <v>DEFAULT</v>
      </c>
      <c r="DG28" s="116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16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16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16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16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16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16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16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9"/>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96" t="e">
        <f t="shared" si="35"/>
        <v>#DIV/0!</v>
      </c>
      <c r="DR28" s="102" t="s">
        <v>91</v>
      </c>
      <c r="DS28" s="94">
        <f>IFERROR(IF(AND($DS$2&lt;&gt;"Enter Spend&gt;&gt;&gt;",DT16="EXISTING"),SUMIFS('Existing Customers'!$Q:$Q,'Existing Customers'!$A:$A,$DS$1,'Existing Customers'!$H:$H,$DR28)*$DS$4,$DS$3*$DQ28),0)</f>
        <v>0</v>
      </c>
      <c r="DT28" s="89">
        <f>IFERROR(IF(AND($DS$2&lt;&gt;"Enter Spend&gt;&gt;&gt;",DT2="EXISTING"),SUMIFS('Existing Customers'!$N:$N,'Existing Customers'!$A:$A,$DS$1,'Existing Customers'!$H:$H,$DR28)*$DS$4,$DS28/$ED28),0)</f>
        <v>0</v>
      </c>
      <c r="DU28" s="95">
        <f>IFERROR(IF(AND($DS$2&lt;&gt;"Enter Spend&gt;&gt;&gt;",DT2="EXISTING"),SUMIFS('Existing Customers'!$O:$O,'Existing Customers'!$H:$H,$DR28,'Existing Customers'!$A:$A,$DS$1)*$DS$4,$DT28*$DS$8),0)</f>
        <v>0</v>
      </c>
      <c r="DV28" s="95">
        <f>IFERROR(IF(AND($DS$2&lt;&gt;"Enter Spend&gt;&gt;&gt;",DT2="EXISTING"),SUMIFS('Existing Customers'!$P:$P,'Existing Customers'!$A:$A,$DS$1,'Existing Customers'!$H:$H,$DR28)*$DS$4,$DS28/$EE28),0)</f>
        <v>0</v>
      </c>
      <c r="DW28" s="96">
        <f>IFERROR(IF(AND($DS$2&lt;&gt;"Enter Spend&gt;&gt;&gt;",EQ2="EXISTING"),SUMIFS('Existing Customers'!$V:$V,'Existing Customers'!$H:$H,$DR28,'Existing Customers'!$A:$A,$DS$1)*$DS$4,0),0)</f>
        <v>0</v>
      </c>
      <c r="DX28" s="96">
        <f>IFERROR(IF(AND($DS$2&lt;&gt;"Enter Spend&gt;&gt;&gt;",DT2="EXISTING"),SUMIFS('Existing Customers'!$R:$R,'Existing Customers'!$H:$H,$DR28,'Existing Customers'!$A:$A,$DS$1)*$DS$4,0),0)</f>
        <v>0</v>
      </c>
      <c r="DY28" s="1161">
        <f>IFERROR(IF(AND($DS$2&lt;&gt;"Enter Spend&gt;&gt;&gt;",DT2="EXISTING"),SUMIFS('Existing Customers'!$S:$S,'Existing Customers'!$H:$H,$DT28,'Existing Customers'!$A:$A,$DS$1),EI28*DS28),0)</f>
        <v>0</v>
      </c>
      <c r="DZ28" s="1161">
        <f>IFERROR(IF(AND($DS$2&lt;&gt;"Enter Spend&gt;&gt;&gt;",DT2="EXISTING"),SUMIFS('Existing Customers'!$U:$U,'Existing Customers'!$H:$H,$DR28,'Existing Customers'!$A:$A,$DS$1),EJ28*DS28),0)</f>
        <v>0</v>
      </c>
      <c r="EA28" s="1164" t="e">
        <f t="shared" si="36"/>
        <v>#N/A</v>
      </c>
      <c r="EB28" s="1164">
        <f t="array" ref="EB28">IFERROR(INDEX('Margin Guidence Table'!$A$1:$AG$10000,MATCH(1,('Margin Guidence Table'!$A$1:$A$10000=EA28)*('Margin Guidence Table'!$I$1:$I$10000&lt;=ROUND($DS$3,0))*('Margin Guidence Table'!$J$1:$J$10000&gt;=ROUND($DS$3,0)),0),MATCH("DATA_POINTS",'Margin Guidence Table'!$A$1:$AG$1,0)),0)</f>
        <v>0</v>
      </c>
      <c r="EC28" s="1161" t="str">
        <f t="shared" si="37"/>
        <v>DEFAULT</v>
      </c>
      <c r="ED28" s="116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16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16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16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16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16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16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16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9"/>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96" t="e">
        <f t="shared" si="38"/>
        <v>#DIV/0!</v>
      </c>
      <c r="EO28" s="102" t="s">
        <v>91</v>
      </c>
      <c r="EP28" s="94">
        <f>IFERROR(IF(AND($EP$2&lt;&gt;"Enter Spend&gt;&gt;&gt;",EQ16="EXISTING"),SUMIFS('Existing Customers'!$Q:$Q,'Existing Customers'!$A:$A,$EP$1,'Existing Customers'!$H:$H,$EO28)*$EP$4,$EP$3*$EN28),0)</f>
        <v>0</v>
      </c>
      <c r="EQ28" s="89">
        <f>IFERROR(IF(AND($EP$2&lt;&gt;"Enter Spend&gt;&gt;&gt;",EQ2="EXISTING"),SUMIFS('Existing Customers'!$N:$N,'Existing Customers'!$A:$A,$EP$1,'Existing Customers'!$H:$H,$EO28)*$EP$4,$EP28/$FA28),0)</f>
        <v>0</v>
      </c>
      <c r="ER28" s="95">
        <f>IFERROR(IF(AND($EP$2&lt;&gt;"Enter Spend&gt;&gt;&gt;",EQ2="EXISTING"),SUMIFS('Existing Customers'!$O:$O,'Existing Customers'!$H:$H,$EO28,'Existing Customers'!$A:$A,$EP$1)*$EP$4,$EQ28*$EP$8),0)</f>
        <v>0</v>
      </c>
      <c r="ES28" s="95">
        <f>IFERROR(IF(AND($EP$2&lt;&gt;"Enter Spend&gt;&gt;&gt;",EQ2="EXISTING"),SUMIFS('Existing Customers'!$P:$P,'Existing Customers'!$A:$A,$EP$1,'Existing Customers'!$H:$H,$EO28)*$EP$4,$EP28/$FB28),0)</f>
        <v>0</v>
      </c>
      <c r="ET28" s="96">
        <f>IFERROR(IF(AND($EP$2&lt;&gt;"Enter Spend&gt;&gt;&gt;",EQ2="EXISTING"),SUMIFS('Existing Customers'!$V:$V,'Existing Customers'!$H:$H,$EO28,'Existing Customers'!$A:$A,$EP$1)*$EP$4,0),0)</f>
        <v>0</v>
      </c>
      <c r="EU28" s="96">
        <f>IFERROR(IF(AND($EP$2&lt;&gt;"Enter Spend&gt;&gt;&gt;",EQ2="EXISTING"),SUMIFS('Existing Customers'!$R:$R,'Existing Customers'!$H:$H,$EO28,'Existing Customers'!$A:$A,$EP$1)*$EP$4,0),0)</f>
        <v>0</v>
      </c>
      <c r="EV28" s="1161">
        <f>IFERROR(IF(AND($EP$2&lt;&gt;"Enter Spend&gt;&gt;&gt;",EQ2="EXISTING"),SUMIFS('Existing Customers'!$S:$S,'Existing Customers'!$H:$H,$EO28,'Existing Customers'!$A:$A,$EP$1),FF28*EP28),0)</f>
        <v>0</v>
      </c>
      <c r="EW28" s="1161">
        <f>IFERROR(IF(AND($EP$2&lt;&gt;"Enter Spend&gt;&gt;&gt;",EQ2="EXISTING"),SUMIFS('Existing Customers'!$U:$U,'Existing Customers'!$H:$H,$EO28,'Existing Customers'!$A:$A,$EP$1),FG28*EP28),0)</f>
        <v>0</v>
      </c>
      <c r="EX28" s="1164" t="e">
        <f t="shared" si="39"/>
        <v>#N/A</v>
      </c>
      <c r="EY28" s="1164">
        <f t="array" ref="EY28">IFERROR(INDEX('Margin Guidence Table'!$A$1:$AG$10000,MATCH(1,('Margin Guidence Table'!$A$1:$A$10000=EX28)*('Margin Guidence Table'!$I$1:$I$10000&lt;=ROUND($EP$3,0))*('Margin Guidence Table'!$J$1:$J$10000&gt;=ROUND($EP$3,0)),0),MATCH("DATA_POINTS",'Margin Guidence Table'!$A$1:$AG$1,0)),0)</f>
        <v>0</v>
      </c>
      <c r="EZ28" s="1161" t="str">
        <f t="shared" si="40"/>
        <v>DEFAULT</v>
      </c>
      <c r="FA28" s="116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16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16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16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16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16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16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16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9"/>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96" t="e">
        <f t="shared" si="41"/>
        <v>#DIV/0!</v>
      </c>
      <c r="FL28" s="102" t="s">
        <v>91</v>
      </c>
      <c r="FM28" s="94">
        <f>IFERROR(IF(AND($FM$2&lt;&gt;"Enter Spend&gt;&gt;&gt;",FN16="EXISTING"),SUMIFS('Existing Customers'!$Q:$Q,'Existing Customers'!$A:$A,$FM$1,'Existing Customers'!$H:$H,$FL28)*$FM$4,$FM$3*$FK28),0)</f>
        <v>0</v>
      </c>
      <c r="FN28" s="89">
        <f>IFERROR(IF(AND($FM$2&lt;&gt;"Enter Spend&gt;&gt;&gt;",FN2="EXISTING"),SUMIFS('Existing Customers'!$N:$N,'Existing Customers'!$A:$A,$FM$1,'Existing Customers'!$H:$H,$FL28)*$FM$4,$FM28/$FX28),0)</f>
        <v>0</v>
      </c>
      <c r="FO28" s="95">
        <f>IFERROR(IF(AND($FM$2&lt;&gt;"Enter Spend&gt;&gt;&gt;",FN2="EXISTING"),SUMIFS('Existing Customers'!$O:$O,'Existing Customers'!$H:$H,$FL28,'Existing Customers'!$A:$A,$FM$1)*$FM$4,$FN28*$FM$8),0)</f>
        <v>0</v>
      </c>
      <c r="FP28" s="95">
        <f>IFERROR(IF(AND($FM$2&lt;&gt;"Enter Spend&gt;&gt;&gt;",FN2="EXISTING"),SUMIFS('Existing Customers'!$P:$P,'Existing Customers'!$A:$A,$FM$1,'Existing Customers'!$H:$H,$FL28)*$FM$4,$FM28/$FY28),0)</f>
        <v>0</v>
      </c>
      <c r="FQ28" s="96">
        <f>IFERROR(IF(AND($FM$2&lt;&gt;"Enter Spend&gt;&gt;&gt;",FN2="EXISTING"),SUMIFS('Existing Customers'!$V:$V,'Existing Customers'!$H:$H,$FL28,'Existing Customers'!$A:$A,$FM$1)*$FM$4,0),0)</f>
        <v>0</v>
      </c>
      <c r="FR28" s="96">
        <f>IFERROR(IF(AND($FM$2&lt;&gt;"Enter Spend&gt;&gt;&gt;",FN2="EXISTING"),SUMIFS('Existing Customers'!$R:$R,'Existing Customers'!$H:$H,$FL28,'Existing Customers'!$A:$A,$FM$1)*$FM$4,0),0)</f>
        <v>0</v>
      </c>
      <c r="FS28" s="1161">
        <f>IFERROR(IF(AND($FM$2&lt;&gt;"Enter Spend&gt;&gt;&gt;",FN2="EXISTING"),SUMIFS('Existing Customers'!$S:$S,'Existing Customers'!$H:$H,$FL28,'Existing Customers'!$A:$A,$FM$1),GC28*FM28),0)</f>
        <v>0</v>
      </c>
      <c r="FT28" s="1161">
        <f>IFERROR(IF(AND($FM$2&lt;&gt;"Enter Spend&gt;&gt;&gt;",FN2="EXISTING"),SUMIFS('Existing Customers'!$U:$U,'Existing Customers'!$H:$H,$FL28,'Existing Customers'!$A:$A,$FM$1),GD28*FM28),0)</f>
        <v>0</v>
      </c>
      <c r="FU28" s="1164" t="e">
        <f t="shared" si="42"/>
        <v>#N/A</v>
      </c>
      <c r="FV28" s="1164">
        <f t="array" ref="FV28">IFERROR(INDEX('Margin Guidence Table'!$A$1:$AG$10000,MATCH(1,('Margin Guidence Table'!$A$1:$A$10000=FU28)*('Margin Guidence Table'!$I$1:$I$10000&lt;=ROUND($FM$3,0))*('Margin Guidence Table'!$J$1:$J$10000&gt;=ROUND($FM$3,0)),0),MATCH("DATA_POINTS",'Margin Guidence Table'!$A$1:$AG$1,0)),0)</f>
        <v>0</v>
      </c>
      <c r="FW28" s="1161" t="str">
        <f t="shared" si="43"/>
        <v>DEFAULT</v>
      </c>
      <c r="FX28" s="116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16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16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16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16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16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16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16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9"/>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96" t="e">
        <f t="shared" si="44"/>
        <v>#DIV/0!</v>
      </c>
      <c r="GI28" s="102" t="s">
        <v>91</v>
      </c>
      <c r="GJ28" s="94">
        <f>IFERROR(IF(AND($GJ$2&lt;&gt;"Enter Spend&gt;&gt;&gt;",GK16="EXISTING"),SUMIFS('Existing Customers'!$Q:$Q,'Existing Customers'!$A:$A,$GJ$1,'Existing Customers'!$H:$H,$GI28)*$GJ$4,$GJ$3*$GH28),0)</f>
        <v>0</v>
      </c>
      <c r="GK28" s="89">
        <f>IFERROR(IF(AND($GJ$2&lt;&gt;"Enter Spend&gt;&gt;&gt;",GK2="EXISTING"),SUMIFS('Existing Customers'!$N:$N,'Existing Customers'!$A:$A,$GJ$1,'Existing Customers'!$H:$H,$GI28)*$GJ$4,$GJ28/$GU28),0)</f>
        <v>0</v>
      </c>
      <c r="GL28" s="95">
        <f>IFERROR(IF(AND($GJ$2&lt;&gt;"Enter Spend&gt;&gt;&gt;",GK2="EXISTING"),SUMIFS('Existing Customers'!$O:$O,'Existing Customers'!$H:$H,$GI28,'Existing Customers'!$A:$A,$GJ$1)*$GJ$4,$GK28*$GJ$8),0)</f>
        <v>0</v>
      </c>
      <c r="GM28" s="95">
        <f>IFERROR(IF(AND($GJ$2&lt;&gt;"Enter Spend&gt;&gt;&gt;",GK2="EXISTING"),SUMIFS('Existing Customers'!$P:$P,'Existing Customers'!$A:$A,$GJ$1,'Existing Customers'!$H:$H,$GI28)*$GJ$4,$GJ28/$GV28),0)</f>
        <v>0</v>
      </c>
      <c r="GN28" s="96">
        <f>IFERROR(IF(AND($GJ$2&lt;&gt;"Enter Spend&gt;&gt;&gt;",GK2="EXISTING"),SUMIFS('Existing Customers'!$V:$V,'Existing Customers'!$H:$H,$GI28,'Existing Customers'!$A:$A,$GJ$1)*$GJ$4,0),0)</f>
        <v>0</v>
      </c>
      <c r="GO28" s="96">
        <f>IFERROR(IF(AND($GJ$2&lt;&gt;"Enter Spend&gt;&gt;&gt;",GK2="EXISTING"),SUMIFS('Existing Customers'!$R:$R,'Existing Customers'!$H:$H,$GI28,'Existing Customers'!$A:$A,$GJ$1)*$GJ$4,0),0)</f>
        <v>0</v>
      </c>
      <c r="GP28" s="1161">
        <f>IFERROR(IF(AND($GJ$2&lt;&gt;"Enter Spend&gt;&gt;&gt;",GK2="EXISTING"),SUMIFS('Existing Customers'!$S:$S,'Existing Customers'!$H:$H,$GI28,'Existing Customers'!$A:$A,$GJ$1),GZ28*GJ28),0)</f>
        <v>0</v>
      </c>
      <c r="GQ28" s="1161">
        <f>IFERROR(IF(AND($GJ$2&lt;&gt;"Enter Spend&gt;&gt;&gt;",GK2="EXISTING"),SUMIFS('Existing Customers'!$U:$U,'Existing Customers'!$H:$H,$GI28,'Existing Customers'!$A:$A,$GJ$1),HA28*GJ28),0)</f>
        <v>0</v>
      </c>
      <c r="GR28" s="1164" t="e">
        <f t="shared" si="45"/>
        <v>#N/A</v>
      </c>
      <c r="GS28" s="1164">
        <f t="array" ref="GS28">IFERROR(INDEX('Margin Guidence Table'!$A$1:$AG$10000,MATCH(1,('Margin Guidence Table'!$A$1:$A$10000=GR28)*('Margin Guidence Table'!$I$1:$I$10000&lt;=ROUND($GJ$3,0))*('Margin Guidence Table'!$J$1:$J$10000&gt;=ROUND($GJ$3,0)),0),MATCH("DATA_POINTS",'Margin Guidence Table'!$A$1:$AG$1,0)),0)</f>
        <v>0</v>
      </c>
      <c r="GT28" s="1161" t="str">
        <f t="shared" si="46"/>
        <v>DEFAULT</v>
      </c>
      <c r="GU28" s="116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16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16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16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16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16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16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16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9"/>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96" t="e">
        <f t="shared" si="47"/>
        <v>#DIV/0!</v>
      </c>
      <c r="HF28" s="102" t="s">
        <v>91</v>
      </c>
      <c r="HG28" s="94">
        <f>IFERROR(IF(AND($HG$2&lt;&gt;"Enter Spend&gt;&gt;&gt;",HH16="EXISTING"),SUMIFS('Existing Customers'!$Q:$Q,'Existing Customers'!$A:$A,$HG$1,'Existing Customers'!$H:$H,$HF28)*$HG$4,$HG$3*$HE28),0)</f>
        <v>0</v>
      </c>
      <c r="HH28" s="89">
        <f>IFERROR(IF(AND($HG$2&lt;&gt;"Enter Spend&gt;&gt;&gt;",HH2="EXISTING"),SUMIFS('Existing Customers'!$N:$N,'Existing Customers'!$A:$A,$HG$1,'Existing Customers'!$H:$H,$HF28)*$HG$4,$HG28/$HR28),0)</f>
        <v>0</v>
      </c>
      <c r="HI28" s="95">
        <f>IFERROR(IF(AND($HG$2&lt;&gt;"Enter Spend&gt;&gt;&gt;",HH2="EXISTING"),SUMIFS('Existing Customers'!$O:$O,'Existing Customers'!$H:$H,$HF28,'Existing Customers'!$A:$A,$HG$1)*$HG$4,$HH28*$HG$8),0)</f>
        <v>0</v>
      </c>
      <c r="HJ28" s="95">
        <f>IFERROR(IF(AND($HG$2&lt;&gt;"Enter Spend&gt;&gt;&gt;",HH2="EXISTING"),SUMIFS('Existing Customers'!$P:$P,'Existing Customers'!$A:$A,$HG$1,'Existing Customers'!$H:$H,$HF28)*$HG$4,$HG28/$HS28),0)</f>
        <v>0</v>
      </c>
      <c r="HK28" s="96">
        <f>IFERROR(IF(AND($HG$2&lt;&gt;"Enter Spend&gt;&gt;&gt;",HH2="EXISTING"),SUMIFS('Existing Customers'!$V:$V,'Existing Customers'!$H:$H,$HF28,'Existing Customers'!$A:$A,$HG$1)*$HG$4,0),0)</f>
        <v>0</v>
      </c>
      <c r="HL28" s="96">
        <f>IFERROR(IF(AND($HG$2&lt;&gt;"Enter Spend&gt;&gt;&gt;",HH2="EXISTING"),SUMIFS('Existing Customers'!$R:$R,'Existing Customers'!$H:$H,$HF28,'Existing Customers'!$A:$A,$HG$1)*$HG$4,0),0)</f>
        <v>0</v>
      </c>
      <c r="HM28" s="1161">
        <f>IFERROR(IF(AND($HG$2&lt;&gt;"Enter Spend&gt;&gt;&gt;",HH2="EXISTING"),SUMIFS('Existing Customers'!$S:$S,'Existing Customers'!$H:$H,$HF28,'Existing Customers'!$A:$A,$HG$1),HW28*HG28),0)</f>
        <v>0</v>
      </c>
      <c r="HN28" s="1161">
        <f>IFERROR(IF(AND($HG$2&lt;&gt;"Enter Spend&gt;&gt;&gt;",HH2="EXISTING"),SUMIFS('Existing Customers'!$U:$U,'Existing Customers'!$H:$H,$HF28,'Existing Customers'!$A:$A,$HG$1),HX28*HG28),0)</f>
        <v>0</v>
      </c>
      <c r="HO28" s="1164" t="e">
        <f t="shared" si="48"/>
        <v>#N/A</v>
      </c>
      <c r="HP28" s="1164">
        <f t="array" ref="HP28">IFERROR(INDEX('Margin Guidence Table'!$A$1:$AG$10000,MATCH(1,('Margin Guidence Table'!$A$1:$A$10000=HO28)*('Margin Guidence Table'!$I$1:$I$10000&lt;=ROUND($HG$3,0))*('Margin Guidence Table'!$J$1:$J$10000&gt;=ROUND($HG$3,0)),0),MATCH("DATA_POINTS",'Margin Guidence Table'!$A$1:$AG$1,0)),0)</f>
        <v>0</v>
      </c>
      <c r="HQ28" s="1161" t="str">
        <f t="shared" si="49"/>
        <v>DEFAULT</v>
      </c>
      <c r="HR28" s="116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16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16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16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16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16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16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16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9"/>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96" t="e">
        <f t="shared" si="50"/>
        <v>#DIV/0!</v>
      </c>
      <c r="IC28" s="102" t="s">
        <v>91</v>
      </c>
      <c r="ID28" s="94">
        <f>IFERROR(IF(AND($ID$2&lt;&gt;"Enter Spend&gt;&gt;&gt;",IE16="EXISTING"),SUMIFS('Existing Customers'!$Q:$Q,'Existing Customers'!$A:$A,$ID$1,'Existing Customers'!$H:$H,$IC28)*$ID$4,$ID$3*$IB28),0)</f>
        <v>0</v>
      </c>
      <c r="IE28" s="89">
        <f>IFERROR(IF(AND($ID$2&lt;&gt;"Enter Spend&gt;&gt;&gt;",IE2="EXISTING"),SUMIFS('Existing Customers'!$N:$N,'Existing Customers'!$A:$A,$ID$1,'Existing Customers'!$H:$H,$IC28)*$ID$4,$ID28/$IO28),0)</f>
        <v>0</v>
      </c>
      <c r="IF28" s="95">
        <f>IFERROR(IF(AND($ID$2&lt;&gt;"Enter Spend&gt;&gt;&gt;",IE2="EXISTING"),SUMIFS('Existing Customers'!$O:$O,'Existing Customers'!$H:$H,$IC28,'Existing Customers'!$A:$A,$ID$1)*$ID$4,$IE28*$ID$8),0)</f>
        <v>0</v>
      </c>
      <c r="IG28" s="95">
        <f>IFERROR(IF(AND($ID$2&lt;&gt;"Enter Spend&gt;&gt;&gt;",IE2="EXISTING"),SUMIFS('Existing Customers'!$P:$P,'Existing Customers'!$A:$A,$ID$1,'Existing Customers'!$H:$H,$IC28)*$ID$4,$ID28/$IP28),0)</f>
        <v>0</v>
      </c>
      <c r="IH28" s="402">
        <f>IFERROR(IF(AND($ID$2&lt;&gt;"Enter Spend&gt;&gt;&gt;",IE2="EXISTING"),SUMIFS('Existing Customers'!$V:$V,'Existing Customers'!$H:$H,$IC28,'Existing Customers'!$A:$A,$ID$1)*$ID$4,0),0)</f>
        <v>0</v>
      </c>
      <c r="II28" s="96">
        <f>IFERROR(IF(AND($ID$2&lt;&gt;"Enter Spend&gt;&gt;&gt;",IE2="EXISTING"),SUMIFS('Existing Customers'!$R:$R,'Existing Customers'!$H:$H,$IC28,'Existing Customers'!$A:$A,$ID$1)*$ID$4,0),0)</f>
        <v>0</v>
      </c>
      <c r="IJ28" s="1161">
        <f>IFERROR(IF(AND($ID$2&lt;&gt;"Enter Spend&gt;&gt;&gt;",IE2="EXISTING"),SUMIFS('Existing Customers'!$S:$S,'Existing Customers'!$H:$H,$IC28,'Existing Customers'!$A:$A,$ID$1),IT28*ID28),0)</f>
        <v>0</v>
      </c>
      <c r="IK28" s="1161">
        <f>IFERROR(IF(AND($ID$2&lt;&gt;"Enter Spend&gt;&gt;&gt;",IE2="EXISTING"),SUMIFS('Existing Customers'!$U:$U,'Existing Customers'!$H:$H,$IC28,'Existing Customers'!$A:$A,$ID$1),IU28*ID28),0)</f>
        <v>0</v>
      </c>
      <c r="IL28" s="1164" t="e">
        <f t="shared" si="51"/>
        <v>#N/A</v>
      </c>
      <c r="IM28" s="1164">
        <f t="array" ref="IM28">IFERROR(INDEX('Margin Guidence Table'!$A$1:$AG$10000,MATCH(1,('Margin Guidence Table'!$A$1:$A$10000=IL28)*('Margin Guidence Table'!$I$1:$I$10000&lt;=ROUND($ID$3,0))*('Margin Guidence Table'!$J$1:$J$10000&gt;=ROUND($ID$3,0)),0),MATCH("DATA_POINTS",'Margin Guidence Table'!$A$1:$AG$1,0)),0)</f>
        <v>0</v>
      </c>
      <c r="IN28" s="1161" t="str">
        <f t="shared" si="52"/>
        <v>DEFAULT</v>
      </c>
      <c r="IO28" s="116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16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16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16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16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16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16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16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9"/>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96" t="e">
        <f t="shared" si="53"/>
        <v>#DIV/0!</v>
      </c>
      <c r="IZ28" s="102" t="s">
        <v>91</v>
      </c>
      <c r="JA28" s="94">
        <f>IFERROR(IF(AND($JA$2&lt;&gt;"Enter Spend&gt;&gt;&gt;",JB16="EXISTING"),SUMIFS('Existing Customers'!$Q:$Q,'Existing Customers'!$A:$A,$JA$1,'Existing Customers'!$H:$H,$IZ28)*$JA$4,$JA$3*$IY28),0)</f>
        <v>0</v>
      </c>
      <c r="JB28" s="89">
        <f>IFERROR(IF(AND($JA$2&lt;&gt;"Enter Spend&gt;&gt;&gt;",JB2="EXISTING"),SUMIFS('Existing Customers'!$N:$N,'Existing Customers'!$A:$A,$JA$1,'Existing Customers'!$H:$H,$IZ28)*$JA$4,$JA28/$JL28),0)</f>
        <v>0</v>
      </c>
      <c r="JC28" s="95">
        <f>IFERROR(IF(AND($JA$2&lt;&gt;"Enter Spend&gt;&gt;&gt;",JB2="EXISTING"),SUMIFS('Existing Customers'!$O:$O,'Existing Customers'!$H:$H,$IZ28,'Existing Customers'!$A:$A,$JA$1)*$JA$4,$JB28*$JA$8),0)</f>
        <v>0</v>
      </c>
      <c r="JD28" s="95">
        <f>IFERROR(IF(AND($JA$2&lt;&gt;"Enter Spend&gt;&gt;&gt;",JB2="EXISTING"),SUMIFS('Existing Customers'!$P:$P,'Existing Customers'!$A:$A,$JA$1,'Existing Customers'!$H:$H,$IZ28)*$JA$4,$JA28/$JM28),0)</f>
        <v>0</v>
      </c>
      <c r="JE28" s="402">
        <f>IFERROR(IF(AND($JA$2&lt;&gt;"Enter Spend&gt;&gt;&gt;",JB2="EXISTING"),SUMIFS('Existing Customers'!$V:$V,'Existing Customers'!$H:$H,$IZ28,'Existing Customers'!$A:$A,$JA$1)*$JA$4,0),0)</f>
        <v>0</v>
      </c>
      <c r="JF28" s="96">
        <f>IFERROR(IF(AND($JA$2&lt;&gt;"Enter Spend&gt;&gt;&gt;",JB2="EXISTING"),SUMIFS('Existing Customers'!$R:$R,'Existing Customers'!$H:$H,$IZ28,'Existing Customers'!$A:$A,$JA$1)*$JA$4,0),0)</f>
        <v>0</v>
      </c>
      <c r="JG28" s="1161">
        <f>IFERROR(IF(AND($JA$2&lt;&gt;"Enter Spend&gt;&gt;&gt;",JB2="EXISTING"),SUMIFS('Existing Customers'!$S:$S,'Existing Customers'!$H:$H,$IZ28,'Existing Customers'!$A:$A,$JA$1),JQ28*JA28),0)</f>
        <v>0</v>
      </c>
      <c r="JH28" s="1161">
        <f>IFERROR(IF(AND($JA$2&lt;&gt;"Enter Spend&gt;&gt;&gt;",JB2="EXISTING"),SUMIFS('Existing Customers'!$U:$U,'Existing Customers'!$H:$H,$IZ28,'Existing Customers'!$A:$A,$JA$1),JR28*JA28),0)</f>
        <v>0</v>
      </c>
      <c r="JI28" s="1164" t="e">
        <f t="shared" si="54"/>
        <v>#N/A</v>
      </c>
      <c r="JJ28" s="1164">
        <f t="array" ref="JJ28">IFERROR(INDEX('Margin Guidence Table'!$A$1:$AG$10000,MATCH(1,('Margin Guidence Table'!$A$1:$A$10000=JI28)*('Margin Guidence Table'!$I$1:$I$10000&lt;=ROUND($JA$3,0))*('Margin Guidence Table'!$J$1:$J$10000&gt;=ROUND($JA$3,0)),0),MATCH("DATA_POINTS",'Margin Guidence Table'!$A$1:$AG$1,0)),0)</f>
        <v>0</v>
      </c>
      <c r="JK28" s="1161" t="str">
        <f t="shared" si="55"/>
        <v>DEFAULT</v>
      </c>
      <c r="JL28" s="116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16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16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16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16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16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16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16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2" t="s">
        <v>91</v>
      </c>
      <c r="JV28" s="97"/>
      <c r="JW28" s="89"/>
      <c r="JX28" s="89"/>
      <c r="JY28" s="89"/>
      <c r="JZ28" s="114"/>
      <c r="KA28" s="98"/>
      <c r="KB28" s="129"/>
      <c r="KD28" s="102" t="s">
        <v>91</v>
      </c>
      <c r="KE28" s="97"/>
      <c r="KF28" s="89"/>
      <c r="KG28" s="89"/>
      <c r="KH28" s="89"/>
      <c r="KI28" s="114"/>
      <c r="KJ28" s="98"/>
    </row>
    <row r="29" spans="2:296" ht="15.75" thickBot="1" x14ac:dyDescent="0.3">
      <c r="B29" s="102" t="s">
        <v>90</v>
      </c>
      <c r="C29" s="480">
        <f t="shared" si="11"/>
        <v>0</v>
      </c>
      <c r="D29" s="496">
        <f t="shared" si="12"/>
        <v>0</v>
      </c>
      <c r="E29" s="496">
        <f t="shared" si="13"/>
        <v>0</v>
      </c>
      <c r="F29" s="496">
        <f t="shared" si="14"/>
        <v>0</v>
      </c>
      <c r="G29" s="497">
        <f t="shared" si="15"/>
        <v>0</v>
      </c>
      <c r="H29" s="496">
        <f t="shared" si="16"/>
        <v>0</v>
      </c>
      <c r="I29" s="1157" t="e">
        <f t="shared" si="0"/>
        <v>#DIV/0!</v>
      </c>
      <c r="J29" s="1157" t="e">
        <f t="shared" si="1"/>
        <v>#DIV/0!</v>
      </c>
      <c r="K29" s="1157" t="e">
        <f t="shared" si="2"/>
        <v>#DIV/0!</v>
      </c>
      <c r="L29" s="496" t="e">
        <f t="shared" si="3"/>
        <v>#DIV/0!</v>
      </c>
      <c r="M29" s="496" t="e">
        <f t="shared" si="17"/>
        <v>#DIV/0!</v>
      </c>
      <c r="N29" s="1158" t="e">
        <f t="shared" si="4"/>
        <v>#DIV/0!</v>
      </c>
      <c r="P29" t="str">
        <f>'PIM Model'!E25</f>
        <v>INCLUDE</v>
      </c>
      <c r="Q29">
        <f t="shared" si="18"/>
        <v>0</v>
      </c>
      <c r="R29">
        <f t="shared" si="19"/>
        <v>0</v>
      </c>
      <c r="S29" s="102" t="s">
        <v>90</v>
      </c>
      <c r="T29" s="97">
        <f t="shared" si="20"/>
        <v>0</v>
      </c>
      <c r="U29" s="89">
        <f t="shared" si="5"/>
        <v>0</v>
      </c>
      <c r="V29" s="89">
        <f t="shared" si="6"/>
        <v>0</v>
      </c>
      <c r="W29" s="89">
        <f t="shared" si="7"/>
        <v>0</v>
      </c>
      <c r="X29" s="114">
        <f t="shared" si="8"/>
        <v>0</v>
      </c>
      <c r="Y29" s="117">
        <f t="shared" si="21"/>
        <v>0</v>
      </c>
      <c r="Z29" s="400"/>
      <c r="AA29" s="102" t="s">
        <v>90</v>
      </c>
      <c r="AB29" s="484">
        <f t="shared" si="9"/>
        <v>0</v>
      </c>
      <c r="AC29" s="485">
        <f t="shared" si="9"/>
        <v>0</v>
      </c>
      <c r="AD29" s="485">
        <f t="shared" si="9"/>
        <v>0</v>
      </c>
      <c r="AE29" s="486">
        <f t="shared" si="22"/>
        <v>0</v>
      </c>
      <c r="AF29" s="487">
        <f t="shared" si="23"/>
        <v>0</v>
      </c>
      <c r="AG29" s="400"/>
      <c r="AH29" s="102" t="s">
        <v>90</v>
      </c>
      <c r="AI29" s="484">
        <f t="shared" si="10"/>
        <v>0</v>
      </c>
      <c r="AJ29" s="481">
        <f t="shared" si="24"/>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400" t="e">
        <f t="shared" si="25"/>
        <v>#DIV/0!</v>
      </c>
      <c r="AR29">
        <f>'PIM Model'!C25</f>
        <v>0</v>
      </c>
      <c r="AS29" s="400"/>
      <c r="AT29" s="400"/>
      <c r="AU29" s="400" t="e">
        <f t="shared" si="56"/>
        <v>#DIV/0!</v>
      </c>
      <c r="AV29" s="400"/>
      <c r="AW29" s="400"/>
      <c r="AX29" s="108">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96" t="e">
        <f t="shared" si="26"/>
        <v>#DIV/0!</v>
      </c>
      <c r="BA29" s="102" t="s">
        <v>90</v>
      </c>
      <c r="BB29" s="94">
        <f>IFERROR(IF(AND($BB$2&lt;&gt;"Enter Spend&gt;&gt;&gt;",BC17="EXISTING"),SUMIFS('Existing Customers'!$Q:$Q,'Existing Customers'!$A:$A,$BB$1,'Existing Customers'!$H:$H,$BA29)*$BB$4,$BB$3*$AZ29),0)</f>
        <v>0</v>
      </c>
      <c r="BC29" s="95">
        <f>IFERROR(IF(AND($BB$2&lt;&gt;"Enter Spend&gt;&gt;&gt;",BC2="EXISTING"),SUMIFS('Existing Customers'!$N:$N,'Existing Customers'!$A:$A,$BB$1,'Existing Customers'!$H:$H,$BA29)*$BB$4,$BB29/$BM29),0)</f>
        <v>0</v>
      </c>
      <c r="BD29" s="95">
        <f>IFERROR(IF(AND($BB$2&lt;&gt;"Enter Spend&gt;&gt;&gt;",BC2="EXISTING"),SUMIFS('Existing Customers'!$O:$O,'Existing Customers'!$H:$H,$BA29,'Existing Customers'!$A:$A,$BB$1)*$BB$4,$BC29*$BB$8),0)</f>
        <v>0</v>
      </c>
      <c r="BE29" s="95">
        <f>IFERROR(IF(AND($BB$2&lt;&gt;"Enter Spend&gt;&gt;&gt;",BC2="EXISTING"),SUMIFS('Existing Customers'!$P:$P,'Existing Customers'!$A:$A,$BB$1,'Existing Customers'!$H:$H,$BA29)*$BB$4,$BB29/$BN29),0)</f>
        <v>0</v>
      </c>
      <c r="BF29" s="402">
        <f>IFERROR(IF(AND($BB$2&lt;&gt;"Enter Spend&gt;&gt;&gt;",BC2="EXISTING"),SUMIFS('Existing Customers'!$V:$V,'Existing Customers'!$H:$H,$BA29,'Existing Customers'!$A:$A,$BB$1)*$BB$4,0),0)</f>
        <v>0</v>
      </c>
      <c r="BG29" s="96">
        <f>IFERROR(IF(AND($BB$2&lt;&gt;"Enter Spend&gt;&gt;&gt;",BC2="EXISTING"),SUMIFS('Existing Customers'!$R:$R,'Existing Customers'!$H:$H,$BA29,'Existing Customers'!$A:$A,$BB$1)*$BB$4,0),0)</f>
        <v>0</v>
      </c>
      <c r="BH29" s="96">
        <f>IFERROR(IF(AND($BB$2&lt;&gt;"Enter Spend&gt;&gt;&gt;",BC2="EXISTING"),SUMIFS('Existing Customers'!$S:$S,'Existing Customers'!$H:$H,$BA29,'Existing Customers'!$A:$A,$BB$1),BR29*BB29),0)</f>
        <v>0</v>
      </c>
      <c r="BI29" s="96">
        <f>IFERROR(IF(AND($BB$2&lt;&gt;"Enter Spend&gt;&gt;&gt;",BC2="EXISTING"),SUMIFS('Existing Customers'!$U:$U,'Existing Customers'!$H:$H,$BA29,'Existing Customers'!$A:$A,$BB$1),BS29*BB29),0)</f>
        <v>0</v>
      </c>
      <c r="BJ29" s="1163" t="e">
        <f t="shared" si="27"/>
        <v>#N/A</v>
      </c>
      <c r="BK29" s="1164">
        <f t="array" ref="BK29">IFERROR(INDEX('Margin Guidence Table'!$A$1:$AG$10000,MATCH(1,('Margin Guidence Table'!$A$1:$A$10000=$BJ29)*('Margin Guidence Table'!$I$1:$I$10000&lt;=ROUND($BB$3,0))*('Margin Guidence Table'!$J$1:$J$10000&gt;=ROUND($BB$3,0)),0),MATCH("DATA_POINTS",'Margin Guidence Table'!$A$1:$AG$1,0)),0)</f>
        <v>0</v>
      </c>
      <c r="BL29" s="1161" t="str">
        <f t="shared" si="28"/>
        <v>DEFAULT</v>
      </c>
      <c r="BM29" s="116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16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16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16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16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16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16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16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9"/>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96" t="e">
        <f t="shared" si="29"/>
        <v>#DIV/0!</v>
      </c>
      <c r="BX29" s="102" t="s">
        <v>90</v>
      </c>
      <c r="BY29" s="94">
        <f>IFERROR(IF(AND($BY$2&lt;&gt;"Enter Spend&gt;&gt;&gt;",BZ17="EXISTING"),SUMIFS('Existing Customers'!$Q:$Q,'Existing Customers'!$A:$A,$BY$1,'Existing Customers'!$H:$H,$BX29)*$BY$4,$BY$3*$BW29),0)</f>
        <v>0</v>
      </c>
      <c r="BZ29" s="89">
        <f>IFERROR(IF(AND($BY$2&lt;&gt;"Enter Spend&gt;&gt;&gt;",BZ2="EXISTING"),SUMIFS('Existing Customers'!$N:$N,'Existing Customers'!$A:$A,$BY$1,'Existing Customers'!$H:$H,$BX29)*$BY$4,$BY29/$CJ29),0)</f>
        <v>0</v>
      </c>
      <c r="CA29" s="95">
        <f>IFERROR(IF(AND($BY$2&lt;&gt;"Enter Spend&gt;&gt;&gt;",BZ2="EXISTING"),SUMIFS('Existing Customers'!$O:$O,'Existing Customers'!$H:$H,$BX29,'Existing Customers'!$A:$A,$BY$1)*$BY$4,$BZ29*$BY$8),0)</f>
        <v>0</v>
      </c>
      <c r="CB29" s="95">
        <f>IFERROR(IF(AND($BY$2&lt;&gt;"Enter Spend&gt;&gt;&gt;",BZ2="EXISTING"),SUMIFS('Existing Customers'!$P:$P,'Existing Customers'!$A:$A,$BY$1,'Existing Customers'!$H:$H,$BX29)*$BY$4,$BY29/$CK29),0)</f>
        <v>0</v>
      </c>
      <c r="CC29" s="96">
        <f>IFERROR(IF(AND($BY$2&lt;&gt;"Enter Spend&gt;&gt;&gt;",BZ2="EXISTING"),SUMIFS('Existing Customers'!$V:$V,'Existing Customers'!$H:$H,$BX29,'Existing Customers'!$A:$A,$BY$1)*$BY$4,0),0)</f>
        <v>0</v>
      </c>
      <c r="CD29" s="96">
        <f>IFERROR(IF(AND($BY$2&lt;&gt;"Enter Spend&gt;&gt;&gt;",BZ2="EXISTING"),SUMIFS('Existing Customers'!$R:$R,'Existing Customers'!$H:$H,$BX29,'Existing Customers'!$A:$A,$BY$1)*$BY$4,0),0)</f>
        <v>0</v>
      </c>
      <c r="CE29" s="1161">
        <f>IFERROR(IF(AND($BY$2&lt;&gt;"Enter Spend&gt;&gt;&gt;",BZ2="EXISTING"),SUMIFS('Existing Customers'!$S:$S,'Existing Customers'!$H:$H,$BX29,'Existing Customers'!$A:$A,$BY$1),CO29*BY29),0)</f>
        <v>0</v>
      </c>
      <c r="CF29" s="1161">
        <f>IFERROR(IF(AND($BY$2&lt;&gt;"Enter Spend&gt;&gt;&gt;",BZ2="EXISTING"),SUMIFS('Existing Customers'!$U:$U,'Existing Customers'!$H:$H,$BX29,'Existing Customers'!$A:$A,$BY$1),CP29*BY29),0)</f>
        <v>0</v>
      </c>
      <c r="CG29" s="1164" t="e">
        <f t="shared" si="30"/>
        <v>#N/A</v>
      </c>
      <c r="CH29" s="1164">
        <f t="array" ref="CH29">IFERROR(INDEX('Margin Guidence Table'!$A$1:$AG$10000,MATCH(1,('Margin Guidence Table'!$A$1:$A$10000=$CG29)*('Margin Guidence Table'!$I$1:$I$10000&lt;=ROUND($BY$3,0))*('Margin Guidence Table'!$J$1:$J$10000&gt;=ROUND($BY$3,0)),0),MATCH("DATA_POINTS",'Margin Guidence Table'!$A$1:$AG$1,0)),0)</f>
        <v>0</v>
      </c>
      <c r="CI29" s="1161" t="str">
        <f t="shared" si="31"/>
        <v>DEFAULT</v>
      </c>
      <c r="CJ29" s="116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16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16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16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16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16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16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16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9"/>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96" t="e">
        <f t="shared" si="32"/>
        <v>#DIV/0!</v>
      </c>
      <c r="CU29" s="102" t="s">
        <v>90</v>
      </c>
      <c r="CV29" s="94">
        <f>IFERROR(IF(AND($CV$2&lt;&gt;"Enter Spend&gt;&gt;&gt;",CW17="EXISTING"),SUMIFS('Existing Customers'!$Q:$Q,'Existing Customers'!$A:$A,$CV$1,'Existing Customers'!$H:$H,$CU29)*$CV$4,$CV$3*$CT29),0)</f>
        <v>0</v>
      </c>
      <c r="CW29" s="89">
        <f>IFERROR(IF(AND($CV$2&lt;&gt;"Enter Spend&gt;&gt;&gt;",CW2="EXISTING"),SUMIFS('Existing Customers'!$N:$N,'Existing Customers'!$A:$A,$CV$1,'Existing Customers'!$H:$H,$CU29)*$CV$4,$CV29/$DG29),0)</f>
        <v>0</v>
      </c>
      <c r="CX29" s="95">
        <f>IFERROR(IF(AND($CV$2&lt;&gt;"Enter Spend&gt;&gt;&gt;",BC28="EXISTING"),SUMIFS('Existing Customers'!$O:$O,'Existing Customers'!$H:$H,$CU29,'Existing Customers'!$A:$A,$CV$1)*$CV$4,$CW29*$CV$8),0)</f>
        <v>0</v>
      </c>
      <c r="CY29" s="95">
        <f>IFERROR(IF(AND($CV$2&lt;&gt;"Enter Spend&gt;&gt;&gt;",CW2="EXISTING"),SUMIFS('Existing Customers'!$P:$P,'Existing Customers'!$A:$A,$CV$1,'Existing Customers'!$H:$H,$CU29)*$CV$4,$CV29/$DH29),0)</f>
        <v>0</v>
      </c>
      <c r="CZ29" s="96">
        <f>IFERROR(IF(AND($CV$2&lt;&gt;"Enter Spend&gt;&gt;&gt;",CW2="EXISTING"),SUMIFS('Existing Customers'!$V:$V,'Existing Customers'!$H:$H,$CU29,'Existing Customers'!$A:$A,$CV$1)*$CV$4,0),0)</f>
        <v>0</v>
      </c>
      <c r="DA29" s="96">
        <f>IFERROR(IF(AND($CV$2&lt;&gt;"Enter Spend&gt;&gt;&gt;",CW2="EXISTING"),SUMIFS('Existing Customers'!$R:$R,'Existing Customers'!$H:$H,$BA29,'Existing Customers'!$A:$A,$CV$1)*$CV$4,0),0)</f>
        <v>0</v>
      </c>
      <c r="DB29" s="1161">
        <f>IFERROR(IF(AND($CV$2&lt;&gt;"Enter Spend&gt;&gt;&gt;",CW2="EXISTING"),SUMIFS('Existing Customers'!$S:$S,'Existing Customers'!$H:$H,$CU29,'Existing Customers'!$A:$A,$CV$1),DL29*CV29),0)</f>
        <v>0</v>
      </c>
      <c r="DC29" s="1161">
        <f>IFERROR(IF(AND($CV$2&lt;&gt;"Enter Spend&gt;&gt;&gt;",CW2="EXISTING"),SUMIFS('Existing Customers'!$U:$U,'Existing Customers'!$H:$H,$CU29,'Existing Customers'!$A:$A,$CV$1),DM29*CV29),0)</f>
        <v>0</v>
      </c>
      <c r="DD29" s="1164" t="e">
        <f t="shared" si="33"/>
        <v>#N/A</v>
      </c>
      <c r="DE29" s="1164">
        <f t="array" ref="DE29">IFERROR(INDEX('Margin Guidence Table'!$A$1:$AG$10000,MATCH(1,('Margin Guidence Table'!$A$1:$A$10000=DD29)*('Margin Guidence Table'!$I$1:$I$10000&lt;=ROUND($CV$3,0))*('Margin Guidence Table'!$J$1:$J$10000&gt;=ROUND($CV$3,0)),0),MATCH("DATA_POINTS",'Margin Guidence Table'!$A$1:$AG$1,0)),0)</f>
        <v>0</v>
      </c>
      <c r="DF29" s="1161" t="str">
        <f t="shared" si="34"/>
        <v>DEFAULT</v>
      </c>
      <c r="DG29" s="116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16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16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16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16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16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16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16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9"/>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96" t="e">
        <f t="shared" si="35"/>
        <v>#DIV/0!</v>
      </c>
      <c r="DR29" s="102" t="s">
        <v>90</v>
      </c>
      <c r="DS29" s="94">
        <f>IFERROR(IF(AND($DS$2&lt;&gt;"Enter Spend&gt;&gt;&gt;",DT17="EXISTING"),SUMIFS('Existing Customers'!$Q:$Q,'Existing Customers'!$A:$A,$DS$1,'Existing Customers'!$H:$H,$DR29)*$DS$4,$DS$3*$DQ29),0)</f>
        <v>0</v>
      </c>
      <c r="DT29" s="89">
        <f>IFERROR(IF(AND($DS$2&lt;&gt;"Enter Spend&gt;&gt;&gt;",DT2="EXISTING"),SUMIFS('Existing Customers'!$N:$N,'Existing Customers'!$A:$A,$DS$1,'Existing Customers'!$H:$H,$DR29)*$DS$4,$DS29/$ED29),0)</f>
        <v>0</v>
      </c>
      <c r="DU29" s="95">
        <f>IFERROR(IF(AND($DS$2&lt;&gt;"Enter Spend&gt;&gt;&gt;",DT2="EXISTING"),SUMIFS('Existing Customers'!$O:$O,'Existing Customers'!$H:$H,$DR29,'Existing Customers'!$A:$A,$DS$1)*$DS$4,$DT29*$DS$8),0)</f>
        <v>0</v>
      </c>
      <c r="DV29" s="95">
        <f>IFERROR(IF(AND($DS$2&lt;&gt;"Enter Spend&gt;&gt;&gt;",DT2="EXISTING"),SUMIFS('Existing Customers'!$P:$P,'Existing Customers'!$A:$A,$DS$1,'Existing Customers'!$H:$H,$DR29)*$DS$4,$DS29/$EE29),0)</f>
        <v>0</v>
      </c>
      <c r="DW29" s="96">
        <f>IFERROR(IF(AND($DS$2&lt;&gt;"Enter Spend&gt;&gt;&gt;",EQ2="EXISTING"),SUMIFS('Existing Customers'!$V:$V,'Existing Customers'!$H:$H,$DR29,'Existing Customers'!$A:$A,$DS$1)*$DS$4,0),0)</f>
        <v>0</v>
      </c>
      <c r="DX29" s="96">
        <f>IFERROR(IF(AND($DS$2&lt;&gt;"Enter Spend&gt;&gt;&gt;",DT2="EXISTING"),SUMIFS('Existing Customers'!$R:$R,'Existing Customers'!$H:$H,$DR29,'Existing Customers'!$A:$A,$DS$1)*$DS$4,0),0)</f>
        <v>0</v>
      </c>
      <c r="DY29" s="1161">
        <f>IFERROR(IF(AND($DS$2&lt;&gt;"Enter Spend&gt;&gt;&gt;",DT2="EXISTING"),SUMIFS('Existing Customers'!$S:$S,'Existing Customers'!$H:$H,$DT29,'Existing Customers'!$A:$A,$DS$1),EI29*DS29),0)</f>
        <v>0</v>
      </c>
      <c r="DZ29" s="1161">
        <f>IFERROR(IF(AND($DS$2&lt;&gt;"Enter Spend&gt;&gt;&gt;",DT2="EXISTING"),SUMIFS('Existing Customers'!$U:$U,'Existing Customers'!$H:$H,$DR29,'Existing Customers'!$A:$A,$DS$1),EJ29*DS29),0)</f>
        <v>0</v>
      </c>
      <c r="EA29" s="1164" t="e">
        <f t="shared" si="36"/>
        <v>#N/A</v>
      </c>
      <c r="EB29" s="1164">
        <f t="array" ref="EB29">IFERROR(INDEX('Margin Guidence Table'!$A$1:$AG$10000,MATCH(1,('Margin Guidence Table'!$A$1:$A$10000=EA29)*('Margin Guidence Table'!$I$1:$I$10000&lt;=ROUND($DS$3,0))*('Margin Guidence Table'!$J$1:$J$10000&gt;=ROUND($DS$3,0)),0),MATCH("DATA_POINTS",'Margin Guidence Table'!$A$1:$AG$1,0)),0)</f>
        <v>0</v>
      </c>
      <c r="EC29" s="1161" t="str">
        <f t="shared" si="37"/>
        <v>DEFAULT</v>
      </c>
      <c r="ED29" s="116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16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16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16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16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16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16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16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9"/>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96" t="e">
        <f t="shared" si="38"/>
        <v>#DIV/0!</v>
      </c>
      <c r="EO29" s="102" t="s">
        <v>90</v>
      </c>
      <c r="EP29" s="94">
        <f>IFERROR(IF(AND($EP$2&lt;&gt;"Enter Spend&gt;&gt;&gt;",EQ17="EXISTING"),SUMIFS('Existing Customers'!$Q:$Q,'Existing Customers'!$A:$A,$EP$1,'Existing Customers'!$H:$H,$EO29)*$EP$4,$EP$3*$EN29),0)</f>
        <v>0</v>
      </c>
      <c r="EQ29" s="89">
        <f>IFERROR(IF(AND($EP$2&lt;&gt;"Enter Spend&gt;&gt;&gt;",EQ2="EXISTING"),SUMIFS('Existing Customers'!$N:$N,'Existing Customers'!$A:$A,$EP$1,'Existing Customers'!$H:$H,$EO29)*$EP$4,$EP29/$FA29),0)</f>
        <v>0</v>
      </c>
      <c r="ER29" s="95">
        <f>IFERROR(IF(AND($EP$2&lt;&gt;"Enter Spend&gt;&gt;&gt;",EQ2="EXISTING"),SUMIFS('Existing Customers'!$O:$O,'Existing Customers'!$H:$H,$EO29,'Existing Customers'!$A:$A,$EP$1)*$EP$4,$EQ29*$EP$8),0)</f>
        <v>0</v>
      </c>
      <c r="ES29" s="95">
        <f>IFERROR(IF(AND($EP$2&lt;&gt;"Enter Spend&gt;&gt;&gt;",EQ2="EXISTING"),SUMIFS('Existing Customers'!$P:$P,'Existing Customers'!$A:$A,$EP$1,'Existing Customers'!$H:$H,$EO29)*$EP$4,$EP29/$FB29),0)</f>
        <v>0</v>
      </c>
      <c r="ET29" s="96">
        <f>IFERROR(IF(AND($EP$2&lt;&gt;"Enter Spend&gt;&gt;&gt;",EQ2="EXISTING"),SUMIFS('Existing Customers'!$V:$V,'Existing Customers'!$H:$H,$EO29,'Existing Customers'!$A:$A,$EP$1)*$EP$4,0),0)</f>
        <v>0</v>
      </c>
      <c r="EU29" s="96">
        <f>IFERROR(IF(AND($EP$2&lt;&gt;"Enter Spend&gt;&gt;&gt;",EQ2="EXISTING"),SUMIFS('Existing Customers'!$R:$R,'Existing Customers'!$H:$H,$EO29,'Existing Customers'!$A:$A,$EP$1)*$EP$4,0),0)</f>
        <v>0</v>
      </c>
      <c r="EV29" s="1161">
        <f>IFERROR(IF(AND($EP$2&lt;&gt;"Enter Spend&gt;&gt;&gt;",EQ2="EXISTING"),SUMIFS('Existing Customers'!$S:$S,'Existing Customers'!$H:$H,$EO29,'Existing Customers'!$A:$A,$EP$1),FF29*EP29),0)</f>
        <v>0</v>
      </c>
      <c r="EW29" s="1161">
        <f>IFERROR(IF(AND($EP$2&lt;&gt;"Enter Spend&gt;&gt;&gt;",EQ2="EXISTING"),SUMIFS('Existing Customers'!$U:$U,'Existing Customers'!$H:$H,$EO29,'Existing Customers'!$A:$A,$EP$1),FG29*EP29),0)</f>
        <v>0</v>
      </c>
      <c r="EX29" s="1164" t="e">
        <f t="shared" si="39"/>
        <v>#N/A</v>
      </c>
      <c r="EY29" s="1164">
        <f t="array" ref="EY29">IFERROR(INDEX('Margin Guidence Table'!$A$1:$AG$10000,MATCH(1,('Margin Guidence Table'!$A$1:$A$10000=EX29)*('Margin Guidence Table'!$I$1:$I$10000&lt;=ROUND($EP$3,0))*('Margin Guidence Table'!$J$1:$J$10000&gt;=ROUND($EP$3,0)),0),MATCH("DATA_POINTS",'Margin Guidence Table'!$A$1:$AG$1,0)),0)</f>
        <v>0</v>
      </c>
      <c r="EZ29" s="1161" t="str">
        <f t="shared" si="40"/>
        <v>DEFAULT</v>
      </c>
      <c r="FA29" s="116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16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16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16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16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16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16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16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9"/>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96" t="e">
        <f t="shared" si="41"/>
        <v>#DIV/0!</v>
      </c>
      <c r="FL29" s="102" t="s">
        <v>90</v>
      </c>
      <c r="FM29" s="94">
        <f>IFERROR(IF(AND($FM$2&lt;&gt;"Enter Spend&gt;&gt;&gt;",FN17="EXISTING"),SUMIFS('Existing Customers'!$Q:$Q,'Existing Customers'!$A:$A,$FM$1,'Existing Customers'!$H:$H,$FL29)*$FM$4,$FM$3*$FK29),0)</f>
        <v>0</v>
      </c>
      <c r="FN29" s="89">
        <f>IFERROR(IF(AND($FM$2&lt;&gt;"Enter Spend&gt;&gt;&gt;",FN2="EXISTING"),SUMIFS('Existing Customers'!$N:$N,'Existing Customers'!$A:$A,$FM$1,'Existing Customers'!$H:$H,$FL29)*$FM$4,$FM29/$FX29),0)</f>
        <v>0</v>
      </c>
      <c r="FO29" s="95">
        <f>IFERROR(IF(AND($FM$2&lt;&gt;"Enter Spend&gt;&gt;&gt;",FN2="EXISTING"),SUMIFS('Existing Customers'!$O:$O,'Existing Customers'!$H:$H,$FL29,'Existing Customers'!$A:$A,$FM$1)*$FM$4,$FN29*$FM$8),0)</f>
        <v>0</v>
      </c>
      <c r="FP29" s="95">
        <f>IFERROR(IF(AND($FM$2&lt;&gt;"Enter Spend&gt;&gt;&gt;",FN2="EXISTING"),SUMIFS('Existing Customers'!$P:$P,'Existing Customers'!$A:$A,$FM$1,'Existing Customers'!$H:$H,$FL29)*$FM$4,$FM29/$FY29),0)</f>
        <v>0</v>
      </c>
      <c r="FQ29" s="96">
        <f>IFERROR(IF(AND($FM$2&lt;&gt;"Enter Spend&gt;&gt;&gt;",FN2="EXISTING"),SUMIFS('Existing Customers'!$V:$V,'Existing Customers'!$H:$H,$FL29,'Existing Customers'!$A:$A,$FM$1)*$FM$4,0),0)</f>
        <v>0</v>
      </c>
      <c r="FR29" s="96">
        <f>IFERROR(IF(AND($FM$2&lt;&gt;"Enter Spend&gt;&gt;&gt;",FN2="EXISTING"),SUMIFS('Existing Customers'!$R:$R,'Existing Customers'!$H:$H,$FL29,'Existing Customers'!$A:$A,$FM$1)*$FM$4,0),0)</f>
        <v>0</v>
      </c>
      <c r="FS29" s="1161">
        <f>IFERROR(IF(AND($FM$2&lt;&gt;"Enter Spend&gt;&gt;&gt;",FN2="EXISTING"),SUMIFS('Existing Customers'!$S:$S,'Existing Customers'!$H:$H,$FL29,'Existing Customers'!$A:$A,$FM$1),GC29*FM29),0)</f>
        <v>0</v>
      </c>
      <c r="FT29" s="1161">
        <f>IFERROR(IF(AND($FM$2&lt;&gt;"Enter Spend&gt;&gt;&gt;",FN2="EXISTING"),SUMIFS('Existing Customers'!$U:$U,'Existing Customers'!$H:$H,$FL29,'Existing Customers'!$A:$A,$FM$1),GD29*FM29),0)</f>
        <v>0</v>
      </c>
      <c r="FU29" s="1164" t="e">
        <f t="shared" si="42"/>
        <v>#N/A</v>
      </c>
      <c r="FV29" s="1164">
        <f t="array" ref="FV29">IFERROR(INDEX('Margin Guidence Table'!$A$1:$AG$10000,MATCH(1,('Margin Guidence Table'!$A$1:$A$10000=FU29)*('Margin Guidence Table'!$I$1:$I$10000&lt;=ROUND($FM$3,0))*('Margin Guidence Table'!$J$1:$J$10000&gt;=ROUND($FM$3,0)),0),MATCH("DATA_POINTS",'Margin Guidence Table'!$A$1:$AG$1,0)),0)</f>
        <v>0</v>
      </c>
      <c r="FW29" s="1161" t="str">
        <f t="shared" si="43"/>
        <v>DEFAULT</v>
      </c>
      <c r="FX29" s="116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16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16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16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16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16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16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16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9"/>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96" t="e">
        <f t="shared" si="44"/>
        <v>#DIV/0!</v>
      </c>
      <c r="GI29" s="102" t="s">
        <v>90</v>
      </c>
      <c r="GJ29" s="94">
        <f>IFERROR(IF(AND($GJ$2&lt;&gt;"Enter Spend&gt;&gt;&gt;",GK17="EXISTING"),SUMIFS('Existing Customers'!$Q:$Q,'Existing Customers'!$A:$A,$GJ$1,'Existing Customers'!$H:$H,$GI29)*$GJ$4,$GJ$3*$GH29),0)</f>
        <v>0</v>
      </c>
      <c r="GK29" s="89">
        <f>IFERROR(IF(AND($GJ$2&lt;&gt;"Enter Spend&gt;&gt;&gt;",GK2="EXISTING"),SUMIFS('Existing Customers'!$N:$N,'Existing Customers'!$A:$A,$GJ$1,'Existing Customers'!$H:$H,$GI29)*$GJ$4,$GJ29/$GU29),0)</f>
        <v>0</v>
      </c>
      <c r="GL29" s="95">
        <f>IFERROR(IF(AND($GJ$2&lt;&gt;"Enter Spend&gt;&gt;&gt;",GK2="EXISTING"),SUMIFS('Existing Customers'!$O:$O,'Existing Customers'!$H:$H,$GI29,'Existing Customers'!$A:$A,$GJ$1)*$GJ$4,$GK29*$GJ$8),0)</f>
        <v>0</v>
      </c>
      <c r="GM29" s="95">
        <f>IFERROR(IF(AND($GJ$2&lt;&gt;"Enter Spend&gt;&gt;&gt;",GK2="EXISTING"),SUMIFS('Existing Customers'!$P:$P,'Existing Customers'!$A:$A,$GJ$1,'Existing Customers'!$H:$H,$GI29)*$GJ$4,$GJ29/$GV29),0)</f>
        <v>0</v>
      </c>
      <c r="GN29" s="96">
        <f>IFERROR(IF(AND($GJ$2&lt;&gt;"Enter Spend&gt;&gt;&gt;",GK2="EXISTING"),SUMIFS('Existing Customers'!$V:$V,'Existing Customers'!$H:$H,$GI29,'Existing Customers'!$A:$A,$GJ$1)*$GJ$4,0),0)</f>
        <v>0</v>
      </c>
      <c r="GO29" s="96">
        <f>IFERROR(IF(AND($GJ$2&lt;&gt;"Enter Spend&gt;&gt;&gt;",GK2="EXISTING"),SUMIFS('Existing Customers'!$R:$R,'Existing Customers'!$H:$H,$GI29,'Existing Customers'!$A:$A,$GJ$1)*$GJ$4,0),0)</f>
        <v>0</v>
      </c>
      <c r="GP29" s="1161">
        <f>IFERROR(IF(AND($GJ$2&lt;&gt;"Enter Spend&gt;&gt;&gt;",GK2="EXISTING"),SUMIFS('Existing Customers'!$S:$S,'Existing Customers'!$H:$H,$GI29,'Existing Customers'!$A:$A,$GJ$1),GZ29*GJ29),0)</f>
        <v>0</v>
      </c>
      <c r="GQ29" s="1161">
        <f>IFERROR(IF(AND($GJ$2&lt;&gt;"Enter Spend&gt;&gt;&gt;",GK2="EXISTING"),SUMIFS('Existing Customers'!$U:$U,'Existing Customers'!$H:$H,$GI29,'Existing Customers'!$A:$A,$GJ$1),HA29*GJ29),0)</f>
        <v>0</v>
      </c>
      <c r="GR29" s="1164" t="e">
        <f t="shared" si="45"/>
        <v>#N/A</v>
      </c>
      <c r="GS29" s="1164">
        <f t="array" ref="GS29">IFERROR(INDEX('Margin Guidence Table'!$A$1:$AG$10000,MATCH(1,('Margin Guidence Table'!$A$1:$A$10000=GR29)*('Margin Guidence Table'!$I$1:$I$10000&lt;=ROUND($GJ$3,0))*('Margin Guidence Table'!$J$1:$J$10000&gt;=ROUND($GJ$3,0)),0),MATCH("DATA_POINTS",'Margin Guidence Table'!$A$1:$AG$1,0)),0)</f>
        <v>0</v>
      </c>
      <c r="GT29" s="1161" t="str">
        <f t="shared" si="46"/>
        <v>DEFAULT</v>
      </c>
      <c r="GU29" s="116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16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16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16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16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16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16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16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9"/>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96" t="e">
        <f t="shared" si="47"/>
        <v>#DIV/0!</v>
      </c>
      <c r="HF29" s="102" t="s">
        <v>90</v>
      </c>
      <c r="HG29" s="94">
        <f>IFERROR(IF(AND($HG$2&lt;&gt;"Enter Spend&gt;&gt;&gt;",HH17="EXISTING"),SUMIFS('Existing Customers'!$Q:$Q,'Existing Customers'!$A:$A,$HG$1,'Existing Customers'!$H:$H,$HF29)*$HG$4,$HG$3*$HE29),0)</f>
        <v>0</v>
      </c>
      <c r="HH29" s="89">
        <f>IFERROR(IF(AND($HG$2&lt;&gt;"Enter Spend&gt;&gt;&gt;",HH2="EXISTING"),SUMIFS('Existing Customers'!$N:$N,'Existing Customers'!$A:$A,$HG$1,'Existing Customers'!$H:$H,$HF29)*$HG$4,$HG29/$HR29),0)</f>
        <v>0</v>
      </c>
      <c r="HI29" s="95">
        <f>IFERROR(IF(AND($HG$2&lt;&gt;"Enter Spend&gt;&gt;&gt;",HH2="EXISTING"),SUMIFS('Existing Customers'!$O:$O,'Existing Customers'!$H:$H,$HF29,'Existing Customers'!$A:$A,$HG$1)*$HG$4,$HH29*$HG$8),0)</f>
        <v>0</v>
      </c>
      <c r="HJ29" s="95">
        <f>IFERROR(IF(AND($HG$2&lt;&gt;"Enter Spend&gt;&gt;&gt;",HH2="EXISTING"),SUMIFS('Existing Customers'!$P:$P,'Existing Customers'!$A:$A,$HG$1,'Existing Customers'!$H:$H,$HF29)*$HG$4,$HG29/$HS29),0)</f>
        <v>0</v>
      </c>
      <c r="HK29" s="96">
        <f>IFERROR(IF(AND($HG$2&lt;&gt;"Enter Spend&gt;&gt;&gt;",HH2="EXISTING"),SUMIFS('Existing Customers'!$V:$V,'Existing Customers'!$H:$H,$HF29,'Existing Customers'!$A:$A,$HG$1)*$HG$4,0),0)</f>
        <v>0</v>
      </c>
      <c r="HL29" s="96">
        <f>IFERROR(IF(AND($HG$2&lt;&gt;"Enter Spend&gt;&gt;&gt;",HH2="EXISTING"),SUMIFS('Existing Customers'!$R:$R,'Existing Customers'!$H:$H,$HF29,'Existing Customers'!$A:$A,$HG$1)*$HG$4,0),0)</f>
        <v>0</v>
      </c>
      <c r="HM29" s="1161">
        <f>IFERROR(IF(AND($HG$2&lt;&gt;"Enter Spend&gt;&gt;&gt;",HH2="EXISTING"),SUMIFS('Existing Customers'!$S:$S,'Existing Customers'!$H:$H,$HF29,'Existing Customers'!$A:$A,$HG$1),HW29*HG29),0)</f>
        <v>0</v>
      </c>
      <c r="HN29" s="1161">
        <f>IFERROR(IF(AND($HG$2&lt;&gt;"Enter Spend&gt;&gt;&gt;",HH2="EXISTING"),SUMIFS('Existing Customers'!$U:$U,'Existing Customers'!$H:$H,$HF29,'Existing Customers'!$A:$A,$HG$1),HX29*HG29),0)</f>
        <v>0</v>
      </c>
      <c r="HO29" s="1164" t="e">
        <f t="shared" si="48"/>
        <v>#N/A</v>
      </c>
      <c r="HP29" s="1164">
        <f t="array" ref="HP29">IFERROR(INDEX('Margin Guidence Table'!$A$1:$AG$10000,MATCH(1,('Margin Guidence Table'!$A$1:$A$10000=HO29)*('Margin Guidence Table'!$I$1:$I$10000&lt;=ROUND($HG$3,0))*('Margin Guidence Table'!$J$1:$J$10000&gt;=ROUND($HG$3,0)),0),MATCH("DATA_POINTS",'Margin Guidence Table'!$A$1:$AG$1,0)),0)</f>
        <v>0</v>
      </c>
      <c r="HQ29" s="1161" t="str">
        <f t="shared" si="49"/>
        <v>DEFAULT</v>
      </c>
      <c r="HR29" s="116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16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16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16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16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16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16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16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9"/>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96" t="e">
        <f t="shared" si="50"/>
        <v>#DIV/0!</v>
      </c>
      <c r="IC29" s="102" t="s">
        <v>90</v>
      </c>
      <c r="ID29" s="94">
        <f>IFERROR(IF(AND($ID$2&lt;&gt;"Enter Spend&gt;&gt;&gt;",IE17="EXISTING"),SUMIFS('Existing Customers'!$Q:$Q,'Existing Customers'!$A:$A,$ID$1,'Existing Customers'!$H:$H,$IC29)*$ID$4,$ID$3*$IB29),0)</f>
        <v>0</v>
      </c>
      <c r="IE29" s="89">
        <f>IFERROR(IF(AND($ID$2&lt;&gt;"Enter Spend&gt;&gt;&gt;",IE2="EXISTING"),SUMIFS('Existing Customers'!$N:$N,'Existing Customers'!$A:$A,$ID$1,'Existing Customers'!$H:$H,$IC29)*$ID$4,$ID29/$IO29),0)</f>
        <v>0</v>
      </c>
      <c r="IF29" s="95">
        <f>IFERROR(IF(AND($ID$2&lt;&gt;"Enter Spend&gt;&gt;&gt;",IE2="EXISTING"),SUMIFS('Existing Customers'!$O:$O,'Existing Customers'!$H:$H,$IC29,'Existing Customers'!$A:$A,$ID$1)*$ID$4,$IE29*$ID$8),0)</f>
        <v>0</v>
      </c>
      <c r="IG29" s="95">
        <f>IFERROR(IF(AND($ID$2&lt;&gt;"Enter Spend&gt;&gt;&gt;",IE2="EXISTING"),SUMIFS('Existing Customers'!$P:$P,'Existing Customers'!$A:$A,$ID$1,'Existing Customers'!$H:$H,$IC29)*$ID$4,$ID29/$IP29),0)</f>
        <v>0</v>
      </c>
      <c r="IH29" s="402">
        <f>IFERROR(IF(AND($ID$2&lt;&gt;"Enter Spend&gt;&gt;&gt;",IE2="EXISTING"),SUMIFS('Existing Customers'!$V:$V,'Existing Customers'!$H:$H,$IC29,'Existing Customers'!$A:$A,$ID$1)*$ID$4,0),0)</f>
        <v>0</v>
      </c>
      <c r="II29" s="96">
        <f>IFERROR(IF(AND($ID$2&lt;&gt;"Enter Spend&gt;&gt;&gt;",IE2="EXISTING"),SUMIFS('Existing Customers'!$R:$R,'Existing Customers'!$H:$H,$IC29,'Existing Customers'!$A:$A,$ID$1)*$ID$4,0),0)</f>
        <v>0</v>
      </c>
      <c r="IJ29" s="1161">
        <f>IFERROR(IF(AND($ID$2&lt;&gt;"Enter Spend&gt;&gt;&gt;",IE2="EXISTING"),SUMIFS('Existing Customers'!$S:$S,'Existing Customers'!$H:$H,$IC29,'Existing Customers'!$A:$A,$ID$1),IT29*ID29),0)</f>
        <v>0</v>
      </c>
      <c r="IK29" s="1161">
        <f>IFERROR(IF(AND($ID$2&lt;&gt;"Enter Spend&gt;&gt;&gt;",IE2="EXISTING"),SUMIFS('Existing Customers'!$U:$U,'Existing Customers'!$H:$H,$IC29,'Existing Customers'!$A:$A,$ID$1),IU29*ID29),0)</f>
        <v>0</v>
      </c>
      <c r="IL29" s="1164" t="e">
        <f t="shared" si="51"/>
        <v>#N/A</v>
      </c>
      <c r="IM29" s="1164">
        <f t="array" ref="IM29">IFERROR(INDEX('Margin Guidence Table'!$A$1:$AG$10000,MATCH(1,('Margin Guidence Table'!$A$1:$A$10000=IL29)*('Margin Guidence Table'!$I$1:$I$10000&lt;=ROUND($ID$3,0))*('Margin Guidence Table'!$J$1:$J$10000&gt;=ROUND($ID$3,0)),0),MATCH("DATA_POINTS",'Margin Guidence Table'!$A$1:$AG$1,0)),0)</f>
        <v>0</v>
      </c>
      <c r="IN29" s="1161" t="str">
        <f t="shared" si="52"/>
        <v>DEFAULT</v>
      </c>
      <c r="IO29" s="116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16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16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16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16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16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16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16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9"/>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96" t="e">
        <f t="shared" si="53"/>
        <v>#DIV/0!</v>
      </c>
      <c r="IZ29" s="102" t="s">
        <v>90</v>
      </c>
      <c r="JA29" s="94">
        <f>IFERROR(IF(AND($JA$2&lt;&gt;"Enter Spend&gt;&gt;&gt;",JB17="EXISTING"),SUMIFS('Existing Customers'!$Q:$Q,'Existing Customers'!$A:$A,$JA$1,'Existing Customers'!$H:$H,$IZ29)*$JA$4,$JA$3*$IY29),0)</f>
        <v>0</v>
      </c>
      <c r="JB29" s="89">
        <f>IFERROR(IF(AND($JA$2&lt;&gt;"Enter Spend&gt;&gt;&gt;",JB2="EXISTING"),SUMIFS('Existing Customers'!$N:$N,'Existing Customers'!$A:$A,$JA$1,'Existing Customers'!$H:$H,$IZ29)*$JA$4,$JA29/$JL29),0)</f>
        <v>0</v>
      </c>
      <c r="JC29" s="95">
        <f>IFERROR(IF(AND($JA$2&lt;&gt;"Enter Spend&gt;&gt;&gt;",JB2="EXISTING"),SUMIFS('Existing Customers'!$O:$O,'Existing Customers'!$H:$H,$IZ29,'Existing Customers'!$A:$A,$JA$1)*$JA$4,$JB29*$JA$8),0)</f>
        <v>0</v>
      </c>
      <c r="JD29" s="95">
        <f>IFERROR(IF(AND($JA$2&lt;&gt;"Enter Spend&gt;&gt;&gt;",JB2="EXISTING"),SUMIFS('Existing Customers'!$P:$P,'Existing Customers'!$A:$A,$JA$1,'Existing Customers'!$H:$H,$IZ29)*$JA$4,$JA29/$JM29),0)</f>
        <v>0</v>
      </c>
      <c r="JE29" s="402">
        <f>IFERROR(IF(AND($JA$2&lt;&gt;"Enter Spend&gt;&gt;&gt;",JB2="EXISTING"),SUMIFS('Existing Customers'!$V:$V,'Existing Customers'!$H:$H,$IZ29,'Existing Customers'!$A:$A,$JA$1)*$JA$4,0),0)</f>
        <v>0</v>
      </c>
      <c r="JF29" s="96">
        <f>IFERROR(IF(AND($JA$2&lt;&gt;"Enter Spend&gt;&gt;&gt;",JB2="EXISTING"),SUMIFS('Existing Customers'!$R:$R,'Existing Customers'!$H:$H,$IZ29,'Existing Customers'!$A:$A,$JA$1)*$JA$4,0),0)</f>
        <v>0</v>
      </c>
      <c r="JG29" s="1161">
        <f>IFERROR(IF(AND($JA$2&lt;&gt;"Enter Spend&gt;&gt;&gt;",JB2="EXISTING"),SUMIFS('Existing Customers'!$S:$S,'Existing Customers'!$H:$H,$IZ29,'Existing Customers'!$A:$A,$JA$1),JQ29*JA29),0)</f>
        <v>0</v>
      </c>
      <c r="JH29" s="1161">
        <f>IFERROR(IF(AND($JA$2&lt;&gt;"Enter Spend&gt;&gt;&gt;",JB2="EXISTING"),SUMIFS('Existing Customers'!$U:$U,'Existing Customers'!$H:$H,$IZ29,'Existing Customers'!$A:$A,$JA$1),JR29*JA29),0)</f>
        <v>0</v>
      </c>
      <c r="JI29" s="1164" t="e">
        <f t="shared" si="54"/>
        <v>#N/A</v>
      </c>
      <c r="JJ29" s="1164">
        <f t="array" ref="JJ29">IFERROR(INDEX('Margin Guidence Table'!$A$1:$AG$10000,MATCH(1,('Margin Guidence Table'!$A$1:$A$10000=JI29)*('Margin Guidence Table'!$I$1:$I$10000&lt;=ROUND($JA$3,0))*('Margin Guidence Table'!$J$1:$J$10000&gt;=ROUND($JA$3,0)),0),MATCH("DATA_POINTS",'Margin Guidence Table'!$A$1:$AG$1,0)),0)</f>
        <v>0</v>
      </c>
      <c r="JK29" s="1161" t="str">
        <f t="shared" si="55"/>
        <v>DEFAULT</v>
      </c>
      <c r="JL29" s="116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16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16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16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16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16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16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16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2" t="s">
        <v>90</v>
      </c>
      <c r="JV29" s="97"/>
      <c r="JW29" s="89"/>
      <c r="JX29" s="89"/>
      <c r="JY29" s="89"/>
      <c r="JZ29" s="114"/>
      <c r="KA29" s="98"/>
      <c r="KB29" s="129"/>
      <c r="KD29" s="102" t="s">
        <v>90</v>
      </c>
      <c r="KE29" s="97"/>
      <c r="KF29" s="89"/>
      <c r="KG29" s="89"/>
      <c r="KH29" s="89"/>
      <c r="KI29" s="114"/>
      <c r="KJ29" s="98"/>
    </row>
    <row r="30" spans="2:296" ht="15.75" thickBot="1" x14ac:dyDescent="0.3">
      <c r="B30" s="102" t="s">
        <v>89</v>
      </c>
      <c r="C30" s="480">
        <f t="shared" si="11"/>
        <v>0</v>
      </c>
      <c r="D30" s="496">
        <f t="shared" si="12"/>
        <v>0</v>
      </c>
      <c r="E30" s="496">
        <f t="shared" si="13"/>
        <v>0</v>
      </c>
      <c r="F30" s="496">
        <f t="shared" si="14"/>
        <v>0</v>
      </c>
      <c r="G30" s="497">
        <f t="shared" si="15"/>
        <v>0</v>
      </c>
      <c r="H30" s="496">
        <f t="shared" si="16"/>
        <v>0</v>
      </c>
      <c r="I30" s="1157" t="e">
        <f t="shared" si="0"/>
        <v>#DIV/0!</v>
      </c>
      <c r="J30" s="1157" t="e">
        <f t="shared" si="1"/>
        <v>#DIV/0!</v>
      </c>
      <c r="K30" s="1157" t="e">
        <f t="shared" si="2"/>
        <v>#DIV/0!</v>
      </c>
      <c r="L30" s="496" t="e">
        <f t="shared" si="3"/>
        <v>#DIV/0!</v>
      </c>
      <c r="M30" s="496" t="e">
        <f t="shared" si="17"/>
        <v>#DIV/0!</v>
      </c>
      <c r="N30" s="1158" t="e">
        <f t="shared" si="4"/>
        <v>#DIV/0!</v>
      </c>
      <c r="P30" t="str">
        <f>'PIM Model'!E26</f>
        <v>INCLUDE</v>
      </c>
      <c r="Q30">
        <f t="shared" si="18"/>
        <v>0</v>
      </c>
      <c r="R30">
        <f t="shared" si="19"/>
        <v>0</v>
      </c>
      <c r="S30" s="102" t="s">
        <v>89</v>
      </c>
      <c r="T30" s="97">
        <f t="shared" si="20"/>
        <v>0</v>
      </c>
      <c r="U30" s="89">
        <f t="shared" si="5"/>
        <v>0</v>
      </c>
      <c r="V30" s="89">
        <f t="shared" si="6"/>
        <v>0</v>
      </c>
      <c r="W30" s="89">
        <f t="shared" si="7"/>
        <v>0</v>
      </c>
      <c r="X30" s="114">
        <f t="shared" si="8"/>
        <v>0</v>
      </c>
      <c r="Y30" s="117">
        <f t="shared" si="21"/>
        <v>0</v>
      </c>
      <c r="Z30" s="400"/>
      <c r="AA30" s="102" t="s">
        <v>89</v>
      </c>
      <c r="AB30" s="484">
        <f t="shared" si="9"/>
        <v>0</v>
      </c>
      <c r="AC30" s="485">
        <f t="shared" si="9"/>
        <v>0</v>
      </c>
      <c r="AD30" s="485">
        <f t="shared" si="9"/>
        <v>0</v>
      </c>
      <c r="AE30" s="486">
        <f t="shared" si="22"/>
        <v>0</v>
      </c>
      <c r="AF30" s="487">
        <f t="shared" si="23"/>
        <v>0</v>
      </c>
      <c r="AG30" s="400"/>
      <c r="AH30" s="102" t="s">
        <v>89</v>
      </c>
      <c r="AI30" s="484">
        <f t="shared" si="10"/>
        <v>0</v>
      </c>
      <c r="AJ30" s="481">
        <f t="shared" si="24"/>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400" t="e">
        <f t="shared" si="25"/>
        <v>#DIV/0!</v>
      </c>
      <c r="AR30">
        <f>'PIM Model'!C26</f>
        <v>0</v>
      </c>
      <c r="AS30" s="400"/>
      <c r="AT30" s="400"/>
      <c r="AU30" s="400" t="e">
        <f t="shared" si="56"/>
        <v>#DIV/0!</v>
      </c>
      <c r="AV30" s="400"/>
      <c r="AW30" s="400"/>
      <c r="AX30" s="108">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96" t="e">
        <f t="shared" si="26"/>
        <v>#DIV/0!</v>
      </c>
      <c r="BA30" s="102" t="s">
        <v>89</v>
      </c>
      <c r="BB30" s="94">
        <f>IFERROR(IF(AND($BB$2&lt;&gt;"Enter Spend&gt;&gt;&gt;",BC18="EXISTING"),SUMIFS('Existing Customers'!$Q:$Q,'Existing Customers'!$A:$A,$BB$1,'Existing Customers'!$H:$H,$BA30)*$BB$4,$BB$3*$AZ30),0)</f>
        <v>0</v>
      </c>
      <c r="BC30" s="95">
        <f>IFERROR(IF(AND($BB$2&lt;&gt;"Enter Spend&gt;&gt;&gt;",BC2="EXISTING"),SUMIFS('Existing Customers'!$N:$N,'Existing Customers'!$A:$A,$BB$1,'Existing Customers'!$H:$H,$BA30)*$BB$4,$BB30/$BM30),0)</f>
        <v>0</v>
      </c>
      <c r="BD30" s="95">
        <f>IFERROR(IF(AND($BB$2&lt;&gt;"Enter Spend&gt;&gt;&gt;",BC2="EXISTING"),SUMIFS('Existing Customers'!$O:$O,'Existing Customers'!$H:$H,$BA30,'Existing Customers'!$A:$A,$BB$1)*$BB$4,$BC30*$BB$8),0)</f>
        <v>0</v>
      </c>
      <c r="BE30" s="95">
        <f>IFERROR(IF(AND($BB$2&lt;&gt;"Enter Spend&gt;&gt;&gt;",BC2="EXISTING"),SUMIFS('Existing Customers'!$P:$P,'Existing Customers'!$A:$A,$BB$1,'Existing Customers'!$H:$H,$BA30)*$BB$4,$BB30/$BN30),0)</f>
        <v>0</v>
      </c>
      <c r="BF30" s="402">
        <f>IFERROR(IF(AND($BB$2&lt;&gt;"Enter Spend&gt;&gt;&gt;",BC2="EXISTING"),SUMIFS('Existing Customers'!$V:$V,'Existing Customers'!$H:$H,$BA30,'Existing Customers'!$A:$A,$BB$1)*$BB$4,0),0)</f>
        <v>0</v>
      </c>
      <c r="BG30" s="96">
        <f>IFERROR(IF(AND($BB$2&lt;&gt;"Enter Spend&gt;&gt;&gt;",BC2="EXISTING"),SUMIFS('Existing Customers'!$R:$R,'Existing Customers'!$H:$H,$BA30,'Existing Customers'!$A:$A,$BB$1)*$BB$4,0),0)</f>
        <v>0</v>
      </c>
      <c r="BH30" s="96">
        <f>IFERROR(IF(AND($BB$2&lt;&gt;"Enter Spend&gt;&gt;&gt;",BC2="EXISTING"),SUMIFS('Existing Customers'!$S:$S,'Existing Customers'!$H:$H,$BA30,'Existing Customers'!$A:$A,$BB$1),BR30*BB30),0)</f>
        <v>0</v>
      </c>
      <c r="BI30" s="96">
        <f>IFERROR(IF(AND($BB$2&lt;&gt;"Enter Spend&gt;&gt;&gt;",BC2="EXISTING"),SUMIFS('Existing Customers'!$U:$U,'Existing Customers'!$H:$H,$BA30,'Existing Customers'!$A:$A,$BB$1),BS30*BB30),0)</f>
        <v>0</v>
      </c>
      <c r="BJ30" s="1163" t="e">
        <f t="shared" si="27"/>
        <v>#N/A</v>
      </c>
      <c r="BK30" s="1164">
        <f t="array" ref="BK30">IFERROR(INDEX('Margin Guidence Table'!$A$1:$AG$10000,MATCH(1,('Margin Guidence Table'!$A$1:$A$10000=$BJ30)*('Margin Guidence Table'!$I$1:$I$10000&lt;=ROUND($BB$3,0))*('Margin Guidence Table'!$J$1:$J$10000&gt;=ROUND($BB$3,0)),0),MATCH("DATA_POINTS",'Margin Guidence Table'!$A$1:$AG$1,0)),0)</f>
        <v>0</v>
      </c>
      <c r="BL30" s="1161" t="str">
        <f t="shared" si="28"/>
        <v>DEFAULT</v>
      </c>
      <c r="BM30" s="116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16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16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16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16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16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16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16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9"/>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96" t="e">
        <f t="shared" si="29"/>
        <v>#DIV/0!</v>
      </c>
      <c r="BX30" s="102" t="s">
        <v>89</v>
      </c>
      <c r="BY30" s="94">
        <f>IFERROR(IF(AND($BY$2&lt;&gt;"Enter Spend&gt;&gt;&gt;",BZ18="EXISTING"),SUMIFS('Existing Customers'!$Q:$Q,'Existing Customers'!$A:$A,$BY$1,'Existing Customers'!$H:$H,$BX30)*$BY$4,$BY$3*$BW30),0)</f>
        <v>0</v>
      </c>
      <c r="BZ30" s="89">
        <f>IFERROR(IF(AND($BY$2&lt;&gt;"Enter Spend&gt;&gt;&gt;",BZ2="EXISTING"),SUMIFS('Existing Customers'!$N:$N,'Existing Customers'!$A:$A,$BY$1,'Existing Customers'!$H:$H,$BX30)*$BY$4,$BY30/$CJ30),0)</f>
        <v>0</v>
      </c>
      <c r="CA30" s="95">
        <f>IFERROR(IF(AND($BY$2&lt;&gt;"Enter Spend&gt;&gt;&gt;",BZ2="EXISTING"),SUMIFS('Existing Customers'!$O:$O,'Existing Customers'!$H:$H,$BX30,'Existing Customers'!$A:$A,$BY$1)*$BY$4,$BZ30*$BY$8),0)</f>
        <v>0</v>
      </c>
      <c r="CB30" s="95">
        <f>IFERROR(IF(AND($BY$2&lt;&gt;"Enter Spend&gt;&gt;&gt;",BZ2="EXISTING"),SUMIFS('Existing Customers'!$P:$P,'Existing Customers'!$A:$A,$BY$1,'Existing Customers'!$H:$H,$BX30)*$BY$4,$BY30/$CK30),0)</f>
        <v>0</v>
      </c>
      <c r="CC30" s="96">
        <f>IFERROR(IF(AND($BY$2&lt;&gt;"Enter Spend&gt;&gt;&gt;",BZ2="EXISTING"),SUMIFS('Existing Customers'!$V:$V,'Existing Customers'!$H:$H,$BX30,'Existing Customers'!$A:$A,$BY$1)*$BY$4,0),0)</f>
        <v>0</v>
      </c>
      <c r="CD30" s="96">
        <f>IFERROR(IF(AND($BY$2&lt;&gt;"Enter Spend&gt;&gt;&gt;",BZ2="EXISTING"),SUMIFS('Existing Customers'!$R:$R,'Existing Customers'!$H:$H,$BX30,'Existing Customers'!$A:$A,$BY$1)*$BY$4,0),0)</f>
        <v>0</v>
      </c>
      <c r="CE30" s="1161">
        <f>IFERROR(IF(AND($BY$2&lt;&gt;"Enter Spend&gt;&gt;&gt;",BZ2="EXISTING"),SUMIFS('Existing Customers'!$S:$S,'Existing Customers'!$H:$H,$BX30,'Existing Customers'!$A:$A,$BY$1),CO30*BY30),0)</f>
        <v>0</v>
      </c>
      <c r="CF30" s="1161">
        <f>IFERROR(IF(AND($BY$2&lt;&gt;"Enter Spend&gt;&gt;&gt;",BZ2="EXISTING"),SUMIFS('Existing Customers'!$U:$U,'Existing Customers'!$H:$H,$BX30,'Existing Customers'!$A:$A,$BY$1),CP30*BY30),0)</f>
        <v>0</v>
      </c>
      <c r="CG30" s="1164" t="e">
        <f t="shared" si="30"/>
        <v>#N/A</v>
      </c>
      <c r="CH30" s="1164">
        <f t="array" ref="CH30">IFERROR(INDEX('Margin Guidence Table'!$A$1:$AG$10000,MATCH(1,('Margin Guidence Table'!$A$1:$A$10000=$CG30)*('Margin Guidence Table'!$I$1:$I$10000&lt;=ROUND($BY$3,0))*('Margin Guidence Table'!$J$1:$J$10000&gt;=ROUND($BY$3,0)),0),MATCH("DATA_POINTS",'Margin Guidence Table'!$A$1:$AG$1,0)),0)</f>
        <v>0</v>
      </c>
      <c r="CI30" s="1161" t="str">
        <f t="shared" si="31"/>
        <v>DEFAULT</v>
      </c>
      <c r="CJ30" s="116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16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16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16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16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16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16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16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9"/>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96" t="e">
        <f t="shared" si="32"/>
        <v>#DIV/0!</v>
      </c>
      <c r="CU30" s="102" t="s">
        <v>89</v>
      </c>
      <c r="CV30" s="94">
        <f>IFERROR(IF(AND($CV$2&lt;&gt;"Enter Spend&gt;&gt;&gt;",CW18="EXISTING"),SUMIFS('Existing Customers'!$Q:$Q,'Existing Customers'!$A:$A,$CV$1,'Existing Customers'!$H:$H,$CU30)*$CV$4,$CV$3*$CT30),0)</f>
        <v>0</v>
      </c>
      <c r="CW30" s="89">
        <f>IFERROR(IF(AND($CV$2&lt;&gt;"Enter Spend&gt;&gt;&gt;",CW2="EXISTING"),SUMIFS('Existing Customers'!$N:$N,'Existing Customers'!$A:$A,$CV$1,'Existing Customers'!$H:$H,$CU30)*$CV$4,$CV30/$DG30),0)</f>
        <v>0</v>
      </c>
      <c r="CX30" s="95">
        <f>IFERROR(IF(AND($CV$2&lt;&gt;"Enter Spend&gt;&gt;&gt;",BC28="EXISTING"),SUMIFS('Existing Customers'!$O:$O,'Existing Customers'!$H:$H,$CU30,'Existing Customers'!$A:$A,$CV$1)*$CV$4,$CW30*$CV$8),0)</f>
        <v>0</v>
      </c>
      <c r="CY30" s="95">
        <f>IFERROR(IF(AND($CV$2&lt;&gt;"Enter Spend&gt;&gt;&gt;",CW2="EXISTING"),SUMIFS('Existing Customers'!$P:$P,'Existing Customers'!$A:$A,$CV$1,'Existing Customers'!$H:$H,$CU30)*$CV$4,$CV30/$DH30),0)</f>
        <v>0</v>
      </c>
      <c r="CZ30" s="96">
        <f>IFERROR(IF(AND($CV$2&lt;&gt;"Enter Spend&gt;&gt;&gt;",CW2="EXISTING"),SUMIFS('Existing Customers'!$V:$V,'Existing Customers'!$H:$H,$CU30,'Existing Customers'!$A:$A,$CV$1)*$CV$4,0),0)</f>
        <v>0</v>
      </c>
      <c r="DA30" s="96">
        <f>IFERROR(IF(AND($CV$2&lt;&gt;"Enter Spend&gt;&gt;&gt;",CW2="EXISTING"),SUMIFS('Existing Customers'!$R:$R,'Existing Customers'!$H:$H,$BA30,'Existing Customers'!$A:$A,$CV$1)*$CV$4,0),0)</f>
        <v>0</v>
      </c>
      <c r="DB30" s="1161">
        <f>IFERROR(IF(AND($CV$2&lt;&gt;"Enter Spend&gt;&gt;&gt;",CW2="EXISTING"),SUMIFS('Existing Customers'!$S:$S,'Existing Customers'!$H:$H,$CU30,'Existing Customers'!$A:$A,$CV$1),DL30*CV30),0)</f>
        <v>0</v>
      </c>
      <c r="DC30" s="1161">
        <f>IFERROR(IF(AND($CV$2&lt;&gt;"Enter Spend&gt;&gt;&gt;",CW2="EXISTING"),SUMIFS('Existing Customers'!$U:$U,'Existing Customers'!$H:$H,$CU30,'Existing Customers'!$A:$A,$CV$1),DM30*CV30),0)</f>
        <v>0</v>
      </c>
      <c r="DD30" s="1164" t="e">
        <f t="shared" si="33"/>
        <v>#N/A</v>
      </c>
      <c r="DE30" s="1164">
        <f t="array" ref="DE30">IFERROR(INDEX('Margin Guidence Table'!$A$1:$AG$10000,MATCH(1,('Margin Guidence Table'!$A$1:$A$10000=DD30)*('Margin Guidence Table'!$I$1:$I$10000&lt;=ROUND($CV$3,0))*('Margin Guidence Table'!$J$1:$J$10000&gt;=ROUND($CV$3,0)),0),MATCH("DATA_POINTS",'Margin Guidence Table'!$A$1:$AG$1,0)),0)</f>
        <v>0</v>
      </c>
      <c r="DF30" s="1161" t="str">
        <f t="shared" si="34"/>
        <v>DEFAULT</v>
      </c>
      <c r="DG30" s="116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16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16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16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16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16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16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16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9"/>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96" t="e">
        <f t="shared" si="35"/>
        <v>#DIV/0!</v>
      </c>
      <c r="DR30" s="102" t="s">
        <v>89</v>
      </c>
      <c r="DS30" s="94">
        <f>IFERROR(IF(AND($DS$2&lt;&gt;"Enter Spend&gt;&gt;&gt;",DT18="EXISTING"),SUMIFS('Existing Customers'!$Q:$Q,'Existing Customers'!$A:$A,$DS$1,'Existing Customers'!$H:$H,$DR30)*$DS$4,$DS$3*$DQ30),0)</f>
        <v>0</v>
      </c>
      <c r="DT30" s="89">
        <f>IFERROR(IF(AND($DS$2&lt;&gt;"Enter Spend&gt;&gt;&gt;",DT2="EXISTING"),SUMIFS('Existing Customers'!$N:$N,'Existing Customers'!$A:$A,$DS$1,'Existing Customers'!$H:$H,$DR30)*$DS$4,$DS30/$ED30),0)</f>
        <v>0</v>
      </c>
      <c r="DU30" s="95">
        <f>IFERROR(IF(AND($DS$2&lt;&gt;"Enter Spend&gt;&gt;&gt;",DT2="EXISTING"),SUMIFS('Existing Customers'!$O:$O,'Existing Customers'!$H:$H,$DR30,'Existing Customers'!$A:$A,$DS$1)*$DS$4,$DT30*$DS$8),0)</f>
        <v>0</v>
      </c>
      <c r="DV30" s="95">
        <f>IFERROR(IF(AND($DS$2&lt;&gt;"Enter Spend&gt;&gt;&gt;",DT2="EXISTING"),SUMIFS('Existing Customers'!$P:$P,'Existing Customers'!$A:$A,$DS$1,'Existing Customers'!$H:$H,$DR30)*$DS$4,$DS30/$EE30),0)</f>
        <v>0</v>
      </c>
      <c r="DW30" s="96">
        <f>IFERROR(IF(AND($DS$2&lt;&gt;"Enter Spend&gt;&gt;&gt;",EQ2="EXISTING"),SUMIFS('Existing Customers'!$V:$V,'Existing Customers'!$H:$H,$DR30,'Existing Customers'!$A:$A,$DS$1)*$DS$4,0),0)</f>
        <v>0</v>
      </c>
      <c r="DX30" s="96">
        <f>IFERROR(IF(AND($DS$2&lt;&gt;"Enter Spend&gt;&gt;&gt;",DT2="EXISTING"),SUMIFS('Existing Customers'!$R:$R,'Existing Customers'!$H:$H,$DR30,'Existing Customers'!$A:$A,$DS$1)*$DS$4,0),0)</f>
        <v>0</v>
      </c>
      <c r="DY30" s="1161">
        <f>IFERROR(IF(AND($DS$2&lt;&gt;"Enter Spend&gt;&gt;&gt;",DT2="EXISTING"),SUMIFS('Existing Customers'!$S:$S,'Existing Customers'!$H:$H,$DT30,'Existing Customers'!$A:$A,$DS$1),EI30*DS30),0)</f>
        <v>0</v>
      </c>
      <c r="DZ30" s="1161">
        <f>IFERROR(IF(AND($DS$2&lt;&gt;"Enter Spend&gt;&gt;&gt;",DT2="EXISTING"),SUMIFS('Existing Customers'!$U:$U,'Existing Customers'!$H:$H,$DR30,'Existing Customers'!$A:$A,$DS$1),EJ30*DS30),0)</f>
        <v>0</v>
      </c>
      <c r="EA30" s="1164" t="e">
        <f t="shared" si="36"/>
        <v>#N/A</v>
      </c>
      <c r="EB30" s="1164">
        <f t="array" ref="EB30">IFERROR(INDEX('Margin Guidence Table'!$A$1:$AG$10000,MATCH(1,('Margin Guidence Table'!$A$1:$A$10000=EA30)*('Margin Guidence Table'!$I$1:$I$10000&lt;=ROUND($DS$3,0))*('Margin Guidence Table'!$J$1:$J$10000&gt;=ROUND($DS$3,0)),0),MATCH("DATA_POINTS",'Margin Guidence Table'!$A$1:$AG$1,0)),0)</f>
        <v>0</v>
      </c>
      <c r="EC30" s="1161" t="str">
        <f t="shared" si="37"/>
        <v>DEFAULT</v>
      </c>
      <c r="ED30" s="116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16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16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16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16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16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16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16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9"/>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96" t="e">
        <f t="shared" si="38"/>
        <v>#DIV/0!</v>
      </c>
      <c r="EO30" s="102" t="s">
        <v>89</v>
      </c>
      <c r="EP30" s="94">
        <f>IFERROR(IF(AND($EP$2&lt;&gt;"Enter Spend&gt;&gt;&gt;",EQ18="EXISTING"),SUMIFS('Existing Customers'!$Q:$Q,'Existing Customers'!$A:$A,$EP$1,'Existing Customers'!$H:$H,$EO30)*$EP$4,$EP$3*$EN30),0)</f>
        <v>0</v>
      </c>
      <c r="EQ30" s="89">
        <f>IFERROR(IF(AND($EP$2&lt;&gt;"Enter Spend&gt;&gt;&gt;",EQ2="EXISTING"),SUMIFS('Existing Customers'!$N:$N,'Existing Customers'!$A:$A,$EP$1,'Existing Customers'!$H:$H,$EO30)*$EP$4,$EP30/$FA30),0)</f>
        <v>0</v>
      </c>
      <c r="ER30" s="95">
        <f>IFERROR(IF(AND($EP$2&lt;&gt;"Enter Spend&gt;&gt;&gt;",EQ2="EXISTING"),SUMIFS('Existing Customers'!$O:$O,'Existing Customers'!$H:$H,$EO30,'Existing Customers'!$A:$A,$EP$1)*$EP$4,$EQ30*$EP$8),0)</f>
        <v>0</v>
      </c>
      <c r="ES30" s="95">
        <f>IFERROR(IF(AND($EP$2&lt;&gt;"Enter Spend&gt;&gt;&gt;",EQ2="EXISTING"),SUMIFS('Existing Customers'!$P:$P,'Existing Customers'!$A:$A,$EP$1,'Existing Customers'!$H:$H,$EO30)*$EP$4,$EP30/$FB30),0)</f>
        <v>0</v>
      </c>
      <c r="ET30" s="96">
        <f>IFERROR(IF(AND($EP$2&lt;&gt;"Enter Spend&gt;&gt;&gt;",EQ2="EXISTING"),SUMIFS('Existing Customers'!$V:$V,'Existing Customers'!$H:$H,$EO30,'Existing Customers'!$A:$A,$EP$1)*$EP$4,0),0)</f>
        <v>0</v>
      </c>
      <c r="EU30" s="96">
        <f>IFERROR(IF(AND($EP$2&lt;&gt;"Enter Spend&gt;&gt;&gt;",EQ2="EXISTING"),SUMIFS('Existing Customers'!$R:$R,'Existing Customers'!$H:$H,$EO30,'Existing Customers'!$A:$A,$EP$1)*$EP$4,0),0)</f>
        <v>0</v>
      </c>
      <c r="EV30" s="1161">
        <f>IFERROR(IF(AND($EP$2&lt;&gt;"Enter Spend&gt;&gt;&gt;",EQ2="EXISTING"),SUMIFS('Existing Customers'!$S:$S,'Existing Customers'!$H:$H,$EO30,'Existing Customers'!$A:$A,$EP$1),FF30*EP30),0)</f>
        <v>0</v>
      </c>
      <c r="EW30" s="1161">
        <f>IFERROR(IF(AND($EP$2&lt;&gt;"Enter Spend&gt;&gt;&gt;",EQ2="EXISTING"),SUMIFS('Existing Customers'!$U:$U,'Existing Customers'!$H:$H,$EO30,'Existing Customers'!$A:$A,$EP$1),FG30*EP30),0)</f>
        <v>0</v>
      </c>
      <c r="EX30" s="1164" t="e">
        <f t="shared" si="39"/>
        <v>#N/A</v>
      </c>
      <c r="EY30" s="1164">
        <f t="array" ref="EY30">IFERROR(INDEX('Margin Guidence Table'!$A$1:$AG$10000,MATCH(1,('Margin Guidence Table'!$A$1:$A$10000=EX30)*('Margin Guidence Table'!$I$1:$I$10000&lt;=ROUND($EP$3,0))*('Margin Guidence Table'!$J$1:$J$10000&gt;=ROUND($EP$3,0)),0),MATCH("DATA_POINTS",'Margin Guidence Table'!$A$1:$AG$1,0)),0)</f>
        <v>0</v>
      </c>
      <c r="EZ30" s="1161" t="str">
        <f t="shared" si="40"/>
        <v>DEFAULT</v>
      </c>
      <c r="FA30" s="116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16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16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16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16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16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16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16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9"/>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96" t="e">
        <f t="shared" si="41"/>
        <v>#DIV/0!</v>
      </c>
      <c r="FL30" s="102" t="s">
        <v>89</v>
      </c>
      <c r="FM30" s="94">
        <f>IFERROR(IF(AND($FM$2&lt;&gt;"Enter Spend&gt;&gt;&gt;",FN18="EXISTING"),SUMIFS('Existing Customers'!$Q:$Q,'Existing Customers'!$A:$A,$FM$1,'Existing Customers'!$H:$H,$FL30)*$FM$4,$FM$3*$FK30),0)</f>
        <v>0</v>
      </c>
      <c r="FN30" s="89">
        <f>IFERROR(IF(AND($FM$2&lt;&gt;"Enter Spend&gt;&gt;&gt;",FN2="EXISTING"),SUMIFS('Existing Customers'!$N:$N,'Existing Customers'!$A:$A,$FM$1,'Existing Customers'!$H:$H,$FL30)*$FM$4,$FM30/$FX30),0)</f>
        <v>0</v>
      </c>
      <c r="FO30" s="95">
        <f>IFERROR(IF(AND($FM$2&lt;&gt;"Enter Spend&gt;&gt;&gt;",FN2="EXISTING"),SUMIFS('Existing Customers'!$O:$O,'Existing Customers'!$H:$H,$FL30,'Existing Customers'!$A:$A,$FM$1)*$FM$4,$FN30*$FM$8),0)</f>
        <v>0</v>
      </c>
      <c r="FP30" s="95">
        <f>IFERROR(IF(AND($FM$2&lt;&gt;"Enter Spend&gt;&gt;&gt;",FN2="EXISTING"),SUMIFS('Existing Customers'!$P:$P,'Existing Customers'!$A:$A,$FM$1,'Existing Customers'!$H:$H,$FL30)*$FM$4,$FM30/$FY30),0)</f>
        <v>0</v>
      </c>
      <c r="FQ30" s="96">
        <f>IFERROR(IF(AND($FM$2&lt;&gt;"Enter Spend&gt;&gt;&gt;",FN2="EXISTING"),SUMIFS('Existing Customers'!$V:$V,'Existing Customers'!$H:$H,$FL30,'Existing Customers'!$A:$A,$FM$1)*$FM$4,0),0)</f>
        <v>0</v>
      </c>
      <c r="FR30" s="96">
        <f>IFERROR(IF(AND($FM$2&lt;&gt;"Enter Spend&gt;&gt;&gt;",FN2="EXISTING"),SUMIFS('Existing Customers'!$R:$R,'Existing Customers'!$H:$H,$FL30,'Existing Customers'!$A:$A,$FM$1)*$FM$4,0),0)</f>
        <v>0</v>
      </c>
      <c r="FS30" s="1161">
        <f>IFERROR(IF(AND($FM$2&lt;&gt;"Enter Spend&gt;&gt;&gt;",FN2="EXISTING"),SUMIFS('Existing Customers'!$S:$S,'Existing Customers'!$H:$H,$FL30,'Existing Customers'!$A:$A,$FM$1),GC30*FM30),0)</f>
        <v>0</v>
      </c>
      <c r="FT30" s="1161">
        <f>IFERROR(IF(AND($FM$2&lt;&gt;"Enter Spend&gt;&gt;&gt;",FN2="EXISTING"),SUMIFS('Existing Customers'!$U:$U,'Existing Customers'!$H:$H,$FL30,'Existing Customers'!$A:$A,$FM$1),GD30*FM30),0)</f>
        <v>0</v>
      </c>
      <c r="FU30" s="1164" t="e">
        <f t="shared" si="42"/>
        <v>#N/A</v>
      </c>
      <c r="FV30" s="1164">
        <f t="array" ref="FV30">IFERROR(INDEX('Margin Guidence Table'!$A$1:$AG$10000,MATCH(1,('Margin Guidence Table'!$A$1:$A$10000=FU30)*('Margin Guidence Table'!$I$1:$I$10000&lt;=ROUND($FM$3,0))*('Margin Guidence Table'!$J$1:$J$10000&gt;=ROUND($FM$3,0)),0),MATCH("DATA_POINTS",'Margin Guidence Table'!$A$1:$AG$1,0)),0)</f>
        <v>0</v>
      </c>
      <c r="FW30" s="1161" t="str">
        <f t="shared" si="43"/>
        <v>DEFAULT</v>
      </c>
      <c r="FX30" s="116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16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16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16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16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16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16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16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9"/>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96" t="e">
        <f t="shared" si="44"/>
        <v>#DIV/0!</v>
      </c>
      <c r="GI30" s="102" t="s">
        <v>89</v>
      </c>
      <c r="GJ30" s="94">
        <f>IFERROR(IF(AND($GJ$2&lt;&gt;"Enter Spend&gt;&gt;&gt;",GK18="EXISTING"),SUMIFS('Existing Customers'!$Q:$Q,'Existing Customers'!$A:$A,$GJ$1,'Existing Customers'!$H:$H,$GI30)*$GJ$4,$GJ$3*$GH30),0)</f>
        <v>0</v>
      </c>
      <c r="GK30" s="89">
        <f>IFERROR(IF(AND($GJ$2&lt;&gt;"Enter Spend&gt;&gt;&gt;",GK2="EXISTING"),SUMIFS('Existing Customers'!$N:$N,'Existing Customers'!$A:$A,$GJ$1,'Existing Customers'!$H:$H,$GI30)*$GJ$4,$GJ30/$GU30),0)</f>
        <v>0</v>
      </c>
      <c r="GL30" s="95">
        <f>IFERROR(IF(AND($GJ$2&lt;&gt;"Enter Spend&gt;&gt;&gt;",GK2="EXISTING"),SUMIFS('Existing Customers'!$O:$O,'Existing Customers'!$H:$H,$GI30,'Existing Customers'!$A:$A,$GJ$1)*$GJ$4,$GK30*$GJ$8),0)</f>
        <v>0</v>
      </c>
      <c r="GM30" s="95">
        <f>IFERROR(IF(AND($GJ$2&lt;&gt;"Enter Spend&gt;&gt;&gt;",GK2="EXISTING"),SUMIFS('Existing Customers'!$P:$P,'Existing Customers'!$A:$A,$GJ$1,'Existing Customers'!$H:$H,$GI30)*$GJ$4,$GJ30/$GV30),0)</f>
        <v>0</v>
      </c>
      <c r="GN30" s="96">
        <f>IFERROR(IF(AND($GJ$2&lt;&gt;"Enter Spend&gt;&gt;&gt;",GK2="EXISTING"),SUMIFS('Existing Customers'!$V:$V,'Existing Customers'!$H:$H,$GI30,'Existing Customers'!$A:$A,$GJ$1)*$GJ$4,0),0)</f>
        <v>0</v>
      </c>
      <c r="GO30" s="96">
        <f>IFERROR(IF(AND($GJ$2&lt;&gt;"Enter Spend&gt;&gt;&gt;",GK2="EXISTING"),SUMIFS('Existing Customers'!$R:$R,'Existing Customers'!$H:$H,$GI30,'Existing Customers'!$A:$A,$GJ$1)*$GJ$4,0),0)</f>
        <v>0</v>
      </c>
      <c r="GP30" s="1161">
        <f>IFERROR(IF(AND($GJ$2&lt;&gt;"Enter Spend&gt;&gt;&gt;",GK2="EXISTING"),SUMIFS('Existing Customers'!$S:$S,'Existing Customers'!$H:$H,$GI30,'Existing Customers'!$A:$A,$GJ$1),GZ30*GJ30),0)</f>
        <v>0</v>
      </c>
      <c r="GQ30" s="1161">
        <f>IFERROR(IF(AND($GJ$2&lt;&gt;"Enter Spend&gt;&gt;&gt;",GK2="EXISTING"),SUMIFS('Existing Customers'!$U:$U,'Existing Customers'!$H:$H,$GI30,'Existing Customers'!$A:$A,$GJ$1),HA30*GJ30),0)</f>
        <v>0</v>
      </c>
      <c r="GR30" s="1164" t="e">
        <f t="shared" si="45"/>
        <v>#N/A</v>
      </c>
      <c r="GS30" s="1164">
        <f t="array" ref="GS30">IFERROR(INDEX('Margin Guidence Table'!$A$1:$AG$10000,MATCH(1,('Margin Guidence Table'!$A$1:$A$10000=GR30)*('Margin Guidence Table'!$I$1:$I$10000&lt;=ROUND($GJ$3,0))*('Margin Guidence Table'!$J$1:$J$10000&gt;=ROUND($GJ$3,0)),0),MATCH("DATA_POINTS",'Margin Guidence Table'!$A$1:$AG$1,0)),0)</f>
        <v>0</v>
      </c>
      <c r="GT30" s="1161" t="str">
        <f t="shared" si="46"/>
        <v>DEFAULT</v>
      </c>
      <c r="GU30" s="116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16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16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16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16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16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16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16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9"/>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96" t="e">
        <f t="shared" si="47"/>
        <v>#DIV/0!</v>
      </c>
      <c r="HF30" s="102" t="s">
        <v>89</v>
      </c>
      <c r="HG30" s="94">
        <f>IFERROR(IF(AND($HG$2&lt;&gt;"Enter Spend&gt;&gt;&gt;",HH18="EXISTING"),SUMIFS('Existing Customers'!$Q:$Q,'Existing Customers'!$A:$A,$HG$1,'Existing Customers'!$H:$H,$HF30)*$HG$4,$HG$3*$HE30),0)</f>
        <v>0</v>
      </c>
      <c r="HH30" s="89">
        <f>IFERROR(IF(AND($HG$2&lt;&gt;"Enter Spend&gt;&gt;&gt;",HH2="EXISTING"),SUMIFS('Existing Customers'!$N:$N,'Existing Customers'!$A:$A,$HG$1,'Existing Customers'!$H:$H,$HF30)*$HG$4,$HG30/$HR30),0)</f>
        <v>0</v>
      </c>
      <c r="HI30" s="95">
        <f>IFERROR(IF(AND($HG$2&lt;&gt;"Enter Spend&gt;&gt;&gt;",HH2="EXISTING"),SUMIFS('Existing Customers'!$O:$O,'Existing Customers'!$H:$H,$HF30,'Existing Customers'!$A:$A,$HG$1)*$HG$4,$HH30*$HG$8),0)</f>
        <v>0</v>
      </c>
      <c r="HJ30" s="95">
        <f>IFERROR(IF(AND($HG$2&lt;&gt;"Enter Spend&gt;&gt;&gt;",HH2="EXISTING"),SUMIFS('Existing Customers'!$P:$P,'Existing Customers'!$A:$A,$HG$1,'Existing Customers'!$H:$H,$HF30)*$HG$4,$HG30/$HS30),0)</f>
        <v>0</v>
      </c>
      <c r="HK30" s="96">
        <f>IFERROR(IF(AND($HG$2&lt;&gt;"Enter Spend&gt;&gt;&gt;",HH2="EXISTING"),SUMIFS('Existing Customers'!$V:$V,'Existing Customers'!$H:$H,$HF30,'Existing Customers'!$A:$A,$HG$1)*$HG$4,0),0)</f>
        <v>0</v>
      </c>
      <c r="HL30" s="96">
        <f>IFERROR(IF(AND($HG$2&lt;&gt;"Enter Spend&gt;&gt;&gt;",HH2="EXISTING"),SUMIFS('Existing Customers'!$R:$R,'Existing Customers'!$H:$H,$HF30,'Existing Customers'!$A:$A,$HG$1)*$HG$4,0),0)</f>
        <v>0</v>
      </c>
      <c r="HM30" s="1161">
        <f>IFERROR(IF(AND($HG$2&lt;&gt;"Enter Spend&gt;&gt;&gt;",HH2="EXISTING"),SUMIFS('Existing Customers'!$S:$S,'Existing Customers'!$H:$H,$HF30,'Existing Customers'!$A:$A,$HG$1),HW30*HG30),0)</f>
        <v>0</v>
      </c>
      <c r="HN30" s="1161">
        <f>IFERROR(IF(AND($HG$2&lt;&gt;"Enter Spend&gt;&gt;&gt;",HH2="EXISTING"),SUMIFS('Existing Customers'!$U:$U,'Existing Customers'!$H:$H,$HF30,'Existing Customers'!$A:$A,$HG$1),HX30*HG30),0)</f>
        <v>0</v>
      </c>
      <c r="HO30" s="1164" t="e">
        <f t="shared" si="48"/>
        <v>#N/A</v>
      </c>
      <c r="HP30" s="1164">
        <f t="array" ref="HP30">IFERROR(INDEX('Margin Guidence Table'!$A$1:$AG$10000,MATCH(1,('Margin Guidence Table'!$A$1:$A$10000=HO30)*('Margin Guidence Table'!$I$1:$I$10000&lt;=ROUND($HG$3,0))*('Margin Guidence Table'!$J$1:$J$10000&gt;=ROUND($HG$3,0)),0),MATCH("DATA_POINTS",'Margin Guidence Table'!$A$1:$AG$1,0)),0)</f>
        <v>0</v>
      </c>
      <c r="HQ30" s="1161" t="str">
        <f t="shared" si="49"/>
        <v>DEFAULT</v>
      </c>
      <c r="HR30" s="116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16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16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16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16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16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16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16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9"/>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96" t="e">
        <f t="shared" si="50"/>
        <v>#DIV/0!</v>
      </c>
      <c r="IC30" s="102" t="s">
        <v>89</v>
      </c>
      <c r="ID30" s="94">
        <f>IFERROR(IF(AND($ID$2&lt;&gt;"Enter Spend&gt;&gt;&gt;",IE18="EXISTING"),SUMIFS('Existing Customers'!$Q:$Q,'Existing Customers'!$A:$A,$ID$1,'Existing Customers'!$H:$H,$IC30)*$ID$4,$ID$3*$IB30),0)</f>
        <v>0</v>
      </c>
      <c r="IE30" s="89">
        <f>IFERROR(IF(AND($ID$2&lt;&gt;"Enter Spend&gt;&gt;&gt;",IE2="EXISTING"),SUMIFS('Existing Customers'!$N:$N,'Existing Customers'!$A:$A,$ID$1,'Existing Customers'!$H:$H,$IC30)*$ID$4,$ID30/$IO30),0)</f>
        <v>0</v>
      </c>
      <c r="IF30" s="95">
        <f>IFERROR(IF(AND($ID$2&lt;&gt;"Enter Spend&gt;&gt;&gt;",IE2="EXISTING"),SUMIFS('Existing Customers'!$O:$O,'Existing Customers'!$H:$H,$IC30,'Existing Customers'!$A:$A,$ID$1)*$ID$4,$IE30*$ID$8),0)</f>
        <v>0</v>
      </c>
      <c r="IG30" s="95">
        <f>IFERROR(IF(AND($ID$2&lt;&gt;"Enter Spend&gt;&gt;&gt;",IE2="EXISTING"),SUMIFS('Existing Customers'!$P:$P,'Existing Customers'!$A:$A,$ID$1,'Existing Customers'!$H:$H,$IC30)*$ID$4,$ID30/$IP30),0)</f>
        <v>0</v>
      </c>
      <c r="IH30" s="402">
        <f>IFERROR(IF(AND($ID$2&lt;&gt;"Enter Spend&gt;&gt;&gt;",IE2="EXISTING"),SUMIFS('Existing Customers'!$V:$V,'Existing Customers'!$H:$H,$IC30,'Existing Customers'!$A:$A,$ID$1)*$ID$4,0),0)</f>
        <v>0</v>
      </c>
      <c r="II30" s="96">
        <f>IFERROR(IF(AND($ID$2&lt;&gt;"Enter Spend&gt;&gt;&gt;",IE2="EXISTING"),SUMIFS('Existing Customers'!$R:$R,'Existing Customers'!$H:$H,$IC30,'Existing Customers'!$A:$A,$ID$1)*$ID$4,0),0)</f>
        <v>0</v>
      </c>
      <c r="IJ30" s="1161">
        <f>IFERROR(IF(AND($ID$2&lt;&gt;"Enter Spend&gt;&gt;&gt;",IE2="EXISTING"),SUMIFS('Existing Customers'!$S:$S,'Existing Customers'!$H:$H,$IC30,'Existing Customers'!$A:$A,$ID$1),IT30*ID30),0)</f>
        <v>0</v>
      </c>
      <c r="IK30" s="1161">
        <f>IFERROR(IF(AND($ID$2&lt;&gt;"Enter Spend&gt;&gt;&gt;",IE2="EXISTING"),SUMIFS('Existing Customers'!$U:$U,'Existing Customers'!$H:$H,$IC30,'Existing Customers'!$A:$A,$ID$1),IU30*ID30),0)</f>
        <v>0</v>
      </c>
      <c r="IL30" s="1164" t="e">
        <f t="shared" si="51"/>
        <v>#N/A</v>
      </c>
      <c r="IM30" s="1164">
        <f t="array" ref="IM30">IFERROR(INDEX('Margin Guidence Table'!$A$1:$AG$10000,MATCH(1,('Margin Guidence Table'!$A$1:$A$10000=IL30)*('Margin Guidence Table'!$I$1:$I$10000&lt;=ROUND($ID$3,0))*('Margin Guidence Table'!$J$1:$J$10000&gt;=ROUND($ID$3,0)),0),MATCH("DATA_POINTS",'Margin Guidence Table'!$A$1:$AG$1,0)),0)</f>
        <v>0</v>
      </c>
      <c r="IN30" s="1161" t="str">
        <f t="shared" si="52"/>
        <v>DEFAULT</v>
      </c>
      <c r="IO30" s="116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16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16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16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16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16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16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16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9"/>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96" t="e">
        <f t="shared" si="53"/>
        <v>#DIV/0!</v>
      </c>
      <c r="IZ30" s="102" t="s">
        <v>89</v>
      </c>
      <c r="JA30" s="94">
        <f>IFERROR(IF(AND($JA$2&lt;&gt;"Enter Spend&gt;&gt;&gt;",JB18="EXISTING"),SUMIFS('Existing Customers'!$Q:$Q,'Existing Customers'!$A:$A,$JA$1,'Existing Customers'!$H:$H,$IZ30)*$JA$4,$JA$3*$IY30),0)</f>
        <v>0</v>
      </c>
      <c r="JB30" s="89">
        <f>IFERROR(IF(AND($JA$2&lt;&gt;"Enter Spend&gt;&gt;&gt;",JB2="EXISTING"),SUMIFS('Existing Customers'!$N:$N,'Existing Customers'!$A:$A,$JA$1,'Existing Customers'!$H:$H,$IZ30)*$JA$4,$JA30/$JL30),0)</f>
        <v>0</v>
      </c>
      <c r="JC30" s="95">
        <f>IFERROR(IF(AND($JA$2&lt;&gt;"Enter Spend&gt;&gt;&gt;",JB2="EXISTING"),SUMIFS('Existing Customers'!$O:$O,'Existing Customers'!$H:$H,$IZ30,'Existing Customers'!$A:$A,$JA$1)*$JA$4,$JB30*$JA$8),0)</f>
        <v>0</v>
      </c>
      <c r="JD30" s="95">
        <f>IFERROR(IF(AND($JA$2&lt;&gt;"Enter Spend&gt;&gt;&gt;",JB2="EXISTING"),SUMIFS('Existing Customers'!$P:$P,'Existing Customers'!$A:$A,$JA$1,'Existing Customers'!$H:$H,$IZ30)*$JA$4,$JA30/$JM30),0)</f>
        <v>0</v>
      </c>
      <c r="JE30" s="402">
        <f>IFERROR(IF(AND($JA$2&lt;&gt;"Enter Spend&gt;&gt;&gt;",JB2="EXISTING"),SUMIFS('Existing Customers'!$V:$V,'Existing Customers'!$H:$H,$IZ30,'Existing Customers'!$A:$A,$JA$1)*$JA$4,0),0)</f>
        <v>0</v>
      </c>
      <c r="JF30" s="96">
        <f>IFERROR(IF(AND($JA$2&lt;&gt;"Enter Spend&gt;&gt;&gt;",JB2="EXISTING"),SUMIFS('Existing Customers'!$R:$R,'Existing Customers'!$H:$H,$IZ30,'Existing Customers'!$A:$A,$JA$1)*$JA$4,0),0)</f>
        <v>0</v>
      </c>
      <c r="JG30" s="1161">
        <f>IFERROR(IF(AND($JA$2&lt;&gt;"Enter Spend&gt;&gt;&gt;",JB2="EXISTING"),SUMIFS('Existing Customers'!$S:$S,'Existing Customers'!$H:$H,$IZ30,'Existing Customers'!$A:$A,$JA$1),JQ30*JA30),0)</f>
        <v>0</v>
      </c>
      <c r="JH30" s="1161">
        <f>IFERROR(IF(AND($JA$2&lt;&gt;"Enter Spend&gt;&gt;&gt;",JB2="EXISTING"),SUMIFS('Existing Customers'!$U:$U,'Existing Customers'!$H:$H,$IZ30,'Existing Customers'!$A:$A,$JA$1),JR30*JA30),0)</f>
        <v>0</v>
      </c>
      <c r="JI30" s="1164" t="e">
        <f t="shared" si="54"/>
        <v>#N/A</v>
      </c>
      <c r="JJ30" s="1164">
        <f t="array" ref="JJ30">IFERROR(INDEX('Margin Guidence Table'!$A$1:$AG$10000,MATCH(1,('Margin Guidence Table'!$A$1:$A$10000=JI30)*('Margin Guidence Table'!$I$1:$I$10000&lt;=ROUND($JA$3,0))*('Margin Guidence Table'!$J$1:$J$10000&gt;=ROUND($JA$3,0)),0),MATCH("DATA_POINTS",'Margin Guidence Table'!$A$1:$AG$1,0)),0)</f>
        <v>0</v>
      </c>
      <c r="JK30" s="1161" t="str">
        <f t="shared" si="55"/>
        <v>DEFAULT</v>
      </c>
      <c r="JL30" s="116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16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16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16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16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16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16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16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2" t="s">
        <v>89</v>
      </c>
      <c r="JV30" s="97"/>
      <c r="JW30" s="89"/>
      <c r="JX30" s="89"/>
      <c r="JY30" s="89"/>
      <c r="JZ30" s="114"/>
      <c r="KA30" s="98"/>
      <c r="KB30" s="129"/>
      <c r="KD30" s="102" t="s">
        <v>89</v>
      </c>
      <c r="KE30" s="97"/>
      <c r="KF30" s="89"/>
      <c r="KG30" s="89"/>
      <c r="KH30" s="89"/>
      <c r="KI30" s="114"/>
      <c r="KJ30" s="98"/>
    </row>
    <row r="31" spans="2:296" ht="15.75" thickBot="1" x14ac:dyDescent="0.3">
      <c r="B31" s="102" t="s">
        <v>94</v>
      </c>
      <c r="C31" s="480">
        <f t="shared" si="11"/>
        <v>0</v>
      </c>
      <c r="D31" s="496">
        <f t="shared" si="12"/>
        <v>0</v>
      </c>
      <c r="E31" s="496">
        <f t="shared" si="13"/>
        <v>0</v>
      </c>
      <c r="F31" s="496">
        <f t="shared" si="14"/>
        <v>0</v>
      </c>
      <c r="G31" s="497">
        <f t="shared" si="15"/>
        <v>0</v>
      </c>
      <c r="H31" s="496">
        <f t="shared" si="16"/>
        <v>0</v>
      </c>
      <c r="I31" s="1157" t="e">
        <f t="shared" si="0"/>
        <v>#DIV/0!</v>
      </c>
      <c r="J31" s="1157" t="e">
        <f t="shared" si="1"/>
        <v>#DIV/0!</v>
      </c>
      <c r="K31" s="1157" t="e">
        <f t="shared" si="2"/>
        <v>#DIV/0!</v>
      </c>
      <c r="L31" s="496" t="e">
        <f t="shared" si="3"/>
        <v>#DIV/0!</v>
      </c>
      <c r="M31" s="496" t="e">
        <f t="shared" si="17"/>
        <v>#DIV/0!</v>
      </c>
      <c r="N31" s="1158" t="e">
        <f t="shared" si="4"/>
        <v>#DIV/0!</v>
      </c>
      <c r="P31" t="str">
        <f>'PIM Model'!E27</f>
        <v>INCLUDE</v>
      </c>
      <c r="Q31">
        <f t="shared" si="18"/>
        <v>0</v>
      </c>
      <c r="R31">
        <f t="shared" si="19"/>
        <v>0</v>
      </c>
      <c r="S31" s="102" t="s">
        <v>94</v>
      </c>
      <c r="T31" s="97">
        <f t="shared" si="20"/>
        <v>0</v>
      </c>
      <c r="U31" s="89">
        <f t="shared" si="5"/>
        <v>0</v>
      </c>
      <c r="V31" s="89">
        <f t="shared" si="6"/>
        <v>0</v>
      </c>
      <c r="W31" s="89">
        <f t="shared" si="7"/>
        <v>0</v>
      </c>
      <c r="X31" s="114">
        <f t="shared" si="8"/>
        <v>0</v>
      </c>
      <c r="Y31" s="117">
        <f t="shared" si="21"/>
        <v>0</v>
      </c>
      <c r="Z31" s="400"/>
      <c r="AA31" s="102" t="s">
        <v>94</v>
      </c>
      <c r="AB31" s="484">
        <f t="shared" si="9"/>
        <v>0</v>
      </c>
      <c r="AC31" s="485">
        <f t="shared" si="9"/>
        <v>0</v>
      </c>
      <c r="AD31" s="485">
        <f t="shared" si="9"/>
        <v>0</v>
      </c>
      <c r="AE31" s="486">
        <f t="shared" si="22"/>
        <v>0</v>
      </c>
      <c r="AF31" s="487">
        <f t="shared" si="23"/>
        <v>0</v>
      </c>
      <c r="AG31" s="400"/>
      <c r="AH31" s="102" t="s">
        <v>94</v>
      </c>
      <c r="AI31" s="484">
        <f t="shared" si="10"/>
        <v>0</v>
      </c>
      <c r="AJ31" s="481">
        <f t="shared" si="24"/>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400" t="e">
        <f t="shared" si="25"/>
        <v>#DIV/0!</v>
      </c>
      <c r="AR31">
        <f>'PIM Model'!C27</f>
        <v>0</v>
      </c>
      <c r="AS31" s="400"/>
      <c r="AT31" s="400"/>
      <c r="AU31" s="400" t="e">
        <f t="shared" si="56"/>
        <v>#DIV/0!</v>
      </c>
      <c r="AV31" s="400"/>
      <c r="AW31" s="400"/>
      <c r="AX31" s="108">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96" t="e">
        <f t="shared" si="26"/>
        <v>#DIV/0!</v>
      </c>
      <c r="BA31" s="102" t="s">
        <v>94</v>
      </c>
      <c r="BB31" s="94">
        <f>IFERROR(IF(AND($BB$2&lt;&gt;"Enter Spend&gt;&gt;&gt;",BC19="EXISTING"),SUMIFS('Existing Customers'!$Q:$Q,'Existing Customers'!$A:$A,$BB$1,'Existing Customers'!$H:$H,$BA31)*$BB$4,$BB$3*$AZ31),0)</f>
        <v>0</v>
      </c>
      <c r="BC31" s="95">
        <f>IFERROR(IF(AND($BB$2&lt;&gt;"Enter Spend&gt;&gt;&gt;",BC2="EXISTING"),SUMIFS('Existing Customers'!$N:$N,'Existing Customers'!$A:$A,$BB$1,'Existing Customers'!$H:$H,$BA31)*$BB$4,$BB31/$BM31),0)</f>
        <v>0</v>
      </c>
      <c r="BD31" s="95">
        <f>IFERROR(IF(AND($BB$2&lt;&gt;"Enter Spend&gt;&gt;&gt;",BC2="EXISTING"),SUMIFS('Existing Customers'!$O:$O,'Existing Customers'!$H:$H,$BA31,'Existing Customers'!$A:$A,$BB$1)*$BB$4,$BC31*$BB$8),0)</f>
        <v>0</v>
      </c>
      <c r="BE31" s="95">
        <f>IFERROR(IF(AND($BB$2&lt;&gt;"Enter Spend&gt;&gt;&gt;",BC2="EXISTING"),SUMIFS('Existing Customers'!$P:$P,'Existing Customers'!$A:$A,$BB$1,'Existing Customers'!$H:$H,$BA31)*$BB$4,$BB31/$BN31),0)</f>
        <v>0</v>
      </c>
      <c r="BF31" s="402">
        <f>IFERROR(IF(AND($BB$2&lt;&gt;"Enter Spend&gt;&gt;&gt;",BC2="EXISTING"),SUMIFS('Existing Customers'!$V:$V,'Existing Customers'!$H:$H,$BA31,'Existing Customers'!$A:$A,$BB$1)*$BB$4,0),0)</f>
        <v>0</v>
      </c>
      <c r="BG31" s="96">
        <f>IFERROR(IF(AND($BB$2&lt;&gt;"Enter Spend&gt;&gt;&gt;",BC2="EXISTING"),SUMIFS('Existing Customers'!$R:$R,'Existing Customers'!$H:$H,$BA31,'Existing Customers'!$A:$A,$BB$1)*$BB$4,0),0)</f>
        <v>0</v>
      </c>
      <c r="BH31" s="96">
        <f>IFERROR(IF(AND($BB$2&lt;&gt;"Enter Spend&gt;&gt;&gt;",BC2="EXISTING"),SUMIFS('Existing Customers'!$S:$S,'Existing Customers'!$H:$H,$BA31,'Existing Customers'!$A:$A,$BB$1),BR31*BB31),0)</f>
        <v>0</v>
      </c>
      <c r="BI31" s="96">
        <f>IFERROR(IF(AND($BB$2&lt;&gt;"Enter Spend&gt;&gt;&gt;",BC2="EXISTING"),SUMIFS('Existing Customers'!$U:$U,'Existing Customers'!$H:$H,$BA31,'Existing Customers'!$A:$A,$BB$1),BS31*BB31),0)</f>
        <v>0</v>
      </c>
      <c r="BJ31" s="1163" t="e">
        <f t="shared" si="27"/>
        <v>#N/A</v>
      </c>
      <c r="BK31" s="1164">
        <f t="array" ref="BK31">IFERROR(INDEX('Margin Guidence Table'!$A$1:$AG$10000,MATCH(1,('Margin Guidence Table'!$A$1:$A$10000=$BJ31)*('Margin Guidence Table'!$I$1:$I$10000&lt;=ROUND($BB$3,0))*('Margin Guidence Table'!$J$1:$J$10000&gt;=ROUND($BB$3,0)),0),MATCH("DATA_POINTS",'Margin Guidence Table'!$A$1:$AG$1,0)),0)</f>
        <v>0</v>
      </c>
      <c r="BL31" s="1161" t="str">
        <f t="shared" si="28"/>
        <v>DEFAULT</v>
      </c>
      <c r="BM31" s="116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16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16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16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16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16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16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16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9"/>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96" t="e">
        <f t="shared" si="29"/>
        <v>#DIV/0!</v>
      </c>
      <c r="BX31" s="102" t="s">
        <v>94</v>
      </c>
      <c r="BY31" s="94">
        <f>IFERROR(IF(AND($BY$2&lt;&gt;"Enter Spend&gt;&gt;&gt;",BZ19="EXISTING"),SUMIFS('Existing Customers'!$Q:$Q,'Existing Customers'!$A:$A,$BY$1,'Existing Customers'!$H:$H,$BX31)*$BY$4,$BY$3*$BW31),0)</f>
        <v>0</v>
      </c>
      <c r="BZ31" s="89">
        <f>IFERROR(IF(AND($BY$2&lt;&gt;"Enter Spend&gt;&gt;&gt;",BZ2="EXISTING"),SUMIFS('Existing Customers'!$N:$N,'Existing Customers'!$A:$A,$BY$1,'Existing Customers'!$H:$H,$BX31)*$BY$4,$BY31/$CJ31),0)</f>
        <v>0</v>
      </c>
      <c r="CA31" s="95">
        <f>IFERROR(IF(AND($BY$2&lt;&gt;"Enter Spend&gt;&gt;&gt;",BZ2="EXISTING"),SUMIFS('Existing Customers'!$O:$O,'Existing Customers'!$H:$H,$BX31,'Existing Customers'!$A:$A,$BY$1)*$BY$4,$BZ31*$BY$8),0)</f>
        <v>0</v>
      </c>
      <c r="CB31" s="95">
        <f>IFERROR(IF(AND($BY$2&lt;&gt;"Enter Spend&gt;&gt;&gt;",BZ2="EXISTING"),SUMIFS('Existing Customers'!$P:$P,'Existing Customers'!$A:$A,$BY$1,'Existing Customers'!$H:$H,$BX31)*$BY$4,$BY31/$CK31),0)</f>
        <v>0</v>
      </c>
      <c r="CC31" s="96">
        <f>IFERROR(IF(AND($BY$2&lt;&gt;"Enter Spend&gt;&gt;&gt;",BZ2="EXISTING"),SUMIFS('Existing Customers'!$V:$V,'Existing Customers'!$H:$H,$BX31,'Existing Customers'!$A:$A,$BY$1)*$BY$4,0),0)</f>
        <v>0</v>
      </c>
      <c r="CD31" s="96">
        <f>IFERROR(IF(AND($BY$2&lt;&gt;"Enter Spend&gt;&gt;&gt;",BZ2="EXISTING"),SUMIFS('Existing Customers'!$R:$R,'Existing Customers'!$H:$H,$BX31,'Existing Customers'!$A:$A,$BY$1)*$BY$4,0),0)</f>
        <v>0</v>
      </c>
      <c r="CE31" s="1161">
        <f>IFERROR(IF(AND($BY$2&lt;&gt;"Enter Spend&gt;&gt;&gt;",BZ2="EXISTING"),SUMIFS('Existing Customers'!$S:$S,'Existing Customers'!$H:$H,$BX31,'Existing Customers'!$A:$A,$BY$1),CO31*BY31),0)</f>
        <v>0</v>
      </c>
      <c r="CF31" s="1161">
        <f>IFERROR(IF(AND($BY$2&lt;&gt;"Enter Spend&gt;&gt;&gt;",BZ2="EXISTING"),SUMIFS('Existing Customers'!$U:$U,'Existing Customers'!$H:$H,$BX31,'Existing Customers'!$A:$A,$BY$1),CP31*BY31),0)</f>
        <v>0</v>
      </c>
      <c r="CG31" s="1164" t="e">
        <f t="shared" si="30"/>
        <v>#N/A</v>
      </c>
      <c r="CH31" s="1164">
        <f t="array" ref="CH31">IFERROR(INDEX('Margin Guidence Table'!$A$1:$AG$10000,MATCH(1,('Margin Guidence Table'!$A$1:$A$10000=$CG31)*('Margin Guidence Table'!$I$1:$I$10000&lt;=ROUND($BY$3,0))*('Margin Guidence Table'!$J$1:$J$10000&gt;=ROUND($BY$3,0)),0),MATCH("DATA_POINTS",'Margin Guidence Table'!$A$1:$AG$1,0)),0)</f>
        <v>0</v>
      </c>
      <c r="CI31" s="1161" t="str">
        <f t="shared" si="31"/>
        <v>DEFAULT</v>
      </c>
      <c r="CJ31" s="116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16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16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16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16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16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16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16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9"/>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96" t="e">
        <f t="shared" si="32"/>
        <v>#DIV/0!</v>
      </c>
      <c r="CU31" s="102" t="s">
        <v>94</v>
      </c>
      <c r="CV31" s="94">
        <f>IFERROR(IF(AND($CV$2&lt;&gt;"Enter Spend&gt;&gt;&gt;",CW19="EXISTING"),SUMIFS('Existing Customers'!$Q:$Q,'Existing Customers'!$A:$A,$CV$1,'Existing Customers'!$H:$H,$CU31)*$CV$4,$CV$3*$CT31),0)</f>
        <v>0</v>
      </c>
      <c r="CW31" s="89">
        <f>IFERROR(IF(AND($CV$2&lt;&gt;"Enter Spend&gt;&gt;&gt;",CW2="EXISTING"),SUMIFS('Existing Customers'!$N:$N,'Existing Customers'!$A:$A,$CV$1,'Existing Customers'!$H:$H,$CU31)*$CV$4,$CV31/$DG31),0)</f>
        <v>0</v>
      </c>
      <c r="CX31" s="95">
        <f>IFERROR(IF(AND($CV$2&lt;&gt;"Enter Spend&gt;&gt;&gt;",BC28="EXISTING"),SUMIFS('Existing Customers'!$O:$O,'Existing Customers'!$H:$H,$CU31,'Existing Customers'!$A:$A,$CV$1)*$CV$4,$CW31*$CV$8),0)</f>
        <v>0</v>
      </c>
      <c r="CY31" s="95">
        <f>IFERROR(IF(AND($CV$2&lt;&gt;"Enter Spend&gt;&gt;&gt;",CW2="EXISTING"),SUMIFS('Existing Customers'!$P:$P,'Existing Customers'!$A:$A,$CV$1,'Existing Customers'!$H:$H,$CU31)*$CV$4,$CV31/$DH31),0)</f>
        <v>0</v>
      </c>
      <c r="CZ31" s="96">
        <f>IFERROR(IF(AND($CV$2&lt;&gt;"Enter Spend&gt;&gt;&gt;",CW2="EXISTING"),SUMIFS('Existing Customers'!$V:$V,'Existing Customers'!$H:$H,$CU31,'Existing Customers'!$A:$A,$CV$1)*$CV$4,0),0)</f>
        <v>0</v>
      </c>
      <c r="DA31" s="96">
        <f>IFERROR(IF(AND($CV$2&lt;&gt;"Enter Spend&gt;&gt;&gt;",CW2="EXISTING"),SUMIFS('Existing Customers'!$R:$R,'Existing Customers'!$H:$H,$BA31,'Existing Customers'!$A:$A,$CV$1)*$CV$4,0),0)</f>
        <v>0</v>
      </c>
      <c r="DB31" s="1161">
        <f>IFERROR(IF(AND($CV$2&lt;&gt;"Enter Spend&gt;&gt;&gt;",CW2="EXISTING"),SUMIFS('Existing Customers'!$S:$S,'Existing Customers'!$H:$H,$CU31,'Existing Customers'!$A:$A,$CV$1),DL31*CV31),0)</f>
        <v>0</v>
      </c>
      <c r="DC31" s="1161">
        <f>IFERROR(IF(AND($CV$2&lt;&gt;"Enter Spend&gt;&gt;&gt;",CW2="EXISTING"),SUMIFS('Existing Customers'!$U:$U,'Existing Customers'!$H:$H,$CU31,'Existing Customers'!$A:$A,$CV$1),DM31*CV31),0)</f>
        <v>0</v>
      </c>
      <c r="DD31" s="1164" t="e">
        <f t="shared" si="33"/>
        <v>#N/A</v>
      </c>
      <c r="DE31" s="1164">
        <f t="array" ref="DE31">IFERROR(INDEX('Margin Guidence Table'!$A$1:$AG$10000,MATCH(1,('Margin Guidence Table'!$A$1:$A$10000=DD31)*('Margin Guidence Table'!$I$1:$I$10000&lt;=ROUND($CV$3,0))*('Margin Guidence Table'!$J$1:$J$10000&gt;=ROUND($CV$3,0)),0),MATCH("DATA_POINTS",'Margin Guidence Table'!$A$1:$AG$1,0)),0)</f>
        <v>0</v>
      </c>
      <c r="DF31" s="1161" t="str">
        <f t="shared" si="34"/>
        <v>DEFAULT</v>
      </c>
      <c r="DG31" s="116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16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16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16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16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16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16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16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9"/>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96" t="e">
        <f t="shared" si="35"/>
        <v>#DIV/0!</v>
      </c>
      <c r="DR31" s="102" t="s">
        <v>94</v>
      </c>
      <c r="DS31" s="94">
        <f>IFERROR(IF(AND($DS$2&lt;&gt;"Enter Spend&gt;&gt;&gt;",DT19="EXISTING"),SUMIFS('Existing Customers'!$Q:$Q,'Existing Customers'!$A:$A,$DS$1,'Existing Customers'!$H:$H,$DR31)*$DS$4,$DS$3*$DQ31),0)</f>
        <v>0</v>
      </c>
      <c r="DT31" s="89">
        <f>IFERROR(IF(AND($DS$2&lt;&gt;"Enter Spend&gt;&gt;&gt;",DT2="EXISTING"),SUMIFS('Existing Customers'!$N:$N,'Existing Customers'!$A:$A,$DS$1,'Existing Customers'!$H:$H,$DR31)*$DS$4,$DS31/$ED31),0)</f>
        <v>0</v>
      </c>
      <c r="DU31" s="95">
        <f>IFERROR(IF(AND($DS$2&lt;&gt;"Enter Spend&gt;&gt;&gt;",DT2="EXISTING"),SUMIFS('Existing Customers'!$O:$O,'Existing Customers'!$H:$H,$DR31,'Existing Customers'!$A:$A,$DS$1)*$DS$4,$DT31*$DS$8),0)</f>
        <v>0</v>
      </c>
      <c r="DV31" s="95">
        <f>IFERROR(IF(AND($DS$2&lt;&gt;"Enter Spend&gt;&gt;&gt;",DT2="EXISTING"),SUMIFS('Existing Customers'!$P:$P,'Existing Customers'!$A:$A,$DS$1,'Existing Customers'!$H:$H,$DR31)*$DS$4,$DS31/$EE31),0)</f>
        <v>0</v>
      </c>
      <c r="DW31" s="96">
        <f>IFERROR(IF(AND($DS$2&lt;&gt;"Enter Spend&gt;&gt;&gt;",EQ2="EXISTING"),SUMIFS('Existing Customers'!$V:$V,'Existing Customers'!$H:$H,$DR31,'Existing Customers'!$A:$A,$DS$1)*$DS$4,0),0)</f>
        <v>0</v>
      </c>
      <c r="DX31" s="96">
        <f>IFERROR(IF(AND($DS$2&lt;&gt;"Enter Spend&gt;&gt;&gt;",DT2="EXISTING"),SUMIFS('Existing Customers'!$R:$R,'Existing Customers'!$H:$H,$DR31,'Existing Customers'!$A:$A,$DS$1)*$DS$4,0),0)</f>
        <v>0</v>
      </c>
      <c r="DY31" s="1161">
        <f>IFERROR(IF(AND($DS$2&lt;&gt;"Enter Spend&gt;&gt;&gt;",DT2="EXISTING"),SUMIFS('Existing Customers'!$S:$S,'Existing Customers'!$H:$H,$DT31,'Existing Customers'!$A:$A,$DS$1),EI31*DS31),0)</f>
        <v>0</v>
      </c>
      <c r="DZ31" s="1161">
        <f>IFERROR(IF(AND($DS$2&lt;&gt;"Enter Spend&gt;&gt;&gt;",DT2="EXISTING"),SUMIFS('Existing Customers'!$U:$U,'Existing Customers'!$H:$H,$DR31,'Existing Customers'!$A:$A,$DS$1),EJ31*DS31),0)</f>
        <v>0</v>
      </c>
      <c r="EA31" s="1164" t="e">
        <f t="shared" si="36"/>
        <v>#N/A</v>
      </c>
      <c r="EB31" s="1164">
        <f t="array" ref="EB31">IFERROR(INDEX('Margin Guidence Table'!$A$1:$AG$10000,MATCH(1,('Margin Guidence Table'!$A$1:$A$10000=EA31)*('Margin Guidence Table'!$I$1:$I$10000&lt;=ROUND($DS$3,0))*('Margin Guidence Table'!$J$1:$J$10000&gt;=ROUND($DS$3,0)),0),MATCH("DATA_POINTS",'Margin Guidence Table'!$A$1:$AG$1,0)),0)</f>
        <v>0</v>
      </c>
      <c r="EC31" s="1161" t="str">
        <f t="shared" si="37"/>
        <v>DEFAULT</v>
      </c>
      <c r="ED31" s="116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16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16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16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16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16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16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16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9"/>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96" t="e">
        <f t="shared" si="38"/>
        <v>#DIV/0!</v>
      </c>
      <c r="EO31" s="102" t="s">
        <v>94</v>
      </c>
      <c r="EP31" s="94">
        <f>IFERROR(IF(AND($EP$2&lt;&gt;"Enter Spend&gt;&gt;&gt;",EQ19="EXISTING"),SUMIFS('Existing Customers'!$Q:$Q,'Existing Customers'!$A:$A,$EP$1,'Existing Customers'!$H:$H,$EO31)*$EP$4,$EP$3*$EN31),0)</f>
        <v>0</v>
      </c>
      <c r="EQ31" s="89">
        <f>IFERROR(IF(AND($EP$2&lt;&gt;"Enter Spend&gt;&gt;&gt;",EQ2="EXISTING"),SUMIFS('Existing Customers'!$N:$N,'Existing Customers'!$A:$A,$EP$1,'Existing Customers'!$H:$H,$EO31)*$EP$4,$EP31/$FA31),0)</f>
        <v>0</v>
      </c>
      <c r="ER31" s="95">
        <f>IFERROR(IF(AND($EP$2&lt;&gt;"Enter Spend&gt;&gt;&gt;",EQ2="EXISTING"),SUMIFS('Existing Customers'!$O:$O,'Existing Customers'!$H:$H,$EO31,'Existing Customers'!$A:$A,$EP$1)*$EP$4,$EQ31*$EP$8),0)</f>
        <v>0</v>
      </c>
      <c r="ES31" s="95">
        <f>IFERROR(IF(AND($EP$2&lt;&gt;"Enter Spend&gt;&gt;&gt;",EQ2="EXISTING"),SUMIFS('Existing Customers'!$P:$P,'Existing Customers'!$A:$A,$EP$1,'Existing Customers'!$H:$H,$EO31)*$EP$4,$EP31/$FB31),0)</f>
        <v>0</v>
      </c>
      <c r="ET31" s="96">
        <f>IFERROR(IF(AND($EP$2&lt;&gt;"Enter Spend&gt;&gt;&gt;",EQ2="EXISTING"),SUMIFS('Existing Customers'!$V:$V,'Existing Customers'!$H:$H,$EO31,'Existing Customers'!$A:$A,$EP$1)*$EP$4,0),0)</f>
        <v>0</v>
      </c>
      <c r="EU31" s="96">
        <f>IFERROR(IF(AND($EP$2&lt;&gt;"Enter Spend&gt;&gt;&gt;",EQ2="EXISTING"),SUMIFS('Existing Customers'!$R:$R,'Existing Customers'!$H:$H,$EO31,'Existing Customers'!$A:$A,$EP$1)*$EP$4,0),0)</f>
        <v>0</v>
      </c>
      <c r="EV31" s="1161">
        <f>IFERROR(IF(AND($EP$2&lt;&gt;"Enter Spend&gt;&gt;&gt;",EQ2="EXISTING"),SUMIFS('Existing Customers'!$S:$S,'Existing Customers'!$H:$H,$EO31,'Existing Customers'!$A:$A,$EP$1),FF31*EP31),0)</f>
        <v>0</v>
      </c>
      <c r="EW31" s="1161">
        <f>IFERROR(IF(AND($EP$2&lt;&gt;"Enter Spend&gt;&gt;&gt;",EQ2="EXISTING"),SUMIFS('Existing Customers'!$U:$U,'Existing Customers'!$H:$H,$EO31,'Existing Customers'!$A:$A,$EP$1),FG31*EP31),0)</f>
        <v>0</v>
      </c>
      <c r="EX31" s="1164" t="e">
        <f t="shared" si="39"/>
        <v>#N/A</v>
      </c>
      <c r="EY31" s="1164">
        <f t="array" ref="EY31">IFERROR(INDEX('Margin Guidence Table'!$A$1:$AG$10000,MATCH(1,('Margin Guidence Table'!$A$1:$A$10000=EX31)*('Margin Guidence Table'!$I$1:$I$10000&lt;=ROUND($EP$3,0))*('Margin Guidence Table'!$J$1:$J$10000&gt;=ROUND($EP$3,0)),0),MATCH("DATA_POINTS",'Margin Guidence Table'!$A$1:$AG$1,0)),0)</f>
        <v>0</v>
      </c>
      <c r="EZ31" s="1161" t="str">
        <f t="shared" si="40"/>
        <v>DEFAULT</v>
      </c>
      <c r="FA31" s="116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16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16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16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16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16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16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16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9"/>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96" t="e">
        <f t="shared" si="41"/>
        <v>#DIV/0!</v>
      </c>
      <c r="FL31" s="102" t="s">
        <v>94</v>
      </c>
      <c r="FM31" s="94">
        <f>IFERROR(IF(AND($FM$2&lt;&gt;"Enter Spend&gt;&gt;&gt;",FN19="EXISTING"),SUMIFS('Existing Customers'!$Q:$Q,'Existing Customers'!$A:$A,$FM$1,'Existing Customers'!$H:$H,$FL31)*$FM$4,$FM$3*$FK31),0)</f>
        <v>0</v>
      </c>
      <c r="FN31" s="89">
        <f>IFERROR(IF(AND($FM$2&lt;&gt;"Enter Spend&gt;&gt;&gt;",FN2="EXISTING"),SUMIFS('Existing Customers'!$N:$N,'Existing Customers'!$A:$A,$FM$1,'Existing Customers'!$H:$H,$FL31)*$FM$4,$FM31/$FX31),0)</f>
        <v>0</v>
      </c>
      <c r="FO31" s="95">
        <f>IFERROR(IF(AND($FM$2&lt;&gt;"Enter Spend&gt;&gt;&gt;",FN2="EXISTING"),SUMIFS('Existing Customers'!$O:$O,'Existing Customers'!$H:$H,$FL31,'Existing Customers'!$A:$A,$FM$1)*$FM$4,$FN31*$FM$8),0)</f>
        <v>0</v>
      </c>
      <c r="FP31" s="95">
        <f>IFERROR(IF(AND($FM$2&lt;&gt;"Enter Spend&gt;&gt;&gt;",FN2="EXISTING"),SUMIFS('Existing Customers'!$P:$P,'Existing Customers'!$A:$A,$FM$1,'Existing Customers'!$H:$H,$FL31)*$FM$4,$FM31/$FY31),0)</f>
        <v>0</v>
      </c>
      <c r="FQ31" s="96">
        <f>IFERROR(IF(AND($FM$2&lt;&gt;"Enter Spend&gt;&gt;&gt;",FN2="EXISTING"),SUMIFS('Existing Customers'!$V:$V,'Existing Customers'!$H:$H,$FL31,'Existing Customers'!$A:$A,$FM$1)*$FM$4,0),0)</f>
        <v>0</v>
      </c>
      <c r="FR31" s="96">
        <f>IFERROR(IF(AND($FM$2&lt;&gt;"Enter Spend&gt;&gt;&gt;",FN2="EXISTING"),SUMIFS('Existing Customers'!$R:$R,'Existing Customers'!$H:$H,$FL31,'Existing Customers'!$A:$A,$FM$1)*$FM$4,0),0)</f>
        <v>0</v>
      </c>
      <c r="FS31" s="1161">
        <f>IFERROR(IF(AND($FM$2&lt;&gt;"Enter Spend&gt;&gt;&gt;",FN2="EXISTING"),SUMIFS('Existing Customers'!$S:$S,'Existing Customers'!$H:$H,$FL31,'Existing Customers'!$A:$A,$FM$1),GC31*FM31),0)</f>
        <v>0</v>
      </c>
      <c r="FT31" s="1161">
        <f>IFERROR(IF(AND($FM$2&lt;&gt;"Enter Spend&gt;&gt;&gt;",FN2="EXISTING"),SUMIFS('Existing Customers'!$U:$U,'Existing Customers'!$H:$H,$FL31,'Existing Customers'!$A:$A,$FM$1),GD31*FM31),0)</f>
        <v>0</v>
      </c>
      <c r="FU31" s="1164" t="e">
        <f t="shared" si="42"/>
        <v>#N/A</v>
      </c>
      <c r="FV31" s="1164">
        <f t="array" ref="FV31">IFERROR(INDEX('Margin Guidence Table'!$A$1:$AG$10000,MATCH(1,('Margin Guidence Table'!$A$1:$A$10000=FU31)*('Margin Guidence Table'!$I$1:$I$10000&lt;=ROUND($FM$3,0))*('Margin Guidence Table'!$J$1:$J$10000&gt;=ROUND($FM$3,0)),0),MATCH("DATA_POINTS",'Margin Guidence Table'!$A$1:$AG$1,0)),0)</f>
        <v>0</v>
      </c>
      <c r="FW31" s="1161" t="str">
        <f t="shared" si="43"/>
        <v>DEFAULT</v>
      </c>
      <c r="FX31" s="116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16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16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16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16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16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16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16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9"/>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96" t="e">
        <f t="shared" si="44"/>
        <v>#DIV/0!</v>
      </c>
      <c r="GI31" s="102" t="s">
        <v>94</v>
      </c>
      <c r="GJ31" s="94">
        <f>IFERROR(IF(AND($GJ$2&lt;&gt;"Enter Spend&gt;&gt;&gt;",GK19="EXISTING"),SUMIFS('Existing Customers'!$Q:$Q,'Existing Customers'!$A:$A,$GJ$1,'Existing Customers'!$H:$H,$GI31)*$GJ$4,$GJ$3*$GH31),0)</f>
        <v>0</v>
      </c>
      <c r="GK31" s="89">
        <f>IFERROR(IF(AND($GJ$2&lt;&gt;"Enter Spend&gt;&gt;&gt;",GK2="EXISTING"),SUMIFS('Existing Customers'!$N:$N,'Existing Customers'!$A:$A,$GJ$1,'Existing Customers'!$H:$H,$GI31)*$GJ$4,$GJ31/$GU31),0)</f>
        <v>0</v>
      </c>
      <c r="GL31" s="95">
        <f>IFERROR(IF(AND($GJ$2&lt;&gt;"Enter Spend&gt;&gt;&gt;",GK2="EXISTING"),SUMIFS('Existing Customers'!$O:$O,'Existing Customers'!$H:$H,$GI31,'Existing Customers'!$A:$A,$GJ$1)*$GJ$4,$GK31*$GJ$8),0)</f>
        <v>0</v>
      </c>
      <c r="GM31" s="95">
        <f>IFERROR(IF(AND($GJ$2&lt;&gt;"Enter Spend&gt;&gt;&gt;",GK2="EXISTING"),SUMIFS('Existing Customers'!$P:$P,'Existing Customers'!$A:$A,$GJ$1,'Existing Customers'!$H:$H,$GI31)*$GJ$4,$GJ31/$GV31),0)</f>
        <v>0</v>
      </c>
      <c r="GN31" s="96">
        <f>IFERROR(IF(AND($GJ$2&lt;&gt;"Enter Spend&gt;&gt;&gt;",GK2="EXISTING"),SUMIFS('Existing Customers'!$V:$V,'Existing Customers'!$H:$H,$GI31,'Existing Customers'!$A:$A,$GJ$1)*$GJ$4,0),0)</f>
        <v>0</v>
      </c>
      <c r="GO31" s="96">
        <f>IFERROR(IF(AND($GJ$2&lt;&gt;"Enter Spend&gt;&gt;&gt;",GK2="EXISTING"),SUMIFS('Existing Customers'!$R:$R,'Existing Customers'!$H:$H,$GI31,'Existing Customers'!$A:$A,$GJ$1)*$GJ$4,0),0)</f>
        <v>0</v>
      </c>
      <c r="GP31" s="1161">
        <f>IFERROR(IF(AND($GJ$2&lt;&gt;"Enter Spend&gt;&gt;&gt;",GK2="EXISTING"),SUMIFS('Existing Customers'!$S:$S,'Existing Customers'!$H:$H,$GI31,'Existing Customers'!$A:$A,$GJ$1),GZ31*GJ31),0)</f>
        <v>0</v>
      </c>
      <c r="GQ31" s="1161">
        <f>IFERROR(IF(AND($GJ$2&lt;&gt;"Enter Spend&gt;&gt;&gt;",GK2="EXISTING"),SUMIFS('Existing Customers'!$U:$U,'Existing Customers'!$H:$H,$GI31,'Existing Customers'!$A:$A,$GJ$1),HA31*GJ31),0)</f>
        <v>0</v>
      </c>
      <c r="GR31" s="1164" t="e">
        <f t="shared" si="45"/>
        <v>#N/A</v>
      </c>
      <c r="GS31" s="1164">
        <f t="array" ref="GS31">IFERROR(INDEX('Margin Guidence Table'!$A$1:$AG$10000,MATCH(1,('Margin Guidence Table'!$A$1:$A$10000=GR31)*('Margin Guidence Table'!$I$1:$I$10000&lt;=ROUND($GJ$3,0))*('Margin Guidence Table'!$J$1:$J$10000&gt;=ROUND($GJ$3,0)),0),MATCH("DATA_POINTS",'Margin Guidence Table'!$A$1:$AG$1,0)),0)</f>
        <v>0</v>
      </c>
      <c r="GT31" s="1161" t="str">
        <f t="shared" si="46"/>
        <v>DEFAULT</v>
      </c>
      <c r="GU31" s="116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16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16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16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16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16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16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16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9"/>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96" t="e">
        <f t="shared" si="47"/>
        <v>#DIV/0!</v>
      </c>
      <c r="HF31" s="102" t="s">
        <v>94</v>
      </c>
      <c r="HG31" s="94">
        <f>IFERROR(IF(AND($HG$2&lt;&gt;"Enter Spend&gt;&gt;&gt;",HH19="EXISTING"),SUMIFS('Existing Customers'!$Q:$Q,'Existing Customers'!$A:$A,$HG$1,'Existing Customers'!$H:$H,$HF31)*$HG$4,$HG$3*$HE31),0)</f>
        <v>0</v>
      </c>
      <c r="HH31" s="89">
        <f>IFERROR(IF(AND($HG$2&lt;&gt;"Enter Spend&gt;&gt;&gt;",HH2="EXISTING"),SUMIFS('Existing Customers'!$N:$N,'Existing Customers'!$A:$A,$HG$1,'Existing Customers'!$H:$H,$HF31)*$HG$4,$HG31/$HR31),0)</f>
        <v>0</v>
      </c>
      <c r="HI31" s="95">
        <f>IFERROR(IF(AND($HG$2&lt;&gt;"Enter Spend&gt;&gt;&gt;",HH2="EXISTING"),SUMIFS('Existing Customers'!$O:$O,'Existing Customers'!$H:$H,$HF31,'Existing Customers'!$A:$A,$HG$1)*$HG$4,$HH31*$HG$8),0)</f>
        <v>0</v>
      </c>
      <c r="HJ31" s="95">
        <f>IFERROR(IF(AND($HG$2&lt;&gt;"Enter Spend&gt;&gt;&gt;",HH2="EXISTING"),SUMIFS('Existing Customers'!$P:$P,'Existing Customers'!$A:$A,$HG$1,'Existing Customers'!$H:$H,$HF31)*$HG$4,$HG31/$HS31),0)</f>
        <v>0</v>
      </c>
      <c r="HK31" s="96">
        <f>IFERROR(IF(AND($HG$2&lt;&gt;"Enter Spend&gt;&gt;&gt;",HH2="EXISTING"),SUMIFS('Existing Customers'!$V:$V,'Existing Customers'!$H:$H,$HF31,'Existing Customers'!$A:$A,$HG$1)*$HG$4,0),0)</f>
        <v>0</v>
      </c>
      <c r="HL31" s="96">
        <f>IFERROR(IF(AND($HG$2&lt;&gt;"Enter Spend&gt;&gt;&gt;",HH2="EXISTING"),SUMIFS('Existing Customers'!$R:$R,'Existing Customers'!$H:$H,$HF31,'Existing Customers'!$A:$A,$HG$1)*$HG$4,0),0)</f>
        <v>0</v>
      </c>
      <c r="HM31" s="1161">
        <f>IFERROR(IF(AND($HG$2&lt;&gt;"Enter Spend&gt;&gt;&gt;",HH2="EXISTING"),SUMIFS('Existing Customers'!$S:$S,'Existing Customers'!$H:$H,$HF31,'Existing Customers'!$A:$A,$HG$1),HW31*HG31),0)</f>
        <v>0</v>
      </c>
      <c r="HN31" s="1161">
        <f>IFERROR(IF(AND($HG$2&lt;&gt;"Enter Spend&gt;&gt;&gt;",HH2="EXISTING"),SUMIFS('Existing Customers'!$U:$U,'Existing Customers'!$H:$H,$HF31,'Existing Customers'!$A:$A,$HG$1),HX31*HG31),0)</f>
        <v>0</v>
      </c>
      <c r="HO31" s="1164" t="e">
        <f t="shared" si="48"/>
        <v>#N/A</v>
      </c>
      <c r="HP31" s="1164">
        <f t="array" ref="HP31">IFERROR(INDEX('Margin Guidence Table'!$A$1:$AG$10000,MATCH(1,('Margin Guidence Table'!$A$1:$A$10000=HO31)*('Margin Guidence Table'!$I$1:$I$10000&lt;=ROUND($HG$3,0))*('Margin Guidence Table'!$J$1:$J$10000&gt;=ROUND($HG$3,0)),0),MATCH("DATA_POINTS",'Margin Guidence Table'!$A$1:$AG$1,0)),0)</f>
        <v>0</v>
      </c>
      <c r="HQ31" s="1161" t="str">
        <f t="shared" si="49"/>
        <v>DEFAULT</v>
      </c>
      <c r="HR31" s="116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16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16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16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16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16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16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16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9"/>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96" t="e">
        <f t="shared" si="50"/>
        <v>#DIV/0!</v>
      </c>
      <c r="IC31" s="102" t="s">
        <v>94</v>
      </c>
      <c r="ID31" s="94">
        <f>IFERROR(IF(AND($ID$2&lt;&gt;"Enter Spend&gt;&gt;&gt;",IE19="EXISTING"),SUMIFS('Existing Customers'!$Q:$Q,'Existing Customers'!$A:$A,$ID$1,'Existing Customers'!$H:$H,$IC31)*$ID$4,$ID$3*$IB31),0)</f>
        <v>0</v>
      </c>
      <c r="IE31" s="89">
        <f>IFERROR(IF(AND($ID$2&lt;&gt;"Enter Spend&gt;&gt;&gt;",IE2="EXISTING"),SUMIFS('Existing Customers'!$N:$N,'Existing Customers'!$A:$A,$ID$1,'Existing Customers'!$H:$H,$IC31)*$ID$4,$ID31/$IO31),0)</f>
        <v>0</v>
      </c>
      <c r="IF31" s="95">
        <f>IFERROR(IF(AND($ID$2&lt;&gt;"Enter Spend&gt;&gt;&gt;",IE2="EXISTING"),SUMIFS('Existing Customers'!$O:$O,'Existing Customers'!$H:$H,$IC31,'Existing Customers'!$A:$A,$ID$1)*$ID$4,$IE31*$ID$8),0)</f>
        <v>0</v>
      </c>
      <c r="IG31" s="95">
        <f>IFERROR(IF(AND($ID$2&lt;&gt;"Enter Spend&gt;&gt;&gt;",IE2="EXISTING"),SUMIFS('Existing Customers'!$P:$P,'Existing Customers'!$A:$A,$ID$1,'Existing Customers'!$H:$H,$IC31)*$ID$4,$ID31/$IP31),0)</f>
        <v>0</v>
      </c>
      <c r="IH31" s="402">
        <f>IFERROR(IF(AND($ID$2&lt;&gt;"Enter Spend&gt;&gt;&gt;",IE2="EXISTING"),SUMIFS('Existing Customers'!$V:$V,'Existing Customers'!$H:$H,$IC31,'Existing Customers'!$A:$A,$ID$1)*$ID$4,0),0)</f>
        <v>0</v>
      </c>
      <c r="II31" s="96">
        <f>IFERROR(IF(AND($ID$2&lt;&gt;"Enter Spend&gt;&gt;&gt;",IE2="EXISTING"),SUMIFS('Existing Customers'!$R:$R,'Existing Customers'!$H:$H,$IC31,'Existing Customers'!$A:$A,$ID$1)*$ID$4,0),0)</f>
        <v>0</v>
      </c>
      <c r="IJ31" s="1161">
        <f>IFERROR(IF(AND($ID$2&lt;&gt;"Enter Spend&gt;&gt;&gt;",IE2="EXISTING"),SUMIFS('Existing Customers'!$S:$S,'Existing Customers'!$H:$H,$IC31,'Existing Customers'!$A:$A,$ID$1),IT31*ID31),0)</f>
        <v>0</v>
      </c>
      <c r="IK31" s="1161">
        <f>IFERROR(IF(AND($ID$2&lt;&gt;"Enter Spend&gt;&gt;&gt;",IE2="EXISTING"),SUMIFS('Existing Customers'!$U:$U,'Existing Customers'!$H:$H,$IC31,'Existing Customers'!$A:$A,$ID$1),IU31*ID31),0)</f>
        <v>0</v>
      </c>
      <c r="IL31" s="1164" t="e">
        <f t="shared" si="51"/>
        <v>#N/A</v>
      </c>
      <c r="IM31" s="1164">
        <f t="array" ref="IM31">IFERROR(INDEX('Margin Guidence Table'!$A$1:$AG$10000,MATCH(1,('Margin Guidence Table'!$A$1:$A$10000=IL31)*('Margin Guidence Table'!$I$1:$I$10000&lt;=ROUND($ID$3,0))*('Margin Guidence Table'!$J$1:$J$10000&gt;=ROUND($ID$3,0)),0),MATCH("DATA_POINTS",'Margin Guidence Table'!$A$1:$AG$1,0)),0)</f>
        <v>0</v>
      </c>
      <c r="IN31" s="1161" t="str">
        <f t="shared" si="52"/>
        <v>DEFAULT</v>
      </c>
      <c r="IO31" s="116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16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16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16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16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16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16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16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9"/>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96" t="e">
        <f t="shared" si="53"/>
        <v>#DIV/0!</v>
      </c>
      <c r="IZ31" s="102" t="s">
        <v>94</v>
      </c>
      <c r="JA31" s="94">
        <f>IFERROR(IF(AND($JA$2&lt;&gt;"Enter Spend&gt;&gt;&gt;",JB19="EXISTING"),SUMIFS('Existing Customers'!$Q:$Q,'Existing Customers'!$A:$A,$JA$1,'Existing Customers'!$H:$H,$IZ31)*$JA$4,$JA$3*$IY31),0)</f>
        <v>0</v>
      </c>
      <c r="JB31" s="89">
        <f>IFERROR(IF(AND($JA$2&lt;&gt;"Enter Spend&gt;&gt;&gt;",JB2="EXISTING"),SUMIFS('Existing Customers'!$N:$N,'Existing Customers'!$A:$A,$JA$1,'Existing Customers'!$H:$H,$IZ31)*$JA$4,$JA31/$JL31),0)</f>
        <v>0</v>
      </c>
      <c r="JC31" s="95">
        <f>IFERROR(IF(AND($JA$2&lt;&gt;"Enter Spend&gt;&gt;&gt;",JB2="EXISTING"),SUMIFS('Existing Customers'!$O:$O,'Existing Customers'!$H:$H,$IZ31,'Existing Customers'!$A:$A,$JA$1)*$JA$4,$JB31*$JA$8),0)</f>
        <v>0</v>
      </c>
      <c r="JD31" s="95">
        <f>IFERROR(IF(AND($JA$2&lt;&gt;"Enter Spend&gt;&gt;&gt;",JB2="EXISTING"),SUMIFS('Existing Customers'!$P:$P,'Existing Customers'!$A:$A,$JA$1,'Existing Customers'!$H:$H,$IZ31)*$JA$4,$JA31/$JM31),0)</f>
        <v>0</v>
      </c>
      <c r="JE31" s="402">
        <f>IFERROR(IF(AND($JA$2&lt;&gt;"Enter Spend&gt;&gt;&gt;",JB2="EXISTING"),SUMIFS('Existing Customers'!$V:$V,'Existing Customers'!$H:$H,$IZ31,'Existing Customers'!$A:$A,$JA$1)*$JA$4,0),0)</f>
        <v>0</v>
      </c>
      <c r="JF31" s="96">
        <f>IFERROR(IF(AND($JA$2&lt;&gt;"Enter Spend&gt;&gt;&gt;",JB2="EXISTING"),SUMIFS('Existing Customers'!$R:$R,'Existing Customers'!$H:$H,$IZ31,'Existing Customers'!$A:$A,$JA$1)*$JA$4,0),0)</f>
        <v>0</v>
      </c>
      <c r="JG31" s="1161">
        <f>IFERROR(IF(AND($JA$2&lt;&gt;"Enter Spend&gt;&gt;&gt;",JB2="EXISTING"),SUMIFS('Existing Customers'!$S:$S,'Existing Customers'!$H:$H,$IZ31,'Existing Customers'!$A:$A,$JA$1),JQ31*JA31),0)</f>
        <v>0</v>
      </c>
      <c r="JH31" s="1161">
        <f>IFERROR(IF(AND($JA$2&lt;&gt;"Enter Spend&gt;&gt;&gt;",JB2="EXISTING"),SUMIFS('Existing Customers'!$U:$U,'Existing Customers'!$H:$H,$IZ31,'Existing Customers'!$A:$A,$JA$1),JR31*JA31),0)</f>
        <v>0</v>
      </c>
      <c r="JI31" s="1164" t="e">
        <f t="shared" si="54"/>
        <v>#N/A</v>
      </c>
      <c r="JJ31" s="1164">
        <f t="array" ref="JJ31">IFERROR(INDEX('Margin Guidence Table'!$A$1:$AG$10000,MATCH(1,('Margin Guidence Table'!$A$1:$A$10000=JI31)*('Margin Guidence Table'!$I$1:$I$10000&lt;=ROUND($JA$3,0))*('Margin Guidence Table'!$J$1:$J$10000&gt;=ROUND($JA$3,0)),0),MATCH("DATA_POINTS",'Margin Guidence Table'!$A$1:$AG$1,0)),0)</f>
        <v>0</v>
      </c>
      <c r="JK31" s="1161" t="str">
        <f t="shared" si="55"/>
        <v>DEFAULT</v>
      </c>
      <c r="JL31" s="116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16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16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16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16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16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16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16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2" t="s">
        <v>94</v>
      </c>
      <c r="JV31" s="97"/>
      <c r="JW31" s="89"/>
      <c r="JX31" s="89"/>
      <c r="JY31" s="89"/>
      <c r="JZ31" s="114"/>
      <c r="KA31" s="98"/>
      <c r="KB31" s="129"/>
      <c r="KD31" s="102" t="s">
        <v>94</v>
      </c>
      <c r="KE31" s="97"/>
      <c r="KF31" s="89"/>
      <c r="KG31" s="89"/>
      <c r="KH31" s="89"/>
      <c r="KI31" s="114"/>
      <c r="KJ31" s="98"/>
    </row>
    <row r="32" spans="2:296" ht="15.75" thickBot="1" x14ac:dyDescent="0.3">
      <c r="B32" s="102" t="s">
        <v>86</v>
      </c>
      <c r="C32" s="480">
        <f t="shared" si="11"/>
        <v>0</v>
      </c>
      <c r="D32" s="496">
        <f t="shared" si="12"/>
        <v>0</v>
      </c>
      <c r="E32" s="496">
        <f t="shared" si="13"/>
        <v>0</v>
      </c>
      <c r="F32" s="496">
        <f t="shared" si="14"/>
        <v>0</v>
      </c>
      <c r="G32" s="497">
        <f t="shared" si="15"/>
        <v>0</v>
      </c>
      <c r="H32" s="496">
        <f t="shared" si="16"/>
        <v>0</v>
      </c>
      <c r="I32" s="1157" t="e">
        <f t="shared" si="0"/>
        <v>#DIV/0!</v>
      </c>
      <c r="J32" s="1157" t="e">
        <f t="shared" si="1"/>
        <v>#DIV/0!</v>
      </c>
      <c r="K32" s="1157" t="e">
        <f t="shared" si="2"/>
        <v>#DIV/0!</v>
      </c>
      <c r="L32" s="496" t="e">
        <f t="shared" si="3"/>
        <v>#DIV/0!</v>
      </c>
      <c r="M32" s="496" t="e">
        <f t="shared" si="17"/>
        <v>#DIV/0!</v>
      </c>
      <c r="N32" s="1158" t="e">
        <f t="shared" si="4"/>
        <v>#DIV/0!</v>
      </c>
      <c r="P32" t="str">
        <f>'PIM Model'!E28</f>
        <v>INCLUDE</v>
      </c>
      <c r="Q32">
        <f t="shared" si="18"/>
        <v>0</v>
      </c>
      <c r="R32">
        <f t="shared" si="19"/>
        <v>0</v>
      </c>
      <c r="S32" s="102" t="s">
        <v>86</v>
      </c>
      <c r="T32" s="97">
        <f t="shared" si="20"/>
        <v>0</v>
      </c>
      <c r="U32" s="89">
        <f t="shared" si="5"/>
        <v>0</v>
      </c>
      <c r="V32" s="89">
        <f t="shared" si="6"/>
        <v>0</v>
      </c>
      <c r="W32" s="89">
        <f t="shared" si="7"/>
        <v>0</v>
      </c>
      <c r="X32" s="114">
        <f t="shared" si="8"/>
        <v>0</v>
      </c>
      <c r="Y32" s="117">
        <f t="shared" si="21"/>
        <v>0</v>
      </c>
      <c r="Z32" s="400"/>
      <c r="AA32" s="102" t="s">
        <v>86</v>
      </c>
      <c r="AB32" s="484">
        <f t="shared" si="9"/>
        <v>0</v>
      </c>
      <c r="AC32" s="485">
        <f t="shared" si="9"/>
        <v>0</v>
      </c>
      <c r="AD32" s="485">
        <f t="shared" si="9"/>
        <v>0</v>
      </c>
      <c r="AE32" s="486">
        <f t="shared" si="22"/>
        <v>0</v>
      </c>
      <c r="AF32" s="487">
        <f t="shared" si="23"/>
        <v>0</v>
      </c>
      <c r="AG32" s="400"/>
      <c r="AH32" s="102" t="s">
        <v>86</v>
      </c>
      <c r="AI32" s="484">
        <f t="shared" si="10"/>
        <v>0</v>
      </c>
      <c r="AJ32" s="481">
        <f t="shared" si="24"/>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400" t="e">
        <f t="shared" si="25"/>
        <v>#DIV/0!</v>
      </c>
      <c r="AR32">
        <f>'PIM Model'!C28</f>
        <v>0</v>
      </c>
      <c r="AS32" s="400"/>
      <c r="AT32" s="400"/>
      <c r="AU32" s="400" t="e">
        <f t="shared" si="56"/>
        <v>#DIV/0!</v>
      </c>
      <c r="AV32" s="400"/>
      <c r="AW32" s="400"/>
      <c r="AX32" s="108">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96" t="e">
        <f t="shared" si="26"/>
        <v>#DIV/0!</v>
      </c>
      <c r="BA32" s="102" t="s">
        <v>86</v>
      </c>
      <c r="BB32" s="94">
        <f>IFERROR(IF(AND($BB$2&lt;&gt;"Enter Spend&gt;&gt;&gt;",BC20="EXISTING"),SUMIFS('Existing Customers'!$Q:$Q,'Existing Customers'!$A:$A,$BB$1,'Existing Customers'!$H:$H,$BA32)*$BB$4,$BB$3*$AZ32),0)</f>
        <v>0</v>
      </c>
      <c r="BC32" s="95">
        <f>IFERROR(IF(AND($BB$2&lt;&gt;"Enter Spend&gt;&gt;&gt;",BC2="EXISTING"),SUMIFS('Existing Customers'!$N:$N,'Existing Customers'!$A:$A,$BB$1,'Existing Customers'!$H:$H,$BA32)*$BB$4,$BB32/$BM32),0)</f>
        <v>0</v>
      </c>
      <c r="BD32" s="95">
        <f>IFERROR(IF(AND($BB$2&lt;&gt;"Enter Spend&gt;&gt;&gt;",BC2="EXISTING"),SUMIFS('Existing Customers'!$O:$O,'Existing Customers'!$H:$H,$BA32,'Existing Customers'!$A:$A,$BB$1)*$BB$4,$BC32*$BB$8),0)</f>
        <v>0</v>
      </c>
      <c r="BE32" s="95">
        <f>IFERROR(IF(AND($BB$2&lt;&gt;"Enter Spend&gt;&gt;&gt;",BC2="EXISTING"),SUMIFS('Existing Customers'!$P:$P,'Existing Customers'!$A:$A,$BB$1,'Existing Customers'!$H:$H,$BA32)*$BB$4,$BB32/$BN32),0)</f>
        <v>0</v>
      </c>
      <c r="BF32" s="402">
        <f>IFERROR(IF(AND($BB$2&lt;&gt;"Enter Spend&gt;&gt;&gt;",BC2="EXISTING"),SUMIFS('Existing Customers'!$V:$V,'Existing Customers'!$H:$H,$BA32,'Existing Customers'!$A:$A,$BB$1)*$BB$4,0),0)</f>
        <v>0</v>
      </c>
      <c r="BG32" s="96">
        <f>IFERROR(IF(AND($BB$2&lt;&gt;"Enter Spend&gt;&gt;&gt;",BC2="EXISTING"),SUMIFS('Existing Customers'!$R:$R,'Existing Customers'!$H:$H,$BA32,'Existing Customers'!$A:$A,$BB$1)*$BB$4,0),0)</f>
        <v>0</v>
      </c>
      <c r="BH32" s="96">
        <f>IFERROR(IF(AND($BB$2&lt;&gt;"Enter Spend&gt;&gt;&gt;",BC2="EXISTING"),SUMIFS('Existing Customers'!$S:$S,'Existing Customers'!$H:$H,$BA32,'Existing Customers'!$A:$A,$BB$1),BR32*BB32),0)</f>
        <v>0</v>
      </c>
      <c r="BI32" s="96">
        <f>IFERROR(IF(AND($BB$2&lt;&gt;"Enter Spend&gt;&gt;&gt;",BC2="EXISTING"),SUMIFS('Existing Customers'!$U:$U,'Existing Customers'!$H:$H,$BA32,'Existing Customers'!$A:$A,$BB$1),BS32*BB32),0)</f>
        <v>0</v>
      </c>
      <c r="BJ32" s="1163" t="e">
        <f t="shared" si="27"/>
        <v>#N/A</v>
      </c>
      <c r="BK32" s="1164">
        <f t="array" ref="BK32">IFERROR(INDEX('Margin Guidence Table'!$A$1:$AG$10000,MATCH(1,('Margin Guidence Table'!$A$1:$A$10000=$BJ32)*('Margin Guidence Table'!$I$1:$I$10000&lt;=ROUND($BB$3,0))*('Margin Guidence Table'!$J$1:$J$10000&gt;=ROUND($BB$3,0)),0),MATCH("DATA_POINTS",'Margin Guidence Table'!$A$1:$AG$1,0)),0)</f>
        <v>0</v>
      </c>
      <c r="BL32" s="1161" t="str">
        <f t="shared" si="28"/>
        <v>DEFAULT</v>
      </c>
      <c r="BM32" s="116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16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16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16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16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16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16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16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9"/>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96" t="e">
        <f t="shared" si="29"/>
        <v>#DIV/0!</v>
      </c>
      <c r="BX32" s="102" t="s">
        <v>86</v>
      </c>
      <c r="BY32" s="94">
        <f>IFERROR(IF(AND($BY$2&lt;&gt;"Enter Spend&gt;&gt;&gt;",BZ20="EXISTING"),SUMIFS('Existing Customers'!$Q:$Q,'Existing Customers'!$A:$A,$BY$1,'Existing Customers'!$H:$H,$BX32)*$BY$4,$BY$3*$BW32),0)</f>
        <v>0</v>
      </c>
      <c r="BZ32" s="89">
        <f>IFERROR(IF(AND($BY$2&lt;&gt;"Enter Spend&gt;&gt;&gt;",BZ2="EXISTING"),SUMIFS('Existing Customers'!$N:$N,'Existing Customers'!$A:$A,$BY$1,'Existing Customers'!$H:$H,$BX32)*$BY$4,$BY32/$CJ32),0)</f>
        <v>0</v>
      </c>
      <c r="CA32" s="95">
        <f>IFERROR(IF(AND($BY$2&lt;&gt;"Enter Spend&gt;&gt;&gt;",BZ2="EXISTING"),SUMIFS('Existing Customers'!$O:$O,'Existing Customers'!$H:$H,$BX32,'Existing Customers'!$A:$A,$BY$1)*$BY$4,$BZ32*$BY$8),0)</f>
        <v>0</v>
      </c>
      <c r="CB32" s="95">
        <f>IFERROR(IF(AND($BY$2&lt;&gt;"Enter Spend&gt;&gt;&gt;",BZ2="EXISTING"),SUMIFS('Existing Customers'!$P:$P,'Existing Customers'!$A:$A,$BY$1,'Existing Customers'!$H:$H,$BX32)*$BY$4,$BY32/$CK32),0)</f>
        <v>0</v>
      </c>
      <c r="CC32" s="96">
        <f>IFERROR(IF(AND($BY$2&lt;&gt;"Enter Spend&gt;&gt;&gt;",BZ2="EXISTING"),SUMIFS('Existing Customers'!$V:$V,'Existing Customers'!$H:$H,$BX32,'Existing Customers'!$A:$A,$BY$1)*$BY$4,0),0)</f>
        <v>0</v>
      </c>
      <c r="CD32" s="96">
        <f>IFERROR(IF(AND($BY$2&lt;&gt;"Enter Spend&gt;&gt;&gt;",BZ2="EXISTING"),SUMIFS('Existing Customers'!$R:$R,'Existing Customers'!$H:$H,$BX32,'Existing Customers'!$A:$A,$BY$1)*$BY$4,0),0)</f>
        <v>0</v>
      </c>
      <c r="CE32" s="1161">
        <f>IFERROR(IF(AND($BY$2&lt;&gt;"Enter Spend&gt;&gt;&gt;",BZ2="EXISTING"),SUMIFS('Existing Customers'!$S:$S,'Existing Customers'!$H:$H,$BX32,'Existing Customers'!$A:$A,$BY$1),CO32*BY32),0)</f>
        <v>0</v>
      </c>
      <c r="CF32" s="1161">
        <f>IFERROR(IF(AND($BY$2&lt;&gt;"Enter Spend&gt;&gt;&gt;",BZ2="EXISTING"),SUMIFS('Existing Customers'!$U:$U,'Existing Customers'!$H:$H,$BX32,'Existing Customers'!$A:$A,$BY$1),CP32*BY32),0)</f>
        <v>0</v>
      </c>
      <c r="CG32" s="1164" t="e">
        <f t="shared" si="30"/>
        <v>#N/A</v>
      </c>
      <c r="CH32" s="1164">
        <f t="array" ref="CH32">IFERROR(INDEX('Margin Guidence Table'!$A$1:$AG$10000,MATCH(1,('Margin Guidence Table'!$A$1:$A$10000=$CG32)*('Margin Guidence Table'!$I$1:$I$10000&lt;=ROUND($BY$3,0))*('Margin Guidence Table'!$J$1:$J$10000&gt;=ROUND($BY$3,0)),0),MATCH("DATA_POINTS",'Margin Guidence Table'!$A$1:$AG$1,0)),0)</f>
        <v>0</v>
      </c>
      <c r="CI32" s="1161" t="str">
        <f t="shared" si="31"/>
        <v>DEFAULT</v>
      </c>
      <c r="CJ32" s="116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16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16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16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16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16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16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16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9"/>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96" t="e">
        <f t="shared" si="32"/>
        <v>#DIV/0!</v>
      </c>
      <c r="CU32" s="102" t="s">
        <v>86</v>
      </c>
      <c r="CV32" s="94">
        <f>IFERROR(IF(AND($CV$2&lt;&gt;"Enter Spend&gt;&gt;&gt;",CW20="EXISTING"),SUMIFS('Existing Customers'!$Q:$Q,'Existing Customers'!$A:$A,$CV$1,'Existing Customers'!$H:$H,$CU32)*$CV$4,$CV$3*$CT32),0)</f>
        <v>0</v>
      </c>
      <c r="CW32" s="89">
        <f>IFERROR(IF(AND($CV$2&lt;&gt;"Enter Spend&gt;&gt;&gt;",CW2="EXISTING"),SUMIFS('Existing Customers'!$N:$N,'Existing Customers'!$A:$A,$CV$1,'Existing Customers'!$H:$H,$CU32)*$CV$4,$CV32/$DG32),0)</f>
        <v>0</v>
      </c>
      <c r="CX32" s="95">
        <f>IFERROR(IF(AND($CV$2&lt;&gt;"Enter Spend&gt;&gt;&gt;",BC28="EXISTING"),SUMIFS('Existing Customers'!$O:$O,'Existing Customers'!$H:$H,$CU32,'Existing Customers'!$A:$A,$CV$1)*$CV$4,$CW32*$CV$8),0)</f>
        <v>0</v>
      </c>
      <c r="CY32" s="95">
        <f>IFERROR(IF(AND($CV$2&lt;&gt;"Enter Spend&gt;&gt;&gt;",CW2="EXISTING"),SUMIFS('Existing Customers'!$P:$P,'Existing Customers'!$A:$A,$CV$1,'Existing Customers'!$H:$H,$CU32)*$CV$4,$CV32/$DH32),0)</f>
        <v>0</v>
      </c>
      <c r="CZ32" s="96">
        <f>IFERROR(IF(AND($CV$2&lt;&gt;"Enter Spend&gt;&gt;&gt;",CW2="EXISTING"),SUMIFS('Existing Customers'!$V:$V,'Existing Customers'!$H:$H,$CU32,'Existing Customers'!$A:$A,$CV$1)*$CV$4,0),0)</f>
        <v>0</v>
      </c>
      <c r="DA32" s="96">
        <f>IFERROR(IF(AND($CV$2&lt;&gt;"Enter Spend&gt;&gt;&gt;",CW2="EXISTING"),SUMIFS('Existing Customers'!$R:$R,'Existing Customers'!$H:$H,$BA32,'Existing Customers'!$A:$A,$CV$1)*$CV$4,0),0)</f>
        <v>0</v>
      </c>
      <c r="DB32" s="1161">
        <f>IFERROR(IF(AND($CV$2&lt;&gt;"Enter Spend&gt;&gt;&gt;",CW2="EXISTING"),SUMIFS('Existing Customers'!$S:$S,'Existing Customers'!$H:$H,$CU32,'Existing Customers'!$A:$A,$CV$1),DL32*CV32),0)</f>
        <v>0</v>
      </c>
      <c r="DC32" s="1161">
        <f>IFERROR(IF(AND($CV$2&lt;&gt;"Enter Spend&gt;&gt;&gt;",CW2="EXISTING"),SUMIFS('Existing Customers'!$U:$U,'Existing Customers'!$H:$H,$CU32,'Existing Customers'!$A:$A,$CV$1),DM32*CV32),0)</f>
        <v>0</v>
      </c>
      <c r="DD32" s="1164" t="e">
        <f t="shared" si="33"/>
        <v>#N/A</v>
      </c>
      <c r="DE32" s="1164">
        <f t="array" ref="DE32">IFERROR(INDEX('Margin Guidence Table'!$A$1:$AG$10000,MATCH(1,('Margin Guidence Table'!$A$1:$A$10000=DD32)*('Margin Guidence Table'!$I$1:$I$10000&lt;=ROUND($CV$3,0))*('Margin Guidence Table'!$J$1:$J$10000&gt;=ROUND($CV$3,0)),0),MATCH("DATA_POINTS",'Margin Guidence Table'!$A$1:$AG$1,0)),0)</f>
        <v>0</v>
      </c>
      <c r="DF32" s="1161" t="str">
        <f t="shared" si="34"/>
        <v>DEFAULT</v>
      </c>
      <c r="DG32" s="116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16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16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16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16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16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16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16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9"/>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96" t="e">
        <f t="shared" si="35"/>
        <v>#DIV/0!</v>
      </c>
      <c r="DR32" s="102" t="s">
        <v>86</v>
      </c>
      <c r="DS32" s="94">
        <f>IFERROR(IF(AND($DS$2&lt;&gt;"Enter Spend&gt;&gt;&gt;",DT20="EXISTING"),SUMIFS('Existing Customers'!$Q:$Q,'Existing Customers'!$A:$A,$DS$1,'Existing Customers'!$H:$H,$DR32)*$DS$4,$DS$3*$DQ32),0)</f>
        <v>0</v>
      </c>
      <c r="DT32" s="89">
        <f>IFERROR(IF(AND($DS$2&lt;&gt;"Enter Spend&gt;&gt;&gt;",DT2="EXISTING"),SUMIFS('Existing Customers'!$N:$N,'Existing Customers'!$A:$A,$DS$1,'Existing Customers'!$H:$H,$DR32)*$DS$4,$DS32/$ED32),0)</f>
        <v>0</v>
      </c>
      <c r="DU32" s="95">
        <f>IFERROR(IF(AND($DS$2&lt;&gt;"Enter Spend&gt;&gt;&gt;",DT2="EXISTING"),SUMIFS('Existing Customers'!$O:$O,'Existing Customers'!$H:$H,$DR32,'Existing Customers'!$A:$A,$DS$1)*$DS$4,$DT32*$DS$8),0)</f>
        <v>0</v>
      </c>
      <c r="DV32" s="95">
        <f>IFERROR(IF(AND($DS$2&lt;&gt;"Enter Spend&gt;&gt;&gt;",DT2="EXISTING"),SUMIFS('Existing Customers'!$P:$P,'Existing Customers'!$A:$A,$DS$1,'Existing Customers'!$H:$H,$DR32)*$DS$4,$DS32/$EE32),0)</f>
        <v>0</v>
      </c>
      <c r="DW32" s="96">
        <f>IFERROR(IF(AND($DS$2&lt;&gt;"Enter Spend&gt;&gt;&gt;",EQ2="EXISTING"),SUMIFS('Existing Customers'!$V:$V,'Existing Customers'!$H:$H,$DR32,'Existing Customers'!$A:$A,$DS$1)*$DS$4,0),0)</f>
        <v>0</v>
      </c>
      <c r="DX32" s="96">
        <f>IFERROR(IF(AND($DS$2&lt;&gt;"Enter Spend&gt;&gt;&gt;",DT2="EXISTING"),SUMIFS('Existing Customers'!$R:$R,'Existing Customers'!$H:$H,$DR32,'Existing Customers'!$A:$A,$DS$1)*$DS$4,0),0)</f>
        <v>0</v>
      </c>
      <c r="DY32" s="1161">
        <f>IFERROR(IF(AND($DS$2&lt;&gt;"Enter Spend&gt;&gt;&gt;",DT2="EXISTING"),SUMIFS('Existing Customers'!$S:$S,'Existing Customers'!$H:$H,$DT32,'Existing Customers'!$A:$A,$DS$1),EI32*DS32),0)</f>
        <v>0</v>
      </c>
      <c r="DZ32" s="1161">
        <f>IFERROR(IF(AND($DS$2&lt;&gt;"Enter Spend&gt;&gt;&gt;",DT2="EXISTING"),SUMIFS('Existing Customers'!$U:$U,'Existing Customers'!$H:$H,$DR32,'Existing Customers'!$A:$A,$DS$1),EJ32*DS32),0)</f>
        <v>0</v>
      </c>
      <c r="EA32" s="1164" t="e">
        <f t="shared" si="36"/>
        <v>#N/A</v>
      </c>
      <c r="EB32" s="1164">
        <f t="array" ref="EB32">IFERROR(INDEX('Margin Guidence Table'!$A$1:$AG$10000,MATCH(1,('Margin Guidence Table'!$A$1:$A$10000=EA32)*('Margin Guidence Table'!$I$1:$I$10000&lt;=ROUND($DS$3,0))*('Margin Guidence Table'!$J$1:$J$10000&gt;=ROUND($DS$3,0)),0),MATCH("DATA_POINTS",'Margin Guidence Table'!$A$1:$AG$1,0)),0)</f>
        <v>0</v>
      </c>
      <c r="EC32" s="1161" t="str">
        <f t="shared" si="37"/>
        <v>DEFAULT</v>
      </c>
      <c r="ED32" s="116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16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16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16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16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16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16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16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9"/>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96" t="e">
        <f t="shared" si="38"/>
        <v>#DIV/0!</v>
      </c>
      <c r="EO32" s="102" t="s">
        <v>86</v>
      </c>
      <c r="EP32" s="94">
        <f>IFERROR(IF(AND($EP$2&lt;&gt;"Enter Spend&gt;&gt;&gt;",EQ20="EXISTING"),SUMIFS('Existing Customers'!$Q:$Q,'Existing Customers'!$A:$A,$EP$1,'Existing Customers'!$H:$H,$EO32)*$EP$4,$EP$3*$EN32),0)</f>
        <v>0</v>
      </c>
      <c r="EQ32" s="89">
        <f>IFERROR(IF(AND($EP$2&lt;&gt;"Enter Spend&gt;&gt;&gt;",EQ2="EXISTING"),SUMIFS('Existing Customers'!$N:$N,'Existing Customers'!$A:$A,$EP$1,'Existing Customers'!$H:$H,$EO32)*$EP$4,$EP32/$FA32),0)</f>
        <v>0</v>
      </c>
      <c r="ER32" s="95">
        <f>IFERROR(IF(AND($EP$2&lt;&gt;"Enter Spend&gt;&gt;&gt;",EQ2="EXISTING"),SUMIFS('Existing Customers'!$O:$O,'Existing Customers'!$H:$H,$EO32,'Existing Customers'!$A:$A,$EP$1)*$EP$4,$EQ32*$EP$8),0)</f>
        <v>0</v>
      </c>
      <c r="ES32" s="95">
        <f>IFERROR(IF(AND($EP$2&lt;&gt;"Enter Spend&gt;&gt;&gt;",EQ2="EXISTING"),SUMIFS('Existing Customers'!$P:$P,'Existing Customers'!$A:$A,$EP$1,'Existing Customers'!$H:$H,$EO32)*$EP$4,$EP32/$FB32),0)</f>
        <v>0</v>
      </c>
      <c r="ET32" s="96">
        <f>IFERROR(IF(AND($EP$2&lt;&gt;"Enter Spend&gt;&gt;&gt;",EQ2="EXISTING"),SUMIFS('Existing Customers'!$V:$V,'Existing Customers'!$H:$H,$EO32,'Existing Customers'!$A:$A,$EP$1)*$EP$4,0),0)</f>
        <v>0</v>
      </c>
      <c r="EU32" s="96">
        <f>IFERROR(IF(AND($EP$2&lt;&gt;"Enter Spend&gt;&gt;&gt;",EQ2="EXISTING"),SUMIFS('Existing Customers'!$R:$R,'Existing Customers'!$H:$H,$EO32,'Existing Customers'!$A:$A,$EP$1)*$EP$4,0),0)</f>
        <v>0</v>
      </c>
      <c r="EV32" s="1161">
        <f>IFERROR(IF(AND($EP$2&lt;&gt;"Enter Spend&gt;&gt;&gt;",EQ2="EXISTING"),SUMIFS('Existing Customers'!$S:$S,'Existing Customers'!$H:$H,$EO32,'Existing Customers'!$A:$A,$EP$1),FF32*EP32),0)</f>
        <v>0</v>
      </c>
      <c r="EW32" s="1161">
        <f>IFERROR(IF(AND($EP$2&lt;&gt;"Enter Spend&gt;&gt;&gt;",EQ2="EXISTING"),SUMIFS('Existing Customers'!$U:$U,'Existing Customers'!$H:$H,$EO32,'Existing Customers'!$A:$A,$EP$1),FG32*EP32),0)</f>
        <v>0</v>
      </c>
      <c r="EX32" s="1164" t="e">
        <f t="shared" si="39"/>
        <v>#N/A</v>
      </c>
      <c r="EY32" s="1164">
        <f t="array" ref="EY32">IFERROR(INDEX('Margin Guidence Table'!$A$1:$AG$10000,MATCH(1,('Margin Guidence Table'!$A$1:$A$10000=EX32)*('Margin Guidence Table'!$I$1:$I$10000&lt;=ROUND($EP$3,0))*('Margin Guidence Table'!$J$1:$J$10000&gt;=ROUND($EP$3,0)),0),MATCH("DATA_POINTS",'Margin Guidence Table'!$A$1:$AG$1,0)),0)</f>
        <v>0</v>
      </c>
      <c r="EZ32" s="1161" t="str">
        <f t="shared" si="40"/>
        <v>DEFAULT</v>
      </c>
      <c r="FA32" s="116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16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16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16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16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16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16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16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9"/>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96" t="e">
        <f t="shared" si="41"/>
        <v>#DIV/0!</v>
      </c>
      <c r="FL32" s="102" t="s">
        <v>86</v>
      </c>
      <c r="FM32" s="94">
        <f>IFERROR(IF(AND($FM$2&lt;&gt;"Enter Spend&gt;&gt;&gt;",FN20="EXISTING"),SUMIFS('Existing Customers'!$Q:$Q,'Existing Customers'!$A:$A,$FM$1,'Existing Customers'!$H:$H,$FL32)*$FM$4,$FM$3*$FK32),0)</f>
        <v>0</v>
      </c>
      <c r="FN32" s="89">
        <f>IFERROR(IF(AND($FM$2&lt;&gt;"Enter Spend&gt;&gt;&gt;",FN2="EXISTING"),SUMIFS('Existing Customers'!$N:$N,'Existing Customers'!$A:$A,$FM$1,'Existing Customers'!$H:$H,$FL32)*$FM$4,$FM32/$FX32),0)</f>
        <v>0</v>
      </c>
      <c r="FO32" s="95">
        <f>IFERROR(IF(AND($FM$2&lt;&gt;"Enter Spend&gt;&gt;&gt;",FN2="EXISTING"),SUMIFS('Existing Customers'!$O:$O,'Existing Customers'!$H:$H,$FL32,'Existing Customers'!$A:$A,$FM$1)*$FM$4,$FN32*$FM$8),0)</f>
        <v>0</v>
      </c>
      <c r="FP32" s="95">
        <f>IFERROR(IF(AND($FM$2&lt;&gt;"Enter Spend&gt;&gt;&gt;",FN2="EXISTING"),SUMIFS('Existing Customers'!$P:$P,'Existing Customers'!$A:$A,$FM$1,'Existing Customers'!$H:$H,$FL32)*$FM$4,$FM32/$FY32),0)</f>
        <v>0</v>
      </c>
      <c r="FQ32" s="96">
        <f>IFERROR(IF(AND($FM$2&lt;&gt;"Enter Spend&gt;&gt;&gt;",FN2="EXISTING"),SUMIFS('Existing Customers'!$V:$V,'Existing Customers'!$H:$H,$FL32,'Existing Customers'!$A:$A,$FM$1)*$FM$4,0),0)</f>
        <v>0</v>
      </c>
      <c r="FR32" s="96">
        <f>IFERROR(IF(AND($FM$2&lt;&gt;"Enter Spend&gt;&gt;&gt;",FN2="EXISTING"),SUMIFS('Existing Customers'!$R:$R,'Existing Customers'!$H:$H,$FL32,'Existing Customers'!$A:$A,$FM$1)*$FM$4,0),0)</f>
        <v>0</v>
      </c>
      <c r="FS32" s="1161">
        <f>IFERROR(IF(AND($FM$2&lt;&gt;"Enter Spend&gt;&gt;&gt;",FN2="EXISTING"),SUMIFS('Existing Customers'!$S:$S,'Existing Customers'!$H:$H,$FL32,'Existing Customers'!$A:$A,$FM$1),GC32*FM32),0)</f>
        <v>0</v>
      </c>
      <c r="FT32" s="1161">
        <f>IFERROR(IF(AND($FM$2&lt;&gt;"Enter Spend&gt;&gt;&gt;",FN2="EXISTING"),SUMIFS('Existing Customers'!$U:$U,'Existing Customers'!$H:$H,$FL32,'Existing Customers'!$A:$A,$FM$1),GD32*FM32),0)</f>
        <v>0</v>
      </c>
      <c r="FU32" s="1164" t="e">
        <f t="shared" si="42"/>
        <v>#N/A</v>
      </c>
      <c r="FV32" s="1164">
        <f t="array" ref="FV32">IFERROR(INDEX('Margin Guidence Table'!$A$1:$AG$10000,MATCH(1,('Margin Guidence Table'!$A$1:$A$10000=FU32)*('Margin Guidence Table'!$I$1:$I$10000&lt;=ROUND($FM$3,0))*('Margin Guidence Table'!$J$1:$J$10000&gt;=ROUND($FM$3,0)),0),MATCH("DATA_POINTS",'Margin Guidence Table'!$A$1:$AG$1,0)),0)</f>
        <v>0</v>
      </c>
      <c r="FW32" s="1161" t="str">
        <f t="shared" si="43"/>
        <v>DEFAULT</v>
      </c>
      <c r="FX32" s="116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16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16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16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16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16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16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16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9"/>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96" t="e">
        <f t="shared" si="44"/>
        <v>#DIV/0!</v>
      </c>
      <c r="GI32" s="102" t="s">
        <v>86</v>
      </c>
      <c r="GJ32" s="94">
        <f>IFERROR(IF(AND($GJ$2&lt;&gt;"Enter Spend&gt;&gt;&gt;",GK20="EXISTING"),SUMIFS('Existing Customers'!$Q:$Q,'Existing Customers'!$A:$A,$GJ$1,'Existing Customers'!$H:$H,$GI32)*$GJ$4,$GJ$3*$GH32),0)</f>
        <v>0</v>
      </c>
      <c r="GK32" s="89">
        <f>IFERROR(IF(AND($GJ$2&lt;&gt;"Enter Spend&gt;&gt;&gt;",GK2="EXISTING"),SUMIFS('Existing Customers'!$N:$N,'Existing Customers'!$A:$A,$GJ$1,'Existing Customers'!$H:$H,$GI32)*$GJ$4,$GJ32/$GU32),0)</f>
        <v>0</v>
      </c>
      <c r="GL32" s="95">
        <f>IFERROR(IF(AND($GJ$2&lt;&gt;"Enter Spend&gt;&gt;&gt;",GK2="EXISTING"),SUMIFS('Existing Customers'!$O:$O,'Existing Customers'!$H:$H,$GI32,'Existing Customers'!$A:$A,$GJ$1)*$GJ$4,$GK32*$GJ$8),0)</f>
        <v>0</v>
      </c>
      <c r="GM32" s="95">
        <f>IFERROR(IF(AND($GJ$2&lt;&gt;"Enter Spend&gt;&gt;&gt;",GK2="EXISTING"),SUMIFS('Existing Customers'!$P:$P,'Existing Customers'!$A:$A,$GJ$1,'Existing Customers'!$H:$H,$GI32)*$GJ$4,$GJ32/$GV32),0)</f>
        <v>0</v>
      </c>
      <c r="GN32" s="96">
        <f>IFERROR(IF(AND($GJ$2&lt;&gt;"Enter Spend&gt;&gt;&gt;",GK2="EXISTING"),SUMIFS('Existing Customers'!$V:$V,'Existing Customers'!$H:$H,$GI32,'Existing Customers'!$A:$A,$GJ$1)*$GJ$4,0),0)</f>
        <v>0</v>
      </c>
      <c r="GO32" s="96">
        <f>IFERROR(IF(AND($GJ$2&lt;&gt;"Enter Spend&gt;&gt;&gt;",GK2="EXISTING"),SUMIFS('Existing Customers'!$R:$R,'Existing Customers'!$H:$H,$GI32,'Existing Customers'!$A:$A,$GJ$1)*$GJ$4,0),0)</f>
        <v>0</v>
      </c>
      <c r="GP32" s="1161">
        <f>IFERROR(IF(AND($GJ$2&lt;&gt;"Enter Spend&gt;&gt;&gt;",GK2="EXISTING"),SUMIFS('Existing Customers'!$S:$S,'Existing Customers'!$H:$H,$GI32,'Existing Customers'!$A:$A,$GJ$1),GZ32*GJ32),0)</f>
        <v>0</v>
      </c>
      <c r="GQ32" s="1161">
        <f>IFERROR(IF(AND($GJ$2&lt;&gt;"Enter Spend&gt;&gt;&gt;",GK2="EXISTING"),SUMIFS('Existing Customers'!$U:$U,'Existing Customers'!$H:$H,$GI32,'Existing Customers'!$A:$A,$GJ$1),HA32*GJ32),0)</f>
        <v>0</v>
      </c>
      <c r="GR32" s="1164" t="e">
        <f t="shared" si="45"/>
        <v>#N/A</v>
      </c>
      <c r="GS32" s="1164">
        <f t="array" ref="GS32">IFERROR(INDEX('Margin Guidence Table'!$A$1:$AG$10000,MATCH(1,('Margin Guidence Table'!$A$1:$A$10000=GR32)*('Margin Guidence Table'!$I$1:$I$10000&lt;=ROUND($GJ$3,0))*('Margin Guidence Table'!$J$1:$J$10000&gt;=ROUND($GJ$3,0)),0),MATCH("DATA_POINTS",'Margin Guidence Table'!$A$1:$AG$1,0)),0)</f>
        <v>0</v>
      </c>
      <c r="GT32" s="1161" t="str">
        <f t="shared" si="46"/>
        <v>DEFAULT</v>
      </c>
      <c r="GU32" s="116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16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16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16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16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16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16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16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9"/>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96" t="e">
        <f t="shared" si="47"/>
        <v>#DIV/0!</v>
      </c>
      <c r="HF32" s="102" t="s">
        <v>86</v>
      </c>
      <c r="HG32" s="94">
        <f>IFERROR(IF(AND($HG$2&lt;&gt;"Enter Spend&gt;&gt;&gt;",HH20="EXISTING"),SUMIFS('Existing Customers'!$Q:$Q,'Existing Customers'!$A:$A,$HG$1,'Existing Customers'!$H:$H,$HF32)*$HG$4,$HG$3*$HE32),0)</f>
        <v>0</v>
      </c>
      <c r="HH32" s="89">
        <f>IFERROR(IF(AND($HG$2&lt;&gt;"Enter Spend&gt;&gt;&gt;",HH2="EXISTING"),SUMIFS('Existing Customers'!$N:$N,'Existing Customers'!$A:$A,$HG$1,'Existing Customers'!$H:$H,$HF32)*$HG$4,$HG32/$HR32),0)</f>
        <v>0</v>
      </c>
      <c r="HI32" s="95">
        <f>IFERROR(IF(AND($HG$2&lt;&gt;"Enter Spend&gt;&gt;&gt;",HH2="EXISTING"),SUMIFS('Existing Customers'!$O:$O,'Existing Customers'!$H:$H,$HF32,'Existing Customers'!$A:$A,$HG$1)*$HG$4,$HH32*$HG$8),0)</f>
        <v>0</v>
      </c>
      <c r="HJ32" s="95">
        <f>IFERROR(IF(AND($HG$2&lt;&gt;"Enter Spend&gt;&gt;&gt;",HH2="EXISTING"),SUMIFS('Existing Customers'!$P:$P,'Existing Customers'!$A:$A,$HG$1,'Existing Customers'!$H:$H,$HF32)*$HG$4,$HG32/$HS32),0)</f>
        <v>0</v>
      </c>
      <c r="HK32" s="96">
        <f>IFERROR(IF(AND($HG$2&lt;&gt;"Enter Spend&gt;&gt;&gt;",HH2="EXISTING"),SUMIFS('Existing Customers'!$V:$V,'Existing Customers'!$H:$H,$HF32,'Existing Customers'!$A:$A,$HG$1)*$HG$4,0),0)</f>
        <v>0</v>
      </c>
      <c r="HL32" s="96">
        <f>IFERROR(IF(AND($HG$2&lt;&gt;"Enter Spend&gt;&gt;&gt;",HH2="EXISTING"),SUMIFS('Existing Customers'!$R:$R,'Existing Customers'!$H:$H,$HF32,'Existing Customers'!$A:$A,$HG$1)*$HG$4,0),0)</f>
        <v>0</v>
      </c>
      <c r="HM32" s="1161">
        <f>IFERROR(IF(AND($HG$2&lt;&gt;"Enter Spend&gt;&gt;&gt;",HH2="EXISTING"),SUMIFS('Existing Customers'!$S:$S,'Existing Customers'!$H:$H,$HF32,'Existing Customers'!$A:$A,$HG$1),HW32*HG32),0)</f>
        <v>0</v>
      </c>
      <c r="HN32" s="1161">
        <f>IFERROR(IF(AND($HG$2&lt;&gt;"Enter Spend&gt;&gt;&gt;",HH2="EXISTING"),SUMIFS('Existing Customers'!$U:$U,'Existing Customers'!$H:$H,$HF32,'Existing Customers'!$A:$A,$HG$1),HX32*HG32),0)</f>
        <v>0</v>
      </c>
      <c r="HO32" s="1164" t="e">
        <f t="shared" si="48"/>
        <v>#N/A</v>
      </c>
      <c r="HP32" s="1164">
        <f t="array" ref="HP32">IFERROR(INDEX('Margin Guidence Table'!$A$1:$AG$10000,MATCH(1,('Margin Guidence Table'!$A$1:$A$10000=HO32)*('Margin Guidence Table'!$I$1:$I$10000&lt;=ROUND($HG$3,0))*('Margin Guidence Table'!$J$1:$J$10000&gt;=ROUND($HG$3,0)),0),MATCH("DATA_POINTS",'Margin Guidence Table'!$A$1:$AG$1,0)),0)</f>
        <v>0</v>
      </c>
      <c r="HQ32" s="1161" t="str">
        <f t="shared" si="49"/>
        <v>DEFAULT</v>
      </c>
      <c r="HR32" s="116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16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16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16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16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16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16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16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9"/>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96" t="e">
        <f t="shared" si="50"/>
        <v>#DIV/0!</v>
      </c>
      <c r="IC32" s="102" t="s">
        <v>86</v>
      </c>
      <c r="ID32" s="94">
        <f>IFERROR(IF(AND($ID$2&lt;&gt;"Enter Spend&gt;&gt;&gt;",IE20="EXISTING"),SUMIFS('Existing Customers'!$Q:$Q,'Existing Customers'!$A:$A,$ID$1,'Existing Customers'!$H:$H,$IC32)*$ID$4,$ID$3*$IB32),0)</f>
        <v>0</v>
      </c>
      <c r="IE32" s="89">
        <f>IFERROR(IF(AND($ID$2&lt;&gt;"Enter Spend&gt;&gt;&gt;",IE2="EXISTING"),SUMIFS('Existing Customers'!$N:$N,'Existing Customers'!$A:$A,$ID$1,'Existing Customers'!$H:$H,$IC32)*$ID$4,$ID32/$IO32),0)</f>
        <v>0</v>
      </c>
      <c r="IF32" s="95">
        <f>IFERROR(IF(AND($ID$2&lt;&gt;"Enter Spend&gt;&gt;&gt;",IE2="EXISTING"),SUMIFS('Existing Customers'!$O:$O,'Existing Customers'!$H:$H,$IC32,'Existing Customers'!$A:$A,$ID$1)*$ID$4,$IE32*$ID$8),0)</f>
        <v>0</v>
      </c>
      <c r="IG32" s="95">
        <f>IFERROR(IF(AND($ID$2&lt;&gt;"Enter Spend&gt;&gt;&gt;",IE2="EXISTING"),SUMIFS('Existing Customers'!$P:$P,'Existing Customers'!$A:$A,$ID$1,'Existing Customers'!$H:$H,$IC32)*$ID$4,$ID32/$IP32),0)</f>
        <v>0</v>
      </c>
      <c r="IH32" s="402">
        <f>IFERROR(IF(AND($ID$2&lt;&gt;"Enter Spend&gt;&gt;&gt;",IE2="EXISTING"),SUMIFS('Existing Customers'!$V:$V,'Existing Customers'!$H:$H,$IC32,'Existing Customers'!$A:$A,$ID$1)*$ID$4,0),0)</f>
        <v>0</v>
      </c>
      <c r="II32" s="96">
        <f>IFERROR(IF(AND($ID$2&lt;&gt;"Enter Spend&gt;&gt;&gt;",IE2="EXISTING"),SUMIFS('Existing Customers'!$R:$R,'Existing Customers'!$H:$H,$IC32,'Existing Customers'!$A:$A,$ID$1)*$ID$4,0),0)</f>
        <v>0</v>
      </c>
      <c r="IJ32" s="1161">
        <f>IFERROR(IF(AND($ID$2&lt;&gt;"Enter Spend&gt;&gt;&gt;",IE2="EXISTING"),SUMIFS('Existing Customers'!$S:$S,'Existing Customers'!$H:$H,$IC32,'Existing Customers'!$A:$A,$ID$1),IT32*ID32),0)</f>
        <v>0</v>
      </c>
      <c r="IK32" s="1161">
        <f>IFERROR(IF(AND($ID$2&lt;&gt;"Enter Spend&gt;&gt;&gt;",IE2="EXISTING"),SUMIFS('Existing Customers'!$U:$U,'Existing Customers'!$H:$H,$IC32,'Existing Customers'!$A:$A,$ID$1),IU32*ID32),0)</f>
        <v>0</v>
      </c>
      <c r="IL32" s="1164" t="e">
        <f t="shared" si="51"/>
        <v>#N/A</v>
      </c>
      <c r="IM32" s="1164">
        <f t="array" ref="IM32">IFERROR(INDEX('Margin Guidence Table'!$A$1:$AG$10000,MATCH(1,('Margin Guidence Table'!$A$1:$A$10000=IL32)*('Margin Guidence Table'!$I$1:$I$10000&lt;=ROUND($ID$3,0))*('Margin Guidence Table'!$J$1:$J$10000&gt;=ROUND($ID$3,0)),0),MATCH("DATA_POINTS",'Margin Guidence Table'!$A$1:$AG$1,0)),0)</f>
        <v>0</v>
      </c>
      <c r="IN32" s="1161" t="str">
        <f t="shared" si="52"/>
        <v>DEFAULT</v>
      </c>
      <c r="IO32" s="116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16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16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16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16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16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16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16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9"/>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96" t="e">
        <f t="shared" si="53"/>
        <v>#DIV/0!</v>
      </c>
      <c r="IZ32" s="102" t="s">
        <v>86</v>
      </c>
      <c r="JA32" s="94">
        <f>IFERROR(IF(AND($JA$2&lt;&gt;"Enter Spend&gt;&gt;&gt;",JB20="EXISTING"),SUMIFS('Existing Customers'!$Q:$Q,'Existing Customers'!$A:$A,$JA$1,'Existing Customers'!$H:$H,$IZ32)*$JA$4,$JA$3*$IY32),0)</f>
        <v>0</v>
      </c>
      <c r="JB32" s="89">
        <f>IFERROR(IF(AND($JA$2&lt;&gt;"Enter Spend&gt;&gt;&gt;",JB2="EXISTING"),SUMIFS('Existing Customers'!$N:$N,'Existing Customers'!$A:$A,$JA$1,'Existing Customers'!$H:$H,$IZ32)*$JA$4,$JA32/$JL32),0)</f>
        <v>0</v>
      </c>
      <c r="JC32" s="95">
        <f>IFERROR(IF(AND($JA$2&lt;&gt;"Enter Spend&gt;&gt;&gt;",JB2="EXISTING"),SUMIFS('Existing Customers'!$O:$O,'Existing Customers'!$H:$H,$IZ32,'Existing Customers'!$A:$A,$JA$1)*$JA$4,$JB32*$JA$8),0)</f>
        <v>0</v>
      </c>
      <c r="JD32" s="95">
        <f>IFERROR(IF(AND($JA$2&lt;&gt;"Enter Spend&gt;&gt;&gt;",JB2="EXISTING"),SUMIFS('Existing Customers'!$P:$P,'Existing Customers'!$A:$A,$JA$1,'Existing Customers'!$H:$H,$IZ32)*$JA$4,$JA32/$JM32),0)</f>
        <v>0</v>
      </c>
      <c r="JE32" s="402">
        <f>IFERROR(IF(AND($JA$2&lt;&gt;"Enter Spend&gt;&gt;&gt;",JB2="EXISTING"),SUMIFS('Existing Customers'!$V:$V,'Existing Customers'!$H:$H,$IZ32,'Existing Customers'!$A:$A,$JA$1)*$JA$4,0),0)</f>
        <v>0</v>
      </c>
      <c r="JF32" s="96">
        <f>IFERROR(IF(AND($JA$2&lt;&gt;"Enter Spend&gt;&gt;&gt;",JB2="EXISTING"),SUMIFS('Existing Customers'!$R:$R,'Existing Customers'!$H:$H,$IZ32,'Existing Customers'!$A:$A,$JA$1)*$JA$4,0),0)</f>
        <v>0</v>
      </c>
      <c r="JG32" s="1161">
        <f>IFERROR(IF(AND($JA$2&lt;&gt;"Enter Spend&gt;&gt;&gt;",JB2="EXISTING"),SUMIFS('Existing Customers'!$S:$S,'Existing Customers'!$H:$H,$IZ32,'Existing Customers'!$A:$A,$JA$1),JQ32*JA32),0)</f>
        <v>0</v>
      </c>
      <c r="JH32" s="1161">
        <f>IFERROR(IF(AND($JA$2&lt;&gt;"Enter Spend&gt;&gt;&gt;",JB2="EXISTING"),SUMIFS('Existing Customers'!$U:$U,'Existing Customers'!$H:$H,$IZ32,'Existing Customers'!$A:$A,$JA$1),JR32*JA32),0)</f>
        <v>0</v>
      </c>
      <c r="JI32" s="1164" t="e">
        <f t="shared" si="54"/>
        <v>#N/A</v>
      </c>
      <c r="JJ32" s="1164">
        <f t="array" ref="JJ32">IFERROR(INDEX('Margin Guidence Table'!$A$1:$AG$10000,MATCH(1,('Margin Guidence Table'!$A$1:$A$10000=JI32)*('Margin Guidence Table'!$I$1:$I$10000&lt;=ROUND($JA$3,0))*('Margin Guidence Table'!$J$1:$J$10000&gt;=ROUND($JA$3,0)),0),MATCH("DATA_POINTS",'Margin Guidence Table'!$A$1:$AG$1,0)),0)</f>
        <v>0</v>
      </c>
      <c r="JK32" s="1161" t="str">
        <f t="shared" si="55"/>
        <v>DEFAULT</v>
      </c>
      <c r="JL32" s="116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16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16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16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16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16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16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16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2" t="s">
        <v>86</v>
      </c>
      <c r="JV32" s="97"/>
      <c r="JW32" s="89"/>
      <c r="JX32" s="89"/>
      <c r="JY32" s="89"/>
      <c r="JZ32" s="114"/>
      <c r="KA32" s="98"/>
      <c r="KB32" s="129"/>
      <c r="KD32" s="102" t="s">
        <v>86</v>
      </c>
      <c r="KE32" s="97"/>
      <c r="KF32" s="89"/>
      <c r="KG32" s="89"/>
      <c r="KH32" s="89"/>
      <c r="KI32" s="114"/>
      <c r="KJ32" s="98"/>
    </row>
    <row r="33" spans="2:296" ht="15.75" thickBot="1" x14ac:dyDescent="0.3">
      <c r="B33" s="102" t="s">
        <v>88</v>
      </c>
      <c r="C33" s="480">
        <f t="shared" si="11"/>
        <v>0</v>
      </c>
      <c r="D33" s="496">
        <f t="shared" si="12"/>
        <v>0</v>
      </c>
      <c r="E33" s="496">
        <f t="shared" si="13"/>
        <v>0</v>
      </c>
      <c r="F33" s="496">
        <f t="shared" si="14"/>
        <v>0</v>
      </c>
      <c r="G33" s="497">
        <f t="shared" si="15"/>
        <v>0</v>
      </c>
      <c r="H33" s="496">
        <f t="shared" si="16"/>
        <v>0</v>
      </c>
      <c r="I33" s="1157" t="e">
        <f t="shared" si="0"/>
        <v>#DIV/0!</v>
      </c>
      <c r="J33" s="1157" t="e">
        <f t="shared" si="1"/>
        <v>#DIV/0!</v>
      </c>
      <c r="K33" s="1157" t="e">
        <f t="shared" si="2"/>
        <v>#DIV/0!</v>
      </c>
      <c r="L33" s="496" t="e">
        <f t="shared" si="3"/>
        <v>#DIV/0!</v>
      </c>
      <c r="M33" s="496" t="e">
        <f t="shared" si="17"/>
        <v>#DIV/0!</v>
      </c>
      <c r="N33" s="1158" t="e">
        <f t="shared" si="4"/>
        <v>#DIV/0!</v>
      </c>
      <c r="P33" t="str">
        <f>'PIM Model'!E29</f>
        <v>INCLUDE</v>
      </c>
      <c r="Q33">
        <f t="shared" si="18"/>
        <v>0</v>
      </c>
      <c r="R33">
        <f t="shared" si="19"/>
        <v>0</v>
      </c>
      <c r="S33" s="102" t="s">
        <v>88</v>
      </c>
      <c r="T33" s="97">
        <f t="shared" si="20"/>
        <v>0</v>
      </c>
      <c r="U33" s="89">
        <f t="shared" si="5"/>
        <v>0</v>
      </c>
      <c r="V33" s="89">
        <f t="shared" si="6"/>
        <v>0</v>
      </c>
      <c r="W33" s="89">
        <f t="shared" si="7"/>
        <v>0</v>
      </c>
      <c r="X33" s="114">
        <f t="shared" si="8"/>
        <v>0</v>
      </c>
      <c r="Y33" s="117">
        <f t="shared" si="21"/>
        <v>0</v>
      </c>
      <c r="Z33" s="400"/>
      <c r="AA33" s="102" t="s">
        <v>88</v>
      </c>
      <c r="AB33" s="484">
        <f t="shared" si="9"/>
        <v>0</v>
      </c>
      <c r="AC33" s="485">
        <f t="shared" si="9"/>
        <v>0</v>
      </c>
      <c r="AD33" s="485">
        <f t="shared" si="9"/>
        <v>0</v>
      </c>
      <c r="AE33" s="486">
        <f t="shared" si="22"/>
        <v>0</v>
      </c>
      <c r="AF33" s="487">
        <f t="shared" si="23"/>
        <v>0</v>
      </c>
      <c r="AG33" s="400"/>
      <c r="AH33" s="102" t="s">
        <v>88</v>
      </c>
      <c r="AI33" s="484">
        <f t="shared" si="10"/>
        <v>0</v>
      </c>
      <c r="AJ33" s="481">
        <f t="shared" si="24"/>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400" t="e">
        <f t="shared" si="25"/>
        <v>#DIV/0!</v>
      </c>
      <c r="AR33">
        <f>'PIM Model'!C29</f>
        <v>0</v>
      </c>
      <c r="AS33" s="400"/>
      <c r="AT33" s="400"/>
      <c r="AU33" s="400" t="e">
        <f t="shared" si="56"/>
        <v>#DIV/0!</v>
      </c>
      <c r="AV33" s="400"/>
      <c r="AW33" s="400"/>
      <c r="AX33" s="108">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96" t="e">
        <f t="shared" si="26"/>
        <v>#DIV/0!</v>
      </c>
      <c r="BA33" s="102" t="s">
        <v>88</v>
      </c>
      <c r="BB33" s="94">
        <f>IFERROR(IF(AND($BB$2&lt;&gt;"Enter Spend&gt;&gt;&gt;",BC21="EXISTING"),SUMIFS('Existing Customers'!$Q:$Q,'Existing Customers'!$A:$A,$BB$1,'Existing Customers'!$H:$H,$BA33)*$BB$4,$BB$3*$AZ33),0)</f>
        <v>0</v>
      </c>
      <c r="BC33" s="95">
        <f>IFERROR(IF(AND($BB$2&lt;&gt;"Enter Spend&gt;&gt;&gt;",BC2="EXISTING"),SUMIFS('Existing Customers'!$N:$N,'Existing Customers'!$A:$A,$BB$1,'Existing Customers'!$H:$H,$BA33)*$BB$4,$BB33/$BM33),0)</f>
        <v>0</v>
      </c>
      <c r="BD33" s="95">
        <f>IFERROR(IF(AND($BB$2&lt;&gt;"Enter Spend&gt;&gt;&gt;",BC2="EXISTING"),SUMIFS('Existing Customers'!$O:$O,'Existing Customers'!$H:$H,$BA33,'Existing Customers'!$A:$A,$BB$1)*$BB$4,$BC33*$BB$8),0)</f>
        <v>0</v>
      </c>
      <c r="BE33" s="95">
        <f>IFERROR(IF(AND($BB$2&lt;&gt;"Enter Spend&gt;&gt;&gt;",BC2="EXISTING"),SUMIFS('Existing Customers'!$P:$P,'Existing Customers'!$A:$A,$BB$1,'Existing Customers'!$H:$H,$BA33)*$BB$4,$BB33/$BN33),0)</f>
        <v>0</v>
      </c>
      <c r="BF33" s="402">
        <f>IFERROR(IF(AND($BB$2&lt;&gt;"Enter Spend&gt;&gt;&gt;",BC2="EXISTING"),SUMIFS('Existing Customers'!$V:$V,'Existing Customers'!$H:$H,$BA33,'Existing Customers'!$A:$A,$BB$1)*$BB$4,0),0)</f>
        <v>0</v>
      </c>
      <c r="BG33" s="96">
        <f>IFERROR(IF(AND($BB$2&lt;&gt;"Enter Spend&gt;&gt;&gt;",BC2="EXISTING"),SUMIFS('Existing Customers'!$R:$R,'Existing Customers'!$H:$H,$BA33,'Existing Customers'!$A:$A,$BB$1)*$BB$4,0),0)</f>
        <v>0</v>
      </c>
      <c r="BH33" s="96">
        <f>IFERROR(IF(AND($BB$2&lt;&gt;"Enter Spend&gt;&gt;&gt;",BC2="EXISTING"),SUMIFS('Existing Customers'!$S:$S,'Existing Customers'!$H:$H,$BA33,'Existing Customers'!$A:$A,$BB$1),BR33*BB33),0)</f>
        <v>0</v>
      </c>
      <c r="BI33" s="96">
        <f>IFERROR(IF(AND($BB$2&lt;&gt;"Enter Spend&gt;&gt;&gt;",BC2="EXISTING"),SUMIFS('Existing Customers'!$U:$U,'Existing Customers'!$H:$H,$BA33,'Existing Customers'!$A:$A,$BB$1),BS33*BB33),0)</f>
        <v>0</v>
      </c>
      <c r="BJ33" s="1163" t="e">
        <f t="shared" si="27"/>
        <v>#N/A</v>
      </c>
      <c r="BK33" s="1164">
        <f t="array" ref="BK33">IFERROR(INDEX('Margin Guidence Table'!$A$1:$AG$10000,MATCH(1,('Margin Guidence Table'!$A$1:$A$10000=$BJ33)*('Margin Guidence Table'!$I$1:$I$10000&lt;=ROUND($BB$3,0))*('Margin Guidence Table'!$J$1:$J$10000&gt;=ROUND($BB$3,0)),0),MATCH("DATA_POINTS",'Margin Guidence Table'!$A$1:$AG$1,0)),0)</f>
        <v>0</v>
      </c>
      <c r="BL33" s="1161" t="str">
        <f t="shared" si="28"/>
        <v>DEFAULT</v>
      </c>
      <c r="BM33" s="116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16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16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16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16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16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16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16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9"/>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96" t="e">
        <f t="shared" si="29"/>
        <v>#DIV/0!</v>
      </c>
      <c r="BX33" s="102" t="s">
        <v>88</v>
      </c>
      <c r="BY33" s="94">
        <f>IFERROR(IF(AND($BY$2&lt;&gt;"Enter Spend&gt;&gt;&gt;",BZ21="EXISTING"),SUMIFS('Existing Customers'!$Q:$Q,'Existing Customers'!$A:$A,$BY$1,'Existing Customers'!$H:$H,$BX33)*$BY$4,$BY$3*$BW33),0)</f>
        <v>0</v>
      </c>
      <c r="BZ33" s="89">
        <f>IFERROR(IF(AND($BY$2&lt;&gt;"Enter Spend&gt;&gt;&gt;",BZ2="EXISTING"),SUMIFS('Existing Customers'!$N:$N,'Existing Customers'!$A:$A,$BY$1,'Existing Customers'!$H:$H,$BX33)*$BY$4,$BY33/$CJ33),0)</f>
        <v>0</v>
      </c>
      <c r="CA33" s="95">
        <f>IFERROR(IF(AND($BY$2&lt;&gt;"Enter Spend&gt;&gt;&gt;",BZ2="EXISTING"),SUMIFS('Existing Customers'!$O:$O,'Existing Customers'!$H:$H,$BX33,'Existing Customers'!$A:$A,$BY$1)*$BY$4,$BZ33*$BY$8),0)</f>
        <v>0</v>
      </c>
      <c r="CB33" s="95">
        <f>IFERROR(IF(AND($BY$2&lt;&gt;"Enter Spend&gt;&gt;&gt;",BZ2="EXISTING"),SUMIFS('Existing Customers'!$P:$P,'Existing Customers'!$A:$A,$BY$1,'Existing Customers'!$H:$H,$BX33)*$BY$4,$BY33/$CK33),0)</f>
        <v>0</v>
      </c>
      <c r="CC33" s="96">
        <f>IFERROR(IF(AND($BY$2&lt;&gt;"Enter Spend&gt;&gt;&gt;",BZ2="EXISTING"),SUMIFS('Existing Customers'!$V:$V,'Existing Customers'!$H:$H,$BX33,'Existing Customers'!$A:$A,$BY$1)*$BY$4,0),0)</f>
        <v>0</v>
      </c>
      <c r="CD33" s="96">
        <f>IFERROR(IF(AND($BY$2&lt;&gt;"Enter Spend&gt;&gt;&gt;",BZ2="EXISTING"),SUMIFS('Existing Customers'!$R:$R,'Existing Customers'!$H:$H,$BX33,'Existing Customers'!$A:$A,$BY$1)*$BY$4,0),0)</f>
        <v>0</v>
      </c>
      <c r="CE33" s="1161">
        <f>IFERROR(IF(AND($BY$2&lt;&gt;"Enter Spend&gt;&gt;&gt;",BZ2="EXISTING"),SUMIFS('Existing Customers'!$S:$S,'Existing Customers'!$H:$H,$BX33,'Existing Customers'!$A:$A,$BY$1),CO33*BY33),0)</f>
        <v>0</v>
      </c>
      <c r="CF33" s="1161">
        <f>IFERROR(IF(AND($BY$2&lt;&gt;"Enter Spend&gt;&gt;&gt;",BZ2="EXISTING"),SUMIFS('Existing Customers'!$U:$U,'Existing Customers'!$H:$H,$BX33,'Existing Customers'!$A:$A,$BY$1),CP33*BY33),0)</f>
        <v>0</v>
      </c>
      <c r="CG33" s="1164" t="e">
        <f t="shared" si="30"/>
        <v>#N/A</v>
      </c>
      <c r="CH33" s="1164">
        <f t="array" ref="CH33">IFERROR(INDEX('Margin Guidence Table'!$A$1:$AG$10000,MATCH(1,('Margin Guidence Table'!$A$1:$A$10000=$CG33)*('Margin Guidence Table'!$I$1:$I$10000&lt;=ROUND($BY$3,0))*('Margin Guidence Table'!$J$1:$J$10000&gt;=ROUND($BY$3,0)),0),MATCH("DATA_POINTS",'Margin Guidence Table'!$A$1:$AG$1,0)),0)</f>
        <v>0</v>
      </c>
      <c r="CI33" s="1161" t="str">
        <f t="shared" si="31"/>
        <v>DEFAULT</v>
      </c>
      <c r="CJ33" s="116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16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16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16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16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16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16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16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9"/>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96" t="e">
        <f t="shared" si="32"/>
        <v>#DIV/0!</v>
      </c>
      <c r="CU33" s="102" t="s">
        <v>88</v>
      </c>
      <c r="CV33" s="94">
        <f>IFERROR(IF(AND($CV$2&lt;&gt;"Enter Spend&gt;&gt;&gt;",CW21="EXISTING"),SUMIFS('Existing Customers'!$Q:$Q,'Existing Customers'!$A:$A,$CV$1,'Existing Customers'!$H:$H,$CU33)*$CV$4,$CV$3*$CT33),0)</f>
        <v>0</v>
      </c>
      <c r="CW33" s="89">
        <f>IFERROR(IF(AND($CV$2&lt;&gt;"Enter Spend&gt;&gt;&gt;",CW2="EXISTING"),SUMIFS('Existing Customers'!$N:$N,'Existing Customers'!$A:$A,$CV$1,'Existing Customers'!$H:$H,$CU33)*$CV$4,$CV33/$DG33),0)</f>
        <v>0</v>
      </c>
      <c r="CX33" s="95">
        <f>IFERROR(IF(AND($CV$2&lt;&gt;"Enter Spend&gt;&gt;&gt;",BC28="EXISTING"),SUMIFS('Existing Customers'!$O:$O,'Existing Customers'!$H:$H,$CU33,'Existing Customers'!$A:$A,$CV$1)*$CV$4,$CW33*$CV$8),0)</f>
        <v>0</v>
      </c>
      <c r="CY33" s="95">
        <f>IFERROR(IF(AND($CV$2&lt;&gt;"Enter Spend&gt;&gt;&gt;",CW2="EXISTING"),SUMIFS('Existing Customers'!$P:$P,'Existing Customers'!$A:$A,$CV$1,'Existing Customers'!$H:$H,$CU33)*$CV$4,$CV33/$DH33),0)</f>
        <v>0</v>
      </c>
      <c r="CZ33" s="96">
        <f>IFERROR(IF(AND($CV$2&lt;&gt;"Enter Spend&gt;&gt;&gt;",CW2="EXISTING"),SUMIFS('Existing Customers'!$V:$V,'Existing Customers'!$H:$H,$CU33,'Existing Customers'!$A:$A,$CV$1)*$CV$4,0),0)</f>
        <v>0</v>
      </c>
      <c r="DA33" s="96">
        <f>IFERROR(IF(AND($CV$2&lt;&gt;"Enter Spend&gt;&gt;&gt;",CW2="EXISTING"),SUMIFS('Existing Customers'!$R:$R,'Existing Customers'!$H:$H,$BA33,'Existing Customers'!$A:$A,$CV$1)*$CV$4,0),0)</f>
        <v>0</v>
      </c>
      <c r="DB33" s="1161">
        <f>IFERROR(IF(AND($CV$2&lt;&gt;"Enter Spend&gt;&gt;&gt;",CW2="EXISTING"),SUMIFS('Existing Customers'!$S:$S,'Existing Customers'!$H:$H,$CU33,'Existing Customers'!$A:$A,$CV$1),DL33*CV33),0)</f>
        <v>0</v>
      </c>
      <c r="DC33" s="1161">
        <f>IFERROR(IF(AND($CV$2&lt;&gt;"Enter Spend&gt;&gt;&gt;",CW2="EXISTING"),SUMIFS('Existing Customers'!$U:$U,'Existing Customers'!$H:$H,$CU33,'Existing Customers'!$A:$A,$CV$1),DM33*CV33),0)</f>
        <v>0</v>
      </c>
      <c r="DD33" s="1164" t="e">
        <f t="shared" si="33"/>
        <v>#N/A</v>
      </c>
      <c r="DE33" s="1164">
        <f t="array" ref="DE33">IFERROR(INDEX('Margin Guidence Table'!$A$1:$AG$10000,MATCH(1,('Margin Guidence Table'!$A$1:$A$10000=DD33)*('Margin Guidence Table'!$I$1:$I$10000&lt;=ROUND($CV$3,0))*('Margin Guidence Table'!$J$1:$J$10000&gt;=ROUND($CV$3,0)),0),MATCH("DATA_POINTS",'Margin Guidence Table'!$A$1:$AG$1,0)),0)</f>
        <v>0</v>
      </c>
      <c r="DF33" s="1161" t="str">
        <f t="shared" si="34"/>
        <v>DEFAULT</v>
      </c>
      <c r="DG33" s="116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16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16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16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16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16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16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16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9"/>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96" t="e">
        <f t="shared" si="35"/>
        <v>#DIV/0!</v>
      </c>
      <c r="DR33" s="102" t="s">
        <v>88</v>
      </c>
      <c r="DS33" s="94">
        <f>IFERROR(IF(AND($DS$2&lt;&gt;"Enter Spend&gt;&gt;&gt;",DT21="EXISTING"),SUMIFS('Existing Customers'!$Q:$Q,'Existing Customers'!$A:$A,$DS$1,'Existing Customers'!$H:$H,$DR33)*$DS$4,$DS$3*$DQ33),0)</f>
        <v>0</v>
      </c>
      <c r="DT33" s="89">
        <f>IFERROR(IF(AND($DS$2&lt;&gt;"Enter Spend&gt;&gt;&gt;",DT2="EXISTING"),SUMIFS('Existing Customers'!$N:$N,'Existing Customers'!$A:$A,$DS$1,'Existing Customers'!$H:$H,$DR33)*$DS$4,$DS33/$ED33),0)</f>
        <v>0</v>
      </c>
      <c r="DU33" s="95">
        <f>IFERROR(IF(AND($DS$2&lt;&gt;"Enter Spend&gt;&gt;&gt;",DT2="EXISTING"),SUMIFS('Existing Customers'!$O:$O,'Existing Customers'!$H:$H,$DR33,'Existing Customers'!$A:$A,$DS$1)*$DS$4,$DT33*$DS$8),0)</f>
        <v>0</v>
      </c>
      <c r="DV33" s="95">
        <f>IFERROR(IF(AND($DS$2&lt;&gt;"Enter Spend&gt;&gt;&gt;",DT2="EXISTING"),SUMIFS('Existing Customers'!$P:$P,'Existing Customers'!$A:$A,$DS$1,'Existing Customers'!$H:$H,$DR33)*$DS$4,$DS33/$EE33),0)</f>
        <v>0</v>
      </c>
      <c r="DW33" s="96">
        <f>IFERROR(IF(AND($DS$2&lt;&gt;"Enter Spend&gt;&gt;&gt;",EQ2="EXISTING"),SUMIFS('Existing Customers'!$V:$V,'Existing Customers'!$H:$H,$DR33,'Existing Customers'!$A:$A,$DS$1)*$DS$4,0),0)</f>
        <v>0</v>
      </c>
      <c r="DX33" s="96">
        <f>IFERROR(IF(AND($DS$2&lt;&gt;"Enter Spend&gt;&gt;&gt;",DT2="EXISTING"),SUMIFS('Existing Customers'!$R:$R,'Existing Customers'!$H:$H,$DR33,'Existing Customers'!$A:$A,$DS$1)*$DS$4,0),0)</f>
        <v>0</v>
      </c>
      <c r="DY33" s="1161">
        <f>IFERROR(IF(AND($DS$2&lt;&gt;"Enter Spend&gt;&gt;&gt;",DT2="EXISTING"),SUMIFS('Existing Customers'!$S:$S,'Existing Customers'!$H:$H,$DT33,'Existing Customers'!$A:$A,$DS$1),EI33*DS33),0)</f>
        <v>0</v>
      </c>
      <c r="DZ33" s="1161">
        <f>IFERROR(IF(AND($DS$2&lt;&gt;"Enter Spend&gt;&gt;&gt;",DT2="EXISTING"),SUMIFS('Existing Customers'!$U:$U,'Existing Customers'!$H:$H,$DR33,'Existing Customers'!$A:$A,$DS$1),EJ33*DS33),0)</f>
        <v>0</v>
      </c>
      <c r="EA33" s="1164" t="e">
        <f t="shared" si="36"/>
        <v>#N/A</v>
      </c>
      <c r="EB33" s="1164">
        <f t="array" ref="EB33">IFERROR(INDEX('Margin Guidence Table'!$A$1:$AG$10000,MATCH(1,('Margin Guidence Table'!$A$1:$A$10000=EA33)*('Margin Guidence Table'!$I$1:$I$10000&lt;=ROUND($DS$3,0))*('Margin Guidence Table'!$J$1:$J$10000&gt;=ROUND($DS$3,0)),0),MATCH("DATA_POINTS",'Margin Guidence Table'!$A$1:$AG$1,0)),0)</f>
        <v>0</v>
      </c>
      <c r="EC33" s="1161" t="str">
        <f t="shared" si="37"/>
        <v>DEFAULT</v>
      </c>
      <c r="ED33" s="116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16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16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16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16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16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16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16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9"/>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96" t="e">
        <f t="shared" si="38"/>
        <v>#DIV/0!</v>
      </c>
      <c r="EO33" s="102" t="s">
        <v>88</v>
      </c>
      <c r="EP33" s="94">
        <f>IFERROR(IF(AND($EP$2&lt;&gt;"Enter Spend&gt;&gt;&gt;",EQ21="EXISTING"),SUMIFS('Existing Customers'!$Q:$Q,'Existing Customers'!$A:$A,$EP$1,'Existing Customers'!$H:$H,$EO33)*$EP$4,$EP$3*$EN33),0)</f>
        <v>0</v>
      </c>
      <c r="EQ33" s="89">
        <f>IFERROR(IF(AND($EP$2&lt;&gt;"Enter Spend&gt;&gt;&gt;",EQ2="EXISTING"),SUMIFS('Existing Customers'!$N:$N,'Existing Customers'!$A:$A,$EP$1,'Existing Customers'!$H:$H,$EO33)*$EP$4,$EP33/$FA33),0)</f>
        <v>0</v>
      </c>
      <c r="ER33" s="95">
        <f>IFERROR(IF(AND($EP$2&lt;&gt;"Enter Spend&gt;&gt;&gt;",EQ2="EXISTING"),SUMIFS('Existing Customers'!$O:$O,'Existing Customers'!$H:$H,$EO33,'Existing Customers'!$A:$A,$EP$1)*$EP$4,$EQ33*$EP$8),0)</f>
        <v>0</v>
      </c>
      <c r="ES33" s="95">
        <f>IFERROR(IF(AND($EP$2&lt;&gt;"Enter Spend&gt;&gt;&gt;",EQ2="EXISTING"),SUMIFS('Existing Customers'!$P:$P,'Existing Customers'!$A:$A,$EP$1,'Existing Customers'!$H:$H,$EO33)*$EP$4,$EP33/$FB33),0)</f>
        <v>0</v>
      </c>
      <c r="ET33" s="96">
        <f>IFERROR(IF(AND($EP$2&lt;&gt;"Enter Spend&gt;&gt;&gt;",EQ2="EXISTING"),SUMIFS('Existing Customers'!$V:$V,'Existing Customers'!$H:$H,$EO33,'Existing Customers'!$A:$A,$EP$1)*$EP$4,0),0)</f>
        <v>0</v>
      </c>
      <c r="EU33" s="96">
        <f>IFERROR(IF(AND($EP$2&lt;&gt;"Enter Spend&gt;&gt;&gt;",EQ2="EXISTING"),SUMIFS('Existing Customers'!$R:$R,'Existing Customers'!$H:$H,$EO33,'Existing Customers'!$A:$A,$EP$1)*$EP$4,0),0)</f>
        <v>0</v>
      </c>
      <c r="EV33" s="1161">
        <f>IFERROR(IF(AND($EP$2&lt;&gt;"Enter Spend&gt;&gt;&gt;",EQ2="EXISTING"),SUMIFS('Existing Customers'!$S:$S,'Existing Customers'!$H:$H,$EO33,'Existing Customers'!$A:$A,$EP$1),FF33*EP33),0)</f>
        <v>0</v>
      </c>
      <c r="EW33" s="1161">
        <f>IFERROR(IF(AND($EP$2&lt;&gt;"Enter Spend&gt;&gt;&gt;",EQ2="EXISTING"),SUMIFS('Existing Customers'!$U:$U,'Existing Customers'!$H:$H,$EO33,'Existing Customers'!$A:$A,$EP$1),FG33*EP33),0)</f>
        <v>0</v>
      </c>
      <c r="EX33" s="1164" t="e">
        <f t="shared" si="39"/>
        <v>#N/A</v>
      </c>
      <c r="EY33" s="1164">
        <f t="array" ref="EY33">IFERROR(INDEX('Margin Guidence Table'!$A$1:$AG$10000,MATCH(1,('Margin Guidence Table'!$A$1:$A$10000=EX33)*('Margin Guidence Table'!$I$1:$I$10000&lt;=ROUND($EP$3,0))*('Margin Guidence Table'!$J$1:$J$10000&gt;=ROUND($EP$3,0)),0),MATCH("DATA_POINTS",'Margin Guidence Table'!$A$1:$AG$1,0)),0)</f>
        <v>0</v>
      </c>
      <c r="EZ33" s="1161" t="str">
        <f t="shared" si="40"/>
        <v>DEFAULT</v>
      </c>
      <c r="FA33" s="116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16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16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16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16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16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16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16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9"/>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96" t="e">
        <f t="shared" si="41"/>
        <v>#DIV/0!</v>
      </c>
      <c r="FL33" s="102" t="s">
        <v>88</v>
      </c>
      <c r="FM33" s="94">
        <f>IFERROR(IF(AND($FM$2&lt;&gt;"Enter Spend&gt;&gt;&gt;",FN21="EXISTING"),SUMIFS('Existing Customers'!$Q:$Q,'Existing Customers'!$A:$A,$FM$1,'Existing Customers'!$H:$H,$FL33)*$FM$4,$FM$3*$FK33),0)</f>
        <v>0</v>
      </c>
      <c r="FN33" s="89">
        <f>IFERROR(IF(AND($FM$2&lt;&gt;"Enter Spend&gt;&gt;&gt;",FN2="EXISTING"),SUMIFS('Existing Customers'!$N:$N,'Existing Customers'!$A:$A,$FM$1,'Existing Customers'!$H:$H,$FL33)*$FM$4,$FM33/$FX33),0)</f>
        <v>0</v>
      </c>
      <c r="FO33" s="95">
        <f>IFERROR(IF(AND($FM$2&lt;&gt;"Enter Spend&gt;&gt;&gt;",FN2="EXISTING"),SUMIFS('Existing Customers'!$O:$O,'Existing Customers'!$H:$H,$FL33,'Existing Customers'!$A:$A,$FM$1)*$FM$4,$FN33*$FM$8),0)</f>
        <v>0</v>
      </c>
      <c r="FP33" s="95">
        <f>IFERROR(IF(AND($FM$2&lt;&gt;"Enter Spend&gt;&gt;&gt;",FN2="EXISTING"),SUMIFS('Existing Customers'!$P:$P,'Existing Customers'!$A:$A,$FM$1,'Existing Customers'!$H:$H,$FL33)*$FM$4,$FM33/$FY33),0)</f>
        <v>0</v>
      </c>
      <c r="FQ33" s="96">
        <f>IFERROR(IF(AND($FM$2&lt;&gt;"Enter Spend&gt;&gt;&gt;",FN2="EXISTING"),SUMIFS('Existing Customers'!$V:$V,'Existing Customers'!$H:$H,$FL33,'Existing Customers'!$A:$A,$FM$1)*$FM$4,0),0)</f>
        <v>0</v>
      </c>
      <c r="FR33" s="96">
        <f>IFERROR(IF(AND($FM$2&lt;&gt;"Enter Spend&gt;&gt;&gt;",FN2="EXISTING"),SUMIFS('Existing Customers'!$R:$R,'Existing Customers'!$H:$H,$FL33,'Existing Customers'!$A:$A,$FM$1)*$FM$4,0),0)</f>
        <v>0</v>
      </c>
      <c r="FS33" s="1161">
        <f>IFERROR(IF(AND($FM$2&lt;&gt;"Enter Spend&gt;&gt;&gt;",FN2="EXISTING"),SUMIFS('Existing Customers'!$S:$S,'Existing Customers'!$H:$H,$FL33,'Existing Customers'!$A:$A,$FM$1),GC33*FM33),0)</f>
        <v>0</v>
      </c>
      <c r="FT33" s="1161">
        <f>IFERROR(IF(AND($FM$2&lt;&gt;"Enter Spend&gt;&gt;&gt;",FN2="EXISTING"),SUMIFS('Existing Customers'!$U:$U,'Existing Customers'!$H:$H,$FL33,'Existing Customers'!$A:$A,$FM$1),GD33*FM33),0)</f>
        <v>0</v>
      </c>
      <c r="FU33" s="1164" t="e">
        <f t="shared" si="42"/>
        <v>#N/A</v>
      </c>
      <c r="FV33" s="1164">
        <f t="array" ref="FV33">IFERROR(INDEX('Margin Guidence Table'!$A$1:$AG$10000,MATCH(1,('Margin Guidence Table'!$A$1:$A$10000=FU33)*('Margin Guidence Table'!$I$1:$I$10000&lt;=ROUND($FM$3,0))*('Margin Guidence Table'!$J$1:$J$10000&gt;=ROUND($FM$3,0)),0),MATCH("DATA_POINTS",'Margin Guidence Table'!$A$1:$AG$1,0)),0)</f>
        <v>0</v>
      </c>
      <c r="FW33" s="1161" t="str">
        <f t="shared" si="43"/>
        <v>DEFAULT</v>
      </c>
      <c r="FX33" s="116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16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16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16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16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16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16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16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9"/>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96" t="e">
        <f t="shared" si="44"/>
        <v>#DIV/0!</v>
      </c>
      <c r="GI33" s="102" t="s">
        <v>88</v>
      </c>
      <c r="GJ33" s="94">
        <f>IFERROR(IF(AND($GJ$2&lt;&gt;"Enter Spend&gt;&gt;&gt;",GK21="EXISTING"),SUMIFS('Existing Customers'!$Q:$Q,'Existing Customers'!$A:$A,$GJ$1,'Existing Customers'!$H:$H,$GI33)*$GJ$4,$GJ$3*$GH33),0)</f>
        <v>0</v>
      </c>
      <c r="GK33" s="89">
        <f>IFERROR(IF(AND($GJ$2&lt;&gt;"Enter Spend&gt;&gt;&gt;",GK2="EXISTING"),SUMIFS('Existing Customers'!$N:$N,'Existing Customers'!$A:$A,$GJ$1,'Existing Customers'!$H:$H,$GI33)*$GJ$4,$GJ33/$GU33),0)</f>
        <v>0</v>
      </c>
      <c r="GL33" s="95">
        <f>IFERROR(IF(AND($GJ$2&lt;&gt;"Enter Spend&gt;&gt;&gt;",GK2="EXISTING"),SUMIFS('Existing Customers'!$O:$O,'Existing Customers'!$H:$H,$GI33,'Existing Customers'!$A:$A,$GJ$1)*$GJ$4,$GK33*$GJ$8),0)</f>
        <v>0</v>
      </c>
      <c r="GM33" s="95">
        <f>IFERROR(IF(AND($GJ$2&lt;&gt;"Enter Spend&gt;&gt;&gt;",GK2="EXISTING"),SUMIFS('Existing Customers'!$P:$P,'Existing Customers'!$A:$A,$GJ$1,'Existing Customers'!$H:$H,$GI33)*$GJ$4,$GJ33/$GV33),0)</f>
        <v>0</v>
      </c>
      <c r="GN33" s="96">
        <f>IFERROR(IF(AND($GJ$2&lt;&gt;"Enter Spend&gt;&gt;&gt;",GK2="EXISTING"),SUMIFS('Existing Customers'!$V:$V,'Existing Customers'!$H:$H,$GI33,'Existing Customers'!$A:$A,$GJ$1)*$GJ$4,0),0)</f>
        <v>0</v>
      </c>
      <c r="GO33" s="96">
        <f>IFERROR(IF(AND($GJ$2&lt;&gt;"Enter Spend&gt;&gt;&gt;",GK2="EXISTING"),SUMIFS('Existing Customers'!$R:$R,'Existing Customers'!$H:$H,$GI33,'Existing Customers'!$A:$A,$GJ$1)*$GJ$4,0),0)</f>
        <v>0</v>
      </c>
      <c r="GP33" s="1161">
        <f>IFERROR(IF(AND($GJ$2&lt;&gt;"Enter Spend&gt;&gt;&gt;",GK2="EXISTING"),SUMIFS('Existing Customers'!$S:$S,'Existing Customers'!$H:$H,$GI33,'Existing Customers'!$A:$A,$GJ$1),GZ33*GJ33),0)</f>
        <v>0</v>
      </c>
      <c r="GQ33" s="1161">
        <f>IFERROR(IF(AND($GJ$2&lt;&gt;"Enter Spend&gt;&gt;&gt;",GK2="EXISTING"),SUMIFS('Existing Customers'!$U:$U,'Existing Customers'!$H:$H,$GI33,'Existing Customers'!$A:$A,$GJ$1),HA33*GJ33),0)</f>
        <v>0</v>
      </c>
      <c r="GR33" s="1164" t="e">
        <f t="shared" si="45"/>
        <v>#N/A</v>
      </c>
      <c r="GS33" s="1164">
        <f t="array" ref="GS33">IFERROR(INDEX('Margin Guidence Table'!$A$1:$AG$10000,MATCH(1,('Margin Guidence Table'!$A$1:$A$10000=GR33)*('Margin Guidence Table'!$I$1:$I$10000&lt;=ROUND($GJ$3,0))*('Margin Guidence Table'!$J$1:$J$10000&gt;=ROUND($GJ$3,0)),0),MATCH("DATA_POINTS",'Margin Guidence Table'!$A$1:$AG$1,0)),0)</f>
        <v>0</v>
      </c>
      <c r="GT33" s="1161" t="str">
        <f t="shared" si="46"/>
        <v>DEFAULT</v>
      </c>
      <c r="GU33" s="116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16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16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16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16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16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16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16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9"/>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96" t="e">
        <f t="shared" si="47"/>
        <v>#DIV/0!</v>
      </c>
      <c r="HF33" s="102" t="s">
        <v>88</v>
      </c>
      <c r="HG33" s="94">
        <f>IFERROR(IF(AND($HG$2&lt;&gt;"Enter Spend&gt;&gt;&gt;",HH21="EXISTING"),SUMIFS('Existing Customers'!$Q:$Q,'Existing Customers'!$A:$A,$HG$1,'Existing Customers'!$H:$H,$HF33)*$HG$4,$HG$3*$HE33),0)</f>
        <v>0</v>
      </c>
      <c r="HH33" s="89">
        <f>IFERROR(IF(AND($HG$2&lt;&gt;"Enter Spend&gt;&gt;&gt;",HH2="EXISTING"),SUMIFS('Existing Customers'!$N:$N,'Existing Customers'!$A:$A,$HG$1,'Existing Customers'!$H:$H,$HF33)*$HG$4,$HG33/$HR33),0)</f>
        <v>0</v>
      </c>
      <c r="HI33" s="95">
        <f>IFERROR(IF(AND($HG$2&lt;&gt;"Enter Spend&gt;&gt;&gt;",HH2="EXISTING"),SUMIFS('Existing Customers'!$O:$O,'Existing Customers'!$H:$H,$HF33,'Existing Customers'!$A:$A,$HG$1)*$HG$4,$HH33*$HG$8),0)</f>
        <v>0</v>
      </c>
      <c r="HJ33" s="95">
        <f>IFERROR(IF(AND($HG$2&lt;&gt;"Enter Spend&gt;&gt;&gt;",HH2="EXISTING"),SUMIFS('Existing Customers'!$P:$P,'Existing Customers'!$A:$A,$HG$1,'Existing Customers'!$H:$H,$HF33)*$HG$4,$HG33/$HS33),0)</f>
        <v>0</v>
      </c>
      <c r="HK33" s="96">
        <f>IFERROR(IF(AND($HG$2&lt;&gt;"Enter Spend&gt;&gt;&gt;",HH2="EXISTING"),SUMIFS('Existing Customers'!$V:$V,'Existing Customers'!$H:$H,$HF33,'Existing Customers'!$A:$A,$HG$1)*$HG$4,0),0)</f>
        <v>0</v>
      </c>
      <c r="HL33" s="96">
        <f>IFERROR(IF(AND($HG$2&lt;&gt;"Enter Spend&gt;&gt;&gt;",HH2="EXISTING"),SUMIFS('Existing Customers'!$R:$R,'Existing Customers'!$H:$H,$HF33,'Existing Customers'!$A:$A,$HG$1)*$HG$4,0),0)</f>
        <v>0</v>
      </c>
      <c r="HM33" s="1161">
        <f>IFERROR(IF(AND($HG$2&lt;&gt;"Enter Spend&gt;&gt;&gt;",HH2="EXISTING"),SUMIFS('Existing Customers'!$S:$S,'Existing Customers'!$H:$H,$HF33,'Existing Customers'!$A:$A,$HG$1),HW33*HG33),0)</f>
        <v>0</v>
      </c>
      <c r="HN33" s="1161">
        <f>IFERROR(IF(AND($HG$2&lt;&gt;"Enter Spend&gt;&gt;&gt;",HH2="EXISTING"),SUMIFS('Existing Customers'!$U:$U,'Existing Customers'!$H:$H,$HF33,'Existing Customers'!$A:$A,$HG$1),HX33*HG33),0)</f>
        <v>0</v>
      </c>
      <c r="HO33" s="1164" t="e">
        <f t="shared" si="48"/>
        <v>#N/A</v>
      </c>
      <c r="HP33" s="1164">
        <f t="array" ref="HP33">IFERROR(INDEX('Margin Guidence Table'!$A$1:$AG$10000,MATCH(1,('Margin Guidence Table'!$A$1:$A$10000=HO33)*('Margin Guidence Table'!$I$1:$I$10000&lt;=ROUND($HG$3,0))*('Margin Guidence Table'!$J$1:$J$10000&gt;=ROUND($HG$3,0)),0),MATCH("DATA_POINTS",'Margin Guidence Table'!$A$1:$AG$1,0)),0)</f>
        <v>0</v>
      </c>
      <c r="HQ33" s="1161" t="str">
        <f t="shared" si="49"/>
        <v>DEFAULT</v>
      </c>
      <c r="HR33" s="116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16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16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16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16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16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16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16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9"/>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96" t="e">
        <f t="shared" si="50"/>
        <v>#DIV/0!</v>
      </c>
      <c r="IC33" s="102" t="s">
        <v>88</v>
      </c>
      <c r="ID33" s="94">
        <f>IFERROR(IF(AND($ID$2&lt;&gt;"Enter Spend&gt;&gt;&gt;",IE21="EXISTING"),SUMIFS('Existing Customers'!$Q:$Q,'Existing Customers'!$A:$A,$ID$1,'Existing Customers'!$H:$H,$IC33)*$ID$4,$ID$3*$IB33),0)</f>
        <v>0</v>
      </c>
      <c r="IE33" s="89">
        <f>IFERROR(IF(AND($ID$2&lt;&gt;"Enter Spend&gt;&gt;&gt;",IE2="EXISTING"),SUMIFS('Existing Customers'!$N:$N,'Existing Customers'!$A:$A,$ID$1,'Existing Customers'!$H:$H,$IC33)*$ID$4,$ID33/$IO33),0)</f>
        <v>0</v>
      </c>
      <c r="IF33" s="95">
        <f>IFERROR(IF(AND($ID$2&lt;&gt;"Enter Spend&gt;&gt;&gt;",IE2="EXISTING"),SUMIFS('Existing Customers'!$O:$O,'Existing Customers'!$H:$H,$IC33,'Existing Customers'!$A:$A,$ID$1)*$ID$4,$IE33*$ID$8),0)</f>
        <v>0</v>
      </c>
      <c r="IG33" s="95">
        <f>IFERROR(IF(AND($ID$2&lt;&gt;"Enter Spend&gt;&gt;&gt;",IE2="EXISTING"),SUMIFS('Existing Customers'!$P:$P,'Existing Customers'!$A:$A,$ID$1,'Existing Customers'!$H:$H,$IC33)*$ID$4,$ID33/$IP33),0)</f>
        <v>0</v>
      </c>
      <c r="IH33" s="402">
        <f>IFERROR(IF(AND($ID$2&lt;&gt;"Enter Spend&gt;&gt;&gt;",IE2="EXISTING"),SUMIFS('Existing Customers'!$V:$V,'Existing Customers'!$H:$H,$IC33,'Existing Customers'!$A:$A,$ID$1)*$ID$4,0),0)</f>
        <v>0</v>
      </c>
      <c r="II33" s="96">
        <f>IFERROR(IF(AND($ID$2&lt;&gt;"Enter Spend&gt;&gt;&gt;",IE2="EXISTING"),SUMIFS('Existing Customers'!$R:$R,'Existing Customers'!$H:$H,$IC33,'Existing Customers'!$A:$A,$ID$1)*$ID$4,0),0)</f>
        <v>0</v>
      </c>
      <c r="IJ33" s="1161">
        <f>IFERROR(IF(AND($ID$2&lt;&gt;"Enter Spend&gt;&gt;&gt;",IE2="EXISTING"),SUMIFS('Existing Customers'!$S:$S,'Existing Customers'!$H:$H,$IC33,'Existing Customers'!$A:$A,$ID$1),IT33*ID33),0)</f>
        <v>0</v>
      </c>
      <c r="IK33" s="1161">
        <f>IFERROR(IF(AND($ID$2&lt;&gt;"Enter Spend&gt;&gt;&gt;",IE2="EXISTING"),SUMIFS('Existing Customers'!$U:$U,'Existing Customers'!$H:$H,$IC33,'Existing Customers'!$A:$A,$ID$1),IU33*ID33),0)</f>
        <v>0</v>
      </c>
      <c r="IL33" s="1164" t="e">
        <f t="shared" si="51"/>
        <v>#N/A</v>
      </c>
      <c r="IM33" s="1164">
        <f t="array" ref="IM33">IFERROR(INDEX('Margin Guidence Table'!$A$1:$AG$10000,MATCH(1,('Margin Guidence Table'!$A$1:$A$10000=IL33)*('Margin Guidence Table'!$I$1:$I$10000&lt;=ROUND($ID$3,0))*('Margin Guidence Table'!$J$1:$J$10000&gt;=ROUND($ID$3,0)),0),MATCH("DATA_POINTS",'Margin Guidence Table'!$A$1:$AG$1,0)),0)</f>
        <v>0</v>
      </c>
      <c r="IN33" s="1161" t="str">
        <f t="shared" si="52"/>
        <v>DEFAULT</v>
      </c>
      <c r="IO33" s="116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16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16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16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16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16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16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16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9"/>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96" t="e">
        <f t="shared" si="53"/>
        <v>#DIV/0!</v>
      </c>
      <c r="IZ33" s="102" t="s">
        <v>88</v>
      </c>
      <c r="JA33" s="94">
        <f>IFERROR(IF(AND($JA$2&lt;&gt;"Enter Spend&gt;&gt;&gt;",JB21="EXISTING"),SUMIFS('Existing Customers'!$Q:$Q,'Existing Customers'!$A:$A,$JA$1,'Existing Customers'!$H:$H,$IZ33)*$JA$4,$JA$3*$IY33),0)</f>
        <v>0</v>
      </c>
      <c r="JB33" s="89">
        <f>IFERROR(IF(AND($JA$2&lt;&gt;"Enter Spend&gt;&gt;&gt;",JB2="EXISTING"),SUMIFS('Existing Customers'!$N:$N,'Existing Customers'!$A:$A,$JA$1,'Existing Customers'!$H:$H,$IZ33)*$JA$4,$JA33/$JL33),0)</f>
        <v>0</v>
      </c>
      <c r="JC33" s="95">
        <f>IFERROR(IF(AND($JA$2&lt;&gt;"Enter Spend&gt;&gt;&gt;",JB2="EXISTING"),SUMIFS('Existing Customers'!$O:$O,'Existing Customers'!$H:$H,$IZ33,'Existing Customers'!$A:$A,$JA$1)*$JA$4,$JB33*$JA$8),0)</f>
        <v>0</v>
      </c>
      <c r="JD33" s="95">
        <f>IFERROR(IF(AND($JA$2&lt;&gt;"Enter Spend&gt;&gt;&gt;",JB2="EXISTING"),SUMIFS('Existing Customers'!$P:$P,'Existing Customers'!$A:$A,$JA$1,'Existing Customers'!$H:$H,$IZ33)*$JA$4,$JA33/$JM33),0)</f>
        <v>0</v>
      </c>
      <c r="JE33" s="402">
        <f>IFERROR(IF(AND($JA$2&lt;&gt;"Enter Spend&gt;&gt;&gt;",JB2="EXISTING"),SUMIFS('Existing Customers'!$V:$V,'Existing Customers'!$H:$H,$IZ33,'Existing Customers'!$A:$A,$JA$1)*$JA$4,0),0)</f>
        <v>0</v>
      </c>
      <c r="JF33" s="96">
        <f>IFERROR(IF(AND($JA$2&lt;&gt;"Enter Spend&gt;&gt;&gt;",JB2="EXISTING"),SUMIFS('Existing Customers'!$R:$R,'Existing Customers'!$H:$H,$IZ33,'Existing Customers'!$A:$A,$JA$1)*$JA$4,0),0)</f>
        <v>0</v>
      </c>
      <c r="JG33" s="1161">
        <f>IFERROR(IF(AND($JA$2&lt;&gt;"Enter Spend&gt;&gt;&gt;",JB2="EXISTING"),SUMIFS('Existing Customers'!$S:$S,'Existing Customers'!$H:$H,$IZ33,'Existing Customers'!$A:$A,$JA$1),JQ33*JA33),0)</f>
        <v>0</v>
      </c>
      <c r="JH33" s="1161">
        <f>IFERROR(IF(AND($JA$2&lt;&gt;"Enter Spend&gt;&gt;&gt;",JB2="EXISTING"),SUMIFS('Existing Customers'!$U:$U,'Existing Customers'!$H:$H,$IZ33,'Existing Customers'!$A:$A,$JA$1),JR33*JA33),0)</f>
        <v>0</v>
      </c>
      <c r="JI33" s="1164" t="e">
        <f t="shared" si="54"/>
        <v>#N/A</v>
      </c>
      <c r="JJ33" s="1164">
        <f t="array" ref="JJ33">IFERROR(INDEX('Margin Guidence Table'!$A$1:$AG$10000,MATCH(1,('Margin Guidence Table'!$A$1:$A$10000=JI33)*('Margin Guidence Table'!$I$1:$I$10000&lt;=ROUND($JA$3,0))*('Margin Guidence Table'!$J$1:$J$10000&gt;=ROUND($JA$3,0)),0),MATCH("DATA_POINTS",'Margin Guidence Table'!$A$1:$AG$1,0)),0)</f>
        <v>0</v>
      </c>
      <c r="JK33" s="1161" t="str">
        <f t="shared" si="55"/>
        <v>DEFAULT</v>
      </c>
      <c r="JL33" s="116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16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16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16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16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16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16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16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2" t="s">
        <v>88</v>
      </c>
      <c r="JV33" s="97"/>
      <c r="JW33" s="89"/>
      <c r="JX33" s="89"/>
      <c r="JY33" s="89"/>
      <c r="JZ33" s="114"/>
      <c r="KA33" s="98"/>
      <c r="KB33" s="129"/>
      <c r="KD33" s="102" t="s">
        <v>88</v>
      </c>
      <c r="KE33" s="97"/>
      <c r="KF33" s="89"/>
      <c r="KG33" s="89"/>
      <c r="KH33" s="89"/>
      <c r="KI33" s="114"/>
      <c r="KJ33" s="98"/>
    </row>
    <row r="34" spans="2:296" ht="15.75" thickBot="1" x14ac:dyDescent="0.3">
      <c r="B34" s="103" t="s">
        <v>87</v>
      </c>
      <c r="C34" s="480">
        <f t="shared" si="11"/>
        <v>0</v>
      </c>
      <c r="D34" s="496">
        <f t="shared" si="12"/>
        <v>0</v>
      </c>
      <c r="E34" s="496">
        <f t="shared" si="13"/>
        <v>0</v>
      </c>
      <c r="F34" s="496">
        <f t="shared" si="14"/>
        <v>0</v>
      </c>
      <c r="G34" s="497">
        <f t="shared" si="15"/>
        <v>0</v>
      </c>
      <c r="H34" s="496">
        <f t="shared" si="16"/>
        <v>0</v>
      </c>
      <c r="I34" s="1157" t="e">
        <f t="shared" si="0"/>
        <v>#DIV/0!</v>
      </c>
      <c r="J34" s="1157" t="e">
        <f t="shared" si="1"/>
        <v>#DIV/0!</v>
      </c>
      <c r="K34" s="1157" t="e">
        <f t="shared" si="2"/>
        <v>#DIV/0!</v>
      </c>
      <c r="L34" s="496" t="e">
        <f t="shared" si="3"/>
        <v>#DIV/0!</v>
      </c>
      <c r="M34" s="496" t="e">
        <f t="shared" si="17"/>
        <v>#DIV/0!</v>
      </c>
      <c r="N34" s="1158" t="e">
        <f t="shared" si="4"/>
        <v>#DIV/0!</v>
      </c>
      <c r="P34" t="str">
        <f>'PIM Model'!E30</f>
        <v>INCLUDE</v>
      </c>
      <c r="Q34">
        <f t="shared" si="18"/>
        <v>0</v>
      </c>
      <c r="R34">
        <f t="shared" si="19"/>
        <v>0</v>
      </c>
      <c r="S34" s="103" t="s">
        <v>87</v>
      </c>
      <c r="T34" s="99">
        <f t="shared" si="20"/>
        <v>0</v>
      </c>
      <c r="U34" s="100">
        <f t="shared" si="5"/>
        <v>0</v>
      </c>
      <c r="V34" s="100">
        <f t="shared" si="6"/>
        <v>0</v>
      </c>
      <c r="W34" s="100">
        <f t="shared" si="7"/>
        <v>0</v>
      </c>
      <c r="X34" s="115">
        <f t="shared" si="8"/>
        <v>0</v>
      </c>
      <c r="Y34" s="118">
        <f t="shared" si="21"/>
        <v>0</v>
      </c>
      <c r="Z34" s="400"/>
      <c r="AA34" s="103" t="s">
        <v>87</v>
      </c>
      <c r="AB34" s="488">
        <f t="shared" si="9"/>
        <v>0</v>
      </c>
      <c r="AC34" s="489">
        <f t="shared" si="9"/>
        <v>0</v>
      </c>
      <c r="AD34" s="489">
        <f t="shared" si="9"/>
        <v>0</v>
      </c>
      <c r="AE34" s="490">
        <f t="shared" si="22"/>
        <v>0</v>
      </c>
      <c r="AF34" s="491">
        <f t="shared" si="23"/>
        <v>0</v>
      </c>
      <c r="AG34" s="400"/>
      <c r="AH34" s="103" t="s">
        <v>87</v>
      </c>
      <c r="AI34" s="488">
        <f t="shared" si="10"/>
        <v>0</v>
      </c>
      <c r="AJ34" s="481">
        <f t="shared" si="24"/>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400" t="e">
        <f t="shared" si="25"/>
        <v>#DIV/0!</v>
      </c>
      <c r="AR34">
        <f>'PIM Model'!C30</f>
        <v>0</v>
      </c>
      <c r="AS34" s="400"/>
      <c r="AT34" s="400"/>
      <c r="AU34" s="400" t="e">
        <f t="shared" si="56"/>
        <v>#DIV/0!</v>
      </c>
      <c r="AV34" s="400"/>
      <c r="AW34" s="400"/>
      <c r="AX34" s="108">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96" t="e">
        <f t="shared" si="26"/>
        <v>#DIV/0!</v>
      </c>
      <c r="BA34" s="103" t="s">
        <v>87</v>
      </c>
      <c r="BB34" s="94">
        <f>IFERROR(IF(AND($BB$2&lt;&gt;"Enter Spend&gt;&gt;&gt;",BC22="EXISTING"),SUMIFS('Existing Customers'!$Q:$Q,'Existing Customers'!$A:$A,$BB$1,'Existing Customers'!$H:$H,$BA34)*$BB$4,$BB$3*$AZ34),0)</f>
        <v>0</v>
      </c>
      <c r="BC34" s="95">
        <f>IFERROR(IF(AND($BB$2&lt;&gt;"Enter Spend&gt;&gt;&gt;",BC2="EXISTING"),SUMIFS('Existing Customers'!$N:$N,'Existing Customers'!$A:$A,$BB$1,'Existing Customers'!$H:$H,$BA34)*$BB$4,$BB34/$BM34),0)</f>
        <v>0</v>
      </c>
      <c r="BD34" s="95">
        <f>IFERROR(IF(AND($BB$2&lt;&gt;"Enter Spend&gt;&gt;&gt;",BC2="EXISTING"),SUMIFS('Existing Customers'!$O:$O,'Existing Customers'!$H:$H,$BA34,'Existing Customers'!$A:$A,$BB$1)*$BB$4,$BC34*$BB$8),0)</f>
        <v>0</v>
      </c>
      <c r="BE34" s="95">
        <f>IFERROR(IF(AND($BB$2&lt;&gt;"Enter Spend&gt;&gt;&gt;",BC2="EXISTING"),SUMIFS('Existing Customers'!$P:$P,'Existing Customers'!$A:$A,$BB$1,'Existing Customers'!$H:$H,$BA34)*$BB$4,$BB34/$BN34),0)</f>
        <v>0</v>
      </c>
      <c r="BF34" s="402">
        <f>IFERROR(IF(AND($BB$2&lt;&gt;"Enter Spend&gt;&gt;&gt;",BC2="EXISTING"),SUMIFS('Existing Customers'!$V:$V,'Existing Customers'!$H:$H,$BA34,'Existing Customers'!$A:$A,$BB$1)*$BB$4,0),0)</f>
        <v>0</v>
      </c>
      <c r="BG34" s="96">
        <f>IFERROR(IF(AND($BB$2&lt;&gt;"Enter Spend&gt;&gt;&gt;",BC2="EXISTING"),SUMIFS('Existing Customers'!$R:$R,'Existing Customers'!$H:$H,$BA34,'Existing Customers'!$A:$A,$BB$1)*$BB$4,0),0)</f>
        <v>0</v>
      </c>
      <c r="BH34" s="96">
        <f>IFERROR(IF(AND($BB$2&lt;&gt;"Enter Spend&gt;&gt;&gt;",BC2="EXISTING"),SUMIFS('Existing Customers'!$S:$S,'Existing Customers'!$H:$H,$BA34,'Existing Customers'!$A:$A,$BB$1),BR34*BB34),0)</f>
        <v>0</v>
      </c>
      <c r="BI34" s="96">
        <f>IFERROR(IF(AND($BB$2&lt;&gt;"Enter Spend&gt;&gt;&gt;",BC2="EXISTING"),SUMIFS('Existing Customers'!$U:$U,'Existing Customers'!$H:$H,$BA34,'Existing Customers'!$A:$A,$BB$1),BS34*BB34),0)</f>
        <v>0</v>
      </c>
      <c r="BJ34" s="1163" t="e">
        <f t="shared" si="27"/>
        <v>#N/A</v>
      </c>
      <c r="BK34" s="1164">
        <f t="array" ref="BK34">IFERROR(INDEX('Margin Guidence Table'!$A$1:$AG$10000,MATCH(1,('Margin Guidence Table'!$A$1:$A$10000=$BJ34)*('Margin Guidence Table'!$I$1:$I$10000&lt;=ROUND($BB$3,0))*('Margin Guidence Table'!$J$1:$J$10000&gt;=ROUND($BB$3,0)),0),MATCH("DATA_POINTS",'Margin Guidence Table'!$A$1:$AG$1,0)),0)</f>
        <v>0</v>
      </c>
      <c r="BL34" s="1161" t="str">
        <f t="shared" si="28"/>
        <v>DEFAULT</v>
      </c>
      <c r="BM34" s="116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16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16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16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16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16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16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16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9"/>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96" t="e">
        <f t="shared" si="29"/>
        <v>#DIV/0!</v>
      </c>
      <c r="BX34" s="103" t="s">
        <v>87</v>
      </c>
      <c r="BY34" s="94">
        <f>IFERROR(IF(AND($BY$2&lt;&gt;"Enter Spend&gt;&gt;&gt;",BZ22="EXISTING"),SUMIFS('Existing Customers'!$Q:$Q,'Existing Customers'!$A:$A,$BY$1,'Existing Customers'!$H:$H,$BX34)*$BY$4,$BY$3*$BW34),0)</f>
        <v>0</v>
      </c>
      <c r="BZ34" s="89">
        <f>IFERROR(IF(AND($BY$2&lt;&gt;"Enter Spend&gt;&gt;&gt;",BZ2="EXISTING"),SUMIFS('Existing Customers'!$N:$N,'Existing Customers'!$A:$A,$BY$1,'Existing Customers'!$H:$H,$BX34)*$BY$4,$BY34/$CJ34),0)</f>
        <v>0</v>
      </c>
      <c r="CA34" s="95">
        <f>IFERROR(IF(AND($BY$2&lt;&gt;"Enter Spend&gt;&gt;&gt;",BZ2="EXISTING"),SUMIFS('Existing Customers'!$O:$O,'Existing Customers'!$H:$H,$BX34,'Existing Customers'!$A:$A,$BY$1)*$BY$4,$BZ34*$BY$8),0)</f>
        <v>0</v>
      </c>
      <c r="CB34" s="95">
        <f>IFERROR(IF(AND($BY$2&lt;&gt;"Enter Spend&gt;&gt;&gt;",BZ2="EXISTING"),SUMIFS('Existing Customers'!$P:$P,'Existing Customers'!$A:$A,$BY$1,'Existing Customers'!$H:$H,$BX34)*$BY$4,$BY34/$CK34),0)</f>
        <v>0</v>
      </c>
      <c r="CC34" s="96">
        <f>IFERROR(IF(AND($BY$2&lt;&gt;"Enter Spend&gt;&gt;&gt;",BZ2="EXISTING"),SUMIFS('Existing Customers'!$V:$V,'Existing Customers'!$H:$H,$BX34,'Existing Customers'!$A:$A,$BY$1)*$BY$4,0),0)</f>
        <v>0</v>
      </c>
      <c r="CD34" s="96">
        <f>IFERROR(IF(AND($BY$2&lt;&gt;"Enter Spend&gt;&gt;&gt;",BZ2="EXISTING"),SUMIFS('Existing Customers'!$R:$R,'Existing Customers'!$H:$H,$BX34,'Existing Customers'!$A:$A,$BY$1)*$BY$4,0),0)</f>
        <v>0</v>
      </c>
      <c r="CE34" s="1161">
        <f>IFERROR(IF(AND($BY$2&lt;&gt;"Enter Spend&gt;&gt;&gt;",BZ2="EXISTING"),SUMIFS('Existing Customers'!$S:$S,'Existing Customers'!$H:$H,$BX34,'Existing Customers'!$A:$A,$BY$1),CO34*BY34),0)</f>
        <v>0</v>
      </c>
      <c r="CF34" s="1161">
        <f>IFERROR(IF(AND($BY$2&lt;&gt;"Enter Spend&gt;&gt;&gt;",BZ2="EXISTING"),SUMIFS('Existing Customers'!$U:$U,'Existing Customers'!$H:$H,$BX34,'Existing Customers'!$A:$A,$BY$1),CP34*BY34),0)</f>
        <v>0</v>
      </c>
      <c r="CG34" s="1164" t="e">
        <f t="shared" si="30"/>
        <v>#N/A</v>
      </c>
      <c r="CH34" s="1164">
        <f t="array" ref="CH34">IFERROR(INDEX('Margin Guidence Table'!$A$1:$AG$10000,MATCH(1,('Margin Guidence Table'!$A$1:$A$10000=$CG34)*('Margin Guidence Table'!$I$1:$I$10000&lt;=ROUND($BY$3,0))*('Margin Guidence Table'!$J$1:$J$10000&gt;=ROUND($BY$3,0)),0),MATCH("DATA_POINTS",'Margin Guidence Table'!$A$1:$AG$1,0)),0)</f>
        <v>0</v>
      </c>
      <c r="CI34" s="1161" t="str">
        <f t="shared" si="31"/>
        <v>DEFAULT</v>
      </c>
      <c r="CJ34" s="116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16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16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16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16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16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16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16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9"/>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96" t="e">
        <f t="shared" si="32"/>
        <v>#DIV/0!</v>
      </c>
      <c r="CU34" s="103" t="s">
        <v>87</v>
      </c>
      <c r="CV34" s="94">
        <f>IFERROR(IF(AND($CV$2&lt;&gt;"Enter Spend&gt;&gt;&gt;",CW22="EXISTING"),SUMIFS('Existing Customers'!$Q:$Q,'Existing Customers'!$A:$A,$CV$1,'Existing Customers'!$H:$H,$CU34)*$CV$4,$CV$3*$CT34),0)</f>
        <v>0</v>
      </c>
      <c r="CW34" s="89">
        <f>IFERROR(IF(AND($CV$2&lt;&gt;"Enter Spend&gt;&gt;&gt;",CW2="EXISTING"),SUMIFS('Existing Customers'!$N:$N,'Existing Customers'!$A:$A,$CV$1,'Existing Customers'!$H:$H,$CU34)*$CV$4,$CV34/$DG34),0)</f>
        <v>0</v>
      </c>
      <c r="CX34" s="95">
        <f>IFERROR(IF(AND($CV$2&lt;&gt;"Enter Spend&gt;&gt;&gt;",BC28="EXISTING"),SUMIFS('Existing Customers'!$O:$O,'Existing Customers'!$H:$H,$CU34,'Existing Customers'!$A:$A,$CV$1)*$CV$4,$CW34*$CV$8),0)</f>
        <v>0</v>
      </c>
      <c r="CY34" s="95">
        <f>IFERROR(IF(AND($CV$2&lt;&gt;"Enter Spend&gt;&gt;&gt;",CW2="EXISTING"),SUMIFS('Existing Customers'!$P:$P,'Existing Customers'!$A:$A,$CV$1,'Existing Customers'!$H:$H,$CU34)*$CV$4,$CV34/$DH34),0)</f>
        <v>0</v>
      </c>
      <c r="CZ34" s="96">
        <f>IFERROR(IF(AND($CV$2&lt;&gt;"Enter Spend&gt;&gt;&gt;",CW2="EXISTING"),SUMIFS('Existing Customers'!$V:$V,'Existing Customers'!$H:$H,$CU34,'Existing Customers'!$A:$A,$CV$1)*$CV$4,0),0)</f>
        <v>0</v>
      </c>
      <c r="DA34" s="96">
        <f>IFERROR(IF(AND($CV$2&lt;&gt;"Enter Spend&gt;&gt;&gt;",CW2="EXISTING"),SUMIFS('Existing Customers'!$R:$R,'Existing Customers'!$H:$H,$BA34,'Existing Customers'!$A:$A,$CV$1)*$CV$4,0),0)</f>
        <v>0</v>
      </c>
      <c r="DB34" s="1161">
        <f>IFERROR(IF(AND($CV$2&lt;&gt;"Enter Spend&gt;&gt;&gt;",CW2="EXISTING"),SUMIFS('Existing Customers'!$S:$S,'Existing Customers'!$H:$H,$CU34,'Existing Customers'!$A:$A,$CV$1),DL34*CV34),0)</f>
        <v>0</v>
      </c>
      <c r="DC34" s="1161">
        <f>IFERROR(IF(AND($CV$2&lt;&gt;"Enter Spend&gt;&gt;&gt;",CW2="EXISTING"),SUMIFS('Existing Customers'!$U:$U,'Existing Customers'!$H:$H,$CU34,'Existing Customers'!$A:$A,$CV$1),DM34*CV34),0)</f>
        <v>0</v>
      </c>
      <c r="DD34" s="1164" t="e">
        <f t="shared" si="33"/>
        <v>#N/A</v>
      </c>
      <c r="DE34" s="1164">
        <f t="array" ref="DE34">IFERROR(INDEX('Margin Guidence Table'!$A$1:$AG$10000,MATCH(1,('Margin Guidence Table'!$A$1:$A$10000=DD34)*('Margin Guidence Table'!$I$1:$I$10000&lt;=ROUND($CV$3,0))*('Margin Guidence Table'!$J$1:$J$10000&gt;=ROUND($CV$3,0)),0),MATCH("DATA_POINTS",'Margin Guidence Table'!$A$1:$AG$1,0)),0)</f>
        <v>0</v>
      </c>
      <c r="DF34" s="1161" t="str">
        <f t="shared" si="34"/>
        <v>DEFAULT</v>
      </c>
      <c r="DG34" s="116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16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16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16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16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16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16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16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9"/>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96" t="e">
        <f t="shared" si="35"/>
        <v>#DIV/0!</v>
      </c>
      <c r="DR34" s="103" t="s">
        <v>87</v>
      </c>
      <c r="DS34" s="94">
        <f>IFERROR(IF(AND($DS$2&lt;&gt;"Enter Spend&gt;&gt;&gt;",DT22="EXISTING"),SUMIFS('Existing Customers'!$Q:$Q,'Existing Customers'!$A:$A,$DS$1,'Existing Customers'!$H:$H,$DR34)*$DS$4,$DS$3*$DQ34),0)</f>
        <v>0</v>
      </c>
      <c r="DT34" s="89">
        <f>IFERROR(IF(AND($DS$2&lt;&gt;"Enter Spend&gt;&gt;&gt;",DT2="EXISTING"),SUMIFS('Existing Customers'!$N:$N,'Existing Customers'!$A:$A,$DS$1,'Existing Customers'!$H:$H,$DR34)*$DS$4,$DS34/$ED34),0)</f>
        <v>0</v>
      </c>
      <c r="DU34" s="95">
        <f>IFERROR(IF(AND($DS$2&lt;&gt;"Enter Spend&gt;&gt;&gt;",DT2="EXISTING"),SUMIFS('Existing Customers'!$O:$O,'Existing Customers'!$H:$H,$DR34,'Existing Customers'!$A:$A,$DS$1)*$DS$4,$DT34*$DS$8),0)</f>
        <v>0</v>
      </c>
      <c r="DV34" s="95">
        <f>IFERROR(IF(AND($DS$2&lt;&gt;"Enter Spend&gt;&gt;&gt;",DT2="EXISTING"),SUMIFS('Existing Customers'!$P:$P,'Existing Customers'!$A:$A,$DS$1,'Existing Customers'!$H:$H,$DR34)*$DS$4,$DS34/$EE34),0)</f>
        <v>0</v>
      </c>
      <c r="DW34" s="96">
        <f>IFERROR(IF(AND($DS$2&lt;&gt;"Enter Spend&gt;&gt;&gt;",EQ2="EXISTING"),SUMIFS('Existing Customers'!$V:$V,'Existing Customers'!$H:$H,$DR34,'Existing Customers'!$A:$A,$DS$1)*$DS$4,0),0)</f>
        <v>0</v>
      </c>
      <c r="DX34" s="96">
        <f>IFERROR(IF(AND($DS$2&lt;&gt;"Enter Spend&gt;&gt;&gt;",DT2="EXISTING"),SUMIFS('Existing Customers'!$R:$R,'Existing Customers'!$H:$H,$DR34,'Existing Customers'!$A:$A,$DS$1)*$DS$4,0),0)</f>
        <v>0</v>
      </c>
      <c r="DY34" s="1161">
        <f>IFERROR(IF(AND($DS$2&lt;&gt;"Enter Spend&gt;&gt;&gt;",DT2="EXISTING"),SUMIFS('Existing Customers'!$S:$S,'Existing Customers'!$H:$H,$DT34,'Existing Customers'!$A:$A,$DS$1),EI34*DS34),0)</f>
        <v>0</v>
      </c>
      <c r="DZ34" s="1161">
        <f>IFERROR(IF(AND($DS$2&lt;&gt;"Enter Spend&gt;&gt;&gt;",DT2="EXISTING"),SUMIFS('Existing Customers'!$U:$U,'Existing Customers'!$H:$H,$DR34,'Existing Customers'!$A:$A,$DS$1),EJ34*DS34),0)</f>
        <v>0</v>
      </c>
      <c r="EA34" s="1164" t="e">
        <f t="shared" si="36"/>
        <v>#N/A</v>
      </c>
      <c r="EB34" s="1164">
        <f t="array" ref="EB34">IFERROR(INDEX('Margin Guidence Table'!$A$1:$AG$10000,MATCH(1,('Margin Guidence Table'!$A$1:$A$10000=EA34)*('Margin Guidence Table'!$I$1:$I$10000&lt;=ROUND($DS$3,0))*('Margin Guidence Table'!$J$1:$J$10000&gt;=ROUND($DS$3,0)),0),MATCH("DATA_POINTS",'Margin Guidence Table'!$A$1:$AG$1,0)),0)</f>
        <v>0</v>
      </c>
      <c r="EC34" s="1161" t="str">
        <f t="shared" si="37"/>
        <v>DEFAULT</v>
      </c>
      <c r="ED34" s="116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16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16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16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16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16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16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16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9"/>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96" t="e">
        <f t="shared" si="38"/>
        <v>#DIV/0!</v>
      </c>
      <c r="EO34" s="103" t="s">
        <v>87</v>
      </c>
      <c r="EP34" s="94">
        <f>IFERROR(IF(AND($EP$2&lt;&gt;"Enter Spend&gt;&gt;&gt;",EQ22="EXISTING"),SUMIFS('Existing Customers'!$Q:$Q,'Existing Customers'!$A:$A,$EP$1,'Existing Customers'!$H:$H,$EO34)*$EP$4,$EP$3*$EN34),0)</f>
        <v>0</v>
      </c>
      <c r="EQ34" s="89">
        <f>IFERROR(IF(AND($EP$2&lt;&gt;"Enter Spend&gt;&gt;&gt;",EQ2="EXISTING"),SUMIFS('Existing Customers'!$N:$N,'Existing Customers'!$A:$A,$EP$1,'Existing Customers'!$H:$H,$EO34)*$EP$4,$EP34/$FA34),0)</f>
        <v>0</v>
      </c>
      <c r="ER34" s="95">
        <f>IFERROR(IF(AND($EP$2&lt;&gt;"Enter Spend&gt;&gt;&gt;",EQ2="EXISTING"),SUMIFS('Existing Customers'!$O:$O,'Existing Customers'!$H:$H,$EO34,'Existing Customers'!$A:$A,$EP$1)*$EP$4,$EQ34*$EP$8),0)</f>
        <v>0</v>
      </c>
      <c r="ES34" s="95">
        <f>IFERROR(IF(AND($EP$2&lt;&gt;"Enter Spend&gt;&gt;&gt;",EQ2="EXISTING"),SUMIFS('Existing Customers'!$P:$P,'Existing Customers'!$A:$A,$EP$1,'Existing Customers'!$H:$H,$EO34)*$EP$4,$EP34/$FB34),0)</f>
        <v>0</v>
      </c>
      <c r="ET34" s="96">
        <f>IFERROR(IF(AND($EP$2&lt;&gt;"Enter Spend&gt;&gt;&gt;",EQ2="EXISTING"),SUMIFS('Existing Customers'!$V:$V,'Existing Customers'!$H:$H,$EO34,'Existing Customers'!$A:$A,$EP$1)*$EP$4,0),0)</f>
        <v>0</v>
      </c>
      <c r="EU34" s="96">
        <f>IFERROR(IF(AND($EP$2&lt;&gt;"Enter Spend&gt;&gt;&gt;",EQ2="EXISTING"),SUMIFS('Existing Customers'!$R:$R,'Existing Customers'!$H:$H,$EO34,'Existing Customers'!$A:$A,$EP$1)*$EP$4,0),0)</f>
        <v>0</v>
      </c>
      <c r="EV34" s="1161">
        <f>IFERROR(IF(AND($EP$2&lt;&gt;"Enter Spend&gt;&gt;&gt;",EQ2="EXISTING"),SUMIFS('Existing Customers'!$S:$S,'Existing Customers'!$H:$H,$EO34,'Existing Customers'!$A:$A,$EP$1),FF34*EP34),0)</f>
        <v>0</v>
      </c>
      <c r="EW34" s="1161">
        <f>IFERROR(IF(AND($EP$2&lt;&gt;"Enter Spend&gt;&gt;&gt;",EQ2="EXISTING"),SUMIFS('Existing Customers'!$U:$U,'Existing Customers'!$H:$H,$EO34,'Existing Customers'!$A:$A,$EP$1),FG34*EP34),0)</f>
        <v>0</v>
      </c>
      <c r="EX34" s="1164" t="e">
        <f t="shared" si="39"/>
        <v>#N/A</v>
      </c>
      <c r="EY34" s="1164">
        <f t="array" ref="EY34">IFERROR(INDEX('Margin Guidence Table'!$A$1:$AG$10000,MATCH(1,('Margin Guidence Table'!$A$1:$A$10000=EX34)*('Margin Guidence Table'!$I$1:$I$10000&lt;=ROUND($EP$3,0))*('Margin Guidence Table'!$J$1:$J$10000&gt;=ROUND($EP$3,0)),0),MATCH("DATA_POINTS",'Margin Guidence Table'!$A$1:$AG$1,0)),0)</f>
        <v>0</v>
      </c>
      <c r="EZ34" s="1161" t="str">
        <f t="shared" si="40"/>
        <v>DEFAULT</v>
      </c>
      <c r="FA34" s="116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16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16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16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16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16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16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16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9"/>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96" t="e">
        <f t="shared" si="41"/>
        <v>#DIV/0!</v>
      </c>
      <c r="FL34" s="103" t="s">
        <v>87</v>
      </c>
      <c r="FM34" s="94">
        <f>IFERROR(IF(AND($FM$2&lt;&gt;"Enter Spend&gt;&gt;&gt;",FN22="EXISTING"),SUMIFS('Existing Customers'!$Q:$Q,'Existing Customers'!$A:$A,$FM$1,'Existing Customers'!$H:$H,$FL34)*$FM$4,$FM$3*$FK34),0)</f>
        <v>0</v>
      </c>
      <c r="FN34" s="89">
        <f>IFERROR(IF(AND($FM$2&lt;&gt;"Enter Spend&gt;&gt;&gt;",FN2="EXISTING"),SUMIFS('Existing Customers'!$N:$N,'Existing Customers'!$A:$A,$FM$1,'Existing Customers'!$H:$H,$FL34)*$FM$4,$FM34/$FX34),0)</f>
        <v>0</v>
      </c>
      <c r="FO34" s="95">
        <f>IFERROR(IF(AND($FM$2&lt;&gt;"Enter Spend&gt;&gt;&gt;",FN2="EXISTING"),SUMIFS('Existing Customers'!$O:$O,'Existing Customers'!$H:$H,$FL34,'Existing Customers'!$A:$A,$FM$1)*$FM$4,$FN34*$FM$8),0)</f>
        <v>0</v>
      </c>
      <c r="FP34" s="95">
        <f>IFERROR(IF(AND($FM$2&lt;&gt;"Enter Spend&gt;&gt;&gt;",FN2="EXISTING"),SUMIFS('Existing Customers'!$P:$P,'Existing Customers'!$A:$A,$FM$1,'Existing Customers'!$H:$H,$FL34)*$FM$4,$FM34/$FY34),0)</f>
        <v>0</v>
      </c>
      <c r="FQ34" s="96">
        <f>IFERROR(IF(AND($FM$2&lt;&gt;"Enter Spend&gt;&gt;&gt;",FN2="EXISTING"),SUMIFS('Existing Customers'!$V:$V,'Existing Customers'!$H:$H,$FL34,'Existing Customers'!$A:$A,$FM$1)*$FM$4,0),0)</f>
        <v>0</v>
      </c>
      <c r="FR34" s="96">
        <f>IFERROR(IF(AND($FM$2&lt;&gt;"Enter Spend&gt;&gt;&gt;",FN2="EXISTING"),SUMIFS('Existing Customers'!$R:$R,'Existing Customers'!$H:$H,$FL34,'Existing Customers'!$A:$A,$FM$1)*$FM$4,0),0)</f>
        <v>0</v>
      </c>
      <c r="FS34" s="1161">
        <f>IFERROR(IF(AND($FM$2&lt;&gt;"Enter Spend&gt;&gt;&gt;",FN2="EXISTING"),SUMIFS('Existing Customers'!$S:$S,'Existing Customers'!$H:$H,$FL34,'Existing Customers'!$A:$A,$FM$1),GC34*FM34),0)</f>
        <v>0</v>
      </c>
      <c r="FT34" s="1161">
        <f>IFERROR(IF(AND($FM$2&lt;&gt;"Enter Spend&gt;&gt;&gt;",FN2="EXISTING"),SUMIFS('Existing Customers'!$U:$U,'Existing Customers'!$H:$H,$FL34,'Existing Customers'!$A:$A,$FM$1),GD34*FM34),0)</f>
        <v>0</v>
      </c>
      <c r="FU34" s="1164" t="e">
        <f t="shared" si="42"/>
        <v>#N/A</v>
      </c>
      <c r="FV34" s="1164">
        <f t="array" ref="FV34">IFERROR(INDEX('Margin Guidence Table'!$A$1:$AG$10000,MATCH(1,('Margin Guidence Table'!$A$1:$A$10000=FU34)*('Margin Guidence Table'!$I$1:$I$10000&lt;=ROUND($FM$3,0))*('Margin Guidence Table'!$J$1:$J$10000&gt;=ROUND($FM$3,0)),0),MATCH("DATA_POINTS",'Margin Guidence Table'!$A$1:$AG$1,0)),0)</f>
        <v>0</v>
      </c>
      <c r="FW34" s="1161" t="str">
        <f t="shared" si="43"/>
        <v>DEFAULT</v>
      </c>
      <c r="FX34" s="116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16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16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16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16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16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16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16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9"/>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96" t="e">
        <f t="shared" si="44"/>
        <v>#DIV/0!</v>
      </c>
      <c r="GI34" s="103" t="s">
        <v>87</v>
      </c>
      <c r="GJ34" s="94">
        <f>IFERROR(IF(AND($GJ$2&lt;&gt;"Enter Spend&gt;&gt;&gt;",GK22="EXISTING"),SUMIFS('Existing Customers'!$Q:$Q,'Existing Customers'!$A:$A,$GJ$1,'Existing Customers'!$H:$H,$GI34)*$GJ$4,$GJ$3*$GH34),0)</f>
        <v>0</v>
      </c>
      <c r="GK34" s="89">
        <f>IFERROR(IF(AND($GJ$2&lt;&gt;"Enter Spend&gt;&gt;&gt;",GK2="EXISTING"),SUMIFS('Existing Customers'!$N:$N,'Existing Customers'!$A:$A,$GJ$1,'Existing Customers'!$H:$H,$GI34)*$GJ$4,$GJ34/$GU34),0)</f>
        <v>0</v>
      </c>
      <c r="GL34" s="95">
        <f>IFERROR(IF(AND($GJ$2&lt;&gt;"Enter Spend&gt;&gt;&gt;",GK2="EXISTING"),SUMIFS('Existing Customers'!$O:$O,'Existing Customers'!$H:$H,$GI34,'Existing Customers'!$A:$A,$GJ$1)*$GJ$4,$GK34*$GJ$8),0)</f>
        <v>0</v>
      </c>
      <c r="GM34" s="95">
        <f>IFERROR(IF(AND($GJ$2&lt;&gt;"Enter Spend&gt;&gt;&gt;",GK2="EXISTING"),SUMIFS('Existing Customers'!$P:$P,'Existing Customers'!$A:$A,$GJ$1,'Existing Customers'!$H:$H,$GI34)*$GJ$4,$GJ34/$GV34),0)</f>
        <v>0</v>
      </c>
      <c r="GN34" s="96">
        <f>IFERROR(IF(AND($GJ$2&lt;&gt;"Enter Spend&gt;&gt;&gt;",GK2="EXISTING"),SUMIFS('Existing Customers'!$V:$V,'Existing Customers'!$H:$H,$GI34,'Existing Customers'!$A:$A,$GJ$1)*$GJ$4,0),0)</f>
        <v>0</v>
      </c>
      <c r="GO34" s="96">
        <f>IFERROR(IF(AND($GJ$2&lt;&gt;"Enter Spend&gt;&gt;&gt;",GK2="EXISTING"),SUMIFS('Existing Customers'!$R:$R,'Existing Customers'!$H:$H,$GI34,'Existing Customers'!$A:$A,$GJ$1)*$GJ$4,0),0)</f>
        <v>0</v>
      </c>
      <c r="GP34" s="1161">
        <f>IFERROR(IF(AND($GJ$2&lt;&gt;"Enter Spend&gt;&gt;&gt;",GK2="EXISTING"),SUMIFS('Existing Customers'!$S:$S,'Existing Customers'!$H:$H,$GI34,'Existing Customers'!$A:$A,$GJ$1),GZ34*GJ34),0)</f>
        <v>0</v>
      </c>
      <c r="GQ34" s="1161">
        <f>IFERROR(IF(AND($GJ$2&lt;&gt;"Enter Spend&gt;&gt;&gt;",GK2="EXISTING"),SUMIFS('Existing Customers'!$U:$U,'Existing Customers'!$H:$H,$GI34,'Existing Customers'!$A:$A,$GJ$1),HA34*GJ34),0)</f>
        <v>0</v>
      </c>
      <c r="GR34" s="1164" t="e">
        <f t="shared" si="45"/>
        <v>#N/A</v>
      </c>
      <c r="GS34" s="1164">
        <f t="array" ref="GS34">IFERROR(INDEX('Margin Guidence Table'!$A$1:$AG$10000,MATCH(1,('Margin Guidence Table'!$A$1:$A$10000=GR34)*('Margin Guidence Table'!$I$1:$I$10000&lt;=ROUND($GJ$3,0))*('Margin Guidence Table'!$J$1:$J$10000&gt;=ROUND($GJ$3,0)),0),MATCH("DATA_POINTS",'Margin Guidence Table'!$A$1:$AG$1,0)),0)</f>
        <v>0</v>
      </c>
      <c r="GT34" s="1161" t="str">
        <f t="shared" si="46"/>
        <v>DEFAULT</v>
      </c>
      <c r="GU34" s="116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16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16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16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16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16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16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16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9"/>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96" t="e">
        <f t="shared" si="47"/>
        <v>#DIV/0!</v>
      </c>
      <c r="HF34" s="103" t="s">
        <v>87</v>
      </c>
      <c r="HG34" s="94">
        <f>IFERROR(IF(AND($HG$2&lt;&gt;"Enter Spend&gt;&gt;&gt;",HH22="EXISTING"),SUMIFS('Existing Customers'!$Q:$Q,'Existing Customers'!$A:$A,$HG$1,'Existing Customers'!$H:$H,$HF34)*$HG$4,$HG$3*$HE34),0)</f>
        <v>0</v>
      </c>
      <c r="HH34" s="89">
        <f>IFERROR(IF(AND($HG$2&lt;&gt;"Enter Spend&gt;&gt;&gt;",HH2="EXISTING"),SUMIFS('Existing Customers'!$N:$N,'Existing Customers'!$A:$A,$HG$1,'Existing Customers'!$H:$H,$HF34)*$HG$4,$HG34/$HR34),0)</f>
        <v>0</v>
      </c>
      <c r="HI34" s="95">
        <f>IFERROR(IF(AND($HG$2&lt;&gt;"Enter Spend&gt;&gt;&gt;",HH2="EXISTING"),SUMIFS('Existing Customers'!$O:$O,'Existing Customers'!$H:$H,$HF34,'Existing Customers'!$A:$A,$HG$1)*$HG$4,$HH34*$HG$8),0)</f>
        <v>0</v>
      </c>
      <c r="HJ34" s="95">
        <f>IFERROR(IF(AND($HG$2&lt;&gt;"Enter Spend&gt;&gt;&gt;",HH2="EXISTING"),SUMIFS('Existing Customers'!$P:$P,'Existing Customers'!$A:$A,$HG$1,'Existing Customers'!$H:$H,$HF34)*$HG$4,$HG34/$HS34),0)</f>
        <v>0</v>
      </c>
      <c r="HK34" s="96">
        <f>IFERROR(IF(AND($HG$2&lt;&gt;"Enter Spend&gt;&gt;&gt;",HH2="EXISTING"),SUMIFS('Existing Customers'!$V:$V,'Existing Customers'!$H:$H,$HF34,'Existing Customers'!$A:$A,$HG$1)*$HG$4,0),0)</f>
        <v>0</v>
      </c>
      <c r="HL34" s="96">
        <f>IFERROR(IF(AND($HG$2&lt;&gt;"Enter Spend&gt;&gt;&gt;",HH2="EXISTING"),SUMIFS('Existing Customers'!$R:$R,'Existing Customers'!$H:$H,$HF34,'Existing Customers'!$A:$A,$HG$1)*$HG$4,0),0)</f>
        <v>0</v>
      </c>
      <c r="HM34" s="1161">
        <f>IFERROR(IF(AND($HG$2&lt;&gt;"Enter Spend&gt;&gt;&gt;",HH2="EXISTING"),SUMIFS('Existing Customers'!$S:$S,'Existing Customers'!$H:$H,$HF34,'Existing Customers'!$A:$A,$HG$1),HW34*HG34),0)</f>
        <v>0</v>
      </c>
      <c r="HN34" s="1161">
        <f>IFERROR(IF(AND($HG$2&lt;&gt;"Enter Spend&gt;&gt;&gt;",HH2="EXISTING"),SUMIFS('Existing Customers'!$U:$U,'Existing Customers'!$H:$H,$HF34,'Existing Customers'!$A:$A,$HG$1),HX34*HG34),0)</f>
        <v>0</v>
      </c>
      <c r="HO34" s="1164" t="e">
        <f t="shared" si="48"/>
        <v>#N/A</v>
      </c>
      <c r="HP34" s="1164">
        <f t="array" ref="HP34">IFERROR(INDEX('Margin Guidence Table'!$A$1:$AG$10000,MATCH(1,('Margin Guidence Table'!$A$1:$A$10000=HO34)*('Margin Guidence Table'!$I$1:$I$10000&lt;=ROUND($HG$3,0))*('Margin Guidence Table'!$J$1:$J$10000&gt;=ROUND($HG$3,0)),0),MATCH("DATA_POINTS",'Margin Guidence Table'!$A$1:$AG$1,0)),0)</f>
        <v>0</v>
      </c>
      <c r="HQ34" s="1161" t="str">
        <f t="shared" si="49"/>
        <v>DEFAULT</v>
      </c>
      <c r="HR34" s="116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16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16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16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16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16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16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16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9"/>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96" t="e">
        <f t="shared" si="50"/>
        <v>#DIV/0!</v>
      </c>
      <c r="IC34" s="103" t="s">
        <v>87</v>
      </c>
      <c r="ID34" s="94">
        <f>IFERROR(IF(AND($ID$2&lt;&gt;"Enter Spend&gt;&gt;&gt;",IE22="EXISTING"),SUMIFS('Existing Customers'!$Q:$Q,'Existing Customers'!$A:$A,$ID$1,'Existing Customers'!$H:$H,$IC34)*$ID$4,$ID$3*$IB34),0)</f>
        <v>0</v>
      </c>
      <c r="IE34" s="89">
        <f>IFERROR(IF(AND($ID$2&lt;&gt;"Enter Spend&gt;&gt;&gt;",IE2="EXISTING"),SUMIFS('Existing Customers'!$N:$N,'Existing Customers'!$A:$A,$ID$1,'Existing Customers'!$H:$H,$IC34)*$ID$4,$ID34/$IO34),0)</f>
        <v>0</v>
      </c>
      <c r="IF34" s="95">
        <f>IFERROR(IF(AND($ID$2&lt;&gt;"Enter Spend&gt;&gt;&gt;",IE2="EXISTING"),SUMIFS('Existing Customers'!$O:$O,'Existing Customers'!$H:$H,$IC34,'Existing Customers'!$A:$A,$ID$1)*$ID$4,$IE34*$ID$8),0)</f>
        <v>0</v>
      </c>
      <c r="IG34" s="95">
        <f>IFERROR(IF(AND($ID$2&lt;&gt;"Enter Spend&gt;&gt;&gt;",IE2="EXISTING"),SUMIFS('Existing Customers'!$P:$P,'Existing Customers'!$A:$A,$ID$1,'Existing Customers'!$H:$H,$IC34)*$ID$4,$ID34/$IP34),0)</f>
        <v>0</v>
      </c>
      <c r="IH34" s="402">
        <f>IFERROR(IF(AND($ID$2&lt;&gt;"Enter Spend&gt;&gt;&gt;",IE2="EXISTING"),SUMIFS('Existing Customers'!$V:$V,'Existing Customers'!$H:$H,$IC34,'Existing Customers'!$A:$A,$ID$1)*$ID$4,0),0)</f>
        <v>0</v>
      </c>
      <c r="II34" s="96">
        <f>IFERROR(IF(AND($ID$2&lt;&gt;"Enter Spend&gt;&gt;&gt;",IE2="EXISTING"),SUMIFS('Existing Customers'!$R:$R,'Existing Customers'!$H:$H,$IC34,'Existing Customers'!$A:$A,$ID$1)*$ID$4,0),0)</f>
        <v>0</v>
      </c>
      <c r="IJ34" s="1161">
        <f>IFERROR(IF(AND($ID$2&lt;&gt;"Enter Spend&gt;&gt;&gt;",IE2="EXISTING"),SUMIFS('Existing Customers'!$S:$S,'Existing Customers'!$H:$H,$IC34,'Existing Customers'!$A:$A,$ID$1),IT34*ID34),0)</f>
        <v>0</v>
      </c>
      <c r="IK34" s="1161">
        <f>IFERROR(IF(AND($ID$2&lt;&gt;"Enter Spend&gt;&gt;&gt;",IE2="EXISTING"),SUMIFS('Existing Customers'!$U:$U,'Existing Customers'!$H:$H,$IC34,'Existing Customers'!$A:$A,$ID$1),IU34*ID34),0)</f>
        <v>0</v>
      </c>
      <c r="IL34" s="1164" t="e">
        <f t="shared" si="51"/>
        <v>#N/A</v>
      </c>
      <c r="IM34" s="1164">
        <f t="array" ref="IM34">IFERROR(INDEX('Margin Guidence Table'!$A$1:$AG$10000,MATCH(1,('Margin Guidence Table'!$A$1:$A$10000=IL34)*('Margin Guidence Table'!$I$1:$I$10000&lt;=ROUND($ID$3,0))*('Margin Guidence Table'!$J$1:$J$10000&gt;=ROUND($ID$3,0)),0),MATCH("DATA_POINTS",'Margin Guidence Table'!$A$1:$AG$1,0)),0)</f>
        <v>0</v>
      </c>
      <c r="IN34" s="1161" t="str">
        <f t="shared" si="52"/>
        <v>DEFAULT</v>
      </c>
      <c r="IO34" s="116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16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16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16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16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16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16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16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9"/>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96" t="e">
        <f t="shared" si="53"/>
        <v>#DIV/0!</v>
      </c>
      <c r="IZ34" s="103" t="s">
        <v>87</v>
      </c>
      <c r="JA34" s="94">
        <f>IFERROR(IF(AND($JA$2&lt;&gt;"Enter Spend&gt;&gt;&gt;",JB22="EXISTING"),SUMIFS('Existing Customers'!$Q:$Q,'Existing Customers'!$A:$A,$JA$1,'Existing Customers'!$H:$H,$IZ34)*$JA$4,$JA$3*$IY34),0)</f>
        <v>0</v>
      </c>
      <c r="JB34" s="89">
        <f>IFERROR(IF(AND($JA$2&lt;&gt;"Enter Spend&gt;&gt;&gt;",JB2="EXISTING"),SUMIFS('Existing Customers'!$N:$N,'Existing Customers'!$A:$A,$JA$1,'Existing Customers'!$H:$H,$IZ34)*$JA$4,$JA34/$JL34),0)</f>
        <v>0</v>
      </c>
      <c r="JC34" s="95">
        <f>IFERROR(IF(AND($JA$2&lt;&gt;"Enter Spend&gt;&gt;&gt;",JB2="EXISTING"),SUMIFS('Existing Customers'!$O:$O,'Existing Customers'!$H:$H,$IZ34,'Existing Customers'!$A:$A,$JA$1)*$JA$4,$JB34*$JA$8),0)</f>
        <v>0</v>
      </c>
      <c r="JD34" s="95">
        <f>IFERROR(IF(AND($JA$2&lt;&gt;"Enter Spend&gt;&gt;&gt;",JB2="EXISTING"),SUMIFS('Existing Customers'!$P:$P,'Existing Customers'!$A:$A,$JA$1,'Existing Customers'!$H:$H,$IZ34)*$JA$4,$JA34/$JM34),0)</f>
        <v>0</v>
      </c>
      <c r="JE34" s="402">
        <f>IFERROR(IF(AND($JA$2&lt;&gt;"Enter Spend&gt;&gt;&gt;",JB2="EXISTING"),SUMIFS('Existing Customers'!$V:$V,'Existing Customers'!$H:$H,$IZ34,'Existing Customers'!$A:$A,$JA$1)*$JA$4,0),0)</f>
        <v>0</v>
      </c>
      <c r="JF34" s="96">
        <f>IFERROR(IF(AND($JA$2&lt;&gt;"Enter Spend&gt;&gt;&gt;",JB2="EXISTING"),SUMIFS('Existing Customers'!$R:$R,'Existing Customers'!$H:$H,$IZ34,'Existing Customers'!$A:$A,$JA$1)*$JA$4,0),0)</f>
        <v>0</v>
      </c>
      <c r="JG34" s="1161">
        <f>IFERROR(IF(AND($JA$2&lt;&gt;"Enter Spend&gt;&gt;&gt;",JB2="EXISTING"),SUMIFS('Existing Customers'!$S:$S,'Existing Customers'!$H:$H,$IZ34,'Existing Customers'!$A:$A,$JA$1),JQ34*JA34),0)</f>
        <v>0</v>
      </c>
      <c r="JH34" s="1161">
        <f>IFERROR(IF(AND($JA$2&lt;&gt;"Enter Spend&gt;&gt;&gt;",JB2="EXISTING"),SUMIFS('Existing Customers'!$U:$U,'Existing Customers'!$H:$H,$IZ34,'Existing Customers'!$A:$A,$JA$1),JR34*JA34),0)</f>
        <v>0</v>
      </c>
      <c r="JI34" s="1164" t="e">
        <f t="shared" si="54"/>
        <v>#N/A</v>
      </c>
      <c r="JJ34" s="1164">
        <f t="array" ref="JJ34">IFERROR(INDEX('Margin Guidence Table'!$A$1:$AG$10000,MATCH(1,('Margin Guidence Table'!$A$1:$A$10000=JI34)*('Margin Guidence Table'!$I$1:$I$10000&lt;=ROUND($JA$3,0))*('Margin Guidence Table'!$J$1:$J$10000&gt;=ROUND($JA$3,0)),0),MATCH("DATA_POINTS",'Margin Guidence Table'!$A$1:$AG$1,0)),0)</f>
        <v>0</v>
      </c>
      <c r="JK34" s="1161" t="str">
        <f t="shared" si="55"/>
        <v>DEFAULT</v>
      </c>
      <c r="JL34" s="116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16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16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16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16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16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16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16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3" t="s">
        <v>87</v>
      </c>
      <c r="JV34" s="99"/>
      <c r="JW34" s="89"/>
      <c r="JX34" s="100"/>
      <c r="JY34" s="100"/>
      <c r="JZ34" s="115"/>
      <c r="KA34" s="101"/>
      <c r="KB34" s="129"/>
      <c r="KD34" s="103" t="s">
        <v>87</v>
      </c>
      <c r="KE34" s="99"/>
      <c r="KF34" s="89"/>
      <c r="KG34" s="100"/>
      <c r="KH34" s="100"/>
      <c r="KI34" s="115"/>
      <c r="KJ34" s="101"/>
    </row>
    <row r="35" spans="2:296" ht="15.75" thickBot="1" x14ac:dyDescent="0.3">
      <c r="C35" s="105">
        <f>SUM(C14:C34)</f>
        <v>0</v>
      </c>
      <c r="D35" s="106">
        <f>SUM(D14:D34)</f>
        <v>0</v>
      </c>
      <c r="E35" s="106">
        <f>SUM(E14:E34)</f>
        <v>0</v>
      </c>
      <c r="F35" s="106">
        <f>SUM(F14:F34)</f>
        <v>0</v>
      </c>
      <c r="G35" s="107">
        <f>SUM(G14:G34)</f>
        <v>0</v>
      </c>
      <c r="H35" s="108"/>
      <c r="I35" s="1159" t="e">
        <f t="shared" si="0"/>
        <v>#DIV/0!</v>
      </c>
      <c r="J35" s="1159" t="e">
        <f t="shared" si="1"/>
        <v>#DIV/0!</v>
      </c>
      <c r="K35" s="1159" t="e">
        <f t="shared" si="2"/>
        <v>#DIV/0!</v>
      </c>
      <c r="L35" s="1160" t="e">
        <f>SUM(L14:L34)</f>
        <v>#DIV/0!</v>
      </c>
      <c r="M35" s="1159" t="e">
        <f t="shared" si="17"/>
        <v>#DIV/0!</v>
      </c>
      <c r="N35" s="496" t="e">
        <f t="shared" si="4"/>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57">IFERROR(AC35/AB35,0)</f>
        <v>0</v>
      </c>
      <c r="AF35" s="495">
        <f t="shared" ref="AF35" si="58">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AY35" s="1187">
        <f>SUM(AY14:AY34)</f>
        <v>0</v>
      </c>
      <c r="AZ35" s="396" t="e">
        <f>SUM(AZ14:AZ34)</f>
        <v>#DIV/0!</v>
      </c>
      <c r="BB35" s="105">
        <f t="shared" ref="BB35:BG35" si="59">SUM(BB14:BB34)</f>
        <v>0</v>
      </c>
      <c r="BC35" s="106">
        <f t="shared" si="59"/>
        <v>0</v>
      </c>
      <c r="BD35" s="106">
        <f t="shared" si="59"/>
        <v>0</v>
      </c>
      <c r="BE35" s="106">
        <f t="shared" si="59"/>
        <v>0</v>
      </c>
      <c r="BF35" s="403">
        <f t="shared" si="59"/>
        <v>0</v>
      </c>
      <c r="BG35" s="107">
        <f t="shared" si="59"/>
        <v>0</v>
      </c>
      <c r="BH35" s="96">
        <f>SUM(BH14:BH34)</f>
        <v>0</v>
      </c>
      <c r="BI35" s="96">
        <f>SUM(BI14:BI34)</f>
        <v>0</v>
      </c>
      <c r="BJ35" s="1155"/>
      <c r="BK35" s="1155"/>
      <c r="BL35" s="1155"/>
      <c r="BM35" s="1155"/>
      <c r="BN35" s="1155"/>
      <c r="BO35" s="1155"/>
      <c r="BP35" s="1155"/>
      <c r="BQ35" s="1155"/>
      <c r="BR35" s="1155"/>
      <c r="BS35" s="1155"/>
      <c r="BT35" s="1155"/>
      <c r="BU35" s="396"/>
      <c r="BV35" s="396">
        <f>SUM(BV14:BV34)</f>
        <v>0</v>
      </c>
      <c r="BW35" s="396" t="e">
        <f>SUM(BW14:BW34)</f>
        <v>#DIV/0!</v>
      </c>
      <c r="BY35" s="105">
        <f t="shared" ref="BY35:CD35" si="60">SUM(BY14:BY34)</f>
        <v>0</v>
      </c>
      <c r="BZ35" s="106">
        <f t="shared" si="60"/>
        <v>0</v>
      </c>
      <c r="CA35" s="106">
        <f t="shared" si="60"/>
        <v>0</v>
      </c>
      <c r="CB35" s="106">
        <f t="shared" si="60"/>
        <v>0</v>
      </c>
      <c r="CC35" s="107">
        <f t="shared" si="60"/>
        <v>0</v>
      </c>
      <c r="CD35" s="107">
        <f t="shared" si="60"/>
        <v>0</v>
      </c>
      <c r="CE35" s="107">
        <f t="shared" ref="CE35:CF35" si="61">SUM(CE14:CE34)</f>
        <v>0</v>
      </c>
      <c r="CF35" s="107">
        <f t="shared" si="61"/>
        <v>0</v>
      </c>
      <c r="CG35" s="1155"/>
      <c r="CH35" s="1155"/>
      <c r="CI35" s="1155"/>
      <c r="CJ35" s="1155"/>
      <c r="CK35" s="1155"/>
      <c r="CL35" s="1155"/>
      <c r="CM35" s="1155"/>
      <c r="CN35" s="1155"/>
      <c r="CO35" s="1155"/>
      <c r="CP35" s="1155"/>
      <c r="CQ35" s="1155"/>
      <c r="CR35" s="108"/>
      <c r="CS35" s="396">
        <f>SUM(CS14:CS34)</f>
        <v>0</v>
      </c>
      <c r="CT35" s="396" t="e">
        <f>SUM(CT14:CT34)</f>
        <v>#DIV/0!</v>
      </c>
      <c r="CV35" s="105">
        <f t="shared" ref="CV35:DA35" si="62">SUM(CV14:CV34)</f>
        <v>0</v>
      </c>
      <c r="CW35" s="106">
        <f t="shared" si="62"/>
        <v>0</v>
      </c>
      <c r="CX35" s="106">
        <f t="shared" si="62"/>
        <v>0</v>
      </c>
      <c r="CY35" s="106">
        <f t="shared" si="62"/>
        <v>0</v>
      </c>
      <c r="CZ35" s="107">
        <f t="shared" si="62"/>
        <v>0</v>
      </c>
      <c r="DA35" s="107">
        <f t="shared" si="62"/>
        <v>0</v>
      </c>
      <c r="DB35" s="107">
        <f t="shared" ref="DB35:DC35" si="63">SUM(DB14:DB34)</f>
        <v>0</v>
      </c>
      <c r="DC35" s="107">
        <f t="shared" si="63"/>
        <v>0</v>
      </c>
      <c r="DD35" s="1155"/>
      <c r="DE35" s="1155"/>
      <c r="DF35" s="1155"/>
      <c r="DG35" s="1155"/>
      <c r="DH35" s="1155"/>
      <c r="DI35" s="1155"/>
      <c r="DJ35" s="1155"/>
      <c r="DK35" s="1155"/>
      <c r="DL35" s="1155"/>
      <c r="DM35" s="1155"/>
      <c r="DN35" s="1155"/>
      <c r="DO35" s="108"/>
      <c r="DP35" s="396">
        <f>SUM(DP14:DP34)</f>
        <v>0</v>
      </c>
      <c r="DQ35" s="396" t="e">
        <f>SUM(DQ14:DQ34)</f>
        <v>#DIV/0!</v>
      </c>
      <c r="DS35" s="105">
        <f t="shared" ref="DS35:DX35" si="64">SUM(DS14:DS34)</f>
        <v>0</v>
      </c>
      <c r="DT35" s="106">
        <f t="shared" si="64"/>
        <v>0</v>
      </c>
      <c r="DU35" s="106">
        <f t="shared" si="64"/>
        <v>0</v>
      </c>
      <c r="DV35" s="106">
        <f t="shared" si="64"/>
        <v>0</v>
      </c>
      <c r="DW35" s="107">
        <f t="shared" si="64"/>
        <v>0</v>
      </c>
      <c r="DX35" s="107">
        <f t="shared" si="64"/>
        <v>0</v>
      </c>
      <c r="DY35" s="107">
        <f t="shared" ref="DY35:DZ35" si="65">SUM(DY14:DY34)</f>
        <v>0</v>
      </c>
      <c r="DZ35" s="107">
        <f t="shared" si="65"/>
        <v>0</v>
      </c>
      <c r="EA35" s="1155"/>
      <c r="EB35" s="1155"/>
      <c r="EC35" s="1155"/>
      <c r="ED35" s="1155"/>
      <c r="EE35" s="1155"/>
      <c r="EF35" s="1155"/>
      <c r="EG35" s="1155"/>
      <c r="EH35" s="1155"/>
      <c r="EI35" s="1155"/>
      <c r="EJ35" s="1155"/>
      <c r="EK35" s="1155"/>
      <c r="EL35" s="108"/>
      <c r="EM35" s="396">
        <f>SUM(EM14:EM34)</f>
        <v>0</v>
      </c>
      <c r="EN35" s="396" t="e">
        <f>SUM(EN14:EN34)</f>
        <v>#DIV/0!</v>
      </c>
      <c r="EP35" s="105">
        <f t="shared" ref="EP35:EU35" si="66">SUM(EP14:EP34)</f>
        <v>0</v>
      </c>
      <c r="EQ35" s="106">
        <f t="shared" si="66"/>
        <v>0</v>
      </c>
      <c r="ER35" s="106">
        <f t="shared" si="66"/>
        <v>0</v>
      </c>
      <c r="ES35" s="106">
        <f t="shared" si="66"/>
        <v>0</v>
      </c>
      <c r="ET35" s="107">
        <f t="shared" si="66"/>
        <v>0</v>
      </c>
      <c r="EU35" s="107">
        <f t="shared" si="66"/>
        <v>0</v>
      </c>
      <c r="EV35" s="107">
        <f t="shared" ref="EV35:EW35" si="67">SUM(EV14:EV34)</f>
        <v>0</v>
      </c>
      <c r="EW35" s="107">
        <f t="shared" si="67"/>
        <v>0</v>
      </c>
      <c r="EX35" s="1155"/>
      <c r="EY35" s="1155"/>
      <c r="EZ35" s="1155"/>
      <c r="FA35" s="1155"/>
      <c r="FB35" s="1155"/>
      <c r="FC35" s="1155"/>
      <c r="FD35" s="1155"/>
      <c r="FE35" s="1155"/>
      <c r="FF35" s="1155"/>
      <c r="FG35" s="1155"/>
      <c r="FH35" s="1155"/>
      <c r="FI35" s="108"/>
      <c r="FJ35" s="396">
        <f>SUM(FJ14:FJ34)</f>
        <v>0</v>
      </c>
      <c r="FK35" s="396" t="e">
        <f>SUM(FK14:FK34)</f>
        <v>#DIV/0!</v>
      </c>
      <c r="FM35" s="105">
        <f t="shared" ref="FM35:FR35" si="68">SUM(FM14:FM34)</f>
        <v>0</v>
      </c>
      <c r="FN35" s="106">
        <f t="shared" si="68"/>
        <v>0</v>
      </c>
      <c r="FO35" s="106">
        <f t="shared" si="68"/>
        <v>0</v>
      </c>
      <c r="FP35" s="106">
        <f t="shared" si="68"/>
        <v>0</v>
      </c>
      <c r="FQ35" s="107">
        <f t="shared" si="68"/>
        <v>0</v>
      </c>
      <c r="FR35" s="107">
        <f t="shared" si="68"/>
        <v>0</v>
      </c>
      <c r="FS35" s="107">
        <f t="shared" ref="FS35:FT35" si="69">SUM(FS14:FS34)</f>
        <v>0</v>
      </c>
      <c r="FT35" s="107">
        <f t="shared" si="69"/>
        <v>0</v>
      </c>
      <c r="FU35" s="1155"/>
      <c r="FV35" s="1155"/>
      <c r="FW35" s="1155"/>
      <c r="FX35" s="1155"/>
      <c r="FY35" s="1155"/>
      <c r="FZ35" s="1155"/>
      <c r="GA35" s="1155"/>
      <c r="GB35" s="1155"/>
      <c r="GC35" s="1155"/>
      <c r="GD35" s="1155"/>
      <c r="GE35" s="1155"/>
      <c r="GF35" s="108"/>
      <c r="GH35" s="396" t="e">
        <f>SUM(GH14:GH34)</f>
        <v>#DIV/0!</v>
      </c>
      <c r="GJ35" s="105">
        <f t="shared" ref="GJ35:GO35" si="70">SUM(GJ14:GJ34)</f>
        <v>0</v>
      </c>
      <c r="GK35" s="106">
        <f t="shared" si="70"/>
        <v>0</v>
      </c>
      <c r="GL35" s="106">
        <f t="shared" si="70"/>
        <v>0</v>
      </c>
      <c r="GM35" s="106">
        <f t="shared" si="70"/>
        <v>0</v>
      </c>
      <c r="GN35" s="107">
        <f t="shared" si="70"/>
        <v>0</v>
      </c>
      <c r="GO35" s="107">
        <f t="shared" si="70"/>
        <v>0</v>
      </c>
      <c r="GP35" s="107">
        <f t="shared" ref="GP35:GQ35" si="71">SUM(GP14:GP34)</f>
        <v>0</v>
      </c>
      <c r="GQ35" s="107">
        <f t="shared" si="71"/>
        <v>0</v>
      </c>
      <c r="GR35" s="1155"/>
      <c r="GS35" s="1155"/>
      <c r="GT35" s="1155"/>
      <c r="GU35" s="1155"/>
      <c r="GV35" s="1155"/>
      <c r="GW35" s="1155"/>
      <c r="GX35" s="1155"/>
      <c r="GY35" s="1155"/>
      <c r="GZ35" s="1155"/>
      <c r="HA35" s="1155"/>
      <c r="HB35" s="1155"/>
      <c r="HC35" s="108"/>
      <c r="HE35" s="396" t="e">
        <f>SUM(HE14:HE34)</f>
        <v>#DIV/0!</v>
      </c>
      <c r="HG35" s="105">
        <f t="shared" ref="HG35:HL35" si="72">SUM(HG14:HG34)</f>
        <v>0</v>
      </c>
      <c r="HH35" s="106">
        <f t="shared" si="72"/>
        <v>0</v>
      </c>
      <c r="HI35" s="106">
        <f t="shared" si="72"/>
        <v>0</v>
      </c>
      <c r="HJ35" s="106">
        <f t="shared" si="72"/>
        <v>0</v>
      </c>
      <c r="HK35" s="107">
        <f t="shared" si="72"/>
        <v>0</v>
      </c>
      <c r="HL35" s="107">
        <f t="shared" si="72"/>
        <v>0</v>
      </c>
      <c r="HM35" s="107">
        <f t="shared" ref="HM35:HN35" si="73">SUM(HM14:HM34)</f>
        <v>0</v>
      </c>
      <c r="HN35" s="107">
        <f t="shared" si="73"/>
        <v>0</v>
      </c>
      <c r="HO35" s="1155"/>
      <c r="HP35" s="1155"/>
      <c r="HQ35" s="1155"/>
      <c r="HR35" s="1155"/>
      <c r="HS35" s="1155"/>
      <c r="HT35" s="1155"/>
      <c r="HU35" s="1155"/>
      <c r="HV35" s="1155"/>
      <c r="HW35" s="1155"/>
      <c r="HX35" s="1155"/>
      <c r="HY35" s="1155"/>
      <c r="HZ35" s="108"/>
      <c r="IB35" s="396" t="e">
        <f>SUM(IB14:IB34)</f>
        <v>#DIV/0!</v>
      </c>
      <c r="ID35" s="105">
        <f t="shared" ref="ID35:II35" si="74">SUM(ID14:ID34)</f>
        <v>0</v>
      </c>
      <c r="IE35" s="106">
        <f t="shared" si="74"/>
        <v>0</v>
      </c>
      <c r="IF35" s="106">
        <f t="shared" si="74"/>
        <v>0</v>
      </c>
      <c r="IG35" s="106">
        <f t="shared" si="74"/>
        <v>0</v>
      </c>
      <c r="IH35" s="403">
        <f t="shared" si="74"/>
        <v>0</v>
      </c>
      <c r="II35" s="107">
        <f t="shared" si="74"/>
        <v>0</v>
      </c>
      <c r="IJ35" s="107">
        <f t="shared" ref="IJ35:IK35" si="75">SUM(IJ14:IJ34)</f>
        <v>0</v>
      </c>
      <c r="IK35" s="107">
        <f t="shared" si="75"/>
        <v>0</v>
      </c>
      <c r="IL35" s="1155"/>
      <c r="IM35" s="1155"/>
      <c r="IN35" s="1155"/>
      <c r="IO35" s="1155"/>
      <c r="IP35" s="1155"/>
      <c r="IQ35" s="1155"/>
      <c r="IR35" s="1155"/>
      <c r="IS35" s="1155"/>
      <c r="IT35" s="1155"/>
      <c r="IU35" s="1155"/>
      <c r="IV35" s="1155"/>
      <c r="IW35" s="108"/>
      <c r="IY35" s="396" t="e">
        <f>SUM(IY14:IY34)</f>
        <v>#DIV/0!</v>
      </c>
      <c r="JA35" s="105">
        <f t="shared" ref="JA35:JF35" si="76">SUM(JA14:JA34)</f>
        <v>0</v>
      </c>
      <c r="JB35" s="106">
        <f t="shared" si="76"/>
        <v>0</v>
      </c>
      <c r="JC35" s="106">
        <f t="shared" si="76"/>
        <v>0</v>
      </c>
      <c r="JD35" s="106">
        <f t="shared" si="76"/>
        <v>0</v>
      </c>
      <c r="JE35" s="403">
        <f t="shared" si="76"/>
        <v>0</v>
      </c>
      <c r="JF35" s="107">
        <f t="shared" si="76"/>
        <v>0</v>
      </c>
      <c r="JG35" s="107">
        <f t="shared" ref="JG35:JH35" si="77">SUM(JG14:JG34)</f>
        <v>0</v>
      </c>
      <c r="JH35" s="107">
        <f t="shared" si="77"/>
        <v>0</v>
      </c>
      <c r="JI35" s="1155"/>
      <c r="JJ35" s="1155"/>
      <c r="JK35" s="1155"/>
      <c r="JL35" s="1155"/>
      <c r="JM35" s="1155"/>
      <c r="JN35" s="1155"/>
      <c r="JO35" s="1155"/>
      <c r="JP35" s="1155"/>
      <c r="JQ35" s="1155"/>
      <c r="JR35" s="1155"/>
      <c r="JS35" s="1155"/>
      <c r="JV35" s="105"/>
      <c r="JW35" s="106"/>
      <c r="JX35" s="106"/>
      <c r="JY35" s="106"/>
      <c r="JZ35" s="403"/>
      <c r="KA35" s="107"/>
      <c r="KB35" s="108"/>
      <c r="KE35" s="105"/>
      <c r="KF35" s="106"/>
      <c r="KG35" s="106"/>
      <c r="KH35" s="106"/>
      <c r="KI35" s="403"/>
      <c r="KJ35" s="107"/>
    </row>
    <row r="36" spans="2:296" ht="15.75" thickBot="1" x14ac:dyDescent="0.3">
      <c r="C36" s="23"/>
      <c r="E36" s="459" t="e">
        <f>E35/D35</f>
        <v>#DIV/0!</v>
      </c>
      <c r="BC36" s="499"/>
    </row>
    <row r="37" spans="2:296" x14ac:dyDescent="0.25">
      <c r="R37" s="358"/>
      <c r="S37" s="461" t="s">
        <v>856</v>
      </c>
      <c r="T37" s="361"/>
      <c r="Z37" s="467">
        <f>RANK(AB37,$AB$36:$AB$38)</f>
        <v>1</v>
      </c>
      <c r="AA37" s="461" t="s">
        <v>1468</v>
      </c>
      <c r="AB37" s="468">
        <f>COUNTIF($BA$51:$IZ$51,AA37)</f>
        <v>0</v>
      </c>
      <c r="AG37" s="358">
        <v>1</v>
      </c>
      <c r="AH37" s="1147" t="str">
        <f>IF($AH$38&gt;1,"MULTIPLE TYPES",VLOOKUP(AG37,$Z$38:$AA$65,2,FALSE))</f>
        <v>Enter Customer(s)</v>
      </c>
      <c r="AI37" s="361"/>
    </row>
    <row r="38" spans="2:296" x14ac:dyDescent="0.25">
      <c r="R38" s="462">
        <f>RANK(T38,$T$39:$T$43)</f>
        <v>1</v>
      </c>
      <c r="S38" s="460" t="s">
        <v>951</v>
      </c>
      <c r="T38" s="463">
        <f t="shared" ref="T38" si="78">COUNTIF($BB$47:$JA$47,S38)</f>
        <v>0</v>
      </c>
      <c r="Z38" s="462">
        <f>RANK(AB38,$AB$38:$AB$38)</f>
        <v>1</v>
      </c>
      <c r="AA38" s="460" t="s">
        <v>951</v>
      </c>
      <c r="AB38" s="463">
        <f>COUNTIF($BA$53:$JB$53,AA38)</f>
        <v>0</v>
      </c>
      <c r="AG38" s="469" t="s">
        <v>861</v>
      </c>
      <c r="AH38" s="470">
        <f>COUNTIF($Z$38:$Z$65,1)</f>
        <v>1</v>
      </c>
      <c r="AI38" s="141"/>
      <c r="BA38" s="104" t="s">
        <v>843</v>
      </c>
      <c r="BB38" s="86">
        <f>BB1</f>
        <v>0</v>
      </c>
      <c r="BX38" s="104" t="s">
        <v>843</v>
      </c>
      <c r="BY38" s="86">
        <f>BY1</f>
        <v>0</v>
      </c>
      <c r="CU38" s="104" t="s">
        <v>843</v>
      </c>
      <c r="CV38" s="86">
        <f>CV1</f>
        <v>0</v>
      </c>
      <c r="DR38" s="104" t="s">
        <v>843</v>
      </c>
      <c r="DS38" s="86">
        <f>DS1</f>
        <v>0</v>
      </c>
      <c r="EO38" s="104" t="s">
        <v>843</v>
      </c>
      <c r="EP38" s="86">
        <f>EP1</f>
        <v>0</v>
      </c>
      <c r="FL38" s="104" t="s">
        <v>843</v>
      </c>
      <c r="FM38" s="86">
        <f>FM1</f>
        <v>0</v>
      </c>
      <c r="GI38" s="104" t="s">
        <v>843</v>
      </c>
      <c r="GJ38" s="86">
        <f>GJ1</f>
        <v>0</v>
      </c>
      <c r="HF38" s="104" t="s">
        <v>843</v>
      </c>
      <c r="HG38" s="86">
        <f>HG1</f>
        <v>0</v>
      </c>
      <c r="IC38" s="104" t="s">
        <v>843</v>
      </c>
      <c r="ID38" s="86">
        <f>ID1</f>
        <v>0</v>
      </c>
      <c r="IZ38" s="104" t="s">
        <v>843</v>
      </c>
      <c r="JA38" s="86">
        <f>JA1</f>
        <v>0</v>
      </c>
    </row>
    <row r="39" spans="2:296" x14ac:dyDescent="0.25">
      <c r="R39" s="462">
        <f t="shared" ref="R39:R47" si="79">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BA39" s="104" t="s">
        <v>844</v>
      </c>
      <c r="BB39" s="86" t="e">
        <f>VLOOKUP(BB$1,'Existing Customers'!$A:$AA,2,FALSE)</f>
        <v>#N/A</v>
      </c>
      <c r="BX39" s="104" t="s">
        <v>844</v>
      </c>
      <c r="BY39" s="86" t="e">
        <f>VLOOKUP(BY$1,'Existing Customers'!$A:$AA,2,FALSE)</f>
        <v>#N/A</v>
      </c>
      <c r="CU39" s="104" t="s">
        <v>844</v>
      </c>
      <c r="CV39" s="86" t="e">
        <f>VLOOKUP(CV$1,'Existing Customers'!$A:$AA,2,FALSE)</f>
        <v>#N/A</v>
      </c>
      <c r="DR39" s="104" t="s">
        <v>844</v>
      </c>
      <c r="DS39" s="86" t="e">
        <f>VLOOKUP(DS$1,'Existing Customers'!$A:$AA,2,FALSE)</f>
        <v>#N/A</v>
      </c>
      <c r="EO39" s="104" t="s">
        <v>844</v>
      </c>
      <c r="EP39" s="86" t="e">
        <f>VLOOKUP(EP$1,'Existing Customers'!$A:$AA,2,FALSE)</f>
        <v>#N/A</v>
      </c>
      <c r="FL39" s="104" t="s">
        <v>844</v>
      </c>
      <c r="FM39" s="86" t="e">
        <f>VLOOKUP(FM$1,'Existing Customers'!$A:$AA,2,FALSE)</f>
        <v>#N/A</v>
      </c>
      <c r="GI39" s="104" t="s">
        <v>844</v>
      </c>
      <c r="GJ39" s="86" t="e">
        <f>VLOOKUP(GJ$1,'Existing Customers'!$A:$AA,2,FALSE)</f>
        <v>#N/A</v>
      </c>
      <c r="HF39" s="104" t="s">
        <v>844</v>
      </c>
      <c r="HG39" s="86" t="e">
        <f>VLOOKUP(HG$1,'Existing Customers'!$A:$AA,2,FALSE)</f>
        <v>#N/A</v>
      </c>
      <c r="IC39" s="104" t="s">
        <v>844</v>
      </c>
      <c r="ID39" s="86" t="e">
        <f>VLOOKUP(ID$1,'Existing Customers'!$A:$AA,2,FALSE)</f>
        <v>#N/A</v>
      </c>
      <c r="IZ39" s="104" t="s">
        <v>844</v>
      </c>
      <c r="JA39" s="86" t="e">
        <f>VLOOKUP(JA$1,'Existing Customers'!$A:$AA,2,FALSE)</f>
        <v>#N/A</v>
      </c>
    </row>
    <row r="40" spans="2:296" ht="15.75" thickBot="1" x14ac:dyDescent="0.3">
      <c r="R40" s="462">
        <f t="shared" si="79"/>
        <v>1</v>
      </c>
      <c r="S40" s="460" t="s">
        <v>114</v>
      </c>
      <c r="T40" s="463">
        <f>COUNTIF('Variable Costs (Back)'!$C$15:$C$24,S40)</f>
        <v>0</v>
      </c>
      <c r="Z40" s="462"/>
      <c r="AA40" s="460"/>
      <c r="AB40" s="463"/>
      <c r="AG40" s="471" t="s">
        <v>971</v>
      </c>
      <c r="AH40" s="472" t="str">
        <f>IF(COUNTIF($AB$39:$AB$65,"&gt;0")&gt;1,"MULTIPLE TYPES",$AH$37)</f>
        <v>Enter Customer(s)</v>
      </c>
      <c r="AI40" s="289"/>
      <c r="BA40" s="104" t="s">
        <v>120</v>
      </c>
      <c r="BB40" s="86" t="e">
        <f>VLOOKUP(BB$1,'Existing Customers'!$A:$AA,12,FALSE)</f>
        <v>#N/A</v>
      </c>
      <c r="BX40" s="104" t="s">
        <v>120</v>
      </c>
      <c r="BY40" s="86" t="e">
        <f>VLOOKUP(BY$1,'Existing Customers'!$A:$AA,12,FALSE)</f>
        <v>#N/A</v>
      </c>
      <c r="CU40" s="104" t="s">
        <v>120</v>
      </c>
      <c r="CV40" s="86" t="e">
        <f>VLOOKUP(CV$1,'Existing Customers'!$A:$AA,12,FALSE)</f>
        <v>#N/A</v>
      </c>
      <c r="DR40" s="104" t="s">
        <v>120</v>
      </c>
      <c r="DS40" s="86" t="e">
        <f>VLOOKUP(DS$1,'Existing Customers'!$A:$AA,12,FALSE)</f>
        <v>#N/A</v>
      </c>
      <c r="EO40" s="104" t="s">
        <v>120</v>
      </c>
      <c r="EP40" s="86" t="e">
        <f>VLOOKUP(EP$1,'Existing Customers'!$A:$AA,12,FALSE)</f>
        <v>#N/A</v>
      </c>
      <c r="FL40" s="104" t="s">
        <v>120</v>
      </c>
      <c r="FM40" s="86" t="e">
        <f>VLOOKUP(FM$1,'Existing Customers'!$A:$AA,12,FALSE)</f>
        <v>#N/A</v>
      </c>
      <c r="GI40" s="104" t="s">
        <v>120</v>
      </c>
      <c r="GJ40" s="86" t="e">
        <f>VLOOKUP(GJ$1,'Existing Customers'!$A:$AA,12,FALSE)</f>
        <v>#N/A</v>
      </c>
      <c r="HF40" s="104" t="s">
        <v>120</v>
      </c>
      <c r="HG40" s="86" t="e">
        <f>VLOOKUP(HG$1,'Existing Customers'!$A:$AA,12,FALSE)</f>
        <v>#N/A</v>
      </c>
      <c r="IC40" s="104" t="s">
        <v>120</v>
      </c>
      <c r="ID40" s="86" t="e">
        <f>VLOOKUP(ID$1,'Existing Customers'!$A:$AA,12,FALSE)</f>
        <v>#N/A</v>
      </c>
      <c r="IZ40" s="104" t="s">
        <v>120</v>
      </c>
      <c r="JA40" s="86" t="e">
        <f>VLOOKUP(JA$1,'Existing Customers'!$A:$AA,12,FALSE)</f>
        <v>#N/A</v>
      </c>
    </row>
    <row r="41" spans="2:296" x14ac:dyDescent="0.25">
      <c r="R41" s="462">
        <f t="shared" si="79"/>
        <v>1</v>
      </c>
      <c r="S41" s="460" t="s">
        <v>116</v>
      </c>
      <c r="T41" s="463">
        <f>COUNTIF('Variable Costs (Back)'!$C$15:$C$24,S41)</f>
        <v>0</v>
      </c>
      <c r="Z41" s="462"/>
      <c r="AA41" s="460"/>
      <c r="AB41" s="463"/>
      <c r="AG41" s="1142"/>
      <c r="AH41" s="1142"/>
      <c r="AI41" s="1142"/>
      <c r="BA41" s="104" t="s">
        <v>845</v>
      </c>
      <c r="BB41" s="86" t="e">
        <f>VLOOKUP(BB$1,'Existing Customers'!$A:$AA,25,FALSE)</f>
        <v>#N/A</v>
      </c>
      <c r="BX41" s="104" t="s">
        <v>845</v>
      </c>
      <c r="BY41" s="86" t="e">
        <f>VLOOKUP(BY$1,'Existing Customers'!$A:$AA,25,FALSE)</f>
        <v>#N/A</v>
      </c>
      <c r="CU41" s="104" t="s">
        <v>845</v>
      </c>
      <c r="CV41" s="86" t="e">
        <f>VLOOKUP(CV$1,'Existing Customers'!$A:$AA,25,FALSE)</f>
        <v>#N/A</v>
      </c>
      <c r="DR41" s="104" t="s">
        <v>845</v>
      </c>
      <c r="DS41" s="86" t="e">
        <f>VLOOKUP(DS$1,'Existing Customers'!$A:$AA,25,FALSE)</f>
        <v>#N/A</v>
      </c>
      <c r="EO41" s="104" t="s">
        <v>845</v>
      </c>
      <c r="EP41" s="86" t="e">
        <f>VLOOKUP(EP$1,'Existing Customers'!$A:$AA,25,FALSE)</f>
        <v>#N/A</v>
      </c>
      <c r="FL41" s="104" t="s">
        <v>845</v>
      </c>
      <c r="FM41" s="86" t="e">
        <f>VLOOKUP(FM$1,'Existing Customers'!$A:$AA,25,FALSE)</f>
        <v>#N/A</v>
      </c>
      <c r="GI41" s="104" t="s">
        <v>845</v>
      </c>
      <c r="GJ41" s="86" t="e">
        <f>VLOOKUP(GJ$1,'Existing Customers'!$A:$AA,25,FALSE)</f>
        <v>#N/A</v>
      </c>
      <c r="HF41" s="104" t="s">
        <v>845</v>
      </c>
      <c r="HG41" s="86" t="e">
        <f>VLOOKUP(HG$1,'Existing Customers'!$A:$AA,25,FALSE)</f>
        <v>#N/A</v>
      </c>
      <c r="IC41" s="104" t="s">
        <v>845</v>
      </c>
      <c r="ID41" s="86" t="e">
        <f>VLOOKUP(ID$1,'Existing Customers'!$A:$AA,25,FALSE)</f>
        <v>#N/A</v>
      </c>
      <c r="IZ41" s="104" t="s">
        <v>845</v>
      </c>
      <c r="JA41" s="86" t="e">
        <f>VLOOKUP(JA$1,'Existing Customers'!$A:$AA,25,FALSE)</f>
        <v>#N/A</v>
      </c>
    </row>
    <row r="42" spans="2:296" x14ac:dyDescent="0.25">
      <c r="R42" s="462">
        <f t="shared" si="79"/>
        <v>1</v>
      </c>
      <c r="S42" s="460" t="s">
        <v>112</v>
      </c>
      <c r="T42" s="463">
        <f>COUNTIF('Variable Costs (Back)'!$C$15:$C$24,S42)</f>
        <v>0</v>
      </c>
      <c r="Z42" s="462"/>
      <c r="AA42" s="460"/>
      <c r="AB42" s="463"/>
      <c r="BA42" s="104" t="s">
        <v>846</v>
      </c>
      <c r="BB42" s="86" t="e">
        <f>VLOOKUP(BB$1,'Existing Customers'!$A:$AA,26,FALSE)</f>
        <v>#N/A</v>
      </c>
      <c r="BX42" s="104" t="s">
        <v>846</v>
      </c>
      <c r="BY42" s="86" t="e">
        <f>VLOOKUP(BY$1,'Existing Customers'!$A:$AA,26,FALSE)</f>
        <v>#N/A</v>
      </c>
      <c r="CU42" s="104" t="s">
        <v>846</v>
      </c>
      <c r="CV42" s="86" t="e">
        <f>VLOOKUP(CV$1,'Existing Customers'!$A:$AA,26,FALSE)</f>
        <v>#N/A</v>
      </c>
      <c r="DR42" s="104" t="s">
        <v>846</v>
      </c>
      <c r="DS42" s="86" t="e">
        <f>VLOOKUP(DS$1,'Existing Customers'!$A:$AA,26,FALSE)</f>
        <v>#N/A</v>
      </c>
      <c r="EO42" s="104" t="s">
        <v>846</v>
      </c>
      <c r="EP42" s="86" t="e">
        <f>VLOOKUP(EP$1,'Existing Customers'!$A:$AA,26,FALSE)</f>
        <v>#N/A</v>
      </c>
      <c r="FL42" s="104" t="s">
        <v>846</v>
      </c>
      <c r="FM42" s="86" t="e">
        <f>VLOOKUP(FM$1,'Existing Customers'!$A:$AA,26,FALSE)</f>
        <v>#N/A</v>
      </c>
      <c r="GI42" s="104" t="s">
        <v>846</v>
      </c>
      <c r="GJ42" s="86" t="e">
        <f>VLOOKUP(GJ$1,'Existing Customers'!$A:$AA,26,FALSE)</f>
        <v>#N/A</v>
      </c>
      <c r="HF42" s="104" t="s">
        <v>846</v>
      </c>
      <c r="HG42" s="86" t="e">
        <f>VLOOKUP(HG$1,'Existing Customers'!$A:$AA,26,FALSE)</f>
        <v>#N/A</v>
      </c>
      <c r="IC42" s="104" t="s">
        <v>846</v>
      </c>
      <c r="ID42" s="86" t="e">
        <f>VLOOKUP(ID$1,'Existing Customers'!$A:$AA,26,FALSE)</f>
        <v>#N/A</v>
      </c>
      <c r="IZ42" s="104" t="s">
        <v>846</v>
      </c>
      <c r="JA42" s="86" t="e">
        <f>VLOOKUP(JA$1,'Existing Customers'!$A:$AA,26,FALSE)</f>
        <v>#N/A</v>
      </c>
    </row>
    <row r="43" spans="2:296" x14ac:dyDescent="0.25">
      <c r="R43" s="462">
        <f t="shared" si="79"/>
        <v>1</v>
      </c>
      <c r="S43" s="460" t="s">
        <v>113</v>
      </c>
      <c r="T43" s="463">
        <f>COUNTIF('Variable Costs (Back)'!$C$15:$C$24,S43)</f>
        <v>0</v>
      </c>
      <c r="Z43" s="462"/>
      <c r="AA43" s="460"/>
      <c r="AB43" s="463"/>
      <c r="BA43" s="104" t="s">
        <v>847</v>
      </c>
      <c r="BB43" s="86" t="e">
        <f>VLOOKUP(BB$1,'Existing Customers'!$A:$AA,23,FALSE)</f>
        <v>#N/A</v>
      </c>
      <c r="BX43" s="104" t="s">
        <v>847</v>
      </c>
      <c r="BY43" s="86" t="e">
        <f>VLOOKUP(BY$1,'Existing Customers'!$A:$AA,23,FALSE)</f>
        <v>#N/A</v>
      </c>
      <c r="CU43" s="104" t="s">
        <v>847</v>
      </c>
      <c r="CV43" s="86" t="e">
        <f>VLOOKUP(CV$1,'Existing Customers'!$A:$AA,23,FALSE)</f>
        <v>#N/A</v>
      </c>
      <c r="DR43" s="104" t="s">
        <v>847</v>
      </c>
      <c r="DS43" s="86" t="e">
        <f>VLOOKUP(DS$1,'Existing Customers'!$A:$AA,23,FALSE)</f>
        <v>#N/A</v>
      </c>
      <c r="EO43" s="104" t="s">
        <v>847</v>
      </c>
      <c r="EP43" s="86" t="e">
        <f>VLOOKUP(EP$1,'Existing Customers'!$A:$AA,23,FALSE)</f>
        <v>#N/A</v>
      </c>
      <c r="FL43" s="104" t="s">
        <v>847</v>
      </c>
      <c r="FM43" s="86" t="e">
        <f>VLOOKUP(FM$1,'Existing Customers'!$A:$AA,23,FALSE)</f>
        <v>#N/A</v>
      </c>
      <c r="GI43" s="104" t="s">
        <v>847</v>
      </c>
      <c r="GJ43" s="86" t="e">
        <f>VLOOKUP(GJ$1,'Existing Customers'!$A:$AA,23,FALSE)</f>
        <v>#N/A</v>
      </c>
      <c r="HF43" s="104" t="s">
        <v>847</v>
      </c>
      <c r="HG43" s="86" t="e">
        <f>VLOOKUP(HG$1,'Existing Customers'!$A:$AA,23,FALSE)</f>
        <v>#N/A</v>
      </c>
      <c r="IC43" s="104" t="s">
        <v>847</v>
      </c>
      <c r="ID43" s="86" t="e">
        <f>VLOOKUP(ID$1,'Existing Customers'!$A:$AA,23,FALSE)</f>
        <v>#N/A</v>
      </c>
      <c r="IZ43" s="104" t="s">
        <v>847</v>
      </c>
      <c r="JA43" s="86" t="e">
        <f>VLOOKUP(JA$1,'Existing Customers'!$A:$AA,23,FALSE)</f>
        <v>#N/A</v>
      </c>
    </row>
    <row r="44" spans="2:296" x14ac:dyDescent="0.25">
      <c r="R44" s="462">
        <f t="shared" si="79"/>
        <v>1</v>
      </c>
      <c r="S44" s="460" t="s">
        <v>111</v>
      </c>
      <c r="T44" s="463">
        <f>COUNTIF('Variable Costs (Back)'!$C$15:$C$24,S44)</f>
        <v>0</v>
      </c>
      <c r="Z44" s="462"/>
      <c r="AA44" s="460"/>
      <c r="AB44" s="463"/>
      <c r="BA44" s="104" t="s">
        <v>848</v>
      </c>
      <c r="BB44" s="86" t="e">
        <f>VLOOKUP(BB$1,'Existing Customers'!$A:$AA,24,FALSE)</f>
        <v>#N/A</v>
      </c>
      <c r="BX44" s="104" t="s">
        <v>848</v>
      </c>
      <c r="BY44" s="86" t="e">
        <f>VLOOKUP(BY$1,'Existing Customers'!$A:$AA,24,FALSE)</f>
        <v>#N/A</v>
      </c>
      <c r="CU44" s="104" t="s">
        <v>848</v>
      </c>
      <c r="CV44" s="86" t="e">
        <f>VLOOKUP(CV$1,'Existing Customers'!$A:$AA,24,FALSE)</f>
        <v>#N/A</v>
      </c>
      <c r="DR44" s="104" t="s">
        <v>848</v>
      </c>
      <c r="DS44" s="86" t="e">
        <f>VLOOKUP(DS$1,'Existing Customers'!$A:$AA,24,FALSE)</f>
        <v>#N/A</v>
      </c>
      <c r="EO44" s="104" t="s">
        <v>848</v>
      </c>
      <c r="EP44" s="86" t="e">
        <f>VLOOKUP(EP$1,'Existing Customers'!$A:$AA,24,FALSE)</f>
        <v>#N/A</v>
      </c>
      <c r="FL44" s="104" t="s">
        <v>848</v>
      </c>
      <c r="FM44" s="86" t="e">
        <f>VLOOKUP(FM$1,'Existing Customers'!$A:$AA,24,FALSE)</f>
        <v>#N/A</v>
      </c>
      <c r="GI44" s="104" t="s">
        <v>848</v>
      </c>
      <c r="GJ44" s="86" t="e">
        <f>VLOOKUP(GJ$1,'Existing Customers'!$A:$AA,24,FALSE)</f>
        <v>#N/A</v>
      </c>
      <c r="HF44" s="104" t="s">
        <v>848</v>
      </c>
      <c r="HG44" s="86" t="e">
        <f>VLOOKUP(HG$1,'Existing Customers'!$A:$AA,24,FALSE)</f>
        <v>#N/A</v>
      </c>
      <c r="IC44" s="104" t="s">
        <v>848</v>
      </c>
      <c r="ID44" s="86" t="e">
        <f>VLOOKUP(ID$1,'Existing Customers'!$A:$AA,24,FALSE)</f>
        <v>#N/A</v>
      </c>
      <c r="IZ44" s="104" t="s">
        <v>848</v>
      </c>
      <c r="JA44" s="86" t="e">
        <f>VLOOKUP(JA$1,'Existing Customers'!$A:$AA,24,FALSE)</f>
        <v>#N/A</v>
      </c>
    </row>
    <row r="45" spans="2:296" x14ac:dyDescent="0.25">
      <c r="R45" s="462">
        <f t="shared" si="79"/>
        <v>1</v>
      </c>
      <c r="S45" s="460" t="s">
        <v>118</v>
      </c>
      <c r="T45" s="463">
        <f>COUNTIF('Variable Costs (Back)'!$C$15:$C$24,S45)</f>
        <v>0</v>
      </c>
      <c r="Z45" s="462"/>
      <c r="AA45" s="460"/>
      <c r="AB45" s="463"/>
      <c r="BA45" s="104" t="s">
        <v>849</v>
      </c>
      <c r="BB45" s="86" t="e">
        <f>VLOOKUP(BB$1,'Existing Customers'!$A:$AA,9,FALSE)</f>
        <v>#N/A</v>
      </c>
      <c r="BX45" s="104" t="s">
        <v>849</v>
      </c>
      <c r="BY45" s="86" t="e">
        <f>VLOOKUP(BY$1,'Existing Customers'!$A:$AA,9,FALSE)</f>
        <v>#N/A</v>
      </c>
      <c r="CU45" s="104" t="s">
        <v>849</v>
      </c>
      <c r="CV45" s="86" t="e">
        <f>VLOOKUP(CV$1,'Existing Customers'!$A:$AA,9,FALSE)</f>
        <v>#N/A</v>
      </c>
      <c r="DR45" s="104" t="s">
        <v>849</v>
      </c>
      <c r="DS45" s="86" t="e">
        <f>VLOOKUP(DS$1,'Existing Customers'!$A:$AA,9,FALSE)</f>
        <v>#N/A</v>
      </c>
      <c r="EO45" s="104" t="s">
        <v>849</v>
      </c>
      <c r="EP45" s="86" t="e">
        <f>VLOOKUP(EP$1,'Existing Customers'!$A:$AA,9,FALSE)</f>
        <v>#N/A</v>
      </c>
      <c r="FL45" s="104" t="s">
        <v>849</v>
      </c>
      <c r="FM45" s="86" t="e">
        <f>VLOOKUP(FM$1,'Existing Customers'!$A:$AA,9,FALSE)</f>
        <v>#N/A</v>
      </c>
      <c r="GI45" s="104" t="s">
        <v>849</v>
      </c>
      <c r="GJ45" s="86" t="e">
        <f>VLOOKUP(GJ$1,'Existing Customers'!$A:$AA,9,FALSE)</f>
        <v>#N/A</v>
      </c>
      <c r="HF45" s="104" t="s">
        <v>849</v>
      </c>
      <c r="HG45" s="86" t="e">
        <f>VLOOKUP(HG$1,'Existing Customers'!$A:$AA,9,FALSE)</f>
        <v>#N/A</v>
      </c>
      <c r="IC45" s="104" t="s">
        <v>849</v>
      </c>
      <c r="ID45" s="86" t="e">
        <f>VLOOKUP(ID$1,'Existing Customers'!$A:$AA,9,FALSE)</f>
        <v>#N/A</v>
      </c>
      <c r="IZ45" s="104" t="s">
        <v>849</v>
      </c>
      <c r="JA45" s="86" t="e">
        <f>VLOOKUP(JA$1,'Existing Customers'!$A:$AA,9,FALSE)</f>
        <v>#N/A</v>
      </c>
    </row>
    <row r="46" spans="2:296" x14ac:dyDescent="0.25">
      <c r="R46" s="462">
        <f t="shared" si="79"/>
        <v>1</v>
      </c>
      <c r="S46" s="460" t="s">
        <v>115</v>
      </c>
      <c r="T46" s="463">
        <f>COUNTIF('Variable Costs (Back)'!$C$15:$C$24,S46)</f>
        <v>0</v>
      </c>
      <c r="Z46" s="462"/>
      <c r="AA46" s="460"/>
      <c r="AB46" s="463"/>
      <c r="BA46" s="104" t="s">
        <v>850</v>
      </c>
      <c r="BB46" s="86" t="e">
        <f>VLOOKUP(BB$1,'Existing Customers'!$A:$AA,27,FALSE)</f>
        <v>#N/A</v>
      </c>
      <c r="BX46" s="104" t="s">
        <v>850</v>
      </c>
      <c r="BY46" s="86" t="e">
        <f>VLOOKUP(BY$1,'Existing Customers'!$A:$AA,27,FALSE)</f>
        <v>#N/A</v>
      </c>
      <c r="CU46" s="104" t="s">
        <v>850</v>
      </c>
      <c r="CV46" s="86" t="e">
        <f>VLOOKUP(CV$1,'Existing Customers'!$A:$AA,27,FALSE)</f>
        <v>#N/A</v>
      </c>
      <c r="DR46" s="104" t="s">
        <v>850</v>
      </c>
      <c r="DS46" s="86" t="e">
        <f>VLOOKUP(DS$1,'Existing Customers'!$A:$AA,27,FALSE)</f>
        <v>#N/A</v>
      </c>
      <c r="EO46" s="104" t="s">
        <v>850</v>
      </c>
      <c r="EP46" s="86" t="e">
        <f>VLOOKUP(EP$1,'Existing Customers'!$A:$AA,27,FALSE)</f>
        <v>#N/A</v>
      </c>
      <c r="FL46" s="104" t="s">
        <v>850</v>
      </c>
      <c r="FM46" s="86" t="e">
        <f>VLOOKUP(FM$1,'Existing Customers'!$A:$AA,27,FALSE)</f>
        <v>#N/A</v>
      </c>
      <c r="GI46" s="104" t="s">
        <v>850</v>
      </c>
      <c r="GJ46" s="86" t="e">
        <f>VLOOKUP(GJ$1,'Existing Customers'!$A:$AA,27,FALSE)</f>
        <v>#N/A</v>
      </c>
      <c r="HF46" s="104" t="s">
        <v>850</v>
      </c>
      <c r="HG46" s="86" t="e">
        <f>VLOOKUP(HG$1,'Existing Customers'!$A:$AA,27,FALSE)</f>
        <v>#N/A</v>
      </c>
      <c r="IC46" s="104" t="s">
        <v>850</v>
      </c>
      <c r="ID46" s="86" t="e">
        <f>VLOOKUP(ID$1,'Existing Customers'!$A:$AA,27,FALSE)</f>
        <v>#N/A</v>
      </c>
      <c r="IZ46" s="104" t="s">
        <v>850</v>
      </c>
      <c r="JA46" s="86" t="e">
        <f>VLOOKUP(JA$1,'Existing Customers'!$A:$AA,27,FALSE)</f>
        <v>#N/A</v>
      </c>
    </row>
    <row r="47" spans="2:296" x14ac:dyDescent="0.25">
      <c r="R47" s="462">
        <f t="shared" si="79"/>
        <v>1</v>
      </c>
      <c r="S47" s="460" t="s">
        <v>117</v>
      </c>
      <c r="T47" s="463">
        <f>COUNTIF('Variable Costs (Back)'!$C$15:$C$24,S47)</f>
        <v>0</v>
      </c>
      <c r="Z47" s="462"/>
      <c r="AA47" s="460"/>
      <c r="AB47" s="463"/>
      <c r="BA47" s="104" t="s">
        <v>999</v>
      </c>
      <c r="BB47" s="86" t="e">
        <f>VLOOKUP(BB$1,'Existing Customers'!$A:$AA,4,FALSE)</f>
        <v>#N/A</v>
      </c>
      <c r="BX47" s="104" t="s">
        <v>107</v>
      </c>
      <c r="BY47" s="86" t="e">
        <f>VLOOKUP(BY$1,'Existing Customers'!$A:$AA,4,FALSE)</f>
        <v>#N/A</v>
      </c>
      <c r="CU47" s="104" t="s">
        <v>107</v>
      </c>
      <c r="CV47" s="86" t="e">
        <f>VLOOKUP(CV$1,'Existing Customers'!$A:$AA,4,FALSE)</f>
        <v>#N/A</v>
      </c>
      <c r="DR47" s="104" t="s">
        <v>107</v>
      </c>
      <c r="DS47" s="86" t="e">
        <f>VLOOKUP(DS$1,'Existing Customers'!$A:$AA,4,FALSE)</f>
        <v>#N/A</v>
      </c>
      <c r="EO47" s="104" t="s">
        <v>107</v>
      </c>
      <c r="EP47" s="86" t="e">
        <f>VLOOKUP(EP$1,'Existing Customers'!$A:$AA,4,FALSE)</f>
        <v>#N/A</v>
      </c>
      <c r="FL47" s="104" t="s">
        <v>107</v>
      </c>
      <c r="FM47" s="86" t="e">
        <f>VLOOKUP(FM$1,'Existing Customers'!$A:$AA,4,FALSE)</f>
        <v>#N/A</v>
      </c>
      <c r="GI47" s="104" t="s">
        <v>107</v>
      </c>
      <c r="GJ47" s="86" t="e">
        <f>VLOOKUP(GJ$1,'Existing Customers'!$A:$AA,4,FALSE)</f>
        <v>#N/A</v>
      </c>
      <c r="HF47" s="104" t="s">
        <v>107</v>
      </c>
      <c r="HG47" s="86" t="e">
        <f>VLOOKUP(HG$1,'Existing Customers'!$A:$AA,4,FALSE)</f>
        <v>#N/A</v>
      </c>
      <c r="IC47" s="104" t="s">
        <v>107</v>
      </c>
      <c r="ID47" s="86" t="e">
        <f>VLOOKUP(ID$1,'Existing Customers'!$A:$AA,4,FALSE)</f>
        <v>#N/A</v>
      </c>
      <c r="IZ47" s="104" t="s">
        <v>107</v>
      </c>
      <c r="JA47" s="86" t="e">
        <f>VLOOKUP(JA$1,'Existing Customers'!$A:$AA,4,FALSE)</f>
        <v>#N/A</v>
      </c>
    </row>
    <row r="48" spans="2:296" x14ac:dyDescent="0.25">
      <c r="R48" s="140"/>
      <c r="T48" s="141"/>
      <c r="Z48" s="462"/>
      <c r="AA48" s="460"/>
      <c r="AB48" s="463"/>
      <c r="BA48" s="104" t="s">
        <v>855</v>
      </c>
      <c r="BB48" s="86">
        <f>IFERROR(VLOOKUP(BB$1,'Existing Customers'!$A:$AA,6,FALSE),BB6)</f>
        <v>0</v>
      </c>
      <c r="BX48" s="104" t="s">
        <v>855</v>
      </c>
      <c r="BY48" s="86">
        <f>IFERROR(VLOOKUP(BY$1,'Existing Customers'!$A:$AA,6,FALSE),BY5)</f>
        <v>0</v>
      </c>
      <c r="CU48" s="104" t="s">
        <v>855</v>
      </c>
      <c r="CV48" s="86">
        <f>IFERROR(VLOOKUP(CV$1,'Existing Customers'!$A:$AA,6,FALSE),CV6)</f>
        <v>0</v>
      </c>
      <c r="DR48" s="104" t="s">
        <v>855</v>
      </c>
      <c r="DS48" s="86">
        <f>IFERROR(VLOOKUP(DS$1,'Existing Customers'!$A:$AA,6,FALSE),DS6)</f>
        <v>0</v>
      </c>
      <c r="EO48" s="104" t="s">
        <v>855</v>
      </c>
      <c r="EP48" s="86">
        <f>IFERROR(VLOOKUP(EP$1,'Existing Customers'!$A:$AA,6,FALSE),EP6)</f>
        <v>0</v>
      </c>
      <c r="FL48" s="104" t="s">
        <v>855</v>
      </c>
      <c r="FM48" s="86">
        <f>IFERROR(VLOOKUP(FM$1,'Existing Customers'!$A:$AA,6,FALSE),FM6)</f>
        <v>0</v>
      </c>
      <c r="GI48" s="104" t="s">
        <v>855</v>
      </c>
      <c r="GJ48" s="86">
        <f>IFERROR(VLOOKUP(GJ$1,'Existing Customers'!$A:$AA,6,FALSE),GJ6)</f>
        <v>0</v>
      </c>
      <c r="HF48" s="104" t="s">
        <v>855</v>
      </c>
      <c r="HG48" s="86">
        <f>IFERROR(VLOOKUP(HG$1,'Existing Customers'!$A:$AA,6,FALSE),HG6)</f>
        <v>0</v>
      </c>
      <c r="IC48" s="104" t="s">
        <v>855</v>
      </c>
      <c r="ID48" s="86">
        <f>IFERROR(VLOOKUP(ID$1,'Existing Customers'!$A:$AA,6,FALSE),ID6)</f>
        <v>0</v>
      </c>
      <c r="IZ48" s="104" t="s">
        <v>855</v>
      </c>
      <c r="JA48" s="86">
        <f>IFERROR(VLOOKUP(JA$1,'Existing Customers'!$A:$AA,6,FALSE),JA6)</f>
        <v>0</v>
      </c>
    </row>
    <row r="49" spans="18:261" ht="15.75" thickBot="1" x14ac:dyDescent="0.3">
      <c r="R49" s="464">
        <v>1</v>
      </c>
      <c r="S49" s="465" t="str">
        <f>IF(COUNTIF($T$38:$T$47,"&gt;0")&gt;1,"MULTIPLE PYRAMID SEGMENTS",VLOOKUP(R49,$R$38:$S$47,2,FALSE))</f>
        <v>Enter Customer(s)</v>
      </c>
      <c r="T49" s="466"/>
      <c r="Z49" s="462"/>
      <c r="AA49" s="460"/>
      <c r="AB49" s="463"/>
      <c r="BA49" s="104" t="s">
        <v>998</v>
      </c>
      <c r="BB49" s="86" t="str">
        <f>IFERROR(ROUND(VLOOKUP(BB38,'Existing Customer Variable Exp'!$B:$F,5,FALSE)/52,1),"Enter Drops &gt;")</f>
        <v>Enter Drops &gt;</v>
      </c>
      <c r="BX49" s="104" t="s">
        <v>859</v>
      </c>
      <c r="BY49" s="86" t="str">
        <f>IFERROR(ROUND(VLOOKUP(BY38,'Existing Customer Variable Exp'!$B:$F,5,FALSE)/52,1),"Enter Drops &gt;")</f>
        <v>Enter Drops &gt;</v>
      </c>
      <c r="CU49" s="104" t="s">
        <v>859</v>
      </c>
      <c r="CV49" s="86" t="str">
        <f>IFERROR(ROUND(VLOOKUP(CV38,'Existing Customer Variable Exp'!$B:$F,5,FALSE)/52,1),"Enter Drops &gt;")</f>
        <v>Enter Drops &gt;</v>
      </c>
      <c r="DR49" s="104" t="s">
        <v>859</v>
      </c>
      <c r="DS49" s="86" t="str">
        <f>IFERROR(ROUND(VLOOKUP(DS38,'Existing Customer Variable Exp'!$B:$F,5,FALSE)/52,1),"Enter Drops &gt;")</f>
        <v>Enter Drops &gt;</v>
      </c>
      <c r="EO49" s="104" t="s">
        <v>859</v>
      </c>
      <c r="EP49" s="86" t="str">
        <f>IFERROR(ROUND(VLOOKUP(EP38,'Existing Customer Variable Exp'!$B:$F,5,FALSE)/52,1),"Enter Drops &gt;")</f>
        <v>Enter Drops &gt;</v>
      </c>
      <c r="FL49" s="104" t="s">
        <v>859</v>
      </c>
      <c r="FM49" s="86" t="str">
        <f>IFERROR(ROUND(VLOOKUP(FM38,'Existing Customer Variable Exp'!$B:$F,5,FALSE)/52,1),"Enter Drops &gt;")</f>
        <v>Enter Drops &gt;</v>
      </c>
      <c r="GI49" s="104" t="s">
        <v>859</v>
      </c>
      <c r="GJ49" s="86" t="str">
        <f>IFERROR(ROUND(VLOOKUP(GJ38,'Existing Customer Variable Exp'!$B:$F,5,FALSE)/52,1),"Enter Drops &gt;")</f>
        <v>Enter Drops &gt;</v>
      </c>
      <c r="HF49" s="104" t="s">
        <v>859</v>
      </c>
      <c r="HG49" s="86" t="str">
        <f>IFERROR(ROUND(VLOOKUP(HG38,'Existing Customer Variable Exp'!$B:$F,5,FALSE)/52,1),"Enter Drops &gt;")</f>
        <v>Enter Drops &gt;</v>
      </c>
      <c r="IC49" s="104" t="s">
        <v>859</v>
      </c>
      <c r="ID49" s="86" t="str">
        <f>IFERROR(ROUND(VLOOKUP(ID38,'Existing Customer Variable Exp'!$B:$F,5,FALSE)/52,1),"Enter Drops &gt;")</f>
        <v>Enter Drops &gt;</v>
      </c>
      <c r="IZ49" s="104" t="s">
        <v>859</v>
      </c>
      <c r="JA49" s="86" t="str">
        <f>IFERROR(ROUND(VLOOKUP(JA38,'Existing Customer Variable Exp'!$B:$F,5,FALSE)/52,1),"Enter Drops &gt;")</f>
        <v>Enter Drops &gt;</v>
      </c>
    </row>
    <row r="50" spans="18:261" x14ac:dyDescent="0.25">
      <c r="W50" s="104"/>
      <c r="X50" s="129"/>
      <c r="Z50" s="462"/>
      <c r="AA50" s="460"/>
      <c r="AB50" s="463"/>
      <c r="BA50" s="104" t="s">
        <v>470</v>
      </c>
      <c r="BB50" s="130">
        <f>IF(BB2="Enter Spend&gt;&gt;&gt;","Enter EB % &gt;",BB$7)</f>
        <v>0</v>
      </c>
      <c r="BX50" s="104" t="s">
        <v>470</v>
      </c>
      <c r="BY50" s="130">
        <f>IF(BY2="Enter Spend&gt;&gt;&gt;","Enter EB % &gt;",BY$7)</f>
        <v>0</v>
      </c>
      <c r="CU50" s="104" t="s">
        <v>470</v>
      </c>
      <c r="CV50" s="130">
        <f>IF(CV2="Enter Spend&gt;&gt;&gt;","Enter EB % &gt;",CV$7)</f>
        <v>0</v>
      </c>
      <c r="DR50" s="104" t="s">
        <v>470</v>
      </c>
      <c r="DS50" s="130">
        <f>IF(DS2="Enter Spend&gt;&gt;&gt;","Enter EB % &gt;",DS$7)</f>
        <v>0</v>
      </c>
      <c r="EO50" s="104" t="s">
        <v>470</v>
      </c>
      <c r="EP50" s="130">
        <f>IF(EP2="Enter Spend&gt;&gt;&gt;","Enter EB % &gt;",EP$7)</f>
        <v>0</v>
      </c>
      <c r="FL50" s="104" t="s">
        <v>470</v>
      </c>
      <c r="FM50" s="130">
        <f>IF(FM2="Enter Spend&gt;&gt;&gt;","Enter EB % &gt;",FM$7)</f>
        <v>0</v>
      </c>
      <c r="GI50" s="104" t="s">
        <v>470</v>
      </c>
      <c r="GJ50" s="130">
        <f>IF(GJ2="Enter Spend&gt;&gt;&gt;","Enter EB % &gt;",GJ$7)</f>
        <v>0</v>
      </c>
      <c r="HF50" s="104" t="s">
        <v>470</v>
      </c>
      <c r="HG50" s="130">
        <f>IF(HG2="Enter Spend&gt;&gt;&gt;","Enter EB % &gt;",HG$7)</f>
        <v>0</v>
      </c>
      <c r="IC50" s="104" t="s">
        <v>470</v>
      </c>
      <c r="ID50" s="130">
        <f>IF(ID2="Enter Spend&gt;&gt;&gt;","Enter EB % &gt;",ID$7)</f>
        <v>0</v>
      </c>
      <c r="IZ50" s="104" t="s">
        <v>470</v>
      </c>
      <c r="JA50" s="130">
        <f>IF(JA2="Enter Spend&gt;&gt;&gt;","Enter EB % &gt;",JA$7)</f>
        <v>0</v>
      </c>
    </row>
    <row r="51" spans="18:261" x14ac:dyDescent="0.25">
      <c r="R51" s="1142"/>
      <c r="S51" s="1142"/>
      <c r="T51" s="104"/>
      <c r="W51" s="104"/>
      <c r="X51" s="129"/>
      <c r="Z51" s="462"/>
      <c r="AA51" s="460"/>
      <c r="AB51" s="463"/>
      <c r="BA51" s="104" t="s">
        <v>997</v>
      </c>
      <c r="BB51" s="108">
        <f>SUMIFS('Existing Customers'!$N:$N,'Existing Customers'!$A:$A,'Multi-Customer'!BB$38)</f>
        <v>0</v>
      </c>
      <c r="BX51" s="104" t="s">
        <v>991</v>
      </c>
      <c r="BY51" s="108">
        <f>SUMIFS('Existing Customers'!$N:$N,'Existing Customers'!$A:$A,'Multi-Customer'!BY$38)</f>
        <v>0</v>
      </c>
      <c r="CU51" s="104" t="s">
        <v>991</v>
      </c>
      <c r="CV51" s="108">
        <f>SUMIFS('Existing Customers'!$N:$N,'Existing Customers'!$A:$A,'Multi-Customer'!CV$38)</f>
        <v>0</v>
      </c>
      <c r="DR51" s="104" t="s">
        <v>991</v>
      </c>
      <c r="DS51" s="108">
        <f>SUMIFS('Existing Customers'!$N:$N,'Existing Customers'!$A:$A,'Multi-Customer'!DS$38)</f>
        <v>0</v>
      </c>
      <c r="EO51" s="104" t="s">
        <v>991</v>
      </c>
      <c r="EP51" s="108">
        <f>SUMIFS('Existing Customers'!$N:$N,'Existing Customers'!$A:$A,'Multi-Customer'!EP$38)</f>
        <v>0</v>
      </c>
      <c r="FL51" s="104" t="s">
        <v>991</v>
      </c>
      <c r="FM51" s="108">
        <f>SUMIFS('Existing Customers'!$N:$N,'Existing Customers'!$A:$A,'Multi-Customer'!FM$38)</f>
        <v>0</v>
      </c>
      <c r="GI51" s="104" t="s">
        <v>991</v>
      </c>
      <c r="GJ51" s="108">
        <f>SUMIFS('Existing Customers'!$N:$N,'Existing Customers'!$A:$A,'Multi-Customer'!GJ$38)</f>
        <v>0</v>
      </c>
      <c r="HF51" s="104" t="s">
        <v>991</v>
      </c>
      <c r="HG51" s="108">
        <f>SUMIFS('Existing Customers'!$N:$N,'Existing Customers'!$A:$A,'Multi-Customer'!HG$38)</f>
        <v>0</v>
      </c>
      <c r="IC51" s="104" t="s">
        <v>991</v>
      </c>
      <c r="ID51" s="108">
        <f>SUMIFS('Existing Customers'!$N:$N,'Existing Customers'!$A:$A,'Multi-Customer'!ID$38)</f>
        <v>0</v>
      </c>
      <c r="IZ51" s="104" t="s">
        <v>991</v>
      </c>
      <c r="JA51" s="108">
        <f>SUMIFS('Existing Customers'!$N:$N,'Existing Customers'!$A:$A,'Multi-Customer'!JA$38)</f>
        <v>0</v>
      </c>
    </row>
    <row r="52" spans="18:261" x14ac:dyDescent="0.25">
      <c r="R52" s="1142"/>
      <c r="S52" s="1142"/>
      <c r="T52" s="104"/>
      <c r="W52" s="104"/>
      <c r="X52" s="130"/>
      <c r="Z52" s="462"/>
      <c r="AA52" s="460"/>
      <c r="AB52" s="463"/>
      <c r="BA52" s="104" t="s">
        <v>996</v>
      </c>
      <c r="BB52" s="108">
        <f>IFERROR(VLOOKUP(BB$38,'Existing Customer Variable Exp'!$B:$F,5,FALSE),0)</f>
        <v>0</v>
      </c>
      <c r="BX52" s="104" t="s">
        <v>996</v>
      </c>
      <c r="BY52" s="108">
        <f>IFERROR(VLOOKUP(BY$38,'Existing Customer Variable Exp'!$B:$F,5,FALSE),0)</f>
        <v>0</v>
      </c>
      <c r="CU52" s="104" t="s">
        <v>996</v>
      </c>
      <c r="CV52" s="108">
        <f>IFERROR(VLOOKUP(CV$38,'Existing Customer Variable Exp'!$B:$F,5,FALSE),0)</f>
        <v>0</v>
      </c>
      <c r="DR52" s="104" t="s">
        <v>996</v>
      </c>
      <c r="DS52" s="108">
        <f>IFERROR(VLOOKUP(DS$38,'Existing Customer Variable Exp'!$B:$F,5,FALSE),0)</f>
        <v>0</v>
      </c>
      <c r="EO52" s="104" t="s">
        <v>996</v>
      </c>
      <c r="EP52" s="108">
        <f>IFERROR(VLOOKUP(EP$38,'Existing Customer Variable Exp'!$B:$F,5,FALSE),0)</f>
        <v>0</v>
      </c>
      <c r="FL52" s="104" t="s">
        <v>996</v>
      </c>
      <c r="FM52" s="108">
        <f>IFERROR(VLOOKUP(FM$38,'Existing Customer Variable Exp'!$B:$F,5,FALSE),0)</f>
        <v>0</v>
      </c>
      <c r="GI52" s="104" t="s">
        <v>996</v>
      </c>
      <c r="GJ52" s="108">
        <f>IFERROR(VLOOKUP(GJ$38,'Existing Customer Variable Exp'!$B:$F,5,FALSE),0)</f>
        <v>0</v>
      </c>
      <c r="HF52" s="104" t="s">
        <v>996</v>
      </c>
      <c r="HG52" s="108">
        <f>IFERROR(VLOOKUP(HG$38,'Existing Customer Variable Exp'!$B:$F,5,FALSE),0)</f>
        <v>0</v>
      </c>
      <c r="IC52" s="104" t="s">
        <v>996</v>
      </c>
      <c r="ID52" s="108">
        <f>IFERROR(VLOOKUP(ID$38,'Existing Customer Variable Exp'!$B:$F,5,FALSE),0)</f>
        <v>0</v>
      </c>
      <c r="IZ52" s="104" t="s">
        <v>996</v>
      </c>
      <c r="JA52" s="108">
        <f>IFERROR(VLOOKUP(JA$38,'Existing Customer Variable Exp'!$B:$F,5,FALSE),0)</f>
        <v>0</v>
      </c>
    </row>
    <row r="53" spans="18:261" x14ac:dyDescent="0.25">
      <c r="R53" s="1142"/>
      <c r="S53" s="1142"/>
      <c r="T53" s="1142"/>
      <c r="Z53" s="462"/>
      <c r="AA53" s="460"/>
      <c r="AB53" s="463"/>
      <c r="BA53" s="104" t="s">
        <v>1467</v>
      </c>
      <c r="BB53" s="86">
        <f>IFERROR(VLOOKUP(BB$1,'Existing Customers'!$A:$AD,30,FALSE),BB6)</f>
        <v>0</v>
      </c>
      <c r="BC53" s="1142"/>
      <c r="BD53" s="1142"/>
      <c r="BE53" s="1142"/>
      <c r="BF53" s="1142"/>
      <c r="BG53" s="1142"/>
      <c r="BU53" s="1142"/>
      <c r="BV53" s="1142"/>
      <c r="BX53" s="104" t="s">
        <v>1467</v>
      </c>
      <c r="BY53" s="86">
        <f>IFERROR(VLOOKUP(BY$1,'Existing Customers'!$A:$AD,30,FALSE),BY6)</f>
        <v>0</v>
      </c>
      <c r="BZ53" s="1142"/>
      <c r="CA53" s="1142"/>
      <c r="CB53" s="1142"/>
      <c r="CC53" s="1142"/>
      <c r="CD53" s="1142"/>
      <c r="CR53" s="1142"/>
      <c r="CS53" s="1142"/>
      <c r="CU53" s="104" t="s">
        <v>1467</v>
      </c>
      <c r="CV53" s="86">
        <f>IFERROR(VLOOKUP(CV$1,'Existing Customers'!$A:$AD,30,FALSE),CV6)</f>
        <v>0</v>
      </c>
      <c r="CW53" s="1142"/>
      <c r="CX53" s="1142"/>
      <c r="CY53" s="1142"/>
      <c r="CZ53" s="1142"/>
      <c r="DA53" s="1142"/>
      <c r="DO53" s="1142"/>
      <c r="DP53" s="1142"/>
      <c r="DR53" s="104" t="s">
        <v>1467</v>
      </c>
      <c r="DS53" s="86">
        <f>IFERROR(VLOOKUP(DS$1,'Existing Customers'!$A:$AD,30,FALSE),DS6)</f>
        <v>0</v>
      </c>
      <c r="DT53" s="1142"/>
      <c r="DU53" s="1142"/>
      <c r="DV53" s="1142"/>
      <c r="DW53" s="1142"/>
      <c r="DX53" s="1142"/>
      <c r="EL53" s="1142"/>
      <c r="EM53" s="1142"/>
      <c r="EO53" s="104" t="s">
        <v>1467</v>
      </c>
      <c r="EP53" s="86">
        <f>IFERROR(VLOOKUP(EP$1,'Existing Customers'!$A:$AD,30,FALSE),EP6)</f>
        <v>0</v>
      </c>
      <c r="EQ53" s="1142"/>
      <c r="ER53" s="1142"/>
      <c r="ES53" s="1142"/>
      <c r="ET53" s="1142"/>
      <c r="EU53" s="1142"/>
      <c r="FI53" s="1142"/>
      <c r="FJ53" s="1142"/>
      <c r="FL53" s="104" t="s">
        <v>1467</v>
      </c>
      <c r="FM53" s="86">
        <f>IFERROR(VLOOKUP(FM$1,'Existing Customers'!$A:$AD,30,FALSE),FM6)</f>
        <v>0</v>
      </c>
      <c r="FN53" s="1142"/>
      <c r="FO53" s="1142"/>
      <c r="FP53" s="1142"/>
      <c r="FQ53" s="1142"/>
      <c r="FR53" s="1142"/>
      <c r="GF53" s="1142"/>
      <c r="GG53" s="1142"/>
      <c r="GI53" s="104" t="s">
        <v>1467</v>
      </c>
      <c r="GJ53" s="86">
        <f>IFERROR(VLOOKUP(GJ$1,'Existing Customers'!$A:$AD,30,FALSE),GJ6)</f>
        <v>0</v>
      </c>
      <c r="GK53" s="1142"/>
      <c r="GL53" s="1142"/>
      <c r="GM53" s="1142"/>
      <c r="GN53" s="1142"/>
      <c r="GO53" s="1142"/>
      <c r="HC53" s="1142"/>
      <c r="HD53" s="1142"/>
      <c r="HF53" s="104" t="s">
        <v>1467</v>
      </c>
      <c r="HG53" s="86">
        <f>IFERROR(VLOOKUP(HG$1,'Existing Customers'!$A:$AD,30,FALSE),HG6)</f>
        <v>0</v>
      </c>
      <c r="HH53" s="1142"/>
      <c r="HI53" s="1142"/>
      <c r="HJ53" s="1142"/>
      <c r="HK53" s="1142"/>
      <c r="HL53" s="1142"/>
      <c r="HZ53" s="1142"/>
      <c r="IA53" s="1142"/>
      <c r="IC53" s="104" t="s">
        <v>1467</v>
      </c>
      <c r="ID53" s="86">
        <f>IFERROR(VLOOKUP(ID$1,'Existing Customers'!$A:$AD,30,FALSE),ID6)</f>
        <v>0</v>
      </c>
      <c r="IE53" s="1142"/>
      <c r="IF53" s="1142"/>
      <c r="IG53" s="1142"/>
      <c r="IH53" s="1142"/>
      <c r="II53" s="1142"/>
      <c r="IW53" s="1142"/>
      <c r="IX53" s="1142"/>
      <c r="IZ53" s="104" t="s">
        <v>1467</v>
      </c>
      <c r="JA53" s="86">
        <f>IFERROR(VLOOKUP(JA$1,'Existing Customers'!$A:$AD,30,FALSE),JA6)</f>
        <v>0</v>
      </c>
    </row>
    <row r="54" spans="18:261" x14ac:dyDescent="0.25">
      <c r="R54" s="1142"/>
      <c r="S54" s="1142"/>
      <c r="T54" s="1142"/>
      <c r="Z54" s="462"/>
      <c r="AA54" s="460"/>
      <c r="AB54" s="463"/>
    </row>
    <row r="55" spans="18:261" x14ac:dyDescent="0.25">
      <c r="R55" s="1142"/>
      <c r="S55" s="1142"/>
      <c r="T55" s="1142"/>
      <c r="Z55" s="462"/>
      <c r="AA55" s="460"/>
      <c r="AB55" s="463"/>
    </row>
    <row r="56" spans="18:261" x14ac:dyDescent="0.25">
      <c r="R56" s="1142"/>
      <c r="S56" s="1142"/>
      <c r="T56" s="1142"/>
      <c r="Z56" s="462"/>
      <c r="AA56" s="460"/>
      <c r="AB56" s="463"/>
    </row>
    <row r="57" spans="18:261" x14ac:dyDescent="0.25">
      <c r="R57" s="1142"/>
      <c r="S57" s="1142"/>
      <c r="T57" s="1142"/>
      <c r="Z57" s="462"/>
      <c r="AA57" s="460"/>
      <c r="AB57" s="463"/>
    </row>
    <row r="58" spans="18:261" x14ac:dyDescent="0.25">
      <c r="R58" s="1142"/>
      <c r="S58" s="1142"/>
      <c r="T58" s="1142"/>
      <c r="Z58" s="462"/>
      <c r="AA58" s="460"/>
      <c r="AB58" s="463"/>
    </row>
    <row r="59" spans="18:261" x14ac:dyDescent="0.25">
      <c r="R59" s="1142"/>
      <c r="S59" s="1142"/>
      <c r="T59" s="1142"/>
      <c r="Z59" s="462"/>
      <c r="AA59" s="460"/>
      <c r="AB59" s="463"/>
    </row>
    <row r="60" spans="18:261" x14ac:dyDescent="0.25">
      <c r="R60" s="1142"/>
      <c r="S60" s="1142"/>
      <c r="T60" s="1142"/>
      <c r="Z60" s="462"/>
      <c r="AA60" s="460"/>
      <c r="AB60" s="463"/>
    </row>
    <row r="61" spans="18:261" x14ac:dyDescent="0.25">
      <c r="R61" s="1142"/>
      <c r="S61" s="1142"/>
      <c r="T61" s="1142"/>
      <c r="Z61" s="462"/>
      <c r="AA61" s="460"/>
      <c r="AB61" s="463"/>
    </row>
    <row r="62" spans="18:261" x14ac:dyDescent="0.25">
      <c r="R62" s="1142"/>
      <c r="S62" s="1142"/>
      <c r="T62" s="1142"/>
      <c r="Z62" s="462"/>
      <c r="AA62" s="460"/>
      <c r="AB62" s="463"/>
    </row>
    <row r="63" spans="18:261" x14ac:dyDescent="0.25">
      <c r="R63" s="1142"/>
      <c r="S63" s="1142"/>
      <c r="T63" s="1142"/>
      <c r="Z63" s="462"/>
      <c r="AA63" s="460"/>
      <c r="AB63" s="463"/>
    </row>
    <row r="64" spans="18:26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f>$AL$33</f>
        <v>0</v>
      </c>
      <c r="AY2" s="525" t="s">
        <v>988</v>
      </c>
      <c r="AZ2" s="288"/>
      <c r="BA2" s="288"/>
      <c r="BB2" s="288"/>
      <c r="BC2" s="288"/>
      <c r="BD2" s="288"/>
      <c r="BE2" s="288"/>
      <c r="BF2" s="288"/>
      <c r="BK2" s="525" t="s">
        <v>988</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58" t="s">
        <v>986</v>
      </c>
      <c r="AX5" s="1359"/>
      <c r="AY5" s="528">
        <v>1757315</v>
      </c>
      <c r="AZ5" s="314" t="s">
        <v>216</v>
      </c>
      <c r="BA5" s="1" t="s">
        <v>216</v>
      </c>
      <c r="BB5" s="521">
        <v>3.2000000000000001E-2</v>
      </c>
      <c r="BC5" s="521">
        <v>6.9000000000000006E-2</v>
      </c>
      <c r="BD5" s="521">
        <v>8.2000000000000003E-2</v>
      </c>
      <c r="BE5" s="521">
        <v>9.6000000000000002E-2</v>
      </c>
      <c r="BF5" s="522">
        <v>0.13300000000000001</v>
      </c>
      <c r="BI5" s="1358" t="s">
        <v>987</v>
      </c>
      <c r="BJ5" s="1359"/>
      <c r="BK5" s="528">
        <v>1554219</v>
      </c>
      <c r="BL5" s="314" t="s">
        <v>216</v>
      </c>
      <c r="BM5" s="1" t="s">
        <v>216</v>
      </c>
      <c r="BN5" s="521">
        <v>3.6999999999999998E-2</v>
      </c>
      <c r="BO5" s="521">
        <v>7.8E-2</v>
      </c>
      <c r="BP5" s="521">
        <v>9.4E-2</v>
      </c>
      <c r="BQ5" s="521">
        <v>0.11</v>
      </c>
      <c r="BR5" s="521">
        <v>0.151</v>
      </c>
    </row>
    <row r="6" spans="1:70" ht="15.75" thickBot="1" x14ac:dyDescent="0.3">
      <c r="AW6" s="48" t="s">
        <v>501</v>
      </c>
      <c r="AX6" s="49" t="str">
        <f>IF($AU$2&lt;$AY$3,$AZ$3,IF($AU$2&lt;$AY$4,$AZ$4,IF($AU$2&lt;$AY$5,$AZ$5,IF($AU$2&lt;$AY$6,$AZ$6,$AZ$7))))</f>
        <v>Q1</v>
      </c>
      <c r="AY6" s="528">
        <v>3873056</v>
      </c>
      <c r="AZ6" s="314" t="s">
        <v>270</v>
      </c>
      <c r="BA6" s="1" t="s">
        <v>270</v>
      </c>
      <c r="BB6" s="521">
        <v>2.5000000000000001E-2</v>
      </c>
      <c r="BC6" s="521">
        <v>6.3E-2</v>
      </c>
      <c r="BD6" s="521">
        <v>7.5999999999999998E-2</v>
      </c>
      <c r="BE6" s="521">
        <v>0.09</v>
      </c>
      <c r="BF6" s="522">
        <v>0.13</v>
      </c>
      <c r="BI6" s="48" t="s">
        <v>501</v>
      </c>
      <c r="BJ6" s="49" t="str">
        <f>IF($AU$2&lt;$AY$3,$AZ$3,IF($AU$2&lt;$AY$4,$AZ$4,IF($AU$2&lt;$AY$5,$AZ$5,IF($AU$2&lt;$AY$6,$AZ$6,$AZ$7))))</f>
        <v>Q1</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f>VLOOKUP($AX$6,$BA$3:$BF$7,3,FALSE)</f>
        <v>0.08</v>
      </c>
      <c r="AY7" s="529"/>
      <c r="AZ7" s="451" t="s">
        <v>271</v>
      </c>
      <c r="BA7" s="33" t="s">
        <v>271</v>
      </c>
      <c r="BB7" s="523">
        <v>2.5999999999999999E-2</v>
      </c>
      <c r="BC7" s="523">
        <v>5.6000000000000001E-2</v>
      </c>
      <c r="BD7" s="523">
        <v>6.8000000000000005E-2</v>
      </c>
      <c r="BE7" s="523">
        <v>8.3000000000000004E-2</v>
      </c>
      <c r="BF7" s="524">
        <v>0.114</v>
      </c>
      <c r="BI7" s="48" t="s">
        <v>502</v>
      </c>
      <c r="BJ7" s="50">
        <f>VLOOKUP($BJ$6,$BM$3:$BO$7,3,FALSE)</f>
        <v>8.8999999999999996E-2</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977</v>
      </c>
      <c r="D10" s="2" t="s">
        <v>469</v>
      </c>
      <c r="E10" s="2" t="s">
        <v>469</v>
      </c>
      <c r="F10" s="2" t="s">
        <v>469</v>
      </c>
      <c r="G10" s="2" t="s">
        <v>469</v>
      </c>
      <c r="H10" s="2" t="s">
        <v>469</v>
      </c>
      <c r="I10" s="2" t="s">
        <v>469</v>
      </c>
      <c r="J10" s="2"/>
      <c r="K10" s="2"/>
      <c r="L10" s="2"/>
      <c r="N10" s="498" t="s">
        <v>978</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1024</v>
      </c>
      <c r="AE10" s="2"/>
      <c r="AF10" s="2"/>
      <c r="AG10" s="2"/>
      <c r="AH10" s="2"/>
      <c r="AI10" s="2"/>
      <c r="AJ10" s="2"/>
      <c r="AK10" s="498" t="s">
        <v>980</v>
      </c>
      <c r="AL10" s="40" t="s">
        <v>469</v>
      </c>
      <c r="AM10" s="40" t="s">
        <v>469</v>
      </c>
      <c r="AN10" s="40" t="s">
        <v>469</v>
      </c>
      <c r="AO10" s="40" t="s">
        <v>469</v>
      </c>
      <c r="AP10" s="40" t="s">
        <v>469</v>
      </c>
      <c r="AQ10" s="1361" t="s">
        <v>985</v>
      </c>
      <c r="AR10" s="1361"/>
      <c r="AW10" s="1360" t="s">
        <v>983</v>
      </c>
      <c r="AX10" s="1360"/>
      <c r="AY10" s="1360"/>
      <c r="AZ10" s="1360"/>
      <c r="BA10" s="1360"/>
      <c r="BD10" s="1360" t="s">
        <v>984</v>
      </c>
      <c r="BE10" s="1360"/>
      <c r="BF10" s="1360"/>
      <c r="BG10" s="1360"/>
      <c r="BH10" s="1360"/>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1018</v>
      </c>
      <c r="W11" s="2" t="s">
        <v>1019</v>
      </c>
      <c r="X11" s="2" t="s">
        <v>1020</v>
      </c>
      <c r="Y11" s="2"/>
      <c r="Z11" s="2"/>
      <c r="AA11" s="2" t="s">
        <v>979</v>
      </c>
      <c r="AB11" s="2" t="s">
        <v>1023</v>
      </c>
      <c r="AC11" s="2" t="s">
        <v>1021</v>
      </c>
      <c r="AD11" s="2" t="s">
        <v>1022</v>
      </c>
      <c r="AE11" s="2"/>
      <c r="AF11" s="2" t="s">
        <v>979</v>
      </c>
      <c r="AG11" s="2"/>
      <c r="AH11" s="2"/>
      <c r="AI11" s="2"/>
      <c r="AJ11" s="2"/>
      <c r="AK11" s="40" t="s">
        <v>257</v>
      </c>
      <c r="AL11" s="40" t="s">
        <v>402</v>
      </c>
      <c r="AM11" s="40" t="s">
        <v>83</v>
      </c>
      <c r="AN11" s="40" t="s">
        <v>508</v>
      </c>
      <c r="AO11" s="40" t="s">
        <v>511</v>
      </c>
      <c r="AP11" s="40" t="s">
        <v>509</v>
      </c>
      <c r="AQ11" s="511" t="s">
        <v>378</v>
      </c>
      <c r="AR11" s="511" t="s">
        <v>1017</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f>IFERROR(IF($K12="Exclude",0,$A12),0)</f>
        <v>0</v>
      </c>
      <c r="M12">
        <v>3</v>
      </c>
      <c r="N12" s="351" t="s">
        <v>99</v>
      </c>
      <c r="O12" s="351">
        <f>IFERROR(IF($K12="Exclude",0,D12/$L$33),0)</f>
        <v>0</v>
      </c>
      <c r="P12" s="351">
        <f>IFERROR(IF($K12="Exclude",0,E12/$L$33),0)</f>
        <v>0</v>
      </c>
      <c r="Q12" s="351">
        <f>IFERROR(IF($K12="Exclude",0,F12/$L$33),0)</f>
        <v>0</v>
      </c>
      <c r="R12" s="351">
        <f>IFERROR(IF($K12="Exclude",0,G12/$L$33),0)</f>
        <v>0</v>
      </c>
      <c r="S12" s="351">
        <f>IFERROR(O12/P12,0)</f>
        <v>0</v>
      </c>
      <c r="T12" s="19">
        <f>IFERROR(O12/R12,0)</f>
        <v>0</v>
      </c>
      <c r="U12" s="19"/>
      <c r="V12" s="2">
        <f>'PIM Model'!$C$10</f>
        <v>0</v>
      </c>
      <c r="W12" s="645" t="e">
        <f>'Multi-Customer'!M14</f>
        <v>#DIV/0!</v>
      </c>
      <c r="X12" s="19" t="e">
        <f>$W12*$Z$33</f>
        <v>#DIV/0!</v>
      </c>
      <c r="Y12" s="351">
        <f>IFERROR(IF(V12="AVG",X12,O12),0)</f>
        <v>0</v>
      </c>
      <c r="Z12" s="351">
        <f>IFERROR(IF($V12="AVG",0,$Y12),0)</f>
        <v>0</v>
      </c>
      <c r="AA12" s="351">
        <f>IFERROR(IF($V12="AVG",IF($O12=0,$X12,$X12-$O12),Y12),0)</f>
        <v>0</v>
      </c>
      <c r="AB12" s="646" t="e">
        <f>$X12/$X$33</f>
        <v>#DIV/0!</v>
      </c>
      <c r="AC12" s="646">
        <f>IFERROR(IF($AA12=0,AB12,0),0)</f>
        <v>0</v>
      </c>
      <c r="AD12" s="351">
        <f>IFERROR(IF($AA12=0,$O12-($AA$33*($AC12/$AC$33)),$Y12),0)</f>
        <v>0</v>
      </c>
      <c r="AE12" s="351"/>
      <c r="AF12" s="351">
        <f>AD12*(1+$AG12)-AD12</f>
        <v>0</v>
      </c>
      <c r="AG12" s="39">
        <f>'PIM Model'!B10</f>
        <v>0</v>
      </c>
      <c r="AH12" s="499">
        <f t="shared" ref="AH12:AH32" si="0">L12*(1+AG12)</f>
        <v>0</v>
      </c>
      <c r="AI12" s="499">
        <f>IFERROR(IF(AF12=0,AH12,0),0)</f>
        <v>0</v>
      </c>
      <c r="AJ12">
        <v>3</v>
      </c>
      <c r="AK12" s="500" t="s">
        <v>99</v>
      </c>
      <c r="AL12" s="500">
        <f>IFERROR(IF($AG12=0,$AD12-($AF$33*($AI12/$AI$33)),$AD12+$AF12),0)</f>
        <v>0</v>
      </c>
      <c r="AM12" s="500">
        <f t="shared" ref="AM12:AM32" si="1">IFERROR($AL12/AO12,0)</f>
        <v>0</v>
      </c>
      <c r="AN12" s="500">
        <f t="shared" ref="AN12:AN32" si="2">IFERROR($AL12/AP12,0)</f>
        <v>0</v>
      </c>
      <c r="AO12" s="501">
        <f t="shared" ref="AO12:AO32" si="3">S12</f>
        <v>0</v>
      </c>
      <c r="AP12" s="501">
        <f t="shared" ref="AP12:AP32" si="4">T12</f>
        <v>0</v>
      </c>
      <c r="AQ12" s="1" t="str">
        <f t="shared" ref="AQ12:AQ31" si="5">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6">D13/$D$33</f>
        <v>#DIV/0!</v>
      </c>
      <c r="B13">
        <v>4</v>
      </c>
      <c r="C13" t="s">
        <v>103</v>
      </c>
      <c r="D13" s="25">
        <f>'Multi-Customer'!C15</f>
        <v>0</v>
      </c>
      <c r="E13">
        <f>'Multi-Customer'!D15</f>
        <v>0</v>
      </c>
      <c r="F13">
        <f>'Multi-Customer'!E15</f>
        <v>0</v>
      </c>
      <c r="G13" s="351">
        <f>'Multi-Customer'!F15</f>
        <v>0</v>
      </c>
      <c r="H13" s="19">
        <f t="shared" ref="H13:H32" si="7">IFERROR(D13/E13,0)</f>
        <v>0</v>
      </c>
      <c r="I13" s="19">
        <f t="shared" ref="I13:I32" si="8">IFERROR(D13/G13,0)</f>
        <v>0</v>
      </c>
      <c r="J13" s="351"/>
      <c r="K13" s="351" t="str">
        <f>'PIM Model'!E11</f>
        <v>INCLUDE</v>
      </c>
      <c r="L13" s="351">
        <f t="shared" ref="L13:L32" si="9">IFERROR(IF($K13="Exclude",0,$A13),0)</f>
        <v>0</v>
      </c>
      <c r="M13">
        <v>4</v>
      </c>
      <c r="N13" s="351" t="s">
        <v>103</v>
      </c>
      <c r="O13" s="351">
        <f t="shared" ref="O13:O32" si="10">IFERROR(IF($K13="Exclude",0,D13/$L$33),0)</f>
        <v>0</v>
      </c>
      <c r="P13" s="351">
        <f t="shared" ref="P13:P32" si="11">IFERROR(IF($K13="Exclude",0,E13/$L$33),0)</f>
        <v>0</v>
      </c>
      <c r="Q13" s="351">
        <f t="shared" ref="Q13:Q32" si="12">IFERROR(IF($K13="Exclude",0,F13/$L$33),0)</f>
        <v>0</v>
      </c>
      <c r="R13" s="351">
        <f t="shared" ref="R13:R32" si="13">IFERROR(IF($K13="Exclude",0,G13/$L$33),0)</f>
        <v>0</v>
      </c>
      <c r="S13" s="351">
        <f t="shared" ref="S13:S32" si="14">IFERROR(O13/P13,0)</f>
        <v>0</v>
      </c>
      <c r="T13" s="19">
        <f t="shared" ref="T13:T32" si="15">IFERROR(O13/R13,0)</f>
        <v>0</v>
      </c>
      <c r="U13" s="19"/>
      <c r="V13" s="2">
        <f>'PIM Model'!$C$11</f>
        <v>0</v>
      </c>
      <c r="W13" s="645" t="e">
        <f>'Multi-Customer'!M15</f>
        <v>#DIV/0!</v>
      </c>
      <c r="X13" s="19" t="e">
        <f t="shared" ref="X13:X32" si="16">$W13*$Z$33</f>
        <v>#DIV/0!</v>
      </c>
      <c r="Y13" s="351">
        <f t="shared" ref="Y13:Y32" si="17">IFERROR(IF(V13="AVG",X13,O13),0)</f>
        <v>0</v>
      </c>
      <c r="Z13" s="351">
        <f t="shared" ref="Z13:Z32" si="18">IFERROR(IF($V13="AVG",0,$Y13),0)</f>
        <v>0</v>
      </c>
      <c r="AA13" s="351">
        <f t="shared" ref="AA13:AA32" si="19">IFERROR(IF($V13="AVG",IF($O13=0,$X13,$X13-$O13),Y13),0)</f>
        <v>0</v>
      </c>
      <c r="AB13" s="646" t="e">
        <f t="shared" ref="AB13:AB32" si="20">$X13/$X$33</f>
        <v>#DIV/0!</v>
      </c>
      <c r="AC13" s="646">
        <f t="shared" ref="AC13:AC32" si="21">IFERROR(IF($AA13=0,AB13,0),0)</f>
        <v>0</v>
      </c>
      <c r="AD13" s="351">
        <f t="shared" ref="AD13:AD32" si="22">IFERROR(IF($AA13=0,$O13-($AA$33*($AC13/$AC$33)),$Y13),0)</f>
        <v>0</v>
      </c>
      <c r="AE13" s="351"/>
      <c r="AF13" s="351">
        <f t="shared" ref="AF13:AF32" si="23">AD13*(1+$AG13)-AD13</f>
        <v>0</v>
      </c>
      <c r="AG13" s="39">
        <f>'PIM Model'!B11</f>
        <v>0</v>
      </c>
      <c r="AH13" s="499">
        <f t="shared" si="0"/>
        <v>0</v>
      </c>
      <c r="AI13" s="499">
        <f t="shared" ref="AI13:AI32" si="24">IFERROR(IF(AF13=0,AH13,0),0)</f>
        <v>0</v>
      </c>
      <c r="AJ13">
        <v>4</v>
      </c>
      <c r="AK13" s="500" t="s">
        <v>103</v>
      </c>
      <c r="AL13" s="500">
        <f t="shared" ref="AL13:AL32" si="25">IFERROR(IF($AG13=0,$AD13-($AF$33*($AI13/$AI$33)),$AD13+$AF13),0)</f>
        <v>0</v>
      </c>
      <c r="AM13" s="500">
        <f t="shared" si="1"/>
        <v>0</v>
      </c>
      <c r="AN13" s="500">
        <f t="shared" si="2"/>
        <v>0</v>
      </c>
      <c r="AO13" s="501">
        <f>S13</f>
        <v>0</v>
      </c>
      <c r="AP13" s="501">
        <f t="shared" si="4"/>
        <v>0</v>
      </c>
      <c r="AQ13" s="1" t="str">
        <f t="shared" si="5"/>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6"/>
        <v>#DIV/0!</v>
      </c>
      <c r="B14">
        <v>5</v>
      </c>
      <c r="C14" t="s">
        <v>1445</v>
      </c>
      <c r="D14" s="25">
        <f>'Multi-Customer'!C16</f>
        <v>0</v>
      </c>
      <c r="E14">
        <f>'Multi-Customer'!D16</f>
        <v>0</v>
      </c>
      <c r="F14">
        <f>'Multi-Customer'!E16</f>
        <v>0</v>
      </c>
      <c r="G14" s="351">
        <f>'Multi-Customer'!F16</f>
        <v>0</v>
      </c>
      <c r="H14" s="19">
        <f t="shared" si="7"/>
        <v>0</v>
      </c>
      <c r="I14" s="19">
        <f t="shared" si="8"/>
        <v>0</v>
      </c>
      <c r="J14" s="351"/>
      <c r="K14" s="351" t="str">
        <f>'PIM Model'!E12</f>
        <v>INCLUDE</v>
      </c>
      <c r="L14" s="351">
        <f t="shared" si="9"/>
        <v>0</v>
      </c>
      <c r="M14">
        <v>5</v>
      </c>
      <c r="N14" s="351" t="s">
        <v>1445</v>
      </c>
      <c r="O14" s="351">
        <f t="shared" si="10"/>
        <v>0</v>
      </c>
      <c r="P14" s="351">
        <f t="shared" si="11"/>
        <v>0</v>
      </c>
      <c r="Q14" s="351">
        <f t="shared" si="12"/>
        <v>0</v>
      </c>
      <c r="R14" s="351">
        <f t="shared" si="13"/>
        <v>0</v>
      </c>
      <c r="S14" s="351">
        <f t="shared" si="14"/>
        <v>0</v>
      </c>
      <c r="T14" s="19">
        <f t="shared" si="15"/>
        <v>0</v>
      </c>
      <c r="U14" s="19"/>
      <c r="V14" s="2">
        <f>'PIM Model'!$C$12</f>
        <v>0</v>
      </c>
      <c r="W14" s="645" t="e">
        <f>'Multi-Customer'!M16</f>
        <v>#DIV/0!</v>
      </c>
      <c r="X14" s="19" t="e">
        <f t="shared" si="16"/>
        <v>#DIV/0!</v>
      </c>
      <c r="Y14" s="351">
        <f t="shared" si="17"/>
        <v>0</v>
      </c>
      <c r="Z14" s="351">
        <f t="shared" si="18"/>
        <v>0</v>
      </c>
      <c r="AA14" s="351">
        <f t="shared" si="19"/>
        <v>0</v>
      </c>
      <c r="AB14" s="646" t="e">
        <f t="shared" si="20"/>
        <v>#DIV/0!</v>
      </c>
      <c r="AC14" s="646">
        <f t="shared" si="21"/>
        <v>0</v>
      </c>
      <c r="AD14" s="351">
        <f t="shared" si="22"/>
        <v>0</v>
      </c>
      <c r="AE14" s="351"/>
      <c r="AF14" s="351">
        <f t="shared" si="23"/>
        <v>0</v>
      </c>
      <c r="AG14" s="39">
        <f>'PIM Model'!B12</f>
        <v>0</v>
      </c>
      <c r="AH14" s="499">
        <f t="shared" si="0"/>
        <v>0</v>
      </c>
      <c r="AI14" s="499">
        <f t="shared" si="24"/>
        <v>0</v>
      </c>
      <c r="AJ14">
        <v>5</v>
      </c>
      <c r="AK14" s="500" t="s">
        <v>1445</v>
      </c>
      <c r="AL14" s="500">
        <f t="shared" si="25"/>
        <v>0</v>
      </c>
      <c r="AM14" s="500">
        <f t="shared" si="1"/>
        <v>0</v>
      </c>
      <c r="AN14" s="500">
        <f t="shared" si="2"/>
        <v>0</v>
      </c>
      <c r="AO14" s="501">
        <f t="shared" si="3"/>
        <v>0</v>
      </c>
      <c r="AP14" s="501">
        <f t="shared" si="4"/>
        <v>0</v>
      </c>
      <c r="AQ14" s="1" t="str">
        <f t="shared" si="5"/>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531"/>
      <c r="AW14" s="57" t="s">
        <v>1445</v>
      </c>
      <c r="AX14" s="532">
        <v>7627</v>
      </c>
      <c r="AY14" s="532">
        <v>25048</v>
      </c>
      <c r="AZ14" s="532">
        <v>65918</v>
      </c>
      <c r="BA14" s="532">
        <v>149490</v>
      </c>
      <c r="BD14" s="57" t="s">
        <v>1445</v>
      </c>
      <c r="BE14" s="532">
        <v>8381</v>
      </c>
      <c r="BF14" s="532">
        <v>27692</v>
      </c>
      <c r="BG14" s="532">
        <v>73242</v>
      </c>
      <c r="BH14" s="532">
        <v>169875</v>
      </c>
    </row>
    <row r="15" spans="1:70" x14ac:dyDescent="0.25">
      <c r="A15" t="e">
        <f t="shared" si="6"/>
        <v>#DIV/0!</v>
      </c>
      <c r="B15">
        <v>6</v>
      </c>
      <c r="C15" t="s">
        <v>102</v>
      </c>
      <c r="D15" s="25">
        <f>'Multi-Customer'!C17</f>
        <v>0</v>
      </c>
      <c r="E15">
        <f>'Multi-Customer'!D17</f>
        <v>0</v>
      </c>
      <c r="F15">
        <f>'Multi-Customer'!E17</f>
        <v>0</v>
      </c>
      <c r="G15" s="351">
        <f>'Multi-Customer'!F17</f>
        <v>0</v>
      </c>
      <c r="H15" s="19">
        <f t="shared" si="7"/>
        <v>0</v>
      </c>
      <c r="I15" s="19">
        <f t="shared" si="8"/>
        <v>0</v>
      </c>
      <c r="J15" s="351"/>
      <c r="K15" s="351" t="str">
        <f>'PIM Model'!E13</f>
        <v>INCLUDE</v>
      </c>
      <c r="L15" s="351">
        <f t="shared" si="9"/>
        <v>0</v>
      </c>
      <c r="M15">
        <v>6</v>
      </c>
      <c r="N15" s="351" t="s">
        <v>102</v>
      </c>
      <c r="O15" s="351">
        <f t="shared" si="10"/>
        <v>0</v>
      </c>
      <c r="P15" s="351">
        <f t="shared" si="11"/>
        <v>0</v>
      </c>
      <c r="Q15" s="351">
        <f t="shared" si="12"/>
        <v>0</v>
      </c>
      <c r="R15" s="351">
        <f t="shared" si="13"/>
        <v>0</v>
      </c>
      <c r="S15" s="351">
        <f t="shared" si="14"/>
        <v>0</v>
      </c>
      <c r="T15" s="19">
        <f t="shared" si="15"/>
        <v>0</v>
      </c>
      <c r="U15" s="19"/>
      <c r="V15" s="2">
        <f>'PIM Model'!$C$13</f>
        <v>0</v>
      </c>
      <c r="W15" s="645" t="e">
        <f>'Multi-Customer'!M17</f>
        <v>#DIV/0!</v>
      </c>
      <c r="X15" s="19" t="e">
        <f t="shared" si="16"/>
        <v>#DIV/0!</v>
      </c>
      <c r="Y15" s="351">
        <f t="shared" si="17"/>
        <v>0</v>
      </c>
      <c r="Z15" s="351">
        <f t="shared" si="18"/>
        <v>0</v>
      </c>
      <c r="AA15" s="351">
        <f t="shared" si="19"/>
        <v>0</v>
      </c>
      <c r="AB15" s="646" t="e">
        <f t="shared" si="20"/>
        <v>#DIV/0!</v>
      </c>
      <c r="AC15" s="646">
        <f t="shared" si="21"/>
        <v>0</v>
      </c>
      <c r="AD15" s="351">
        <f t="shared" si="22"/>
        <v>0</v>
      </c>
      <c r="AE15" s="351"/>
      <c r="AF15" s="351">
        <f t="shared" si="23"/>
        <v>0</v>
      </c>
      <c r="AG15" s="39">
        <f>'PIM Model'!B13</f>
        <v>0</v>
      </c>
      <c r="AH15" s="499">
        <f t="shared" si="0"/>
        <v>0</v>
      </c>
      <c r="AI15" s="499">
        <f t="shared" si="24"/>
        <v>0</v>
      </c>
      <c r="AJ15">
        <v>6</v>
      </c>
      <c r="AK15" s="500" t="s">
        <v>102</v>
      </c>
      <c r="AL15" s="500">
        <f t="shared" si="25"/>
        <v>0</v>
      </c>
      <c r="AM15" s="500">
        <f t="shared" si="1"/>
        <v>0</v>
      </c>
      <c r="AN15" s="500">
        <f t="shared" si="2"/>
        <v>0</v>
      </c>
      <c r="AO15" s="501">
        <f t="shared" si="3"/>
        <v>0</v>
      </c>
      <c r="AP15" s="501">
        <f t="shared" si="4"/>
        <v>0</v>
      </c>
      <c r="AQ15" s="1" t="str">
        <f t="shared" si="5"/>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6"/>
        <v>#DIV/0!</v>
      </c>
      <c r="B16">
        <v>7</v>
      </c>
      <c r="C16" t="s">
        <v>100</v>
      </c>
      <c r="D16" s="25">
        <f>'Multi-Customer'!C18</f>
        <v>0</v>
      </c>
      <c r="E16">
        <f>'Multi-Customer'!D18</f>
        <v>0</v>
      </c>
      <c r="F16">
        <f>'Multi-Customer'!E18</f>
        <v>0</v>
      </c>
      <c r="G16" s="351">
        <f>'Multi-Customer'!F18</f>
        <v>0</v>
      </c>
      <c r="H16" s="19">
        <f t="shared" si="7"/>
        <v>0</v>
      </c>
      <c r="I16" s="19">
        <f t="shared" si="8"/>
        <v>0</v>
      </c>
      <c r="J16" s="351"/>
      <c r="K16" s="351" t="str">
        <f>'PIM Model'!E14</f>
        <v>INCLUDE</v>
      </c>
      <c r="L16" s="351">
        <f t="shared" si="9"/>
        <v>0</v>
      </c>
      <c r="M16">
        <v>7</v>
      </c>
      <c r="N16" s="351" t="s">
        <v>100</v>
      </c>
      <c r="O16" s="351">
        <f t="shared" si="10"/>
        <v>0</v>
      </c>
      <c r="P16" s="351">
        <f t="shared" si="11"/>
        <v>0</v>
      </c>
      <c r="Q16" s="351">
        <f t="shared" si="12"/>
        <v>0</v>
      </c>
      <c r="R16" s="351">
        <f t="shared" si="13"/>
        <v>0</v>
      </c>
      <c r="S16" s="351">
        <f t="shared" si="14"/>
        <v>0</v>
      </c>
      <c r="T16" s="19">
        <f t="shared" si="15"/>
        <v>0</v>
      </c>
      <c r="U16" s="19"/>
      <c r="V16" s="2">
        <f>'PIM Model'!$C$14</f>
        <v>0</v>
      </c>
      <c r="W16" s="645" t="e">
        <f>'Multi-Customer'!M18</f>
        <v>#DIV/0!</v>
      </c>
      <c r="X16" s="19" t="e">
        <f t="shared" si="16"/>
        <v>#DIV/0!</v>
      </c>
      <c r="Y16" s="351">
        <f t="shared" si="17"/>
        <v>0</v>
      </c>
      <c r="Z16" s="351">
        <f t="shared" si="18"/>
        <v>0</v>
      </c>
      <c r="AA16" s="351">
        <f t="shared" si="19"/>
        <v>0</v>
      </c>
      <c r="AB16" s="646" t="e">
        <f t="shared" si="20"/>
        <v>#DIV/0!</v>
      </c>
      <c r="AC16" s="646">
        <f t="shared" si="21"/>
        <v>0</v>
      </c>
      <c r="AD16" s="351">
        <f t="shared" si="22"/>
        <v>0</v>
      </c>
      <c r="AE16" s="351"/>
      <c r="AF16" s="351">
        <f t="shared" si="23"/>
        <v>0</v>
      </c>
      <c r="AG16" s="39">
        <f>'PIM Model'!B14</f>
        <v>0</v>
      </c>
      <c r="AH16" s="499">
        <f t="shared" si="0"/>
        <v>0</v>
      </c>
      <c r="AI16" s="499">
        <f t="shared" si="24"/>
        <v>0</v>
      </c>
      <c r="AJ16">
        <v>7</v>
      </c>
      <c r="AK16" s="500" t="s">
        <v>100</v>
      </c>
      <c r="AL16" s="500">
        <f t="shared" si="25"/>
        <v>0</v>
      </c>
      <c r="AM16" s="500">
        <f t="shared" si="1"/>
        <v>0</v>
      </c>
      <c r="AN16" s="500">
        <f t="shared" si="2"/>
        <v>0</v>
      </c>
      <c r="AO16" s="501">
        <f t="shared" si="3"/>
        <v>0</v>
      </c>
      <c r="AP16" s="501">
        <f t="shared" si="4"/>
        <v>0</v>
      </c>
      <c r="AQ16" s="1" t="str">
        <f t="shared" si="5"/>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6"/>
        <v>#DIV/0!</v>
      </c>
      <c r="B17">
        <v>8</v>
      </c>
      <c r="C17" t="s">
        <v>104</v>
      </c>
      <c r="D17" s="25">
        <f>'Multi-Customer'!C19</f>
        <v>0</v>
      </c>
      <c r="E17">
        <f>'Multi-Customer'!D19</f>
        <v>0</v>
      </c>
      <c r="F17">
        <f>'Multi-Customer'!E19</f>
        <v>0</v>
      </c>
      <c r="G17" s="351">
        <f>'Multi-Customer'!F19</f>
        <v>0</v>
      </c>
      <c r="H17" s="19">
        <f t="shared" si="7"/>
        <v>0</v>
      </c>
      <c r="I17" s="19">
        <f t="shared" si="8"/>
        <v>0</v>
      </c>
      <c r="J17" s="351"/>
      <c r="K17" s="351" t="str">
        <f>'PIM Model'!E15</f>
        <v>INCLUDE</v>
      </c>
      <c r="L17" s="351">
        <f t="shared" si="9"/>
        <v>0</v>
      </c>
      <c r="M17">
        <v>8</v>
      </c>
      <c r="N17" s="351" t="s">
        <v>104</v>
      </c>
      <c r="O17" s="351">
        <f t="shared" si="10"/>
        <v>0</v>
      </c>
      <c r="P17" s="351">
        <f t="shared" si="11"/>
        <v>0</v>
      </c>
      <c r="Q17" s="351">
        <f t="shared" si="12"/>
        <v>0</v>
      </c>
      <c r="R17" s="351">
        <f t="shared" si="13"/>
        <v>0</v>
      </c>
      <c r="S17" s="351">
        <f t="shared" si="14"/>
        <v>0</v>
      </c>
      <c r="T17" s="19">
        <f t="shared" si="15"/>
        <v>0</v>
      </c>
      <c r="U17" s="19"/>
      <c r="V17" s="2">
        <f>'PIM Model'!$C$15</f>
        <v>0</v>
      </c>
      <c r="W17" s="645" t="e">
        <f>'Multi-Customer'!M19</f>
        <v>#DIV/0!</v>
      </c>
      <c r="X17" s="19" t="e">
        <f t="shared" si="16"/>
        <v>#DIV/0!</v>
      </c>
      <c r="Y17" s="351">
        <f t="shared" si="17"/>
        <v>0</v>
      </c>
      <c r="Z17" s="351">
        <f t="shared" si="18"/>
        <v>0</v>
      </c>
      <c r="AA17" s="351">
        <f t="shared" si="19"/>
        <v>0</v>
      </c>
      <c r="AB17" s="646" t="e">
        <f t="shared" si="20"/>
        <v>#DIV/0!</v>
      </c>
      <c r="AC17" s="646">
        <f t="shared" si="21"/>
        <v>0</v>
      </c>
      <c r="AD17" s="351">
        <f t="shared" si="22"/>
        <v>0</v>
      </c>
      <c r="AE17" s="351"/>
      <c r="AF17" s="351">
        <f t="shared" si="23"/>
        <v>0</v>
      </c>
      <c r="AG17" s="39">
        <f>'PIM Model'!B15</f>
        <v>0</v>
      </c>
      <c r="AH17" s="499">
        <f t="shared" si="0"/>
        <v>0</v>
      </c>
      <c r="AI17" s="499">
        <f t="shared" si="24"/>
        <v>0</v>
      </c>
      <c r="AJ17">
        <v>8</v>
      </c>
      <c r="AK17" s="500" t="s">
        <v>104</v>
      </c>
      <c r="AL17" s="500">
        <f t="shared" si="25"/>
        <v>0</v>
      </c>
      <c r="AM17" s="500">
        <f t="shared" si="1"/>
        <v>0</v>
      </c>
      <c r="AN17" s="500">
        <f t="shared" si="2"/>
        <v>0</v>
      </c>
      <c r="AO17" s="501">
        <f t="shared" si="3"/>
        <v>0</v>
      </c>
      <c r="AP17" s="501">
        <f t="shared" si="4"/>
        <v>0</v>
      </c>
      <c r="AQ17" s="1" t="str">
        <f t="shared" si="5"/>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6"/>
        <v>#DIV/0!</v>
      </c>
      <c r="B18">
        <v>9</v>
      </c>
      <c r="C18" t="s">
        <v>98</v>
      </c>
      <c r="D18" s="25">
        <f>'Multi-Customer'!C20</f>
        <v>0</v>
      </c>
      <c r="E18">
        <f>'Multi-Customer'!D20</f>
        <v>0</v>
      </c>
      <c r="F18">
        <f>'Multi-Customer'!E20</f>
        <v>0</v>
      </c>
      <c r="G18" s="351">
        <f>'Multi-Customer'!F20</f>
        <v>0</v>
      </c>
      <c r="H18" s="19">
        <f t="shared" si="7"/>
        <v>0</v>
      </c>
      <c r="I18" s="19">
        <f t="shared" si="8"/>
        <v>0</v>
      </c>
      <c r="J18" s="351"/>
      <c r="K18" s="351" t="str">
        <f>'PIM Model'!E16</f>
        <v>INCLUDE</v>
      </c>
      <c r="L18" s="351">
        <f t="shared" si="9"/>
        <v>0</v>
      </c>
      <c r="M18">
        <v>9</v>
      </c>
      <c r="N18" s="351" t="s">
        <v>98</v>
      </c>
      <c r="O18" s="351">
        <f t="shared" si="10"/>
        <v>0</v>
      </c>
      <c r="P18" s="351">
        <f t="shared" si="11"/>
        <v>0</v>
      </c>
      <c r="Q18" s="351">
        <f t="shared" si="12"/>
        <v>0</v>
      </c>
      <c r="R18" s="351">
        <f t="shared" si="13"/>
        <v>0</v>
      </c>
      <c r="S18" s="351">
        <f t="shared" si="14"/>
        <v>0</v>
      </c>
      <c r="T18" s="19">
        <f t="shared" si="15"/>
        <v>0</v>
      </c>
      <c r="U18" s="19"/>
      <c r="V18" s="2">
        <f>'PIM Model'!$C$16</f>
        <v>0</v>
      </c>
      <c r="W18" s="645" t="e">
        <f>'Multi-Customer'!M20</f>
        <v>#DIV/0!</v>
      </c>
      <c r="X18" s="19" t="e">
        <f t="shared" si="16"/>
        <v>#DIV/0!</v>
      </c>
      <c r="Y18" s="351">
        <f t="shared" si="17"/>
        <v>0</v>
      </c>
      <c r="Z18" s="351">
        <f t="shared" si="18"/>
        <v>0</v>
      </c>
      <c r="AA18" s="351">
        <f t="shared" si="19"/>
        <v>0</v>
      </c>
      <c r="AB18" s="646" t="e">
        <f t="shared" si="20"/>
        <v>#DIV/0!</v>
      </c>
      <c r="AC18" s="646">
        <f t="shared" si="21"/>
        <v>0</v>
      </c>
      <c r="AD18" s="351">
        <f t="shared" si="22"/>
        <v>0</v>
      </c>
      <c r="AE18" s="351"/>
      <c r="AF18" s="351">
        <f t="shared" si="23"/>
        <v>0</v>
      </c>
      <c r="AG18" s="39">
        <f>'PIM Model'!B16</f>
        <v>0</v>
      </c>
      <c r="AH18" s="499">
        <f t="shared" si="0"/>
        <v>0</v>
      </c>
      <c r="AI18" s="499">
        <f t="shared" si="24"/>
        <v>0</v>
      </c>
      <c r="AJ18">
        <v>9</v>
      </c>
      <c r="AK18" s="500" t="s">
        <v>98</v>
      </c>
      <c r="AL18" s="500">
        <f t="shared" si="25"/>
        <v>0</v>
      </c>
      <c r="AM18" s="500">
        <f t="shared" si="1"/>
        <v>0</v>
      </c>
      <c r="AN18" s="500">
        <f t="shared" si="2"/>
        <v>0</v>
      </c>
      <c r="AO18" s="501">
        <f t="shared" si="3"/>
        <v>0</v>
      </c>
      <c r="AP18" s="501">
        <f t="shared" si="4"/>
        <v>0</v>
      </c>
      <c r="AQ18" s="1" t="str">
        <f t="shared" si="5"/>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6"/>
        <v>#DIV/0!</v>
      </c>
      <c r="B19">
        <v>10</v>
      </c>
      <c r="C19" t="s">
        <v>95</v>
      </c>
      <c r="D19" s="25">
        <f>'Multi-Customer'!C21</f>
        <v>0</v>
      </c>
      <c r="E19">
        <f>'Multi-Customer'!D21</f>
        <v>0</v>
      </c>
      <c r="F19">
        <f>'Multi-Customer'!E21</f>
        <v>0</v>
      </c>
      <c r="G19" s="351">
        <f>'Multi-Customer'!F21</f>
        <v>0</v>
      </c>
      <c r="H19" s="19">
        <f t="shared" si="7"/>
        <v>0</v>
      </c>
      <c r="I19" s="19">
        <f t="shared" si="8"/>
        <v>0</v>
      </c>
      <c r="J19" s="351"/>
      <c r="K19" s="351" t="str">
        <f>'PIM Model'!E17</f>
        <v>INCLUDE</v>
      </c>
      <c r="L19" s="351">
        <f t="shared" si="9"/>
        <v>0</v>
      </c>
      <c r="M19">
        <v>10</v>
      </c>
      <c r="N19" s="351" t="s">
        <v>95</v>
      </c>
      <c r="O19" s="351">
        <f t="shared" si="10"/>
        <v>0</v>
      </c>
      <c r="P19" s="351">
        <f t="shared" si="11"/>
        <v>0</v>
      </c>
      <c r="Q19" s="351">
        <f t="shared" si="12"/>
        <v>0</v>
      </c>
      <c r="R19" s="351">
        <f t="shared" si="13"/>
        <v>0</v>
      </c>
      <c r="S19" s="351">
        <f t="shared" si="14"/>
        <v>0</v>
      </c>
      <c r="T19" s="19">
        <f t="shared" si="15"/>
        <v>0</v>
      </c>
      <c r="U19" s="19"/>
      <c r="V19" s="2">
        <f>'PIM Model'!$C$17</f>
        <v>0</v>
      </c>
      <c r="W19" s="645" t="e">
        <f>'Multi-Customer'!M21</f>
        <v>#DIV/0!</v>
      </c>
      <c r="X19" s="19" t="e">
        <f t="shared" si="16"/>
        <v>#DIV/0!</v>
      </c>
      <c r="Y19" s="351">
        <f t="shared" si="17"/>
        <v>0</v>
      </c>
      <c r="Z19" s="351">
        <f t="shared" si="18"/>
        <v>0</v>
      </c>
      <c r="AA19" s="351">
        <f t="shared" si="19"/>
        <v>0</v>
      </c>
      <c r="AB19" s="646" t="e">
        <f t="shared" si="20"/>
        <v>#DIV/0!</v>
      </c>
      <c r="AC19" s="646">
        <f t="shared" si="21"/>
        <v>0</v>
      </c>
      <c r="AD19" s="351">
        <f t="shared" si="22"/>
        <v>0</v>
      </c>
      <c r="AE19" s="351"/>
      <c r="AF19" s="351">
        <f t="shared" si="23"/>
        <v>0</v>
      </c>
      <c r="AG19" s="39">
        <f>'PIM Model'!B17</f>
        <v>0</v>
      </c>
      <c r="AH19" s="499">
        <f t="shared" si="0"/>
        <v>0</v>
      </c>
      <c r="AI19" s="499">
        <f t="shared" si="24"/>
        <v>0</v>
      </c>
      <c r="AJ19">
        <v>10</v>
      </c>
      <c r="AK19" s="500" t="s">
        <v>95</v>
      </c>
      <c r="AL19" s="500">
        <f t="shared" si="25"/>
        <v>0</v>
      </c>
      <c r="AM19" s="500">
        <f t="shared" si="1"/>
        <v>0</v>
      </c>
      <c r="AN19" s="500">
        <f t="shared" si="2"/>
        <v>0</v>
      </c>
      <c r="AO19" s="501">
        <f t="shared" si="3"/>
        <v>0</v>
      </c>
      <c r="AP19" s="501">
        <f t="shared" si="4"/>
        <v>0</v>
      </c>
      <c r="AQ19" s="1" t="str">
        <f t="shared" si="5"/>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6"/>
        <v>#DIV/0!</v>
      </c>
      <c r="B20">
        <v>11</v>
      </c>
      <c r="C20" t="s">
        <v>96</v>
      </c>
      <c r="D20" s="25">
        <f>'Multi-Customer'!C22</f>
        <v>0</v>
      </c>
      <c r="E20">
        <f>'Multi-Customer'!D22</f>
        <v>0</v>
      </c>
      <c r="F20">
        <f>'Multi-Customer'!E22</f>
        <v>0</v>
      </c>
      <c r="G20" s="351">
        <f>'Multi-Customer'!F22</f>
        <v>0</v>
      </c>
      <c r="H20" s="19">
        <f t="shared" si="7"/>
        <v>0</v>
      </c>
      <c r="I20" s="19">
        <f t="shared" si="8"/>
        <v>0</v>
      </c>
      <c r="J20" s="351"/>
      <c r="K20" s="351" t="str">
        <f>'PIM Model'!E18</f>
        <v>INCLUDE</v>
      </c>
      <c r="L20" s="351">
        <f t="shared" si="9"/>
        <v>0</v>
      </c>
      <c r="M20">
        <v>11</v>
      </c>
      <c r="N20" s="351" t="s">
        <v>96</v>
      </c>
      <c r="O20" s="351">
        <f t="shared" si="10"/>
        <v>0</v>
      </c>
      <c r="P20" s="351">
        <f t="shared" si="11"/>
        <v>0</v>
      </c>
      <c r="Q20" s="351">
        <f t="shared" si="12"/>
        <v>0</v>
      </c>
      <c r="R20" s="351">
        <f t="shared" si="13"/>
        <v>0</v>
      </c>
      <c r="S20" s="351">
        <f t="shared" si="14"/>
        <v>0</v>
      </c>
      <c r="T20" s="19">
        <f t="shared" si="15"/>
        <v>0</v>
      </c>
      <c r="U20" s="19"/>
      <c r="V20" s="2">
        <f>'PIM Model'!$C$18</f>
        <v>0</v>
      </c>
      <c r="W20" s="645" t="e">
        <f>'Multi-Customer'!M22</f>
        <v>#DIV/0!</v>
      </c>
      <c r="X20" s="19" t="e">
        <f t="shared" si="16"/>
        <v>#DIV/0!</v>
      </c>
      <c r="Y20" s="351">
        <f t="shared" si="17"/>
        <v>0</v>
      </c>
      <c r="Z20" s="351">
        <f t="shared" si="18"/>
        <v>0</v>
      </c>
      <c r="AA20" s="351">
        <f t="shared" si="19"/>
        <v>0</v>
      </c>
      <c r="AB20" s="646" t="e">
        <f t="shared" si="20"/>
        <v>#DIV/0!</v>
      </c>
      <c r="AC20" s="646">
        <f t="shared" si="21"/>
        <v>0</v>
      </c>
      <c r="AD20" s="351">
        <f t="shared" si="22"/>
        <v>0</v>
      </c>
      <c r="AE20" s="351"/>
      <c r="AF20" s="351">
        <f t="shared" si="23"/>
        <v>0</v>
      </c>
      <c r="AG20" s="39">
        <f>'PIM Model'!B18</f>
        <v>0</v>
      </c>
      <c r="AH20" s="499">
        <f t="shared" si="0"/>
        <v>0</v>
      </c>
      <c r="AI20" s="499">
        <f t="shared" si="24"/>
        <v>0</v>
      </c>
      <c r="AJ20">
        <v>11</v>
      </c>
      <c r="AK20" s="500" t="s">
        <v>96</v>
      </c>
      <c r="AL20" s="500">
        <f t="shared" si="25"/>
        <v>0</v>
      </c>
      <c r="AM20" s="500">
        <f t="shared" si="1"/>
        <v>0</v>
      </c>
      <c r="AN20" s="500">
        <f t="shared" si="2"/>
        <v>0</v>
      </c>
      <c r="AO20" s="501">
        <f t="shared" si="3"/>
        <v>0</v>
      </c>
      <c r="AP20" s="501">
        <f t="shared" si="4"/>
        <v>0</v>
      </c>
      <c r="AQ20" s="1" t="str">
        <f t="shared" si="5"/>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6"/>
        <v>#DIV/0!</v>
      </c>
      <c r="B21">
        <v>12</v>
      </c>
      <c r="C21" t="s">
        <v>101</v>
      </c>
      <c r="D21" s="25">
        <f>'Multi-Customer'!C23</f>
        <v>0</v>
      </c>
      <c r="E21">
        <f>'Multi-Customer'!D23</f>
        <v>0</v>
      </c>
      <c r="F21">
        <f>'Multi-Customer'!E23</f>
        <v>0</v>
      </c>
      <c r="G21" s="351">
        <f>'Multi-Customer'!F23</f>
        <v>0</v>
      </c>
      <c r="H21" s="19">
        <f t="shared" si="7"/>
        <v>0</v>
      </c>
      <c r="I21" s="19">
        <f t="shared" si="8"/>
        <v>0</v>
      </c>
      <c r="J21" s="351"/>
      <c r="K21" s="351" t="str">
        <f>'PIM Model'!E19</f>
        <v>INCLUDE</v>
      </c>
      <c r="L21" s="351">
        <f t="shared" si="9"/>
        <v>0</v>
      </c>
      <c r="M21">
        <v>12</v>
      </c>
      <c r="N21" s="351" t="s">
        <v>101</v>
      </c>
      <c r="O21" s="351">
        <f t="shared" si="10"/>
        <v>0</v>
      </c>
      <c r="P21" s="351">
        <f t="shared" si="11"/>
        <v>0</v>
      </c>
      <c r="Q21" s="351">
        <f t="shared" si="12"/>
        <v>0</v>
      </c>
      <c r="R21" s="351">
        <f t="shared" si="13"/>
        <v>0</v>
      </c>
      <c r="S21" s="351">
        <f t="shared" si="14"/>
        <v>0</v>
      </c>
      <c r="T21" s="19">
        <f t="shared" si="15"/>
        <v>0</v>
      </c>
      <c r="U21" s="19"/>
      <c r="V21" s="2">
        <f>'PIM Model'!$C$19</f>
        <v>0</v>
      </c>
      <c r="W21" s="645" t="e">
        <f>'Multi-Customer'!M23</f>
        <v>#DIV/0!</v>
      </c>
      <c r="X21" s="19" t="e">
        <f t="shared" si="16"/>
        <v>#DIV/0!</v>
      </c>
      <c r="Y21" s="351">
        <f t="shared" si="17"/>
        <v>0</v>
      </c>
      <c r="Z21" s="351">
        <f t="shared" si="18"/>
        <v>0</v>
      </c>
      <c r="AA21" s="351">
        <f t="shared" si="19"/>
        <v>0</v>
      </c>
      <c r="AB21" s="646" t="e">
        <f t="shared" si="20"/>
        <v>#DIV/0!</v>
      </c>
      <c r="AC21" s="646">
        <f t="shared" si="21"/>
        <v>0</v>
      </c>
      <c r="AD21" s="351">
        <f t="shared" si="22"/>
        <v>0</v>
      </c>
      <c r="AE21" s="351"/>
      <c r="AF21" s="351">
        <f t="shared" si="23"/>
        <v>0</v>
      </c>
      <c r="AG21" s="39">
        <f>'PIM Model'!B19</f>
        <v>0</v>
      </c>
      <c r="AH21" s="499">
        <f t="shared" si="0"/>
        <v>0</v>
      </c>
      <c r="AI21" s="499">
        <f t="shared" si="24"/>
        <v>0</v>
      </c>
      <c r="AJ21">
        <v>12</v>
      </c>
      <c r="AK21" s="500" t="s">
        <v>101</v>
      </c>
      <c r="AL21" s="500">
        <f t="shared" si="25"/>
        <v>0</v>
      </c>
      <c r="AM21" s="500">
        <f t="shared" si="1"/>
        <v>0</v>
      </c>
      <c r="AN21" s="500">
        <f t="shared" si="2"/>
        <v>0</v>
      </c>
      <c r="AO21" s="501">
        <f t="shared" si="3"/>
        <v>0</v>
      </c>
      <c r="AP21" s="501">
        <f t="shared" si="4"/>
        <v>0</v>
      </c>
      <c r="AQ21" s="1" t="str">
        <f t="shared" si="5"/>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6"/>
        <v>#DIV/0!</v>
      </c>
      <c r="B22">
        <v>13</v>
      </c>
      <c r="C22" t="s">
        <v>97</v>
      </c>
      <c r="D22" s="25">
        <f>'Multi-Customer'!C24</f>
        <v>0</v>
      </c>
      <c r="E22">
        <f>'Multi-Customer'!D24</f>
        <v>0</v>
      </c>
      <c r="F22">
        <f>'Multi-Customer'!E24</f>
        <v>0</v>
      </c>
      <c r="G22" s="351">
        <f>'Multi-Customer'!F24</f>
        <v>0</v>
      </c>
      <c r="H22" s="19">
        <f t="shared" si="7"/>
        <v>0</v>
      </c>
      <c r="I22" s="19">
        <f t="shared" si="8"/>
        <v>0</v>
      </c>
      <c r="J22" s="351"/>
      <c r="K22" s="351" t="str">
        <f>'PIM Model'!E20</f>
        <v>INCLUDE</v>
      </c>
      <c r="L22" s="351">
        <f t="shared" si="9"/>
        <v>0</v>
      </c>
      <c r="M22">
        <v>13</v>
      </c>
      <c r="N22" s="351" t="s">
        <v>97</v>
      </c>
      <c r="O22" s="351">
        <f t="shared" si="10"/>
        <v>0</v>
      </c>
      <c r="P22" s="351">
        <f t="shared" si="11"/>
        <v>0</v>
      </c>
      <c r="Q22" s="351">
        <f t="shared" si="12"/>
        <v>0</v>
      </c>
      <c r="R22" s="351">
        <f t="shared" si="13"/>
        <v>0</v>
      </c>
      <c r="S22" s="351">
        <f t="shared" si="14"/>
        <v>0</v>
      </c>
      <c r="T22" s="19">
        <f t="shared" si="15"/>
        <v>0</v>
      </c>
      <c r="U22" s="19"/>
      <c r="V22" s="2">
        <f>'PIM Model'!$C$20</f>
        <v>0</v>
      </c>
      <c r="W22" s="645" t="e">
        <f>'Multi-Customer'!M24</f>
        <v>#DIV/0!</v>
      </c>
      <c r="X22" s="19" t="e">
        <f t="shared" si="16"/>
        <v>#DIV/0!</v>
      </c>
      <c r="Y22" s="351">
        <f t="shared" si="17"/>
        <v>0</v>
      </c>
      <c r="Z22" s="351">
        <f t="shared" si="18"/>
        <v>0</v>
      </c>
      <c r="AA22" s="351">
        <f t="shared" si="19"/>
        <v>0</v>
      </c>
      <c r="AB22" s="646" t="e">
        <f t="shared" si="20"/>
        <v>#DIV/0!</v>
      </c>
      <c r="AC22" s="646">
        <f t="shared" si="21"/>
        <v>0</v>
      </c>
      <c r="AD22" s="351">
        <f t="shared" si="22"/>
        <v>0</v>
      </c>
      <c r="AE22" s="351"/>
      <c r="AF22" s="351">
        <f t="shared" si="23"/>
        <v>0</v>
      </c>
      <c r="AG22" s="39">
        <f>'PIM Model'!B20</f>
        <v>0</v>
      </c>
      <c r="AH22" s="499">
        <f t="shared" si="0"/>
        <v>0</v>
      </c>
      <c r="AI22" s="499">
        <f t="shared" si="24"/>
        <v>0</v>
      </c>
      <c r="AJ22">
        <v>13</v>
      </c>
      <c r="AK22" s="500" t="s">
        <v>97</v>
      </c>
      <c r="AL22" s="500">
        <f t="shared" si="25"/>
        <v>0</v>
      </c>
      <c r="AM22" s="500">
        <f t="shared" si="1"/>
        <v>0</v>
      </c>
      <c r="AN22" s="500">
        <f t="shared" si="2"/>
        <v>0</v>
      </c>
      <c r="AO22" s="501">
        <f t="shared" si="3"/>
        <v>0</v>
      </c>
      <c r="AP22" s="501">
        <f t="shared" si="4"/>
        <v>0</v>
      </c>
      <c r="AQ22" s="1" t="str">
        <f t="shared" si="5"/>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6"/>
        <v>#DIV/0!</v>
      </c>
      <c r="B23">
        <v>14</v>
      </c>
      <c r="C23" t="s">
        <v>93</v>
      </c>
      <c r="D23" s="25">
        <f>'Multi-Customer'!C25</f>
        <v>0</v>
      </c>
      <c r="E23">
        <f>'Multi-Customer'!D25</f>
        <v>0</v>
      </c>
      <c r="F23">
        <f>'Multi-Customer'!E25</f>
        <v>0</v>
      </c>
      <c r="G23" s="351">
        <f>'Multi-Customer'!F25</f>
        <v>0</v>
      </c>
      <c r="H23" s="19">
        <f t="shared" si="7"/>
        <v>0</v>
      </c>
      <c r="I23" s="19">
        <f t="shared" si="8"/>
        <v>0</v>
      </c>
      <c r="J23" s="351"/>
      <c r="K23" s="351" t="str">
        <f>'PIM Model'!E21</f>
        <v>INCLUDE</v>
      </c>
      <c r="L23" s="351">
        <f t="shared" si="9"/>
        <v>0</v>
      </c>
      <c r="M23">
        <v>14</v>
      </c>
      <c r="N23" s="351" t="s">
        <v>93</v>
      </c>
      <c r="O23" s="351">
        <f t="shared" si="10"/>
        <v>0</v>
      </c>
      <c r="P23" s="351">
        <f t="shared" si="11"/>
        <v>0</v>
      </c>
      <c r="Q23" s="351">
        <f t="shared" si="12"/>
        <v>0</v>
      </c>
      <c r="R23" s="351">
        <f t="shared" si="13"/>
        <v>0</v>
      </c>
      <c r="S23" s="351">
        <f t="shared" si="14"/>
        <v>0</v>
      </c>
      <c r="T23" s="19">
        <f t="shared" si="15"/>
        <v>0</v>
      </c>
      <c r="U23" s="19"/>
      <c r="V23" s="2">
        <f>'PIM Model'!$C$21</f>
        <v>0</v>
      </c>
      <c r="W23" s="645" t="e">
        <f>'Multi-Customer'!M25</f>
        <v>#DIV/0!</v>
      </c>
      <c r="X23" s="19" t="e">
        <f t="shared" si="16"/>
        <v>#DIV/0!</v>
      </c>
      <c r="Y23" s="351">
        <f t="shared" si="17"/>
        <v>0</v>
      </c>
      <c r="Z23" s="351">
        <f t="shared" si="18"/>
        <v>0</v>
      </c>
      <c r="AA23" s="351">
        <f t="shared" si="19"/>
        <v>0</v>
      </c>
      <c r="AB23" s="646" t="e">
        <f t="shared" si="20"/>
        <v>#DIV/0!</v>
      </c>
      <c r="AC23" s="646">
        <f t="shared" si="21"/>
        <v>0</v>
      </c>
      <c r="AD23" s="351">
        <f t="shared" si="22"/>
        <v>0</v>
      </c>
      <c r="AE23" s="351"/>
      <c r="AF23" s="351">
        <f t="shared" si="23"/>
        <v>0</v>
      </c>
      <c r="AG23" s="39">
        <f>'PIM Model'!B21</f>
        <v>0</v>
      </c>
      <c r="AH23" s="499">
        <f t="shared" si="0"/>
        <v>0</v>
      </c>
      <c r="AI23" s="499">
        <f t="shared" si="24"/>
        <v>0</v>
      </c>
      <c r="AJ23">
        <v>14</v>
      </c>
      <c r="AK23" s="500" t="s">
        <v>93</v>
      </c>
      <c r="AL23" s="500">
        <f t="shared" si="25"/>
        <v>0</v>
      </c>
      <c r="AM23" s="500">
        <f t="shared" si="1"/>
        <v>0</v>
      </c>
      <c r="AN23" s="500">
        <f t="shared" si="2"/>
        <v>0</v>
      </c>
      <c r="AO23" s="501">
        <f t="shared" si="3"/>
        <v>0</v>
      </c>
      <c r="AP23" s="501">
        <f t="shared" si="4"/>
        <v>0</v>
      </c>
      <c r="AQ23" s="1" t="str">
        <f t="shared" si="5"/>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6"/>
        <v>#DIV/0!</v>
      </c>
      <c r="B24">
        <v>15</v>
      </c>
      <c r="C24" t="s">
        <v>105</v>
      </c>
      <c r="D24" s="25">
        <f>'Multi-Customer'!C26</f>
        <v>0</v>
      </c>
      <c r="E24">
        <f>'Multi-Customer'!D26</f>
        <v>0</v>
      </c>
      <c r="F24">
        <f>'Multi-Customer'!E26</f>
        <v>0</v>
      </c>
      <c r="G24" s="351">
        <f>'Multi-Customer'!F26</f>
        <v>0</v>
      </c>
      <c r="H24" s="19">
        <f t="shared" si="7"/>
        <v>0</v>
      </c>
      <c r="I24" s="19">
        <f t="shared" si="8"/>
        <v>0</v>
      </c>
      <c r="J24" s="351"/>
      <c r="K24" s="351" t="str">
        <f>'PIM Model'!E22</f>
        <v>INCLUDE</v>
      </c>
      <c r="L24" s="351">
        <f t="shared" si="9"/>
        <v>0</v>
      </c>
      <c r="M24">
        <v>15</v>
      </c>
      <c r="N24" s="351" t="s">
        <v>105</v>
      </c>
      <c r="O24" s="351">
        <f t="shared" si="10"/>
        <v>0</v>
      </c>
      <c r="P24" s="351">
        <f t="shared" si="11"/>
        <v>0</v>
      </c>
      <c r="Q24" s="351">
        <f t="shared" si="12"/>
        <v>0</v>
      </c>
      <c r="R24" s="351">
        <f t="shared" si="13"/>
        <v>0</v>
      </c>
      <c r="S24" s="351">
        <f t="shared" si="14"/>
        <v>0</v>
      </c>
      <c r="T24" s="19">
        <f t="shared" si="15"/>
        <v>0</v>
      </c>
      <c r="U24" s="19"/>
      <c r="V24" s="2">
        <f>'PIM Model'!$C$22</f>
        <v>0</v>
      </c>
      <c r="W24" s="645" t="e">
        <f>'Multi-Customer'!M26</f>
        <v>#DIV/0!</v>
      </c>
      <c r="X24" s="19" t="e">
        <f t="shared" si="16"/>
        <v>#DIV/0!</v>
      </c>
      <c r="Y24" s="351">
        <f t="shared" si="17"/>
        <v>0</v>
      </c>
      <c r="Z24" s="351">
        <f t="shared" si="18"/>
        <v>0</v>
      </c>
      <c r="AA24" s="351">
        <f t="shared" si="19"/>
        <v>0</v>
      </c>
      <c r="AB24" s="646" t="e">
        <f t="shared" si="20"/>
        <v>#DIV/0!</v>
      </c>
      <c r="AC24" s="646">
        <f t="shared" si="21"/>
        <v>0</v>
      </c>
      <c r="AD24" s="351">
        <f t="shared" si="22"/>
        <v>0</v>
      </c>
      <c r="AE24" s="351"/>
      <c r="AF24" s="351">
        <f t="shared" si="23"/>
        <v>0</v>
      </c>
      <c r="AG24" s="39">
        <f>'PIM Model'!B22</f>
        <v>0</v>
      </c>
      <c r="AH24" s="499">
        <f t="shared" si="0"/>
        <v>0</v>
      </c>
      <c r="AI24" s="499">
        <f t="shared" si="24"/>
        <v>0</v>
      </c>
      <c r="AJ24">
        <v>15</v>
      </c>
      <c r="AK24" s="500" t="s">
        <v>105</v>
      </c>
      <c r="AL24" s="500">
        <f t="shared" si="25"/>
        <v>0</v>
      </c>
      <c r="AM24" s="500">
        <f t="shared" si="1"/>
        <v>0</v>
      </c>
      <c r="AN24" s="500">
        <f t="shared" si="2"/>
        <v>0</v>
      </c>
      <c r="AO24" s="501">
        <f t="shared" si="3"/>
        <v>0</v>
      </c>
      <c r="AP24" s="501">
        <f t="shared" si="4"/>
        <v>0</v>
      </c>
      <c r="AQ24" s="1" t="str">
        <f t="shared" si="5"/>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6"/>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f t="shared" si="9"/>
        <v>0</v>
      </c>
      <c r="M25">
        <v>16</v>
      </c>
      <c r="N25" s="351" t="s">
        <v>92</v>
      </c>
      <c r="O25" s="351">
        <f t="shared" si="10"/>
        <v>0</v>
      </c>
      <c r="P25" s="351">
        <f t="shared" si="11"/>
        <v>0</v>
      </c>
      <c r="Q25" s="351">
        <f t="shared" si="12"/>
        <v>0</v>
      </c>
      <c r="R25" s="351">
        <f t="shared" si="13"/>
        <v>0</v>
      </c>
      <c r="S25" s="351">
        <f t="shared" si="14"/>
        <v>0</v>
      </c>
      <c r="T25" s="19">
        <f t="shared" si="15"/>
        <v>0</v>
      </c>
      <c r="U25" s="19"/>
      <c r="V25" s="2">
        <f>'PIM Model'!$C$23</f>
        <v>0</v>
      </c>
      <c r="W25" s="645" t="e">
        <f>'Multi-Customer'!M27</f>
        <v>#DIV/0!</v>
      </c>
      <c r="X25" s="19" t="e">
        <f t="shared" si="16"/>
        <v>#DIV/0!</v>
      </c>
      <c r="Y25" s="351">
        <f t="shared" si="17"/>
        <v>0</v>
      </c>
      <c r="Z25" s="351">
        <f t="shared" si="18"/>
        <v>0</v>
      </c>
      <c r="AA25" s="351">
        <f t="shared" si="19"/>
        <v>0</v>
      </c>
      <c r="AB25" s="646" t="e">
        <f t="shared" si="20"/>
        <v>#DIV/0!</v>
      </c>
      <c r="AC25" s="646">
        <f t="shared" si="21"/>
        <v>0</v>
      </c>
      <c r="AD25" s="351">
        <f t="shared" si="22"/>
        <v>0</v>
      </c>
      <c r="AE25" s="351"/>
      <c r="AF25" s="351">
        <f t="shared" si="23"/>
        <v>0</v>
      </c>
      <c r="AG25" s="39">
        <f>'PIM Model'!B23</f>
        <v>0</v>
      </c>
      <c r="AH25" s="499">
        <f t="shared" si="0"/>
        <v>0</v>
      </c>
      <c r="AI25" s="499">
        <f t="shared" si="24"/>
        <v>0</v>
      </c>
      <c r="AJ25">
        <v>16</v>
      </c>
      <c r="AK25" s="500" t="s">
        <v>92</v>
      </c>
      <c r="AL25" s="500">
        <f t="shared" si="25"/>
        <v>0</v>
      </c>
      <c r="AM25" s="500">
        <f t="shared" si="1"/>
        <v>0</v>
      </c>
      <c r="AN25" s="500">
        <f t="shared" si="2"/>
        <v>0</v>
      </c>
      <c r="AO25" s="501">
        <f t="shared" si="3"/>
        <v>0</v>
      </c>
      <c r="AP25" s="501">
        <f t="shared" si="4"/>
        <v>0</v>
      </c>
      <c r="AQ25" s="1" t="str">
        <f t="shared" si="5"/>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6"/>
        <v>#DIV/0!</v>
      </c>
      <c r="B26">
        <v>17</v>
      </c>
      <c r="C26" t="s">
        <v>91</v>
      </c>
      <c r="D26" s="25">
        <f>'Multi-Customer'!C28</f>
        <v>0</v>
      </c>
      <c r="E26">
        <f>'Multi-Customer'!D28</f>
        <v>0</v>
      </c>
      <c r="F26">
        <f>'Multi-Customer'!E28</f>
        <v>0</v>
      </c>
      <c r="G26" s="351">
        <f>'Multi-Customer'!F28</f>
        <v>0</v>
      </c>
      <c r="H26" s="19">
        <f t="shared" si="7"/>
        <v>0</v>
      </c>
      <c r="I26" s="19">
        <f t="shared" si="8"/>
        <v>0</v>
      </c>
      <c r="J26" s="351"/>
      <c r="K26" s="351" t="str">
        <f>'PIM Model'!E24</f>
        <v>INCLUDE</v>
      </c>
      <c r="L26" s="351">
        <f t="shared" si="9"/>
        <v>0</v>
      </c>
      <c r="M26">
        <v>17</v>
      </c>
      <c r="N26" s="351" t="s">
        <v>91</v>
      </c>
      <c r="O26" s="351">
        <f t="shared" si="10"/>
        <v>0</v>
      </c>
      <c r="P26" s="351">
        <f t="shared" si="11"/>
        <v>0</v>
      </c>
      <c r="Q26" s="351">
        <f t="shared" si="12"/>
        <v>0</v>
      </c>
      <c r="R26" s="351">
        <f t="shared" si="13"/>
        <v>0</v>
      </c>
      <c r="S26" s="351">
        <f t="shared" si="14"/>
        <v>0</v>
      </c>
      <c r="T26" s="19">
        <f t="shared" si="15"/>
        <v>0</v>
      </c>
      <c r="U26" s="19"/>
      <c r="V26" s="2">
        <f>'PIM Model'!$C$24</f>
        <v>0</v>
      </c>
      <c r="W26" s="645" t="e">
        <f>'Multi-Customer'!M28</f>
        <v>#DIV/0!</v>
      </c>
      <c r="X26" s="19" t="e">
        <f t="shared" si="16"/>
        <v>#DIV/0!</v>
      </c>
      <c r="Y26" s="351">
        <f t="shared" si="17"/>
        <v>0</v>
      </c>
      <c r="Z26" s="351">
        <f t="shared" si="18"/>
        <v>0</v>
      </c>
      <c r="AA26" s="351">
        <f t="shared" si="19"/>
        <v>0</v>
      </c>
      <c r="AB26" s="646" t="e">
        <f t="shared" si="20"/>
        <v>#DIV/0!</v>
      </c>
      <c r="AC26" s="646">
        <f t="shared" si="21"/>
        <v>0</v>
      </c>
      <c r="AD26" s="351">
        <f t="shared" si="22"/>
        <v>0</v>
      </c>
      <c r="AE26" s="351"/>
      <c r="AF26" s="351">
        <f t="shared" si="23"/>
        <v>0</v>
      </c>
      <c r="AG26" s="39">
        <f>'PIM Model'!B24</f>
        <v>0</v>
      </c>
      <c r="AH26" s="499">
        <f t="shared" si="0"/>
        <v>0</v>
      </c>
      <c r="AI26" s="499">
        <f t="shared" si="24"/>
        <v>0</v>
      </c>
      <c r="AJ26">
        <v>17</v>
      </c>
      <c r="AK26" s="500" t="s">
        <v>91</v>
      </c>
      <c r="AL26" s="500">
        <f t="shared" si="25"/>
        <v>0</v>
      </c>
      <c r="AM26" s="500">
        <f t="shared" si="1"/>
        <v>0</v>
      </c>
      <c r="AN26" s="500">
        <f t="shared" si="2"/>
        <v>0</v>
      </c>
      <c r="AO26" s="501">
        <f t="shared" si="3"/>
        <v>0</v>
      </c>
      <c r="AP26" s="501">
        <f t="shared" si="4"/>
        <v>0</v>
      </c>
      <c r="AQ26" s="1" t="str">
        <f t="shared" si="5"/>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6"/>
        <v>#DIV/0!</v>
      </c>
      <c r="B27">
        <v>18</v>
      </c>
      <c r="C27" t="s">
        <v>90</v>
      </c>
      <c r="D27" s="25">
        <f>'Multi-Customer'!C29</f>
        <v>0</v>
      </c>
      <c r="E27">
        <f>'Multi-Customer'!D29</f>
        <v>0</v>
      </c>
      <c r="F27">
        <f>'Multi-Customer'!E29</f>
        <v>0</v>
      </c>
      <c r="G27" s="351">
        <f>'Multi-Customer'!F29</f>
        <v>0</v>
      </c>
      <c r="H27" s="19">
        <f t="shared" si="7"/>
        <v>0</v>
      </c>
      <c r="I27" s="19">
        <f t="shared" si="8"/>
        <v>0</v>
      </c>
      <c r="J27" s="351"/>
      <c r="K27" s="351" t="str">
        <f>'PIM Model'!E25</f>
        <v>INCLUDE</v>
      </c>
      <c r="L27" s="351">
        <f t="shared" si="9"/>
        <v>0</v>
      </c>
      <c r="M27">
        <v>18</v>
      </c>
      <c r="N27" s="351" t="s">
        <v>90</v>
      </c>
      <c r="O27" s="351">
        <f t="shared" si="10"/>
        <v>0</v>
      </c>
      <c r="P27" s="351">
        <f t="shared" si="11"/>
        <v>0</v>
      </c>
      <c r="Q27" s="351">
        <f t="shared" si="12"/>
        <v>0</v>
      </c>
      <c r="R27" s="351">
        <f t="shared" si="13"/>
        <v>0</v>
      </c>
      <c r="S27" s="351">
        <f t="shared" si="14"/>
        <v>0</v>
      </c>
      <c r="T27" s="19">
        <f t="shared" si="15"/>
        <v>0</v>
      </c>
      <c r="U27" s="19"/>
      <c r="V27" s="2">
        <f>'PIM Model'!$C$25</f>
        <v>0</v>
      </c>
      <c r="W27" s="645" t="e">
        <f>'Multi-Customer'!M29</f>
        <v>#DIV/0!</v>
      </c>
      <c r="X27" s="19" t="e">
        <f t="shared" si="16"/>
        <v>#DIV/0!</v>
      </c>
      <c r="Y27" s="351">
        <f t="shared" si="17"/>
        <v>0</v>
      </c>
      <c r="Z27" s="351">
        <f t="shared" si="18"/>
        <v>0</v>
      </c>
      <c r="AA27" s="351">
        <f t="shared" si="19"/>
        <v>0</v>
      </c>
      <c r="AB27" s="646" t="e">
        <f t="shared" si="20"/>
        <v>#DIV/0!</v>
      </c>
      <c r="AC27" s="646">
        <f t="shared" si="21"/>
        <v>0</v>
      </c>
      <c r="AD27" s="351">
        <f t="shared" si="22"/>
        <v>0</v>
      </c>
      <c r="AE27" s="351"/>
      <c r="AF27" s="351">
        <f t="shared" si="23"/>
        <v>0</v>
      </c>
      <c r="AG27" s="39">
        <f>'PIM Model'!B25</f>
        <v>0</v>
      </c>
      <c r="AH27" s="499">
        <f t="shared" si="0"/>
        <v>0</v>
      </c>
      <c r="AI27" s="499">
        <f t="shared" si="24"/>
        <v>0</v>
      </c>
      <c r="AJ27">
        <v>18</v>
      </c>
      <c r="AK27" s="500" t="s">
        <v>90</v>
      </c>
      <c r="AL27" s="500">
        <f t="shared" si="25"/>
        <v>0</v>
      </c>
      <c r="AM27" s="500">
        <f t="shared" si="1"/>
        <v>0</v>
      </c>
      <c r="AN27" s="500">
        <f t="shared" si="2"/>
        <v>0</v>
      </c>
      <c r="AO27" s="501">
        <f t="shared" si="3"/>
        <v>0</v>
      </c>
      <c r="AP27" s="501">
        <f t="shared" si="4"/>
        <v>0</v>
      </c>
      <c r="AQ27" s="1" t="str">
        <f t="shared" si="5"/>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6"/>
        <v>#DIV/0!</v>
      </c>
      <c r="B28">
        <v>19</v>
      </c>
      <c r="C28" t="s">
        <v>89</v>
      </c>
      <c r="D28" s="25">
        <f>'Multi-Customer'!C30</f>
        <v>0</v>
      </c>
      <c r="E28">
        <f>'Multi-Customer'!D30</f>
        <v>0</v>
      </c>
      <c r="F28">
        <f>'Multi-Customer'!E30</f>
        <v>0</v>
      </c>
      <c r="G28" s="351">
        <f>'Multi-Customer'!F30</f>
        <v>0</v>
      </c>
      <c r="H28" s="19">
        <f t="shared" si="7"/>
        <v>0</v>
      </c>
      <c r="I28" s="19">
        <f t="shared" si="8"/>
        <v>0</v>
      </c>
      <c r="J28" s="351"/>
      <c r="K28" s="351" t="str">
        <f>'PIM Model'!E26</f>
        <v>INCLUDE</v>
      </c>
      <c r="L28" s="351">
        <f t="shared" si="9"/>
        <v>0</v>
      </c>
      <c r="M28">
        <v>19</v>
      </c>
      <c r="N28" s="351" t="s">
        <v>89</v>
      </c>
      <c r="O28" s="351">
        <f t="shared" si="10"/>
        <v>0</v>
      </c>
      <c r="P28" s="351">
        <f t="shared" si="11"/>
        <v>0</v>
      </c>
      <c r="Q28" s="351">
        <f t="shared" si="12"/>
        <v>0</v>
      </c>
      <c r="R28" s="351">
        <f t="shared" si="13"/>
        <v>0</v>
      </c>
      <c r="S28" s="351">
        <f t="shared" si="14"/>
        <v>0</v>
      </c>
      <c r="T28" s="19">
        <f t="shared" si="15"/>
        <v>0</v>
      </c>
      <c r="U28" s="19"/>
      <c r="V28" s="2">
        <f>'PIM Model'!$C$26</f>
        <v>0</v>
      </c>
      <c r="W28" s="645" t="e">
        <f>'Multi-Customer'!M30</f>
        <v>#DIV/0!</v>
      </c>
      <c r="X28" s="19" t="e">
        <f t="shared" si="16"/>
        <v>#DIV/0!</v>
      </c>
      <c r="Y28" s="351">
        <f t="shared" si="17"/>
        <v>0</v>
      </c>
      <c r="Z28" s="351">
        <f t="shared" si="18"/>
        <v>0</v>
      </c>
      <c r="AA28" s="351">
        <f t="shared" si="19"/>
        <v>0</v>
      </c>
      <c r="AB28" s="646" t="e">
        <f t="shared" si="20"/>
        <v>#DIV/0!</v>
      </c>
      <c r="AC28" s="646">
        <f t="shared" si="21"/>
        <v>0</v>
      </c>
      <c r="AD28" s="351">
        <f t="shared" si="22"/>
        <v>0</v>
      </c>
      <c r="AE28" s="351"/>
      <c r="AF28" s="351">
        <f t="shared" si="23"/>
        <v>0</v>
      </c>
      <c r="AG28" s="39">
        <f>'PIM Model'!B26</f>
        <v>0</v>
      </c>
      <c r="AH28" s="499">
        <f t="shared" si="0"/>
        <v>0</v>
      </c>
      <c r="AI28" s="499">
        <f t="shared" si="24"/>
        <v>0</v>
      </c>
      <c r="AJ28">
        <v>19</v>
      </c>
      <c r="AK28" s="500" t="s">
        <v>89</v>
      </c>
      <c r="AL28" s="500">
        <f t="shared" si="25"/>
        <v>0</v>
      </c>
      <c r="AM28" s="500">
        <f t="shared" si="1"/>
        <v>0</v>
      </c>
      <c r="AN28" s="500">
        <f t="shared" si="2"/>
        <v>0</v>
      </c>
      <c r="AO28" s="501">
        <f t="shared" si="3"/>
        <v>0</v>
      </c>
      <c r="AP28" s="501">
        <f t="shared" si="4"/>
        <v>0</v>
      </c>
      <c r="AQ28" s="1" t="str">
        <f t="shared" si="5"/>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6"/>
        <v>#DIV/0!</v>
      </c>
      <c r="B29">
        <v>20</v>
      </c>
      <c r="C29" t="s">
        <v>94</v>
      </c>
      <c r="D29" s="25">
        <f>'Multi-Customer'!C31</f>
        <v>0</v>
      </c>
      <c r="E29">
        <f>'Multi-Customer'!D31</f>
        <v>0</v>
      </c>
      <c r="F29">
        <f>'Multi-Customer'!E31</f>
        <v>0</v>
      </c>
      <c r="G29" s="351">
        <f>'Multi-Customer'!F31</f>
        <v>0</v>
      </c>
      <c r="H29" s="19">
        <f t="shared" si="7"/>
        <v>0</v>
      </c>
      <c r="I29" s="19">
        <f t="shared" si="8"/>
        <v>0</v>
      </c>
      <c r="J29" s="351"/>
      <c r="K29" s="351" t="str">
        <f>'PIM Model'!E27</f>
        <v>INCLUDE</v>
      </c>
      <c r="L29" s="351">
        <f t="shared" si="9"/>
        <v>0</v>
      </c>
      <c r="M29">
        <v>20</v>
      </c>
      <c r="N29" s="351" t="s">
        <v>94</v>
      </c>
      <c r="O29" s="351">
        <f t="shared" si="10"/>
        <v>0</v>
      </c>
      <c r="P29" s="351">
        <f t="shared" si="11"/>
        <v>0</v>
      </c>
      <c r="Q29" s="351">
        <f t="shared" si="12"/>
        <v>0</v>
      </c>
      <c r="R29" s="351">
        <f t="shared" si="13"/>
        <v>0</v>
      </c>
      <c r="S29" s="351">
        <f t="shared" si="14"/>
        <v>0</v>
      </c>
      <c r="T29" s="19">
        <f t="shared" si="15"/>
        <v>0</v>
      </c>
      <c r="U29" s="19"/>
      <c r="V29" s="2">
        <f>'PIM Model'!$C$27</f>
        <v>0</v>
      </c>
      <c r="W29" s="645" t="e">
        <f>'Multi-Customer'!M31</f>
        <v>#DIV/0!</v>
      </c>
      <c r="X29" s="19" t="e">
        <f t="shared" si="16"/>
        <v>#DIV/0!</v>
      </c>
      <c r="Y29" s="351">
        <f t="shared" si="17"/>
        <v>0</v>
      </c>
      <c r="Z29" s="351">
        <f t="shared" si="18"/>
        <v>0</v>
      </c>
      <c r="AA29" s="351">
        <f t="shared" si="19"/>
        <v>0</v>
      </c>
      <c r="AB29" s="646" t="e">
        <f t="shared" si="20"/>
        <v>#DIV/0!</v>
      </c>
      <c r="AC29" s="646">
        <f t="shared" si="21"/>
        <v>0</v>
      </c>
      <c r="AD29" s="351">
        <f t="shared" si="22"/>
        <v>0</v>
      </c>
      <c r="AE29" s="351"/>
      <c r="AF29" s="351">
        <f t="shared" si="23"/>
        <v>0</v>
      </c>
      <c r="AG29" s="39">
        <f>'PIM Model'!B27</f>
        <v>0</v>
      </c>
      <c r="AH29" s="499">
        <f t="shared" si="0"/>
        <v>0</v>
      </c>
      <c r="AI29" s="499">
        <f t="shared" si="24"/>
        <v>0</v>
      </c>
      <c r="AJ29">
        <v>20</v>
      </c>
      <c r="AK29" s="500" t="s">
        <v>94</v>
      </c>
      <c r="AL29" s="500">
        <f t="shared" si="25"/>
        <v>0</v>
      </c>
      <c r="AM29" s="500">
        <f t="shared" si="1"/>
        <v>0</v>
      </c>
      <c r="AN29" s="500">
        <f t="shared" si="2"/>
        <v>0</v>
      </c>
      <c r="AO29" s="501">
        <f t="shared" si="3"/>
        <v>0</v>
      </c>
      <c r="AP29" s="501">
        <f t="shared" si="4"/>
        <v>0</v>
      </c>
      <c r="AQ29" s="1" t="str">
        <f t="shared" si="5"/>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6"/>
        <v>#DIV/0!</v>
      </c>
      <c r="B30">
        <v>21</v>
      </c>
      <c r="C30" t="s">
        <v>86</v>
      </c>
      <c r="D30" s="25">
        <f>'Multi-Customer'!C32</f>
        <v>0</v>
      </c>
      <c r="E30">
        <f>'Multi-Customer'!D32</f>
        <v>0</v>
      </c>
      <c r="F30">
        <f>'Multi-Customer'!E32</f>
        <v>0</v>
      </c>
      <c r="G30" s="351">
        <f>'Multi-Customer'!F32</f>
        <v>0</v>
      </c>
      <c r="H30" s="19">
        <f t="shared" si="7"/>
        <v>0</v>
      </c>
      <c r="I30" s="19">
        <f t="shared" si="8"/>
        <v>0</v>
      </c>
      <c r="J30" s="351"/>
      <c r="K30" s="351" t="str">
        <f>'PIM Model'!E28</f>
        <v>INCLUDE</v>
      </c>
      <c r="L30" s="351">
        <f t="shared" si="9"/>
        <v>0</v>
      </c>
      <c r="M30">
        <v>21</v>
      </c>
      <c r="N30" s="351" t="s">
        <v>86</v>
      </c>
      <c r="O30" s="351">
        <f t="shared" si="10"/>
        <v>0</v>
      </c>
      <c r="P30" s="351">
        <f t="shared" si="11"/>
        <v>0</v>
      </c>
      <c r="Q30" s="351">
        <f t="shared" si="12"/>
        <v>0</v>
      </c>
      <c r="R30" s="351">
        <f t="shared" si="13"/>
        <v>0</v>
      </c>
      <c r="S30" s="351">
        <f t="shared" si="14"/>
        <v>0</v>
      </c>
      <c r="T30" s="19">
        <f t="shared" si="15"/>
        <v>0</v>
      </c>
      <c r="U30" s="19"/>
      <c r="V30" s="2">
        <f>'PIM Model'!$C$28</f>
        <v>0</v>
      </c>
      <c r="W30" s="645" t="e">
        <f>'Multi-Customer'!M32</f>
        <v>#DIV/0!</v>
      </c>
      <c r="X30" s="19" t="e">
        <f t="shared" si="16"/>
        <v>#DIV/0!</v>
      </c>
      <c r="Y30" s="351">
        <f t="shared" si="17"/>
        <v>0</v>
      </c>
      <c r="Z30" s="351">
        <f t="shared" si="18"/>
        <v>0</v>
      </c>
      <c r="AA30" s="351">
        <f t="shared" si="19"/>
        <v>0</v>
      </c>
      <c r="AB30" s="646" t="e">
        <f t="shared" si="20"/>
        <v>#DIV/0!</v>
      </c>
      <c r="AC30" s="646">
        <f t="shared" si="21"/>
        <v>0</v>
      </c>
      <c r="AD30" s="351">
        <f t="shared" si="22"/>
        <v>0</v>
      </c>
      <c r="AE30" s="351"/>
      <c r="AF30" s="351">
        <f t="shared" si="23"/>
        <v>0</v>
      </c>
      <c r="AG30" s="39">
        <f>'PIM Model'!B28</f>
        <v>0</v>
      </c>
      <c r="AH30" s="499">
        <f t="shared" si="0"/>
        <v>0</v>
      </c>
      <c r="AI30" s="499">
        <f t="shared" si="24"/>
        <v>0</v>
      </c>
      <c r="AJ30">
        <v>21</v>
      </c>
      <c r="AK30" s="500" t="s">
        <v>86</v>
      </c>
      <c r="AL30" s="500">
        <f t="shared" si="25"/>
        <v>0</v>
      </c>
      <c r="AM30" s="500">
        <f t="shared" si="1"/>
        <v>0</v>
      </c>
      <c r="AN30" s="500">
        <f t="shared" si="2"/>
        <v>0</v>
      </c>
      <c r="AO30" s="501">
        <f t="shared" si="3"/>
        <v>0</v>
      </c>
      <c r="AP30" s="501">
        <f t="shared" si="4"/>
        <v>0</v>
      </c>
      <c r="AQ30" s="1" t="str">
        <f t="shared" si="5"/>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6"/>
        <v>#DIV/0!</v>
      </c>
      <c r="B31">
        <v>22</v>
      </c>
      <c r="C31" t="s">
        <v>88</v>
      </c>
      <c r="D31" s="25">
        <f>'Multi-Customer'!C33</f>
        <v>0</v>
      </c>
      <c r="E31">
        <f>'Multi-Customer'!D33</f>
        <v>0</v>
      </c>
      <c r="F31">
        <f>'Multi-Customer'!E33</f>
        <v>0</v>
      </c>
      <c r="G31" s="351">
        <f>'Multi-Customer'!F33</f>
        <v>0</v>
      </c>
      <c r="H31" s="19">
        <f t="shared" si="7"/>
        <v>0</v>
      </c>
      <c r="I31" s="19">
        <f t="shared" si="8"/>
        <v>0</v>
      </c>
      <c r="J31" s="351"/>
      <c r="K31" s="351" t="str">
        <f>'PIM Model'!E29</f>
        <v>INCLUDE</v>
      </c>
      <c r="L31" s="351">
        <f t="shared" si="9"/>
        <v>0</v>
      </c>
      <c r="M31">
        <v>22</v>
      </c>
      <c r="N31" s="351" t="s">
        <v>88</v>
      </c>
      <c r="O31" s="351">
        <f t="shared" si="10"/>
        <v>0</v>
      </c>
      <c r="P31" s="351">
        <f t="shared" si="11"/>
        <v>0</v>
      </c>
      <c r="Q31" s="351">
        <f t="shared" si="12"/>
        <v>0</v>
      </c>
      <c r="R31" s="351">
        <f t="shared" si="13"/>
        <v>0</v>
      </c>
      <c r="S31" s="351">
        <f t="shared" si="14"/>
        <v>0</v>
      </c>
      <c r="T31" s="19">
        <f t="shared" si="15"/>
        <v>0</v>
      </c>
      <c r="U31" s="19"/>
      <c r="V31" s="2">
        <f>'PIM Model'!$C$29</f>
        <v>0</v>
      </c>
      <c r="W31" s="645" t="e">
        <f>'Multi-Customer'!M33</f>
        <v>#DIV/0!</v>
      </c>
      <c r="X31" s="19" t="e">
        <f t="shared" si="16"/>
        <v>#DIV/0!</v>
      </c>
      <c r="Y31" s="351">
        <f t="shared" si="17"/>
        <v>0</v>
      </c>
      <c r="Z31" s="351">
        <f t="shared" si="18"/>
        <v>0</v>
      </c>
      <c r="AA31" s="351">
        <f t="shared" si="19"/>
        <v>0</v>
      </c>
      <c r="AB31" s="646" t="e">
        <f t="shared" si="20"/>
        <v>#DIV/0!</v>
      </c>
      <c r="AC31" s="646">
        <f t="shared" si="21"/>
        <v>0</v>
      </c>
      <c r="AD31" s="351">
        <f t="shared" si="22"/>
        <v>0</v>
      </c>
      <c r="AE31" s="351"/>
      <c r="AF31" s="351">
        <f t="shared" si="23"/>
        <v>0</v>
      </c>
      <c r="AG31" s="39">
        <f>'PIM Model'!B29</f>
        <v>0</v>
      </c>
      <c r="AH31" s="499">
        <f t="shared" si="0"/>
        <v>0</v>
      </c>
      <c r="AI31" s="499">
        <f t="shared" si="24"/>
        <v>0</v>
      </c>
      <c r="AJ31">
        <v>22</v>
      </c>
      <c r="AK31" s="500" t="s">
        <v>88</v>
      </c>
      <c r="AL31" s="500">
        <f t="shared" si="25"/>
        <v>0</v>
      </c>
      <c r="AM31" s="500">
        <f t="shared" si="1"/>
        <v>0</v>
      </c>
      <c r="AN31" s="500">
        <f t="shared" si="2"/>
        <v>0</v>
      </c>
      <c r="AO31" s="501">
        <f t="shared" si="3"/>
        <v>0</v>
      </c>
      <c r="AP31" s="501">
        <f t="shared" si="4"/>
        <v>0</v>
      </c>
      <c r="AQ31" s="1" t="str">
        <f t="shared" si="5"/>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6"/>
        <v>#DIV/0!</v>
      </c>
      <c r="B32">
        <v>23</v>
      </c>
      <c r="C32" t="s">
        <v>87</v>
      </c>
      <c r="D32" s="25">
        <f>'Multi-Customer'!C34</f>
        <v>0</v>
      </c>
      <c r="E32">
        <f>'Multi-Customer'!D34</f>
        <v>0</v>
      </c>
      <c r="F32">
        <f>'Multi-Customer'!E34</f>
        <v>0</v>
      </c>
      <c r="G32" s="351">
        <f>'Multi-Customer'!F34</f>
        <v>0</v>
      </c>
      <c r="H32" s="19">
        <f t="shared" si="7"/>
        <v>0</v>
      </c>
      <c r="I32" s="19">
        <f t="shared" si="8"/>
        <v>0</v>
      </c>
      <c r="J32" s="351"/>
      <c r="K32" s="351" t="str">
        <f>'PIM Model'!E30</f>
        <v>INCLUDE</v>
      </c>
      <c r="L32" s="351">
        <f t="shared" si="9"/>
        <v>0</v>
      </c>
      <c r="M32">
        <v>23</v>
      </c>
      <c r="N32" s="351" t="s">
        <v>87</v>
      </c>
      <c r="O32" s="351">
        <f t="shared" si="10"/>
        <v>0</v>
      </c>
      <c r="P32" s="351">
        <f t="shared" si="11"/>
        <v>0</v>
      </c>
      <c r="Q32" s="351">
        <f t="shared" si="12"/>
        <v>0</v>
      </c>
      <c r="R32" s="351">
        <f t="shared" si="13"/>
        <v>0</v>
      </c>
      <c r="S32" s="351">
        <f t="shared" si="14"/>
        <v>0</v>
      </c>
      <c r="T32" s="19">
        <f t="shared" si="15"/>
        <v>0</v>
      </c>
      <c r="U32" s="19"/>
      <c r="V32" s="2">
        <f>'PIM Model'!$C$30</f>
        <v>0</v>
      </c>
      <c r="W32" s="645" t="e">
        <f>'Multi-Customer'!M34</f>
        <v>#DIV/0!</v>
      </c>
      <c r="X32" s="19" t="e">
        <f t="shared" si="16"/>
        <v>#DIV/0!</v>
      </c>
      <c r="Y32" s="351">
        <f t="shared" si="17"/>
        <v>0</v>
      </c>
      <c r="Z32" s="351">
        <f t="shared" si="18"/>
        <v>0</v>
      </c>
      <c r="AA32" s="351">
        <f t="shared" si="19"/>
        <v>0</v>
      </c>
      <c r="AB32" s="646" t="e">
        <f t="shared" si="20"/>
        <v>#DIV/0!</v>
      </c>
      <c r="AC32" s="646">
        <f t="shared" si="21"/>
        <v>0</v>
      </c>
      <c r="AD32" s="351">
        <f t="shared" si="22"/>
        <v>0</v>
      </c>
      <c r="AE32" s="351"/>
      <c r="AF32" s="351">
        <f t="shared" si="23"/>
        <v>0</v>
      </c>
      <c r="AG32" s="39">
        <f>'PIM Model'!B30</f>
        <v>0</v>
      </c>
      <c r="AH32" s="499">
        <f t="shared" si="0"/>
        <v>0</v>
      </c>
      <c r="AI32" s="499">
        <f t="shared" si="24"/>
        <v>0</v>
      </c>
      <c r="AJ32">
        <v>23</v>
      </c>
      <c r="AK32" s="500" t="s">
        <v>87</v>
      </c>
      <c r="AL32" s="500">
        <f t="shared" si="25"/>
        <v>0</v>
      </c>
      <c r="AM32" s="500">
        <f t="shared" si="1"/>
        <v>0</v>
      </c>
      <c r="AN32" s="500">
        <f t="shared" si="2"/>
        <v>0</v>
      </c>
      <c r="AO32" s="501">
        <f t="shared" si="3"/>
        <v>0</v>
      </c>
      <c r="AP32" s="501">
        <f t="shared" si="4"/>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f>SUM(L12:L32)</f>
        <v>0</v>
      </c>
      <c r="O33" s="25">
        <f>SUM(O$12:O$32)</f>
        <v>0</v>
      </c>
      <c r="P33">
        <f>SUM(P$12:P$32)</f>
        <v>0</v>
      </c>
      <c r="Q33">
        <f>SUM(Q$12:Q$32)</f>
        <v>0</v>
      </c>
      <c r="R33">
        <f>SUM(R$12:R$32)</f>
        <v>0</v>
      </c>
      <c r="W33" s="351" t="e">
        <f>SUM($W$12:$W$32)</f>
        <v>#DIV/0!</v>
      </c>
      <c r="X33" s="351" t="e">
        <f>SUM(X12:X32)</f>
        <v>#DIV/0!</v>
      </c>
      <c r="Y33" s="351">
        <f>SUM(Y12:Y32)</f>
        <v>0</v>
      </c>
      <c r="Z33" s="351">
        <f>SUM($Z$12:$Z$32)</f>
        <v>0</v>
      </c>
      <c r="AA33" s="351">
        <f>SUM(AA12:AA32)</f>
        <v>0</v>
      </c>
      <c r="AB33" s="646" t="e">
        <f>SUM(AB12:AB32)</f>
        <v>#DIV/0!</v>
      </c>
      <c r="AC33" s="646">
        <f>SUM(AC12:AC32)</f>
        <v>0</v>
      </c>
      <c r="AD33" s="351">
        <f>SUM(AD12:AD32)</f>
        <v>0</v>
      </c>
      <c r="AF33" s="351">
        <f>SUM(AF12:AF32)</f>
        <v>0</v>
      </c>
      <c r="AH33" s="351">
        <f>SUM(AH12:AH32)</f>
        <v>0</v>
      </c>
      <c r="AI33" s="351">
        <f>SUM(AI12:AI32)</f>
        <v>0</v>
      </c>
      <c r="AL33" s="351">
        <f>SUM(AL12:AL32)</f>
        <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66" t="s">
        <v>819</v>
      </c>
      <c r="B1" s="1366"/>
      <c r="C1" s="1366"/>
      <c r="D1" s="1366"/>
      <c r="F1" s="1367" t="s">
        <v>748</v>
      </c>
      <c r="G1" s="1367"/>
      <c r="I1" s="1368" t="s">
        <v>818</v>
      </c>
      <c r="J1" s="1369"/>
      <c r="K1" s="1369"/>
      <c r="L1" s="1369"/>
      <c r="M1" s="1369"/>
      <c r="N1" s="1369"/>
      <c r="O1" s="1369"/>
      <c r="P1" s="1369"/>
      <c r="Q1" s="1369"/>
      <c r="R1" s="1369"/>
      <c r="S1" s="1369"/>
      <c r="T1" s="1369"/>
      <c r="U1" s="1369"/>
      <c r="V1" s="1370"/>
    </row>
    <row r="2" spans="1:23" x14ac:dyDescent="0.25">
      <c r="I2" s="358"/>
      <c r="J2" s="138"/>
      <c r="K2" s="138"/>
      <c r="L2" s="138"/>
      <c r="M2" s="138"/>
      <c r="N2" s="138"/>
      <c r="O2" s="138"/>
      <c r="P2" s="138"/>
      <c r="Q2" s="138"/>
      <c r="R2" s="138"/>
      <c r="S2" s="138"/>
      <c r="T2" s="138"/>
      <c r="U2" s="138"/>
      <c r="V2" s="361"/>
    </row>
    <row r="3" spans="1:23" x14ac:dyDescent="0.25">
      <c r="A3" t="s">
        <v>248</v>
      </c>
      <c r="B3" s="1371">
        <f>Welcome!$D$4</f>
        <v>0</v>
      </c>
      <c r="C3" s="1371"/>
      <c r="I3" s="353">
        <v>1</v>
      </c>
      <c r="J3" t="s">
        <v>774</v>
      </c>
      <c r="L3" s="1371" t="str">
        <f>"ALC "&amp;'Required Info to Submit'!$F$6</f>
        <v xml:space="preserve">ALC </v>
      </c>
      <c r="M3" s="1371"/>
      <c r="N3" s="1371"/>
      <c r="O3" s="1371"/>
      <c r="P3" s="1371"/>
      <c r="R3"/>
      <c r="V3" s="141"/>
    </row>
    <row r="4" spans="1:23" ht="45" x14ac:dyDescent="0.25">
      <c r="A4" t="s">
        <v>755</v>
      </c>
      <c r="B4" s="1372">
        <f>'Required Info to Submit'!$F$6</f>
        <v>0</v>
      </c>
      <c r="C4" s="1372"/>
      <c r="D4" s="2" t="s">
        <v>909</v>
      </c>
      <c r="F4" s="268" t="s">
        <v>749</v>
      </c>
      <c r="G4" s="677">
        <f>Incentives!$H$9</f>
        <v>0</v>
      </c>
      <c r="H4" s="310"/>
      <c r="I4" s="353">
        <v>2</v>
      </c>
      <c r="J4" t="s">
        <v>750</v>
      </c>
      <c r="L4" s="362">
        <f>'Required Info to Submit'!$F$14</f>
        <v>0</v>
      </c>
      <c r="M4" s="362"/>
      <c r="N4" s="362"/>
      <c r="O4" s="363">
        <v>3</v>
      </c>
      <c r="P4" s="1371" t="s">
        <v>752</v>
      </c>
      <c r="Q4" s="1371"/>
      <c r="R4" s="1371"/>
      <c r="S4" s="1374" t="e">
        <f>$L$4+(364*$G$5)+6</f>
        <v>#VALUE!</v>
      </c>
      <c r="T4" s="1374"/>
      <c r="U4" s="362"/>
      <c r="V4" s="141"/>
    </row>
    <row r="5" spans="1:23" x14ac:dyDescent="0.25">
      <c r="A5" t="s">
        <v>1043</v>
      </c>
      <c r="B5" s="1376">
        <f>'Required Info to Submit'!$F$8</f>
        <v>0</v>
      </c>
      <c r="C5" s="1376"/>
      <c r="D5" t="e">
        <f>G5*12</f>
        <v>#VALUE!</v>
      </c>
      <c r="F5" s="268" t="s">
        <v>751</v>
      </c>
      <c r="G5" s="309" t="str">
        <f>Welcome!$D$12</f>
        <v>Select Term</v>
      </c>
      <c r="H5" s="310"/>
      <c r="I5" s="354"/>
      <c r="M5"/>
      <c r="O5" s="2"/>
      <c r="P5" s="300"/>
      <c r="Q5" s="300"/>
      <c r="R5" s="300"/>
      <c r="S5" s="300"/>
      <c r="T5" s="300"/>
      <c r="V5" s="141"/>
    </row>
    <row r="6" spans="1:23" x14ac:dyDescent="0.25">
      <c r="A6" t="s">
        <v>813</v>
      </c>
      <c r="B6" s="1373">
        <f>'Required Info to Submit'!$F$14</f>
        <v>0</v>
      </c>
      <c r="C6" s="1373"/>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71" t="s">
        <v>775</v>
      </c>
      <c r="Q6" s="1371"/>
      <c r="R6" s="1371"/>
      <c r="S6" s="1375">
        <f>-('Tracking &amp; Profitability'!$E$22)</f>
        <v>0</v>
      </c>
      <c r="T6" s="1375"/>
      <c r="U6" s="20"/>
      <c r="V6" s="141"/>
    </row>
    <row r="7" spans="1:23" x14ac:dyDescent="0.25">
      <c r="A7" t="s">
        <v>814</v>
      </c>
      <c r="B7" s="1371">
        <f>'Required Info to Submit'!$F$10</f>
        <v>0</v>
      </c>
      <c r="C7" s="1371"/>
      <c r="F7" s="871" t="str">
        <f>IF(Incentives!E15="Yes","VB","")</f>
        <v/>
      </c>
      <c r="G7" s="871" t="str">
        <f>IF(Incentives!E26="YES","DS","")</f>
        <v/>
      </c>
      <c r="I7" s="353">
        <v>6</v>
      </c>
      <c r="J7" t="s">
        <v>776</v>
      </c>
      <c r="L7" s="1371" t="str">
        <f>'MDA Worksheet'!$K$95</f>
        <v/>
      </c>
      <c r="M7" s="1371"/>
      <c r="N7" s="1371"/>
      <c r="O7" s="363">
        <v>8</v>
      </c>
      <c r="P7" s="1371" t="s">
        <v>889</v>
      </c>
      <c r="Q7" s="1371"/>
      <c r="R7" s="1371"/>
      <c r="S7" s="1371">
        <f>'Required Info to Submit'!$F$10</f>
        <v>0</v>
      </c>
      <c r="T7" s="1371"/>
      <c r="V7" s="141"/>
    </row>
    <row r="8" spans="1:23" x14ac:dyDescent="0.25">
      <c r="A8" t="s">
        <v>815</v>
      </c>
      <c r="B8" s="1371">
        <f>'Required Info to Submit'!$F$9</f>
        <v>0</v>
      </c>
      <c r="C8" s="1371"/>
      <c r="F8" s="871" t="str">
        <f>IF(Incentives!E37="Yes","EB","")</f>
        <v/>
      </c>
      <c r="G8" s="871" t="str">
        <f>IF(Incentives!E48="Yes","SG","")</f>
        <v/>
      </c>
      <c r="I8" s="140"/>
      <c r="M8"/>
      <c r="R8"/>
      <c r="V8" s="141"/>
    </row>
    <row r="9" spans="1:23" x14ac:dyDescent="0.25">
      <c r="A9" t="s">
        <v>672</v>
      </c>
      <c r="B9" s="1371">
        <f>'Required Info to Submit'!$F$12</f>
        <v>0</v>
      </c>
      <c r="C9" s="1371"/>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71">
        <f>'Required Info to Submit'!$F$11</f>
        <v>0</v>
      </c>
      <c r="C10" s="1371"/>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62"/>
      <c r="C11" s="1362"/>
      <c r="F11" s="943" t="str">
        <f>IF(Incentives!E72="Yes","Roll","")</f>
        <v/>
      </c>
      <c r="I11" s="1363" t="s">
        <v>756</v>
      </c>
      <c r="J11" s="1364"/>
      <c r="K11" s="1364"/>
      <c r="L11" s="1365"/>
      <c r="M11" s="316"/>
      <c r="N11" s="1363" t="s">
        <v>484</v>
      </c>
      <c r="O11" s="1364"/>
      <c r="P11" s="1364"/>
      <c r="Q11" s="1365"/>
      <c r="R11" s="316"/>
      <c r="S11" s="1363" t="s">
        <v>545</v>
      </c>
      <c r="T11" s="1364"/>
      <c r="U11" s="1364"/>
      <c r="V11" s="1365"/>
    </row>
    <row r="12" spans="1:23" ht="15.75" thickBot="1" x14ac:dyDescent="0.3">
      <c r="A12" s="1398" t="s">
        <v>756</v>
      </c>
      <c r="B12" s="1399"/>
      <c r="C12" s="1399"/>
      <c r="D12" s="1400"/>
      <c r="E12" s="910"/>
      <c r="F12" s="138"/>
      <c r="G12" s="138"/>
      <c r="H12" s="834"/>
      <c r="I12" s="1389" t="s">
        <v>757</v>
      </c>
      <c r="J12" s="1390"/>
      <c r="K12" s="1390"/>
      <c r="L12" s="1391"/>
      <c r="M12" s="316"/>
      <c r="N12" s="1389" t="s">
        <v>758</v>
      </c>
      <c r="O12" s="1390"/>
      <c r="P12" s="1390"/>
      <c r="Q12" s="1391"/>
      <c r="R12" s="316"/>
      <c r="S12" s="1389" t="s">
        <v>759</v>
      </c>
      <c r="T12" s="1390"/>
      <c r="U12" s="1390"/>
      <c r="V12" s="1391"/>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1216</v>
      </c>
      <c r="B15" s="814" t="str">
        <f>Incentives!$G$14</f>
        <v>Quarterly</v>
      </c>
      <c r="C15" s="872"/>
      <c r="D15" s="329"/>
      <c r="E15" s="326"/>
      <c r="F15" s="268"/>
      <c r="G15" s="268"/>
      <c r="H15" s="310"/>
      <c r="I15" s="763" t="s">
        <v>1216</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1216</v>
      </c>
      <c r="O16" s="889" t="str">
        <f>B27</f>
        <v>Quarterly</v>
      </c>
      <c r="P16" s="328"/>
      <c r="Q16" s="329"/>
      <c r="R16" s="310"/>
      <c r="S16" s="763" t="s">
        <v>1216</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1078</v>
      </c>
      <c r="L18" s="765" t="s">
        <v>1079</v>
      </c>
      <c r="M18" s="335"/>
      <c r="N18" s="763">
        <v>3</v>
      </c>
      <c r="P18" s="764" t="s">
        <v>1078</v>
      </c>
      <c r="Q18" s="765" t="s">
        <v>1079</v>
      </c>
      <c r="R18" s="335"/>
      <c r="S18" s="763">
        <v>2</v>
      </c>
      <c r="U18" s="764" t="s">
        <v>1080</v>
      </c>
      <c r="V18" s="765" t="s">
        <v>1081</v>
      </c>
      <c r="W18" s="335"/>
    </row>
    <row r="19" spans="1:23" x14ac:dyDescent="0.25">
      <c r="A19" s="140"/>
      <c r="B19" s="897">
        <v>0</v>
      </c>
      <c r="C19" s="373">
        <f>IF(ISERROR(B20-0.01),"",B20-0.01)</f>
        <v>-0.01</v>
      </c>
      <c r="D19" s="911">
        <f>Incentives!$I$17</f>
        <v>0</v>
      </c>
      <c r="E19" s="337"/>
      <c r="I19" s="354" t="s">
        <v>1074</v>
      </c>
      <c r="K19">
        <v>0</v>
      </c>
      <c r="L19" s="752">
        <f>D19</f>
        <v>0</v>
      </c>
      <c r="N19" s="354" t="s">
        <v>1074</v>
      </c>
      <c r="P19" s="370">
        <f>B29</f>
        <v>0</v>
      </c>
      <c r="Q19" s="753">
        <f>D29</f>
        <v>0</v>
      </c>
      <c r="S19" s="354" t="s">
        <v>1074</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1075</v>
      </c>
      <c r="J20" t="str">
        <f>IF(AND($B$20=0, B21=0),"Flat Rate",0)</f>
        <v>Flat Rate</v>
      </c>
      <c r="K20" t="str">
        <f>IF($B$20=0,"",ROUND($B$20,0))</f>
        <v/>
      </c>
      <c r="L20" s="753">
        <f t="shared" ref="L20:L22" si="0">D20</f>
        <v>0.01</v>
      </c>
      <c r="N20" s="354" t="s">
        <v>1075</v>
      </c>
      <c r="P20" s="371">
        <f>B30</f>
        <v>0</v>
      </c>
      <c r="Q20" s="753">
        <f>D30</f>
        <v>0.01</v>
      </c>
      <c r="S20" s="354" t="s">
        <v>1075</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1076</v>
      </c>
      <c r="K21">
        <f>IF($B$21="","",ROUND($B$21,0))</f>
        <v>0</v>
      </c>
      <c r="L21" s="753">
        <f t="shared" si="0"/>
        <v>1.4999999999999999E-2</v>
      </c>
      <c r="N21" s="354" t="s">
        <v>1076</v>
      </c>
      <c r="P21" s="371">
        <f>B31</f>
        <v>0</v>
      </c>
      <c r="Q21" s="753">
        <f>D31</f>
        <v>1.4999999999999999E-2</v>
      </c>
      <c r="S21" s="354" t="s">
        <v>1076</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1077</v>
      </c>
      <c r="J22" s="288"/>
      <c r="K22" s="288">
        <f>IF($B$22="","",ROUND($B$22,0))</f>
        <v>0</v>
      </c>
      <c r="L22" s="842">
        <f t="shared" si="0"/>
        <v>0.02</v>
      </c>
      <c r="M22" s="346"/>
      <c r="N22" s="354" t="s">
        <v>1077</v>
      </c>
      <c r="O22" s="288"/>
      <c r="P22" s="372">
        <f>B32</f>
        <v>0</v>
      </c>
      <c r="Q22" s="842">
        <f>D32</f>
        <v>0.02</v>
      </c>
      <c r="R22" s="346"/>
      <c r="S22" s="354" t="s">
        <v>1077</v>
      </c>
      <c r="U22" s="56">
        <f>B42</f>
        <v>0</v>
      </c>
      <c r="V22" s="752">
        <f>D42</f>
        <v>0.02</v>
      </c>
    </row>
    <row r="23" spans="1:23" ht="16.5" thickBot="1" x14ac:dyDescent="0.3">
      <c r="E23" s="905"/>
      <c r="H23" s="834"/>
      <c r="I23" s="1363" t="s">
        <v>1205</v>
      </c>
      <c r="J23" s="1364"/>
      <c r="K23" s="1364"/>
      <c r="L23" s="1365"/>
      <c r="M23" s="833"/>
      <c r="N23" s="1386" t="s">
        <v>1206</v>
      </c>
      <c r="O23" s="1387"/>
      <c r="P23" s="1387"/>
      <c r="Q23" s="1388"/>
      <c r="R23" s="833"/>
      <c r="S23" s="1363" t="s">
        <v>1194</v>
      </c>
      <c r="T23" s="1364"/>
      <c r="U23" s="1364"/>
      <c r="V23" s="1365"/>
    </row>
    <row r="24" spans="1:23" ht="15.75" thickBot="1" x14ac:dyDescent="0.3">
      <c r="A24" s="1398" t="s">
        <v>484</v>
      </c>
      <c r="B24" s="1399"/>
      <c r="C24" s="1399"/>
      <c r="D24" s="1400"/>
      <c r="E24" s="315"/>
      <c r="F24" s="138"/>
      <c r="G24" s="138"/>
      <c r="H24" s="316"/>
      <c r="I24" s="1389" t="s">
        <v>768</v>
      </c>
      <c r="J24" s="1390"/>
      <c r="K24" s="1390"/>
      <c r="L24" s="1391"/>
      <c r="M24" s="833"/>
      <c r="N24" s="1395" t="s">
        <v>768</v>
      </c>
      <c r="O24" s="1396"/>
      <c r="P24" s="1396"/>
      <c r="Q24" s="1397"/>
      <c r="R24" s="833"/>
      <c r="S24" s="1389" t="s">
        <v>769</v>
      </c>
      <c r="T24" s="1390"/>
      <c r="U24" s="1390"/>
      <c r="V24" s="1391"/>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1186</v>
      </c>
      <c r="P26" s="820"/>
      <c r="Q26" s="821">
        <f>D62</f>
        <v>0</v>
      </c>
      <c r="S26" s="324" t="s">
        <v>912</v>
      </c>
      <c r="T26" s="814" t="str">
        <f>Incentives!$I$80</f>
        <v>Select Payment Method</v>
      </c>
      <c r="U26" s="815" t="str">
        <f>IF($T$26="Check","Check","Credit Memo")</f>
        <v>Credit Memo</v>
      </c>
      <c r="V26" s="678" t="str">
        <f>Incentives!$K$80</f>
        <v/>
      </c>
    </row>
    <row r="27" spans="1:23" x14ac:dyDescent="0.25">
      <c r="A27" s="140" t="s">
        <v>1216</v>
      </c>
      <c r="B27" s="791" t="str">
        <f>Incentives!$G$25</f>
        <v>Quarterly</v>
      </c>
      <c r="C27" s="791"/>
      <c r="D27" s="141"/>
      <c r="I27" s="140"/>
      <c r="J27" s="791"/>
      <c r="K27" s="791"/>
      <c r="L27" s="141"/>
      <c r="N27" s="822" t="s">
        <v>1185</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1189</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1190</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1191</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1192</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1193</v>
      </c>
      <c r="O32" s="828">
        <f>P31+1</f>
        <v>1463</v>
      </c>
      <c r="P32" s="828">
        <f>O32+363</f>
        <v>1826</v>
      </c>
      <c r="Q32" s="829" t="e">
        <f>$C$62/$B$62</f>
        <v>#VALUE!</v>
      </c>
      <c r="S32" s="287"/>
      <c r="T32" s="288"/>
      <c r="U32" s="288"/>
      <c r="V32" s="289"/>
    </row>
    <row r="33" spans="1:22" ht="16.5" thickBot="1" x14ac:dyDescent="0.3">
      <c r="E33" s="905"/>
      <c r="H33" s="834"/>
      <c r="I33" s="1392" t="s">
        <v>770</v>
      </c>
      <c r="J33" s="1393"/>
      <c r="K33" s="1393"/>
      <c r="L33" s="1394"/>
      <c r="M33" s="834"/>
      <c r="N33" s="1380" t="s">
        <v>1086</v>
      </c>
      <c r="O33" s="1381"/>
      <c r="P33" s="1381"/>
      <c r="Q33" s="1382"/>
      <c r="R33" s="834"/>
      <c r="S33" s="1380" t="s">
        <v>1217</v>
      </c>
      <c r="T33" s="1381"/>
      <c r="U33" s="1381"/>
      <c r="V33" s="1382"/>
    </row>
    <row r="34" spans="1:22" ht="15.75" thickBot="1" x14ac:dyDescent="0.3">
      <c r="A34" s="1398" t="s">
        <v>545</v>
      </c>
      <c r="B34" s="1399"/>
      <c r="C34" s="1399"/>
      <c r="D34" s="1400"/>
      <c r="E34" s="315"/>
      <c r="F34" s="138"/>
      <c r="G34" s="138"/>
      <c r="H34" s="316"/>
      <c r="I34" s="1377" t="s">
        <v>773</v>
      </c>
      <c r="J34" s="1378"/>
      <c r="K34" s="1378"/>
      <c r="L34" s="1379"/>
      <c r="M34" s="834"/>
      <c r="N34" s="1383" t="s">
        <v>772</v>
      </c>
      <c r="O34" s="1384"/>
      <c r="P34" s="1384"/>
      <c r="Q34" s="1385"/>
      <c r="R34" s="834"/>
      <c r="S34" s="1389" t="s">
        <v>1225</v>
      </c>
      <c r="T34" s="1390"/>
      <c r="U34" s="1390"/>
      <c r="V34" s="1391"/>
    </row>
    <row r="35" spans="1:22" x14ac:dyDescent="0.25">
      <c r="A35" s="324" t="s">
        <v>750</v>
      </c>
      <c r="B35" s="325">
        <f>$L$4</f>
        <v>0</v>
      </c>
      <c r="C35" s="268" t="s">
        <v>761</v>
      </c>
      <c r="D35" s="329" t="e">
        <f>$S$4</f>
        <v>#VALUE!</v>
      </c>
      <c r="I35" s="358" t="s">
        <v>762</v>
      </c>
      <c r="J35" s="318">
        <f>$L$4</f>
        <v>0</v>
      </c>
      <c r="K35" s="359" t="s">
        <v>763</v>
      </c>
      <c r="L35" s="360" t="e">
        <f>$S$4</f>
        <v>#VALUE!</v>
      </c>
      <c r="N35" s="140" t="s">
        <v>1087</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1219</v>
      </c>
      <c r="T36" s="862" t="str">
        <f>$B$46</f>
        <v>Select Payment Method</v>
      </c>
      <c r="U36" s="853"/>
      <c r="V36" s="854"/>
    </row>
    <row r="37" spans="1:22" x14ac:dyDescent="0.25">
      <c r="A37" s="852" t="s">
        <v>1216</v>
      </c>
      <c r="B37" s="900" t="str">
        <f>Incentives!$G$36</f>
        <v>Quarterly</v>
      </c>
      <c r="D37" s="141"/>
      <c r="I37" s="763" t="s">
        <v>1216</v>
      </c>
      <c r="J37" s="889" t="str">
        <f>B54</f>
        <v>Quarterly</v>
      </c>
      <c r="K37" s="791"/>
      <c r="L37" s="141"/>
      <c r="N37" s="140"/>
      <c r="Q37" s="141"/>
      <c r="S37" s="852" t="s">
        <v>1220</v>
      </c>
      <c r="T37" s="853" t="str">
        <f>$B$47</f>
        <v>Quarterly</v>
      </c>
      <c r="U37" s="853"/>
      <c r="V37" s="854"/>
    </row>
    <row r="38" spans="1:22" ht="30" x14ac:dyDescent="0.25">
      <c r="A38" s="140"/>
      <c r="B38" s="332" t="s">
        <v>126</v>
      </c>
      <c r="C38" s="332" t="s">
        <v>128</v>
      </c>
      <c r="D38" s="748" t="s">
        <v>533</v>
      </c>
      <c r="I38" s="763">
        <v>3</v>
      </c>
      <c r="J38" s="817" t="s">
        <v>1224</v>
      </c>
      <c r="K38" s="844">
        <f>D55</f>
        <v>0</v>
      </c>
      <c r="L38" s="141"/>
      <c r="N38" s="140"/>
      <c r="O38" t="s">
        <v>771</v>
      </c>
      <c r="P38" s="22">
        <f>D84</f>
        <v>0</v>
      </c>
      <c r="Q38" s="141"/>
      <c r="S38" s="852"/>
      <c r="T38" s="853"/>
      <c r="U38" s="853" t="s">
        <v>1213</v>
      </c>
      <c r="V38" s="864">
        <f>$C$48</f>
        <v>0</v>
      </c>
    </row>
    <row r="39" spans="1:22" x14ac:dyDescent="0.25">
      <c r="A39" s="140"/>
      <c r="B39" s="746">
        <v>0</v>
      </c>
      <c r="C39" s="747">
        <f>IF(ISERROR(B40-0.01),"",(B40-0.0001))</f>
        <v>-1E-4</v>
      </c>
      <c r="D39" s="749">
        <v>0</v>
      </c>
      <c r="I39" s="763">
        <v>4</v>
      </c>
      <c r="J39" s="817" t="s">
        <v>1223</v>
      </c>
      <c r="K39" s="844">
        <f>$C$55</f>
        <v>0</v>
      </c>
      <c r="L39" s="141"/>
      <c r="N39" s="140"/>
      <c r="Q39" s="141"/>
      <c r="S39" s="852"/>
      <c r="T39" s="853"/>
      <c r="U39" s="853" t="s">
        <v>1215</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63" t="s">
        <v>1267</v>
      </c>
      <c r="O41" s="1364"/>
      <c r="P41" s="1364"/>
      <c r="Q41" s="1365"/>
      <c r="S41" s="1363"/>
      <c r="T41" s="1364"/>
      <c r="U41" s="1364"/>
      <c r="V41" s="1365"/>
    </row>
    <row r="42" spans="1:22" ht="15.75" thickBot="1" x14ac:dyDescent="0.3">
      <c r="A42" s="287"/>
      <c r="B42" s="342">
        <f>Incentives!$G$42</f>
        <v>0</v>
      </c>
      <c r="C42" s="352">
        <v>1</v>
      </c>
      <c r="D42" s="750">
        <f>Incentives!$I$42</f>
        <v>0.02</v>
      </c>
      <c r="E42" s="350"/>
      <c r="F42" s="791"/>
      <c r="G42" s="791"/>
      <c r="H42" s="902"/>
      <c r="I42" s="791"/>
      <c r="N42" s="1389" t="s">
        <v>1268</v>
      </c>
      <c r="O42" s="1390"/>
      <c r="P42" s="1390"/>
      <c r="Q42" s="1391"/>
      <c r="R42" s="952"/>
      <c r="S42" s="1389"/>
      <c r="T42" s="1390"/>
      <c r="U42" s="1390"/>
      <c r="V42" s="1391"/>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98" t="s">
        <v>1217</v>
      </c>
      <c r="B44" s="1399"/>
      <c r="C44" s="1399"/>
      <c r="D44" s="1400"/>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1216</v>
      </c>
      <c r="B47" s="791" t="str">
        <f>Incentives!$G$47</f>
        <v>Quarterly</v>
      </c>
      <c r="C47" s="876" t="s">
        <v>1213</v>
      </c>
      <c r="D47" s="877" t="s">
        <v>1215</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98" t="s">
        <v>770</v>
      </c>
      <c r="B51" s="1399"/>
      <c r="C51" s="1399"/>
      <c r="D51" s="1400"/>
      <c r="E51" s="315"/>
      <c r="F51" s="791"/>
      <c r="G51" s="791"/>
      <c r="I51" s="904">
        <v>8</v>
      </c>
      <c r="J51" s="294">
        <f>IFERROR('MDA Worksheet'!D102,"")</f>
        <v>0</v>
      </c>
      <c r="K51" s="1" t="str">
        <f>IFERROR('MDA Worksheet'!K102,"")</f>
        <v/>
      </c>
      <c r="N51" s="140" t="s">
        <v>1270</v>
      </c>
      <c r="O51" s="1401" t="str">
        <f>"Amount to be paid to the customer $ "&amp;TEXT(D69,"#,###,###.00")</f>
        <v>Amount to be paid to the customer $ .00</v>
      </c>
      <c r="P51" s="1401"/>
      <c r="Q51" s="1402"/>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401" t="str">
        <f>"Claw Back Amount $ "&amp;TEXT(D71,"#,###,###.00")</f>
        <v>Claw Back Amount $ .00</v>
      </c>
      <c r="P52" s="1401"/>
      <c r="Q52" s="1402"/>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1216</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98" t="s">
        <v>1205</v>
      </c>
      <c r="B57" s="1399"/>
      <c r="C57" s="1399"/>
      <c r="D57" s="1400"/>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1165</v>
      </c>
      <c r="B60" s="791" t="str">
        <f>Incentives!G63</f>
        <v>NO</v>
      </c>
      <c r="C60" s="791"/>
      <c r="D60" s="141"/>
    </row>
    <row r="61" spans="1:23" x14ac:dyDescent="0.25">
      <c r="A61" s="140"/>
      <c r="B61" s="944" t="s">
        <v>1265</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1266</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98" t="s">
        <v>1252</v>
      </c>
      <c r="B66" s="1399"/>
      <c r="C66" s="1399"/>
      <c r="D66" s="1400"/>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1263</v>
      </c>
      <c r="B69" s="936">
        <f>Incentives!$M$71</f>
        <v>0</v>
      </c>
      <c r="C69" s="946" t="s">
        <v>1259</v>
      </c>
      <c r="D69" s="939">
        <f>Incentives!$G$71</f>
        <v>0</v>
      </c>
      <c r="E69" s="874"/>
      <c r="F69" s="791"/>
      <c r="G69" s="791"/>
      <c r="H69" s="902"/>
      <c r="M69" s="308"/>
      <c r="R69" s="308"/>
      <c r="W69" s="308"/>
    </row>
    <row r="70" spans="1:23" s="916" customFormat="1" x14ac:dyDescent="0.25">
      <c r="A70" s="945" t="s">
        <v>1260</v>
      </c>
      <c r="B70" s="937">
        <f>Incentives!$G$75</f>
        <v>0</v>
      </c>
      <c r="C70" s="947" t="s">
        <v>813</v>
      </c>
      <c r="D70" s="940">
        <f>Incentives!$I$75</f>
        <v>0</v>
      </c>
      <c r="E70" s="874"/>
      <c r="F70" s="791"/>
      <c r="G70" s="791"/>
      <c r="H70" s="902"/>
      <c r="M70" s="308"/>
      <c r="R70" s="308"/>
      <c r="W70" s="308"/>
    </row>
    <row r="71" spans="1:23" s="921" customFormat="1" x14ac:dyDescent="0.25">
      <c r="A71" s="945" t="s">
        <v>1261</v>
      </c>
      <c r="B71" s="938">
        <f>Incentives!$K$75</f>
        <v>0</v>
      </c>
      <c r="C71" s="947" t="s">
        <v>1262</v>
      </c>
      <c r="D71" s="939">
        <f>Incentives!$K$71</f>
        <v>0</v>
      </c>
      <c r="E71" s="874"/>
      <c r="F71" s="791"/>
      <c r="G71" s="791"/>
      <c r="H71" s="902"/>
      <c r="M71" s="308"/>
      <c r="R71" s="308"/>
      <c r="W71" s="308"/>
    </row>
    <row r="72" spans="1:23" s="916" customFormat="1" ht="15.75" thickBot="1" x14ac:dyDescent="0.3">
      <c r="A72" s="287"/>
      <c r="B72" s="288"/>
      <c r="C72" s="948" t="s">
        <v>1264</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98" t="str">
        <f>Incentives!G80</f>
        <v>CHECK Business Tools (General)</v>
      </c>
      <c r="B74" s="1399"/>
      <c r="C74" s="1399"/>
      <c r="D74" s="1399"/>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98" t="s">
        <v>1083</v>
      </c>
      <c r="B80" s="1399"/>
      <c r="C80" s="1399"/>
      <c r="D80" s="1400"/>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89" t="s">
        <v>740</v>
      </c>
      <c r="C2" s="1490"/>
      <c r="D2" s="1490"/>
      <c r="E2" s="1490"/>
      <c r="F2" s="1490"/>
      <c r="G2" s="1490"/>
      <c r="H2" s="1490"/>
      <c r="I2" s="1490"/>
      <c r="J2" s="1490"/>
      <c r="K2" s="1490"/>
      <c r="L2" s="1490"/>
      <c r="M2" s="1490"/>
      <c r="N2" s="1490"/>
      <c r="O2" s="1490"/>
      <c r="P2" s="1490"/>
      <c r="Q2" s="1490"/>
      <c r="R2" s="1490"/>
      <c r="S2" s="1490"/>
      <c r="T2" s="1490"/>
      <c r="U2" s="1490"/>
      <c r="V2" s="1490"/>
      <c r="W2" s="1490"/>
      <c r="X2" s="1490"/>
      <c r="Y2" s="1490"/>
      <c r="Z2" s="1490"/>
      <c r="AA2" s="1490"/>
      <c r="AB2" s="1490"/>
      <c r="AC2" s="1490"/>
      <c r="AD2" s="1490"/>
      <c r="AE2" s="1490"/>
      <c r="AF2" s="1490"/>
      <c r="AG2" s="1490"/>
      <c r="AH2" s="1490"/>
      <c r="AI2" s="1490"/>
      <c r="AJ2" s="1490"/>
      <c r="AK2" s="1490"/>
      <c r="AL2" s="1490"/>
      <c r="AM2" s="1490"/>
      <c r="AN2" s="1490"/>
      <c r="AO2" s="1490"/>
      <c r="AP2" s="1490"/>
      <c r="AQ2" s="1490"/>
      <c r="AR2" s="1490"/>
      <c r="AS2" s="1490"/>
      <c r="AT2" s="1490"/>
      <c r="AU2" s="1490"/>
      <c r="AV2" s="1490"/>
      <c r="AW2" s="1490"/>
      <c r="AX2" s="1490"/>
      <c r="AY2" s="1490"/>
      <c r="AZ2" s="1490"/>
      <c r="BA2" s="1490"/>
      <c r="BB2" s="1490"/>
      <c r="BC2" s="1490"/>
      <c r="BD2" s="1490"/>
      <c r="BE2" s="1490"/>
      <c r="BF2" s="1491"/>
    </row>
    <row r="3" spans="2:68" x14ac:dyDescent="0.25">
      <c r="B3" s="1492"/>
      <c r="C3" s="1457"/>
      <c r="D3" s="1457"/>
      <c r="E3" s="1457"/>
      <c r="F3" s="1457"/>
      <c r="G3" s="1457"/>
      <c r="H3" s="1457"/>
      <c r="I3" s="1457"/>
      <c r="J3" s="1457"/>
      <c r="K3" s="1457"/>
      <c r="L3" s="1457"/>
      <c r="M3" s="1457"/>
      <c r="N3" s="1457"/>
      <c r="O3" s="1457"/>
      <c r="P3" s="1457"/>
      <c r="Q3" s="1457"/>
      <c r="R3" s="1457"/>
      <c r="S3" s="1457"/>
      <c r="T3" s="1457"/>
      <c r="U3" s="1457"/>
      <c r="V3" s="1457"/>
      <c r="W3" s="1457"/>
      <c r="X3" s="1457"/>
      <c r="Y3" s="1457"/>
      <c r="Z3" s="1457"/>
      <c r="AA3" s="1457"/>
      <c r="AB3" s="1457"/>
      <c r="AC3" s="1457"/>
      <c r="AD3" s="1457"/>
      <c r="AE3" s="1457"/>
      <c r="AF3" s="1457"/>
      <c r="AG3" s="1457"/>
      <c r="AH3" s="1457"/>
      <c r="AI3" s="1457"/>
      <c r="AJ3" s="1457"/>
      <c r="AK3" s="1457"/>
      <c r="AL3" s="1457"/>
      <c r="AM3" s="1457"/>
      <c r="AN3" s="1457"/>
      <c r="AO3" s="1457"/>
      <c r="AP3" s="1457"/>
      <c r="AQ3" s="1457"/>
      <c r="AR3" s="1457"/>
      <c r="AS3" s="1457"/>
      <c r="AT3" s="1457"/>
      <c r="AU3" s="1457"/>
      <c r="AV3" s="1457"/>
      <c r="AW3" s="1457"/>
      <c r="AX3" s="1457"/>
      <c r="AY3" s="1457"/>
      <c r="AZ3" s="1457"/>
      <c r="BA3" s="1457"/>
      <c r="BB3" s="1457"/>
      <c r="BC3" s="1457"/>
      <c r="BD3" s="1457"/>
      <c r="BE3" s="1457"/>
      <c r="BF3" s="1493"/>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73" t="s">
        <v>667</v>
      </c>
      <c r="C8" s="1474"/>
      <c r="D8" s="1474"/>
      <c r="E8" s="1474"/>
      <c r="F8" s="1474"/>
      <c r="G8" s="1474"/>
      <c r="H8" s="1474"/>
      <c r="I8" s="1474"/>
      <c r="J8" s="1474"/>
      <c r="K8" s="1474"/>
      <c r="L8" s="1474"/>
      <c r="M8" s="1474"/>
      <c r="N8" s="1474"/>
      <c r="O8" s="1474"/>
      <c r="P8" s="1474"/>
      <c r="Q8" s="1474"/>
      <c r="R8" s="1474"/>
      <c r="S8" s="1474"/>
      <c r="T8" s="1474"/>
      <c r="U8" s="1474"/>
      <c r="V8" s="1474"/>
      <c r="W8" s="1474"/>
      <c r="X8" s="1474"/>
      <c r="Y8" s="1474"/>
      <c r="Z8" s="1474"/>
      <c r="AA8" s="1474"/>
      <c r="AB8" s="1474"/>
      <c r="AC8" s="1474"/>
      <c r="AD8" s="1474"/>
      <c r="AE8" s="1474"/>
      <c r="AF8" s="1474"/>
      <c r="AG8" s="1474"/>
      <c r="AH8" s="1474"/>
      <c r="AI8" s="1474"/>
      <c r="AJ8" s="1474"/>
      <c r="AK8" s="1474"/>
      <c r="AL8" s="1474"/>
      <c r="AM8" s="1474"/>
      <c r="AN8" s="1474"/>
      <c r="AO8" s="1474"/>
      <c r="AP8" s="1474"/>
      <c r="AQ8" s="1474"/>
      <c r="AR8" s="1474"/>
      <c r="AS8" s="1474"/>
      <c r="AT8" s="1474"/>
      <c r="AU8" s="1474"/>
      <c r="AV8" s="1474"/>
      <c r="AW8" s="1474"/>
      <c r="AX8" s="1474"/>
      <c r="AY8" s="1474"/>
      <c r="AZ8" s="1474"/>
      <c r="BA8" s="1474"/>
      <c r="BB8" s="1474"/>
      <c r="BC8" s="1474"/>
      <c r="BD8" s="1474"/>
      <c r="BE8" s="1474"/>
      <c r="BF8" s="1475"/>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69" t="s">
        <v>901</v>
      </c>
      <c r="C10" s="1356"/>
      <c r="D10" s="1356"/>
      <c r="E10" s="1356"/>
      <c r="F10" s="1356"/>
      <c r="G10" s="1356"/>
      <c r="H10" s="1356"/>
      <c r="I10" s="1356"/>
      <c r="J10" s="1356"/>
      <c r="K10" s="1465">
        <f>'Tracking &amp; Profitability'!$H$5</f>
        <v>0</v>
      </c>
      <c r="L10" s="1465"/>
      <c r="M10" s="1465"/>
      <c r="N10" s="1465"/>
      <c r="O10" s="1465"/>
      <c r="P10" s="1465"/>
      <c r="Q10" s="1465"/>
      <c r="R10" s="1465"/>
      <c r="S10" s="1465"/>
      <c r="T10" s="1465"/>
      <c r="U10" s="1465"/>
      <c r="V10" s="1465"/>
      <c r="W10" s="1465"/>
      <c r="X10" s="1465"/>
      <c r="Y10" s="1465"/>
      <c r="Z10" s="1465"/>
      <c r="AA10" s="1465"/>
      <c r="AB10" s="1465"/>
      <c r="AC10" s="1465"/>
      <c r="AD10" s="1465"/>
      <c r="AE10" s="1465"/>
      <c r="AI10" s="1356" t="s">
        <v>739</v>
      </c>
      <c r="AJ10" s="1356"/>
      <c r="AK10" s="1356"/>
      <c r="AL10" s="1356"/>
      <c r="AM10" s="1356"/>
      <c r="AN10" s="1356"/>
      <c r="AO10" s="1356"/>
      <c r="AP10" s="1356"/>
      <c r="AQ10" s="1356"/>
      <c r="AR10" s="1356"/>
      <c r="AT10" s="1484"/>
      <c r="AU10" s="1484"/>
      <c r="AV10" s="1484"/>
      <c r="AW10" s="1484"/>
      <c r="AX10" s="1484"/>
      <c r="AY10" s="1484"/>
      <c r="AZ10" s="1484"/>
      <c r="BA10" s="1484"/>
      <c r="BB10" s="1484"/>
      <c r="BC10" s="1484"/>
      <c r="BD10" s="1484"/>
      <c r="BF10" s="141"/>
    </row>
    <row r="11" spans="2:68" x14ac:dyDescent="0.25">
      <c r="B11" s="140"/>
      <c r="AL11" s="2"/>
      <c r="AM11" s="2"/>
      <c r="AN11" s="2"/>
      <c r="AO11" s="2"/>
      <c r="AP11" s="2"/>
      <c r="AQ11" s="2"/>
      <c r="AR11" s="2"/>
      <c r="AS11" s="2"/>
      <c r="AT11" s="2"/>
      <c r="AU11" s="2"/>
      <c r="AV11" s="2"/>
      <c r="BF11" s="141"/>
    </row>
    <row r="12" spans="2:68" x14ac:dyDescent="0.25">
      <c r="B12" s="1468" t="s">
        <v>902</v>
      </c>
      <c r="C12" s="1461"/>
      <c r="D12" s="1461"/>
      <c r="E12" s="1461"/>
      <c r="F12" s="1461"/>
      <c r="G12" s="1461"/>
      <c r="H12" s="1461"/>
      <c r="I12" s="1461"/>
      <c r="J12" s="1461"/>
      <c r="K12" s="1440">
        <f>'Required Info to Submit'!$F$4</f>
        <v>0</v>
      </c>
      <c r="L12" s="1440"/>
      <c r="M12" s="1440"/>
      <c r="N12" s="1440"/>
      <c r="O12" s="1440"/>
      <c r="P12" s="1440"/>
      <c r="Q12" s="1440"/>
      <c r="R12" s="1440"/>
      <c r="S12" s="1440"/>
      <c r="T12" s="1440"/>
      <c r="U12" s="1440"/>
      <c r="V12" s="1440"/>
      <c r="W12" s="1440"/>
      <c r="X12" s="1440"/>
      <c r="Y12" s="1440"/>
      <c r="Z12" s="1440"/>
      <c r="AA12" s="1440"/>
      <c r="AB12" s="1440"/>
      <c r="AC12" s="1440"/>
      <c r="AD12" s="1440"/>
      <c r="AE12" s="1440"/>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68" t="s">
        <v>924</v>
      </c>
      <c r="C14" s="1461"/>
      <c r="D14" s="1461"/>
      <c r="E14" s="1461"/>
      <c r="F14" s="1461"/>
      <c r="G14" s="1461"/>
      <c r="H14" s="1461"/>
      <c r="I14" s="1461"/>
      <c r="J14" s="1461"/>
      <c r="K14" s="1461"/>
      <c r="L14" s="1461"/>
      <c r="M14" s="1461"/>
      <c r="N14" s="1461"/>
      <c r="O14" s="1461"/>
      <c r="P14" s="1461"/>
      <c r="Q14" s="1461"/>
      <c r="R14" s="1479">
        <f>'Required Info to Submit'!$F$6</f>
        <v>0</v>
      </c>
      <c r="S14" s="1479"/>
      <c r="T14" s="1479"/>
      <c r="U14" s="1479"/>
      <c r="V14" s="1479"/>
      <c r="W14" s="1479"/>
      <c r="X14" s="1479"/>
      <c r="Y14" s="1479"/>
      <c r="Z14" s="1479"/>
      <c r="AA14" s="1479"/>
      <c r="AB14" s="1479"/>
      <c r="AC14" s="1479"/>
      <c r="AD14" s="1479"/>
      <c r="AE14" s="1479"/>
      <c r="AF14" s="1479"/>
      <c r="AG14" s="1479"/>
      <c r="AH14" s="1479"/>
      <c r="AI14" s="1479"/>
      <c r="AJ14" s="1479"/>
      <c r="AK14" s="1479"/>
      <c r="AL14" s="1479"/>
      <c r="AM14" s="1479"/>
      <c r="AN14" s="1479"/>
      <c r="AO14" s="1479"/>
      <c r="AP14" s="1479"/>
      <c r="AQ14" s="1479"/>
      <c r="AR14" s="1479"/>
      <c r="AS14" s="1479"/>
      <c r="AT14" s="1479"/>
      <c r="AU14" s="1479"/>
      <c r="AV14" s="1479"/>
      <c r="AW14" s="1479"/>
      <c r="AX14" s="1479"/>
      <c r="AY14" s="1479"/>
      <c r="AZ14" s="1479"/>
      <c r="BA14" s="1479"/>
      <c r="BB14" s="1479"/>
      <c r="BC14" s="1479"/>
      <c r="BD14" s="1479"/>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68" t="s">
        <v>738</v>
      </c>
      <c r="C16" s="1461"/>
      <c r="D16" s="1461"/>
      <c r="E16" s="1461"/>
      <c r="F16" s="1461"/>
      <c r="G16" s="1461"/>
      <c r="H16" s="1461"/>
      <c r="I16" s="1461"/>
      <c r="J16" s="1461"/>
      <c r="K16" s="1461"/>
      <c r="L16" s="1461"/>
      <c r="M16" s="1461"/>
      <c r="N16" s="1461"/>
      <c r="O16" s="1461"/>
      <c r="P16" s="1461"/>
      <c r="Q16" s="1461"/>
      <c r="R16" s="1440" t="s">
        <v>244</v>
      </c>
      <c r="S16" s="1440"/>
      <c r="T16" s="1457" t="s">
        <v>668</v>
      </c>
      <c r="U16" s="1457"/>
      <c r="V16" s="1457"/>
      <c r="W16" s="1457"/>
      <c r="X16" s="1457"/>
      <c r="Y16" s="1457"/>
      <c r="Z16" s="1457"/>
      <c r="AA16" s="1457"/>
      <c r="AB16" s="1457"/>
      <c r="AC16" s="1457"/>
      <c r="AD16" s="1457"/>
      <c r="AE16" s="1457"/>
      <c r="AF16" s="1457"/>
      <c r="AG16" s="1457"/>
      <c r="AH16" s="1457"/>
      <c r="AI16" s="1457"/>
      <c r="AJ16" s="1457"/>
      <c r="AK16" s="1457"/>
      <c r="AL16" s="1457"/>
      <c r="AO16" s="1457"/>
      <c r="AP16" s="1457"/>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80" t="s">
        <v>895</v>
      </c>
      <c r="C18" s="1481"/>
      <c r="D18" s="1481"/>
      <c r="E18" s="1481"/>
      <c r="F18" s="1481"/>
      <c r="G18" s="1481"/>
      <c r="H18" s="1481"/>
      <c r="I18" s="1481"/>
      <c r="J18" s="1481"/>
      <c r="K18" s="1481"/>
      <c r="L18" s="1481"/>
      <c r="M18" s="1481"/>
      <c r="N18" s="1481"/>
      <c r="O18" s="1481"/>
      <c r="P18" s="1481"/>
      <c r="Q18" s="1481"/>
      <c r="R18" s="1465">
        <f>'Required Info to Submit'!$F$8</f>
        <v>0</v>
      </c>
      <c r="S18" s="1465"/>
      <c r="T18" s="1465"/>
      <c r="U18" s="1465"/>
      <c r="V18" s="1465"/>
      <c r="W18" s="1465"/>
      <c r="X18" s="1465"/>
      <c r="Y18" s="1465"/>
      <c r="Z18" s="1465"/>
      <c r="AA18" s="1465"/>
      <c r="AB18" s="1465"/>
      <c r="AC18" s="1465"/>
      <c r="AD18" s="1465"/>
      <c r="AE18" s="1465"/>
      <c r="AF18" s="1465"/>
      <c r="AG18" s="1465"/>
      <c r="AH18" s="1465"/>
      <c r="AI18" s="1465"/>
      <c r="AJ18" s="1465"/>
      <c r="AK18" s="1465"/>
      <c r="AL18" s="1465"/>
      <c r="AN18" s="1461" t="s">
        <v>897</v>
      </c>
      <c r="AO18" s="1461"/>
      <c r="AP18" s="1461"/>
      <c r="AQ18" s="1461"/>
      <c r="AR18" s="1461"/>
      <c r="AS18" s="1461"/>
      <c r="AT18" s="1461"/>
      <c r="AU18" s="1461"/>
      <c r="AV18" s="1465">
        <f>'Required Info to Submit'!F10</f>
        <v>0</v>
      </c>
      <c r="AW18" s="1465"/>
      <c r="AX18" s="1465"/>
      <c r="AY18" s="1465"/>
      <c r="AZ18" s="1465"/>
      <c r="BA18" s="1465"/>
      <c r="BB18" s="1465"/>
      <c r="BC18" s="1465"/>
      <c r="BD18" s="1465"/>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68" t="s">
        <v>896</v>
      </c>
      <c r="C20" s="1461"/>
      <c r="D20" s="1461"/>
      <c r="E20" s="1461"/>
      <c r="F20" s="1461"/>
      <c r="G20" s="1461"/>
      <c r="H20" s="1461"/>
      <c r="I20" s="1461"/>
      <c r="J20" s="1461"/>
      <c r="K20" s="1461"/>
      <c r="L20" s="1461"/>
      <c r="M20" s="1461"/>
      <c r="N20" s="1461"/>
      <c r="O20" s="1461"/>
      <c r="P20" s="1461"/>
      <c r="Q20" s="1461"/>
      <c r="R20" s="1465">
        <f>'Required Info to Submit'!F9</f>
        <v>0</v>
      </c>
      <c r="S20" s="1465"/>
      <c r="T20" s="1465"/>
      <c r="U20" s="1465"/>
      <c r="V20" s="1465"/>
      <c r="W20" s="1465"/>
      <c r="X20" s="1465"/>
      <c r="Y20" s="1465"/>
      <c r="Z20" s="1465"/>
      <c r="AA20" s="1465"/>
      <c r="AB20" s="1465"/>
      <c r="AC20" s="1465"/>
      <c r="AD20" s="1465"/>
      <c r="AE20" s="1465"/>
      <c r="AF20" s="1465"/>
      <c r="AG20" s="1465"/>
      <c r="AH20" s="1465"/>
      <c r="AI20" s="1465"/>
      <c r="AJ20" s="1465"/>
      <c r="AK20" s="1465"/>
      <c r="AL20" s="1465"/>
      <c r="AN20" s="1461" t="s">
        <v>850</v>
      </c>
      <c r="AO20" s="1461"/>
      <c r="AP20" s="1461"/>
      <c r="AQ20" s="1461"/>
      <c r="AR20" s="1461"/>
      <c r="AS20" s="1461"/>
      <c r="AT20" s="1461"/>
      <c r="AU20" s="1461"/>
      <c r="AV20" s="1465">
        <f>'Required Info to Submit'!F11</f>
        <v>0</v>
      </c>
      <c r="AW20" s="1465"/>
      <c r="AX20" s="1465"/>
      <c r="AY20" s="1465"/>
      <c r="AZ20" s="1465"/>
      <c r="BA20" s="1465"/>
      <c r="BB20" s="1465"/>
      <c r="BC20" s="1465"/>
      <c r="BD20" s="1465"/>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68" t="s">
        <v>898</v>
      </c>
      <c r="C22" s="1461"/>
      <c r="D22" s="1461"/>
      <c r="E22" s="1461"/>
      <c r="F22" s="1461"/>
      <c r="G22" s="1461"/>
      <c r="H22" s="1461"/>
      <c r="I22" s="1461"/>
      <c r="J22" s="1461"/>
      <c r="K22" s="1461"/>
      <c r="L22" s="1461"/>
      <c r="M22" s="1461"/>
      <c r="N22" s="1461"/>
      <c r="O22" s="1461"/>
      <c r="P22" s="1461"/>
      <c r="Q22" s="1461"/>
      <c r="R22" s="1465">
        <f>'Required Info to Submit'!F12</f>
        <v>0</v>
      </c>
      <c r="S22" s="1465"/>
      <c r="T22" s="1465"/>
      <c r="U22" s="1465"/>
      <c r="V22" s="1465"/>
      <c r="W22" s="1465"/>
      <c r="X22" s="1465"/>
      <c r="Y22" s="1465"/>
      <c r="Z22" s="1465"/>
      <c r="AA22" s="1465"/>
      <c r="AB22" s="1465"/>
      <c r="AC22" s="1465"/>
      <c r="AD22" s="1465"/>
      <c r="AE22" s="1465"/>
      <c r="AF22" s="1465"/>
      <c r="AG22" s="1465"/>
      <c r="AH22" s="1465"/>
      <c r="AI22" s="1465"/>
      <c r="AJ22" s="1465"/>
      <c r="AK22" s="1465"/>
      <c r="AL22" s="1465"/>
      <c r="AN22" s="1461"/>
      <c r="AO22" s="1461"/>
      <c r="AP22" s="1461"/>
      <c r="AQ22" s="1461"/>
      <c r="AR22" s="1461"/>
      <c r="AS22" s="1461"/>
      <c r="AT22" s="1461"/>
      <c r="AU22" s="1461"/>
      <c r="AV22" s="1482"/>
      <c r="AW22" s="1482"/>
      <c r="AX22" s="1482"/>
      <c r="AY22" s="1482"/>
      <c r="AZ22" s="1482"/>
      <c r="BA22" s="1482"/>
      <c r="BB22" s="1482"/>
      <c r="BC22" s="1482"/>
      <c r="BD22" s="1482"/>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68" t="s">
        <v>899</v>
      </c>
      <c r="C24" s="1461"/>
      <c r="D24" s="1461"/>
      <c r="E24" s="1461"/>
      <c r="F24" s="1461"/>
      <c r="G24" s="1461"/>
      <c r="H24" s="1461"/>
      <c r="I24" s="1461"/>
      <c r="J24" s="1461"/>
      <c r="K24" s="1461"/>
      <c r="L24" s="1461"/>
      <c r="M24" s="1461"/>
      <c r="N24" s="1461"/>
      <c r="O24" s="1461"/>
      <c r="P24" s="1461"/>
      <c r="Q24" s="1461"/>
      <c r="R24" s="1477">
        <f>'Required Info to Submit'!$F$14</f>
        <v>0</v>
      </c>
      <c r="S24" s="1477"/>
      <c r="T24" s="1477"/>
      <c r="U24" s="1477"/>
      <c r="V24" s="1477"/>
      <c r="W24" s="1477"/>
      <c r="X24" s="1477"/>
      <c r="Y24" s="1477"/>
      <c r="Z24" s="1477"/>
      <c r="AA24" s="1477"/>
      <c r="AB24" s="1477"/>
      <c r="AC24" s="1477"/>
      <c r="AN24" s="1356" t="s">
        <v>903</v>
      </c>
      <c r="AO24" s="1356"/>
      <c r="AP24" s="1356"/>
      <c r="AQ24" s="1356"/>
      <c r="AR24" s="1356"/>
      <c r="AS24" s="1356"/>
      <c r="AT24" s="1356"/>
      <c r="AU24" s="1356"/>
      <c r="AV24" s="1483" t="e">
        <f>'Incentive Setup'!$S$4</f>
        <v>#VALUE!</v>
      </c>
      <c r="AW24" s="1483"/>
      <c r="AX24" s="1483"/>
      <c r="AY24" s="1483"/>
      <c r="AZ24" s="1483"/>
      <c r="BA24" s="1483"/>
      <c r="BB24" s="1483"/>
      <c r="BC24" s="1483"/>
      <c r="BD24" s="1483"/>
      <c r="BF24" s="141"/>
    </row>
    <row r="25" spans="2:68" ht="17.25" x14ac:dyDescent="0.25">
      <c r="B25" s="140"/>
      <c r="C25" s="298"/>
      <c r="D25" s="298"/>
      <c r="E25" s="298"/>
      <c r="F25" s="298"/>
      <c r="G25" s="298"/>
      <c r="H25" s="1476" t="s">
        <v>737</v>
      </c>
      <c r="I25" s="1476"/>
      <c r="J25" s="1476"/>
      <c r="K25" s="1476"/>
      <c r="L25" s="1476"/>
      <c r="M25" s="1476"/>
      <c r="N25" s="1476"/>
      <c r="O25" s="1476"/>
      <c r="P25" s="1476"/>
      <c r="Q25" s="298"/>
      <c r="AN25" s="1476" t="s">
        <v>736</v>
      </c>
      <c r="AO25" s="1476"/>
      <c r="AP25" s="1476"/>
      <c r="AQ25" s="1476"/>
      <c r="AR25" s="1476"/>
      <c r="AS25" s="1476"/>
      <c r="AT25" s="1476"/>
      <c r="BF25" s="141"/>
    </row>
    <row r="26" spans="2:68" ht="18.75" x14ac:dyDescent="0.3">
      <c r="B26" s="1473" t="s">
        <v>673</v>
      </c>
      <c r="C26" s="1474"/>
      <c r="D26" s="1474"/>
      <c r="E26" s="1474"/>
      <c r="F26" s="1474"/>
      <c r="G26" s="1474"/>
      <c r="H26" s="1474"/>
      <c r="I26" s="1474"/>
      <c r="J26" s="1474"/>
      <c r="K26" s="1474"/>
      <c r="L26" s="1474"/>
      <c r="M26" s="1474"/>
      <c r="N26" s="1474"/>
      <c r="O26" s="1474"/>
      <c r="P26" s="1474"/>
      <c r="Q26" s="1474"/>
      <c r="R26" s="1474"/>
      <c r="S26" s="1474"/>
      <c r="T26" s="1474"/>
      <c r="U26" s="1474"/>
      <c r="V26" s="1474"/>
      <c r="W26" s="1474"/>
      <c r="X26" s="1474"/>
      <c r="Y26" s="1474"/>
      <c r="Z26" s="1474"/>
      <c r="AA26" s="1474"/>
      <c r="AB26" s="1474"/>
      <c r="AC26" s="1474"/>
      <c r="AD26" s="1474"/>
      <c r="AE26" s="1474"/>
      <c r="AF26" s="1474"/>
      <c r="AG26" s="1474"/>
      <c r="AH26" s="1474"/>
      <c r="AI26" s="1474"/>
      <c r="AJ26" s="1474"/>
      <c r="AK26" s="1474"/>
      <c r="AL26" s="1474"/>
      <c r="AM26" s="1474"/>
      <c r="AN26" s="1474"/>
      <c r="AO26" s="1474"/>
      <c r="AP26" s="1474"/>
      <c r="AQ26" s="1474"/>
      <c r="AR26" s="1474"/>
      <c r="AS26" s="1474"/>
      <c r="AT26" s="1474"/>
      <c r="AU26" s="1474"/>
      <c r="AV26" s="1474"/>
      <c r="AW26" s="1474"/>
      <c r="AX26" s="1474"/>
      <c r="AY26" s="1474"/>
      <c r="AZ26" s="1474"/>
      <c r="BA26" s="1474"/>
      <c r="BB26" s="1474"/>
      <c r="BC26" s="1474"/>
      <c r="BD26" s="1474"/>
      <c r="BE26" s="1474"/>
      <c r="BF26" s="1475"/>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66" t="s">
        <v>674</v>
      </c>
      <c r="C28" s="1467"/>
      <c r="D28" s="1467"/>
      <c r="E28" s="1467"/>
      <c r="F28" s="1467"/>
      <c r="G28" s="1467"/>
      <c r="H28" s="1467"/>
      <c r="I28" s="1467"/>
      <c r="J28" s="1467"/>
      <c r="K28" s="1467"/>
      <c r="L28" s="1467"/>
      <c r="M28" s="1467"/>
      <c r="N28" s="1467"/>
      <c r="O28" s="1467"/>
      <c r="P28" s="1467"/>
      <c r="Q28" s="1467"/>
      <c r="T28" s="1470">
        <f>'Tracking &amp; Profitability'!$E$6</f>
        <v>0</v>
      </c>
      <c r="U28" s="1470"/>
      <c r="V28" s="1470"/>
      <c r="W28" s="1470"/>
      <c r="X28" s="1470"/>
      <c r="Y28" s="1470"/>
      <c r="Z28" s="1470"/>
      <c r="AA28" s="1470"/>
      <c r="AB28" s="1470"/>
      <c r="AF28" t="s">
        <v>735</v>
      </c>
      <c r="AO28" s="1440">
        <v>5</v>
      </c>
      <c r="AP28" s="1440"/>
      <c r="AQ28" s="1440"/>
      <c r="AR28" s="1457" t="s">
        <v>675</v>
      </c>
      <c r="AS28" s="1457"/>
      <c r="AU28" s="1440">
        <v>5</v>
      </c>
      <c r="AV28" s="1440"/>
      <c r="AW28" s="1440"/>
      <c r="AX28" s="1457" t="s">
        <v>734</v>
      </c>
      <c r="AY28" s="1457"/>
      <c r="BA28" s="1440">
        <v>5</v>
      </c>
      <c r="BB28" s="1440"/>
      <c r="BC28" s="1440"/>
      <c r="BD28" s="1457" t="s">
        <v>676</v>
      </c>
      <c r="BE28" s="1457"/>
      <c r="BF28" s="141"/>
    </row>
    <row r="29" spans="2:68" ht="17.25" x14ac:dyDescent="0.25">
      <c r="B29" s="140"/>
      <c r="T29" s="137"/>
      <c r="U29" s="137"/>
      <c r="V29" s="137"/>
      <c r="W29" s="137"/>
      <c r="X29" s="137"/>
      <c r="Y29" s="137"/>
      <c r="Z29" s="137"/>
      <c r="AA29" s="137"/>
      <c r="AB29" s="137"/>
      <c r="AF29" s="1476" t="s">
        <v>733</v>
      </c>
      <c r="AG29" s="1476"/>
      <c r="AH29" s="1476"/>
      <c r="AI29" s="1476"/>
      <c r="AJ29" s="1476"/>
      <c r="AK29" s="1476"/>
      <c r="AL29" s="1476"/>
      <c r="AM29" s="1476"/>
      <c r="AN29" s="1476"/>
      <c r="AO29" s="1476"/>
      <c r="AP29" s="1476"/>
      <c r="AQ29" s="1476"/>
      <c r="AR29" s="1476"/>
      <c r="AS29" s="1476"/>
      <c r="AT29" s="1476"/>
      <c r="AU29" s="1476"/>
      <c r="AV29" s="1476"/>
      <c r="AW29" s="1476"/>
      <c r="AX29" s="1476"/>
      <c r="AY29" s="1476"/>
      <c r="AZ29" s="1476"/>
      <c r="BA29" s="1476"/>
      <c r="BB29" s="1476"/>
      <c r="BC29" s="1476"/>
      <c r="BD29" s="1476"/>
      <c r="BE29" s="1476"/>
      <c r="BF29" s="141"/>
    </row>
    <row r="30" spans="2:68" x14ac:dyDescent="0.25">
      <c r="B30" s="1469" t="s">
        <v>730</v>
      </c>
      <c r="C30" s="1356"/>
      <c r="D30" s="1356"/>
      <c r="E30" s="1356"/>
      <c r="F30" s="1356"/>
      <c r="G30" s="1356"/>
      <c r="H30" s="1356"/>
      <c r="I30" s="1356"/>
      <c r="J30" s="1356"/>
      <c r="K30" s="1356"/>
      <c r="L30" s="1356"/>
      <c r="M30" s="1356"/>
      <c r="N30" s="1356"/>
      <c r="O30" s="1356"/>
      <c r="P30" s="1356"/>
      <c r="Q30" s="1356"/>
      <c r="T30" s="1472">
        <v>1</v>
      </c>
      <c r="U30" s="1472"/>
      <c r="V30" s="1472"/>
      <c r="W30" s="1472"/>
      <c r="AF30" s="1371" t="s">
        <v>732</v>
      </c>
      <c r="AG30" s="1371"/>
      <c r="AH30" s="1371"/>
      <c r="AI30" s="1371"/>
      <c r="AJ30" s="1371"/>
      <c r="AK30" s="1371"/>
      <c r="AL30" s="1371"/>
      <c r="AM30" s="1371"/>
      <c r="AN30" s="1371"/>
      <c r="AO30" s="1371"/>
      <c r="AP30" s="1440" t="s">
        <v>1070</v>
      </c>
      <c r="AQ30" s="1440"/>
      <c r="AR30" s="1440"/>
      <c r="AT30" s="1371" t="s">
        <v>731</v>
      </c>
      <c r="AU30" s="1371"/>
      <c r="AV30" s="1371"/>
      <c r="AW30" s="1371"/>
      <c r="AX30" s="1371"/>
      <c r="AY30" s="1371"/>
      <c r="AZ30" s="1371"/>
      <c r="BA30" s="1371"/>
      <c r="BB30" s="1371"/>
      <c r="BC30" s="1371"/>
      <c r="BF30" s="141"/>
    </row>
    <row r="31" spans="2:68" x14ac:dyDescent="0.25">
      <c r="B31" s="140"/>
      <c r="BF31" s="141"/>
      <c r="BP31" s="297"/>
    </row>
    <row r="32" spans="2:68" x14ac:dyDescent="0.25">
      <c r="B32" s="1469" t="s">
        <v>727</v>
      </c>
      <c r="C32" s="1356"/>
      <c r="D32" s="1356"/>
      <c r="E32" s="1356"/>
      <c r="F32" s="1356"/>
      <c r="G32" s="1356"/>
      <c r="H32" s="1356"/>
      <c r="I32" s="1356"/>
      <c r="J32" s="1356"/>
      <c r="K32" s="1356"/>
      <c r="L32" s="1356"/>
      <c r="M32" s="1356"/>
      <c r="N32" s="1356"/>
      <c r="O32" s="1356"/>
      <c r="P32" s="1356"/>
      <c r="Q32" s="1356"/>
      <c r="T32" s="1478" t="s">
        <v>1044</v>
      </c>
      <c r="U32" s="1478"/>
      <c r="V32" s="1478"/>
      <c r="W32" s="1478"/>
      <c r="X32" s="1478"/>
      <c r="Y32" s="1478"/>
      <c r="Z32" s="1478"/>
      <c r="AA32" s="1478"/>
      <c r="AB32" s="1478"/>
      <c r="AC32" s="1478"/>
      <c r="AD32" s="1478"/>
      <c r="AE32" s="1478"/>
      <c r="AF32" s="1478"/>
      <c r="AG32" s="1478"/>
      <c r="AH32" s="1478"/>
      <c r="AI32" s="1478"/>
      <c r="AJ32" s="1478"/>
      <c r="AK32" s="1478"/>
      <c r="AL32" s="1478"/>
      <c r="AM32" s="1478"/>
      <c r="AN32" s="1478"/>
      <c r="AO32" s="1478"/>
      <c r="BF32" s="141"/>
    </row>
    <row r="33" spans="2:92" x14ac:dyDescent="0.25">
      <c r="B33" s="140"/>
      <c r="BF33" s="141"/>
    </row>
    <row r="34" spans="2:92" x14ac:dyDescent="0.25">
      <c r="B34" s="140"/>
      <c r="C34" s="85"/>
      <c r="D34" s="85"/>
      <c r="E34" s="85"/>
      <c r="F34" s="85"/>
      <c r="G34" s="85"/>
      <c r="H34" s="85"/>
      <c r="I34" s="1440"/>
      <c r="J34" s="1440"/>
      <c r="K34" s="1457" t="s">
        <v>492</v>
      </c>
      <c r="L34" s="1457"/>
      <c r="M34" s="1457"/>
      <c r="N34" s="1457"/>
      <c r="O34" s="1457"/>
      <c r="P34" s="1457"/>
      <c r="Q34" s="1457"/>
      <c r="R34" s="1440" t="s">
        <v>244</v>
      </c>
      <c r="S34" s="1440"/>
      <c r="T34" s="1457" t="s">
        <v>491</v>
      </c>
      <c r="U34" s="1457"/>
      <c r="V34" s="1457"/>
      <c r="W34" s="1457"/>
      <c r="X34" s="1440"/>
      <c r="Y34" s="1440"/>
      <c r="Z34" s="1457" t="s">
        <v>490</v>
      </c>
      <c r="AA34" s="1457"/>
      <c r="AB34" s="1457"/>
      <c r="AF34" t="s">
        <v>729</v>
      </c>
      <c r="AL34" s="1440">
        <v>5</v>
      </c>
      <c r="AM34" s="1440"/>
      <c r="AN34" s="1440"/>
      <c r="AO34" t="s">
        <v>728</v>
      </c>
      <c r="BF34" s="141"/>
    </row>
    <row r="35" spans="2:92" x14ac:dyDescent="0.25">
      <c r="B35" s="140"/>
      <c r="BF35" s="141"/>
      <c r="BP35" s="299"/>
      <c r="CN35" s="297"/>
    </row>
    <row r="36" spans="2:92" x14ac:dyDescent="0.25">
      <c r="B36" s="1466" t="s">
        <v>726</v>
      </c>
      <c r="C36" s="1467"/>
      <c r="D36" s="1467"/>
      <c r="E36" s="1467"/>
      <c r="F36" s="1467"/>
      <c r="G36" s="1467"/>
      <c r="H36" s="1467"/>
      <c r="I36" s="1467"/>
      <c r="J36" s="1467"/>
      <c r="K36" s="1467"/>
      <c r="L36" s="1467"/>
      <c r="M36" s="1467"/>
      <c r="N36" s="1467"/>
      <c r="O36" s="1467"/>
      <c r="P36" s="1467"/>
      <c r="Q36" s="1467"/>
      <c r="R36" s="1467"/>
      <c r="T36" s="1448" t="str">
        <f>IFERROR($T$28/('Tracking &amp; Profitability'!$E$7*52*Welcome!$D$14),"Error on A La Carte")</f>
        <v>Error on A La Carte</v>
      </c>
      <c r="U36" s="1448"/>
      <c r="V36" s="1448"/>
      <c r="W36" s="1448"/>
      <c r="X36" s="1448"/>
      <c r="Y36" s="1448"/>
      <c r="Z36" s="1448"/>
      <c r="AA36" s="1448"/>
      <c r="AB36" s="1448"/>
      <c r="AF36" s="1467" t="s">
        <v>487</v>
      </c>
      <c r="AG36" s="1467"/>
      <c r="AH36" s="1467"/>
      <c r="AI36" s="1467"/>
      <c r="AJ36" s="1467"/>
      <c r="AK36" s="1467"/>
      <c r="AL36" s="1467"/>
      <c r="AM36" s="1467"/>
      <c r="AN36" s="1467"/>
      <c r="AO36" s="1467"/>
      <c r="AP36" s="1467"/>
      <c r="AQ36" s="1467"/>
      <c r="AR36" s="1467"/>
      <c r="AS36" s="1467"/>
      <c r="AU36" s="1440" t="e">
        <f>ROUND(((1-(('PIM Model'!$G$15+'PIM Model'!$G$17+'PIM Model'!$G$18)/'PIM Model'!$G$31))*100),0)&amp;"%/"&amp;ROUND((('PIM Model'!$G$15+'PIM Model'!$G$17+'PIM Model'!$G$18)/'PIM Model'!$G$31*100),0)&amp;"%"</f>
        <v>#DIV/0!</v>
      </c>
      <c r="AV36" s="1440"/>
      <c r="AW36" s="1440"/>
      <c r="AX36" s="1440"/>
      <c r="AY36" s="1440"/>
      <c r="AZ36" s="1440"/>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66" t="s">
        <v>724</v>
      </c>
      <c r="C38" s="1467"/>
      <c r="D38" s="1467"/>
      <c r="E38" s="1467"/>
      <c r="F38" s="1467"/>
      <c r="G38" s="1467"/>
      <c r="H38" s="1467"/>
      <c r="I38" s="1467"/>
      <c r="J38" s="1467"/>
      <c r="K38" s="1467"/>
      <c r="L38" s="1467"/>
      <c r="M38" s="1467"/>
      <c r="N38" s="1467"/>
      <c r="O38" s="1467"/>
      <c r="P38" s="1467"/>
      <c r="Q38" s="1467"/>
      <c r="R38" s="1467"/>
      <c r="T38" s="1449" t="str">
        <f>IFERROR('PIM Model'!$H$31/('PIM Model'!$E$6*52*Welcome!$D$14),"Error on A La Carte")</f>
        <v>Error on A La Carte</v>
      </c>
      <c r="U38" s="1449"/>
      <c r="V38" s="1449"/>
      <c r="W38" s="1449"/>
      <c r="X38" s="1449"/>
      <c r="Y38" s="1449"/>
      <c r="Z38" s="1449"/>
      <c r="AA38" s="1449"/>
      <c r="AB38" s="1449"/>
      <c r="AC38" s="300"/>
      <c r="AD38" s="300"/>
      <c r="AF38" s="1356" t="s">
        <v>677</v>
      </c>
      <c r="AG38" s="1356"/>
      <c r="AH38" s="1356"/>
      <c r="AI38" s="1356"/>
      <c r="AJ38" s="1356"/>
      <c r="AK38" s="1356"/>
      <c r="AL38" s="1356"/>
      <c r="AM38" s="1356"/>
      <c r="AN38" s="1356"/>
      <c r="AO38" s="1356"/>
      <c r="AP38" s="1356"/>
      <c r="AQ38" s="1356"/>
      <c r="AR38" s="1356"/>
      <c r="AS38" s="1356"/>
      <c r="AU38" s="1440">
        <f>COUNTIF('PIM Model'!$E$10:$E$30,"Include")</f>
        <v>21</v>
      </c>
      <c r="AV38" s="1440"/>
      <c r="AW38" s="1440"/>
      <c r="AX38" s="1440"/>
      <c r="AY38" s="1440"/>
      <c r="AZ38" s="1440"/>
      <c r="BF38" s="141"/>
    </row>
    <row r="39" spans="2:92" x14ac:dyDescent="0.25">
      <c r="B39" s="140"/>
      <c r="BF39" s="141"/>
    </row>
    <row r="40" spans="2:92" x14ac:dyDescent="0.25">
      <c r="B40" s="1466" t="s">
        <v>722</v>
      </c>
      <c r="C40" s="1467"/>
      <c r="D40" s="1467"/>
      <c r="E40" s="1467"/>
      <c r="F40" s="1467"/>
      <c r="G40" s="1467"/>
      <c r="H40" s="1467"/>
      <c r="I40" s="1467"/>
      <c r="J40" s="1467"/>
      <c r="K40" s="1467"/>
      <c r="L40" s="1467"/>
      <c r="M40" s="1467"/>
      <c r="N40" s="1467"/>
      <c r="O40" s="1467"/>
      <c r="P40" s="1467"/>
      <c r="Q40" s="1467"/>
      <c r="R40" s="1467"/>
      <c r="T40" s="1470">
        <f>IFERROR('PIM Model'!$G$31/'PIM Model'!$H$31,0)</f>
        <v>0</v>
      </c>
      <c r="U40" s="1470"/>
      <c r="V40" s="1470"/>
      <c r="W40" s="1470"/>
      <c r="X40" s="1470"/>
      <c r="Y40" s="1470"/>
      <c r="Z40" s="1470"/>
      <c r="AA40" s="1470"/>
      <c r="AB40" s="1470"/>
      <c r="AF40" s="1356" t="s">
        <v>725</v>
      </c>
      <c r="AG40" s="1356"/>
      <c r="AH40" s="1356"/>
      <c r="AI40" s="1356"/>
      <c r="AJ40" s="1356"/>
      <c r="AK40" s="1356"/>
      <c r="AL40" s="1356"/>
      <c r="AM40" s="1356"/>
      <c r="AN40" s="1356"/>
      <c r="AO40" s="1356"/>
      <c r="AP40" s="1356"/>
      <c r="AQ40" s="1356"/>
      <c r="AR40" s="1356"/>
      <c r="AS40" s="1356"/>
      <c r="AU40" s="1440">
        <f>$AO$28+$AU$28+$BA$28</f>
        <v>15</v>
      </c>
      <c r="AV40" s="1440"/>
      <c r="AW40" s="1440"/>
      <c r="BC40" s="1457"/>
      <c r="BD40" s="1457"/>
      <c r="BE40" s="1457"/>
      <c r="BF40" s="141"/>
    </row>
    <row r="41" spans="2:92" x14ac:dyDescent="0.25">
      <c r="B41" s="140"/>
      <c r="BF41" s="141"/>
      <c r="BP41" s="297"/>
      <c r="CN41" s="299"/>
    </row>
    <row r="42" spans="2:92" x14ac:dyDescent="0.25">
      <c r="B42" s="1469" t="s">
        <v>720</v>
      </c>
      <c r="C42" s="1356"/>
      <c r="D42" s="1356"/>
      <c r="E42" s="1356"/>
      <c r="F42" s="1356"/>
      <c r="G42" s="1356"/>
      <c r="H42" s="1356"/>
      <c r="I42" s="1356"/>
      <c r="J42" s="1356"/>
      <c r="K42" s="1356"/>
      <c r="L42" s="1356"/>
      <c r="M42" s="1356"/>
      <c r="N42" s="1356"/>
      <c r="O42" s="1356"/>
      <c r="P42" s="1356"/>
      <c r="Q42" s="1356"/>
      <c r="R42" s="1356"/>
      <c r="T42" s="1470" t="s">
        <v>778</v>
      </c>
      <c r="U42" s="1470"/>
      <c r="V42" s="1470"/>
      <c r="W42" s="1470"/>
      <c r="X42" s="1470"/>
      <c r="Y42" s="1470"/>
      <c r="Z42" s="1470"/>
      <c r="AA42" s="1470"/>
      <c r="AB42" s="1470"/>
      <c r="AF42" s="1356" t="s">
        <v>723</v>
      </c>
      <c r="AG42" s="1356"/>
      <c r="AH42" s="1356"/>
      <c r="AI42" s="1356"/>
      <c r="AJ42" s="1356"/>
      <c r="AK42" s="1356"/>
      <c r="AL42" s="1356"/>
      <c r="AM42" s="1356"/>
      <c r="AN42" s="1356"/>
      <c r="AO42" s="1356"/>
      <c r="AP42" s="1356"/>
      <c r="AQ42" s="1356"/>
      <c r="AR42" s="1356"/>
      <c r="AS42" s="1356"/>
      <c r="AU42" s="1440" t="s">
        <v>669</v>
      </c>
      <c r="AV42" s="1440"/>
      <c r="AW42" s="1440"/>
      <c r="BC42" s="1457"/>
      <c r="BD42" s="1457"/>
      <c r="BE42" s="1457"/>
      <c r="BF42" s="141"/>
    </row>
    <row r="43" spans="2:92" x14ac:dyDescent="0.25">
      <c r="B43" s="140"/>
      <c r="BF43" s="141"/>
      <c r="BP43" s="297"/>
      <c r="CN43" s="299"/>
    </row>
    <row r="44" spans="2:92" x14ac:dyDescent="0.25">
      <c r="B44" s="1466" t="s">
        <v>718</v>
      </c>
      <c r="C44" s="1467"/>
      <c r="D44" s="1467"/>
      <c r="E44" s="1467"/>
      <c r="F44" s="1467"/>
      <c r="G44" s="1467"/>
      <c r="H44" s="1467"/>
      <c r="I44" s="1467"/>
      <c r="J44" s="1467"/>
      <c r="K44" s="1467"/>
      <c r="L44" s="1467"/>
      <c r="M44" s="1467"/>
      <c r="N44" s="1467"/>
      <c r="O44" s="1467"/>
      <c r="P44" s="1467"/>
      <c r="Q44" s="1467"/>
      <c r="R44" s="1467"/>
      <c r="T44" s="1471">
        <f>'Tracking &amp; Profitability'!$E$7</f>
        <v>0</v>
      </c>
      <c r="U44" s="1471"/>
      <c r="V44" s="1471"/>
      <c r="W44" s="1471"/>
      <c r="X44" s="1471"/>
      <c r="Y44" s="1471"/>
      <c r="Z44" s="1471"/>
      <c r="AA44" s="1471"/>
      <c r="AB44" s="1471"/>
      <c r="AF44" s="1356" t="s">
        <v>721</v>
      </c>
      <c r="AG44" s="1356"/>
      <c r="AH44" s="1356"/>
      <c r="AI44" s="1356"/>
      <c r="AJ44" s="1356"/>
      <c r="AK44" s="1356"/>
      <c r="AL44" s="1356"/>
      <c r="AM44" s="1356"/>
      <c r="AN44" s="1356"/>
      <c r="AO44" s="1356"/>
      <c r="AP44" s="1356"/>
      <c r="AQ44" s="1356"/>
      <c r="AR44" s="1356"/>
      <c r="AS44" s="1356"/>
      <c r="AU44" s="1440" t="s">
        <v>669</v>
      </c>
      <c r="AV44" s="1440"/>
      <c r="AW44" s="1440"/>
      <c r="BC44" s="1457"/>
      <c r="BD44" s="1457"/>
      <c r="BE44" s="1457"/>
      <c r="BF44" s="141"/>
    </row>
    <row r="45" spans="2:92" x14ac:dyDescent="0.25">
      <c r="B45" s="140"/>
      <c r="BF45" s="141"/>
      <c r="CN45" s="299"/>
    </row>
    <row r="46" spans="2:92" x14ac:dyDescent="0.25">
      <c r="B46" s="1463" t="s">
        <v>678</v>
      </c>
      <c r="C46" s="1464"/>
      <c r="D46" s="1464"/>
      <c r="E46" s="1464"/>
      <c r="F46" s="1464"/>
      <c r="G46" s="1464"/>
      <c r="H46" s="1464"/>
      <c r="I46" s="1464"/>
      <c r="J46" s="1464"/>
      <c r="K46" s="1464"/>
      <c r="L46" s="1464"/>
      <c r="M46" s="1464"/>
      <c r="N46" s="1464"/>
      <c r="O46" s="1464"/>
      <c r="P46" s="1464"/>
      <c r="Q46" s="1464"/>
      <c r="R46" s="1464"/>
      <c r="T46" s="1465">
        <v>150</v>
      </c>
      <c r="U46" s="1465"/>
      <c r="V46" s="1465"/>
      <c r="W46" s="1465"/>
      <c r="X46" s="1465"/>
      <c r="Y46" s="1465"/>
      <c r="Z46" s="1465"/>
      <c r="AA46" s="1465"/>
      <c r="AB46" s="1465"/>
      <c r="AF46" s="1446" t="s">
        <v>719</v>
      </c>
      <c r="AG46" s="1446"/>
      <c r="AH46" s="1446"/>
      <c r="AI46" s="1446"/>
      <c r="AJ46" s="1446"/>
      <c r="AK46" s="1446"/>
      <c r="AL46" s="1446"/>
      <c r="AM46" s="1446"/>
      <c r="AN46" s="1446"/>
      <c r="AO46" s="1446"/>
      <c r="AP46" s="1446"/>
      <c r="AQ46" s="1446"/>
      <c r="AR46" s="1446"/>
      <c r="AS46" s="1446"/>
      <c r="AU46" s="1453">
        <v>0.3</v>
      </c>
      <c r="AV46" s="1453"/>
      <c r="AW46" s="1453"/>
      <c r="AX46" s="1453"/>
      <c r="AY46" s="1453"/>
      <c r="AZ46" s="1453"/>
      <c r="BF46" s="141"/>
    </row>
    <row r="47" spans="2:92" x14ac:dyDescent="0.25">
      <c r="B47" s="140"/>
      <c r="BF47" s="141"/>
      <c r="CN47" s="299"/>
    </row>
    <row r="48" spans="2:92" x14ac:dyDescent="0.25">
      <c r="B48" s="1466" t="s">
        <v>488</v>
      </c>
      <c r="C48" s="1467"/>
      <c r="D48" s="1467"/>
      <c r="E48" s="1467"/>
      <c r="F48" s="1467"/>
      <c r="G48" s="1467"/>
      <c r="H48" s="1467"/>
      <c r="I48" s="1467"/>
      <c r="J48" s="1467"/>
      <c r="K48" s="1467"/>
      <c r="L48" s="1467"/>
      <c r="M48" s="1467"/>
      <c r="N48" s="1467"/>
      <c r="O48" s="1467"/>
      <c r="P48" s="1467"/>
      <c r="Q48" s="1467"/>
      <c r="R48" s="1467"/>
      <c r="T48" s="1465">
        <f>$K$10</f>
        <v>0</v>
      </c>
      <c r="U48" s="1465"/>
      <c r="V48" s="1465"/>
      <c r="W48" s="1465"/>
      <c r="X48" s="1465"/>
      <c r="Y48" s="1465"/>
      <c r="Z48" s="1465"/>
      <c r="AA48" s="1465"/>
      <c r="AB48" s="1465"/>
      <c r="AF48" s="1446" t="s">
        <v>717</v>
      </c>
      <c r="AG48" s="1446"/>
      <c r="AH48" s="1446"/>
      <c r="AI48" s="1446"/>
      <c r="AJ48" s="1446"/>
      <c r="AK48" s="1446"/>
      <c r="AL48" s="1446"/>
      <c r="AM48" s="1446"/>
      <c r="AN48" s="1446"/>
      <c r="AO48" s="1446"/>
      <c r="AP48" s="1446"/>
      <c r="AQ48" s="1446"/>
      <c r="AR48" s="1446"/>
      <c r="AS48" s="1446"/>
      <c r="AU48" s="1438">
        <v>2.25</v>
      </c>
      <c r="AV48" s="1439"/>
      <c r="AW48" s="1439"/>
      <c r="AX48" s="1439"/>
      <c r="AY48" s="1439"/>
      <c r="AZ48" s="1439"/>
      <c r="BF48" s="141"/>
    </row>
    <row r="49" spans="2:92" x14ac:dyDescent="0.25">
      <c r="B49" s="140"/>
      <c r="BF49" s="141"/>
      <c r="CN49" s="299"/>
    </row>
    <row r="50" spans="2:92" x14ac:dyDescent="0.25">
      <c r="B50" s="1445" t="s">
        <v>716</v>
      </c>
      <c r="C50" s="1446"/>
      <c r="D50" s="1446"/>
      <c r="E50" s="1446"/>
      <c r="F50" s="1446"/>
      <c r="G50" s="1446"/>
      <c r="H50" s="1446"/>
      <c r="I50" s="1446"/>
      <c r="J50" s="1446"/>
      <c r="K50" s="1446"/>
      <c r="L50" s="1446"/>
      <c r="M50" s="1446"/>
      <c r="N50" s="1446"/>
      <c r="O50" s="1446"/>
      <c r="P50" s="1446"/>
      <c r="Q50" s="1446"/>
      <c r="R50" s="1446"/>
      <c r="T50" s="1447">
        <v>500</v>
      </c>
      <c r="U50" s="1447"/>
      <c r="V50" s="1447"/>
      <c r="W50" s="1447"/>
      <c r="X50" s="1447"/>
      <c r="Y50" s="1447"/>
      <c r="Z50" s="1356" t="s">
        <v>715</v>
      </c>
      <c r="AA50" s="1356"/>
      <c r="AB50" s="1356"/>
      <c r="AC50" s="1447">
        <v>35</v>
      </c>
      <c r="AD50" s="1447"/>
      <c r="AE50" s="1447"/>
      <c r="AF50" s="1447"/>
      <c r="AG50" s="1447"/>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50" t="s">
        <v>699</v>
      </c>
      <c r="C53" s="1451"/>
      <c r="D53" s="1451"/>
      <c r="E53" s="1451"/>
      <c r="F53" s="1451"/>
      <c r="G53" s="1451"/>
      <c r="H53" s="1451"/>
      <c r="I53" s="1451"/>
      <c r="J53" s="1451"/>
      <c r="K53" s="1451"/>
      <c r="L53" s="1451"/>
      <c r="M53" s="1451"/>
      <c r="N53" s="1451"/>
      <c r="O53" s="1451"/>
      <c r="P53" s="1451"/>
      <c r="Q53" s="1451"/>
      <c r="R53" s="1451"/>
      <c r="S53" s="1451"/>
      <c r="T53" s="1451"/>
      <c r="U53" s="1451"/>
      <c r="V53" s="1451"/>
      <c r="W53" s="1451"/>
      <c r="X53" s="1451"/>
      <c r="Y53" s="1451"/>
      <c r="Z53" s="1451"/>
      <c r="AA53" s="1451"/>
      <c r="AB53" s="1451"/>
      <c r="AC53" s="1451"/>
      <c r="AD53" s="1451"/>
      <c r="AE53" s="1451"/>
      <c r="AF53" s="1451"/>
      <c r="AG53" s="1451"/>
      <c r="AH53" s="1451"/>
      <c r="AI53" s="1451"/>
      <c r="AJ53" s="1451"/>
      <c r="AK53" s="1451"/>
      <c r="AL53" s="1451"/>
      <c r="AM53" s="1451"/>
      <c r="AN53" s="1451"/>
      <c r="AO53" s="1451"/>
      <c r="AP53" s="1451"/>
      <c r="AQ53" s="1451"/>
      <c r="AR53" s="1451"/>
      <c r="AS53" s="1451"/>
      <c r="AT53" s="1451"/>
      <c r="AU53" s="1451"/>
      <c r="AV53" s="1451"/>
      <c r="AW53" s="1451"/>
      <c r="AX53" s="1451"/>
      <c r="AY53" s="1451"/>
      <c r="AZ53" s="1451"/>
      <c r="BA53" s="1451"/>
      <c r="BB53" s="1451"/>
      <c r="BC53" s="1451"/>
      <c r="BD53" s="1451"/>
      <c r="BE53" s="1451"/>
      <c r="BF53" s="1452"/>
    </row>
    <row r="54" spans="2:92" x14ac:dyDescent="0.25">
      <c r="B54" s="1454" t="s">
        <v>714</v>
      </c>
      <c r="C54" s="1455"/>
      <c r="D54" s="1455"/>
      <c r="E54" s="1455"/>
      <c r="F54" s="1455"/>
      <c r="G54" s="1455"/>
      <c r="H54" s="1455"/>
      <c r="I54" s="1455"/>
      <c r="J54" s="1455"/>
      <c r="K54" s="1455"/>
      <c r="L54" s="1455"/>
      <c r="M54" s="1455"/>
      <c r="N54" s="1455"/>
      <c r="O54" s="1455"/>
      <c r="P54" s="1455"/>
      <c r="Q54" s="1455"/>
      <c r="R54" s="1455"/>
      <c r="S54" s="1455"/>
      <c r="T54" s="1455"/>
      <c r="U54" s="1455"/>
      <c r="V54" s="1455"/>
      <c r="W54" s="1455"/>
      <c r="X54" s="1455"/>
      <c r="Y54" s="1455"/>
      <c r="Z54" s="1455"/>
      <c r="AA54" s="1455"/>
      <c r="AB54" s="1455"/>
      <c r="AC54" s="1455"/>
      <c r="AD54" s="1455"/>
      <c r="AE54" s="1455"/>
      <c r="AF54" s="1455"/>
      <c r="AG54" s="1455"/>
      <c r="AH54" s="1455"/>
      <c r="AI54" s="1455"/>
      <c r="AJ54" s="1455"/>
      <c r="AK54" s="1455"/>
      <c r="AL54" s="1455"/>
      <c r="AM54" s="1455"/>
      <c r="AN54" s="1455"/>
      <c r="AO54" s="1455"/>
      <c r="AP54" s="1455"/>
      <c r="AQ54" s="1455"/>
      <c r="AR54" s="1455"/>
      <c r="AS54" s="1455"/>
      <c r="AT54" s="1455"/>
      <c r="AU54" s="1455"/>
      <c r="AV54" s="1455"/>
      <c r="AW54" s="1455"/>
      <c r="AX54" s="1455"/>
      <c r="AY54" s="1455"/>
      <c r="AZ54" s="1455"/>
      <c r="BA54" s="1455"/>
      <c r="BB54" s="1455"/>
      <c r="BC54" s="1455"/>
      <c r="BD54" s="1455"/>
      <c r="BE54" s="1455"/>
      <c r="BF54" s="1456"/>
      <c r="BP54" s="297"/>
    </row>
    <row r="55" spans="2:92" x14ac:dyDescent="0.25">
      <c r="B55" s="140"/>
      <c r="AC55" s="302"/>
      <c r="AD55" s="302"/>
      <c r="AE55" s="302"/>
      <c r="AF55" s="302"/>
      <c r="AG55" s="302"/>
      <c r="AH55" s="302"/>
      <c r="AK55" s="1461"/>
      <c r="AL55" s="1461"/>
      <c r="AM55" s="1461"/>
      <c r="AN55" s="1461"/>
      <c r="AO55" s="1333"/>
      <c r="AP55" s="1333"/>
      <c r="AQ55" s="1333"/>
      <c r="AR55" s="137"/>
      <c r="AS55" s="137"/>
      <c r="AT55" s="1333"/>
      <c r="AU55" s="1333"/>
      <c r="AV55" s="1333"/>
      <c r="AW55" s="137"/>
      <c r="AX55" s="137"/>
      <c r="AY55" s="1333"/>
      <c r="AZ55" s="1333"/>
      <c r="BA55" s="1333"/>
      <c r="BB55" s="137"/>
      <c r="BC55" s="137"/>
      <c r="BD55" s="1333"/>
      <c r="BE55" s="1333"/>
      <c r="BF55" s="1437"/>
      <c r="BP55" s="303"/>
    </row>
    <row r="56" spans="2:92" x14ac:dyDescent="0.25">
      <c r="B56" s="140"/>
      <c r="C56" s="1371" t="s">
        <v>103</v>
      </c>
      <c r="D56" s="1371"/>
      <c r="E56" s="1371"/>
      <c r="F56" s="1371"/>
      <c r="G56" s="1371"/>
      <c r="H56" s="1371"/>
      <c r="I56" s="1371"/>
      <c r="J56" s="1371"/>
      <c r="K56" s="1371"/>
      <c r="L56" s="1371"/>
      <c r="M56" s="1371"/>
      <c r="N56" s="1371"/>
      <c r="O56" s="1371"/>
      <c r="P56" s="1371"/>
      <c r="Q56" s="1371"/>
      <c r="R56" s="1371"/>
      <c r="S56" s="1371"/>
      <c r="T56" s="1371"/>
      <c r="U56" s="1371"/>
      <c r="V56" s="1371"/>
      <c r="W56" s="1371"/>
      <c r="X56" s="1371"/>
      <c r="Y56" s="1371"/>
      <c r="Z56" s="1371"/>
      <c r="AC56" s="1440" t="str">
        <f>'PIM Model'!$AD$11</f>
        <v/>
      </c>
      <c r="AD56" s="1440"/>
      <c r="AE56" s="1440" t="str">
        <f>'PIM Model'!$D$11</f>
        <v>%</v>
      </c>
      <c r="AF56" s="1440"/>
      <c r="AG56" s="1440" t="str">
        <f>'PIM Model'!$D$11</f>
        <v>%</v>
      </c>
      <c r="AH56" s="1440"/>
      <c r="AI56" s="1457" t="str">
        <f>'PIM Model'!$D$11</f>
        <v>%</v>
      </c>
      <c r="AJ56" s="1457"/>
      <c r="AK56" s="137"/>
      <c r="AL56" s="137"/>
      <c r="AM56" s="137"/>
      <c r="AN56" s="137"/>
      <c r="AO56" s="1333"/>
      <c r="AP56" s="1333"/>
      <c r="AQ56" s="1333"/>
      <c r="AR56" s="137"/>
      <c r="AS56" s="137"/>
      <c r="AT56" s="1333"/>
      <c r="AU56" s="1333"/>
      <c r="AV56" s="1333"/>
      <c r="AW56" s="137"/>
      <c r="AX56" s="137"/>
      <c r="AY56" s="1333"/>
      <c r="AZ56" s="1333"/>
      <c r="BA56" s="1333"/>
      <c r="BB56" s="137"/>
      <c r="BC56" s="137"/>
      <c r="BD56" s="1333"/>
      <c r="BE56" s="1333"/>
      <c r="BF56" s="1437"/>
      <c r="BP56" s="297"/>
    </row>
    <row r="57" spans="2:92" x14ac:dyDescent="0.25">
      <c r="B57" s="140"/>
      <c r="C57" s="1371" t="s">
        <v>102</v>
      </c>
      <c r="D57" s="1371"/>
      <c r="E57" s="1371"/>
      <c r="F57" s="1371"/>
      <c r="G57" s="1371"/>
      <c r="H57" s="1371"/>
      <c r="I57" s="1371"/>
      <c r="J57" s="1371"/>
      <c r="K57" s="1371"/>
      <c r="L57" s="1371"/>
      <c r="M57" s="1371"/>
      <c r="N57" s="1371"/>
      <c r="O57" s="1371"/>
      <c r="P57" s="1371"/>
      <c r="Q57" s="1371"/>
      <c r="R57" s="1371"/>
      <c r="S57" s="1371"/>
      <c r="T57" s="1371"/>
      <c r="U57" s="1371"/>
      <c r="V57" s="1371"/>
      <c r="W57" s="1371"/>
      <c r="X57" s="1371"/>
      <c r="Y57" s="1371"/>
      <c r="Z57" s="1371"/>
      <c r="AC57" s="1460" t="str">
        <f>'PIM Model'!$AD$13</f>
        <v/>
      </c>
      <c r="AD57" s="1460"/>
      <c r="AE57" s="1460" t="str">
        <f>'PIM Model'!$D$13</f>
        <v>%</v>
      </c>
      <c r="AF57" s="1460"/>
      <c r="AG57" s="1460" t="str">
        <f>'PIM Model'!$D$13</f>
        <v>%</v>
      </c>
      <c r="AH57" s="1460"/>
      <c r="AI57" s="1457" t="str">
        <f>'PIM Model'!$D$13</f>
        <v>%</v>
      </c>
      <c r="AJ57" s="1457"/>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71" t="s">
        <v>101</v>
      </c>
      <c r="D58" s="1371"/>
      <c r="E58" s="1371"/>
      <c r="F58" s="1371"/>
      <c r="G58" s="1371"/>
      <c r="H58" s="1371"/>
      <c r="I58" s="1371"/>
      <c r="J58" s="1371"/>
      <c r="K58" s="1371"/>
      <c r="L58" s="1371"/>
      <c r="M58" s="1371"/>
      <c r="N58" s="1371"/>
      <c r="O58" s="1371"/>
      <c r="P58" s="1371"/>
      <c r="Q58" s="1371"/>
      <c r="R58" s="1371"/>
      <c r="S58" s="1371"/>
      <c r="T58" s="1371"/>
      <c r="U58" s="1371"/>
      <c r="V58" s="1371"/>
      <c r="W58" s="1371"/>
      <c r="X58" s="1371"/>
      <c r="Y58" s="1371"/>
      <c r="Z58" s="1371"/>
      <c r="AC58" s="1460" t="str">
        <f>'PIM Model'!$AD$19</f>
        <v/>
      </c>
      <c r="AD58" s="1460"/>
      <c r="AE58" s="1460" t="str">
        <f>'PIM Model'!$D$19</f>
        <v>%</v>
      </c>
      <c r="AF58" s="1460"/>
      <c r="AG58" s="1460" t="str">
        <f>'PIM Model'!$D$19</f>
        <v>%</v>
      </c>
      <c r="AH58" s="1460"/>
      <c r="AI58" s="1457" t="str">
        <f>'PIM Model'!$D$19</f>
        <v>%</v>
      </c>
      <c r="AJ58" s="1457"/>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71" t="s">
        <v>100</v>
      </c>
      <c r="D59" s="1371"/>
      <c r="E59" s="1371"/>
      <c r="F59" s="1371"/>
      <c r="G59" s="1371"/>
      <c r="H59" s="1371"/>
      <c r="I59" s="1371"/>
      <c r="J59" s="1371"/>
      <c r="K59" s="1371"/>
      <c r="L59" s="1371"/>
      <c r="M59" s="1371"/>
      <c r="N59" s="1371"/>
      <c r="O59" s="1371"/>
      <c r="P59" s="1371"/>
      <c r="Q59" s="1371"/>
      <c r="R59" s="1371"/>
      <c r="S59" s="1371"/>
      <c r="T59" s="1371"/>
      <c r="U59" s="1371"/>
      <c r="V59" s="1371"/>
      <c r="W59" s="1371"/>
      <c r="X59" s="1371"/>
      <c r="Y59" s="1371"/>
      <c r="Z59" s="1371"/>
      <c r="AC59" s="1460" t="str">
        <f>'PIM Model'!$AD$14</f>
        <v/>
      </c>
      <c r="AD59" s="1460"/>
      <c r="AE59" s="1460" t="str">
        <f>'PIM Model'!$D$14</f>
        <v>%</v>
      </c>
      <c r="AF59" s="1460"/>
      <c r="AG59" s="1460" t="str">
        <f>'PIM Model'!$D$14</f>
        <v>%</v>
      </c>
      <c r="AH59" s="1460"/>
      <c r="AI59" s="1457" t="str">
        <f>'PIM Model'!$D$14</f>
        <v>%</v>
      </c>
      <c r="AJ59" s="1457"/>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71" t="s">
        <v>104</v>
      </c>
      <c r="D60" s="1371"/>
      <c r="E60" s="1371"/>
      <c r="F60" s="1371"/>
      <c r="G60" s="1371"/>
      <c r="H60" s="1371"/>
      <c r="I60" s="1371"/>
      <c r="J60" s="1371"/>
      <c r="K60" s="1371"/>
      <c r="L60" s="1371"/>
      <c r="M60" s="1371"/>
      <c r="N60" s="1371"/>
      <c r="O60" s="1371"/>
      <c r="P60" s="1371"/>
      <c r="Q60" s="1371"/>
      <c r="R60" s="1371"/>
      <c r="S60" s="1371"/>
      <c r="T60" s="1371"/>
      <c r="U60" s="1371"/>
      <c r="V60" s="1371"/>
      <c r="W60" s="1371"/>
      <c r="X60" s="1371"/>
      <c r="Y60" s="1371"/>
      <c r="Z60" s="1371"/>
      <c r="AC60" s="1460" t="str">
        <f>'PIM Model'!$AD$15</f>
        <v/>
      </c>
      <c r="AD60" s="1460"/>
      <c r="AE60" s="1460" t="str">
        <f>'PIM Model'!$D$15</f>
        <v>%</v>
      </c>
      <c r="AF60" s="1460"/>
      <c r="AG60" s="1460" t="str">
        <f>'PIM Model'!$D$15</f>
        <v>%</v>
      </c>
      <c r="AH60" s="1460"/>
      <c r="AI60" s="1457" t="str">
        <f>'PIM Model'!$D$15</f>
        <v>%</v>
      </c>
      <c r="AJ60" s="1457"/>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71" t="s">
        <v>99</v>
      </c>
      <c r="D61" s="1371"/>
      <c r="E61" s="1371"/>
      <c r="F61" s="1371"/>
      <c r="G61" s="1371"/>
      <c r="H61" s="1371"/>
      <c r="I61" s="1371"/>
      <c r="J61" s="1371"/>
      <c r="K61" s="1371"/>
      <c r="L61" s="1371"/>
      <c r="M61" s="1371"/>
      <c r="N61" s="1371"/>
      <c r="O61" s="1371"/>
      <c r="P61" s="1371"/>
      <c r="Q61" s="1371"/>
      <c r="R61" s="1371"/>
      <c r="S61" s="1371"/>
      <c r="T61" s="1371"/>
      <c r="U61" s="1371"/>
      <c r="V61" s="1371"/>
      <c r="W61" s="1371"/>
      <c r="X61" s="1371"/>
      <c r="Y61" s="1371"/>
      <c r="Z61" s="1371"/>
      <c r="AC61" s="1460" t="str">
        <f>'PIM Model'!$AD$10</f>
        <v/>
      </c>
      <c r="AD61" s="1460"/>
      <c r="AE61" s="1460" t="str">
        <f>'PIM Model'!$D$10</f>
        <v>%</v>
      </c>
      <c r="AF61" s="1460"/>
      <c r="AG61" s="1460" t="str">
        <f>'PIM Model'!$D$10</f>
        <v>%</v>
      </c>
      <c r="AH61" s="1460"/>
      <c r="AI61" s="1457" t="str">
        <f>'PIM Model'!$D$10</f>
        <v>%</v>
      </c>
      <c r="AJ61" s="1457"/>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60" t="str">
        <f>'PIM Model'!$AD$16</f>
        <v/>
      </c>
      <c r="AD62" s="1460"/>
      <c r="AE62" s="1460" t="str">
        <f>'PIM Model'!$D$16</f>
        <v>%</v>
      </c>
      <c r="AF62" s="1460"/>
      <c r="AG62" s="1460" t="str">
        <f>'PIM Model'!$D$16</f>
        <v>%</v>
      </c>
      <c r="AH62" s="1460"/>
      <c r="AI62" s="1457" t="str">
        <f>'PIM Model'!$D$16</f>
        <v>%</v>
      </c>
      <c r="AJ62" s="145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60" t="str">
        <f>'PIM Model'!$AD$20</f>
        <v/>
      </c>
      <c r="AD63" s="1460"/>
      <c r="AE63" s="1460" t="str">
        <f>'PIM Model'!$D$20</f>
        <v>%</v>
      </c>
      <c r="AF63" s="1460"/>
      <c r="AG63" s="1460" t="str">
        <f>'PIM Model'!$D$20</f>
        <v>%</v>
      </c>
      <c r="AH63" s="1460"/>
      <c r="AI63" s="1457" t="str">
        <f>'PIM Model'!$D$20</f>
        <v>%</v>
      </c>
      <c r="AJ63" s="1457"/>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60" t="str">
        <f>'PIM Model'!$AD$18</f>
        <v/>
      </c>
      <c r="AD64" s="1460"/>
      <c r="AE64" s="1460" t="str">
        <f>'PIM Model'!$D$18</f>
        <v>%</v>
      </c>
      <c r="AF64" s="1460"/>
      <c r="AG64" s="1460" t="str">
        <f>'PIM Model'!$D$18</f>
        <v>%</v>
      </c>
      <c r="AH64" s="1460"/>
      <c r="AI64" s="1457" t="str">
        <f>'PIM Model'!$D$18</f>
        <v>%</v>
      </c>
      <c r="AJ64" s="1457"/>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60" t="str">
        <f>'PIM Model'!$AD$17</f>
        <v/>
      </c>
      <c r="AD65" s="1460"/>
      <c r="AE65" s="1460" t="str">
        <f>'PIM Model'!$D$17</f>
        <v>%</v>
      </c>
      <c r="AF65" s="1460"/>
      <c r="AG65" s="1460" t="str">
        <f>'PIM Model'!$D$17</f>
        <v>%</v>
      </c>
      <c r="AH65" s="1460"/>
      <c r="AI65" s="1457" t="str">
        <f>'PIM Model'!$D$17</f>
        <v>%</v>
      </c>
      <c r="AJ65" s="1457"/>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60" t="str">
        <f>'PIM Model'!$AD$27</f>
        <v/>
      </c>
      <c r="AD66" s="1460"/>
      <c r="AE66" s="1460" t="str">
        <f>'PIM Model'!$D$27</f>
        <v>%</v>
      </c>
      <c r="AF66" s="1460"/>
      <c r="AG66" s="1460" t="str">
        <f>'PIM Model'!$D$27</f>
        <v>%</v>
      </c>
      <c r="AH66" s="1460"/>
      <c r="AI66" s="1457" t="str">
        <f>'PIM Model'!$D$27</f>
        <v>%</v>
      </c>
      <c r="AJ66" s="1457"/>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57" t="s">
        <v>713</v>
      </c>
      <c r="F67" s="1457"/>
      <c r="G67" s="1457"/>
      <c r="H67" s="1457"/>
      <c r="I67" s="1457"/>
      <c r="J67" s="1457"/>
      <c r="K67" s="1457"/>
      <c r="M67" s="1458" t="s">
        <v>244</v>
      </c>
      <c r="N67" s="1458"/>
      <c r="O67" s="1458"/>
      <c r="P67" t="s">
        <v>669</v>
      </c>
      <c r="S67" s="1459"/>
      <c r="T67" s="1459"/>
      <c r="U67" s="1459"/>
      <c r="V67" s="1457" t="s">
        <v>671</v>
      </c>
      <c r="W67" s="1457"/>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60" t="str">
        <f>'PIM Model'!$AD$21</f>
        <v/>
      </c>
      <c r="AD68" s="1460"/>
      <c r="AE68" s="1460" t="str">
        <f>'PIM Model'!$D$21</f>
        <v>%</v>
      </c>
      <c r="AF68" s="1460"/>
      <c r="AG68" s="1460" t="str">
        <f>'PIM Model'!$D$21</f>
        <v>%</v>
      </c>
      <c r="AH68" s="1460"/>
      <c r="AI68" s="1457" t="str">
        <f>'PIM Model'!$D$21</f>
        <v>%</v>
      </c>
      <c r="AJ68" s="1457"/>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60" t="str">
        <f>'PIM Model'!$AD$23</f>
        <v/>
      </c>
      <c r="AD69" s="1460"/>
      <c r="AE69" s="1460" t="str">
        <f>'PIM Model'!$D$23</f>
        <v>%</v>
      </c>
      <c r="AF69" s="1460"/>
      <c r="AG69" s="1460" t="str">
        <f>'PIM Model'!$D$23</f>
        <v>%</v>
      </c>
      <c r="AH69" s="1460"/>
      <c r="AI69" s="1457" t="str">
        <f>'PIM Model'!$D$23</f>
        <v>%</v>
      </c>
      <c r="AJ69" s="1457"/>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60" t="str">
        <f>'PIM Model'!$AD$24</f>
        <v/>
      </c>
      <c r="AD70" s="1460"/>
      <c r="AE70" s="1460" t="str">
        <f>'PIM Model'!$D$24</f>
        <v>%</v>
      </c>
      <c r="AF70" s="1460"/>
      <c r="AG70" s="1460" t="str">
        <f>'PIM Model'!$D$24</f>
        <v>%</v>
      </c>
      <c r="AH70" s="1460"/>
      <c r="AI70" s="1457" t="str">
        <f>'PIM Model'!$D$24</f>
        <v>%</v>
      </c>
      <c r="AJ70" s="1457"/>
      <c r="AK70" s="137"/>
      <c r="AL70" s="137"/>
      <c r="AM70" s="137"/>
      <c r="AN70" s="137"/>
      <c r="AO70" s="1333"/>
      <c r="AP70" s="1333"/>
      <c r="AQ70" s="1333"/>
      <c r="AR70" s="137"/>
      <c r="AS70" s="137"/>
      <c r="AT70" s="1333"/>
      <c r="AU70" s="1333"/>
      <c r="AV70" s="1333"/>
      <c r="AW70" s="137"/>
      <c r="AX70" s="137"/>
      <c r="AY70" s="1333"/>
      <c r="AZ70" s="1333"/>
      <c r="BA70" s="1333"/>
      <c r="BB70" s="137"/>
      <c r="BC70" s="137"/>
      <c r="BD70" s="1333"/>
      <c r="BE70" s="1333"/>
      <c r="BF70" s="1437"/>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60" t="str">
        <f>'PIM Model'!$AD$25</f>
        <v/>
      </c>
      <c r="AD71" s="1460"/>
      <c r="AE71" s="1460" t="str">
        <f>'PIM Model'!$D$25</f>
        <v>%</v>
      </c>
      <c r="AF71" s="1460"/>
      <c r="AG71" s="1460" t="str">
        <f>'PIM Model'!$D$25</f>
        <v>%</v>
      </c>
      <c r="AH71" s="1460"/>
      <c r="AI71" s="1457" t="str">
        <f>'PIM Model'!$D$25</f>
        <v>%</v>
      </c>
      <c r="AJ71" s="1457"/>
      <c r="AK71" s="137"/>
      <c r="AL71" s="137"/>
      <c r="AM71" s="137"/>
      <c r="AN71" s="137"/>
      <c r="AO71" s="1333"/>
      <c r="AP71" s="1333"/>
      <c r="AQ71" s="1333"/>
      <c r="AR71" s="137"/>
      <c r="AS71" s="137"/>
      <c r="AT71" s="1333"/>
      <c r="AU71" s="1333"/>
      <c r="AV71" s="1333"/>
      <c r="AW71" s="137"/>
      <c r="AX71" s="137"/>
      <c r="AY71" s="1333"/>
      <c r="AZ71" s="1333"/>
      <c r="BA71" s="1333"/>
      <c r="BB71" s="137"/>
      <c r="BC71" s="137"/>
      <c r="BD71" s="1333"/>
      <c r="BE71" s="1333"/>
      <c r="BF71" s="1437"/>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60" t="str">
        <f>'PIM Model'!$AD$26</f>
        <v/>
      </c>
      <c r="AD72" s="1460"/>
      <c r="AE72" s="1460" t="str">
        <f>'PIM Model'!$D$26</f>
        <v>%</v>
      </c>
      <c r="AF72" s="1460"/>
      <c r="AG72" s="1460" t="str">
        <f>'PIM Model'!$D$26</f>
        <v>%</v>
      </c>
      <c r="AH72" s="1460"/>
      <c r="AI72" s="1457" t="str">
        <f>'PIM Model'!$D$26</f>
        <v>%</v>
      </c>
      <c r="AJ72" s="1457"/>
      <c r="AK72" s="137"/>
      <c r="AL72" s="137"/>
      <c r="AM72" s="137"/>
      <c r="AN72" s="137"/>
      <c r="AO72" s="1333"/>
      <c r="AP72" s="1333"/>
      <c r="AQ72" s="1333"/>
      <c r="AR72" s="137"/>
      <c r="AS72" s="137"/>
      <c r="AT72" s="1333"/>
      <c r="AU72" s="1333"/>
      <c r="AV72" s="1333"/>
      <c r="AW72" s="137"/>
      <c r="AX72" s="137"/>
      <c r="AY72" s="1333"/>
      <c r="AZ72" s="1333"/>
      <c r="BA72" s="1333"/>
      <c r="BB72" s="137"/>
      <c r="BC72" s="137"/>
      <c r="BD72" s="1333"/>
      <c r="BE72" s="1333"/>
      <c r="BF72" s="1437"/>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60" t="str">
        <f>'PIM Model'!$AD$29</f>
        <v/>
      </c>
      <c r="AD73" s="1460"/>
      <c r="AE73" s="1460" t="str">
        <f>'PIM Model'!$D$29</f>
        <v>%</v>
      </c>
      <c r="AF73" s="1460"/>
      <c r="AG73" s="1460" t="str">
        <f>'PIM Model'!$D$29</f>
        <v>%</v>
      </c>
      <c r="AH73" s="1460"/>
      <c r="AI73" s="1457" t="str">
        <f>'PIM Model'!$D$29</f>
        <v>%</v>
      </c>
      <c r="AJ73" s="1457"/>
      <c r="AK73" s="137"/>
      <c r="AL73" s="137"/>
      <c r="AM73" s="137"/>
      <c r="AN73" s="137"/>
      <c r="AO73" s="1333"/>
      <c r="AP73" s="1333"/>
      <c r="AQ73" s="1333"/>
      <c r="AR73" s="137"/>
      <c r="AS73" s="137"/>
      <c r="AT73" s="1333"/>
      <c r="AU73" s="1333"/>
      <c r="AV73" s="1333"/>
      <c r="AW73" s="137"/>
      <c r="AX73" s="137"/>
      <c r="AY73" s="1333"/>
      <c r="AZ73" s="1333"/>
      <c r="BA73" s="1333"/>
      <c r="BB73" s="137"/>
      <c r="BC73" s="137"/>
      <c r="BD73" s="1333"/>
      <c r="BE73" s="1333"/>
      <c r="BF73" s="1437"/>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60" t="str">
        <f>'PIM Model'!$AD$30</f>
        <v/>
      </c>
      <c r="AD74" s="1460"/>
      <c r="AE74" s="1460" t="str">
        <f>'PIM Model'!$D$30</f>
        <v>%</v>
      </c>
      <c r="AF74" s="1460"/>
      <c r="AG74" s="1460" t="str">
        <f>'PIM Model'!$D$30</f>
        <v>%</v>
      </c>
      <c r="AH74" s="1460"/>
      <c r="AI74" s="1457" t="str">
        <f>'PIM Model'!$D$30</f>
        <v>%</v>
      </c>
      <c r="AJ74" s="1457"/>
      <c r="AK74" s="137"/>
      <c r="AL74" s="137"/>
      <c r="AM74" s="137"/>
      <c r="AN74" s="137"/>
      <c r="AO74" s="1333"/>
      <c r="AP74" s="1333"/>
      <c r="AQ74" s="1333"/>
      <c r="AR74" s="137"/>
      <c r="AS74" s="137"/>
      <c r="AT74" s="1333"/>
      <c r="AU74" s="1333"/>
      <c r="AV74" s="1333"/>
      <c r="AW74" s="137"/>
      <c r="AX74" s="137"/>
      <c r="AY74" s="1333"/>
      <c r="AZ74" s="1333"/>
      <c r="BA74" s="1333"/>
      <c r="BB74" s="137"/>
      <c r="BC74" s="137"/>
      <c r="BD74" s="1333"/>
      <c r="BE74" s="1333"/>
      <c r="BF74" s="1437"/>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60" t="str">
        <f>'PIM Model'!$AD$28</f>
        <v/>
      </c>
      <c r="AD75" s="1460"/>
      <c r="AE75" s="1460" t="str">
        <f>'PIM Model'!$D$28</f>
        <v>%</v>
      </c>
      <c r="AF75" s="1460"/>
      <c r="AG75" s="1460" t="str">
        <f>'PIM Model'!$D$28</f>
        <v>%</v>
      </c>
      <c r="AH75" s="1460"/>
      <c r="AI75" s="1457" t="str">
        <f>'PIM Model'!$D$28</f>
        <v>%</v>
      </c>
      <c r="AJ75" s="1457"/>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60" t="str">
        <f>'PIM Model'!$AD$22</f>
        <v/>
      </c>
      <c r="AD76" s="1460"/>
      <c r="AE76" s="1460" t="str">
        <f>'PIM Model'!$D$22</f>
        <v>%</v>
      </c>
      <c r="AF76" s="1460"/>
      <c r="AG76" s="1460" t="str">
        <f>'PIM Model'!$D$22</f>
        <v>%</v>
      </c>
      <c r="AH76" s="1460"/>
      <c r="AI76" s="1457" t="str">
        <f>'PIM Model'!$D$22</f>
        <v>%</v>
      </c>
      <c r="AJ76" s="1457"/>
      <c r="BF76" s="141"/>
    </row>
    <row r="77" spans="2:70" x14ac:dyDescent="0.25">
      <c r="B77" s="718"/>
      <c r="C77" s="1462" t="s">
        <v>746</v>
      </c>
      <c r="D77" s="1462"/>
      <c r="E77" s="1462"/>
      <c r="F77" s="1462"/>
      <c r="G77" s="1462"/>
      <c r="H77" s="1462"/>
      <c r="I77" s="1462"/>
      <c r="J77" s="1462"/>
      <c r="K77" s="1462"/>
      <c r="L77" s="1462"/>
      <c r="M77" s="1462"/>
      <c r="N77" s="1462"/>
      <c r="O77" s="1462"/>
      <c r="P77" s="1462"/>
      <c r="Q77" s="1462"/>
      <c r="R77" s="1462"/>
      <c r="S77" s="1462"/>
      <c r="T77" s="1462"/>
      <c r="U77" s="1462"/>
      <c r="V77" s="1462"/>
      <c r="W77" s="1462"/>
      <c r="X77" s="1462"/>
      <c r="Y77" s="1462"/>
      <c r="Z77" s="1462"/>
      <c r="AC77" s="1460" t="str">
        <f>'PIM Model'!$AD$12</f>
        <v/>
      </c>
      <c r="AD77" s="1460"/>
      <c r="AE77" s="1460" t="str">
        <f>'PIM Model'!$D$12</f>
        <v>%</v>
      </c>
      <c r="AF77" s="1460"/>
      <c r="AG77" s="1460" t="str">
        <f>'PIM Model'!$D$12</f>
        <v>%</v>
      </c>
      <c r="AH77" s="1460"/>
      <c r="AI77" s="1457" t="str">
        <f>'PIM Model'!$D$12</f>
        <v>%</v>
      </c>
      <c r="AJ77" s="1457"/>
      <c r="BF77" s="141"/>
    </row>
    <row r="78" spans="2:70" x14ac:dyDescent="0.25">
      <c r="B78" s="140"/>
      <c r="C78" s="1462" t="s">
        <v>747</v>
      </c>
      <c r="D78" s="1462"/>
      <c r="E78" s="1462"/>
      <c r="F78" s="1462"/>
      <c r="G78" s="1462"/>
      <c r="H78" s="1462"/>
      <c r="I78" s="1462"/>
      <c r="J78" s="1462"/>
      <c r="K78" s="1462"/>
      <c r="L78" s="1462"/>
      <c r="M78" s="1462"/>
      <c r="N78" s="1462"/>
      <c r="O78" s="1462"/>
      <c r="P78" s="1462"/>
      <c r="Q78" s="1462"/>
      <c r="R78" s="1462"/>
      <c r="S78" s="1462"/>
      <c r="T78" s="1462"/>
      <c r="U78" s="1462"/>
      <c r="V78" s="1462"/>
      <c r="W78" s="1462"/>
      <c r="X78" s="1462"/>
      <c r="Y78" s="1462"/>
      <c r="Z78" s="1462"/>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57" t="s">
        <v>712</v>
      </c>
      <c r="E81" s="1457"/>
      <c r="F81" s="1457"/>
      <c r="G81" s="1457"/>
      <c r="H81" s="1457"/>
      <c r="I81" s="1457"/>
      <c r="J81" s="1457"/>
      <c r="K81" s="1457"/>
      <c r="L81" s="1457"/>
      <c r="M81" s="1457"/>
      <c r="N81" s="1457"/>
      <c r="O81" s="1457"/>
      <c r="P81" s="1457"/>
      <c r="Q81" s="1457"/>
      <c r="R81" s="1457"/>
      <c r="S81" s="1457"/>
      <c r="T81" s="1457"/>
      <c r="U81" s="1457"/>
      <c r="V81" s="1457"/>
      <c r="W81" s="1457"/>
      <c r="X81" s="1457"/>
      <c r="Y81" s="1457"/>
      <c r="Z81" s="1457"/>
      <c r="AA81" s="1457"/>
      <c r="AB81" s="1457"/>
      <c r="AC81" s="1457"/>
      <c r="AD81" s="1457"/>
      <c r="AE81" s="1457"/>
      <c r="AF81" s="1457"/>
      <c r="AG81" s="1457"/>
      <c r="AH81" s="1457"/>
      <c r="AI81" s="1457"/>
      <c r="AJ81" s="1457"/>
      <c r="AK81" s="1457"/>
      <c r="AL81" s="1457"/>
      <c r="AM81" s="1457"/>
      <c r="AN81" s="1457"/>
      <c r="AO81" s="1457"/>
      <c r="AP81" s="1457"/>
      <c r="AQ81" s="1457"/>
      <c r="AR81" s="1457"/>
      <c r="AS81" s="1457"/>
      <c r="AT81" s="1457"/>
      <c r="AU81" s="1457"/>
      <c r="AV81" s="1457"/>
      <c r="AW81" s="1457"/>
      <c r="AX81" s="1457"/>
      <c r="AY81" s="1457"/>
      <c r="AZ81" s="1457"/>
      <c r="BA81" s="1457"/>
      <c r="BB81" s="1457"/>
      <c r="BC81" s="1457"/>
      <c r="BD81" s="1457"/>
      <c r="BF81" s="141"/>
    </row>
    <row r="82" spans="1:70" x14ac:dyDescent="0.25">
      <c r="B82" s="140"/>
      <c r="D82" s="1458" t="s">
        <v>244</v>
      </c>
      <c r="E82" s="1458"/>
      <c r="F82" s="1457" t="s">
        <v>711</v>
      </c>
      <c r="G82" s="1457"/>
      <c r="H82" s="1457"/>
      <c r="I82" s="1457"/>
      <c r="J82" s="1457"/>
      <c r="K82" s="1457"/>
      <c r="L82" s="1457"/>
      <c r="M82" s="1457"/>
      <c r="N82" s="1457"/>
      <c r="O82" s="1457"/>
      <c r="P82" s="1457"/>
      <c r="Q82" s="1457"/>
      <c r="R82" s="1457"/>
      <c r="S82" s="1457"/>
      <c r="T82" s="1457"/>
      <c r="U82" s="1457"/>
      <c r="V82" s="1457"/>
      <c r="W82" s="1457"/>
      <c r="X82" s="1457"/>
      <c r="Y82" s="1457"/>
      <c r="Z82" s="1457"/>
      <c r="AA82" s="1457"/>
      <c r="AB82" s="1457"/>
      <c r="AC82" s="1457"/>
      <c r="AD82" s="1457"/>
      <c r="AE82" s="1457"/>
      <c r="AF82" s="1457"/>
      <c r="AG82" s="1457"/>
      <c r="AH82" s="1457"/>
      <c r="AI82" s="1457"/>
      <c r="AJ82" s="1457"/>
      <c r="AK82" s="1457"/>
      <c r="AL82" s="1457"/>
      <c r="AM82" s="1457"/>
      <c r="AN82" s="1457"/>
      <c r="AO82" s="1457"/>
      <c r="AP82" s="1457"/>
      <c r="AQ82" s="1457"/>
      <c r="AR82" s="1457"/>
      <c r="AS82" s="1457"/>
      <c r="AT82" s="1457"/>
      <c r="AU82" s="1457"/>
      <c r="AV82" s="1457"/>
      <c r="AW82" s="1457"/>
      <c r="AX82" s="1457"/>
      <c r="AY82" s="1457"/>
      <c r="AZ82" s="1457"/>
      <c r="BA82" s="1457"/>
      <c r="BB82" s="1457"/>
      <c r="BC82" s="1457"/>
      <c r="BD82" s="1457"/>
      <c r="BF82" s="141"/>
    </row>
    <row r="83" spans="1:70" x14ac:dyDescent="0.25">
      <c r="B83" s="140"/>
      <c r="D83" s="1459"/>
      <c r="E83" s="1459"/>
      <c r="F83" s="1457" t="s">
        <v>710</v>
      </c>
      <c r="G83" s="1457"/>
      <c r="H83" s="1457"/>
      <c r="I83" s="1457"/>
      <c r="J83" s="1457"/>
      <c r="K83" s="1457"/>
      <c r="L83" s="1457"/>
      <c r="M83" s="1457"/>
      <c r="N83" s="1457"/>
      <c r="O83" s="1457"/>
      <c r="P83" s="1457"/>
      <c r="Q83" s="1457"/>
      <c r="R83" s="1457"/>
      <c r="S83" s="1457"/>
      <c r="T83" s="1457"/>
      <c r="U83" s="1457"/>
      <c r="V83" s="1457"/>
      <c r="W83" s="1457"/>
      <c r="X83" s="1457"/>
      <c r="Y83" s="1457"/>
      <c r="Z83" s="1457"/>
      <c r="AA83" s="1457"/>
      <c r="AB83" s="1457"/>
      <c r="AC83" s="1457"/>
      <c r="AD83" s="1457"/>
      <c r="AE83" s="1457"/>
      <c r="AF83" s="1457"/>
      <c r="AG83" s="1457"/>
      <c r="AH83" s="1457"/>
      <c r="AI83" s="1457"/>
      <c r="AJ83" s="1457"/>
      <c r="AK83" s="1457"/>
      <c r="AL83" s="1457"/>
      <c r="AM83" s="1457"/>
      <c r="AN83" s="1457"/>
      <c r="AO83" s="1457"/>
      <c r="AP83" s="1457"/>
      <c r="AQ83" s="1457"/>
      <c r="AR83" s="1457"/>
      <c r="AS83" s="1457"/>
      <c r="AT83" s="1457"/>
      <c r="AU83" s="1457"/>
      <c r="AV83" s="1457"/>
      <c r="AW83" s="1457"/>
      <c r="AX83" s="1457"/>
      <c r="AY83" s="1457"/>
      <c r="AZ83" s="1457"/>
      <c r="BA83" s="1457"/>
      <c r="BB83" s="1457"/>
      <c r="BC83" s="1457"/>
      <c r="BD83" s="1457"/>
      <c r="BF83" s="141"/>
    </row>
    <row r="84" spans="1:70" x14ac:dyDescent="0.25">
      <c r="A84" s="304"/>
      <c r="B84" s="140"/>
      <c r="D84" s="1459"/>
      <c r="E84" s="1459"/>
      <c r="F84" s="1457" t="s">
        <v>709</v>
      </c>
      <c r="G84" s="1457"/>
      <c r="H84" s="1457"/>
      <c r="I84" s="1457"/>
      <c r="J84" s="1457"/>
      <c r="K84" s="1457"/>
      <c r="L84" s="1457"/>
      <c r="M84" s="1457"/>
      <c r="N84" s="1457"/>
      <c r="O84" s="1457"/>
      <c r="P84" s="1457"/>
      <c r="Q84" s="1457"/>
      <c r="R84" s="1457"/>
      <c r="S84" s="1457"/>
      <c r="T84" s="1457"/>
      <c r="U84" s="1457"/>
      <c r="V84" s="1457"/>
      <c r="W84" s="1457"/>
      <c r="X84" s="1457"/>
      <c r="Y84" s="1457"/>
      <c r="Z84" s="1457"/>
      <c r="AA84" s="1457"/>
      <c r="AB84" s="1457"/>
      <c r="AC84" s="1457"/>
      <c r="AD84" s="1457"/>
      <c r="AE84" s="1457"/>
      <c r="AF84" s="1457"/>
      <c r="AG84" s="1457"/>
      <c r="AH84" s="1457"/>
      <c r="AI84" s="1457"/>
      <c r="AJ84" s="1457"/>
      <c r="AK84" s="1457"/>
      <c r="AL84" s="1457"/>
      <c r="AM84" s="1457"/>
      <c r="AN84" s="1457"/>
      <c r="AO84" s="1457"/>
      <c r="AP84" s="1457"/>
      <c r="AQ84" s="1457"/>
      <c r="AR84" s="1457"/>
      <c r="AS84" s="1457"/>
      <c r="AT84" s="1457"/>
      <c r="AU84" s="1457"/>
      <c r="AV84" s="1457"/>
      <c r="AW84" s="1457"/>
      <c r="AX84" s="1457"/>
      <c r="AY84" s="1457"/>
      <c r="AZ84" s="1457"/>
      <c r="BA84" s="1457"/>
      <c r="BB84" s="1457"/>
      <c r="BC84" s="1457"/>
      <c r="BD84" s="1457"/>
      <c r="BF84" s="141"/>
    </row>
    <row r="85" spans="1:70" x14ac:dyDescent="0.25">
      <c r="B85" s="140"/>
      <c r="BF85" s="141"/>
    </row>
    <row r="86" spans="1:70" x14ac:dyDescent="0.25">
      <c r="B86" s="140"/>
      <c r="D86" s="1457" t="s">
        <v>708</v>
      </c>
      <c r="E86" s="1457"/>
      <c r="F86" s="1457"/>
      <c r="G86" s="1457"/>
      <c r="H86" s="1457"/>
      <c r="I86" s="1457"/>
      <c r="J86" s="1457"/>
      <c r="K86" s="1457"/>
      <c r="L86" s="1457"/>
      <c r="M86" s="1457"/>
      <c r="N86" s="1457"/>
      <c r="O86" s="1457"/>
      <c r="P86" s="1457"/>
      <c r="Q86" s="1457"/>
      <c r="R86" s="1457"/>
      <c r="S86" s="1457"/>
      <c r="T86" s="1457"/>
      <c r="U86" s="1457"/>
      <c r="V86" s="1457"/>
      <c r="W86" s="1457"/>
      <c r="X86" s="1457"/>
      <c r="Y86" s="1457"/>
      <c r="Z86" s="1457"/>
      <c r="AA86" s="1457"/>
      <c r="AB86" s="1457"/>
      <c r="AC86" s="1457"/>
      <c r="AD86" s="1457"/>
      <c r="AE86" s="1457"/>
      <c r="AF86" s="1457"/>
      <c r="AG86" s="1457"/>
      <c r="AH86" s="1457"/>
      <c r="AI86" s="1457"/>
      <c r="AJ86" s="1457"/>
      <c r="AK86" s="1457"/>
      <c r="AL86" s="1457"/>
      <c r="AM86" s="1457"/>
      <c r="AN86" s="1457"/>
      <c r="AO86" s="1457"/>
      <c r="AP86" s="1457"/>
      <c r="AQ86" s="1457"/>
      <c r="AR86" s="1457"/>
      <c r="AS86" s="1457"/>
      <c r="AT86" s="1457"/>
      <c r="AU86" s="1457"/>
      <c r="AV86" s="1457"/>
      <c r="AW86" s="1457"/>
      <c r="AX86" s="1457"/>
      <c r="AY86" s="1457"/>
      <c r="AZ86" s="1457"/>
      <c r="BA86" s="1457"/>
      <c r="BB86" s="1457"/>
      <c r="BC86" s="1457"/>
      <c r="BD86" s="1457"/>
      <c r="BF86" s="141"/>
    </row>
    <row r="87" spans="1:70" x14ac:dyDescent="0.25">
      <c r="B87" s="140"/>
      <c r="D87" s="1458" t="s">
        <v>244</v>
      </c>
      <c r="E87" s="1458"/>
      <c r="F87" s="1457" t="s">
        <v>707</v>
      </c>
      <c r="G87" s="1457"/>
      <c r="H87" s="1457"/>
      <c r="I87" s="1457"/>
      <c r="J87" s="1457"/>
      <c r="K87" s="1457"/>
      <c r="L87" s="1457"/>
      <c r="M87" s="1457"/>
      <c r="N87" s="1457"/>
      <c r="O87" s="1457"/>
      <c r="P87" s="1457"/>
      <c r="Q87" s="1457"/>
      <c r="R87" s="1457"/>
      <c r="S87" s="1457"/>
      <c r="T87" s="1457"/>
      <c r="U87" s="1457"/>
      <c r="V87" s="1457"/>
      <c r="W87" s="1457"/>
      <c r="X87" s="1457"/>
      <c r="Y87" s="1457"/>
      <c r="Z87" s="1457"/>
      <c r="AA87" s="1457"/>
      <c r="AB87" s="1457"/>
      <c r="AC87" s="1457"/>
      <c r="AD87" s="1457"/>
      <c r="AE87" s="1457"/>
      <c r="AF87" s="1457"/>
      <c r="AG87" s="1457"/>
      <c r="AH87" s="1457"/>
      <c r="AI87" s="1457"/>
      <c r="AJ87" s="1457"/>
      <c r="AK87" s="1457"/>
      <c r="AL87" s="1457"/>
      <c r="AM87" s="1457"/>
      <c r="AN87" s="1457"/>
      <c r="AO87" s="1457"/>
      <c r="AP87" s="1457"/>
      <c r="AQ87" s="1457"/>
      <c r="AR87" s="1457"/>
      <c r="AS87" s="1457"/>
      <c r="AT87" s="1457"/>
      <c r="AU87" s="1457"/>
      <c r="AV87" s="1457"/>
      <c r="AW87" s="1457"/>
      <c r="AX87" s="1457"/>
      <c r="AY87" s="1457"/>
      <c r="AZ87" s="1457"/>
      <c r="BA87" s="1457"/>
      <c r="BB87" s="1457"/>
      <c r="BC87" s="1457"/>
      <c r="BD87" s="1457"/>
      <c r="BF87" s="141"/>
    </row>
    <row r="88" spans="1:70" x14ac:dyDescent="0.25">
      <c r="B88" s="140"/>
      <c r="D88" s="1459"/>
      <c r="E88" s="1459"/>
      <c r="F88" s="1457" t="s">
        <v>706</v>
      </c>
      <c r="G88" s="1457"/>
      <c r="H88" s="1457"/>
      <c r="I88" s="1457"/>
      <c r="J88" s="1457"/>
      <c r="K88" s="1457"/>
      <c r="L88" s="1457"/>
      <c r="M88" s="1457"/>
      <c r="N88" s="1457"/>
      <c r="O88" s="1457"/>
      <c r="P88" s="1457"/>
      <c r="Q88" s="1457"/>
      <c r="R88" s="1457"/>
      <c r="S88" s="1457"/>
      <c r="T88" s="1457"/>
      <c r="U88" s="1457"/>
      <c r="V88" s="1457"/>
      <c r="W88" s="1457"/>
      <c r="X88" s="1457"/>
      <c r="Y88" s="1457"/>
      <c r="Z88" s="1457"/>
      <c r="AA88" s="1457"/>
      <c r="AB88" s="1457"/>
      <c r="AC88" s="1457"/>
      <c r="AD88" s="1457"/>
      <c r="AE88" s="1457"/>
      <c r="AF88" s="1457"/>
      <c r="AG88" s="1457"/>
      <c r="AH88" s="1457"/>
      <c r="AI88" s="1457"/>
      <c r="AJ88" s="1457"/>
      <c r="AK88" s="1457"/>
      <c r="AL88" s="1457"/>
      <c r="AM88" s="1457"/>
      <c r="AN88" s="1457"/>
      <c r="AO88" s="1457"/>
      <c r="AP88" s="1457"/>
      <c r="AQ88" s="1457"/>
      <c r="AR88" s="1457"/>
      <c r="AS88" s="1457"/>
      <c r="AT88" s="1457"/>
      <c r="AU88" s="1457"/>
      <c r="AV88" s="1457"/>
      <c r="AW88" s="1457"/>
      <c r="AX88" s="1457"/>
      <c r="AY88" s="1457"/>
      <c r="AZ88" s="1457"/>
      <c r="BA88" s="1457"/>
      <c r="BB88" s="1457"/>
      <c r="BC88" s="1457"/>
      <c r="BD88" s="1457"/>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73" t="s">
        <v>1033</v>
      </c>
      <c r="C92" s="1474"/>
      <c r="D92" s="1474"/>
      <c r="E92" s="1474"/>
      <c r="F92" s="1474"/>
      <c r="G92" s="1474"/>
      <c r="H92" s="1474"/>
      <c r="I92" s="1474"/>
      <c r="J92" s="1474"/>
      <c r="K92" s="1474"/>
      <c r="L92" s="1474"/>
      <c r="M92" s="1474"/>
      <c r="N92" s="1474"/>
      <c r="O92" s="1474"/>
      <c r="P92" s="1474"/>
      <c r="Q92" s="1474"/>
      <c r="R92" s="1474"/>
      <c r="S92" s="1474"/>
      <c r="T92" s="1474"/>
      <c r="U92" s="1474"/>
      <c r="V92" s="1474"/>
      <c r="W92" s="1474"/>
      <c r="X92" s="1474"/>
      <c r="Y92" s="1474"/>
      <c r="Z92" s="1474"/>
      <c r="AA92" s="1474"/>
      <c r="AB92" s="1474"/>
      <c r="AC92" s="1474"/>
      <c r="AD92" s="1474"/>
      <c r="AE92" s="1474"/>
      <c r="AF92" s="1474"/>
      <c r="AG92" s="1474"/>
      <c r="AH92" s="1474"/>
      <c r="AI92" s="1474"/>
      <c r="AJ92" s="1474"/>
      <c r="AK92" s="1474"/>
      <c r="AL92" s="1474"/>
      <c r="AM92" s="1474"/>
      <c r="AN92" s="1474"/>
      <c r="AO92" s="1474"/>
      <c r="AP92" s="1474"/>
      <c r="AQ92" s="1474"/>
      <c r="AR92" s="1474"/>
      <c r="AS92" s="1474"/>
      <c r="AT92" s="1474"/>
      <c r="AU92" s="1474"/>
      <c r="AV92" s="1474"/>
      <c r="AW92" s="1474"/>
      <c r="AX92" s="1474"/>
      <c r="AY92" s="1474"/>
      <c r="AZ92" s="1474"/>
      <c r="BA92" s="1474"/>
      <c r="BB92" s="1474"/>
      <c r="BC92" s="1474"/>
      <c r="BD92" s="1474"/>
      <c r="BE92" s="1474"/>
      <c r="BF92" s="1475"/>
    </row>
    <row r="93" spans="1:70" ht="15.75" thickBot="1" x14ac:dyDescent="0.3">
      <c r="B93" s="140"/>
      <c r="BF93" s="141"/>
      <c r="BR93" s="297"/>
    </row>
    <row r="94" spans="1:70" ht="15.75" thickBot="1" x14ac:dyDescent="0.3">
      <c r="B94" s="140"/>
      <c r="D94" s="1487" t="s">
        <v>754</v>
      </c>
      <c r="E94" s="1488"/>
      <c r="F94" s="1488"/>
      <c r="G94" s="1488"/>
      <c r="H94" s="1488"/>
      <c r="I94" s="1488"/>
      <c r="J94" s="1488"/>
      <c r="K94" s="1494" t="s">
        <v>755</v>
      </c>
      <c r="L94" s="1488"/>
      <c r="M94" s="1488"/>
      <c r="N94" s="1488"/>
      <c r="O94" s="1488"/>
      <c r="P94" s="1488"/>
      <c r="Q94" s="1488"/>
      <c r="R94" s="1488"/>
      <c r="S94" s="1488"/>
      <c r="T94" s="1488"/>
      <c r="U94" s="1494" t="s">
        <v>815</v>
      </c>
      <c r="V94" s="1488"/>
      <c r="W94" s="1488"/>
      <c r="X94" s="1488"/>
      <c r="Y94" s="1488"/>
      <c r="Z94" s="1488"/>
      <c r="AA94" s="1488"/>
      <c r="AB94" s="1488"/>
      <c r="AC94" s="1488"/>
      <c r="AD94" s="1488"/>
      <c r="AE94" s="1488"/>
      <c r="AF94" s="1488"/>
      <c r="AG94" s="1488"/>
      <c r="AH94" s="1488"/>
      <c r="AI94" s="1488"/>
      <c r="AJ94" s="1494" t="s">
        <v>820</v>
      </c>
      <c r="AK94" s="1488"/>
      <c r="AL94" s="1488"/>
      <c r="AM94" s="1488"/>
      <c r="AN94" s="1488"/>
      <c r="AO94" s="1488"/>
      <c r="AP94" s="1488"/>
      <c r="AQ94" s="1488"/>
      <c r="AR94" s="1488"/>
      <c r="AS94" s="1488"/>
      <c r="AT94" s="1506"/>
      <c r="AU94" s="1494" t="s">
        <v>821</v>
      </c>
      <c r="AV94" s="1488"/>
      <c r="AW94" s="1488"/>
      <c r="AX94" s="1506"/>
      <c r="AY94" s="1494" t="s">
        <v>865</v>
      </c>
      <c r="AZ94" s="1488"/>
      <c r="BA94" s="1488"/>
      <c r="BB94" s="1488"/>
      <c r="BC94" s="1516"/>
      <c r="BF94" s="141"/>
    </row>
    <row r="95" spans="1:70" x14ac:dyDescent="0.25">
      <c r="B95" s="140"/>
      <c r="C95" s="672">
        <v>1</v>
      </c>
      <c r="D95" s="1486">
        <f>'Customer Inputs'!$B$6</f>
        <v>0</v>
      </c>
      <c r="E95" s="1486"/>
      <c r="F95" s="1486"/>
      <c r="G95" s="1486"/>
      <c r="H95" s="1486"/>
      <c r="I95" s="1486"/>
      <c r="J95" s="1486"/>
      <c r="K95" s="1442" t="str">
        <f>IFERROR(IFERROR('Multi-Customer'!$BB$39,VLOOKUP($D95,'Required Info to Submit'!$E$23:$J$32,2,FALSE)),"")</f>
        <v/>
      </c>
      <c r="L95" s="1442"/>
      <c r="M95" s="1442"/>
      <c r="N95" s="1442"/>
      <c r="O95" s="1442"/>
      <c r="P95" s="1442"/>
      <c r="Q95" s="1442"/>
      <c r="R95" s="1442"/>
      <c r="S95" s="1442"/>
      <c r="T95" s="1442"/>
      <c r="U95" s="1442" t="str">
        <f>IFERROR(IFERROR('Multi-Customer'!$BB$41&amp;" "&amp;'Multi-Customer'!$BB$42,VLOOKUP($D95,'Required Info to Submit'!$E$23:$J$32,3,FALSE)),"")</f>
        <v/>
      </c>
      <c r="V95" s="1442"/>
      <c r="W95" s="1442"/>
      <c r="X95" s="1442"/>
      <c r="Y95" s="1442"/>
      <c r="Z95" s="1442"/>
      <c r="AA95" s="1442"/>
      <c r="AB95" s="1442"/>
      <c r="AC95" s="1442"/>
      <c r="AD95" s="1442"/>
      <c r="AE95" s="1442"/>
      <c r="AF95" s="1442"/>
      <c r="AG95" s="1442"/>
      <c r="AH95" s="1442"/>
      <c r="AI95" s="1442"/>
      <c r="AJ95" s="1503" t="str">
        <f>IFERROR(IFERROR('Multi-Customer'!$BB$43,VLOOKUP($D95,'Required Info to Submit'!$E$23:$J$32,4,FALSE)),"")</f>
        <v/>
      </c>
      <c r="AK95" s="1504"/>
      <c r="AL95" s="1504"/>
      <c r="AM95" s="1504"/>
      <c r="AN95" s="1504"/>
      <c r="AO95" s="1504"/>
      <c r="AP95" s="1504"/>
      <c r="AQ95" s="1504"/>
      <c r="AR95" s="1504"/>
      <c r="AS95" s="1504"/>
      <c r="AT95" s="1505"/>
      <c r="AU95" s="1507" t="str">
        <f>IFERROR(IFERROR('Multi-Customer'!$BB$44,VLOOKUP($D95,'Required Info to Submit'!$E$23:$J$32,5,FALSE)),"")</f>
        <v/>
      </c>
      <c r="AV95" s="1508"/>
      <c r="AW95" s="1508"/>
      <c r="AX95" s="1509"/>
      <c r="AY95" s="1513" t="str">
        <f>IFERROR(IFERROR('Multi-Customer'!$BB$45,VLOOKUP($D95,'Required Info to Submit'!$E$23:$J$32,6,FALSE)),"")</f>
        <v/>
      </c>
      <c r="AZ95" s="1514"/>
      <c r="BA95" s="1514"/>
      <c r="BB95" s="1514"/>
      <c r="BC95" s="1515"/>
      <c r="BF95" s="141"/>
    </row>
    <row r="96" spans="1:70" x14ac:dyDescent="0.25">
      <c r="B96" s="140"/>
      <c r="C96" s="673">
        <v>2</v>
      </c>
      <c r="D96" s="1485">
        <f>'Customer Inputs'!$B$7</f>
        <v>0</v>
      </c>
      <c r="E96" s="1485"/>
      <c r="F96" s="1485"/>
      <c r="G96" s="1485"/>
      <c r="H96" s="1485"/>
      <c r="I96" s="1485"/>
      <c r="J96" s="1485"/>
      <c r="K96" s="1429" t="str">
        <f>IFERROR(IFERROR('Multi-Customer'!$BY$39,VLOOKUP($D96,'Required Info to Submit'!$E$23:$J$32,2,FALSE)),"")</f>
        <v/>
      </c>
      <c r="L96" s="1429"/>
      <c r="M96" s="1429"/>
      <c r="N96" s="1429"/>
      <c r="O96" s="1429"/>
      <c r="P96" s="1429"/>
      <c r="Q96" s="1429"/>
      <c r="R96" s="1429"/>
      <c r="S96" s="1429"/>
      <c r="T96" s="1429"/>
      <c r="U96" s="1429" t="str">
        <f>IFERROR(IFERROR('Multi-Customer'!$BY$41&amp;" "&amp;'Multi-Customer'!$BY$42,VLOOKUP($D96,'Required Info to Submit'!$E$23:$J$32,3,FALSE)),"")</f>
        <v/>
      </c>
      <c r="V96" s="1429"/>
      <c r="W96" s="1429"/>
      <c r="X96" s="1429"/>
      <c r="Y96" s="1429"/>
      <c r="Z96" s="1429"/>
      <c r="AA96" s="1429"/>
      <c r="AB96" s="1429"/>
      <c r="AC96" s="1429"/>
      <c r="AD96" s="1429"/>
      <c r="AE96" s="1429"/>
      <c r="AF96" s="1429"/>
      <c r="AG96" s="1429"/>
      <c r="AH96" s="1429"/>
      <c r="AI96" s="1429"/>
      <c r="AJ96" s="1500" t="str">
        <f>IFERROR(IFERROR('Multi-Customer'!$BY$43,VLOOKUP($D96,'Required Info to Submit'!$E$23:$J$32,4,FALSE)),"")</f>
        <v/>
      </c>
      <c r="AK96" s="1501"/>
      <c r="AL96" s="1501"/>
      <c r="AM96" s="1501"/>
      <c r="AN96" s="1501"/>
      <c r="AO96" s="1501"/>
      <c r="AP96" s="1501"/>
      <c r="AQ96" s="1501"/>
      <c r="AR96" s="1501"/>
      <c r="AS96" s="1501"/>
      <c r="AT96" s="1502"/>
      <c r="AU96" s="1353" t="str">
        <f>IFERROR(IFERROR('Multi-Customer'!$BY$44,VLOOKUP($D96,'Required Info to Submit'!$E$23:$J$32,5,FALSE)),"")</f>
        <v/>
      </c>
      <c r="AV96" s="1354"/>
      <c r="AW96" s="1354"/>
      <c r="AX96" s="1355"/>
      <c r="AY96" s="1420" t="str">
        <f>IFERROR(IFERROR('Multi-Customer'!$BY$45,VLOOKUP($D96,'Required Info to Submit'!$E$23:$J$32,6,FALSE)),"")</f>
        <v/>
      </c>
      <c r="AZ96" s="1421"/>
      <c r="BA96" s="1421"/>
      <c r="BB96" s="1421"/>
      <c r="BC96" s="1422"/>
      <c r="BF96" s="141"/>
    </row>
    <row r="97" spans="2:58" x14ac:dyDescent="0.25">
      <c r="B97" s="140"/>
      <c r="C97" s="673">
        <v>3</v>
      </c>
      <c r="D97" s="1485">
        <f>'Customer Inputs'!$B$8</f>
        <v>0</v>
      </c>
      <c r="E97" s="1485"/>
      <c r="F97" s="1485"/>
      <c r="G97" s="1485"/>
      <c r="H97" s="1485"/>
      <c r="I97" s="1485"/>
      <c r="J97" s="1485"/>
      <c r="K97" s="1429" t="str">
        <f>IFERROR(IFERROR('Multi-Customer'!$CV$39,VLOOKUP($D97,'Required Info to Submit'!$E$23:$J$32,2,FALSE)),"")</f>
        <v/>
      </c>
      <c r="L97" s="1429"/>
      <c r="M97" s="1429"/>
      <c r="N97" s="1429"/>
      <c r="O97" s="1429"/>
      <c r="P97" s="1429"/>
      <c r="Q97" s="1429"/>
      <c r="R97" s="1429"/>
      <c r="S97" s="1429"/>
      <c r="T97" s="1429"/>
      <c r="U97" s="1429" t="str">
        <f>IFERROR(IFERROR('Multi-Customer'!$CV$41&amp;" "&amp;'Multi-Customer'!$CV$42,VLOOKUP($D97,'Required Info to Submit'!$E$23:$J$32,3,FALSE)),"")</f>
        <v/>
      </c>
      <c r="V97" s="1429"/>
      <c r="W97" s="1429"/>
      <c r="X97" s="1429"/>
      <c r="Y97" s="1429"/>
      <c r="Z97" s="1429"/>
      <c r="AA97" s="1429"/>
      <c r="AB97" s="1429"/>
      <c r="AC97" s="1429"/>
      <c r="AD97" s="1429"/>
      <c r="AE97" s="1429"/>
      <c r="AF97" s="1429"/>
      <c r="AG97" s="1429"/>
      <c r="AH97" s="1429"/>
      <c r="AI97" s="1429"/>
      <c r="AJ97" s="1500" t="str">
        <f>IFERROR(IFERROR('Multi-Customer'!$CV$43,VLOOKUP($D97,'Required Info to Submit'!$E$23:$J$32,4,FALSE)),"")</f>
        <v/>
      </c>
      <c r="AK97" s="1501"/>
      <c r="AL97" s="1501"/>
      <c r="AM97" s="1501"/>
      <c r="AN97" s="1501"/>
      <c r="AO97" s="1501"/>
      <c r="AP97" s="1501"/>
      <c r="AQ97" s="1501"/>
      <c r="AR97" s="1501"/>
      <c r="AS97" s="1501"/>
      <c r="AT97" s="1502"/>
      <c r="AU97" s="1353" t="str">
        <f>IFERROR(IFERROR('Multi-Customer'!$CV$44,VLOOKUP($D97,'Required Info to Submit'!$E$23:$J$32,5,FALSE)),"")</f>
        <v/>
      </c>
      <c r="AV97" s="1354"/>
      <c r="AW97" s="1354"/>
      <c r="AX97" s="1355"/>
      <c r="AY97" s="1420" t="str">
        <f>IFERROR(IFERROR('Multi-Customer'!$CV$45,VLOOKUP($D97,'Required Info to Submit'!$E$23:$J$32,6,FALSE)),"")</f>
        <v/>
      </c>
      <c r="AZ97" s="1421"/>
      <c r="BA97" s="1421"/>
      <c r="BB97" s="1421"/>
      <c r="BC97" s="1422"/>
      <c r="BF97" s="141"/>
    </row>
    <row r="98" spans="2:58" x14ac:dyDescent="0.25">
      <c r="B98" s="140"/>
      <c r="C98" s="673">
        <v>4</v>
      </c>
      <c r="D98" s="1485">
        <f>'Customer Inputs'!$B$9</f>
        <v>0</v>
      </c>
      <c r="E98" s="1485"/>
      <c r="F98" s="1485"/>
      <c r="G98" s="1485"/>
      <c r="H98" s="1485"/>
      <c r="I98" s="1485"/>
      <c r="J98" s="1485"/>
      <c r="K98" s="1429" t="str">
        <f>IFERROR(IFERROR('Multi-Customer'!$DS$39,VLOOKUP($D98,'Required Info to Submit'!$E$23:$J$32,2,FALSE)),"")</f>
        <v/>
      </c>
      <c r="L98" s="1429"/>
      <c r="M98" s="1429"/>
      <c r="N98" s="1429"/>
      <c r="O98" s="1429"/>
      <c r="P98" s="1429"/>
      <c r="Q98" s="1429"/>
      <c r="R98" s="1429"/>
      <c r="S98" s="1429"/>
      <c r="T98" s="1429"/>
      <c r="U98" s="1429" t="str">
        <f>IFERROR(IFERROR('Multi-Customer'!$DS$41&amp;" "&amp;'Multi-Customer'!$DS$42,VLOOKUP($D98,'Required Info to Submit'!$E$23:$J$32,3,FALSE)),"")</f>
        <v/>
      </c>
      <c r="V98" s="1429"/>
      <c r="W98" s="1429"/>
      <c r="X98" s="1429"/>
      <c r="Y98" s="1429"/>
      <c r="Z98" s="1429"/>
      <c r="AA98" s="1429"/>
      <c r="AB98" s="1429"/>
      <c r="AC98" s="1429"/>
      <c r="AD98" s="1429"/>
      <c r="AE98" s="1429"/>
      <c r="AF98" s="1429"/>
      <c r="AG98" s="1429"/>
      <c r="AH98" s="1429"/>
      <c r="AI98" s="1429"/>
      <c r="AJ98" s="1500" t="str">
        <f>IFERROR(IFERROR('Multi-Customer'!$DS$43,VLOOKUP($D98,'Required Info to Submit'!$E$23:$J$32,4,FALSE)),"")</f>
        <v/>
      </c>
      <c r="AK98" s="1501"/>
      <c r="AL98" s="1501"/>
      <c r="AM98" s="1501"/>
      <c r="AN98" s="1501"/>
      <c r="AO98" s="1501"/>
      <c r="AP98" s="1501"/>
      <c r="AQ98" s="1501"/>
      <c r="AR98" s="1501"/>
      <c r="AS98" s="1501"/>
      <c r="AT98" s="1502"/>
      <c r="AU98" s="1353" t="str">
        <f>IFERROR(IFERROR('Multi-Customer'!$DS$44,VLOOKUP($D98,'Required Info to Submit'!$E$23:$J$32,5,FALSE)),"")</f>
        <v/>
      </c>
      <c r="AV98" s="1354"/>
      <c r="AW98" s="1354"/>
      <c r="AX98" s="1355"/>
      <c r="AY98" s="1420" t="str">
        <f>IFERROR(IFERROR('Multi-Customer'!$DS$45,VLOOKUP($D98,'Required Info to Submit'!$E$23:$J$32,6,FALSE)),"")</f>
        <v/>
      </c>
      <c r="AZ98" s="1421"/>
      <c r="BA98" s="1421"/>
      <c r="BB98" s="1421"/>
      <c r="BC98" s="1422"/>
      <c r="BF98" s="141"/>
    </row>
    <row r="99" spans="2:58" x14ac:dyDescent="0.25">
      <c r="B99" s="140"/>
      <c r="C99" s="673">
        <v>5</v>
      </c>
      <c r="D99" s="1485">
        <f>'Customer Inputs'!$B$10</f>
        <v>0</v>
      </c>
      <c r="E99" s="1485"/>
      <c r="F99" s="1485"/>
      <c r="G99" s="1485"/>
      <c r="H99" s="1485"/>
      <c r="I99" s="1485"/>
      <c r="J99" s="1485"/>
      <c r="K99" s="1429" t="str">
        <f>IFERROR(IFERROR('Multi-Customer'!$EP$39,VLOOKUP($D99,'Required Info to Submit'!$E$23:$J$32,2,FALSE)),"")</f>
        <v/>
      </c>
      <c r="L99" s="1429"/>
      <c r="M99" s="1429"/>
      <c r="N99" s="1429"/>
      <c r="O99" s="1429"/>
      <c r="P99" s="1429"/>
      <c r="Q99" s="1429"/>
      <c r="R99" s="1429"/>
      <c r="S99" s="1429"/>
      <c r="T99" s="1429"/>
      <c r="U99" s="1429" t="str">
        <f>IFERROR(IFERROR('Multi-Customer'!$EP$41&amp;" "&amp;'Multi-Customer'!$EP$42,VLOOKUP($D99,'Required Info to Submit'!$E$23:$J$32,3,FALSE)),"")</f>
        <v/>
      </c>
      <c r="V99" s="1429"/>
      <c r="W99" s="1429"/>
      <c r="X99" s="1429"/>
      <c r="Y99" s="1429"/>
      <c r="Z99" s="1429"/>
      <c r="AA99" s="1429"/>
      <c r="AB99" s="1429"/>
      <c r="AC99" s="1429"/>
      <c r="AD99" s="1429"/>
      <c r="AE99" s="1429"/>
      <c r="AF99" s="1429"/>
      <c r="AG99" s="1429"/>
      <c r="AH99" s="1429"/>
      <c r="AI99" s="1429"/>
      <c r="AJ99" s="1500" t="str">
        <f>IFERROR(IFERROR('Multi-Customer'!$EP$43,VLOOKUP($D99,'Required Info to Submit'!$E$23:$J$32,4,FALSE)),"")</f>
        <v/>
      </c>
      <c r="AK99" s="1501"/>
      <c r="AL99" s="1501"/>
      <c r="AM99" s="1501"/>
      <c r="AN99" s="1501"/>
      <c r="AO99" s="1501"/>
      <c r="AP99" s="1501"/>
      <c r="AQ99" s="1501"/>
      <c r="AR99" s="1501"/>
      <c r="AS99" s="1501"/>
      <c r="AT99" s="1502"/>
      <c r="AU99" s="1353" t="str">
        <f>IFERROR(IFERROR('Multi-Customer'!$EP$44,VLOOKUP($D99,'Required Info to Submit'!$E$23:$J$32,5,FALSE)),"")</f>
        <v/>
      </c>
      <c r="AV99" s="1354"/>
      <c r="AW99" s="1354"/>
      <c r="AX99" s="1355"/>
      <c r="AY99" s="1420" t="str">
        <f>IFERROR(IFERROR('Multi-Customer'!$EP$45,VLOOKUP($D99,'Required Info to Submit'!$E$23:$J$32,6,FALSE)),"")</f>
        <v/>
      </c>
      <c r="AZ99" s="1421"/>
      <c r="BA99" s="1421"/>
      <c r="BB99" s="1421"/>
      <c r="BC99" s="1422"/>
      <c r="BF99" s="141"/>
    </row>
    <row r="100" spans="2:58" x14ac:dyDescent="0.25">
      <c r="B100" s="140"/>
      <c r="C100" s="673">
        <v>6</v>
      </c>
      <c r="D100" s="1485">
        <f>'Customer Inputs'!$B$11</f>
        <v>0</v>
      </c>
      <c r="E100" s="1485"/>
      <c r="F100" s="1485"/>
      <c r="G100" s="1485"/>
      <c r="H100" s="1485"/>
      <c r="I100" s="1485"/>
      <c r="J100" s="1485"/>
      <c r="K100" s="1429" t="str">
        <f>IFERROR(IFERROR('Multi-Customer'!$FM$39,VLOOKUP($D100,'Required Info to Submit'!$E$23:$J$32,2,FALSE)),"")</f>
        <v/>
      </c>
      <c r="L100" s="1429"/>
      <c r="M100" s="1429"/>
      <c r="N100" s="1429"/>
      <c r="O100" s="1429"/>
      <c r="P100" s="1429"/>
      <c r="Q100" s="1429"/>
      <c r="R100" s="1429"/>
      <c r="S100" s="1429"/>
      <c r="T100" s="1429"/>
      <c r="U100" s="1429" t="str">
        <f>IFERROR(IFERROR('Multi-Customer'!$FM$41&amp;" "&amp;'Multi-Customer'!$FM$42,VLOOKUP($D100,'Required Info to Submit'!$E$23:$J$32,3,FALSE)),"")</f>
        <v/>
      </c>
      <c r="V100" s="1429"/>
      <c r="W100" s="1429"/>
      <c r="X100" s="1429"/>
      <c r="Y100" s="1429"/>
      <c r="Z100" s="1429"/>
      <c r="AA100" s="1429"/>
      <c r="AB100" s="1429"/>
      <c r="AC100" s="1429"/>
      <c r="AD100" s="1429"/>
      <c r="AE100" s="1429"/>
      <c r="AF100" s="1429"/>
      <c r="AG100" s="1429"/>
      <c r="AH100" s="1429"/>
      <c r="AI100" s="1429"/>
      <c r="AJ100" s="1500" t="str">
        <f>IFERROR(IFERROR('Multi-Customer'!$FM$43,VLOOKUP($D100,'Required Info to Submit'!$E$23:$J$32,4,FALSE)),"")</f>
        <v/>
      </c>
      <c r="AK100" s="1501"/>
      <c r="AL100" s="1501"/>
      <c r="AM100" s="1501"/>
      <c r="AN100" s="1501"/>
      <c r="AO100" s="1501"/>
      <c r="AP100" s="1501"/>
      <c r="AQ100" s="1501"/>
      <c r="AR100" s="1501"/>
      <c r="AS100" s="1501"/>
      <c r="AT100" s="1502"/>
      <c r="AU100" s="1353" t="str">
        <f>IFERROR(IFERROR('Multi-Customer'!$FM$44,VLOOKUP($D100,'Required Info to Submit'!$E$23:$J$32,5,FALSE)),"")</f>
        <v/>
      </c>
      <c r="AV100" s="1354"/>
      <c r="AW100" s="1354"/>
      <c r="AX100" s="1355"/>
      <c r="AY100" s="1420" t="str">
        <f>IFERROR(IFERROR('Multi-Customer'!$FM$45,VLOOKUP($D100,'Required Info to Submit'!$E$23:$J$32,6,FALSE)),"")</f>
        <v/>
      </c>
      <c r="AZ100" s="1421"/>
      <c r="BA100" s="1421"/>
      <c r="BB100" s="1421"/>
      <c r="BC100" s="1422"/>
      <c r="BF100" s="141"/>
    </row>
    <row r="101" spans="2:58" x14ac:dyDescent="0.25">
      <c r="B101" s="140"/>
      <c r="C101" s="673">
        <v>7</v>
      </c>
      <c r="D101" s="1485">
        <f>'Customer Inputs'!$B$12</f>
        <v>0</v>
      </c>
      <c r="E101" s="1485"/>
      <c r="F101" s="1485"/>
      <c r="G101" s="1485"/>
      <c r="H101" s="1485"/>
      <c r="I101" s="1485"/>
      <c r="J101" s="1485"/>
      <c r="K101" s="1429" t="str">
        <f>IFERROR(IFERROR('Multi-Customer'!$GJ$39,VLOOKUP($D101,'Required Info to Submit'!$E$23:$J$32,2,FALSE)),"")</f>
        <v/>
      </c>
      <c r="L101" s="1429"/>
      <c r="M101" s="1429"/>
      <c r="N101" s="1429"/>
      <c r="O101" s="1429"/>
      <c r="P101" s="1429"/>
      <c r="Q101" s="1429"/>
      <c r="R101" s="1429"/>
      <c r="S101" s="1429"/>
      <c r="T101" s="1429"/>
      <c r="U101" s="1429" t="str">
        <f>IFERROR(IFERROR('Multi-Customer'!$GJ$41&amp;" "&amp;'Multi-Customer'!$GJ$42,VLOOKUP($D101,'Required Info to Submit'!$E$23:$J$32,3,FALSE)),"")</f>
        <v/>
      </c>
      <c r="V101" s="1429"/>
      <c r="W101" s="1429"/>
      <c r="X101" s="1429"/>
      <c r="Y101" s="1429"/>
      <c r="Z101" s="1429"/>
      <c r="AA101" s="1429"/>
      <c r="AB101" s="1429"/>
      <c r="AC101" s="1429"/>
      <c r="AD101" s="1429"/>
      <c r="AE101" s="1429"/>
      <c r="AF101" s="1429"/>
      <c r="AG101" s="1429"/>
      <c r="AH101" s="1429"/>
      <c r="AI101" s="1429"/>
      <c r="AJ101" s="1500" t="str">
        <f>IFERROR(IFERROR('Multi-Customer'!$GJ$43,VLOOKUP($D101,'Required Info to Submit'!$E$23:$J$32,4,FALSE)),"")</f>
        <v/>
      </c>
      <c r="AK101" s="1501"/>
      <c r="AL101" s="1501"/>
      <c r="AM101" s="1501"/>
      <c r="AN101" s="1501"/>
      <c r="AO101" s="1501"/>
      <c r="AP101" s="1501"/>
      <c r="AQ101" s="1501"/>
      <c r="AR101" s="1501"/>
      <c r="AS101" s="1501"/>
      <c r="AT101" s="1502"/>
      <c r="AU101" s="1353" t="str">
        <f>IFERROR(IFERROR('Multi-Customer'!$GJ$44,VLOOKUP($D101,'Required Info to Submit'!$E$23:$J$32,5,FALSE)),"")</f>
        <v/>
      </c>
      <c r="AV101" s="1354"/>
      <c r="AW101" s="1354"/>
      <c r="AX101" s="1355"/>
      <c r="AY101" s="1420" t="str">
        <f>IFERROR(IFERROR('Multi-Customer'!$GJ$45,VLOOKUP($D101,'Required Info to Submit'!$E$23:$J$32,6,FALSE)),"")</f>
        <v/>
      </c>
      <c r="AZ101" s="1421"/>
      <c r="BA101" s="1421"/>
      <c r="BB101" s="1421"/>
      <c r="BC101" s="1422"/>
      <c r="BF101" s="141"/>
    </row>
    <row r="102" spans="2:58" x14ac:dyDescent="0.25">
      <c r="B102" s="140"/>
      <c r="C102" s="673">
        <v>8</v>
      </c>
      <c r="D102" s="1485">
        <f>'Customer Inputs'!$B$13</f>
        <v>0</v>
      </c>
      <c r="E102" s="1485"/>
      <c r="F102" s="1485"/>
      <c r="G102" s="1485"/>
      <c r="H102" s="1485"/>
      <c r="I102" s="1485"/>
      <c r="J102" s="1485"/>
      <c r="K102" s="1429" t="str">
        <f>IFERROR(IFERROR('Multi-Customer'!$HG$39,VLOOKUP($D102,'Required Info to Submit'!$E$23:$J$32,2,FALSE)),"")</f>
        <v/>
      </c>
      <c r="L102" s="1429"/>
      <c r="M102" s="1429"/>
      <c r="N102" s="1429"/>
      <c r="O102" s="1429"/>
      <c r="P102" s="1429"/>
      <c r="Q102" s="1429"/>
      <c r="R102" s="1429"/>
      <c r="S102" s="1429"/>
      <c r="T102" s="1429"/>
      <c r="U102" s="1429" t="str">
        <f>IFERROR(IFERROR('Multi-Customer'!$HG$41&amp;" "&amp;'Multi-Customer'!$HG$42,VLOOKUP($D102,'Required Info to Submit'!$E$23:$J$32,3,FALSE)),"")</f>
        <v/>
      </c>
      <c r="V102" s="1429"/>
      <c r="W102" s="1429"/>
      <c r="X102" s="1429"/>
      <c r="Y102" s="1429"/>
      <c r="Z102" s="1429"/>
      <c r="AA102" s="1429"/>
      <c r="AB102" s="1429"/>
      <c r="AC102" s="1429"/>
      <c r="AD102" s="1429"/>
      <c r="AE102" s="1429"/>
      <c r="AF102" s="1429"/>
      <c r="AG102" s="1429"/>
      <c r="AH102" s="1429"/>
      <c r="AI102" s="1429"/>
      <c r="AJ102" s="1500" t="str">
        <f>IFERROR(IFERROR('Multi-Customer'!$HG$43,VLOOKUP($D102,'Required Info to Submit'!$E$23:$J$32,4,FALSE)),"")</f>
        <v/>
      </c>
      <c r="AK102" s="1501"/>
      <c r="AL102" s="1501"/>
      <c r="AM102" s="1501"/>
      <c r="AN102" s="1501"/>
      <c r="AO102" s="1501"/>
      <c r="AP102" s="1501"/>
      <c r="AQ102" s="1501"/>
      <c r="AR102" s="1501"/>
      <c r="AS102" s="1501"/>
      <c r="AT102" s="1502"/>
      <c r="AU102" s="1353" t="str">
        <f>IFERROR(IFERROR('Multi-Customer'!$HG$44,VLOOKUP($D102,'Required Info to Submit'!$E$23:$J$32,5,FALSE)),"")</f>
        <v/>
      </c>
      <c r="AV102" s="1354"/>
      <c r="AW102" s="1354"/>
      <c r="AX102" s="1355"/>
      <c r="AY102" s="1420" t="str">
        <f>IFERROR(IFERROR('Multi-Customer'!$HG$45,VLOOKUP($D102,'Required Info to Submit'!$E$23:$J$32,6,FALSE)),"")</f>
        <v/>
      </c>
      <c r="AZ102" s="1421"/>
      <c r="BA102" s="1421"/>
      <c r="BB102" s="1421"/>
      <c r="BC102" s="1422"/>
      <c r="BF102" s="141"/>
    </row>
    <row r="103" spans="2:58" x14ac:dyDescent="0.25">
      <c r="B103" s="140"/>
      <c r="C103" s="673">
        <v>9</v>
      </c>
      <c r="D103" s="1485">
        <f>'Customer Inputs'!$B$14</f>
        <v>0</v>
      </c>
      <c r="E103" s="1485"/>
      <c r="F103" s="1485"/>
      <c r="G103" s="1485"/>
      <c r="H103" s="1485"/>
      <c r="I103" s="1485"/>
      <c r="J103" s="1485"/>
      <c r="K103" s="1429" t="str">
        <f>IFERROR(IFERROR('Multi-Customer'!$ID$39,VLOOKUP($D103,'Required Info to Submit'!$E$23:$J$32,2,FALSE)),"")</f>
        <v/>
      </c>
      <c r="L103" s="1429"/>
      <c r="M103" s="1429"/>
      <c r="N103" s="1429"/>
      <c r="O103" s="1429"/>
      <c r="P103" s="1429"/>
      <c r="Q103" s="1429"/>
      <c r="R103" s="1429"/>
      <c r="S103" s="1429"/>
      <c r="T103" s="1429"/>
      <c r="U103" s="1429" t="str">
        <f>IFERROR(IFERROR('Multi-Customer'!$ID$41&amp;" "&amp;'Multi-Customer'!$ID$42,VLOOKUP($D103,'Required Info to Submit'!$E$23:$J$32,3,FALSE)),"")</f>
        <v/>
      </c>
      <c r="V103" s="1429"/>
      <c r="W103" s="1429"/>
      <c r="X103" s="1429"/>
      <c r="Y103" s="1429"/>
      <c r="Z103" s="1429"/>
      <c r="AA103" s="1429"/>
      <c r="AB103" s="1429"/>
      <c r="AC103" s="1429"/>
      <c r="AD103" s="1429"/>
      <c r="AE103" s="1429"/>
      <c r="AF103" s="1429"/>
      <c r="AG103" s="1429"/>
      <c r="AH103" s="1429"/>
      <c r="AI103" s="1429"/>
      <c r="AJ103" s="1500" t="str">
        <f>IFERROR(IFERROR('Multi-Customer'!$ID$43,VLOOKUP($D103,'Required Info to Submit'!$E$23:$J$32,4,FALSE)),"")</f>
        <v/>
      </c>
      <c r="AK103" s="1501"/>
      <c r="AL103" s="1501"/>
      <c r="AM103" s="1501"/>
      <c r="AN103" s="1501"/>
      <c r="AO103" s="1501"/>
      <c r="AP103" s="1501"/>
      <c r="AQ103" s="1501"/>
      <c r="AR103" s="1501"/>
      <c r="AS103" s="1501"/>
      <c r="AT103" s="1502"/>
      <c r="AU103" s="1353" t="str">
        <f>IFERROR(IFERROR('Multi-Customer'!$ID$44,VLOOKUP($D103,'Required Info to Submit'!$E$23:$J$32,5,FALSE)),"")</f>
        <v/>
      </c>
      <c r="AV103" s="1354"/>
      <c r="AW103" s="1354"/>
      <c r="AX103" s="1355"/>
      <c r="AY103" s="1420" t="str">
        <f>IFERROR(IFERROR('Multi-Customer'!$ID$45,VLOOKUP($D103,'Required Info to Submit'!$E$23:$J$32,6,FALSE)),"")</f>
        <v/>
      </c>
      <c r="AZ103" s="1421"/>
      <c r="BA103" s="1421"/>
      <c r="BB103" s="1421"/>
      <c r="BC103" s="1422"/>
      <c r="BF103" s="141"/>
    </row>
    <row r="104" spans="2:58" ht="15.75" thickBot="1" x14ac:dyDescent="0.3">
      <c r="B104" s="140"/>
      <c r="C104" s="674">
        <v>10</v>
      </c>
      <c r="D104" s="1496">
        <f>'Customer Inputs'!$B$15</f>
        <v>0</v>
      </c>
      <c r="E104" s="1496"/>
      <c r="F104" s="1496"/>
      <c r="G104" s="1496"/>
      <c r="H104" s="1496"/>
      <c r="I104" s="1496"/>
      <c r="J104" s="1496"/>
      <c r="K104" s="1495" t="str">
        <f>IFERROR(IFERROR('Multi-Customer'!$JA$39,VLOOKUP($D104,'Required Info to Submit'!$E$23:$J$32,2,FALSE)),"")</f>
        <v/>
      </c>
      <c r="L104" s="1495"/>
      <c r="M104" s="1495"/>
      <c r="N104" s="1495"/>
      <c r="O104" s="1495"/>
      <c r="P104" s="1495"/>
      <c r="Q104" s="1495"/>
      <c r="R104" s="1495"/>
      <c r="S104" s="1495"/>
      <c r="T104" s="1495"/>
      <c r="U104" s="1495" t="str">
        <f>IFERROR(IFERROR('Multi-Customer'!$JA$41&amp;" "&amp;'Multi-Customer'!$JA$42,VLOOKUP($D104,'Required Info to Submit'!$E$23:$J$32,3,FALSE)),"")</f>
        <v/>
      </c>
      <c r="V104" s="1495"/>
      <c r="W104" s="1495"/>
      <c r="X104" s="1495"/>
      <c r="Y104" s="1495"/>
      <c r="Z104" s="1495"/>
      <c r="AA104" s="1495"/>
      <c r="AB104" s="1495"/>
      <c r="AC104" s="1495"/>
      <c r="AD104" s="1495"/>
      <c r="AE104" s="1495"/>
      <c r="AF104" s="1495"/>
      <c r="AG104" s="1495"/>
      <c r="AH104" s="1495"/>
      <c r="AI104" s="1495"/>
      <c r="AJ104" s="1497" t="str">
        <f>IFERROR(IFERROR('Multi-Customer'!$JA$43,VLOOKUP($D104,'Required Info to Submit'!$E$23:$J$32,4,FALSE)),"")</f>
        <v/>
      </c>
      <c r="AK104" s="1498"/>
      <c r="AL104" s="1498"/>
      <c r="AM104" s="1498"/>
      <c r="AN104" s="1498"/>
      <c r="AO104" s="1498"/>
      <c r="AP104" s="1498"/>
      <c r="AQ104" s="1498"/>
      <c r="AR104" s="1498"/>
      <c r="AS104" s="1498"/>
      <c r="AT104" s="1499"/>
      <c r="AU104" s="1517" t="str">
        <f>IFERROR(IFERROR('Multi-Customer'!$JA$44,VLOOKUP($D104,'Required Info to Submit'!$E$23:$J$32,5,FALSE)),"")</f>
        <v/>
      </c>
      <c r="AV104" s="1518"/>
      <c r="AW104" s="1518"/>
      <c r="AX104" s="1519"/>
      <c r="AY104" s="1510" t="str">
        <f>IFERROR(IFERROR('Multi-Customer'!$JA$45,VLOOKUP($D104,'Required Info to Submit'!$E$23:$J$32,6,FALSE)),"")</f>
        <v/>
      </c>
      <c r="AZ104" s="1511"/>
      <c r="BA104" s="1511"/>
      <c r="BB104" s="1511"/>
      <c r="BC104" s="1512"/>
      <c r="BF104" s="141"/>
    </row>
    <row r="105" spans="2:58" x14ac:dyDescent="0.25">
      <c r="B105" s="140"/>
      <c r="BF105" s="141"/>
    </row>
    <row r="106" spans="2:58" x14ac:dyDescent="0.25">
      <c r="B106" s="140"/>
      <c r="BF106" s="141"/>
    </row>
    <row r="107" spans="2:58" ht="18.75" x14ac:dyDescent="0.3">
      <c r="B107" s="1473" t="s">
        <v>1041</v>
      </c>
      <c r="C107" s="1474"/>
      <c r="D107" s="1474"/>
      <c r="E107" s="1474"/>
      <c r="F107" s="1474"/>
      <c r="G107" s="1474"/>
      <c r="H107" s="1474"/>
      <c r="I107" s="1474"/>
      <c r="J107" s="1474"/>
      <c r="K107" s="1474"/>
      <c r="L107" s="1474"/>
      <c r="M107" s="1474"/>
      <c r="N107" s="1474"/>
      <c r="O107" s="1474"/>
      <c r="P107" s="1474"/>
      <c r="Q107" s="1474"/>
      <c r="R107" s="1474"/>
      <c r="S107" s="1474"/>
      <c r="T107" s="1474"/>
      <c r="U107" s="1474"/>
      <c r="V107" s="1474"/>
      <c r="W107" s="1474"/>
      <c r="X107" s="1474"/>
      <c r="Y107" s="1474"/>
      <c r="Z107" s="1474"/>
      <c r="AA107" s="1474"/>
      <c r="AB107" s="1474"/>
      <c r="AC107" s="1474"/>
      <c r="AD107" s="1474"/>
      <c r="AE107" s="1474"/>
      <c r="AF107" s="1474"/>
      <c r="AG107" s="1474"/>
      <c r="AH107" s="1474"/>
      <c r="AI107" s="1474"/>
      <c r="AJ107" s="1474"/>
      <c r="AK107" s="1474"/>
      <c r="AL107" s="1474"/>
      <c r="AM107" s="1474"/>
      <c r="AN107" s="1474"/>
      <c r="AO107" s="1474"/>
      <c r="AP107" s="1474"/>
      <c r="AQ107" s="1474"/>
      <c r="AR107" s="1474"/>
      <c r="AS107" s="1474"/>
      <c r="AT107" s="1474"/>
      <c r="AU107" s="1474"/>
      <c r="AV107" s="1474"/>
      <c r="AW107" s="1474"/>
      <c r="AX107" s="1474"/>
      <c r="AY107" s="1474"/>
      <c r="AZ107" s="1474"/>
      <c r="BA107" s="1474"/>
      <c r="BB107" s="1474"/>
      <c r="BC107" s="1474"/>
      <c r="BD107" s="1474"/>
      <c r="BE107" s="1474"/>
      <c r="BF107" s="1475"/>
    </row>
    <row r="108" spans="2:58" ht="15.75" thickBot="1" x14ac:dyDescent="0.3">
      <c r="B108" s="140"/>
      <c r="BF108" s="141"/>
    </row>
    <row r="109" spans="2:58" ht="29.45" customHeight="1" thickBot="1" x14ac:dyDescent="0.3">
      <c r="B109" s="720" t="s">
        <v>1034</v>
      </c>
      <c r="D109" s="268"/>
      <c r="E109" s="268"/>
      <c r="F109" s="268"/>
      <c r="G109" s="268"/>
      <c r="H109" s="268"/>
      <c r="I109" s="268"/>
      <c r="J109" s="268"/>
      <c r="K109" s="268"/>
      <c r="L109" s="268"/>
      <c r="M109" s="268"/>
      <c r="N109" s="268"/>
      <c r="O109" s="268"/>
      <c r="P109" s="268"/>
      <c r="Q109" s="268"/>
      <c r="R109" s="268"/>
      <c r="S109" s="268"/>
      <c r="T109" s="268"/>
      <c r="U109" s="1444" t="s">
        <v>1042</v>
      </c>
      <c r="V109" s="1415"/>
      <c r="W109" s="1415"/>
      <c r="X109" s="1415"/>
      <c r="Y109" s="1415"/>
      <c r="Z109" s="1415" t="s">
        <v>1035</v>
      </c>
      <c r="AA109" s="1415"/>
      <c r="AB109" s="1415"/>
      <c r="AC109" s="1415"/>
      <c r="AD109" s="1415"/>
      <c r="AE109" s="1415"/>
      <c r="AF109" s="1415" t="s">
        <v>1036</v>
      </c>
      <c r="AG109" s="1415"/>
      <c r="AH109" s="1415"/>
      <c r="AI109" s="1415"/>
      <c r="AJ109" s="1415"/>
      <c r="AK109" s="1415"/>
      <c r="AL109" s="1415"/>
      <c r="AM109" s="1415" t="s">
        <v>1039</v>
      </c>
      <c r="AN109" s="1415"/>
      <c r="AO109" s="1415"/>
      <c r="AP109" s="1415"/>
      <c r="AQ109" s="1415"/>
      <c r="AR109" s="1415"/>
      <c r="AS109" s="1416"/>
      <c r="AT109" s="268"/>
      <c r="AU109" s="268"/>
      <c r="AV109" s="268"/>
      <c r="AW109" s="268"/>
      <c r="AX109" s="268"/>
      <c r="AY109" s="268"/>
      <c r="AZ109" s="268"/>
      <c r="BA109" s="268"/>
      <c r="BB109" s="268"/>
      <c r="BC109" s="268"/>
      <c r="BD109" s="268"/>
      <c r="BE109" s="268"/>
      <c r="BF109" s="678"/>
    </row>
    <row r="110" spans="2:58" x14ac:dyDescent="0.25">
      <c r="B110" s="140"/>
      <c r="D110" s="1441" t="s">
        <v>99</v>
      </c>
      <c r="E110" s="1442"/>
      <c r="F110" s="1442"/>
      <c r="G110" s="1442"/>
      <c r="H110" s="1442"/>
      <c r="I110" s="1442"/>
      <c r="J110" s="1442"/>
      <c r="K110" s="1442"/>
      <c r="L110" s="1442"/>
      <c r="M110" s="1442"/>
      <c r="N110" s="1442"/>
      <c r="O110" s="1442"/>
      <c r="P110" s="1442"/>
      <c r="Q110" s="1442"/>
      <c r="R110" s="1442"/>
      <c r="S110" s="1442"/>
      <c r="T110" s="1443"/>
      <c r="U110" s="1432" t="str">
        <f>IF('PIM Model'!$B$10=0,"",'PIM Model'!$B$10)</f>
        <v/>
      </c>
      <c r="V110" s="1433"/>
      <c r="W110" s="1433"/>
      <c r="X110" s="1433"/>
      <c r="Y110" s="1433"/>
      <c r="Z110" s="1433" t="str">
        <f>'PIM Model'!$AF$10</f>
        <v/>
      </c>
      <c r="AA110" s="1433"/>
      <c r="AB110" s="1433"/>
      <c r="AC110" s="1433"/>
      <c r="AD110" s="1433"/>
      <c r="AE110" s="1433"/>
      <c r="AF110" s="1417" t="str">
        <f>'PIM Model'!$AG$10</f>
        <v/>
      </c>
      <c r="AG110" s="1418"/>
      <c r="AH110" s="1418"/>
      <c r="AI110" s="1418"/>
      <c r="AJ110" s="1418"/>
      <c r="AK110" s="1418"/>
      <c r="AL110" s="1425"/>
      <c r="AM110" s="1417" t="str">
        <f>'PIM Model'!$AH$10</f>
        <v/>
      </c>
      <c r="AN110" s="1418"/>
      <c r="AO110" s="1418"/>
      <c r="AP110" s="1418"/>
      <c r="AQ110" s="1418"/>
      <c r="AR110" s="1418"/>
      <c r="AS110" s="1419"/>
      <c r="BF110" s="141"/>
    </row>
    <row r="111" spans="2:58" x14ac:dyDescent="0.25">
      <c r="B111" s="140"/>
      <c r="D111" s="1428" t="s">
        <v>103</v>
      </c>
      <c r="E111" s="1429"/>
      <c r="F111" s="1429"/>
      <c r="G111" s="1429"/>
      <c r="H111" s="1429"/>
      <c r="I111" s="1429"/>
      <c r="J111" s="1429"/>
      <c r="K111" s="1429"/>
      <c r="L111" s="1429"/>
      <c r="M111" s="1429"/>
      <c r="N111" s="1429"/>
      <c r="O111" s="1429"/>
      <c r="P111" s="1429"/>
      <c r="Q111" s="1429"/>
      <c r="R111" s="1429"/>
      <c r="S111" s="1429"/>
      <c r="T111" s="1430"/>
      <c r="U111" s="1427" t="str">
        <f>IF('PIM Model'!$B$11=0,"",'PIM Model'!$B$11)</f>
        <v/>
      </c>
      <c r="V111" s="1352"/>
      <c r="W111" s="1352"/>
      <c r="X111" s="1352"/>
      <c r="Y111" s="1352"/>
      <c r="Z111" s="1352" t="str">
        <f>'PIM Model'!$AF$11</f>
        <v/>
      </c>
      <c r="AA111" s="1352"/>
      <c r="AB111" s="1352"/>
      <c r="AC111" s="1352"/>
      <c r="AD111" s="1352"/>
      <c r="AE111" s="1352"/>
      <c r="AF111" s="1420" t="str">
        <f>'PIM Model'!$AG$11</f>
        <v/>
      </c>
      <c r="AG111" s="1421"/>
      <c r="AH111" s="1421"/>
      <c r="AI111" s="1421"/>
      <c r="AJ111" s="1421"/>
      <c r="AK111" s="1421"/>
      <c r="AL111" s="1426"/>
      <c r="AM111" s="1420" t="str">
        <f>'PIM Model'!$AH$11</f>
        <v/>
      </c>
      <c r="AN111" s="1421"/>
      <c r="AO111" s="1421"/>
      <c r="AP111" s="1421"/>
      <c r="AQ111" s="1421"/>
      <c r="AR111" s="1421"/>
      <c r="AS111" s="1422"/>
      <c r="BF111" s="141"/>
    </row>
    <row r="112" spans="2:58" x14ac:dyDescent="0.25">
      <c r="B112" s="140"/>
      <c r="D112" s="1428" t="s">
        <v>1445</v>
      </c>
      <c r="E112" s="1429"/>
      <c r="F112" s="1429"/>
      <c r="G112" s="1429"/>
      <c r="H112" s="1429"/>
      <c r="I112" s="1429"/>
      <c r="J112" s="1429"/>
      <c r="K112" s="1429"/>
      <c r="L112" s="1429"/>
      <c r="M112" s="1429"/>
      <c r="N112" s="1429"/>
      <c r="O112" s="1429"/>
      <c r="P112" s="1429"/>
      <c r="Q112" s="1429"/>
      <c r="R112" s="1429"/>
      <c r="S112" s="1429"/>
      <c r="T112" s="1430"/>
      <c r="U112" s="1427" t="str">
        <f>IF('PIM Model'!$B$12=0,"",'PIM Model'!$B$12)</f>
        <v/>
      </c>
      <c r="V112" s="1352"/>
      <c r="W112" s="1352"/>
      <c r="X112" s="1352"/>
      <c r="Y112" s="1352"/>
      <c r="Z112" s="1352" t="str">
        <f>'PIM Model'!$AF$12</f>
        <v/>
      </c>
      <c r="AA112" s="1352"/>
      <c r="AB112" s="1352"/>
      <c r="AC112" s="1352"/>
      <c r="AD112" s="1352"/>
      <c r="AE112" s="1352"/>
      <c r="AF112" s="1420" t="str">
        <f>'PIM Model'!$AG$12</f>
        <v/>
      </c>
      <c r="AG112" s="1421"/>
      <c r="AH112" s="1421"/>
      <c r="AI112" s="1421"/>
      <c r="AJ112" s="1421"/>
      <c r="AK112" s="1421"/>
      <c r="AL112" s="1426"/>
      <c r="AM112" s="1420" t="str">
        <f>'PIM Model'!$AH$12</f>
        <v/>
      </c>
      <c r="AN112" s="1421"/>
      <c r="AO112" s="1421"/>
      <c r="AP112" s="1421"/>
      <c r="AQ112" s="1421"/>
      <c r="AR112" s="1421"/>
      <c r="AS112" s="1422"/>
      <c r="BF112" s="141"/>
    </row>
    <row r="113" spans="2:58" x14ac:dyDescent="0.25">
      <c r="B113" s="140"/>
      <c r="D113" s="1428" t="s">
        <v>102</v>
      </c>
      <c r="E113" s="1429"/>
      <c r="F113" s="1429"/>
      <c r="G113" s="1429"/>
      <c r="H113" s="1429"/>
      <c r="I113" s="1429"/>
      <c r="J113" s="1429"/>
      <c r="K113" s="1429"/>
      <c r="L113" s="1429"/>
      <c r="M113" s="1429"/>
      <c r="N113" s="1429"/>
      <c r="O113" s="1429"/>
      <c r="P113" s="1429"/>
      <c r="Q113" s="1429"/>
      <c r="R113" s="1429"/>
      <c r="S113" s="1429"/>
      <c r="T113" s="1430"/>
      <c r="U113" s="1427" t="str">
        <f>IF('PIM Model'!$B$13=0,"",'PIM Model'!$B$13)</f>
        <v/>
      </c>
      <c r="V113" s="1352"/>
      <c r="W113" s="1352"/>
      <c r="X113" s="1352"/>
      <c r="Y113" s="1352"/>
      <c r="Z113" s="1352" t="str">
        <f>'PIM Model'!$AF$13</f>
        <v/>
      </c>
      <c r="AA113" s="1352"/>
      <c r="AB113" s="1352"/>
      <c r="AC113" s="1352"/>
      <c r="AD113" s="1352"/>
      <c r="AE113" s="1352"/>
      <c r="AF113" s="1420" t="str">
        <f>'PIM Model'!$AG$13</f>
        <v/>
      </c>
      <c r="AG113" s="1421"/>
      <c r="AH113" s="1421"/>
      <c r="AI113" s="1421"/>
      <c r="AJ113" s="1421"/>
      <c r="AK113" s="1421"/>
      <c r="AL113" s="1426"/>
      <c r="AM113" s="1420" t="str">
        <f>'PIM Model'!$AH$13</f>
        <v/>
      </c>
      <c r="AN113" s="1421"/>
      <c r="AO113" s="1421"/>
      <c r="AP113" s="1421"/>
      <c r="AQ113" s="1421"/>
      <c r="AR113" s="1421"/>
      <c r="AS113" s="1422"/>
      <c r="BF113" s="141"/>
    </row>
    <row r="114" spans="2:58" x14ac:dyDescent="0.25">
      <c r="B114" s="140"/>
      <c r="D114" s="1428" t="s">
        <v>100</v>
      </c>
      <c r="E114" s="1429"/>
      <c r="F114" s="1429"/>
      <c r="G114" s="1429"/>
      <c r="H114" s="1429"/>
      <c r="I114" s="1429"/>
      <c r="J114" s="1429"/>
      <c r="K114" s="1429"/>
      <c r="L114" s="1429"/>
      <c r="M114" s="1429"/>
      <c r="N114" s="1429"/>
      <c r="O114" s="1429"/>
      <c r="P114" s="1429"/>
      <c r="Q114" s="1429"/>
      <c r="R114" s="1429"/>
      <c r="S114" s="1429"/>
      <c r="T114" s="1430"/>
      <c r="U114" s="1427" t="str">
        <f>IF('PIM Model'!$B$14=0,"",'PIM Model'!$B$14)</f>
        <v/>
      </c>
      <c r="V114" s="1352"/>
      <c r="W114" s="1352"/>
      <c r="X114" s="1352"/>
      <c r="Y114" s="1352"/>
      <c r="Z114" s="1352" t="str">
        <f>'PIM Model'!$AF$14</f>
        <v/>
      </c>
      <c r="AA114" s="1352"/>
      <c r="AB114" s="1352"/>
      <c r="AC114" s="1352"/>
      <c r="AD114" s="1352"/>
      <c r="AE114" s="1352"/>
      <c r="AF114" s="1420" t="str">
        <f>'PIM Model'!$AG$14</f>
        <v/>
      </c>
      <c r="AG114" s="1421"/>
      <c r="AH114" s="1421"/>
      <c r="AI114" s="1421"/>
      <c r="AJ114" s="1421"/>
      <c r="AK114" s="1421"/>
      <c r="AL114" s="1426"/>
      <c r="AM114" s="1420" t="str">
        <f>'PIM Model'!$AH$14</f>
        <v/>
      </c>
      <c r="AN114" s="1421"/>
      <c r="AO114" s="1421"/>
      <c r="AP114" s="1421"/>
      <c r="AQ114" s="1421"/>
      <c r="AR114" s="1421"/>
      <c r="AS114" s="1422"/>
      <c r="BF114" s="141"/>
    </row>
    <row r="115" spans="2:58" x14ac:dyDescent="0.25">
      <c r="B115" s="140"/>
      <c r="D115" s="1428" t="s">
        <v>104</v>
      </c>
      <c r="E115" s="1429"/>
      <c r="F115" s="1429"/>
      <c r="G115" s="1429"/>
      <c r="H115" s="1429"/>
      <c r="I115" s="1429"/>
      <c r="J115" s="1429"/>
      <c r="K115" s="1429"/>
      <c r="L115" s="1429"/>
      <c r="M115" s="1429"/>
      <c r="N115" s="1429"/>
      <c r="O115" s="1429"/>
      <c r="P115" s="1429"/>
      <c r="Q115" s="1429"/>
      <c r="R115" s="1429"/>
      <c r="S115" s="1429"/>
      <c r="T115" s="1430"/>
      <c r="U115" s="1427" t="str">
        <f>IF('PIM Model'!$B$15=0,"",'PIM Model'!$B$15)</f>
        <v/>
      </c>
      <c r="V115" s="1352"/>
      <c r="W115" s="1352"/>
      <c r="X115" s="1352"/>
      <c r="Y115" s="1352"/>
      <c r="Z115" s="1352" t="str">
        <f>'PIM Model'!$AF$15</f>
        <v/>
      </c>
      <c r="AA115" s="1352"/>
      <c r="AB115" s="1352"/>
      <c r="AC115" s="1352"/>
      <c r="AD115" s="1352"/>
      <c r="AE115" s="1352"/>
      <c r="AF115" s="1420" t="str">
        <f>'PIM Model'!$AG$15</f>
        <v/>
      </c>
      <c r="AG115" s="1421"/>
      <c r="AH115" s="1421"/>
      <c r="AI115" s="1421"/>
      <c r="AJ115" s="1421"/>
      <c r="AK115" s="1421"/>
      <c r="AL115" s="1426"/>
      <c r="AM115" s="1420" t="str">
        <f>'PIM Model'!$AH$15</f>
        <v/>
      </c>
      <c r="AN115" s="1421"/>
      <c r="AO115" s="1421"/>
      <c r="AP115" s="1421"/>
      <c r="AQ115" s="1421"/>
      <c r="AR115" s="1421"/>
      <c r="AS115" s="1422"/>
      <c r="BF115" s="141"/>
    </row>
    <row r="116" spans="2:58" x14ac:dyDescent="0.25">
      <c r="B116" s="140"/>
      <c r="D116" s="1428" t="s">
        <v>98</v>
      </c>
      <c r="E116" s="1429"/>
      <c r="F116" s="1429"/>
      <c r="G116" s="1429"/>
      <c r="H116" s="1429"/>
      <c r="I116" s="1429"/>
      <c r="J116" s="1429"/>
      <c r="K116" s="1429"/>
      <c r="L116" s="1429"/>
      <c r="M116" s="1429"/>
      <c r="N116" s="1429"/>
      <c r="O116" s="1429"/>
      <c r="P116" s="1429"/>
      <c r="Q116" s="1429"/>
      <c r="R116" s="1429"/>
      <c r="S116" s="1429"/>
      <c r="T116" s="1430"/>
      <c r="U116" s="1427" t="str">
        <f>IF('PIM Model'!$B$16=0,"",'PIM Model'!$B$16)</f>
        <v/>
      </c>
      <c r="V116" s="1352"/>
      <c r="W116" s="1352"/>
      <c r="X116" s="1352"/>
      <c r="Y116" s="1352"/>
      <c r="Z116" s="1352" t="str">
        <f>'PIM Model'!$AF$16</f>
        <v/>
      </c>
      <c r="AA116" s="1352"/>
      <c r="AB116" s="1352"/>
      <c r="AC116" s="1352"/>
      <c r="AD116" s="1352"/>
      <c r="AE116" s="1352"/>
      <c r="AF116" s="1420" t="str">
        <f>'PIM Model'!$AG$16</f>
        <v/>
      </c>
      <c r="AG116" s="1421"/>
      <c r="AH116" s="1421"/>
      <c r="AI116" s="1421"/>
      <c r="AJ116" s="1421"/>
      <c r="AK116" s="1421"/>
      <c r="AL116" s="1426"/>
      <c r="AM116" s="1420" t="str">
        <f>'PIM Model'!$AH$16</f>
        <v/>
      </c>
      <c r="AN116" s="1421"/>
      <c r="AO116" s="1421"/>
      <c r="AP116" s="1421"/>
      <c r="AQ116" s="1421"/>
      <c r="AR116" s="1421"/>
      <c r="AS116" s="1422"/>
      <c r="BF116" s="141"/>
    </row>
    <row r="117" spans="2:58" x14ac:dyDescent="0.25">
      <c r="B117" s="140"/>
      <c r="D117" s="1428" t="s">
        <v>95</v>
      </c>
      <c r="E117" s="1429"/>
      <c r="F117" s="1429"/>
      <c r="G117" s="1429"/>
      <c r="H117" s="1429"/>
      <c r="I117" s="1429"/>
      <c r="J117" s="1429"/>
      <c r="K117" s="1429"/>
      <c r="L117" s="1429"/>
      <c r="M117" s="1429"/>
      <c r="N117" s="1429"/>
      <c r="O117" s="1429"/>
      <c r="P117" s="1429"/>
      <c r="Q117" s="1429"/>
      <c r="R117" s="1429"/>
      <c r="S117" s="1429"/>
      <c r="T117" s="1430"/>
      <c r="U117" s="1427" t="str">
        <f>IF('PIM Model'!$B$17=0,"",'PIM Model'!$B$17)</f>
        <v/>
      </c>
      <c r="V117" s="1352"/>
      <c r="W117" s="1352"/>
      <c r="X117" s="1352"/>
      <c r="Y117" s="1352"/>
      <c r="Z117" s="1352" t="str">
        <f>'PIM Model'!$AF$17</f>
        <v/>
      </c>
      <c r="AA117" s="1352"/>
      <c r="AB117" s="1352"/>
      <c r="AC117" s="1352"/>
      <c r="AD117" s="1352"/>
      <c r="AE117" s="1352"/>
      <c r="AF117" s="1420" t="str">
        <f>'PIM Model'!$AG$17</f>
        <v/>
      </c>
      <c r="AG117" s="1421"/>
      <c r="AH117" s="1421"/>
      <c r="AI117" s="1421"/>
      <c r="AJ117" s="1421"/>
      <c r="AK117" s="1421"/>
      <c r="AL117" s="1426"/>
      <c r="AM117" s="1420" t="str">
        <f>'PIM Model'!$AH$17</f>
        <v/>
      </c>
      <c r="AN117" s="1421"/>
      <c r="AO117" s="1421"/>
      <c r="AP117" s="1421"/>
      <c r="AQ117" s="1421"/>
      <c r="AR117" s="1421"/>
      <c r="AS117" s="1422"/>
      <c r="BF117" s="141"/>
    </row>
    <row r="118" spans="2:58" x14ac:dyDescent="0.25">
      <c r="B118" s="140"/>
      <c r="D118" s="1428" t="s">
        <v>96</v>
      </c>
      <c r="E118" s="1429"/>
      <c r="F118" s="1429"/>
      <c r="G118" s="1429"/>
      <c r="H118" s="1429"/>
      <c r="I118" s="1429"/>
      <c r="J118" s="1429"/>
      <c r="K118" s="1429"/>
      <c r="L118" s="1429"/>
      <c r="M118" s="1429"/>
      <c r="N118" s="1429"/>
      <c r="O118" s="1429"/>
      <c r="P118" s="1429"/>
      <c r="Q118" s="1429"/>
      <c r="R118" s="1429"/>
      <c r="S118" s="1429"/>
      <c r="T118" s="1430"/>
      <c r="U118" s="1427" t="str">
        <f>IF('PIM Model'!$B$18=0,"",'PIM Model'!$B$18)</f>
        <v/>
      </c>
      <c r="V118" s="1352"/>
      <c r="W118" s="1352"/>
      <c r="X118" s="1352"/>
      <c r="Y118" s="1352"/>
      <c r="Z118" s="1352" t="str">
        <f>'PIM Model'!$AF$18</f>
        <v/>
      </c>
      <c r="AA118" s="1352"/>
      <c r="AB118" s="1352"/>
      <c r="AC118" s="1352"/>
      <c r="AD118" s="1352"/>
      <c r="AE118" s="1352"/>
      <c r="AF118" s="1420" t="str">
        <f>'PIM Model'!$AG$18</f>
        <v/>
      </c>
      <c r="AG118" s="1421"/>
      <c r="AH118" s="1421"/>
      <c r="AI118" s="1421"/>
      <c r="AJ118" s="1421"/>
      <c r="AK118" s="1421"/>
      <c r="AL118" s="1426"/>
      <c r="AM118" s="1420" t="str">
        <f>'PIM Model'!$AH$18</f>
        <v/>
      </c>
      <c r="AN118" s="1421"/>
      <c r="AO118" s="1421"/>
      <c r="AP118" s="1421"/>
      <c r="AQ118" s="1421"/>
      <c r="AR118" s="1421"/>
      <c r="AS118" s="1422"/>
      <c r="BF118" s="141"/>
    </row>
    <row r="119" spans="2:58" x14ac:dyDescent="0.25">
      <c r="B119" s="140"/>
      <c r="D119" s="1428" t="s">
        <v>101</v>
      </c>
      <c r="E119" s="1429"/>
      <c r="F119" s="1429"/>
      <c r="G119" s="1429"/>
      <c r="H119" s="1429"/>
      <c r="I119" s="1429"/>
      <c r="J119" s="1429"/>
      <c r="K119" s="1429"/>
      <c r="L119" s="1429"/>
      <c r="M119" s="1429"/>
      <c r="N119" s="1429"/>
      <c r="O119" s="1429"/>
      <c r="P119" s="1429"/>
      <c r="Q119" s="1429"/>
      <c r="R119" s="1429"/>
      <c r="S119" s="1429"/>
      <c r="T119" s="1430"/>
      <c r="U119" s="1427" t="str">
        <f>IF('PIM Model'!$B$19=0,"",'PIM Model'!$B$19)</f>
        <v/>
      </c>
      <c r="V119" s="1352"/>
      <c r="W119" s="1352"/>
      <c r="X119" s="1352"/>
      <c r="Y119" s="1352"/>
      <c r="Z119" s="1352" t="str">
        <f>'PIM Model'!$AF$19</f>
        <v/>
      </c>
      <c r="AA119" s="1352"/>
      <c r="AB119" s="1352"/>
      <c r="AC119" s="1352"/>
      <c r="AD119" s="1352"/>
      <c r="AE119" s="1352"/>
      <c r="AF119" s="1420" t="str">
        <f>'PIM Model'!$AG$19</f>
        <v/>
      </c>
      <c r="AG119" s="1421"/>
      <c r="AH119" s="1421"/>
      <c r="AI119" s="1421"/>
      <c r="AJ119" s="1421"/>
      <c r="AK119" s="1421"/>
      <c r="AL119" s="1426"/>
      <c r="AM119" s="1420" t="str">
        <f>'PIM Model'!$AH$19</f>
        <v/>
      </c>
      <c r="AN119" s="1421"/>
      <c r="AO119" s="1421"/>
      <c r="AP119" s="1421"/>
      <c r="AQ119" s="1421"/>
      <c r="AR119" s="1421"/>
      <c r="AS119" s="1422"/>
      <c r="BF119" s="141"/>
    </row>
    <row r="120" spans="2:58" x14ac:dyDescent="0.25">
      <c r="B120" s="140"/>
      <c r="D120" s="1428" t="s">
        <v>97</v>
      </c>
      <c r="E120" s="1429"/>
      <c r="F120" s="1429"/>
      <c r="G120" s="1429"/>
      <c r="H120" s="1429"/>
      <c r="I120" s="1429"/>
      <c r="J120" s="1429"/>
      <c r="K120" s="1429"/>
      <c r="L120" s="1429"/>
      <c r="M120" s="1429"/>
      <c r="N120" s="1429"/>
      <c r="O120" s="1429"/>
      <c r="P120" s="1429"/>
      <c r="Q120" s="1429"/>
      <c r="R120" s="1429"/>
      <c r="S120" s="1429"/>
      <c r="T120" s="1430"/>
      <c r="U120" s="1427" t="str">
        <f>IF('PIM Model'!$B$20=0,"",'PIM Model'!$B$20)</f>
        <v/>
      </c>
      <c r="V120" s="1352"/>
      <c r="W120" s="1352"/>
      <c r="X120" s="1352"/>
      <c r="Y120" s="1352"/>
      <c r="Z120" s="1352" t="str">
        <f>'PIM Model'!$AF$20</f>
        <v/>
      </c>
      <c r="AA120" s="1352"/>
      <c r="AB120" s="1352"/>
      <c r="AC120" s="1352"/>
      <c r="AD120" s="1352"/>
      <c r="AE120" s="1352"/>
      <c r="AF120" s="1420" t="str">
        <f>'PIM Model'!$AG$20</f>
        <v/>
      </c>
      <c r="AG120" s="1421"/>
      <c r="AH120" s="1421"/>
      <c r="AI120" s="1421"/>
      <c r="AJ120" s="1421"/>
      <c r="AK120" s="1421"/>
      <c r="AL120" s="1426"/>
      <c r="AM120" s="1420" t="str">
        <f>'PIM Model'!$AH$20</f>
        <v/>
      </c>
      <c r="AN120" s="1421"/>
      <c r="AO120" s="1421"/>
      <c r="AP120" s="1421"/>
      <c r="AQ120" s="1421"/>
      <c r="AR120" s="1421"/>
      <c r="AS120" s="1422"/>
      <c r="BF120" s="141"/>
    </row>
    <row r="121" spans="2:58" x14ac:dyDescent="0.25">
      <c r="B121" s="140"/>
      <c r="D121" s="1428" t="s">
        <v>93</v>
      </c>
      <c r="E121" s="1429"/>
      <c r="F121" s="1429"/>
      <c r="G121" s="1429"/>
      <c r="H121" s="1429"/>
      <c r="I121" s="1429"/>
      <c r="J121" s="1429"/>
      <c r="K121" s="1429"/>
      <c r="L121" s="1429"/>
      <c r="M121" s="1429"/>
      <c r="N121" s="1429"/>
      <c r="O121" s="1429"/>
      <c r="P121" s="1429"/>
      <c r="Q121" s="1429"/>
      <c r="R121" s="1429"/>
      <c r="S121" s="1429"/>
      <c r="T121" s="1430"/>
      <c r="U121" s="1427" t="str">
        <f>IF('PIM Model'!$B$21=0,"",'PIM Model'!$B$21)</f>
        <v/>
      </c>
      <c r="V121" s="1352"/>
      <c r="W121" s="1352"/>
      <c r="X121" s="1352"/>
      <c r="Y121" s="1352"/>
      <c r="Z121" s="1352" t="str">
        <f>'PIM Model'!$AF$21</f>
        <v/>
      </c>
      <c r="AA121" s="1352"/>
      <c r="AB121" s="1352"/>
      <c r="AC121" s="1352"/>
      <c r="AD121" s="1352"/>
      <c r="AE121" s="1352"/>
      <c r="AF121" s="1420" t="str">
        <f>'PIM Model'!$AG$21</f>
        <v/>
      </c>
      <c r="AG121" s="1421"/>
      <c r="AH121" s="1421"/>
      <c r="AI121" s="1421"/>
      <c r="AJ121" s="1421"/>
      <c r="AK121" s="1421"/>
      <c r="AL121" s="1426"/>
      <c r="AM121" s="1420" t="str">
        <f>'PIM Model'!$AH$21</f>
        <v/>
      </c>
      <c r="AN121" s="1421"/>
      <c r="AO121" s="1421"/>
      <c r="AP121" s="1421"/>
      <c r="AQ121" s="1421"/>
      <c r="AR121" s="1421"/>
      <c r="AS121" s="1422"/>
      <c r="BF121" s="141"/>
    </row>
    <row r="122" spans="2:58" x14ac:dyDescent="0.25">
      <c r="B122" s="140"/>
      <c r="D122" s="1428" t="s">
        <v>105</v>
      </c>
      <c r="E122" s="1429"/>
      <c r="F122" s="1429"/>
      <c r="G122" s="1429"/>
      <c r="H122" s="1429"/>
      <c r="I122" s="1429"/>
      <c r="J122" s="1429"/>
      <c r="K122" s="1429"/>
      <c r="L122" s="1429"/>
      <c r="M122" s="1429"/>
      <c r="N122" s="1429"/>
      <c r="O122" s="1429"/>
      <c r="P122" s="1429"/>
      <c r="Q122" s="1429"/>
      <c r="R122" s="1429"/>
      <c r="S122" s="1429"/>
      <c r="T122" s="1430"/>
      <c r="U122" s="1427" t="str">
        <f>IF('PIM Model'!$B$22=0,"",'PIM Model'!$B$22)</f>
        <v/>
      </c>
      <c r="V122" s="1352"/>
      <c r="W122" s="1352"/>
      <c r="X122" s="1352"/>
      <c r="Y122" s="1352"/>
      <c r="Z122" s="1352" t="str">
        <f>'PIM Model'!$AF$22</f>
        <v/>
      </c>
      <c r="AA122" s="1352"/>
      <c r="AB122" s="1352"/>
      <c r="AC122" s="1352"/>
      <c r="AD122" s="1352"/>
      <c r="AE122" s="1352"/>
      <c r="AF122" s="1420" t="str">
        <f>'PIM Model'!$AG$22</f>
        <v/>
      </c>
      <c r="AG122" s="1421"/>
      <c r="AH122" s="1421"/>
      <c r="AI122" s="1421"/>
      <c r="AJ122" s="1421"/>
      <c r="AK122" s="1421"/>
      <c r="AL122" s="1426"/>
      <c r="AM122" s="1420" t="str">
        <f>'PIM Model'!$AH$22</f>
        <v/>
      </c>
      <c r="AN122" s="1421"/>
      <c r="AO122" s="1421"/>
      <c r="AP122" s="1421"/>
      <c r="AQ122" s="1421"/>
      <c r="AR122" s="1421"/>
      <c r="AS122" s="1422"/>
      <c r="BF122" s="141"/>
    </row>
    <row r="123" spans="2:58" x14ac:dyDescent="0.25">
      <c r="B123" s="140"/>
      <c r="D123" s="1428" t="s">
        <v>92</v>
      </c>
      <c r="E123" s="1429"/>
      <c r="F123" s="1429"/>
      <c r="G123" s="1429"/>
      <c r="H123" s="1429"/>
      <c r="I123" s="1429"/>
      <c r="J123" s="1429"/>
      <c r="K123" s="1429"/>
      <c r="L123" s="1429"/>
      <c r="M123" s="1429"/>
      <c r="N123" s="1429"/>
      <c r="O123" s="1429"/>
      <c r="P123" s="1429"/>
      <c r="Q123" s="1429"/>
      <c r="R123" s="1429"/>
      <c r="S123" s="1429"/>
      <c r="T123" s="1430"/>
      <c r="U123" s="1427" t="str">
        <f>IF('PIM Model'!$B$23=0,"",'PIM Model'!$B$23)</f>
        <v/>
      </c>
      <c r="V123" s="1352"/>
      <c r="W123" s="1352"/>
      <c r="X123" s="1352"/>
      <c r="Y123" s="1352"/>
      <c r="Z123" s="1352" t="str">
        <f>'PIM Model'!$AF$23</f>
        <v/>
      </c>
      <c r="AA123" s="1352"/>
      <c r="AB123" s="1352"/>
      <c r="AC123" s="1352"/>
      <c r="AD123" s="1352"/>
      <c r="AE123" s="1352"/>
      <c r="AF123" s="1420" t="str">
        <f>'PIM Model'!$AG$23</f>
        <v/>
      </c>
      <c r="AG123" s="1421"/>
      <c r="AH123" s="1421"/>
      <c r="AI123" s="1421"/>
      <c r="AJ123" s="1421"/>
      <c r="AK123" s="1421"/>
      <c r="AL123" s="1426"/>
      <c r="AM123" s="1420" t="str">
        <f>'PIM Model'!$AH$23</f>
        <v/>
      </c>
      <c r="AN123" s="1421"/>
      <c r="AO123" s="1421"/>
      <c r="AP123" s="1421"/>
      <c r="AQ123" s="1421"/>
      <c r="AR123" s="1421"/>
      <c r="AS123" s="1422"/>
      <c r="BF123" s="141"/>
    </row>
    <row r="124" spans="2:58" x14ac:dyDescent="0.25">
      <c r="B124" s="140"/>
      <c r="D124" s="1428" t="s">
        <v>91</v>
      </c>
      <c r="E124" s="1429"/>
      <c r="F124" s="1429"/>
      <c r="G124" s="1429"/>
      <c r="H124" s="1429"/>
      <c r="I124" s="1429"/>
      <c r="J124" s="1429"/>
      <c r="K124" s="1429"/>
      <c r="L124" s="1429"/>
      <c r="M124" s="1429"/>
      <c r="N124" s="1429"/>
      <c r="O124" s="1429"/>
      <c r="P124" s="1429"/>
      <c r="Q124" s="1429"/>
      <c r="R124" s="1429"/>
      <c r="S124" s="1429"/>
      <c r="T124" s="1430"/>
      <c r="U124" s="1427" t="str">
        <f>IF('PIM Model'!$B$24=0,"",'PIM Model'!$B$24)</f>
        <v/>
      </c>
      <c r="V124" s="1352"/>
      <c r="W124" s="1352"/>
      <c r="X124" s="1352"/>
      <c r="Y124" s="1352"/>
      <c r="Z124" s="1352" t="str">
        <f>'PIM Model'!$AF$24</f>
        <v/>
      </c>
      <c r="AA124" s="1352"/>
      <c r="AB124" s="1352"/>
      <c r="AC124" s="1352"/>
      <c r="AD124" s="1352"/>
      <c r="AE124" s="1352"/>
      <c r="AF124" s="1420" t="str">
        <f>'PIM Model'!$AG$24</f>
        <v/>
      </c>
      <c r="AG124" s="1421"/>
      <c r="AH124" s="1421"/>
      <c r="AI124" s="1421"/>
      <c r="AJ124" s="1421"/>
      <c r="AK124" s="1421"/>
      <c r="AL124" s="1426"/>
      <c r="AM124" s="1420" t="str">
        <f>'PIM Model'!$AH$24</f>
        <v/>
      </c>
      <c r="AN124" s="1421"/>
      <c r="AO124" s="1421"/>
      <c r="AP124" s="1421"/>
      <c r="AQ124" s="1421"/>
      <c r="AR124" s="1421"/>
      <c r="AS124" s="1422"/>
      <c r="BF124" s="141"/>
    </row>
    <row r="125" spans="2:58" x14ac:dyDescent="0.25">
      <c r="B125" s="140"/>
      <c r="D125" s="1428" t="s">
        <v>90</v>
      </c>
      <c r="E125" s="1429"/>
      <c r="F125" s="1429"/>
      <c r="G125" s="1429"/>
      <c r="H125" s="1429"/>
      <c r="I125" s="1429"/>
      <c r="J125" s="1429"/>
      <c r="K125" s="1429"/>
      <c r="L125" s="1429"/>
      <c r="M125" s="1429"/>
      <c r="N125" s="1429"/>
      <c r="O125" s="1429"/>
      <c r="P125" s="1429"/>
      <c r="Q125" s="1429"/>
      <c r="R125" s="1429"/>
      <c r="S125" s="1429"/>
      <c r="T125" s="1430"/>
      <c r="U125" s="1427" t="str">
        <f>IF('PIM Model'!$B$25=0,"",'PIM Model'!$B$25)</f>
        <v/>
      </c>
      <c r="V125" s="1352"/>
      <c r="W125" s="1352"/>
      <c r="X125" s="1352"/>
      <c r="Y125" s="1352"/>
      <c r="Z125" s="1352" t="str">
        <f>'PIM Model'!$AF$25</f>
        <v/>
      </c>
      <c r="AA125" s="1352"/>
      <c r="AB125" s="1352"/>
      <c r="AC125" s="1352"/>
      <c r="AD125" s="1352"/>
      <c r="AE125" s="1352"/>
      <c r="AF125" s="1420" t="str">
        <f>'PIM Model'!$AG$25</f>
        <v/>
      </c>
      <c r="AG125" s="1421"/>
      <c r="AH125" s="1421"/>
      <c r="AI125" s="1421"/>
      <c r="AJ125" s="1421"/>
      <c r="AK125" s="1421"/>
      <c r="AL125" s="1426"/>
      <c r="AM125" s="1420" t="str">
        <f>'PIM Model'!$AH$25</f>
        <v/>
      </c>
      <c r="AN125" s="1421"/>
      <c r="AO125" s="1421"/>
      <c r="AP125" s="1421"/>
      <c r="AQ125" s="1421"/>
      <c r="AR125" s="1421"/>
      <c r="AS125" s="1422"/>
      <c r="BF125" s="141"/>
    </row>
    <row r="126" spans="2:58" x14ac:dyDescent="0.25">
      <c r="B126" s="140"/>
      <c r="D126" s="1428" t="s">
        <v>89</v>
      </c>
      <c r="E126" s="1429"/>
      <c r="F126" s="1429"/>
      <c r="G126" s="1429"/>
      <c r="H126" s="1429"/>
      <c r="I126" s="1429"/>
      <c r="J126" s="1429"/>
      <c r="K126" s="1429"/>
      <c r="L126" s="1429"/>
      <c r="M126" s="1429"/>
      <c r="N126" s="1429"/>
      <c r="O126" s="1429"/>
      <c r="P126" s="1429"/>
      <c r="Q126" s="1429"/>
      <c r="R126" s="1429"/>
      <c r="S126" s="1429"/>
      <c r="T126" s="1430"/>
      <c r="U126" s="1427" t="str">
        <f>IF('PIM Model'!$B$26=0,"",'PIM Model'!$B$26)</f>
        <v/>
      </c>
      <c r="V126" s="1352"/>
      <c r="W126" s="1352"/>
      <c r="X126" s="1352"/>
      <c r="Y126" s="1352"/>
      <c r="Z126" s="1352" t="str">
        <f>'PIM Model'!$AF$26</f>
        <v/>
      </c>
      <c r="AA126" s="1352"/>
      <c r="AB126" s="1352"/>
      <c r="AC126" s="1352"/>
      <c r="AD126" s="1352"/>
      <c r="AE126" s="1352"/>
      <c r="AF126" s="1420" t="str">
        <f>'PIM Model'!$AG$26</f>
        <v/>
      </c>
      <c r="AG126" s="1421"/>
      <c r="AH126" s="1421"/>
      <c r="AI126" s="1421"/>
      <c r="AJ126" s="1421"/>
      <c r="AK126" s="1421"/>
      <c r="AL126" s="1426"/>
      <c r="AM126" s="1420" t="str">
        <f>'PIM Model'!$AH$26</f>
        <v/>
      </c>
      <c r="AN126" s="1421"/>
      <c r="AO126" s="1421"/>
      <c r="AP126" s="1421"/>
      <c r="AQ126" s="1421"/>
      <c r="AR126" s="1421"/>
      <c r="AS126" s="1422"/>
      <c r="BF126" s="141"/>
    </row>
    <row r="127" spans="2:58" x14ac:dyDescent="0.25">
      <c r="B127" s="140"/>
      <c r="D127" s="1428" t="s">
        <v>94</v>
      </c>
      <c r="E127" s="1429"/>
      <c r="F127" s="1429"/>
      <c r="G127" s="1429"/>
      <c r="H127" s="1429"/>
      <c r="I127" s="1429"/>
      <c r="J127" s="1429"/>
      <c r="K127" s="1429"/>
      <c r="L127" s="1429"/>
      <c r="M127" s="1429"/>
      <c r="N127" s="1429"/>
      <c r="O127" s="1429"/>
      <c r="P127" s="1429"/>
      <c r="Q127" s="1429"/>
      <c r="R127" s="1429"/>
      <c r="S127" s="1429"/>
      <c r="T127" s="1430"/>
      <c r="U127" s="1427" t="str">
        <f>IF('PIM Model'!$B$27=0,"",'PIM Model'!$B$27)</f>
        <v/>
      </c>
      <c r="V127" s="1352"/>
      <c r="W127" s="1352"/>
      <c r="X127" s="1352"/>
      <c r="Y127" s="1352"/>
      <c r="Z127" s="1352" t="str">
        <f>'PIM Model'!$AF$27</f>
        <v/>
      </c>
      <c r="AA127" s="1352"/>
      <c r="AB127" s="1352"/>
      <c r="AC127" s="1352"/>
      <c r="AD127" s="1352"/>
      <c r="AE127" s="1352"/>
      <c r="AF127" s="1420" t="str">
        <f>'PIM Model'!$AG$27</f>
        <v/>
      </c>
      <c r="AG127" s="1421"/>
      <c r="AH127" s="1421"/>
      <c r="AI127" s="1421"/>
      <c r="AJ127" s="1421"/>
      <c r="AK127" s="1421"/>
      <c r="AL127" s="1426"/>
      <c r="AM127" s="1420" t="str">
        <f>'PIM Model'!$AH$27</f>
        <v/>
      </c>
      <c r="AN127" s="1421"/>
      <c r="AO127" s="1421"/>
      <c r="AP127" s="1421"/>
      <c r="AQ127" s="1421"/>
      <c r="AR127" s="1421"/>
      <c r="AS127" s="1422"/>
      <c r="BF127" s="141"/>
    </row>
    <row r="128" spans="2:58" x14ac:dyDescent="0.25">
      <c r="B128" s="140"/>
      <c r="D128" s="1428" t="s">
        <v>86</v>
      </c>
      <c r="E128" s="1429"/>
      <c r="F128" s="1429"/>
      <c r="G128" s="1429"/>
      <c r="H128" s="1429"/>
      <c r="I128" s="1429"/>
      <c r="J128" s="1429"/>
      <c r="K128" s="1429"/>
      <c r="L128" s="1429"/>
      <c r="M128" s="1429"/>
      <c r="N128" s="1429"/>
      <c r="O128" s="1429"/>
      <c r="P128" s="1429"/>
      <c r="Q128" s="1429"/>
      <c r="R128" s="1429"/>
      <c r="S128" s="1429"/>
      <c r="T128" s="1430"/>
      <c r="U128" s="1427" t="str">
        <f>IF('PIM Model'!$B$28=0,"",'PIM Model'!$B$28)</f>
        <v/>
      </c>
      <c r="V128" s="1352"/>
      <c r="W128" s="1352"/>
      <c r="X128" s="1352"/>
      <c r="Y128" s="1352"/>
      <c r="Z128" s="1352" t="str">
        <f>'PIM Model'!$AF$28</f>
        <v/>
      </c>
      <c r="AA128" s="1352"/>
      <c r="AB128" s="1352"/>
      <c r="AC128" s="1352"/>
      <c r="AD128" s="1352"/>
      <c r="AE128" s="1352"/>
      <c r="AF128" s="1420" t="str">
        <f>'PIM Model'!$AG$28</f>
        <v/>
      </c>
      <c r="AG128" s="1421"/>
      <c r="AH128" s="1421"/>
      <c r="AI128" s="1421"/>
      <c r="AJ128" s="1421"/>
      <c r="AK128" s="1421"/>
      <c r="AL128" s="1426"/>
      <c r="AM128" s="1420" t="str">
        <f>'PIM Model'!$AH$28</f>
        <v/>
      </c>
      <c r="AN128" s="1421"/>
      <c r="AO128" s="1421"/>
      <c r="AP128" s="1421"/>
      <c r="AQ128" s="1421"/>
      <c r="AR128" s="1421"/>
      <c r="AS128" s="1422"/>
      <c r="BF128" s="141"/>
    </row>
    <row r="129" spans="2:58" x14ac:dyDescent="0.25">
      <c r="B129" s="140"/>
      <c r="D129" s="1428" t="s">
        <v>88</v>
      </c>
      <c r="E129" s="1429"/>
      <c r="F129" s="1429"/>
      <c r="G129" s="1429"/>
      <c r="H129" s="1429"/>
      <c r="I129" s="1429"/>
      <c r="J129" s="1429"/>
      <c r="K129" s="1429"/>
      <c r="L129" s="1429"/>
      <c r="M129" s="1429"/>
      <c r="N129" s="1429"/>
      <c r="O129" s="1429"/>
      <c r="P129" s="1429"/>
      <c r="Q129" s="1429"/>
      <c r="R129" s="1429"/>
      <c r="S129" s="1429"/>
      <c r="T129" s="1430"/>
      <c r="U129" s="1427" t="str">
        <f>IF('PIM Model'!$B$29=0,"",'PIM Model'!$B$29)</f>
        <v/>
      </c>
      <c r="V129" s="1352"/>
      <c r="W129" s="1352"/>
      <c r="X129" s="1352"/>
      <c r="Y129" s="1352"/>
      <c r="Z129" s="1352" t="str">
        <f>'PIM Model'!$AF$29</f>
        <v/>
      </c>
      <c r="AA129" s="1352"/>
      <c r="AB129" s="1352"/>
      <c r="AC129" s="1352"/>
      <c r="AD129" s="1352"/>
      <c r="AE129" s="1352"/>
      <c r="AF129" s="1420" t="str">
        <f>'PIM Model'!$AG$29</f>
        <v/>
      </c>
      <c r="AG129" s="1421"/>
      <c r="AH129" s="1421"/>
      <c r="AI129" s="1421"/>
      <c r="AJ129" s="1421"/>
      <c r="AK129" s="1421"/>
      <c r="AL129" s="1426"/>
      <c r="AM129" s="1420" t="str">
        <f>'PIM Model'!$AH$29</f>
        <v/>
      </c>
      <c r="AN129" s="1421"/>
      <c r="AO129" s="1421"/>
      <c r="AP129" s="1421"/>
      <c r="AQ129" s="1421"/>
      <c r="AR129" s="1421"/>
      <c r="AS129" s="1422"/>
      <c r="BF129" s="141"/>
    </row>
    <row r="130" spans="2:58" ht="15.75" thickBot="1" x14ac:dyDescent="0.3">
      <c r="B130" s="140"/>
      <c r="D130" s="1434" t="s">
        <v>87</v>
      </c>
      <c r="E130" s="1435"/>
      <c r="F130" s="1435"/>
      <c r="G130" s="1435"/>
      <c r="H130" s="1435"/>
      <c r="I130" s="1435"/>
      <c r="J130" s="1435"/>
      <c r="K130" s="1435"/>
      <c r="L130" s="1435"/>
      <c r="M130" s="1435"/>
      <c r="N130" s="1435"/>
      <c r="O130" s="1435"/>
      <c r="P130" s="1435"/>
      <c r="Q130" s="1435"/>
      <c r="R130" s="1435"/>
      <c r="S130" s="1435"/>
      <c r="T130" s="1436"/>
      <c r="U130" s="1431" t="str">
        <f>IF('PIM Model'!$B$30=0,"",'PIM Model'!$B$30)</f>
        <v/>
      </c>
      <c r="V130" s="1424"/>
      <c r="W130" s="1424"/>
      <c r="X130" s="1424"/>
      <c r="Y130" s="1424"/>
      <c r="Z130" s="1424" t="str">
        <f>'PIM Model'!$AF$30</f>
        <v/>
      </c>
      <c r="AA130" s="1424"/>
      <c r="AB130" s="1424"/>
      <c r="AC130" s="1424"/>
      <c r="AD130" s="1424"/>
      <c r="AE130" s="1424"/>
      <c r="AF130" s="1412" t="str">
        <f>'PIM Model'!$AG$30</f>
        <v/>
      </c>
      <c r="AG130" s="1413"/>
      <c r="AH130" s="1413"/>
      <c r="AI130" s="1413"/>
      <c r="AJ130" s="1413"/>
      <c r="AK130" s="1413"/>
      <c r="AL130" s="1414"/>
      <c r="AM130" s="1412" t="str">
        <f>'PIM Model'!$AH$30</f>
        <v/>
      </c>
      <c r="AN130" s="1413"/>
      <c r="AO130" s="1413"/>
      <c r="AP130" s="1413"/>
      <c r="AQ130" s="1413"/>
      <c r="AR130" s="1413"/>
      <c r="AS130" s="1423"/>
      <c r="BF130" s="141"/>
    </row>
    <row r="131" spans="2:58" ht="16.5" thickTop="1" thickBot="1" x14ac:dyDescent="0.3">
      <c r="B131" s="140"/>
      <c r="D131" s="1403" t="s">
        <v>1040</v>
      </c>
      <c r="E131" s="1404"/>
      <c r="F131" s="1404"/>
      <c r="G131" s="1404"/>
      <c r="H131" s="1404"/>
      <c r="I131" s="1404"/>
      <c r="J131" s="1404"/>
      <c r="K131" s="1404"/>
      <c r="L131" s="1404"/>
      <c r="M131" s="1404"/>
      <c r="N131" s="1404"/>
      <c r="O131" s="1404"/>
      <c r="P131" s="1404"/>
      <c r="Q131" s="1404"/>
      <c r="R131" s="1404"/>
      <c r="S131" s="1404"/>
      <c r="T131" s="1405"/>
      <c r="U131" s="1406">
        <f>COUNT($U$110:$Y$130)</f>
        <v>0</v>
      </c>
      <c r="V131" s="1407"/>
      <c r="W131" s="1407"/>
      <c r="X131" s="1407"/>
      <c r="Y131" s="1407"/>
      <c r="Z131" s="1404">
        <f>COUNTIF($Z$110:$AE$130,"ABOVE")+COUNTIF($Z$110:$AE$130,"BELOW")</f>
        <v>0</v>
      </c>
      <c r="AA131" s="1404"/>
      <c r="AB131" s="1404"/>
      <c r="AC131" s="1404"/>
      <c r="AD131" s="1404"/>
      <c r="AE131" s="1404"/>
      <c r="AF131" s="1408"/>
      <c r="AG131" s="1409"/>
      <c r="AH131" s="1409"/>
      <c r="AI131" s="1409"/>
      <c r="AJ131" s="1409"/>
      <c r="AK131" s="1409"/>
      <c r="AL131" s="1410"/>
      <c r="AM131" s="1408"/>
      <c r="AN131" s="1409"/>
      <c r="AO131" s="1409"/>
      <c r="AP131" s="1409"/>
      <c r="AQ131" s="1409"/>
      <c r="AR131" s="1409"/>
      <c r="AS131" s="1411"/>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1445</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22" t="s">
        <v>1064</v>
      </c>
      <c r="C2" s="1523"/>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20" t="s">
        <v>874</v>
      </c>
      <c r="C6" s="1521"/>
      <c r="D6" s="137"/>
      <c r="E6" s="137"/>
      <c r="F6" s="137"/>
    </row>
    <row r="7" spans="1:6" x14ac:dyDescent="0.25">
      <c r="A7" s="137"/>
      <c r="B7" s="663" t="s">
        <v>867</v>
      </c>
      <c r="C7" s="722" t="s">
        <v>1218</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20" t="s">
        <v>875</v>
      </c>
      <c r="C13" s="1521"/>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1200</v>
      </c>
      <c r="B1" s="836" t="s">
        <v>1203</v>
      </c>
      <c r="C1" s="836" t="s">
        <v>1204</v>
      </c>
      <c r="D1" s="22" t="s">
        <v>1201</v>
      </c>
      <c r="E1" s="22" t="s">
        <v>1202</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1088</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1102</v>
      </c>
      <c r="B17" s="836">
        <v>2355</v>
      </c>
      <c r="C17" s="836" t="s">
        <v>1103</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1238</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1104</v>
      </c>
      <c r="B38" s="836">
        <v>2365</v>
      </c>
      <c r="C38" s="836" t="s">
        <v>1105</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1236</v>
      </c>
      <c r="B62" s="914">
        <v>4170</v>
      </c>
      <c r="C62" s="914" t="s">
        <v>1237</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1095</v>
      </c>
      <c r="B1" s="781" t="s">
        <v>1094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1095</v>
      </c>
      <c r="B1" s="781" t="s">
        <v>1094</v>
      </c>
      <c r="C1" s="783" t="s">
        <v>1090</v>
      </c>
      <c r="D1" s="783" t="s">
        <v>1091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1095</v>
      </c>
      <c r="B1" s="781" t="s">
        <v>1094</v>
      </c>
      <c r="C1" s="781" t="s">
        <v>1115</v>
      </c>
      <c r="D1" s="781" t="s">
        <v>1116</v>
      </c>
      <c r="E1" s="781" t="s">
        <v>1117</v>
      </c>
      <c r="F1" s="781" t="s">
        <v>1118</v>
      </c>
      <c r="G1" s="781" t="s">
        <v>1119</v>
      </c>
      <c r="H1" s="781" t="s">
        <v>1120</v>
      </c>
      <c r="I1" s="781" t="s">
        <v>1114</v>
      </c>
      <c r="J1" s="781" t="s">
        <v>1121</v>
      </c>
      <c r="K1" s="781" t="s">
        <v>1122</v>
      </c>
      <c r="L1" s="781" t="s">
        <v>1123</v>
      </c>
      <c r="M1" s="781" t="s">
        <v>1124</v>
      </c>
      <c r="N1" s="781" t="s">
        <v>1125</v>
      </c>
      <c r="O1" s="781" t="s">
        <v>1126</v>
      </c>
      <c r="P1" s="781" t="s">
        <v>1127</v>
      </c>
      <c r="Q1" s="781" t="s">
        <v>1128</v>
      </c>
      <c r="R1" s="781" t="s">
        <v>1129</v>
      </c>
      <c r="S1" s="781" t="s">
        <v>1130</v>
      </c>
      <c r="T1" s="781" t="s">
        <v>1131</v>
      </c>
      <c r="U1" s="781" t="s">
        <v>1132</v>
      </c>
      <c r="V1" s="781" t="s">
        <v>405</v>
      </c>
      <c r="W1" s="781" t="s">
        <v>1112</v>
      </c>
      <c r="X1" s="781" t="s">
        <v>1133</v>
      </c>
      <c r="Y1" s="781" t="s">
        <v>1134</v>
      </c>
      <c r="Z1" s="781" t="s">
        <v>1135</v>
      </c>
      <c r="AA1" s="781" t="s">
        <v>1136</v>
      </c>
      <c r="AB1" s="781" t="s">
        <v>1089</v>
      </c>
      <c r="AC1" s="781" t="s">
        <v>1295</v>
      </c>
      <c r="AD1" s="781" t="s">
        <v>1502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1094</v>
      </c>
      <c r="B1" s="781" t="s">
        <v>1095</v>
      </c>
      <c r="C1" s="781" t="s">
        <v>1153</v>
      </c>
      <c r="D1" s="781" t="s">
        <v>1154</v>
      </c>
      <c r="E1" s="781" t="s">
        <v>1155</v>
      </c>
      <c r="F1" s="781" t="s">
        <v>1156</v>
      </c>
      <c r="G1" s="781" t="s">
        <v>1448</v>
      </c>
      <c r="H1" s="781" t="s">
        <v>1449</v>
      </c>
      <c r="I1" s="781" t="s">
        <v>1450</v>
      </c>
      <c r="J1" s="781" t="s">
        <v>1451</v>
      </c>
      <c r="K1" s="781" t="s">
        <v>1452</v>
      </c>
      <c r="L1" s="781" t="s">
        <v>1453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1095</v>
      </c>
      <c r="B1" s="781" t="s">
        <v>1094</v>
      </c>
      <c r="C1" s="781" t="s">
        <v>1111</v>
      </c>
      <c r="D1" s="781" t="s">
        <v>1112</v>
      </c>
      <c r="E1" s="781" t="s">
        <v>1113</v>
      </c>
      <c r="F1" s="781" t="s">
        <v>1114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1089</v>
      </c>
      <c r="B1" s="781" t="s">
        <v>247</v>
      </c>
      <c r="C1" s="781" t="s">
        <v>1137</v>
      </c>
      <c r="D1" s="781" t="s">
        <v>1090</v>
      </c>
      <c r="E1" s="781" t="s">
        <v>1091</v>
      </c>
      <c r="F1" s="781" t="s">
        <v>1092</v>
      </c>
      <c r="G1" s="781" t="s">
        <v>1093</v>
      </c>
      <c r="H1" s="781" t="s">
        <v>1138</v>
      </c>
      <c r="I1" s="781" t="s">
        <v>1139</v>
      </c>
      <c r="J1" s="781" t="s">
        <v>1140</v>
      </c>
      <c r="K1" s="781" t="s">
        <v>1141</v>
      </c>
      <c r="L1" s="781" t="s">
        <v>1142</v>
      </c>
      <c r="M1" s="781" t="s">
        <v>1143</v>
      </c>
      <c r="N1" s="781" t="s">
        <v>1144</v>
      </c>
      <c r="O1" s="781" t="s">
        <v>1144</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1092</v>
      </c>
      <c r="B1" s="781" t="s">
        <v>1089</v>
      </c>
      <c r="C1" s="781" t="s">
        <v>1090</v>
      </c>
      <c r="D1" s="781" t="s">
        <v>1096</v>
      </c>
      <c r="E1" s="781" t="s">
        <v>1141</v>
      </c>
      <c r="F1" s="781" t="s">
        <v>1145</v>
      </c>
      <c r="G1" s="781" t="s">
        <v>1140</v>
      </c>
      <c r="H1" s="781" t="s">
        <v>1157</v>
      </c>
      <c r="I1" s="781" t="s">
        <v>1158</v>
      </c>
      <c r="J1" s="781" t="s">
        <v>1159</v>
      </c>
      <c r="K1" s="781" t="s">
        <v>1097</v>
      </c>
      <c r="L1" s="781" t="s">
        <v>1098</v>
      </c>
      <c r="M1" s="781" t="s">
        <v>1099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1151</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1150</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1146</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989</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989</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1495</v>
      </c>
      <c r="B7" t="s">
        <v>103</v>
      </c>
      <c r="C7" s="2" t="s">
        <v>214</v>
      </c>
      <c r="D7" s="24">
        <v>0</v>
      </c>
      <c r="E7" s="24">
        <v>7.0000000000000007E-2</v>
      </c>
      <c r="F7" s="24">
        <v>0.1</v>
      </c>
      <c r="G7" s="24"/>
      <c r="H7" s="24"/>
      <c r="I7" s="24"/>
      <c r="J7" s="24"/>
      <c r="L7" s="24"/>
      <c r="M7" s="24"/>
      <c r="N7" s="24"/>
    </row>
    <row r="8" spans="1:14" x14ac:dyDescent="0.25">
      <c r="A8" t="s">
        <v>1491</v>
      </c>
      <c r="B8" t="s">
        <v>103</v>
      </c>
      <c r="C8" s="2" t="s">
        <v>215</v>
      </c>
      <c r="D8" s="24">
        <v>0</v>
      </c>
      <c r="E8" s="24">
        <v>7.0000000000000007E-2</v>
      </c>
      <c r="F8" s="24">
        <v>0.09</v>
      </c>
      <c r="G8" s="24"/>
      <c r="H8" s="24"/>
      <c r="I8" s="24"/>
      <c r="J8" s="24"/>
      <c r="L8" s="24"/>
      <c r="M8" s="24"/>
      <c r="N8" s="24"/>
    </row>
    <row r="9" spans="1:14" x14ac:dyDescent="0.25">
      <c r="A9" t="s">
        <v>1492</v>
      </c>
      <c r="B9" t="s">
        <v>103</v>
      </c>
      <c r="C9" s="2" t="s">
        <v>216</v>
      </c>
      <c r="D9" s="24">
        <v>0</v>
      </c>
      <c r="E9" s="24">
        <v>0.06</v>
      </c>
      <c r="F9" s="24">
        <v>0.08</v>
      </c>
      <c r="G9" s="24"/>
      <c r="H9" s="24"/>
      <c r="I9" s="24"/>
      <c r="J9" s="24"/>
      <c r="L9" s="24"/>
      <c r="M9" s="24"/>
      <c r="N9" s="24"/>
    </row>
    <row r="10" spans="1:14" x14ac:dyDescent="0.25">
      <c r="A10" t="s">
        <v>1493</v>
      </c>
      <c r="B10" t="s">
        <v>103</v>
      </c>
      <c r="C10" s="2" t="s">
        <v>270</v>
      </c>
      <c r="D10" s="24">
        <v>0</v>
      </c>
      <c r="E10" s="24">
        <v>0.05</v>
      </c>
      <c r="F10" s="24">
        <v>7.0000000000000007E-2</v>
      </c>
      <c r="G10" s="24"/>
      <c r="H10" s="24"/>
      <c r="I10" s="24"/>
      <c r="J10" s="24"/>
      <c r="L10" s="24"/>
      <c r="M10" s="24"/>
      <c r="N10" s="24"/>
    </row>
    <row r="11" spans="1:14" x14ac:dyDescent="0.25">
      <c r="A11" t="s">
        <v>1494</v>
      </c>
      <c r="B11" t="s">
        <v>103</v>
      </c>
      <c r="C11" s="2" t="s">
        <v>271</v>
      </c>
      <c r="D11" s="24">
        <v>0</v>
      </c>
      <c r="E11" s="24">
        <v>0.04</v>
      </c>
      <c r="F11" s="24">
        <v>0.06</v>
      </c>
      <c r="G11" s="24"/>
      <c r="H11" s="24"/>
      <c r="I11" s="24"/>
      <c r="J11" s="24"/>
      <c r="L11" s="24"/>
      <c r="M11" s="24"/>
      <c r="N11" s="24"/>
    </row>
    <row r="12" spans="1:14" x14ac:dyDescent="0.25">
      <c r="A12" t="s">
        <v>1500</v>
      </c>
      <c r="B12" t="s">
        <v>1445</v>
      </c>
      <c r="C12" s="2" t="s">
        <v>214</v>
      </c>
      <c r="D12" s="24">
        <v>0</v>
      </c>
      <c r="E12" s="24">
        <v>7.0000000000000007E-2</v>
      </c>
      <c r="F12" s="24">
        <v>0.09</v>
      </c>
      <c r="G12" s="24"/>
      <c r="H12" s="24"/>
      <c r="I12" s="24"/>
      <c r="J12" s="24"/>
      <c r="L12" s="24"/>
      <c r="M12" s="24"/>
      <c r="N12" s="24"/>
    </row>
    <row r="13" spans="1:14" x14ac:dyDescent="0.25">
      <c r="A13" t="s">
        <v>1496</v>
      </c>
      <c r="B13" t="s">
        <v>1445</v>
      </c>
      <c r="C13" s="2" t="s">
        <v>215</v>
      </c>
      <c r="D13" s="24">
        <v>0</v>
      </c>
      <c r="E13" s="24">
        <v>7.0000000000000007E-2</v>
      </c>
      <c r="F13" s="24">
        <v>0.08</v>
      </c>
      <c r="G13" s="24"/>
      <c r="H13" s="24"/>
      <c r="I13" s="24"/>
      <c r="J13" s="24"/>
      <c r="L13" s="24"/>
      <c r="M13" s="24"/>
      <c r="N13" s="24"/>
    </row>
    <row r="14" spans="1:14" x14ac:dyDescent="0.25">
      <c r="A14" t="s">
        <v>1497</v>
      </c>
      <c r="B14" t="s">
        <v>1445</v>
      </c>
      <c r="C14" s="2" t="s">
        <v>216</v>
      </c>
      <c r="D14" s="24">
        <v>0</v>
      </c>
      <c r="E14" s="24">
        <v>0.06</v>
      </c>
      <c r="F14" s="24">
        <v>7.0000000000000007E-2</v>
      </c>
      <c r="G14" s="24"/>
      <c r="H14" s="24"/>
      <c r="I14" s="24"/>
      <c r="J14" s="24"/>
      <c r="L14" s="24"/>
      <c r="M14" s="24"/>
      <c r="N14" s="24"/>
    </row>
    <row r="15" spans="1:14" x14ac:dyDescent="0.25">
      <c r="A15" t="s">
        <v>1498</v>
      </c>
      <c r="B15" t="s">
        <v>1445</v>
      </c>
      <c r="C15" s="2" t="s">
        <v>270</v>
      </c>
      <c r="D15" s="24">
        <v>0</v>
      </c>
      <c r="E15" s="24">
        <v>0.05</v>
      </c>
      <c r="F15" s="24">
        <v>0.06</v>
      </c>
      <c r="G15" s="24"/>
      <c r="H15" s="24"/>
      <c r="I15" s="24"/>
      <c r="J15" s="24"/>
      <c r="L15" s="24"/>
      <c r="M15" s="24"/>
      <c r="N15" s="24"/>
    </row>
    <row r="16" spans="1:14" x14ac:dyDescent="0.25">
      <c r="A16" t="s">
        <v>1499</v>
      </c>
      <c r="B16" t="s">
        <v>1445</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990</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1071</v>
      </c>
      <c r="AJ1" t="s">
        <v>1164</v>
      </c>
      <c r="AK1" t="s">
        <v>1337</v>
      </c>
    </row>
    <row r="2" spans="1:37" x14ac:dyDescent="0.25">
      <c r="A2" t="s">
        <v>438</v>
      </c>
      <c r="B2" t="s">
        <v>106</v>
      </c>
      <c r="C2" t="s">
        <v>1</v>
      </c>
      <c r="E2" t="s">
        <v>58</v>
      </c>
      <c r="F2" s="3">
        <v>1</v>
      </c>
      <c r="G2" s="14" t="s">
        <v>130</v>
      </c>
      <c r="H2" s="14" t="s">
        <v>222</v>
      </c>
      <c r="I2" s="14" t="s">
        <v>518</v>
      </c>
      <c r="J2" s="14">
        <v>0.01</v>
      </c>
      <c r="K2" s="14">
        <v>1.4999999999999999E-2</v>
      </c>
      <c r="L2" t="s">
        <v>207</v>
      </c>
      <c r="M2">
        <v>2</v>
      </c>
      <c r="N2" t="s">
        <v>1025</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1018</v>
      </c>
      <c r="AI2" t="s">
        <v>492</v>
      </c>
      <c r="AJ2" t="s">
        <v>671</v>
      </c>
      <c r="AK2" t="s">
        <v>1338</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1017</v>
      </c>
      <c r="AC3" t="s">
        <v>468</v>
      </c>
      <c r="AD3" t="s">
        <v>504</v>
      </c>
      <c r="AE3" t="s">
        <v>505</v>
      </c>
      <c r="AF3" s="59">
        <v>0.09</v>
      </c>
      <c r="AI3" t="s">
        <v>491</v>
      </c>
      <c r="AJ3" t="s">
        <v>669</v>
      </c>
      <c r="AK3" t="s">
        <v>1339</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1207</v>
      </c>
      <c r="AF4" s="59">
        <v>0.1</v>
      </c>
      <c r="AI4" t="s">
        <v>1292</v>
      </c>
      <c r="AK4" t="s">
        <v>1340</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1293</v>
      </c>
      <c r="AF5" s="59">
        <v>0.11</v>
      </c>
      <c r="AK5" t="s">
        <v>1341</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1294</v>
      </c>
      <c r="AF6" s="59">
        <v>0.12</v>
      </c>
      <c r="AK6" t="s">
        <v>1342</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1241</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1226</v>
      </c>
      <c r="B5" s="1152" t="s">
        <v>18</v>
      </c>
      <c r="C5" s="1152" t="s">
        <v>1227</v>
      </c>
      <c r="D5" s="1152" t="s">
        <v>1227</v>
      </c>
      <c r="E5" s="1150">
        <v>4190</v>
      </c>
      <c r="F5" s="1150" t="s">
        <v>1226</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1482</v>
      </c>
      <c r="C7" s="1152" t="s">
        <v>389</v>
      </c>
      <c r="D7" s="1152" t="s">
        <v>42</v>
      </c>
      <c r="E7" s="1150">
        <v>3023</v>
      </c>
      <c r="F7" s="1150" t="s">
        <v>144</v>
      </c>
      <c r="G7" s="1152" t="s">
        <v>1482</v>
      </c>
    </row>
    <row r="8" spans="1:7" x14ac:dyDescent="0.25">
      <c r="A8" s="1168" t="s">
        <v>1228</v>
      </c>
      <c r="B8" s="1152" t="s">
        <v>18</v>
      </c>
      <c r="C8" s="1152" t="s">
        <v>397</v>
      </c>
      <c r="D8" s="1152" t="s">
        <v>1229</v>
      </c>
      <c r="E8" s="1150">
        <v>3310</v>
      </c>
      <c r="F8" s="1150" t="s">
        <v>1228</v>
      </c>
      <c r="G8" s="1152" t="s">
        <v>18</v>
      </c>
    </row>
    <row r="9" spans="1:7" x14ac:dyDescent="0.25">
      <c r="A9" s="1168" t="s">
        <v>180</v>
      </c>
      <c r="B9" s="1152" t="s">
        <v>1482</v>
      </c>
      <c r="C9" s="1152" t="s">
        <v>1100</v>
      </c>
      <c r="D9" s="1152" t="s">
        <v>915</v>
      </c>
      <c r="E9" s="1150">
        <v>2345</v>
      </c>
      <c r="F9" s="1150" t="s">
        <v>180</v>
      </c>
      <c r="G9" s="1152" t="s">
        <v>1482</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1106</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1482</v>
      </c>
      <c r="C14" s="1152" t="s">
        <v>194</v>
      </c>
      <c r="D14" s="1152" t="s">
        <v>58</v>
      </c>
      <c r="E14" s="1150">
        <v>2099</v>
      </c>
      <c r="F14" s="1150" t="s">
        <v>174</v>
      </c>
      <c r="G14" s="1152" t="s">
        <v>1482</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1482</v>
      </c>
      <c r="C20" s="1152" t="s">
        <v>390</v>
      </c>
      <c r="D20" s="1152" t="s">
        <v>26</v>
      </c>
      <c r="E20" s="1150">
        <v>3150</v>
      </c>
      <c r="F20" s="1150" t="s">
        <v>146</v>
      </c>
      <c r="G20" s="1152" t="s">
        <v>1482</v>
      </c>
    </row>
    <row r="21" spans="1:7" x14ac:dyDescent="0.25">
      <c r="A21" s="1168" t="s">
        <v>1230</v>
      </c>
      <c r="B21" s="1152" t="s">
        <v>1482</v>
      </c>
      <c r="C21" s="1152" t="s">
        <v>399</v>
      </c>
      <c r="D21" s="1152" t="s">
        <v>1231</v>
      </c>
      <c r="E21" s="1150">
        <v>3340</v>
      </c>
      <c r="F21" s="1150" t="s">
        <v>1230</v>
      </c>
      <c r="G21" s="1152" t="s">
        <v>1482</v>
      </c>
    </row>
    <row r="22" spans="1:7" x14ac:dyDescent="0.25">
      <c r="A22" s="1168" t="s">
        <v>147</v>
      </c>
      <c r="B22" s="1152" t="s">
        <v>1482</v>
      </c>
      <c r="C22" s="1152" t="s">
        <v>399</v>
      </c>
      <c r="D22" s="1152" t="s">
        <v>1232</v>
      </c>
      <c r="E22" s="1150">
        <v>3160</v>
      </c>
      <c r="F22" s="1150" t="s">
        <v>147</v>
      </c>
      <c r="G22" s="1152" t="s">
        <v>1482</v>
      </c>
    </row>
    <row r="23" spans="1:7" x14ac:dyDescent="0.25">
      <c r="A23" s="1168" t="s">
        <v>142</v>
      </c>
      <c r="B23" s="1152" t="s">
        <v>13</v>
      </c>
      <c r="C23" s="1152" t="s">
        <v>196</v>
      </c>
      <c r="D23" s="1152" t="s">
        <v>67</v>
      </c>
      <c r="E23" s="1150">
        <v>1106</v>
      </c>
      <c r="F23" s="1150" t="s">
        <v>142</v>
      </c>
      <c r="G23" s="1152" t="s">
        <v>13</v>
      </c>
    </row>
    <row r="24" spans="1:7" x14ac:dyDescent="0.25">
      <c r="A24" s="1168" t="s">
        <v>1242</v>
      </c>
      <c r="B24" s="1152" t="s">
        <v>18</v>
      </c>
      <c r="C24" s="1152" t="s">
        <v>1243</v>
      </c>
      <c r="D24" s="1152" t="s">
        <v>1244</v>
      </c>
      <c r="E24" s="1150">
        <v>4175</v>
      </c>
      <c r="F24" s="1150" t="s">
        <v>1242</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1482</v>
      </c>
      <c r="C26" s="1152" t="s">
        <v>1100</v>
      </c>
      <c r="D26" s="1152" t="s">
        <v>916</v>
      </c>
      <c r="E26" s="1150">
        <v>2340</v>
      </c>
      <c r="F26" s="1150" t="s">
        <v>178</v>
      </c>
      <c r="G26" s="1152" t="s">
        <v>1482</v>
      </c>
    </row>
    <row r="27" spans="1:7" x14ac:dyDescent="0.25">
      <c r="A27" s="1168" t="s">
        <v>1104</v>
      </c>
      <c r="B27" s="1152" t="s">
        <v>1482</v>
      </c>
      <c r="C27" s="1152" t="s">
        <v>198</v>
      </c>
      <c r="D27" s="1152" t="s">
        <v>1105</v>
      </c>
      <c r="E27" s="1150">
        <v>2365</v>
      </c>
      <c r="F27" s="1150" t="s">
        <v>1104</v>
      </c>
      <c r="G27" s="1152" t="s">
        <v>1482</v>
      </c>
    </row>
    <row r="28" spans="1:7" x14ac:dyDescent="0.25">
      <c r="A28" s="1168" t="s">
        <v>145</v>
      </c>
      <c r="B28" s="1152" t="s">
        <v>1482</v>
      </c>
      <c r="C28" s="1152" t="s">
        <v>389</v>
      </c>
      <c r="D28" s="1152" t="s">
        <v>80</v>
      </c>
      <c r="E28" s="1150">
        <v>3126</v>
      </c>
      <c r="F28" s="1150" t="s">
        <v>145</v>
      </c>
      <c r="G28" s="1152" t="s">
        <v>1482</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1482</v>
      </c>
      <c r="C30" s="1152" t="s">
        <v>199</v>
      </c>
      <c r="D30" s="1152" t="s">
        <v>77</v>
      </c>
      <c r="E30" s="1150">
        <v>2370</v>
      </c>
      <c r="F30" s="1150" t="s">
        <v>154</v>
      </c>
      <c r="G30" s="1152" t="s">
        <v>1482</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1482</v>
      </c>
      <c r="C32" s="1152" t="s">
        <v>198</v>
      </c>
      <c r="D32" s="1152" t="s">
        <v>37</v>
      </c>
      <c r="E32" s="1150">
        <v>3230</v>
      </c>
      <c r="F32" s="1150" t="s">
        <v>151</v>
      </c>
      <c r="G32" s="1152" t="s">
        <v>1482</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1108</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1241</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1108</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1482</v>
      </c>
      <c r="C41" s="1152" t="s">
        <v>199</v>
      </c>
      <c r="D41" s="1152" t="s">
        <v>39</v>
      </c>
      <c r="E41" s="1150">
        <v>2350</v>
      </c>
      <c r="F41" s="1150" t="s">
        <v>181</v>
      </c>
      <c r="G41" s="1152" t="s">
        <v>1482</v>
      </c>
    </row>
    <row r="42" spans="1:7" x14ac:dyDescent="0.25">
      <c r="A42" s="1168" t="s">
        <v>158</v>
      </c>
      <c r="B42" s="1152" t="s">
        <v>8</v>
      </c>
      <c r="C42" s="1152" t="s">
        <v>387</v>
      </c>
      <c r="D42" s="1152" t="s">
        <v>49</v>
      </c>
      <c r="E42" s="1150">
        <v>2230</v>
      </c>
      <c r="F42" s="1150" t="s">
        <v>158</v>
      </c>
      <c r="G42" s="1152" t="s">
        <v>8</v>
      </c>
    </row>
    <row r="43" spans="1:7" x14ac:dyDescent="0.25">
      <c r="A43" s="1168" t="s">
        <v>1109</v>
      </c>
      <c r="B43" s="1152" t="s">
        <v>8</v>
      </c>
      <c r="C43" s="1152" t="s">
        <v>387</v>
      </c>
      <c r="D43" s="1152" t="s">
        <v>1447</v>
      </c>
      <c r="E43" s="1150">
        <v>3040</v>
      </c>
      <c r="F43" s="1150" t="s">
        <v>1109</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1482</v>
      </c>
      <c r="C45" s="1152" t="s">
        <v>390</v>
      </c>
      <c r="D45" s="1152" t="s">
        <v>24</v>
      </c>
      <c r="E45" s="1150">
        <v>3170</v>
      </c>
      <c r="F45" s="1150" t="s">
        <v>150</v>
      </c>
      <c r="G45" s="1152" t="s">
        <v>1482</v>
      </c>
    </row>
    <row r="46" spans="1:7" x14ac:dyDescent="0.25">
      <c r="A46" s="1168" t="s">
        <v>135</v>
      </c>
      <c r="B46" s="1152" t="s">
        <v>1482</v>
      </c>
      <c r="C46" s="1152" t="s">
        <v>198</v>
      </c>
      <c r="D46" s="1152" t="s">
        <v>72</v>
      </c>
      <c r="E46" s="1150">
        <v>2360</v>
      </c>
      <c r="F46" s="1150" t="s">
        <v>135</v>
      </c>
      <c r="G46" s="1152" t="s">
        <v>1482</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1245</v>
      </c>
      <c r="B50" s="1152" t="s">
        <v>18</v>
      </c>
      <c r="C50" s="1152" t="s">
        <v>1243</v>
      </c>
      <c r="D50" s="1152" t="s">
        <v>1246</v>
      </c>
      <c r="E50" s="1150">
        <v>4135</v>
      </c>
      <c r="F50" s="1150" t="s">
        <v>1245</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1233</v>
      </c>
      <c r="B53" s="1152" t="s">
        <v>18</v>
      </c>
      <c r="C53" s="1152" t="s">
        <v>1234</v>
      </c>
      <c r="D53" s="1152" t="s">
        <v>1235</v>
      </c>
      <c r="E53" s="1150">
        <v>4210</v>
      </c>
      <c r="F53" s="1150" t="s">
        <v>1233</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1483</v>
      </c>
      <c r="D56" s="1152" t="s">
        <v>25</v>
      </c>
      <c r="E56" s="1150">
        <v>2135</v>
      </c>
      <c r="F56" s="1150" t="s">
        <v>153</v>
      </c>
      <c r="G56" s="1152" t="s">
        <v>8</v>
      </c>
    </row>
    <row r="57" spans="1:7" x14ac:dyDescent="0.25">
      <c r="A57" s="1168" t="s">
        <v>139</v>
      </c>
      <c r="B57" s="1152" t="s">
        <v>1482</v>
      </c>
      <c r="C57" s="1152" t="s">
        <v>197</v>
      </c>
      <c r="D57" s="1152" t="s">
        <v>47</v>
      </c>
      <c r="E57" s="1150">
        <v>3210</v>
      </c>
      <c r="F57" s="1150" t="s">
        <v>139</v>
      </c>
      <c r="G57" s="1152" t="s">
        <v>1482</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1236</v>
      </c>
      <c r="B61" s="1152" t="s">
        <v>18</v>
      </c>
      <c r="C61" s="1152" t="s">
        <v>75</v>
      </c>
      <c r="D61" s="1152" t="s">
        <v>1237</v>
      </c>
      <c r="E61" s="1150">
        <v>4170</v>
      </c>
      <c r="F61" s="1150" t="s">
        <v>1236</v>
      </c>
      <c r="G61" s="1152" t="s">
        <v>18</v>
      </c>
    </row>
    <row r="62" spans="1:7" x14ac:dyDescent="0.25">
      <c r="A62" s="1168" t="s">
        <v>167</v>
      </c>
      <c r="B62" s="1152" t="s">
        <v>18</v>
      </c>
      <c r="C62" s="1152" t="s">
        <v>75</v>
      </c>
      <c r="D62" s="1152" t="s">
        <v>1238</v>
      </c>
      <c r="E62" s="1150">
        <v>4147</v>
      </c>
      <c r="F62" s="1150" t="s">
        <v>167</v>
      </c>
      <c r="G62" s="1152" t="s">
        <v>18</v>
      </c>
    </row>
    <row r="63" spans="1:7" x14ac:dyDescent="0.25">
      <c r="A63" s="1168" t="s">
        <v>1239</v>
      </c>
      <c r="B63" s="1152" t="s">
        <v>18</v>
      </c>
      <c r="C63" s="1152" t="s">
        <v>1234</v>
      </c>
      <c r="D63" s="1152" t="s">
        <v>1240</v>
      </c>
      <c r="E63" s="1150">
        <v>4220</v>
      </c>
      <c r="F63" s="1150" t="s">
        <v>1239</v>
      </c>
      <c r="G63" s="1152" t="s">
        <v>18</v>
      </c>
    </row>
    <row r="64" spans="1:7" x14ac:dyDescent="0.25">
      <c r="A64" s="1168" t="s">
        <v>133</v>
      </c>
      <c r="B64" s="1152" t="s">
        <v>1482</v>
      </c>
      <c r="C64" s="1152" t="s">
        <v>197</v>
      </c>
      <c r="D64" s="1152" t="s">
        <v>44</v>
      </c>
      <c r="E64" s="1150">
        <v>3220</v>
      </c>
      <c r="F64" s="1150" t="s">
        <v>133</v>
      </c>
      <c r="G64" s="1152" t="s">
        <v>1482</v>
      </c>
    </row>
    <row r="65" spans="1:7" x14ac:dyDescent="0.25">
      <c r="A65" s="1168" t="s">
        <v>179</v>
      </c>
      <c r="B65" s="1152" t="s">
        <v>1482</v>
      </c>
      <c r="C65" s="1152" t="s">
        <v>194</v>
      </c>
      <c r="D65" s="1152" t="s">
        <v>31</v>
      </c>
      <c r="E65" s="1150">
        <v>2330</v>
      </c>
      <c r="F65" s="1150" t="s">
        <v>179</v>
      </c>
      <c r="G65" s="1152" t="s">
        <v>1482</v>
      </c>
    </row>
    <row r="66" spans="1:7" x14ac:dyDescent="0.25">
      <c r="A66" s="1168" t="s">
        <v>136</v>
      </c>
      <c r="B66" s="1152" t="s">
        <v>8</v>
      </c>
      <c r="C66" s="1152" t="s">
        <v>395</v>
      </c>
      <c r="D66" s="1152" t="s">
        <v>57</v>
      </c>
      <c r="E66" s="1150">
        <v>3103</v>
      </c>
      <c r="F66" s="1150" t="s">
        <v>136</v>
      </c>
      <c r="G66" s="1152" t="s">
        <v>8</v>
      </c>
    </row>
    <row r="67" spans="1:7" x14ac:dyDescent="0.25">
      <c r="A67" s="1168" t="s">
        <v>1247</v>
      </c>
      <c r="B67" s="1152" t="s">
        <v>18</v>
      </c>
      <c r="C67" s="1152" t="s">
        <v>1243</v>
      </c>
      <c r="D67" s="1152" t="s">
        <v>1248</v>
      </c>
      <c r="E67" s="1150">
        <v>4125</v>
      </c>
      <c r="F67" s="1150" t="s">
        <v>1247</v>
      </c>
      <c r="G67" s="1152" t="s">
        <v>18</v>
      </c>
    </row>
    <row r="68" spans="1:7" x14ac:dyDescent="0.25">
      <c r="A68" s="1168" t="s">
        <v>188</v>
      </c>
      <c r="B68" s="1152" t="s">
        <v>13</v>
      </c>
      <c r="C68" s="1152" t="s">
        <v>1483</v>
      </c>
      <c r="D68" s="1152" t="s">
        <v>81</v>
      </c>
      <c r="E68" s="1150">
        <v>2165</v>
      </c>
      <c r="F68" s="1150" t="s">
        <v>188</v>
      </c>
      <c r="G68" s="1152" t="s">
        <v>13</v>
      </c>
    </row>
    <row r="69" spans="1:7" x14ac:dyDescent="0.25">
      <c r="A69" s="1168" t="s">
        <v>143</v>
      </c>
      <c r="B69" s="1152" t="s">
        <v>13</v>
      </c>
      <c r="C69" s="1152" t="s">
        <v>1107</v>
      </c>
      <c r="D69" s="1152" t="s">
        <v>53</v>
      </c>
      <c r="E69" s="1150">
        <v>2185</v>
      </c>
      <c r="F69" s="1150" t="s">
        <v>143</v>
      </c>
      <c r="G69" s="1152" t="s">
        <v>13</v>
      </c>
    </row>
    <row r="70" spans="1:7" x14ac:dyDescent="0.25">
      <c r="A70" s="1168" t="s">
        <v>183</v>
      </c>
      <c r="B70" s="1152" t="s">
        <v>1482</v>
      </c>
      <c r="C70" s="1152" t="s">
        <v>194</v>
      </c>
      <c r="D70" s="1152" t="s">
        <v>1088</v>
      </c>
      <c r="E70" s="1150">
        <v>248</v>
      </c>
      <c r="F70" s="1150" t="s">
        <v>183</v>
      </c>
      <c r="G70" s="1152" t="s">
        <v>1482</v>
      </c>
    </row>
    <row r="71" spans="1:7" x14ac:dyDescent="0.25">
      <c r="A71" s="1168" t="s">
        <v>1110</v>
      </c>
      <c r="B71" s="1152" t="s">
        <v>13</v>
      </c>
      <c r="C71" s="1152" t="s">
        <v>1484</v>
      </c>
      <c r="D71" s="1152" t="s">
        <v>1485</v>
      </c>
      <c r="E71" s="1150">
        <v>2010</v>
      </c>
      <c r="F71" s="1150" t="s">
        <v>1110</v>
      </c>
      <c r="G71" s="1152" t="s">
        <v>13</v>
      </c>
    </row>
    <row r="72" spans="1:7" x14ac:dyDescent="0.25">
      <c r="A72" s="1168" t="s">
        <v>385</v>
      </c>
      <c r="B72" s="1152" t="s">
        <v>13</v>
      </c>
      <c r="C72" s="1152" t="s">
        <v>1484</v>
      </c>
      <c r="D72" s="1152" t="s">
        <v>1486</v>
      </c>
      <c r="E72" s="1150">
        <v>2030</v>
      </c>
      <c r="F72" s="1150" t="s">
        <v>385</v>
      </c>
      <c r="G72" s="1152" t="s">
        <v>13</v>
      </c>
    </row>
    <row r="73" spans="1:7" x14ac:dyDescent="0.25">
      <c r="A73" s="1168" t="s">
        <v>1101</v>
      </c>
      <c r="B73" s="1152" t="s">
        <v>1482</v>
      </c>
      <c r="C73" s="1152" t="s">
        <v>1484</v>
      </c>
      <c r="D73" s="1152" t="s">
        <v>1487</v>
      </c>
      <c r="E73" s="1150">
        <v>2375</v>
      </c>
      <c r="F73" s="1150" t="s">
        <v>1101</v>
      </c>
      <c r="G73" s="1152" t="s">
        <v>1482</v>
      </c>
    </row>
    <row r="74" spans="1:7" x14ac:dyDescent="0.25">
      <c r="A74" s="1168" t="s">
        <v>1102</v>
      </c>
      <c r="B74" s="1152" t="s">
        <v>1482</v>
      </c>
      <c r="C74" s="1152" t="s">
        <v>1484</v>
      </c>
      <c r="D74" s="1152" t="s">
        <v>1488</v>
      </c>
      <c r="E74" s="1150">
        <v>2355</v>
      </c>
      <c r="F74" s="1150" t="s">
        <v>1102</v>
      </c>
      <c r="G74" s="1152" t="s">
        <v>1482</v>
      </c>
    </row>
    <row r="75" spans="1:7" x14ac:dyDescent="0.25">
      <c r="A75" s="1168" t="s">
        <v>182</v>
      </c>
      <c r="B75" s="1152" t="s">
        <v>1482</v>
      </c>
      <c r="C75" s="1152" t="s">
        <v>1484</v>
      </c>
      <c r="D75" s="1152" t="s">
        <v>1489</v>
      </c>
      <c r="E75" s="1150">
        <v>2310</v>
      </c>
      <c r="F75" s="1150" t="s">
        <v>182</v>
      </c>
      <c r="G75" s="1152" t="s">
        <v>1482</v>
      </c>
    </row>
    <row r="76" spans="1:7" ht="15.75" thickBot="1" x14ac:dyDescent="0.3">
      <c r="A76" s="1169" t="s">
        <v>191</v>
      </c>
      <c r="B76" s="1153" t="s">
        <v>13</v>
      </c>
      <c r="C76" s="1153" t="s">
        <v>1484</v>
      </c>
      <c r="D76" s="1153" t="s">
        <v>1490</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2021-12-23T10:09:30Z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