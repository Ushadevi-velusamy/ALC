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omments3.xml" ContentType="application/vnd.openxmlformats-officedocument.spreadsheetml.comments+xml"/>
  <Override PartName="/xl/drawings/drawing4.xml" ContentType="application/vnd.openxmlformats-officedocument.drawing+xml"/>
  <Override PartName="/xl/comments4.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5.xml" ContentType="application/vnd.openxmlformats-officedocument.spreadsheetml.comments+xml"/>
  <Override PartName="/xl/drawings/drawing7.xml" ContentType="application/vnd.openxmlformats-officedocument.drawing+xml"/>
  <Override PartName="/xl/comments6.xml" ContentType="application/vnd.openxmlformats-officedocument.spreadsheetml.comments+xml"/>
  <Override PartName="/xl/drawings/drawing8.xml" ContentType="application/vnd.openxmlformats-officedocument.drawing+xml"/>
  <Override PartName="/xl/comments7.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929" codeName="{4D1C537B-E38A-612A-F078-A93A15B4B7F4}"/>
  <workbookPr updateLinks="never" codeName="ThisWorkbook"/>
  <mc:AlternateContent xmlns:mc="http://schemas.openxmlformats.org/markup-compatibility/2006">
    <mc:Choice Requires="x15">
      <x15ac:absPath xmlns:x15ac="http://schemas.microsoft.com/office/spreadsheetml/2010/11/ac" url="C:\Users\w2q6026\OneDrive - US Foods\Desktop\ALC\"/>
    </mc:Choice>
  </mc:AlternateContent>
  <xr:revisionPtr revIDLastSave="0" documentId="13_ncr:1_{15D27388-B761-44B7-859C-13F3898DC643}" xr6:coauthVersionLast="46" xr6:coauthVersionMax="46" xr10:uidLastSave="{00000000-0000-0000-0000-000000000000}"/>
  <bookViews>
    <workbookView xWindow="-120" yWindow="-120" windowWidth="29040" windowHeight="15840" tabRatio="909" firstSheet="1" activeTab="7" xr2:uid="{00000000-000D-0000-FFFF-FFFF00000000}"/>
  </bookViews>
  <sheets>
    <sheet name="EOA Form" sheetId="65" state="hidden" r:id="rId1"/>
    <sheet name="Welcome" sheetId="74" r:id="rId2"/>
    <sheet name="Customer Inputs" sheetId="75" r:id="rId3"/>
    <sheet name="PIM Model" sheetId="70" r:id="rId4"/>
    <sheet name="Incentives" sheetId="54" r:id="rId5"/>
    <sheet name="Variable Costs &amp; Income" sheetId="11" r:id="rId6"/>
    <sheet name="Tracking &amp; Profitability" sheetId="12" r:id="rId7"/>
    <sheet name="Required Info to Submit" sheetId="57" r:id="rId8"/>
    <sheet name="Variable Costs (Back)" sheetId="36" state="veryHidden" r:id="rId9"/>
    <sheet name="EB_CM (Back)" sheetId="43" state="veryHidden" r:id="rId10"/>
    <sheet name="Multi-Customer" sheetId="72" state="veryHidden" r:id="rId11"/>
    <sheet name="PIM Ranges" sheetId="76" state="veryHidden" r:id="rId12"/>
    <sheet name="Incentive Setup" sheetId="64" state="hidden" r:id="rId13"/>
    <sheet name="MDA Worksheet" sheetId="61" state="hidden" r:id="rId14"/>
    <sheet name="PRIME Upload" sheetId="59" state="hidden" r:id="rId15"/>
    <sheet name="Basket Composition" sheetId="33" state="veryHidden" r:id="rId16"/>
    <sheet name="PRIME Headers" sheetId="69" state="hidden" r:id="rId17"/>
    <sheet name="CC MARKET EXPENSE" sheetId="85" state="hidden" r:id="rId18"/>
    <sheet name="Modellable Customers" sheetId="78" r:id="rId19"/>
    <sheet name="HOS_Modellable Customers" sheetId="84" r:id="rId20"/>
    <sheet name="Existing Customers" sheetId="40" r:id="rId21"/>
    <sheet name="Existing Customer Variable Exp" sheetId="42" r:id="rId22"/>
    <sheet name="Customer Info" sheetId="77" r:id="rId23"/>
    <sheet name="Variable Selling" sheetId="30" r:id="rId24"/>
    <sheet name="Variable Div Avgs" sheetId="14" r:id="rId25"/>
    <sheet name="3zip" sheetId="50" r:id="rId26"/>
    <sheet name="4zip" sheetId="47" r:id="rId27"/>
    <sheet name="5zip" sheetId="37" r:id="rId28"/>
    <sheet name="Margin Quartiles" sheetId="34" state="veryHidden" r:id="rId29"/>
    <sheet name="IMargin Quartiles" sheetId="48" state="veryHidden" r:id="rId30"/>
    <sheet name="Lookups" sheetId="6" state="hidden" r:id="rId31"/>
    <sheet name="Market Geography" sheetId="38" state="hidden" r:id="rId32"/>
  </sheets>
  <externalReferences>
    <externalReference r:id="rId33"/>
  </externalReferences>
  <definedNames>
    <definedName name="_xlnm._FilterDatabase" localSheetId="25" hidden="1">'3zip'!$A$1:$F$2754</definedName>
    <definedName name="_xlnm._FilterDatabase" localSheetId="26" hidden="1">'4zip'!$A$1:$F$95</definedName>
    <definedName name="_xlnm._FilterDatabase" localSheetId="27" hidden="1">'5zip'!$A$1:$F$1</definedName>
    <definedName name="_xlnm._FilterDatabase" localSheetId="15" hidden="1">'Basket Composition'!$A$2:$A$30</definedName>
    <definedName name="_xlnm._FilterDatabase" localSheetId="21" hidden="1">'Existing Customer Variable Exp'!$A$1:$F$1</definedName>
    <definedName name="_xlnm._FilterDatabase" localSheetId="20" hidden="1">'Existing Customers'!$A$1:$AA$1</definedName>
    <definedName name="_xlnm._FilterDatabase" localSheetId="19" hidden="1">'HOS_Modellable Customers'!$A$1:$B$1</definedName>
    <definedName name="_xlnm._FilterDatabase" localSheetId="29" hidden="1">'IMargin Quartiles'!$B$1:$C$106</definedName>
    <definedName name="_xlnm._FilterDatabase" localSheetId="30" hidden="1">Lookups!$E$1:$E$61</definedName>
    <definedName name="_xlnm._FilterDatabase" localSheetId="28" hidden="1">'Margin Quartiles'!$B$1:$C$111</definedName>
    <definedName name="_xlnm._FilterDatabase" localSheetId="18" hidden="1">'Modellable Customers'!$A$1:$B$916</definedName>
    <definedName name="_xlnm._FilterDatabase" localSheetId="14" hidden="1">'PRIME Upload'!$A$1:$A$82</definedName>
    <definedName name="_xlnm._FilterDatabase" localSheetId="24" hidden="1">'Variable Div Avgs'!$A$1:$M$60</definedName>
    <definedName name="_xlnm._FilterDatabase" localSheetId="23" hidden="1">'Variable Selling'!$B$1:$O$1758</definedName>
    <definedName name="actionrequested" localSheetId="2">#REF!</definedName>
    <definedName name="actionrequested" localSheetId="0">#REF!</definedName>
    <definedName name="actionrequested" localSheetId="19">#REF!</definedName>
    <definedName name="actionrequested" localSheetId="13">#REF!</definedName>
    <definedName name="actionrequested" localSheetId="10">#REF!</definedName>
    <definedName name="actionrequested" localSheetId="3">#REF!</definedName>
    <definedName name="actionrequested" localSheetId="11">#REF!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19">#REF!</definedName>
    <definedName name="divisionlisting" localSheetId="13">#REF!</definedName>
    <definedName name="divisionlisting" localSheetId="10">#REF!</definedName>
    <definedName name="divisionlisting" localSheetId="3">#REF!</definedName>
    <definedName name="divisionlisting" localSheetId="11">#REF!</definedName>
    <definedName name="divisionlisting" localSheetId="1">#REF!</definedName>
    <definedName name="divisionlisting">#REF!</definedName>
    <definedName name="DropCriteria">'[1]Drop Box'!$L$2:$L$8</definedName>
    <definedName name="droppgmparameters">'[1]Drop Box'!$M$2:$M$4</definedName>
    <definedName name="ExternalData_1" localSheetId="19">'HOS_Modellable Customers'!$A$1:$B$1053</definedName>
    <definedName name="ExternalData_1" localSheetId="18">'Modellable Customers'!$A$1:$B$916</definedName>
    <definedName name="ExternalData_2" localSheetId="25">'3zip'!$A$1:$F$30</definedName>
    <definedName name="ExternalData_2" localSheetId="26">'4zip'!$A$1:$F$93</definedName>
    <definedName name="ExternalData_2" localSheetId="27">'5zip'!$A$1:$F$374</definedName>
    <definedName name="ExternalData_2" localSheetId="22">'Customer Info'!$A$1:$F$6606</definedName>
    <definedName name="ExternalData_2" localSheetId="21">'Existing Customer Variable Exp'!$A$1:$F$1053</definedName>
    <definedName name="ExternalData_2" localSheetId="20">'Existing Customers'!$A$1:$AB$18570</definedName>
    <definedName name="ExternalData_2" localSheetId="24">'Variable Div Avgs'!$A$1:$M$2</definedName>
    <definedName name="ExternalData_2" localSheetId="23">'Variable Selling'!$A$1:$O$32</definedName>
    <definedName name="growththresholds">'[1]Drop Box'!$C$2:$C$6</definedName>
    <definedName name="paycycle">'[1]Drop Box'!$G$2:$G$10</definedName>
    <definedName name="Paymentterms">'[1]Drop Box'!$B$2:$B$17</definedName>
    <definedName name="payoutlocation" localSheetId="2">#REF!</definedName>
    <definedName name="payoutlocation" localSheetId="0">#REF!</definedName>
    <definedName name="payoutlocation" localSheetId="19">#REF!</definedName>
    <definedName name="payoutlocation" localSheetId="13">#REF!</definedName>
    <definedName name="payoutlocation" localSheetId="10">#REF!</definedName>
    <definedName name="payoutlocation" localSheetId="3">#REF!</definedName>
    <definedName name="payoutlocation" localSheetId="11">#REF!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19">#REF!</definedName>
    <definedName name="pgmparameters" localSheetId="13">#REF!</definedName>
    <definedName name="pgmparameters" localSheetId="10">#REF!</definedName>
    <definedName name="pgmparameters" localSheetId="3">#REF!</definedName>
    <definedName name="pgmparameters" localSheetId="11">#REF!</definedName>
    <definedName name="pgmparameters" localSheetId="1">#REF!</definedName>
    <definedName name="pgmparameters">#REF!</definedName>
    <definedName name="pppgmparameters">'[1]Drop Box'!$N$2:$N$8</definedName>
    <definedName name="_xlnm.Print_Area" localSheetId="2">'Customer Inputs'!$E$2:$R$19</definedName>
    <definedName name="_xlnm.Print_Area" localSheetId="21">'Existing Customer Variable Exp'!$H$1</definedName>
    <definedName name="_xlnm.Print_Area" localSheetId="20">'Existing Customers'!$AD$1</definedName>
    <definedName name="_xlnm.Print_Area" localSheetId="19">'HOS_Modellable Customers'!$F$1</definedName>
    <definedName name="_xlnm.Print_Area" localSheetId="12">'Incentive Setup'!$I$1:$V$53</definedName>
    <definedName name="_xlnm.Print_Area" localSheetId="4">Incentives!$B$2:$O$97</definedName>
    <definedName name="_xlnm.Print_Area" localSheetId="13">'MDA Worksheet'!$B$1:$BF$132</definedName>
    <definedName name="_xlnm.Print_Area" localSheetId="18">'Modellable Customers'!$L$1</definedName>
    <definedName name="_xlnm.Print_Area" localSheetId="3">'PIM Model'!$B$1:$Q$40</definedName>
    <definedName name="_xlnm.Print_Area" localSheetId="16">'PRIME Headers'!$B$2:$C$24</definedName>
    <definedName name="_xlnm.Print_Area" localSheetId="14">'PRIME Upload'!$Q$1</definedName>
    <definedName name="_xlnm.Print_Area" localSheetId="7">'Required Info to Submit'!$C$2:$K$30</definedName>
    <definedName name="_xlnm.Print_Area" localSheetId="6">'Tracking &amp; Profitability'!$B$2:$O$36</definedName>
    <definedName name="_xlnm.Print_Area" localSheetId="5">'Variable Costs &amp; Income'!$B$2:$L$32</definedName>
    <definedName name="_xlnm.Print_Area" localSheetId="1">Welcome!$B$2:$E$25</definedName>
    <definedName name="_xlnm.Print_Titles" localSheetId="13">'MDA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19">#REF!</definedName>
    <definedName name="uompayout" localSheetId="13">#REF!</definedName>
    <definedName name="uompayout" localSheetId="10">#REF!</definedName>
    <definedName name="uompayout" localSheetId="3">#REF!</definedName>
    <definedName name="uompayout" localSheetId="11">#REF!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11" i="64" l="1"/>
  <c r="D71" i="64" l="1"/>
  <c r="O52" i="64" s="1"/>
  <c r="B71" i="64"/>
  <c r="D70" i="64"/>
  <c r="B70" i="64"/>
  <c r="D69" i="64"/>
  <c r="O51" i="64" s="1"/>
  <c r="B68" i="64"/>
  <c r="O45" i="64" s="1"/>
  <c r="I64" i="54"/>
  <c r="M71" i="54"/>
  <c r="M72" i="54" s="1"/>
  <c r="U47" i="64" l="1"/>
  <c r="B69" i="64"/>
  <c r="P47" i="64" s="1"/>
  <c r="B54" i="64" l="1"/>
  <c r="J37" i="64" s="1"/>
  <c r="B37" i="64"/>
  <c r="T16" i="64" s="1"/>
  <c r="B27" i="64"/>
  <c r="O16" i="64" s="1"/>
  <c r="F10" i="64" l="1"/>
  <c r="G10" i="64"/>
  <c r="G9" i="64"/>
  <c r="F9" i="64"/>
  <c r="G8" i="64"/>
  <c r="F8" i="64"/>
  <c r="G7" i="64"/>
  <c r="F7" i="64"/>
  <c r="M50" i="54" l="1"/>
  <c r="C20" i="69"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B47" i="64"/>
  <c r="T37" i="64" s="1"/>
  <c r="B15" i="64"/>
  <c r="J15" i="64" s="1"/>
  <c r="D48" i="64"/>
  <c r="V39" i="64" s="1"/>
  <c r="C48" i="64"/>
  <c r="V38" i="64" s="1"/>
  <c r="B46" i="64"/>
  <c r="T36" i="64" s="1"/>
  <c r="Q48" i="54" l="1"/>
  <c r="V9" i="74" l="1"/>
  <c r="V15" i="74" l="1"/>
  <c r="V11" i="74"/>
  <c r="V13" i="74"/>
  <c r="V12" i="74"/>
  <c r="V14" i="74"/>
  <c r="L14" i="57"/>
  <c r="F16" i="57" l="1"/>
  <c r="A74" i="64" l="1"/>
  <c r="G83" i="54"/>
  <c r="M31" i="43" l="1"/>
  <c r="M32" i="43" l="1"/>
  <c r="M33" i="43" s="1"/>
  <c r="M34" i="43" s="1"/>
  <c r="M35" i="43" s="1"/>
  <c r="M36" i="43" s="1"/>
  <c r="M37" i="43" s="1"/>
  <c r="M38" i="43" s="1"/>
  <c r="M39" i="43" s="1"/>
  <c r="M40" i="43" s="1"/>
  <c r="M41" i="43" s="1"/>
  <c r="M42" i="43" s="1"/>
  <c r="M29" i="43"/>
  <c r="M28" i="43" s="1"/>
  <c r="M27" i="43" s="1"/>
  <c r="M26" i="43" s="1"/>
  <c r="M25" i="43" s="1"/>
  <c r="M24" i="43" s="1"/>
  <c r="B60" i="64" l="1"/>
  <c r="AF15" i="75"/>
  <c r="AF14" i="75"/>
  <c r="AF13" i="75"/>
  <c r="AF12" i="75"/>
  <c r="AF11" i="75"/>
  <c r="AF10" i="75"/>
  <c r="AF9" i="75"/>
  <c r="AF8" i="75"/>
  <c r="AF7" i="75"/>
  <c r="AF6" i="75"/>
  <c r="AG15" i="75"/>
  <c r="AG14" i="75"/>
  <c r="AG13" i="75"/>
  <c r="AG12" i="75"/>
  <c r="AG11" i="75"/>
  <c r="AG10" i="75"/>
  <c r="AG9" i="75"/>
  <c r="AG8" i="75"/>
  <c r="AG7" i="75"/>
  <c r="AG6" i="75"/>
  <c r="B62" i="64" l="1"/>
  <c r="S48" i="64"/>
  <c r="N49" i="64"/>
  <c r="O49" i="64"/>
  <c r="O48" i="64"/>
  <c r="T49" i="64"/>
  <c r="S49" i="64"/>
  <c r="T48" i="64"/>
  <c r="N48" i="64"/>
  <c r="I31" i="64"/>
  <c r="I30" i="64"/>
  <c r="J30" i="64"/>
  <c r="J31" i="64"/>
  <c r="AI15" i="75"/>
  <c r="AI14" i="75"/>
  <c r="AI13" i="75"/>
  <c r="AI12" i="75"/>
  <c r="AI11" i="75"/>
  <c r="AI10" i="75"/>
  <c r="AI9" i="75"/>
  <c r="AI8" i="75"/>
  <c r="AF4" i="75"/>
  <c r="R2" i="57" l="1"/>
  <c r="E29" i="57" l="1"/>
  <c r="E28" i="57"/>
  <c r="E27" i="57"/>
  <c r="E26" i="57"/>
  <c r="E25" i="57"/>
  <c r="E24" i="57"/>
  <c r="E23" i="57"/>
  <c r="E22" i="57"/>
  <c r="E21" i="57"/>
  <c r="E20" i="57"/>
  <c r="J29" i="57" l="1"/>
  <c r="F29" i="57"/>
  <c r="H29" i="57"/>
  <c r="G29" i="57"/>
  <c r="I29" i="57"/>
  <c r="G28" i="57"/>
  <c r="F28" i="57"/>
  <c r="H28" i="57"/>
  <c r="J28" i="57"/>
  <c r="I28" i="57"/>
  <c r="H27" i="57"/>
  <c r="G27" i="57"/>
  <c r="J27" i="57"/>
  <c r="F27" i="57"/>
  <c r="I27" i="57"/>
  <c r="I26" i="57"/>
  <c r="H26" i="57"/>
  <c r="F26" i="57"/>
  <c r="G26" i="57"/>
  <c r="J26" i="57"/>
  <c r="I25" i="57"/>
  <c r="H25" i="57"/>
  <c r="G25" i="57"/>
  <c r="J25" i="57"/>
  <c r="F25" i="57"/>
  <c r="G24" i="57"/>
  <c r="F24" i="57"/>
  <c r="H24" i="57"/>
  <c r="J24" i="57"/>
  <c r="I24" i="57"/>
  <c r="H23" i="57"/>
  <c r="G23" i="57"/>
  <c r="J23" i="57"/>
  <c r="F23" i="57"/>
  <c r="I23" i="57"/>
  <c r="I22" i="57"/>
  <c r="H22" i="57"/>
  <c r="G22" i="57"/>
  <c r="J22" i="57"/>
  <c r="F22" i="57"/>
  <c r="I21" i="57"/>
  <c r="H21" i="57"/>
  <c r="G21" i="57"/>
  <c r="J21" i="57"/>
  <c r="F21" i="57"/>
  <c r="H20" i="57"/>
  <c r="F20" i="57"/>
  <c r="G20" i="57"/>
  <c r="J20" i="57"/>
  <c r="I20" i="57"/>
  <c r="B82" i="64"/>
  <c r="O36" i="64" s="1"/>
  <c r="J26" i="64"/>
  <c r="I32" i="54" l="1"/>
  <c r="K30" i="54" s="1"/>
  <c r="I21" i="54"/>
  <c r="K19" i="54" s="1"/>
  <c r="Q64" i="54"/>
  <c r="K88" i="54"/>
  <c r="J40" i="54" l="1"/>
  <c r="D42" i="64" l="1"/>
  <c r="V22" i="64" s="1"/>
  <c r="D41" i="64"/>
  <c r="V21" i="64" s="1"/>
  <c r="B42" i="64"/>
  <c r="C41" i="64" s="1"/>
  <c r="B41" i="64"/>
  <c r="U21" i="64" s="1"/>
  <c r="D40" i="64"/>
  <c r="C40" i="64" l="1"/>
  <c r="U22" i="64"/>
  <c r="K63" i="54"/>
  <c r="J29" i="54"/>
  <c r="Q81" i="54"/>
  <c r="Q56" i="54"/>
  <c r="Q37" i="54"/>
  <c r="Q26" i="54"/>
  <c r="Q15" i="54"/>
  <c r="AU40" i="61" l="1"/>
  <c r="U29" i="64"/>
  <c r="D21" i="64" l="1"/>
  <c r="AL13" i="72" l="1"/>
  <c r="AL14" i="72"/>
  <c r="AL15" i="72"/>
  <c r="AL16" i="72"/>
  <c r="AL17" i="72"/>
  <c r="AL18" i="72"/>
  <c r="AL19" i="72"/>
  <c r="AL20" i="72"/>
  <c r="AL21" i="72"/>
  <c r="AL22" i="72"/>
  <c r="AL23" i="72"/>
  <c r="AL24" i="72"/>
  <c r="AL25" i="72"/>
  <c r="AL26" i="72"/>
  <c r="AL27" i="72"/>
  <c r="AL28" i="72"/>
  <c r="AL29" i="72"/>
  <c r="AL30" i="72"/>
  <c r="AL31" i="72"/>
  <c r="AL32" i="72"/>
  <c r="AL12" i="72"/>
  <c r="A18" i="36" l="1"/>
  <c r="A19" i="36"/>
  <c r="A20" i="36"/>
  <c r="A21" i="36"/>
  <c r="A22" i="36"/>
  <c r="A23" i="36"/>
  <c r="A24" i="36"/>
  <c r="F7" i="75" l="1"/>
  <c r="F8" i="75"/>
  <c r="F9" i="75"/>
  <c r="F10" i="75"/>
  <c r="F11" i="75"/>
  <c r="R11" i="75" s="1"/>
  <c r="F12" i="75"/>
  <c r="R12" i="75" s="1"/>
  <c r="F13" i="75"/>
  <c r="F14" i="75"/>
  <c r="F15" i="75"/>
  <c r="R15" i="75" s="1"/>
  <c r="F6" i="75"/>
  <c r="J6" i="75" s="1"/>
  <c r="J13" i="75" l="1"/>
  <c r="R13" i="75"/>
  <c r="J9" i="75"/>
  <c r="R9" i="75"/>
  <c r="J14" i="75"/>
  <c r="R14" i="75"/>
  <c r="J10" i="75"/>
  <c r="R10" i="75"/>
  <c r="J8" i="75"/>
  <c r="J12" i="75"/>
  <c r="J7" i="75"/>
  <c r="J11" i="75"/>
  <c r="J15" i="75"/>
  <c r="H75" i="59"/>
  <c r="H74" i="59"/>
  <c r="H76" i="59"/>
  <c r="H73" i="59"/>
  <c r="D4" i="74"/>
  <c r="D11" i="65" s="1"/>
  <c r="C19" i="43"/>
  <c r="H72" i="59" l="1"/>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M58" i="54" l="1"/>
  <c r="H32" i="70" l="1"/>
  <c r="B5" i="64"/>
  <c r="U130" i="61" l="1"/>
  <c r="U129" i="61"/>
  <c r="U128" i="61"/>
  <c r="U127" i="61"/>
  <c r="U126" i="61"/>
  <c r="U125" i="61"/>
  <c r="U124" i="61"/>
  <c r="U123" i="61"/>
  <c r="U122" i="61"/>
  <c r="U121" i="61"/>
  <c r="U120" i="61"/>
  <c r="U119" i="61"/>
  <c r="U118" i="61"/>
  <c r="U117" i="61"/>
  <c r="U116" i="61"/>
  <c r="U115" i="61"/>
  <c r="U114" i="61"/>
  <c r="U113" i="61"/>
  <c r="U112" i="61"/>
  <c r="U111" i="61"/>
  <c r="U110" i="61"/>
  <c r="U131" i="61" l="1"/>
  <c r="ET10" i="72"/>
  <c r="ES10" i="72"/>
  <c r="ER10" i="72"/>
  <c r="EQ10" i="72"/>
  <c r="EP10" i="72"/>
  <c r="EO10" i="72"/>
  <c r="EK10" i="72"/>
  <c r="EJ10" i="72"/>
  <c r="EI10" i="72"/>
  <c r="EH10" i="72"/>
  <c r="EG10" i="72"/>
  <c r="EF10" i="72"/>
  <c r="V12" i="76" l="1"/>
  <c r="V13" i="76"/>
  <c r="V14" i="76"/>
  <c r="V15" i="76"/>
  <c r="V16" i="76"/>
  <c r="V17" i="76"/>
  <c r="V18" i="76"/>
  <c r="V19" i="76"/>
  <c r="V20" i="76"/>
  <c r="V21" i="76"/>
  <c r="V22" i="76"/>
  <c r="V23" i="76"/>
  <c r="AA23" i="76" s="1"/>
  <c r="V24" i="76"/>
  <c r="V25" i="76"/>
  <c r="V26" i="76"/>
  <c r="V27" i="76"/>
  <c r="V28" i="76"/>
  <c r="V29" i="76"/>
  <c r="V30" i="76"/>
  <c r="V31" i="76"/>
  <c r="AA31" i="76" s="1"/>
  <c r="V32" i="76"/>
  <c r="K40" i="70" l="1"/>
  <c r="E3" i="70" l="1"/>
  <c r="AC10" i="70" l="1"/>
  <c r="AD10" i="70" s="1"/>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B4" i="64"/>
  <c r="C46" i="43"/>
  <c r="C45" i="43"/>
  <c r="C44" i="43"/>
  <c r="C43" i="43"/>
  <c r="C42" i="43"/>
  <c r="C41" i="43"/>
  <c r="C40" i="43"/>
  <c r="C39" i="43"/>
  <c r="C38" i="43"/>
  <c r="C37" i="43"/>
  <c r="H2" i="59" l="1"/>
  <c r="X15" i="75" l="1"/>
  <c r="B15" i="75" s="1"/>
  <c r="X7" i="75"/>
  <c r="B7" i="75" s="1"/>
  <c r="D96" i="61" s="1"/>
  <c r="X8" i="75"/>
  <c r="B8" i="75" s="1"/>
  <c r="D97" i="61" s="1"/>
  <c r="X9" i="75"/>
  <c r="B9" i="75" s="1"/>
  <c r="D98" i="61" s="1"/>
  <c r="X10" i="75"/>
  <c r="B10" i="75" s="1"/>
  <c r="D99" i="61" s="1"/>
  <c r="X11" i="75"/>
  <c r="B11" i="75" s="1"/>
  <c r="D100" i="61" s="1"/>
  <c r="X12" i="75"/>
  <c r="B12" i="75" s="1"/>
  <c r="D101" i="61" s="1"/>
  <c r="X13" i="75"/>
  <c r="B13" i="75" s="1"/>
  <c r="D102" i="61" s="1"/>
  <c r="X14" i="75"/>
  <c r="B14" i="75" s="1"/>
  <c r="D103" i="61" s="1"/>
  <c r="X6" i="75"/>
  <c r="B6" i="75" s="1"/>
  <c r="D95" i="61" l="1"/>
  <c r="J44" i="64" s="1"/>
  <c r="D104" i="61"/>
  <c r="H4" i="70"/>
  <c r="G5" i="64" l="1"/>
  <c r="C62" i="64" s="1"/>
  <c r="B3" i="64"/>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H5" i="12"/>
  <c r="G4" i="54" l="1"/>
  <c r="M75" i="54" s="1"/>
  <c r="G3" i="54"/>
  <c r="L4" i="54"/>
  <c r="K26" i="64"/>
  <c r="K80" i="54"/>
  <c r="K55" i="54"/>
  <c r="K36" i="54"/>
  <c r="K25" i="54"/>
  <c r="K14" i="54"/>
  <c r="L14" i="64" s="1"/>
  <c r="E4" i="11"/>
  <c r="H4" i="11"/>
  <c r="E3" i="11"/>
  <c r="J4" i="36"/>
  <c r="J7" i="36"/>
  <c r="P8" i="70"/>
  <c r="J13" i="72"/>
  <c r="J14" i="72"/>
  <c r="J15" i="72"/>
  <c r="J16" i="72"/>
  <c r="J17" i="72"/>
  <c r="J18" i="72"/>
  <c r="J19" i="72"/>
  <c r="J20" i="72"/>
  <c r="J21" i="72"/>
  <c r="J22" i="72"/>
  <c r="J23" i="72"/>
  <c r="J24" i="72"/>
  <c r="J25" i="72"/>
  <c r="J26" i="72"/>
  <c r="J27" i="72"/>
  <c r="J28" i="72"/>
  <c r="J29" i="72"/>
  <c r="J30" i="72"/>
  <c r="J31" i="72"/>
  <c r="J32" i="72"/>
  <c r="J12" i="72"/>
  <c r="M66" i="54" l="1"/>
  <c r="K29" i="64" s="1"/>
  <c r="M83" i="54"/>
  <c r="J5" i="36"/>
  <c r="AU1" i="72" l="1"/>
  <c r="AU7" i="72" l="1"/>
  <c r="AU40" i="72"/>
  <c r="C4" i="75"/>
  <c r="E4" i="70"/>
  <c r="J17" i="36" l="1"/>
  <c r="AC17" i="36"/>
  <c r="AA17" i="36" s="1"/>
  <c r="K7" i="75"/>
  <c r="K8" i="75"/>
  <c r="L4" i="75"/>
  <c r="H13" i="75"/>
  <c r="AH13" i="75" s="1"/>
  <c r="H9" i="75"/>
  <c r="AH9" i="75" s="1"/>
  <c r="H12" i="75"/>
  <c r="AH12" i="75" s="1"/>
  <c r="H8" i="75"/>
  <c r="H15" i="75"/>
  <c r="AH15" i="75" s="1"/>
  <c r="H11" i="75"/>
  <c r="AH11" i="75" s="1"/>
  <c r="H7" i="75"/>
  <c r="H14" i="75"/>
  <c r="AH14" i="75" s="1"/>
  <c r="H10" i="75"/>
  <c r="AH10" i="75" s="1"/>
  <c r="H6" i="75"/>
  <c r="M3" i="75"/>
  <c r="K10" i="75"/>
  <c r="K14" i="75"/>
  <c r="K11" i="75"/>
  <c r="K15" i="75"/>
  <c r="K12" i="75"/>
  <c r="K6" i="75"/>
  <c r="K9" i="75"/>
  <c r="K13" i="75"/>
  <c r="BD1" i="72"/>
  <c r="DX3" i="72"/>
  <c r="DO3" i="72"/>
  <c r="DF3" i="72"/>
  <c r="CW3" i="72"/>
  <c r="CN3" i="72"/>
  <c r="CE3" i="72"/>
  <c r="BV3" i="72"/>
  <c r="BM3" i="72"/>
  <c r="BD3" i="72"/>
  <c r="AU3" i="72"/>
  <c r="DX6" i="72"/>
  <c r="DO6" i="72"/>
  <c r="DF6" i="72"/>
  <c r="CW6" i="72"/>
  <c r="CN6" i="72"/>
  <c r="CE6" i="72"/>
  <c r="BV6" i="72"/>
  <c r="BM6" i="72"/>
  <c r="BD6" i="72"/>
  <c r="AU6" i="72"/>
  <c r="AU46" i="72" s="1"/>
  <c r="DX1" i="72"/>
  <c r="DO1" i="72"/>
  <c r="DF1" i="72"/>
  <c r="DF7" i="72" s="1"/>
  <c r="CW1" i="72"/>
  <c r="CW7" i="72" s="1"/>
  <c r="CN1" i="72"/>
  <c r="CE1" i="72"/>
  <c r="CE7" i="72" s="1"/>
  <c r="BV1" i="72"/>
  <c r="BV7" i="72" s="1"/>
  <c r="BM1" i="72"/>
  <c r="BM7" i="72" s="1"/>
  <c r="H3" i="70"/>
  <c r="AH7" i="75" l="1"/>
  <c r="AI7" i="75" s="1"/>
  <c r="AH6" i="75"/>
  <c r="AI6" i="75" s="1"/>
  <c r="Z8" i="75"/>
  <c r="AH8" i="75"/>
  <c r="V17" i="36"/>
  <c r="T17" i="36"/>
  <c r="U17" i="36"/>
  <c r="J15" i="36"/>
  <c r="AC15" i="36"/>
  <c r="J21" i="36"/>
  <c r="AC21" i="36"/>
  <c r="J24" i="36"/>
  <c r="AC24" i="36"/>
  <c r="J20" i="36"/>
  <c r="AC20" i="36"/>
  <c r="J16" i="36"/>
  <c r="AC16" i="36"/>
  <c r="AC23" i="36"/>
  <c r="J23" i="36"/>
  <c r="AC18" i="36"/>
  <c r="J18" i="36"/>
  <c r="AC22" i="36"/>
  <c r="J22" i="36"/>
  <c r="AC19" i="36"/>
  <c r="J19" i="36"/>
  <c r="M17" i="75"/>
  <c r="N17" i="75" s="1"/>
  <c r="T7" i="75"/>
  <c r="DF46" i="72"/>
  <c r="BV46" i="72"/>
  <c r="CW46" i="72"/>
  <c r="CE46" i="72"/>
  <c r="DO7" i="72"/>
  <c r="DO46" i="72"/>
  <c r="DX7" i="72"/>
  <c r="DX46" i="72"/>
  <c r="CN46" i="72"/>
  <c r="BM46" i="72"/>
  <c r="Z9" i="75"/>
  <c r="Z6" i="75"/>
  <c r="Z11" i="75"/>
  <c r="Z14" i="75"/>
  <c r="Z13" i="75"/>
  <c r="Z7" i="75"/>
  <c r="Z12" i="75"/>
  <c r="Z10" i="75"/>
  <c r="Z15" i="75"/>
  <c r="CN45" i="72"/>
  <c r="CN7" i="72"/>
  <c r="BD42" i="72"/>
  <c r="BD7" i="72"/>
  <c r="BD2" i="72"/>
  <c r="U7" i="75"/>
  <c r="I16" i="36" s="1"/>
  <c r="AC13" i="70"/>
  <c r="AD13" i="70" s="1"/>
  <c r="AC17" i="70"/>
  <c r="AD17" i="70" s="1"/>
  <c r="AC21" i="70"/>
  <c r="AD21" i="70" s="1"/>
  <c r="AC25" i="70"/>
  <c r="AD25" i="70" s="1"/>
  <c r="AC29" i="70"/>
  <c r="AD29" i="70" s="1"/>
  <c r="AC14" i="70"/>
  <c r="AD14" i="70" s="1"/>
  <c r="AC18" i="70"/>
  <c r="AD18" i="70" s="1"/>
  <c r="AC22" i="70"/>
  <c r="AD22" i="70" s="1"/>
  <c r="AC26" i="70"/>
  <c r="AD26" i="70" s="1"/>
  <c r="AC30" i="70"/>
  <c r="AD30" i="70" s="1"/>
  <c r="AC11" i="70"/>
  <c r="AD11" i="70" s="1"/>
  <c r="AC15" i="70"/>
  <c r="AD15" i="70" s="1"/>
  <c r="AC19" i="70"/>
  <c r="AD19" i="70" s="1"/>
  <c r="AC23" i="70"/>
  <c r="AD23" i="70" s="1"/>
  <c r="AC27" i="70"/>
  <c r="AD27" i="70" s="1"/>
  <c r="AC12" i="70"/>
  <c r="AD12" i="70" s="1"/>
  <c r="AC16" i="70"/>
  <c r="AD16" i="70" s="1"/>
  <c r="AC20" i="70"/>
  <c r="AD20" i="70" s="1"/>
  <c r="F73" i="59" s="1"/>
  <c r="AC24" i="70"/>
  <c r="AD24" i="70" s="1"/>
  <c r="AC28" i="70"/>
  <c r="AD28" i="70" s="1"/>
  <c r="AU8" i="72"/>
  <c r="DX8" i="72"/>
  <c r="BM8" i="72"/>
  <c r="DX43" i="72"/>
  <c r="P1" i="72"/>
  <c r="DO8" i="72"/>
  <c r="CW8" i="72"/>
  <c r="BV8" i="72"/>
  <c r="BD8" i="72"/>
  <c r="CE8" i="72"/>
  <c r="DF8" i="72"/>
  <c r="CN8" i="72"/>
  <c r="DX44" i="72"/>
  <c r="AU5" i="72"/>
  <c r="CE5" i="72"/>
  <c r="DO5" i="72"/>
  <c r="BD5" i="72"/>
  <c r="BD46" i="72" s="1"/>
  <c r="CN5" i="72"/>
  <c r="DX5" i="72"/>
  <c r="BM5" i="72"/>
  <c r="CW5" i="72"/>
  <c r="BV5" i="72"/>
  <c r="DF5" i="72"/>
  <c r="DX42" i="72"/>
  <c r="BD44" i="72"/>
  <c r="P5" i="72"/>
  <c r="BM44" i="72"/>
  <c r="BM39" i="72"/>
  <c r="BM40" i="72"/>
  <c r="BM37" i="72"/>
  <c r="BM45" i="72"/>
  <c r="BM42" i="72"/>
  <c r="BM36" i="72"/>
  <c r="BM43" i="72"/>
  <c r="BM41" i="72"/>
  <c r="BM38" i="72"/>
  <c r="CW44" i="72"/>
  <c r="CW45" i="72"/>
  <c r="CW40" i="72"/>
  <c r="CW36" i="72"/>
  <c r="CW39" i="72"/>
  <c r="CW37" i="72"/>
  <c r="CW43" i="72"/>
  <c r="CW41" i="72"/>
  <c r="CW38" i="72"/>
  <c r="CW42" i="72"/>
  <c r="BV42" i="72"/>
  <c r="BV38" i="72"/>
  <c r="BV43" i="72"/>
  <c r="BV41" i="72"/>
  <c r="BV39" i="72"/>
  <c r="BV36" i="72"/>
  <c r="BV50" i="72" s="1"/>
  <c r="BV44" i="72"/>
  <c r="BV40" i="72"/>
  <c r="BV37" i="72"/>
  <c r="BV45" i="72"/>
  <c r="DF42" i="72"/>
  <c r="DF39" i="72"/>
  <c r="DF36" i="72"/>
  <c r="DF43" i="72"/>
  <c r="DF41" i="72"/>
  <c r="DF38" i="72"/>
  <c r="DF45" i="72"/>
  <c r="DF37" i="72"/>
  <c r="DF44" i="72"/>
  <c r="DF40" i="72"/>
  <c r="AU45" i="72"/>
  <c r="AU43" i="72"/>
  <c r="AU44" i="72"/>
  <c r="AU42" i="72"/>
  <c r="AU36" i="72"/>
  <c r="AU41" i="72"/>
  <c r="AU38" i="72"/>
  <c r="AU39" i="72"/>
  <c r="AU37" i="72"/>
  <c r="CE45" i="72"/>
  <c r="CE43" i="72"/>
  <c r="CE41" i="72"/>
  <c r="CE37" i="72"/>
  <c r="CE38" i="72"/>
  <c r="CE44" i="72"/>
  <c r="CE42" i="72"/>
  <c r="CE40" i="72"/>
  <c r="CE39" i="72"/>
  <c r="CE36" i="72"/>
  <c r="DO45" i="72"/>
  <c r="DO43" i="72"/>
  <c r="DO38" i="72"/>
  <c r="DO44" i="72"/>
  <c r="DO42" i="72"/>
  <c r="DO40" i="72"/>
  <c r="DO37" i="72"/>
  <c r="DO39" i="72"/>
  <c r="DO36" i="72"/>
  <c r="DO41" i="72"/>
  <c r="BD41" i="72"/>
  <c r="BD40" i="72"/>
  <c r="BD39" i="72"/>
  <c r="BD38" i="72"/>
  <c r="BD37" i="72"/>
  <c r="BD36" i="72"/>
  <c r="BD45" i="72"/>
  <c r="CN41" i="72"/>
  <c r="CN40" i="72"/>
  <c r="CN39" i="72"/>
  <c r="CN38" i="72"/>
  <c r="CN37" i="72"/>
  <c r="CN36" i="72"/>
  <c r="CN44" i="72"/>
  <c r="CN43" i="72"/>
  <c r="CN42" i="72"/>
  <c r="DX41" i="72"/>
  <c r="DX40" i="72"/>
  <c r="DX39" i="72"/>
  <c r="DX38" i="72"/>
  <c r="DX37" i="72"/>
  <c r="DX36" i="72"/>
  <c r="BD43" i="72"/>
  <c r="DX45" i="72"/>
  <c r="P9" i="70"/>
  <c r="W62" i="33"/>
  <c r="V62" i="33"/>
  <c r="U62" i="33"/>
  <c r="T62" i="33"/>
  <c r="S62" i="33"/>
  <c r="R62" i="33"/>
  <c r="Q62" i="33"/>
  <c r="P62" i="33"/>
  <c r="O62" i="33"/>
  <c r="N62" i="33"/>
  <c r="M62" i="33"/>
  <c r="L62" i="33"/>
  <c r="K62" i="33"/>
  <c r="J62" i="33"/>
  <c r="I62" i="33"/>
  <c r="H62" i="33"/>
  <c r="G62" i="33"/>
  <c r="F62" i="33"/>
  <c r="E62" i="33"/>
  <c r="D62" i="33"/>
  <c r="C62" i="33"/>
  <c r="AI4" i="75" l="1"/>
  <c r="I3" i="75" s="1"/>
  <c r="F75" i="59"/>
  <c r="F74" i="59"/>
  <c r="F76" i="59"/>
  <c r="BD4" i="72"/>
  <c r="BI23" i="72" s="1"/>
  <c r="AA20" i="36"/>
  <c r="U20" i="36"/>
  <c r="V20" i="36"/>
  <c r="T20" i="36"/>
  <c r="AA21" i="36"/>
  <c r="U21" i="36"/>
  <c r="V21" i="36"/>
  <c r="T21" i="36"/>
  <c r="AA22" i="36"/>
  <c r="T22" i="36"/>
  <c r="U22" i="36"/>
  <c r="V22" i="36"/>
  <c r="AA23" i="36"/>
  <c r="V23" i="36"/>
  <c r="T23" i="36"/>
  <c r="U23" i="36"/>
  <c r="AA16" i="36"/>
  <c r="V16" i="36"/>
  <c r="T16" i="36"/>
  <c r="U16" i="36"/>
  <c r="AA24" i="36"/>
  <c r="U24" i="36"/>
  <c r="V24" i="36"/>
  <c r="T24" i="36"/>
  <c r="AA15" i="36"/>
  <c r="T15" i="36"/>
  <c r="V15" i="36"/>
  <c r="U15" i="36"/>
  <c r="AA19" i="36"/>
  <c r="T19" i="36"/>
  <c r="U19" i="36"/>
  <c r="V19" i="36"/>
  <c r="AA18" i="36"/>
  <c r="U18" i="36"/>
  <c r="V18" i="36"/>
  <c r="T18" i="36"/>
  <c r="DF49" i="72"/>
  <c r="D22" i="36" s="1"/>
  <c r="DF50" i="72"/>
  <c r="E22" i="36" s="1"/>
  <c r="CN49" i="72"/>
  <c r="D20" i="36" s="1"/>
  <c r="CN50" i="72"/>
  <c r="E20" i="36" s="1"/>
  <c r="CW49" i="72"/>
  <c r="D21" i="36" s="1"/>
  <c r="CW50" i="72"/>
  <c r="E21" i="36" s="1"/>
  <c r="DO49" i="72"/>
  <c r="D23" i="36" s="1"/>
  <c r="DO50" i="72"/>
  <c r="E23" i="36" s="1"/>
  <c r="DX49" i="72"/>
  <c r="D24" i="36" s="1"/>
  <c r="DX50" i="72"/>
  <c r="E24" i="36" s="1"/>
  <c r="BD49" i="72"/>
  <c r="D16" i="36" s="1"/>
  <c r="BD50" i="72"/>
  <c r="E16" i="36" s="1"/>
  <c r="CE49" i="72"/>
  <c r="D19" i="36" s="1"/>
  <c r="CE50" i="72"/>
  <c r="E19" i="36" s="1"/>
  <c r="BM49" i="72"/>
  <c r="D17" i="36" s="1"/>
  <c r="S17" i="36" s="1"/>
  <c r="BM50" i="72"/>
  <c r="E17" i="36" s="1"/>
  <c r="Q17" i="36" s="1"/>
  <c r="AU50" i="72"/>
  <c r="E15" i="36" s="1"/>
  <c r="AU47" i="72"/>
  <c r="I6" i="75" s="1"/>
  <c r="G31" i="70"/>
  <c r="BV49" i="72"/>
  <c r="D18" i="36" s="1"/>
  <c r="E18" i="36"/>
  <c r="AU49" i="72"/>
  <c r="D15" i="36" s="1"/>
  <c r="AS12" i="72"/>
  <c r="AS14" i="72"/>
  <c r="N51" i="72"/>
  <c r="B16" i="36"/>
  <c r="C16" i="36" s="1"/>
  <c r="B38" i="43"/>
  <c r="N54" i="72"/>
  <c r="BF10" i="72"/>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Y8" i="75"/>
  <c r="Y6" i="75"/>
  <c r="A6" i="75"/>
  <c r="A11" i="75"/>
  <c r="Y15" i="75"/>
  <c r="A15" i="75"/>
  <c r="Y11" i="75"/>
  <c r="A7" i="75"/>
  <c r="Y12" i="75"/>
  <c r="A12" i="75"/>
  <c r="Y13" i="75"/>
  <c r="A13" i="75"/>
  <c r="Y7" i="75"/>
  <c r="A8" i="75"/>
  <c r="Y10" i="75"/>
  <c r="A10" i="75"/>
  <c r="Y9" i="75"/>
  <c r="A9" i="75"/>
  <c r="Y14" i="75"/>
  <c r="A14" i="75"/>
  <c r="CE47" i="72"/>
  <c r="I10" i="75" s="1"/>
  <c r="DX47" i="72"/>
  <c r="I15" i="75" s="1"/>
  <c r="DO47" i="72"/>
  <c r="I14" i="75" s="1"/>
  <c r="CW47" i="72"/>
  <c r="I12" i="75" s="1"/>
  <c r="CN47" i="72"/>
  <c r="I11" i="75" s="1"/>
  <c r="DF47" i="72"/>
  <c r="I13" i="75" s="1"/>
  <c r="BV47" i="72"/>
  <c r="I9" i="75" s="1"/>
  <c r="BM47" i="72"/>
  <c r="BD47" i="72"/>
  <c r="L6" i="64"/>
  <c r="H17" i="75"/>
  <c r="BH10" i="72"/>
  <c r="BD48" i="72"/>
  <c r="L7" i="75" s="1"/>
  <c r="BD10" i="72"/>
  <c r="BE10" i="72"/>
  <c r="BG10" i="72"/>
  <c r="BI10" i="72"/>
  <c r="BV2" i="72"/>
  <c r="BV48" i="72" s="1"/>
  <c r="L9" i="75" s="1"/>
  <c r="U9" i="75"/>
  <c r="I18" i="36" s="1"/>
  <c r="T9" i="75"/>
  <c r="DF2" i="72"/>
  <c r="DK10" i="72" s="1"/>
  <c r="U13" i="75"/>
  <c r="I22" i="36" s="1"/>
  <c r="T13" i="75"/>
  <c r="BM2" i="72"/>
  <c r="BM48" i="72" s="1"/>
  <c r="L8" i="75" s="1"/>
  <c r="T8" i="75"/>
  <c r="U8" i="75"/>
  <c r="I17" i="36" s="1"/>
  <c r="CN2" i="72"/>
  <c r="CN48" i="72" s="1"/>
  <c r="L11" i="75" s="1"/>
  <c r="T11" i="75"/>
  <c r="U11" i="75"/>
  <c r="I20" i="36" s="1"/>
  <c r="CW2" i="72"/>
  <c r="CW48" i="72" s="1"/>
  <c r="L12" i="75" s="1"/>
  <c r="T12" i="75"/>
  <c r="U12" i="75"/>
  <c r="I21" i="36" s="1"/>
  <c r="DX2" i="72"/>
  <c r="DX10" i="72" s="1"/>
  <c r="T15" i="75"/>
  <c r="U15" i="75"/>
  <c r="I24" i="36" s="1"/>
  <c r="AU2" i="72"/>
  <c r="AU4" i="72" s="1"/>
  <c r="T6" i="75"/>
  <c r="U6" i="75"/>
  <c r="I15" i="36" s="1"/>
  <c r="G15" i="36" s="1"/>
  <c r="CE2" i="72"/>
  <c r="CE48" i="72" s="1"/>
  <c r="L10" i="75" s="1"/>
  <c r="U10" i="75"/>
  <c r="I19" i="36" s="1"/>
  <c r="T10" i="75"/>
  <c r="DO2" i="72"/>
  <c r="DO48" i="72" s="1"/>
  <c r="U14" i="75"/>
  <c r="I23" i="36" s="1"/>
  <c r="T14" i="75"/>
  <c r="DD31" i="72"/>
  <c r="DD27" i="72"/>
  <c r="DD23" i="72"/>
  <c r="DD19" i="72"/>
  <c r="DD15" i="72"/>
  <c r="DD30" i="72"/>
  <c r="DD26" i="72"/>
  <c r="DD22" i="72"/>
  <c r="DD18" i="72"/>
  <c r="DD14" i="72"/>
  <c r="DD29" i="72"/>
  <c r="DD25" i="72"/>
  <c r="DD21" i="72"/>
  <c r="DD17" i="72"/>
  <c r="DD13" i="72"/>
  <c r="DD32" i="72"/>
  <c r="DD28" i="72"/>
  <c r="DD24" i="72"/>
  <c r="DD20" i="72"/>
  <c r="DD16" i="72"/>
  <c r="DD12" i="72"/>
  <c r="BT31" i="72"/>
  <c r="BT27" i="72"/>
  <c r="BT23" i="72"/>
  <c r="BT19" i="72"/>
  <c r="BT15" i="72"/>
  <c r="BT30" i="72"/>
  <c r="BT26" i="72"/>
  <c r="BT22" i="72"/>
  <c r="BT18" i="72"/>
  <c r="BT14" i="72"/>
  <c r="BT29" i="72"/>
  <c r="BT25" i="72"/>
  <c r="BT21" i="72"/>
  <c r="BT17" i="72"/>
  <c r="BT13" i="72"/>
  <c r="BT32" i="72"/>
  <c r="BT28" i="72"/>
  <c r="BT24" i="72"/>
  <c r="BT20" i="72"/>
  <c r="BT16" i="72"/>
  <c r="BT12" i="72"/>
  <c r="CU32" i="72"/>
  <c r="CU28" i="72"/>
  <c r="CU24" i="72"/>
  <c r="CU20" i="72"/>
  <c r="CU16" i="72"/>
  <c r="CU12" i="72"/>
  <c r="CU31" i="72"/>
  <c r="CU27" i="72"/>
  <c r="CU23" i="72"/>
  <c r="CU19" i="72"/>
  <c r="CU15" i="72"/>
  <c r="CU30" i="72"/>
  <c r="CU26" i="72"/>
  <c r="CU22" i="72"/>
  <c r="CU18" i="72"/>
  <c r="CU14" i="72"/>
  <c r="CU29" i="72"/>
  <c r="CU25" i="72"/>
  <c r="CU21" i="72"/>
  <c r="CU17" i="72"/>
  <c r="CU13" i="72"/>
  <c r="DV29" i="72"/>
  <c r="DV25" i="72"/>
  <c r="DV21" i="72"/>
  <c r="DV17" i="72"/>
  <c r="DV13" i="72"/>
  <c r="DV32" i="72"/>
  <c r="DV28" i="72"/>
  <c r="DV24" i="72"/>
  <c r="DV20" i="72"/>
  <c r="DV16" i="72"/>
  <c r="DV12" i="72"/>
  <c r="DV31" i="72"/>
  <c r="DV27" i="72"/>
  <c r="DV23" i="72"/>
  <c r="DV19" i="72"/>
  <c r="DV15" i="72"/>
  <c r="DV30" i="72"/>
  <c r="DV26" i="72"/>
  <c r="DV22" i="72"/>
  <c r="DV18" i="72"/>
  <c r="DV14" i="72"/>
  <c r="DM30" i="72"/>
  <c r="DM26" i="72"/>
  <c r="DM22" i="72"/>
  <c r="DM18" i="72"/>
  <c r="DM14" i="72"/>
  <c r="DM29" i="72"/>
  <c r="DM25" i="72"/>
  <c r="DM21" i="72"/>
  <c r="DM17" i="72"/>
  <c r="DM13" i="72"/>
  <c r="DM32" i="72"/>
  <c r="DM28" i="72"/>
  <c r="DM24" i="72"/>
  <c r="DM20" i="72"/>
  <c r="DM16" i="72"/>
  <c r="DM12" i="72"/>
  <c r="DM31" i="72"/>
  <c r="DM27" i="72"/>
  <c r="DM23" i="72"/>
  <c r="DM19" i="72"/>
  <c r="DM15" i="72"/>
  <c r="BK32" i="72"/>
  <c r="BK28" i="72"/>
  <c r="BK24" i="72"/>
  <c r="BK20" i="72"/>
  <c r="BK16" i="72"/>
  <c r="BK12" i="72"/>
  <c r="BK31" i="72"/>
  <c r="BK27" i="72"/>
  <c r="BK23" i="72"/>
  <c r="BK19" i="72"/>
  <c r="BK15" i="72"/>
  <c r="BK30" i="72"/>
  <c r="BK26" i="72"/>
  <c r="BK22" i="72"/>
  <c r="BK18" i="72"/>
  <c r="BK14" i="72"/>
  <c r="BK29" i="72"/>
  <c r="BK25" i="72"/>
  <c r="BK21" i="72"/>
  <c r="BK17" i="72"/>
  <c r="BK13" i="72"/>
  <c r="CL29" i="72"/>
  <c r="CL25" i="72"/>
  <c r="CL21" i="72"/>
  <c r="CL17" i="72"/>
  <c r="CL13" i="72"/>
  <c r="CL32" i="72"/>
  <c r="CL28" i="72"/>
  <c r="CL24" i="72"/>
  <c r="CL20" i="72"/>
  <c r="CL16" i="72"/>
  <c r="CL12" i="72"/>
  <c r="CL31" i="72"/>
  <c r="CL27" i="72"/>
  <c r="CL23" i="72"/>
  <c r="CL19" i="72"/>
  <c r="CL15" i="72"/>
  <c r="CL30" i="72"/>
  <c r="CL26" i="72"/>
  <c r="CL22" i="72"/>
  <c r="CL18" i="72"/>
  <c r="CL14" i="72"/>
  <c r="CC30" i="72"/>
  <c r="CC26" i="72"/>
  <c r="CC22" i="72"/>
  <c r="CC18" i="72"/>
  <c r="CC14" i="72"/>
  <c r="CC29" i="72"/>
  <c r="CC25" i="72"/>
  <c r="CC21" i="72"/>
  <c r="CC17" i="72"/>
  <c r="CC13" i="72"/>
  <c r="CC32" i="72"/>
  <c r="CC28" i="72"/>
  <c r="CC24" i="72"/>
  <c r="CC20" i="72"/>
  <c r="CC16" i="72"/>
  <c r="CC12" i="72"/>
  <c r="CC31" i="72"/>
  <c r="CC27" i="72"/>
  <c r="CC23" i="72"/>
  <c r="CC19" i="72"/>
  <c r="CC15" i="72"/>
  <c r="AS16" i="72"/>
  <c r="AS20" i="72"/>
  <c r="AS24" i="72"/>
  <c r="AS28" i="72"/>
  <c r="AS32" i="72"/>
  <c r="AS13" i="72"/>
  <c r="AS17" i="72"/>
  <c r="AS21" i="72"/>
  <c r="AS25" i="72"/>
  <c r="AS29" i="72"/>
  <c r="AS18" i="72"/>
  <c r="AS22" i="72"/>
  <c r="AS26" i="72"/>
  <c r="AS30" i="72"/>
  <c r="AS15" i="72"/>
  <c r="AS19" i="72"/>
  <c r="AS23" i="72"/>
  <c r="AS27" i="72"/>
  <c r="AS31" i="72"/>
  <c r="BB32" i="72"/>
  <c r="BB28" i="72"/>
  <c r="BB24" i="72"/>
  <c r="BB20" i="72"/>
  <c r="BB16" i="72"/>
  <c r="BB12" i="72"/>
  <c r="BB31" i="72"/>
  <c r="BB27" i="72"/>
  <c r="BB23" i="72"/>
  <c r="BB19" i="72"/>
  <c r="BB15" i="72"/>
  <c r="BB30" i="72"/>
  <c r="BB26" i="72"/>
  <c r="BB22" i="72"/>
  <c r="BB18" i="72"/>
  <c r="BB14" i="72"/>
  <c r="BB29" i="72"/>
  <c r="BB25" i="72"/>
  <c r="BB21" i="72"/>
  <c r="BB17" i="72"/>
  <c r="BB13" i="72"/>
  <c r="N36" i="72"/>
  <c r="N78" i="72"/>
  <c r="N76" i="72"/>
  <c r="N74" i="72"/>
  <c r="N72" i="72"/>
  <c r="N70" i="72"/>
  <c r="N68" i="72"/>
  <c r="N66" i="72"/>
  <c r="N64" i="72"/>
  <c r="N62" i="72"/>
  <c r="N60" i="72"/>
  <c r="N58" i="72"/>
  <c r="N56" i="72"/>
  <c r="N53" i="72"/>
  <c r="N77" i="72"/>
  <c r="N69" i="72"/>
  <c r="N61" i="72"/>
  <c r="N50" i="72"/>
  <c r="N67" i="72"/>
  <c r="N63" i="72"/>
  <c r="N65" i="72"/>
  <c r="N75" i="72"/>
  <c r="N71" i="72"/>
  <c r="N57" i="72"/>
  <c r="N52" i="72"/>
  <c r="N73" i="72"/>
  <c r="N59" i="72"/>
  <c r="N55" i="72"/>
  <c r="D94" i="54" l="1"/>
  <c r="D84" i="64" s="1"/>
  <c r="P38" i="64" s="1"/>
  <c r="S20" i="36"/>
  <c r="Q20" i="36"/>
  <c r="Q19" i="36"/>
  <c r="S19" i="36"/>
  <c r="L14" i="75"/>
  <c r="V14" i="75" s="1"/>
  <c r="BH14" i="72"/>
  <c r="BI30" i="72"/>
  <c r="Q22" i="36"/>
  <c r="BD17" i="72"/>
  <c r="BE17" i="72" s="1"/>
  <c r="BF17" i="72" s="1"/>
  <c r="BH21" i="72"/>
  <c r="BI31" i="72"/>
  <c r="BH18" i="72"/>
  <c r="S22" i="36"/>
  <c r="BD30" i="72"/>
  <c r="BE30" i="72" s="1"/>
  <c r="BF30" i="72" s="1"/>
  <c r="BD20" i="72"/>
  <c r="BE20" i="72" s="1"/>
  <c r="BF20" i="72" s="1"/>
  <c r="BI16" i="72"/>
  <c r="BD14" i="72"/>
  <c r="BG14" i="72" s="1"/>
  <c r="BD27" i="72"/>
  <c r="BE27" i="72" s="1"/>
  <c r="BF27" i="72" s="1"/>
  <c r="BH24" i="72"/>
  <c r="BI20" i="72"/>
  <c r="BD21" i="72"/>
  <c r="BE21" i="72" s="1"/>
  <c r="BF21" i="72" s="1"/>
  <c r="BH16" i="72"/>
  <c r="S24" i="36"/>
  <c r="S21" i="36"/>
  <c r="R21" i="36"/>
  <c r="Q23" i="36"/>
  <c r="BD22" i="72"/>
  <c r="BG22" i="72" s="1"/>
  <c r="BD15" i="72"/>
  <c r="BE15" i="72" s="1"/>
  <c r="BF15" i="72" s="1"/>
  <c r="BD24" i="72"/>
  <c r="BG24" i="72" s="1"/>
  <c r="BH17" i="72"/>
  <c r="BH12" i="72"/>
  <c r="BI26" i="72"/>
  <c r="BI32" i="72"/>
  <c r="BI25" i="72"/>
  <c r="BI24" i="72"/>
  <c r="BI29" i="72"/>
  <c r="BD25" i="72"/>
  <c r="BG25" i="72" s="1"/>
  <c r="BD19" i="72"/>
  <c r="BE19" i="72" s="1"/>
  <c r="BF19" i="72" s="1"/>
  <c r="BD12" i="72"/>
  <c r="BE12" i="72" s="1"/>
  <c r="BF12" i="72" s="1"/>
  <c r="BD28" i="72"/>
  <c r="BE28" i="72" s="1"/>
  <c r="BF28" i="72" s="1"/>
  <c r="BH28" i="72"/>
  <c r="BH30" i="72"/>
  <c r="BH22" i="72"/>
  <c r="BH26" i="72"/>
  <c r="BH29" i="72"/>
  <c r="BI13" i="72"/>
  <c r="BI14" i="72"/>
  <c r="BI27" i="72"/>
  <c r="BI17" i="72"/>
  <c r="BD18" i="72"/>
  <c r="BG18" i="72" s="1"/>
  <c r="BD31" i="72"/>
  <c r="BE31" i="72" s="1"/>
  <c r="BF31" i="72" s="1"/>
  <c r="BH25" i="72"/>
  <c r="BH32" i="72"/>
  <c r="BH20" i="72"/>
  <c r="BD13" i="72"/>
  <c r="BG13" i="72" s="1"/>
  <c r="BD29" i="72"/>
  <c r="BG29" i="72" s="1"/>
  <c r="BD26" i="72"/>
  <c r="BG26" i="72" s="1"/>
  <c r="BD23" i="72"/>
  <c r="BE23" i="72" s="1"/>
  <c r="BF23" i="72" s="1"/>
  <c r="BD16" i="72"/>
  <c r="BG16" i="72" s="1"/>
  <c r="BD32" i="72"/>
  <c r="BG32" i="72" s="1"/>
  <c r="BH19" i="72"/>
  <c r="BH13" i="72"/>
  <c r="BH27" i="72"/>
  <c r="BH23" i="72"/>
  <c r="BH31" i="72"/>
  <c r="BH15" i="72"/>
  <c r="BI12" i="72"/>
  <c r="BI28" i="72"/>
  <c r="BI22" i="72"/>
  <c r="BI15" i="72"/>
  <c r="S23" i="36"/>
  <c r="BI18" i="72"/>
  <c r="BI19" i="72"/>
  <c r="BI21" i="72"/>
  <c r="S16" i="36"/>
  <c r="Q16" i="36"/>
  <c r="S15" i="36"/>
  <c r="Q15" i="36"/>
  <c r="Q18" i="36"/>
  <c r="S18" i="36"/>
  <c r="Q24" i="36"/>
  <c r="Q21" i="36"/>
  <c r="R22" i="36"/>
  <c r="R16" i="36"/>
  <c r="R24" i="36"/>
  <c r="R23" i="36"/>
  <c r="R17" i="36"/>
  <c r="R19" i="36"/>
  <c r="R20" i="36"/>
  <c r="R15" i="36"/>
  <c r="R18" i="36"/>
  <c r="I8" i="75"/>
  <c r="S8" i="75" s="1"/>
  <c r="I7" i="75"/>
  <c r="S7" i="75" s="1"/>
  <c r="K16" i="36" s="1"/>
  <c r="S9" i="75"/>
  <c r="S14" i="75"/>
  <c r="K23" i="36" s="1"/>
  <c r="S13" i="75"/>
  <c r="K22" i="36" s="1"/>
  <c r="S15" i="75"/>
  <c r="K24" i="36" s="1"/>
  <c r="S10" i="75"/>
  <c r="K19" i="36" s="1"/>
  <c r="S11" i="75"/>
  <c r="K20" i="36" s="1"/>
  <c r="S12" i="75"/>
  <c r="K21" i="36" s="1"/>
  <c r="S6" i="75"/>
  <c r="K15" i="36" s="1"/>
  <c r="AU12" i="72"/>
  <c r="B17" i="36"/>
  <c r="C17" i="36" s="1"/>
  <c r="B39" i="43"/>
  <c r="B23" i="36"/>
  <c r="C23" i="36" s="1"/>
  <c r="B45" i="43"/>
  <c r="B20" i="36"/>
  <c r="C20" i="36" s="1"/>
  <c r="B42" i="43"/>
  <c r="B18" i="36"/>
  <c r="C18" i="36" s="1"/>
  <c r="B40" i="43"/>
  <c r="B21" i="36"/>
  <c r="C21" i="36" s="1"/>
  <c r="B43" i="43"/>
  <c r="B22" i="36"/>
  <c r="C22" i="36" s="1"/>
  <c r="B44" i="43"/>
  <c r="B19" i="36"/>
  <c r="C19" i="36" s="1"/>
  <c r="B41" i="43"/>
  <c r="B24" i="36"/>
  <c r="C24" i="36" s="1"/>
  <c r="B46" i="43"/>
  <c r="B15" i="36"/>
  <c r="C15" i="36" s="1"/>
  <c r="B37" i="43"/>
  <c r="Y5" i="75"/>
  <c r="AU48" i="72"/>
  <c r="BV4" i="72"/>
  <c r="BZ32" i="72" s="1"/>
  <c r="DB10" i="72"/>
  <c r="CA10" i="72"/>
  <c r="CY10" i="72"/>
  <c r="DY10" i="72"/>
  <c r="DX48" i="72"/>
  <c r="DJ10" i="72"/>
  <c r="DF48" i="72"/>
  <c r="L13" i="75" s="1"/>
  <c r="EC10" i="72"/>
  <c r="DF10" i="72"/>
  <c r="CG10" i="72"/>
  <c r="DX4" i="72"/>
  <c r="EC21" i="72" s="1"/>
  <c r="DG10" i="72"/>
  <c r="EB10" i="72"/>
  <c r="DH10" i="72"/>
  <c r="EA10" i="72"/>
  <c r="DI10" i="72"/>
  <c r="AV10" i="72"/>
  <c r="BM10" i="72"/>
  <c r="CH10" i="72"/>
  <c r="DZ10" i="72"/>
  <c r="DO4" i="72"/>
  <c r="DO28" i="72" s="1"/>
  <c r="DR28" i="72" s="1"/>
  <c r="CZ10" i="72"/>
  <c r="BY10" i="72"/>
  <c r="DR10" i="72"/>
  <c r="DP10" i="72"/>
  <c r="BV10" i="72"/>
  <c r="CW4" i="72"/>
  <c r="DA22" i="72" s="1"/>
  <c r="CW10" i="72"/>
  <c r="DF4" i="72"/>
  <c r="DT10" i="72"/>
  <c r="DO10" i="72"/>
  <c r="DQ10" i="72"/>
  <c r="BZ10" i="72"/>
  <c r="CX10" i="72"/>
  <c r="AX10" i="72"/>
  <c r="BN10" i="72"/>
  <c r="DS10" i="72"/>
  <c r="BW10" i="72"/>
  <c r="BX10" i="72"/>
  <c r="DA10" i="72"/>
  <c r="CE4" i="72"/>
  <c r="CJ23" i="72" s="1"/>
  <c r="CQ10" i="72"/>
  <c r="V11" i="75"/>
  <c r="BP10" i="72"/>
  <c r="AW10" i="72"/>
  <c r="BM4" i="72"/>
  <c r="BM21" i="72" s="1"/>
  <c r="BQ10" i="72"/>
  <c r="AZ10" i="72"/>
  <c r="BO10" i="72"/>
  <c r="AY10" i="72"/>
  <c r="AU10" i="72"/>
  <c r="BR10" i="72"/>
  <c r="CO10" i="72"/>
  <c r="CN4" i="72"/>
  <c r="CN22" i="72" s="1"/>
  <c r="CQ22" i="72" s="1"/>
  <c r="CJ10" i="72"/>
  <c r="CI10" i="72"/>
  <c r="AU26" i="72"/>
  <c r="CP10" i="72"/>
  <c r="CF10" i="72"/>
  <c r="CR10" i="72"/>
  <c r="CS10" i="72"/>
  <c r="CN10" i="72"/>
  <c r="CE10" i="72"/>
  <c r="L52" i="72"/>
  <c r="L55" i="72"/>
  <c r="L73" i="72"/>
  <c r="L71" i="72"/>
  <c r="L63" i="72"/>
  <c r="L69" i="72"/>
  <c r="L58" i="72"/>
  <c r="L66" i="72"/>
  <c r="L74" i="72"/>
  <c r="L53" i="72"/>
  <c r="L54" i="72"/>
  <c r="L75" i="72"/>
  <c r="L67" i="72"/>
  <c r="L77" i="72"/>
  <c r="L60" i="72"/>
  <c r="L68" i="72"/>
  <c r="L76" i="72"/>
  <c r="L51" i="72"/>
  <c r="L62" i="72"/>
  <c r="L50" i="72"/>
  <c r="L70" i="72"/>
  <c r="L78" i="72"/>
  <c r="L59" i="72"/>
  <c r="L57" i="72"/>
  <c r="L65" i="72"/>
  <c r="L61" i="72"/>
  <c r="L56" i="72"/>
  <c r="L64" i="72"/>
  <c r="L72" i="72"/>
  <c r="B76" i="64"/>
  <c r="B59" i="64"/>
  <c r="B53" i="64"/>
  <c r="B36" i="64"/>
  <c r="B26" i="64"/>
  <c r="B14" i="64"/>
  <c r="T26" i="64"/>
  <c r="U26" i="64" s="1"/>
  <c r="J36" i="64"/>
  <c r="K36" i="64" s="1"/>
  <c r="T14" i="64"/>
  <c r="U14" i="64" s="1"/>
  <c r="O14" i="64"/>
  <c r="P14" i="64" s="1"/>
  <c r="Q89" i="54" l="1"/>
  <c r="M97" i="54" s="1"/>
  <c r="M95" i="54" s="1"/>
  <c r="CS16" i="72"/>
  <c r="K18" i="36"/>
  <c r="W18" i="36" s="1"/>
  <c r="S16" i="75"/>
  <c r="I33" i="12" s="1"/>
  <c r="K17" i="36"/>
  <c r="D45" i="43"/>
  <c r="H45" i="43" s="1"/>
  <c r="W14" i="75"/>
  <c r="D42" i="43"/>
  <c r="H42" i="43" s="1"/>
  <c r="W11" i="75"/>
  <c r="BG21" i="72"/>
  <c r="L15" i="75"/>
  <c r="V15" i="75" s="1"/>
  <c r="L6" i="75"/>
  <c r="V6" i="75" s="1"/>
  <c r="BG17" i="72"/>
  <c r="BE14" i="72"/>
  <c r="BF14" i="72" s="1"/>
  <c r="BG27" i="72"/>
  <c r="BG30" i="72"/>
  <c r="BG20" i="72"/>
  <c r="BE22" i="72"/>
  <c r="BF22" i="72" s="1"/>
  <c r="BG23" i="72"/>
  <c r="BE18" i="72"/>
  <c r="BF18" i="72" s="1"/>
  <c r="BE24" i="72"/>
  <c r="BF24" i="72" s="1"/>
  <c r="BG12" i="72"/>
  <c r="BG31" i="72"/>
  <c r="BE16" i="72"/>
  <c r="BF16" i="72" s="1"/>
  <c r="BE13" i="72"/>
  <c r="BF13" i="72" s="1"/>
  <c r="BG15" i="72"/>
  <c r="BG28" i="72"/>
  <c r="BE29" i="72"/>
  <c r="BF29" i="72" s="1"/>
  <c r="BE25" i="72"/>
  <c r="BF25" i="72" s="1"/>
  <c r="BE32" i="72"/>
  <c r="BF32" i="72" s="1"/>
  <c r="BG19" i="72"/>
  <c r="BE26" i="72"/>
  <c r="BF26" i="72" s="1"/>
  <c r="BH33" i="72"/>
  <c r="BD33" i="72"/>
  <c r="BI33" i="72"/>
  <c r="W24" i="36"/>
  <c r="W16" i="36"/>
  <c r="W21" i="36"/>
  <c r="W22" i="36"/>
  <c r="W19" i="36"/>
  <c r="W20" i="36"/>
  <c r="W23" i="36"/>
  <c r="W15" i="36"/>
  <c r="N38" i="72"/>
  <c r="N42" i="72"/>
  <c r="N39" i="72"/>
  <c r="N43" i="72"/>
  <c r="N40" i="72"/>
  <c r="N44" i="72"/>
  <c r="N41" i="72"/>
  <c r="N45" i="72"/>
  <c r="N37" i="72"/>
  <c r="D22" i="57"/>
  <c r="D26" i="57"/>
  <c r="D20" i="57"/>
  <c r="D23" i="57"/>
  <c r="D27" i="57"/>
  <c r="D24" i="57"/>
  <c r="D28" i="57"/>
  <c r="D21" i="57"/>
  <c r="D25" i="57"/>
  <c r="D29" i="57"/>
  <c r="M82" i="72"/>
  <c r="DX22" i="72"/>
  <c r="EA22" i="72" s="1"/>
  <c r="DX14" i="72"/>
  <c r="DY14" i="72" s="1"/>
  <c r="DZ14" i="72" s="1"/>
  <c r="EB32" i="72"/>
  <c r="EB16" i="72"/>
  <c r="EB27" i="72"/>
  <c r="EB12" i="72"/>
  <c r="DX13" i="72"/>
  <c r="EA13" i="72" s="1"/>
  <c r="DX19" i="72"/>
  <c r="DY19" i="72" s="1"/>
  <c r="DZ19" i="72" s="1"/>
  <c r="DX15" i="72"/>
  <c r="EA15" i="72" s="1"/>
  <c r="DX23" i="72"/>
  <c r="DY23" i="72" s="1"/>
  <c r="DZ23" i="72" s="1"/>
  <c r="EB28" i="72"/>
  <c r="EC26" i="72"/>
  <c r="DX16" i="72"/>
  <c r="EA16" i="72" s="1"/>
  <c r="EB17" i="72"/>
  <c r="EB14" i="72"/>
  <c r="AU32" i="72"/>
  <c r="AU21" i="72"/>
  <c r="AU27" i="72"/>
  <c r="AU16" i="72"/>
  <c r="AU15" i="72"/>
  <c r="AU31" i="72"/>
  <c r="AU20" i="72"/>
  <c r="AU25" i="72"/>
  <c r="AU14" i="72"/>
  <c r="AU30" i="72"/>
  <c r="DB21" i="72"/>
  <c r="AU19" i="72"/>
  <c r="AU24" i="72"/>
  <c r="AU13" i="72"/>
  <c r="AU29" i="72"/>
  <c r="AU18" i="72"/>
  <c r="AY12" i="72"/>
  <c r="DB22" i="72"/>
  <c r="AU23" i="72"/>
  <c r="AX12" i="72"/>
  <c r="AU28" i="72"/>
  <c r="AU17" i="72"/>
  <c r="AZ12" i="72"/>
  <c r="AU22" i="72"/>
  <c r="CJ21" i="72"/>
  <c r="DB28" i="72"/>
  <c r="DB17" i="72"/>
  <c r="DT17" i="72"/>
  <c r="DB16" i="72"/>
  <c r="DT22" i="72"/>
  <c r="DB31" i="72"/>
  <c r="DB13" i="72"/>
  <c r="DB23" i="72"/>
  <c r="DB29" i="72"/>
  <c r="DB30" i="72"/>
  <c r="DB24" i="72"/>
  <c r="DB20" i="72"/>
  <c r="DB26" i="72"/>
  <c r="DB25" i="72"/>
  <c r="DB15" i="72"/>
  <c r="DB14" i="72"/>
  <c r="DB12" i="72"/>
  <c r="DB19" i="72"/>
  <c r="DB18" i="72"/>
  <c r="DB32" i="72"/>
  <c r="DO19" i="72"/>
  <c r="DP19" i="72" s="1"/>
  <c r="DQ19" i="72" s="1"/>
  <c r="DT21" i="72"/>
  <c r="DT15" i="72"/>
  <c r="DT26" i="72"/>
  <c r="DT32" i="72"/>
  <c r="DS15" i="72"/>
  <c r="CS25" i="72"/>
  <c r="CS32" i="72"/>
  <c r="DO24" i="72"/>
  <c r="DP24" i="72" s="1"/>
  <c r="DQ24" i="72" s="1"/>
  <c r="DX30" i="72"/>
  <c r="EA30" i="72" s="1"/>
  <c r="DX27" i="72"/>
  <c r="EA27" i="72" s="1"/>
  <c r="EB23" i="72"/>
  <c r="EC19" i="72"/>
  <c r="DX21" i="72"/>
  <c r="DY21" i="72" s="1"/>
  <c r="DZ21" i="72" s="1"/>
  <c r="DX12" i="72"/>
  <c r="EA12" i="72" s="1"/>
  <c r="DX32" i="72"/>
  <c r="DY32" i="72" s="1"/>
  <c r="DZ32" i="72" s="1"/>
  <c r="EC23" i="72"/>
  <c r="EB20" i="72"/>
  <c r="EB18" i="72"/>
  <c r="EB21" i="72"/>
  <c r="EB22" i="72"/>
  <c r="DX29" i="72"/>
  <c r="EA29" i="72" s="1"/>
  <c r="EB26" i="72"/>
  <c r="DX17" i="72"/>
  <c r="DY17" i="72" s="1"/>
  <c r="DZ17" i="72" s="1"/>
  <c r="CO22" i="72"/>
  <c r="CP22" i="72" s="1"/>
  <c r="EC27" i="72"/>
  <c r="DO15" i="72"/>
  <c r="DR15" i="72" s="1"/>
  <c r="CS17" i="72"/>
  <c r="DT12" i="72"/>
  <c r="CS23" i="72"/>
  <c r="CS22" i="72"/>
  <c r="DT13" i="72"/>
  <c r="DO14" i="72"/>
  <c r="DR14" i="72" s="1"/>
  <c r="DS28" i="72"/>
  <c r="DT31" i="72"/>
  <c r="CN32" i="72"/>
  <c r="CO32" i="72" s="1"/>
  <c r="CP32" i="72" s="1"/>
  <c r="CR21" i="72"/>
  <c r="CN19" i="72"/>
  <c r="CQ19" i="72" s="1"/>
  <c r="CJ31" i="72"/>
  <c r="CS26" i="72"/>
  <c r="CS20" i="72"/>
  <c r="CS29" i="72"/>
  <c r="DO17" i="72"/>
  <c r="DP17" i="72" s="1"/>
  <c r="DQ17" i="72" s="1"/>
  <c r="DS13" i="72"/>
  <c r="DS17" i="72"/>
  <c r="CR22" i="72"/>
  <c r="CN13" i="72"/>
  <c r="CO13" i="72" s="1"/>
  <c r="CP13" i="72" s="1"/>
  <c r="CS18" i="72"/>
  <c r="CS19" i="72"/>
  <c r="CS13" i="72"/>
  <c r="CS31" i="72"/>
  <c r="CS30" i="72"/>
  <c r="CR13" i="72"/>
  <c r="CN14" i="72"/>
  <c r="CQ14" i="72" s="1"/>
  <c r="CS12" i="72"/>
  <c r="CR25" i="72"/>
  <c r="CN15" i="72"/>
  <c r="CQ15" i="72" s="1"/>
  <c r="CR26" i="72"/>
  <c r="CJ32" i="72"/>
  <c r="CJ26" i="72"/>
  <c r="CJ15" i="72"/>
  <c r="CS27" i="72"/>
  <c r="CS28" i="72"/>
  <c r="CR14" i="72"/>
  <c r="CR15" i="72"/>
  <c r="CN23" i="72"/>
  <c r="CQ23" i="72" s="1"/>
  <c r="CR29" i="72"/>
  <c r="CN24" i="72"/>
  <c r="CQ24" i="72" s="1"/>
  <c r="CR18" i="72"/>
  <c r="CR31" i="72"/>
  <c r="CN27" i="72"/>
  <c r="CR32" i="72"/>
  <c r="CN28" i="72"/>
  <c r="CO28" i="72" s="1"/>
  <c r="CP28" i="72" s="1"/>
  <c r="CR16" i="72"/>
  <c r="CJ20" i="72"/>
  <c r="CJ29" i="72"/>
  <c r="CS15" i="72"/>
  <c r="CS24" i="72"/>
  <c r="CR20" i="72"/>
  <c r="CN25" i="72"/>
  <c r="CO25" i="72" s="1"/>
  <c r="CP25" i="72" s="1"/>
  <c r="CN26" i="72"/>
  <c r="CO26" i="72" s="1"/>
  <c r="CP26" i="72" s="1"/>
  <c r="CR12" i="72"/>
  <c r="CN31" i="72"/>
  <c r="CQ31" i="72" s="1"/>
  <c r="CR24" i="72"/>
  <c r="CN29" i="72"/>
  <c r="CO29" i="72" s="1"/>
  <c r="CP29" i="72" s="1"/>
  <c r="CN30" i="72"/>
  <c r="CO30" i="72" s="1"/>
  <c r="CP30" i="72" s="1"/>
  <c r="CR19" i="72"/>
  <c r="CN12" i="72"/>
  <c r="CQ12" i="72" s="1"/>
  <c r="CJ24" i="72"/>
  <c r="CJ14" i="72"/>
  <c r="CJ16" i="72"/>
  <c r="CS14" i="72"/>
  <c r="CS21" i="72"/>
  <c r="CR30" i="72"/>
  <c r="CR23" i="72"/>
  <c r="CN16" i="72"/>
  <c r="CO16" i="72" s="1"/>
  <c r="CP16" i="72" s="1"/>
  <c r="CR28" i="72"/>
  <c r="CN17" i="72"/>
  <c r="CQ17" i="72" s="1"/>
  <c r="CN18" i="72"/>
  <c r="CO18" i="72" s="1"/>
  <c r="CP18" i="72" s="1"/>
  <c r="CR27" i="72"/>
  <c r="CN20" i="72"/>
  <c r="CR17" i="72"/>
  <c r="CN21" i="72"/>
  <c r="CO21" i="72" s="1"/>
  <c r="CP21" i="72" s="1"/>
  <c r="BV15" i="72"/>
  <c r="BY15" i="72" s="1"/>
  <c r="BZ24" i="72"/>
  <c r="BZ17" i="72"/>
  <c r="BZ19" i="72"/>
  <c r="BZ13" i="72"/>
  <c r="BZ14" i="72"/>
  <c r="BV31" i="72"/>
  <c r="BW31" i="72" s="1"/>
  <c r="BX31" i="72" s="1"/>
  <c r="BV30" i="72"/>
  <c r="BY30" i="72" s="1"/>
  <c r="BZ12" i="72"/>
  <c r="BV19" i="72"/>
  <c r="BY19" i="72" s="1"/>
  <c r="BZ28" i="72"/>
  <c r="CA21" i="72"/>
  <c r="BV26" i="72"/>
  <c r="BW26" i="72" s="1"/>
  <c r="BX26" i="72" s="1"/>
  <c r="BV23" i="72"/>
  <c r="BW23" i="72" s="1"/>
  <c r="BX23" i="72" s="1"/>
  <c r="BZ29" i="72"/>
  <c r="BV14" i="72"/>
  <c r="BW14" i="72" s="1"/>
  <c r="BX14" i="72" s="1"/>
  <c r="BZ16" i="72"/>
  <c r="BV20" i="72"/>
  <c r="BY20" i="72" s="1"/>
  <c r="BV22" i="72"/>
  <c r="BY22" i="72" s="1"/>
  <c r="BZ25" i="72"/>
  <c r="BZ21" i="72"/>
  <c r="BV32" i="72"/>
  <c r="BW32" i="72" s="1"/>
  <c r="BX32" i="72" s="1"/>
  <c r="BZ27" i="72"/>
  <c r="BZ18" i="72"/>
  <c r="BZ20" i="72"/>
  <c r="CA14" i="72"/>
  <c r="CA32" i="72"/>
  <c r="DX20" i="72"/>
  <c r="EA20" i="72" s="1"/>
  <c r="DX18" i="72"/>
  <c r="EB15" i="72"/>
  <c r="EB29" i="72"/>
  <c r="BV27" i="72"/>
  <c r="BW27" i="72" s="1"/>
  <c r="BX27" i="72" s="1"/>
  <c r="EB24" i="72"/>
  <c r="EB31" i="72"/>
  <c r="EB13" i="72"/>
  <c r="BV12" i="72"/>
  <c r="BW12" i="72" s="1"/>
  <c r="BX12" i="72" s="1"/>
  <c r="BZ23" i="72"/>
  <c r="DX24" i="72"/>
  <c r="DY24" i="72" s="1"/>
  <c r="DZ24" i="72" s="1"/>
  <c r="DX31" i="72"/>
  <c r="DY31" i="72" s="1"/>
  <c r="DZ31" i="72" s="1"/>
  <c r="BV16" i="72"/>
  <c r="BZ31" i="72"/>
  <c r="CA29" i="72"/>
  <c r="EC30" i="72"/>
  <c r="EC17" i="72"/>
  <c r="EC16" i="72"/>
  <c r="EC29" i="72"/>
  <c r="EC20" i="72"/>
  <c r="EC25" i="72"/>
  <c r="BZ15" i="72"/>
  <c r="EB30" i="72"/>
  <c r="EB19" i="72"/>
  <c r="BZ30" i="72"/>
  <c r="CA13" i="72"/>
  <c r="EC32" i="72"/>
  <c r="CA25" i="72"/>
  <c r="EC18" i="72"/>
  <c r="EC14" i="72"/>
  <c r="EC13" i="72"/>
  <c r="EC24" i="72"/>
  <c r="EC28" i="72"/>
  <c r="EB25" i="72"/>
  <c r="BV24" i="72"/>
  <c r="BW24" i="72" s="1"/>
  <c r="BX24" i="72" s="1"/>
  <c r="BV17" i="72"/>
  <c r="BW17" i="72" s="1"/>
  <c r="BX17" i="72" s="1"/>
  <c r="DX26" i="72"/>
  <c r="DY26" i="72" s="1"/>
  <c r="DZ26" i="72" s="1"/>
  <c r="DX25" i="72"/>
  <c r="BV18" i="72"/>
  <c r="BW18" i="72" s="1"/>
  <c r="BX18" i="72" s="1"/>
  <c r="DX28" i="72"/>
  <c r="EA28" i="72" s="1"/>
  <c r="CA30" i="72"/>
  <c r="EC31" i="72"/>
  <c r="CA28" i="72"/>
  <c r="EC22" i="72"/>
  <c r="CA15" i="72"/>
  <c r="EC15" i="72"/>
  <c r="CA12" i="72"/>
  <c r="EC12" i="72"/>
  <c r="BV13" i="72"/>
  <c r="BW13" i="72" s="1"/>
  <c r="BX13" i="72" s="1"/>
  <c r="BV28" i="72"/>
  <c r="BW28" i="72" s="1"/>
  <c r="BX28" i="72" s="1"/>
  <c r="BZ26" i="72"/>
  <c r="BV29" i="72"/>
  <c r="BY29" i="72" s="1"/>
  <c r="BV25" i="72"/>
  <c r="BW25" i="72" s="1"/>
  <c r="BX25" i="72" s="1"/>
  <c r="CA24" i="72"/>
  <c r="CA16" i="72"/>
  <c r="CA20" i="72"/>
  <c r="CA27" i="72"/>
  <c r="BZ22" i="72"/>
  <c r="BV21" i="72"/>
  <c r="BY21" i="72" s="1"/>
  <c r="CA23" i="72"/>
  <c r="CA26" i="72"/>
  <c r="CA19" i="72"/>
  <c r="CA18" i="72"/>
  <c r="CA31" i="72"/>
  <c r="CA22" i="72"/>
  <c r="CA17" i="72"/>
  <c r="BM32" i="72"/>
  <c r="BP32" i="72" s="1"/>
  <c r="DS32" i="72"/>
  <c r="DO16" i="72"/>
  <c r="DR16" i="72" s="1"/>
  <c r="DO31" i="72"/>
  <c r="DR31" i="72" s="1"/>
  <c r="DS18" i="72"/>
  <c r="DS24" i="72"/>
  <c r="DO13" i="72"/>
  <c r="DP13" i="72" s="1"/>
  <c r="DQ13" i="72" s="1"/>
  <c r="DS12" i="72"/>
  <c r="DS31" i="72"/>
  <c r="DP28" i="72"/>
  <c r="DQ28" i="72" s="1"/>
  <c r="DS20" i="72"/>
  <c r="DT18" i="72"/>
  <c r="DO27" i="72"/>
  <c r="DP27" i="72" s="1"/>
  <c r="DQ27" i="72" s="1"/>
  <c r="DT28" i="72"/>
  <c r="DO22" i="72"/>
  <c r="DP22" i="72" s="1"/>
  <c r="DQ22" i="72" s="1"/>
  <c r="DA20" i="72"/>
  <c r="DB27" i="72"/>
  <c r="DA27" i="72"/>
  <c r="DT27" i="72"/>
  <c r="CW31" i="72"/>
  <c r="CZ31" i="72" s="1"/>
  <c r="BQ19" i="72"/>
  <c r="DO30" i="72"/>
  <c r="BQ31" i="72"/>
  <c r="DT19" i="72"/>
  <c r="DS25" i="72"/>
  <c r="BR17" i="72"/>
  <c r="BQ30" i="72"/>
  <c r="CJ25" i="72"/>
  <c r="DT25" i="72"/>
  <c r="DS23" i="72"/>
  <c r="BR13" i="72"/>
  <c r="BN21" i="72"/>
  <c r="BO21" i="72" s="1"/>
  <c r="BM14" i="72"/>
  <c r="BP14" i="72" s="1"/>
  <c r="CJ12" i="72"/>
  <c r="CJ22" i="72"/>
  <c r="CJ30" i="72"/>
  <c r="CJ13" i="72"/>
  <c r="DO20" i="72"/>
  <c r="DP20" i="72" s="1"/>
  <c r="DQ20" i="72" s="1"/>
  <c r="DO18" i="72"/>
  <c r="BR31" i="72"/>
  <c r="BR12" i="72"/>
  <c r="BQ13" i="72"/>
  <c r="DS29" i="72"/>
  <c r="CW17" i="72"/>
  <c r="CX17" i="72" s="1"/>
  <c r="CY17" i="72" s="1"/>
  <c r="CW21" i="72"/>
  <c r="CX21" i="72" s="1"/>
  <c r="CY21" i="72" s="1"/>
  <c r="DS27" i="72"/>
  <c r="CW19" i="72"/>
  <c r="CX19" i="72" s="1"/>
  <c r="CY19" i="72" s="1"/>
  <c r="CW15" i="72"/>
  <c r="CX15" i="72" s="1"/>
  <c r="CY15" i="72" s="1"/>
  <c r="DA26" i="72"/>
  <c r="DO29" i="72"/>
  <c r="DR29" i="72" s="1"/>
  <c r="CW28" i="72"/>
  <c r="CX28" i="72" s="1"/>
  <c r="CY28" i="72" s="1"/>
  <c r="DA14" i="72"/>
  <c r="DS30" i="72"/>
  <c r="BQ21" i="72"/>
  <c r="BM30" i="72"/>
  <c r="BP30" i="72" s="1"/>
  <c r="BM26" i="72"/>
  <c r="BN26" i="72" s="1"/>
  <c r="BO26" i="72" s="1"/>
  <c r="BM18" i="72"/>
  <c r="BN18" i="72" s="1"/>
  <c r="BO18" i="72" s="1"/>
  <c r="BQ26" i="72"/>
  <c r="BR29" i="72"/>
  <c r="BM16" i="72"/>
  <c r="BP16" i="72" s="1"/>
  <c r="BR26" i="72"/>
  <c r="BM19" i="72"/>
  <c r="BN19" i="72" s="1"/>
  <c r="BO19" i="72" s="1"/>
  <c r="BM15" i="72"/>
  <c r="BN15" i="72" s="1"/>
  <c r="BO15" i="72" s="1"/>
  <c r="BR19" i="72"/>
  <c r="BR28" i="72"/>
  <c r="BM17" i="72"/>
  <c r="BN17" i="72" s="1"/>
  <c r="BO17" i="72" s="1"/>
  <c r="DA30" i="72"/>
  <c r="DA15" i="72"/>
  <c r="DA19" i="72"/>
  <c r="BM31" i="72"/>
  <c r="BN31" i="72" s="1"/>
  <c r="BO31" i="72" s="1"/>
  <c r="BQ16" i="72"/>
  <c r="BQ15" i="72"/>
  <c r="BR16" i="72"/>
  <c r="BM23" i="72"/>
  <c r="BN23" i="72" s="1"/>
  <c r="BO23" i="72" s="1"/>
  <c r="CW23" i="72"/>
  <c r="CZ23" i="72" s="1"/>
  <c r="DA29" i="72"/>
  <c r="CW16" i="72"/>
  <c r="CZ16" i="72" s="1"/>
  <c r="CW13" i="72"/>
  <c r="CX13" i="72" s="1"/>
  <c r="CY13" i="72" s="1"/>
  <c r="DA17" i="72"/>
  <c r="CW22" i="72"/>
  <c r="CX22" i="72" s="1"/>
  <c r="CY22" i="72" s="1"/>
  <c r="DA23" i="72"/>
  <c r="DA12" i="72"/>
  <c r="CE30" i="72"/>
  <c r="CF30" i="72" s="1"/>
  <c r="CG30" i="72" s="1"/>
  <c r="CJ27" i="72"/>
  <c r="CE12" i="72"/>
  <c r="CH12" i="72" s="1"/>
  <c r="CI27" i="72"/>
  <c r="CI29" i="72"/>
  <c r="CI12" i="72"/>
  <c r="CE16" i="72"/>
  <c r="CH16" i="72" s="1"/>
  <c r="CI23" i="72"/>
  <c r="CE28" i="72"/>
  <c r="CF28" i="72" s="1"/>
  <c r="CG28" i="72" s="1"/>
  <c r="CE23" i="72"/>
  <c r="CF23" i="72" s="1"/>
  <c r="CG23" i="72" s="1"/>
  <c r="CE25" i="72"/>
  <c r="CH25" i="72" s="1"/>
  <c r="CI16" i="72"/>
  <c r="CE20" i="72"/>
  <c r="CF20" i="72" s="1"/>
  <c r="CG20" i="72" s="1"/>
  <c r="CI30" i="72"/>
  <c r="CI25" i="72"/>
  <c r="CE31" i="72"/>
  <c r="CH31" i="72" s="1"/>
  <c r="CE27" i="72"/>
  <c r="CF27" i="72" s="1"/>
  <c r="CG27" i="72" s="1"/>
  <c r="CJ17" i="72"/>
  <c r="CJ18" i="72"/>
  <c r="CE13" i="72"/>
  <c r="CH13" i="72" s="1"/>
  <c r="CI15" i="72"/>
  <c r="CI28" i="72"/>
  <c r="CE22" i="72"/>
  <c r="CH22" i="72" s="1"/>
  <c r="CE19" i="72"/>
  <c r="CF19" i="72" s="1"/>
  <c r="CG19" i="72" s="1"/>
  <c r="CE21" i="72"/>
  <c r="CH21" i="72" s="1"/>
  <c r="CI22" i="72"/>
  <c r="CI32" i="72"/>
  <c r="CE32" i="72"/>
  <c r="CF32" i="72" s="1"/>
  <c r="CG32" i="72" s="1"/>
  <c r="CE18" i="72"/>
  <c r="CF18" i="72" s="1"/>
  <c r="CG18" i="72" s="1"/>
  <c r="CI14" i="72"/>
  <c r="CE14" i="72"/>
  <c r="CH14" i="72" s="1"/>
  <c r="CE29" i="72"/>
  <c r="CH29" i="72" s="1"/>
  <c r="CJ19" i="72"/>
  <c r="CJ28" i="72"/>
  <c r="CI31" i="72"/>
  <c r="CI26" i="72"/>
  <c r="CI24" i="72"/>
  <c r="CE26" i="72"/>
  <c r="CF26" i="72" s="1"/>
  <c r="CG26" i="72" s="1"/>
  <c r="CI13" i="72"/>
  <c r="CI21" i="72"/>
  <c r="CE17" i="72"/>
  <c r="CH17" i="72" s="1"/>
  <c r="CI17" i="72"/>
  <c r="CI20" i="72"/>
  <c r="CE24" i="72"/>
  <c r="CF24" i="72" s="1"/>
  <c r="CG24" i="72" s="1"/>
  <c r="CI18" i="72"/>
  <c r="CI19" i="72"/>
  <c r="CE15" i="72"/>
  <c r="CF15" i="72" s="1"/>
  <c r="CG15" i="72" s="1"/>
  <c r="DK31" i="72"/>
  <c r="DK15" i="72"/>
  <c r="DK20" i="72"/>
  <c r="DK17" i="72"/>
  <c r="DK16" i="72"/>
  <c r="DK13" i="72"/>
  <c r="DK27" i="72"/>
  <c r="DK14" i="72"/>
  <c r="DK12" i="72"/>
  <c r="DK18" i="72"/>
  <c r="DK32" i="72"/>
  <c r="DK23" i="72"/>
  <c r="DK30" i="72"/>
  <c r="DK28" i="72"/>
  <c r="DK21" i="72"/>
  <c r="DJ30" i="72"/>
  <c r="DJ18" i="72"/>
  <c r="DF14" i="72"/>
  <c r="DI14" i="72" s="1"/>
  <c r="DJ24" i="72"/>
  <c r="DJ20" i="72"/>
  <c r="DF12" i="72"/>
  <c r="DI12" i="72" s="1"/>
  <c r="DF25" i="72"/>
  <c r="DG25" i="72" s="1"/>
  <c r="DH25" i="72" s="1"/>
  <c r="DF17" i="72"/>
  <c r="DI17" i="72" s="1"/>
  <c r="DJ25" i="72"/>
  <c r="DJ17" i="72"/>
  <c r="DK19" i="72"/>
  <c r="DK25" i="72"/>
  <c r="DK22" i="72"/>
  <c r="DK26" i="72"/>
  <c r="DK24" i="72"/>
  <c r="DK29" i="72"/>
  <c r="DJ26" i="72"/>
  <c r="DF28" i="72"/>
  <c r="DI28" i="72" s="1"/>
  <c r="DJ16" i="72"/>
  <c r="DF26" i="72"/>
  <c r="DG26" i="72" s="1"/>
  <c r="DH26" i="72" s="1"/>
  <c r="DF18" i="72"/>
  <c r="DI18" i="72" s="1"/>
  <c r="DJ32" i="72"/>
  <c r="DF20" i="72"/>
  <c r="DI20" i="72" s="1"/>
  <c r="DF16" i="72"/>
  <c r="DJ13" i="72"/>
  <c r="DF23" i="72"/>
  <c r="DG23" i="72" s="1"/>
  <c r="DH23" i="72" s="1"/>
  <c r="DJ31" i="72"/>
  <c r="DJ22" i="72"/>
  <c r="DF32" i="72"/>
  <c r="DG32" i="72" s="1"/>
  <c r="DH32" i="72" s="1"/>
  <c r="DF24" i="72"/>
  <c r="DI24" i="72" s="1"/>
  <c r="DJ12" i="72"/>
  <c r="DJ21" i="72"/>
  <c r="DF21" i="72"/>
  <c r="DG21" i="72" s="1"/>
  <c r="DH21" i="72" s="1"/>
  <c r="DJ19" i="72"/>
  <c r="DJ15" i="72"/>
  <c r="DF19" i="72"/>
  <c r="DI19" i="72" s="1"/>
  <c r="DJ27" i="72"/>
  <c r="DF30" i="72"/>
  <c r="DG30" i="72" s="1"/>
  <c r="DH30" i="72" s="1"/>
  <c r="DF22" i="72"/>
  <c r="DG22" i="72" s="1"/>
  <c r="DH22" i="72" s="1"/>
  <c r="DJ14" i="72"/>
  <c r="DJ28" i="72"/>
  <c r="DJ29" i="72"/>
  <c r="DF29" i="72"/>
  <c r="DG29" i="72" s="1"/>
  <c r="DH29" i="72" s="1"/>
  <c r="DF13" i="72"/>
  <c r="DI13" i="72" s="1"/>
  <c r="DF31" i="72"/>
  <c r="DI31" i="72" s="1"/>
  <c r="DF15" i="72"/>
  <c r="DG15" i="72" s="1"/>
  <c r="DH15" i="72" s="1"/>
  <c r="DF27" i="72"/>
  <c r="DJ23" i="72"/>
  <c r="CW26" i="72"/>
  <c r="CX26" i="72" s="1"/>
  <c r="CY26" i="72" s="1"/>
  <c r="CW25" i="72"/>
  <c r="CZ25" i="72" s="1"/>
  <c r="DA21" i="72"/>
  <c r="CW12" i="72"/>
  <c r="CX12" i="72" s="1"/>
  <c r="CY12" i="72" s="1"/>
  <c r="DA25" i="72"/>
  <c r="CW14" i="72"/>
  <c r="CX14" i="72" s="1"/>
  <c r="CY14" i="72" s="1"/>
  <c r="DA32" i="72"/>
  <c r="DA13" i="72"/>
  <c r="CW24" i="72"/>
  <c r="CX24" i="72" s="1"/>
  <c r="CY24" i="72" s="1"/>
  <c r="CW32" i="72"/>
  <c r="CZ32" i="72" s="1"/>
  <c r="CW27" i="72"/>
  <c r="CZ27" i="72" s="1"/>
  <c r="DA18" i="72"/>
  <c r="DA28" i="72"/>
  <c r="CW30" i="72"/>
  <c r="CX30" i="72" s="1"/>
  <c r="CY30" i="72" s="1"/>
  <c r="DA16" i="72"/>
  <c r="CW18" i="72"/>
  <c r="CX18" i="72" s="1"/>
  <c r="CY18" i="72" s="1"/>
  <c r="DA31" i="72"/>
  <c r="CW29" i="72"/>
  <c r="CZ29" i="72" s="1"/>
  <c r="CW20" i="72"/>
  <c r="CZ20" i="72" s="1"/>
  <c r="DA24" i="72"/>
  <c r="DS26" i="72"/>
  <c r="DT20" i="72"/>
  <c r="DT29" i="72"/>
  <c r="DS19" i="72"/>
  <c r="DO23" i="72"/>
  <c r="DR23" i="72" s="1"/>
  <c r="DT23" i="72"/>
  <c r="DO12" i="72"/>
  <c r="DP12" i="72" s="1"/>
  <c r="DO32" i="72"/>
  <c r="DR32" i="72" s="1"/>
  <c r="DS16" i="72"/>
  <c r="DT30" i="72"/>
  <c r="DT16" i="72"/>
  <c r="DO26" i="72"/>
  <c r="DP26" i="72" s="1"/>
  <c r="DQ26" i="72" s="1"/>
  <c r="DS22" i="72"/>
  <c r="DS14" i="72"/>
  <c r="DT14" i="72"/>
  <c r="DT24" i="72"/>
  <c r="DS21" i="72"/>
  <c r="DO21" i="72"/>
  <c r="DR21" i="72" s="1"/>
  <c r="DO25" i="72"/>
  <c r="DP25" i="72" s="1"/>
  <c r="DQ25" i="72" s="1"/>
  <c r="BR14" i="72"/>
  <c r="BP21" i="72"/>
  <c r="BR32" i="72"/>
  <c r="BQ22" i="72"/>
  <c r="BM20" i="72"/>
  <c r="BP20" i="72" s="1"/>
  <c r="BR23" i="72"/>
  <c r="BQ24" i="72"/>
  <c r="BQ20" i="72"/>
  <c r="BM22" i="72"/>
  <c r="BN22" i="72" s="1"/>
  <c r="BO22" i="72" s="1"/>
  <c r="BQ28" i="72"/>
  <c r="BR21" i="72"/>
  <c r="BQ14" i="72"/>
  <c r="BR20" i="72"/>
  <c r="BR15" i="72"/>
  <c r="BM13" i="72"/>
  <c r="BN13" i="72" s="1"/>
  <c r="BO13" i="72" s="1"/>
  <c r="BR18" i="72"/>
  <c r="BR30" i="72"/>
  <c r="BM28" i="72"/>
  <c r="BP28" i="72" s="1"/>
  <c r="BQ23" i="72"/>
  <c r="BM27" i="72"/>
  <c r="BP27" i="72" s="1"/>
  <c r="BR25" i="72"/>
  <c r="BQ12" i="72"/>
  <c r="BM29" i="72"/>
  <c r="BP29" i="72" s="1"/>
  <c r="BM25" i="72"/>
  <c r="BP25" i="72" s="1"/>
  <c r="BR22" i="72"/>
  <c r="BQ25" i="72"/>
  <c r="BR27" i="72"/>
  <c r="BR24" i="72"/>
  <c r="BQ27" i="72"/>
  <c r="BQ29" i="72"/>
  <c r="BM12" i="72"/>
  <c r="BQ17" i="72"/>
  <c r="BM24" i="72"/>
  <c r="BP24" i="72" s="1"/>
  <c r="BQ18" i="72"/>
  <c r="BQ32" i="72"/>
  <c r="AZ18" i="72"/>
  <c r="AZ26" i="72"/>
  <c r="AZ32" i="72"/>
  <c r="AZ23" i="72"/>
  <c r="AZ29" i="72"/>
  <c r="AZ15" i="72"/>
  <c r="AZ19" i="72"/>
  <c r="AY22" i="72"/>
  <c r="AY27" i="72"/>
  <c r="AY31" i="72"/>
  <c r="AZ25" i="72"/>
  <c r="AZ31" i="72"/>
  <c r="AZ24" i="72"/>
  <c r="AY15" i="72"/>
  <c r="AZ27" i="72"/>
  <c r="AZ17" i="72"/>
  <c r="AY21" i="72"/>
  <c r="AY24" i="72"/>
  <c r="AY14" i="72"/>
  <c r="AV26" i="72"/>
  <c r="AY13" i="72"/>
  <c r="AY17" i="72"/>
  <c r="AZ21" i="72"/>
  <c r="AZ14" i="72"/>
  <c r="AZ28" i="72"/>
  <c r="AY25" i="72"/>
  <c r="AY32" i="72"/>
  <c r="AY18" i="72"/>
  <c r="AY19" i="72"/>
  <c r="AY30" i="72"/>
  <c r="AZ30" i="72"/>
  <c r="AZ20" i="72"/>
  <c r="AZ16" i="72"/>
  <c r="AZ13" i="72"/>
  <c r="AZ22" i="72"/>
  <c r="AY20" i="72"/>
  <c r="AY23" i="72"/>
  <c r="AY16" i="72"/>
  <c r="AY29" i="72"/>
  <c r="AY26" i="72"/>
  <c r="AY28" i="72"/>
  <c r="M81" i="72"/>
  <c r="J14" i="64"/>
  <c r="K14" i="64" s="1"/>
  <c r="V26" i="64"/>
  <c r="L36" i="64"/>
  <c r="V14" i="64"/>
  <c r="Q14" i="64"/>
  <c r="I22" i="12" l="1"/>
  <c r="E45" i="43"/>
  <c r="F45" i="43" s="1"/>
  <c r="G45" i="43" s="1"/>
  <c r="I45" i="43" s="1"/>
  <c r="J45" i="43"/>
  <c r="J42" i="43"/>
  <c r="K25" i="36"/>
  <c r="W17" i="36"/>
  <c r="K26" i="36"/>
  <c r="G6" i="54" s="1"/>
  <c r="D37" i="43"/>
  <c r="H37" i="43" s="1"/>
  <c r="W6" i="75"/>
  <c r="E42" i="43"/>
  <c r="F42" i="43" s="1"/>
  <c r="G42" i="43" s="1"/>
  <c r="I42" i="43" s="1"/>
  <c r="D46" i="43"/>
  <c r="H46" i="43" s="1"/>
  <c r="W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CQ32" i="72"/>
  <c r="DR22" i="72"/>
  <c r="DP14" i="72"/>
  <c r="DQ14" i="72" s="1"/>
  <c r="DY30" i="72"/>
  <c r="DZ30" i="72" s="1"/>
  <c r="AC12" i="72"/>
  <c r="AG12" i="72" s="1"/>
  <c r="AC21" i="72"/>
  <c r="AG21" i="72" s="1"/>
  <c r="AH21" i="72" s="1"/>
  <c r="AD21" i="72" s="1"/>
  <c r="AC19" i="72"/>
  <c r="AG19" i="72" s="1"/>
  <c r="AH19" i="72" s="1"/>
  <c r="AD19" i="72" s="1"/>
  <c r="AC28" i="72"/>
  <c r="AG28" i="72" s="1"/>
  <c r="AH28" i="72" s="1"/>
  <c r="AD28" i="72" s="1"/>
  <c r="AC18" i="72"/>
  <c r="AG18" i="72" s="1"/>
  <c r="AH18" i="72" s="1"/>
  <c r="AD18" i="72" s="1"/>
  <c r="AC23" i="72"/>
  <c r="AG23" i="72" s="1"/>
  <c r="AH23" i="72" s="1"/>
  <c r="AD23" i="72" s="1"/>
  <c r="AC16" i="72"/>
  <c r="AG16" i="72" s="1"/>
  <c r="AH16" i="72" s="1"/>
  <c r="AD16" i="72" s="1"/>
  <c r="AC32" i="72"/>
  <c r="AG32" i="72" s="1"/>
  <c r="AH32" i="72" s="1"/>
  <c r="AD32" i="72" s="1"/>
  <c r="AC25" i="72"/>
  <c r="AG25" i="72" s="1"/>
  <c r="AH25" i="72" s="1"/>
  <c r="AD25" i="72" s="1"/>
  <c r="AC22" i="72"/>
  <c r="AG22" i="72" s="1"/>
  <c r="AH22" i="72" s="1"/>
  <c r="AD22" i="72" s="1"/>
  <c r="AC27" i="72"/>
  <c r="AG27" i="72" s="1"/>
  <c r="AH27" i="72" s="1"/>
  <c r="AD27" i="72" s="1"/>
  <c r="AC20" i="72"/>
  <c r="AG20" i="72" s="1"/>
  <c r="AH20" i="72" s="1"/>
  <c r="AD20" i="72" s="1"/>
  <c r="AC13" i="72"/>
  <c r="AG13" i="72" s="1"/>
  <c r="AH13" i="72" s="1"/>
  <c r="AD13" i="72" s="1"/>
  <c r="AC29" i="72"/>
  <c r="AG29" i="72" s="1"/>
  <c r="AH29" i="72" s="1"/>
  <c r="AD29" i="72" s="1"/>
  <c r="AC26" i="72"/>
  <c r="AG26" i="72" s="1"/>
  <c r="AH26" i="72" s="1"/>
  <c r="AD26" i="72" s="1"/>
  <c r="AC15" i="72"/>
  <c r="AG15" i="72" s="1"/>
  <c r="AH15" i="72" s="1"/>
  <c r="AD15" i="72" s="1"/>
  <c r="AC31" i="72"/>
  <c r="AG31" i="72" s="1"/>
  <c r="AH31" i="72" s="1"/>
  <c r="AD31" i="72" s="1"/>
  <c r="AC24" i="72"/>
  <c r="AG24" i="72" s="1"/>
  <c r="AH24" i="72" s="1"/>
  <c r="AD24" i="72" s="1"/>
  <c r="AC17" i="72"/>
  <c r="AG17" i="72" s="1"/>
  <c r="AH17" i="72" s="1"/>
  <c r="AD17" i="72" s="1"/>
  <c r="AC14" i="72"/>
  <c r="AG14" i="72" s="1"/>
  <c r="AH14" i="72" s="1"/>
  <c r="AD14" i="72" s="1"/>
  <c r="AC30" i="72"/>
  <c r="AG30" i="72" s="1"/>
  <c r="AH30" i="72" s="1"/>
  <c r="AD30" i="72" s="1"/>
  <c r="BG33" i="72"/>
  <c r="BE33" i="72"/>
  <c r="F16" i="36" s="1"/>
  <c r="C14" i="72"/>
  <c r="D14" i="76" s="1"/>
  <c r="CO15" i="72"/>
  <c r="CP15" i="72" s="1"/>
  <c r="DY13" i="72"/>
  <c r="DZ13" i="72" s="1"/>
  <c r="EA19" i="72"/>
  <c r="EA23" i="72"/>
  <c r="EA31" i="72"/>
  <c r="DY27" i="72"/>
  <c r="DZ27" i="72" s="1"/>
  <c r="EA14" i="72"/>
  <c r="DY12" i="72"/>
  <c r="DZ12" i="72" s="1"/>
  <c r="CQ25" i="72"/>
  <c r="EA17" i="72"/>
  <c r="G19" i="72"/>
  <c r="G13" i="72"/>
  <c r="G27" i="72"/>
  <c r="G26" i="72"/>
  <c r="G21" i="72"/>
  <c r="G30" i="72"/>
  <c r="G28" i="72"/>
  <c r="G23" i="72"/>
  <c r="G29" i="72"/>
  <c r="G18" i="72"/>
  <c r="G20" i="72"/>
  <c r="G22" i="72"/>
  <c r="G14" i="72"/>
  <c r="G32" i="72"/>
  <c r="G16" i="72"/>
  <c r="G25" i="72"/>
  <c r="G17" i="72"/>
  <c r="G24" i="72"/>
  <c r="G15" i="72"/>
  <c r="G31" i="72"/>
  <c r="BN12" i="72"/>
  <c r="BO12" i="72" s="1"/>
  <c r="C12" i="72"/>
  <c r="D12" i="76" s="1"/>
  <c r="N12" i="72"/>
  <c r="C19" i="72"/>
  <c r="D19" i="76" s="1"/>
  <c r="G12" i="72"/>
  <c r="C32" i="72"/>
  <c r="D32" i="76" s="1"/>
  <c r="C26" i="72"/>
  <c r="D26" i="76" s="1"/>
  <c r="AX28" i="72"/>
  <c r="C28" i="72"/>
  <c r="D28" i="76" s="1"/>
  <c r="AX24" i="72"/>
  <c r="C24" i="72"/>
  <c r="D24" i="76" s="1"/>
  <c r="AV15" i="72"/>
  <c r="C15" i="72"/>
  <c r="D15" i="76" s="1"/>
  <c r="N15" i="72"/>
  <c r="AW26" i="72"/>
  <c r="E26" i="72" s="1"/>
  <c r="F26" i="76" s="1"/>
  <c r="D26" i="72"/>
  <c r="E26" i="76" s="1"/>
  <c r="AX22" i="72"/>
  <c r="C22" i="72"/>
  <c r="D22" i="76" s="1"/>
  <c r="AV18" i="72"/>
  <c r="C18" i="72"/>
  <c r="D18" i="76" s="1"/>
  <c r="AV25" i="72"/>
  <c r="C25" i="72"/>
  <c r="D25" i="76" s="1"/>
  <c r="AX16" i="72"/>
  <c r="C16" i="72"/>
  <c r="D16" i="76" s="1"/>
  <c r="AV23" i="72"/>
  <c r="C23" i="72"/>
  <c r="D23" i="76" s="1"/>
  <c r="AX29" i="72"/>
  <c r="C29" i="72"/>
  <c r="D29" i="76" s="1"/>
  <c r="AV20" i="72"/>
  <c r="C20" i="72"/>
  <c r="D20" i="76" s="1"/>
  <c r="AV27" i="72"/>
  <c r="C27" i="72"/>
  <c r="D27" i="76" s="1"/>
  <c r="AX17" i="72"/>
  <c r="C17" i="72"/>
  <c r="D17" i="76" s="1"/>
  <c r="AV13" i="72"/>
  <c r="C13" i="72"/>
  <c r="D13" i="76" s="1"/>
  <c r="AX30" i="72"/>
  <c r="C30" i="72"/>
  <c r="D30" i="76" s="1"/>
  <c r="AX31" i="72"/>
  <c r="C31" i="72"/>
  <c r="D31" i="76" s="1"/>
  <c r="AX21" i="72"/>
  <c r="C21" i="72"/>
  <c r="D21" i="76" s="1"/>
  <c r="AV14" i="72"/>
  <c r="M80" i="72"/>
  <c r="W10" i="76" s="1"/>
  <c r="W13" i="76" s="1"/>
  <c r="L41" i="72"/>
  <c r="L37" i="72"/>
  <c r="L39" i="72"/>
  <c r="L44" i="72"/>
  <c r="L45" i="72"/>
  <c r="L43" i="72"/>
  <c r="L42" i="72"/>
  <c r="L40" i="72"/>
  <c r="L38" i="72"/>
  <c r="L36" i="72"/>
  <c r="B5" i="43"/>
  <c r="B4" i="43"/>
  <c r="K95" i="61"/>
  <c r="U95" i="61"/>
  <c r="CQ26" i="72"/>
  <c r="DY22" i="72"/>
  <c r="DZ22" i="72" s="1"/>
  <c r="DY15" i="72"/>
  <c r="DZ15" i="72" s="1"/>
  <c r="DY16" i="72"/>
  <c r="DZ16" i="72" s="1"/>
  <c r="U102" i="61"/>
  <c r="CZ21" i="72"/>
  <c r="CQ16" i="72"/>
  <c r="CO12" i="72"/>
  <c r="CP12" i="72" s="1"/>
  <c r="U98" i="61"/>
  <c r="K100" i="61"/>
  <c r="U99" i="61"/>
  <c r="U96" i="61"/>
  <c r="U104" i="61"/>
  <c r="K97" i="61"/>
  <c r="K96" i="61"/>
  <c r="U97" i="61"/>
  <c r="K98" i="61"/>
  <c r="K99" i="61"/>
  <c r="U101" i="61"/>
  <c r="K104" i="61"/>
  <c r="K102" i="61"/>
  <c r="K101" i="61"/>
  <c r="U103" i="61"/>
  <c r="K103" i="61"/>
  <c r="U100" i="61"/>
  <c r="EA21" i="72"/>
  <c r="DY29" i="72"/>
  <c r="DZ29" i="72" s="1"/>
  <c r="DR24" i="72"/>
  <c r="DR19" i="72"/>
  <c r="BY28" i="72"/>
  <c r="DR20" i="72"/>
  <c r="DR13" i="72"/>
  <c r="DB33" i="72"/>
  <c r="CQ29" i="72"/>
  <c r="CQ30" i="72"/>
  <c r="BY12" i="72"/>
  <c r="BW19" i="72"/>
  <c r="BX19" i="72" s="1"/>
  <c r="BP31" i="72"/>
  <c r="X13" i="72"/>
  <c r="BP23" i="72"/>
  <c r="X32" i="72"/>
  <c r="X31" i="72"/>
  <c r="BN32" i="72"/>
  <c r="BO32" i="72" s="1"/>
  <c r="AV12" i="72"/>
  <c r="BN30" i="72"/>
  <c r="BO30" i="72" s="1"/>
  <c r="BY23" i="72"/>
  <c r="BP18" i="72"/>
  <c r="CF14" i="72"/>
  <c r="CG14" i="72" s="1"/>
  <c r="CF25" i="72"/>
  <c r="CG25" i="72" s="1"/>
  <c r="CF21" i="72"/>
  <c r="CG21" i="72" s="1"/>
  <c r="CF29" i="72"/>
  <c r="CG29" i="72" s="1"/>
  <c r="X21" i="72"/>
  <c r="W31" i="72"/>
  <c r="W30" i="72"/>
  <c r="AX13" i="72"/>
  <c r="V19" i="72"/>
  <c r="AV28" i="72"/>
  <c r="AX27" i="72"/>
  <c r="AX25" i="72"/>
  <c r="BY14" i="72"/>
  <c r="BY32" i="72"/>
  <c r="EA26" i="72"/>
  <c r="AX26" i="72"/>
  <c r="AV31" i="72"/>
  <c r="BN24" i="72"/>
  <c r="BO24" i="72" s="1"/>
  <c r="BP15" i="72"/>
  <c r="EA24" i="72"/>
  <c r="AX23" i="72"/>
  <c r="AV22" i="72"/>
  <c r="AV19" i="72"/>
  <c r="AX18" i="72"/>
  <c r="CH23" i="72"/>
  <c r="CF12" i="72"/>
  <c r="CG12" i="72" s="1"/>
  <c r="BW20" i="72"/>
  <c r="BX20" i="72" s="1"/>
  <c r="AV30" i="72"/>
  <c r="BW21" i="72"/>
  <c r="BX21" i="72" s="1"/>
  <c r="V14" i="72"/>
  <c r="V32" i="72"/>
  <c r="EC33" i="72"/>
  <c r="DX33" i="72"/>
  <c r="EA32" i="72"/>
  <c r="DY28" i="72"/>
  <c r="DZ28" i="72" s="1"/>
  <c r="DR27" i="72"/>
  <c r="DP16" i="72"/>
  <c r="DQ16" i="72" s="1"/>
  <c r="DY20" i="72"/>
  <c r="DZ20" i="72" s="1"/>
  <c r="DP15" i="72"/>
  <c r="DQ15" i="72" s="1"/>
  <c r="CZ13" i="72"/>
  <c r="DR17" i="72"/>
  <c r="CO17" i="72"/>
  <c r="CP17" i="72" s="1"/>
  <c r="CQ28" i="72"/>
  <c r="DP29" i="72"/>
  <c r="DQ29" i="72" s="1"/>
  <c r="CZ22" i="72"/>
  <c r="CO31" i="72"/>
  <c r="CP31" i="72" s="1"/>
  <c r="CO14" i="72"/>
  <c r="CP14" i="72" s="1"/>
  <c r="CH32" i="72"/>
  <c r="CH19" i="72"/>
  <c r="CH28" i="72"/>
  <c r="BN16" i="72"/>
  <c r="BO16" i="72" s="1"/>
  <c r="CO20" i="72"/>
  <c r="CP20" i="72" s="1"/>
  <c r="CQ20" i="72"/>
  <c r="CO24" i="72"/>
  <c r="CP24" i="72" s="1"/>
  <c r="CQ27" i="72"/>
  <c r="CO27" i="72"/>
  <c r="CP27" i="72" s="1"/>
  <c r="BN27" i="72"/>
  <c r="BO27" i="72" s="1"/>
  <c r="CF17" i="72"/>
  <c r="CG17" i="72" s="1"/>
  <c r="BW22" i="72"/>
  <c r="BX22" i="72" s="1"/>
  <c r="BY31" i="72"/>
  <c r="CQ13" i="72"/>
  <c r="CH26" i="72"/>
  <c r="CF13" i="72"/>
  <c r="CG13" i="72" s="1"/>
  <c r="CH30" i="72"/>
  <c r="BN28" i="72"/>
  <c r="BO28" i="72" s="1"/>
  <c r="CQ18" i="72"/>
  <c r="CQ21" i="72"/>
  <c r="BY18" i="72"/>
  <c r="BW30" i="72"/>
  <c r="BX30" i="72" s="1"/>
  <c r="CO19" i="72"/>
  <c r="CP19" i="72" s="1"/>
  <c r="CO23" i="72"/>
  <c r="CP23" i="72" s="1"/>
  <c r="CR33" i="72"/>
  <c r="CS33" i="72"/>
  <c r="EB33" i="72"/>
  <c r="CN33" i="72"/>
  <c r="CH24" i="72"/>
  <c r="BP26" i="72"/>
  <c r="BY24" i="72"/>
  <c r="BP13" i="72"/>
  <c r="AV16" i="72"/>
  <c r="AX20" i="72"/>
  <c r="AV24" i="72"/>
  <c r="AX32" i="72"/>
  <c r="AV21" i="72"/>
  <c r="BN29" i="72"/>
  <c r="BO29" i="72" s="1"/>
  <c r="CF16" i="72"/>
  <c r="CG16" i="72" s="1"/>
  <c r="BP22" i="72"/>
  <c r="BP19" i="72"/>
  <c r="BN20" i="72"/>
  <c r="BO20" i="72" s="1"/>
  <c r="AV29" i="72"/>
  <c r="AX15" i="72"/>
  <c r="AV32" i="72"/>
  <c r="AV17" i="72"/>
  <c r="BY26" i="72"/>
  <c r="BP17" i="72"/>
  <c r="CF31" i="72"/>
  <c r="CG31" i="72" s="1"/>
  <c r="CH18" i="72"/>
  <c r="CH27" i="72"/>
  <c r="CH20" i="72"/>
  <c r="CF22" i="72"/>
  <c r="CG22" i="72" s="1"/>
  <c r="BN14" i="72"/>
  <c r="BO14" i="72" s="1"/>
  <c r="BN25" i="72"/>
  <c r="BO25" i="72" s="1"/>
  <c r="BY25" i="72"/>
  <c r="BY16" i="72"/>
  <c r="BW16" i="72"/>
  <c r="BX16" i="72" s="1"/>
  <c r="AX14" i="72"/>
  <c r="AX19" i="72"/>
  <c r="BY27" i="72"/>
  <c r="BY17" i="72"/>
  <c r="CH15" i="72"/>
  <c r="BW29" i="72"/>
  <c r="BX29" i="72" s="1"/>
  <c r="BY13" i="72"/>
  <c r="BW15" i="72"/>
  <c r="BX15" i="72" s="1"/>
  <c r="X12" i="72"/>
  <c r="R30" i="72"/>
  <c r="EA25" i="72"/>
  <c r="DY25" i="72"/>
  <c r="DZ25" i="72" s="1"/>
  <c r="DY18" i="72"/>
  <c r="DZ18" i="72" s="1"/>
  <c r="EA18" i="72"/>
  <c r="DG18" i="72"/>
  <c r="DH18" i="72" s="1"/>
  <c r="X18" i="72"/>
  <c r="BZ33" i="72"/>
  <c r="W26" i="72"/>
  <c r="X16" i="72"/>
  <c r="N17" i="72"/>
  <c r="X26" i="72"/>
  <c r="N14" i="72"/>
  <c r="CX31" i="72"/>
  <c r="CY31" i="72" s="1"/>
  <c r="DG20" i="72"/>
  <c r="DH20" i="72" s="1"/>
  <c r="CZ26" i="72"/>
  <c r="DG17" i="72"/>
  <c r="DH17" i="72" s="1"/>
  <c r="DI22" i="72"/>
  <c r="DI21" i="72"/>
  <c r="CZ15" i="72"/>
  <c r="R31" i="72"/>
  <c r="DG24" i="72"/>
  <c r="DH24" i="72" s="1"/>
  <c r="DI25" i="72"/>
  <c r="DI32" i="72"/>
  <c r="DP31" i="72"/>
  <c r="DQ31" i="72" s="1"/>
  <c r="DI26" i="72"/>
  <c r="CZ19" i="72"/>
  <c r="N27" i="72"/>
  <c r="CX20" i="72"/>
  <c r="CY20" i="72" s="1"/>
  <c r="CZ17" i="72"/>
  <c r="CX25" i="72"/>
  <c r="CY25" i="72" s="1"/>
  <c r="CZ24" i="72"/>
  <c r="DG19" i="72"/>
  <c r="DH19" i="72" s="1"/>
  <c r="DG16" i="72"/>
  <c r="DH16" i="72" s="1"/>
  <c r="DI16" i="72"/>
  <c r="DG28" i="72"/>
  <c r="DH28" i="72" s="1"/>
  <c r="DG13" i="72"/>
  <c r="DH13" i="72" s="1"/>
  <c r="DI23" i="72"/>
  <c r="DG14" i="72"/>
  <c r="DH14" i="72" s="1"/>
  <c r="DG27" i="72"/>
  <c r="DH27" i="72" s="1"/>
  <c r="DI27" i="72"/>
  <c r="DI30" i="72"/>
  <c r="DG31" i="72"/>
  <c r="DH31" i="72" s="1"/>
  <c r="DI15" i="72"/>
  <c r="DI29" i="72"/>
  <c r="DR26" i="72"/>
  <c r="DP23" i="72"/>
  <c r="DQ23" i="72" s="1"/>
  <c r="DR30" i="72"/>
  <c r="DP30" i="72"/>
  <c r="DQ30" i="72" s="1"/>
  <c r="DP18" i="72"/>
  <c r="DQ18" i="72" s="1"/>
  <c r="DR18" i="72"/>
  <c r="DP32" i="72"/>
  <c r="DQ32" i="72" s="1"/>
  <c r="CA33" i="72"/>
  <c r="DP21" i="72"/>
  <c r="DQ21" i="72" s="1"/>
  <c r="DR25" i="72"/>
  <c r="V30" i="72"/>
  <c r="N30" i="72"/>
  <c r="V31" i="72"/>
  <c r="X19" i="72"/>
  <c r="W22" i="72"/>
  <c r="BV33" i="72"/>
  <c r="V28" i="72"/>
  <c r="X17" i="72"/>
  <c r="V21" i="72"/>
  <c r="W13" i="72"/>
  <c r="R24" i="72"/>
  <c r="V15" i="72"/>
  <c r="W28" i="72"/>
  <c r="R25" i="72"/>
  <c r="V26" i="72"/>
  <c r="CX29" i="72"/>
  <c r="CY29" i="72" s="1"/>
  <c r="CX32" i="72"/>
  <c r="CY32" i="72" s="1"/>
  <c r="CX16" i="72"/>
  <c r="CY16" i="72" s="1"/>
  <c r="CX27" i="72"/>
  <c r="CY27" i="72" s="1"/>
  <c r="R15" i="72"/>
  <c r="CZ14" i="72"/>
  <c r="CX23" i="72"/>
  <c r="CY23" i="72" s="1"/>
  <c r="CZ28" i="72"/>
  <c r="CZ30" i="72"/>
  <c r="CZ18" i="72"/>
  <c r="N31" i="72"/>
  <c r="R19" i="72"/>
  <c r="V16" i="72"/>
  <c r="R22" i="72"/>
  <c r="W21" i="72"/>
  <c r="X29" i="72"/>
  <c r="N13" i="72"/>
  <c r="V22" i="72"/>
  <c r="R21" i="72"/>
  <c r="R29" i="72"/>
  <c r="N18" i="72"/>
  <c r="N22" i="72"/>
  <c r="V20" i="72"/>
  <c r="X28" i="72"/>
  <c r="X20" i="72"/>
  <c r="V23" i="72"/>
  <c r="R17" i="72"/>
  <c r="X24" i="72"/>
  <c r="N20" i="72"/>
  <c r="N32" i="72"/>
  <c r="V18" i="72"/>
  <c r="O26" i="72"/>
  <c r="V13" i="72"/>
  <c r="W15" i="72"/>
  <c r="X30" i="72"/>
  <c r="N26" i="72"/>
  <c r="W19" i="72"/>
  <c r="W17" i="72"/>
  <c r="X25" i="72"/>
  <c r="CJ33" i="72"/>
  <c r="N29" i="72"/>
  <c r="R23" i="72"/>
  <c r="R13" i="72"/>
  <c r="R26" i="72"/>
  <c r="W24" i="72"/>
  <c r="N16" i="72"/>
  <c r="W27" i="72"/>
  <c r="X23" i="72"/>
  <c r="X14" i="72"/>
  <c r="X27" i="72"/>
  <c r="V27" i="72"/>
  <c r="W20" i="72"/>
  <c r="R27" i="72"/>
  <c r="W16" i="72"/>
  <c r="R12" i="72"/>
  <c r="X22" i="72"/>
  <c r="X15" i="72"/>
  <c r="BR33" i="72"/>
  <c r="R20" i="72"/>
  <c r="W32" i="72"/>
  <c r="V25" i="72"/>
  <c r="W14" i="72"/>
  <c r="V24" i="72"/>
  <c r="V12" i="72"/>
  <c r="N24" i="72"/>
  <c r="BQ33" i="72"/>
  <c r="V29" i="72"/>
  <c r="R32" i="72"/>
  <c r="N25" i="72"/>
  <c r="R28" i="72"/>
  <c r="N28" i="72"/>
  <c r="V17" i="72"/>
  <c r="W29" i="72"/>
  <c r="W25" i="72"/>
  <c r="W23" i="72"/>
  <c r="R16" i="72"/>
  <c r="R18" i="72"/>
  <c r="N23" i="72"/>
  <c r="R14" i="72"/>
  <c r="N19" i="72"/>
  <c r="W12" i="72"/>
  <c r="DJ33" i="72"/>
  <c r="DS33" i="72"/>
  <c r="CI33" i="72"/>
  <c r="CE33" i="72"/>
  <c r="N21" i="72"/>
  <c r="W18" i="72"/>
  <c r="DK33" i="72"/>
  <c r="DA33" i="72"/>
  <c r="DT33" i="72"/>
  <c r="DQ12" i="72"/>
  <c r="CZ12" i="72"/>
  <c r="CW33" i="72"/>
  <c r="DG12" i="72"/>
  <c r="DF33" i="72"/>
  <c r="DR12" i="72"/>
  <c r="DO33" i="72"/>
  <c r="BP12" i="72"/>
  <c r="BM33" i="72"/>
  <c r="AZ33" i="72"/>
  <c r="AU33" i="72"/>
  <c r="AY33" i="72"/>
  <c r="BF33" i="72"/>
  <c r="V7" i="75" s="1"/>
  <c r="L3" i="64"/>
  <c r="J46" i="43" l="1"/>
  <c r="J37" i="43"/>
  <c r="Z16" i="36"/>
  <c r="O16" i="36"/>
  <c r="E7" i="12"/>
  <c r="T44" i="61" s="1"/>
  <c r="E6" i="70"/>
  <c r="E6" i="11" s="1"/>
  <c r="E37" i="43"/>
  <c r="F37" i="43" s="1"/>
  <c r="G37" i="43" s="1"/>
  <c r="I37" i="43" s="1"/>
  <c r="D38" i="43"/>
  <c r="H38" i="43" s="1"/>
  <c r="W7" i="75"/>
  <c r="E46" i="43"/>
  <c r="F46" i="43" s="1"/>
  <c r="G46" i="43" s="1"/>
  <c r="I46" i="43" s="1"/>
  <c r="AO19" i="72"/>
  <c r="W17" i="70" s="1"/>
  <c r="AO18" i="72"/>
  <c r="W16" i="70" s="1"/>
  <c r="AO23" i="72"/>
  <c r="W21" i="70" s="1"/>
  <c r="AO21" i="72"/>
  <c r="W19" i="70" s="1"/>
  <c r="AO26" i="72"/>
  <c r="W24" i="70" s="1"/>
  <c r="AO13" i="72"/>
  <c r="W11" i="70" s="1"/>
  <c r="AO17" i="72"/>
  <c r="W15" i="70" s="1"/>
  <c r="AO27" i="72"/>
  <c r="W25" i="70" s="1"/>
  <c r="AO29" i="72"/>
  <c r="W27" i="70" s="1"/>
  <c r="AO24" i="72"/>
  <c r="W22" i="70" s="1"/>
  <c r="AO20" i="72"/>
  <c r="W18" i="70" s="1"/>
  <c r="AO25" i="72"/>
  <c r="W23" i="70" s="1"/>
  <c r="AO16" i="72"/>
  <c r="W14" i="70" s="1"/>
  <c r="AO15" i="72"/>
  <c r="W13" i="70" s="1"/>
  <c r="AO28" i="72"/>
  <c r="W26" i="70" s="1"/>
  <c r="AO22" i="72"/>
  <c r="W20" i="70" s="1"/>
  <c r="AO31" i="72"/>
  <c r="W29" i="70" s="1"/>
  <c r="AH12" i="72"/>
  <c r="AD12" i="72" s="1"/>
  <c r="AO12" i="72" s="1"/>
  <c r="Y16" i="36"/>
  <c r="AC33" i="72"/>
  <c r="AE33" i="72" s="1"/>
  <c r="P16" i="36"/>
  <c r="X16" i="36"/>
  <c r="W18" i="76"/>
  <c r="W16" i="76"/>
  <c r="W12" i="76"/>
  <c r="W27" i="76"/>
  <c r="W26" i="76"/>
  <c r="W28" i="76"/>
  <c r="W29" i="76"/>
  <c r="W22" i="76"/>
  <c r="W24" i="76"/>
  <c r="W21" i="76"/>
  <c r="W23" i="76"/>
  <c r="W25" i="76"/>
  <c r="W31" i="76"/>
  <c r="W14" i="76"/>
  <c r="W17" i="76"/>
  <c r="W19" i="76"/>
  <c r="W20" i="76"/>
  <c r="W30" i="76"/>
  <c r="W32" i="76"/>
  <c r="W15" i="76"/>
  <c r="N33" i="72"/>
  <c r="K23" i="72" s="1"/>
  <c r="F12" i="72"/>
  <c r="G12" i="76" s="1"/>
  <c r="H26" i="76"/>
  <c r="F32" i="72"/>
  <c r="G32" i="76" s="1"/>
  <c r="F15" i="72"/>
  <c r="G15" i="76" s="1"/>
  <c r="F27" i="72"/>
  <c r="G27" i="76" s="1"/>
  <c r="F21" i="72"/>
  <c r="G21" i="76" s="1"/>
  <c r="F30" i="72"/>
  <c r="G30" i="76" s="1"/>
  <c r="F14" i="72"/>
  <c r="G14" i="76" s="1"/>
  <c r="F28" i="72"/>
  <c r="G28" i="76" s="1"/>
  <c r="F29" i="72"/>
  <c r="G29" i="76" s="1"/>
  <c r="F16" i="72"/>
  <c r="G16" i="76" s="1"/>
  <c r="F20" i="72"/>
  <c r="G20" i="76" s="1"/>
  <c r="F25" i="72"/>
  <c r="G25" i="76" s="1"/>
  <c r="F24" i="72"/>
  <c r="G24" i="76" s="1"/>
  <c r="F18" i="72"/>
  <c r="G18" i="76" s="1"/>
  <c r="H12" i="72"/>
  <c r="F19" i="72"/>
  <c r="G19" i="76" s="1"/>
  <c r="F23" i="72"/>
  <c r="G23" i="76" s="1"/>
  <c r="F31" i="72"/>
  <c r="G31" i="76" s="1"/>
  <c r="F26" i="72"/>
  <c r="G26" i="76" s="1"/>
  <c r="F13" i="72"/>
  <c r="G13" i="76" s="1"/>
  <c r="F17" i="72"/>
  <c r="G17" i="76" s="1"/>
  <c r="F22" i="72"/>
  <c r="G22" i="76" s="1"/>
  <c r="H18" i="72"/>
  <c r="AW17" i="72"/>
  <c r="E17" i="72" s="1"/>
  <c r="F17" i="76" s="1"/>
  <c r="D17" i="72"/>
  <c r="E17" i="76" s="1"/>
  <c r="H17" i="76" s="1"/>
  <c r="AW27" i="72"/>
  <c r="E27" i="72" s="1"/>
  <c r="F27" i="76" s="1"/>
  <c r="D27" i="72"/>
  <c r="E27" i="76" s="1"/>
  <c r="H27" i="76" s="1"/>
  <c r="AW32" i="72"/>
  <c r="E32" i="72" s="1"/>
  <c r="F32" i="76" s="1"/>
  <c r="D32" i="72"/>
  <c r="E32" i="76" s="1"/>
  <c r="H32" i="76" s="1"/>
  <c r="AW16" i="72"/>
  <c r="E16" i="72" s="1"/>
  <c r="F16" i="76" s="1"/>
  <c r="D16" i="72"/>
  <c r="E16" i="76" s="1"/>
  <c r="H16" i="76" s="1"/>
  <c r="AW30" i="72"/>
  <c r="E30" i="72" s="1"/>
  <c r="F30" i="76" s="1"/>
  <c r="D30" i="72"/>
  <c r="E30" i="76" s="1"/>
  <c r="H30" i="76" s="1"/>
  <c r="Q29" i="72"/>
  <c r="AW19" i="72"/>
  <c r="E19" i="72" s="1"/>
  <c r="F19" i="76" s="1"/>
  <c r="D19" i="72"/>
  <c r="E19" i="76" s="1"/>
  <c r="H19" i="76" s="1"/>
  <c r="AW12" i="72"/>
  <c r="D12" i="72"/>
  <c r="E12" i="76" s="1"/>
  <c r="H12" i="76" s="1"/>
  <c r="AW20" i="72"/>
  <c r="E20" i="72" s="1"/>
  <c r="F20" i="76" s="1"/>
  <c r="D20" i="72"/>
  <c r="E20" i="76" s="1"/>
  <c r="H20" i="76" s="1"/>
  <c r="AW23" i="72"/>
  <c r="E23" i="72" s="1"/>
  <c r="F23" i="76" s="1"/>
  <c r="D23" i="72"/>
  <c r="E23" i="76" s="1"/>
  <c r="H23" i="76" s="1"/>
  <c r="AW15" i="72"/>
  <c r="E15" i="72" s="1"/>
  <c r="F15" i="76" s="1"/>
  <c r="D15" i="72"/>
  <c r="E15" i="76" s="1"/>
  <c r="H15" i="76" s="1"/>
  <c r="AW31" i="72"/>
  <c r="E31" i="72" s="1"/>
  <c r="F31" i="76" s="1"/>
  <c r="D31" i="72"/>
  <c r="E31" i="76" s="1"/>
  <c r="H31" i="76" s="1"/>
  <c r="AW13" i="72"/>
  <c r="E13" i="72" s="1"/>
  <c r="F13" i="76" s="1"/>
  <c r="D13" i="72"/>
  <c r="E13" i="76" s="1"/>
  <c r="H13" i="76" s="1"/>
  <c r="AW21" i="72"/>
  <c r="E21" i="72" s="1"/>
  <c r="F21" i="76" s="1"/>
  <c r="D21" i="72"/>
  <c r="E21" i="76" s="1"/>
  <c r="H21" i="76" s="1"/>
  <c r="P26" i="72"/>
  <c r="AW29" i="72"/>
  <c r="E29" i="72" s="1"/>
  <c r="F29" i="76" s="1"/>
  <c r="D29" i="72"/>
  <c r="E29" i="76" s="1"/>
  <c r="H29" i="76" s="1"/>
  <c r="AW24" i="72"/>
  <c r="E24" i="72" s="1"/>
  <c r="F24" i="76" s="1"/>
  <c r="D24" i="72"/>
  <c r="E24" i="76" s="1"/>
  <c r="H24" i="76" s="1"/>
  <c r="AW22" i="72"/>
  <c r="E22" i="72" s="1"/>
  <c r="F22" i="76" s="1"/>
  <c r="D22" i="72"/>
  <c r="E22" i="76" s="1"/>
  <c r="H22" i="76" s="1"/>
  <c r="AW28" i="72"/>
  <c r="E28" i="72" s="1"/>
  <c r="F28" i="76" s="1"/>
  <c r="D28" i="72"/>
  <c r="E28" i="76" s="1"/>
  <c r="H28" i="76" s="1"/>
  <c r="H29" i="72"/>
  <c r="AW25" i="72"/>
  <c r="E25" i="72" s="1"/>
  <c r="F25" i="76" s="1"/>
  <c r="D25" i="72"/>
  <c r="E25" i="76" s="1"/>
  <c r="H25" i="76" s="1"/>
  <c r="AW18" i="72"/>
  <c r="E18" i="72" s="1"/>
  <c r="F18" i="76" s="1"/>
  <c r="D18" i="72"/>
  <c r="E18" i="76" s="1"/>
  <c r="H18" i="76" s="1"/>
  <c r="H27" i="72"/>
  <c r="AW14" i="72"/>
  <c r="E14" i="72" s="1"/>
  <c r="D14" i="72"/>
  <c r="E14" i="76" s="1"/>
  <c r="H14" i="76" s="1"/>
  <c r="D33" i="76"/>
  <c r="M83" i="72"/>
  <c r="L7" i="64"/>
  <c r="K44" i="64"/>
  <c r="M47" i="72"/>
  <c r="Z31" i="72"/>
  <c r="Z32" i="72"/>
  <c r="Q31" i="72"/>
  <c r="Z13" i="72"/>
  <c r="Y30" i="72"/>
  <c r="M28" i="70" s="1"/>
  <c r="Y19" i="72"/>
  <c r="M17" i="70" s="1"/>
  <c r="Z21" i="72"/>
  <c r="Q23" i="72"/>
  <c r="CO33" i="72"/>
  <c r="F20" i="36" s="1"/>
  <c r="O20" i="36" s="1"/>
  <c r="O15" i="72"/>
  <c r="Z14" i="72"/>
  <c r="Y14" i="72"/>
  <c r="M12" i="70" s="1"/>
  <c r="Z19" i="72"/>
  <c r="S14" i="72"/>
  <c r="Y32" i="72"/>
  <c r="M30" i="70" s="1"/>
  <c r="Q28" i="72"/>
  <c r="CP33" i="72"/>
  <c r="Q22" i="72"/>
  <c r="Q27" i="72"/>
  <c r="O28" i="72"/>
  <c r="Q21" i="72"/>
  <c r="DY33" i="72"/>
  <c r="F24" i="36" s="1"/>
  <c r="O24" i="36" s="1"/>
  <c r="Y26" i="72"/>
  <c r="M24" i="70" s="1"/>
  <c r="CQ33" i="72"/>
  <c r="CH33" i="72"/>
  <c r="O30" i="72"/>
  <c r="EA33" i="72"/>
  <c r="BX33" i="72"/>
  <c r="Q24" i="72"/>
  <c r="O27" i="72"/>
  <c r="Q19" i="72"/>
  <c r="S27" i="72"/>
  <c r="O18" i="72"/>
  <c r="Q17" i="72"/>
  <c r="DZ33" i="72"/>
  <c r="BW33" i="72"/>
  <c r="F18" i="36" s="1"/>
  <c r="O18" i="36" s="1"/>
  <c r="Q13" i="72"/>
  <c r="Z26" i="72"/>
  <c r="Q14" i="72"/>
  <c r="O17" i="72"/>
  <c r="Z12" i="72"/>
  <c r="Q32" i="72"/>
  <c r="BO33" i="72"/>
  <c r="Q20" i="72"/>
  <c r="BY33" i="72"/>
  <c r="AV33" i="72"/>
  <c r="F15" i="36" s="1"/>
  <c r="O15" i="36" s="1"/>
  <c r="CG33" i="72"/>
  <c r="V10" i="75" s="1"/>
  <c r="Z16" i="72"/>
  <c r="Q16" i="72"/>
  <c r="CF33" i="72"/>
  <c r="F19" i="36" s="1"/>
  <c r="O19" i="36" s="1"/>
  <c r="BP33" i="72"/>
  <c r="AX33" i="72"/>
  <c r="BN33" i="72"/>
  <c r="F17" i="36" s="1"/>
  <c r="O17" i="36" s="1"/>
  <c r="O22" i="72"/>
  <c r="Z30" i="72"/>
  <c r="Z18" i="72"/>
  <c r="O24" i="72"/>
  <c r="S30" i="72"/>
  <c r="Q26" i="72"/>
  <c r="S17" i="72"/>
  <c r="DQ33" i="72"/>
  <c r="O31" i="72"/>
  <c r="O32" i="72"/>
  <c r="O25" i="72"/>
  <c r="O19" i="72"/>
  <c r="O13" i="72"/>
  <c r="O20" i="72"/>
  <c r="Y31" i="72"/>
  <c r="M29" i="70" s="1"/>
  <c r="DP33" i="72"/>
  <c r="F23" i="36" s="1"/>
  <c r="O23" i="36" s="1"/>
  <c r="O21" i="72"/>
  <c r="Q25" i="72"/>
  <c r="Q15" i="72"/>
  <c r="DR33" i="72"/>
  <c r="Q30" i="72"/>
  <c r="Q18" i="72"/>
  <c r="DI33" i="72"/>
  <c r="Z28" i="72"/>
  <c r="Y28" i="72"/>
  <c r="M26" i="70" s="1"/>
  <c r="Y21" i="72"/>
  <c r="M19" i="70" s="1"/>
  <c r="O14" i="72"/>
  <c r="S20" i="72"/>
  <c r="S31" i="72"/>
  <c r="Y22" i="72"/>
  <c r="M20" i="70" s="1"/>
  <c r="Y15" i="72"/>
  <c r="M13" i="70" s="1"/>
  <c r="Y12" i="72"/>
  <c r="M10" i="70" s="1"/>
  <c r="S12" i="72"/>
  <c r="Z25" i="72"/>
  <c r="Y24" i="72"/>
  <c r="M22" i="70" s="1"/>
  <c r="Z23" i="72"/>
  <c r="Y18" i="72"/>
  <c r="M16" i="70" s="1"/>
  <c r="Y17" i="72"/>
  <c r="M15" i="70" s="1"/>
  <c r="O23" i="72"/>
  <c r="CY33" i="72"/>
  <c r="S18" i="72"/>
  <c r="S32" i="72"/>
  <c r="S13" i="72"/>
  <c r="O29" i="72"/>
  <c r="O16" i="72"/>
  <c r="CZ33" i="72"/>
  <c r="CX33" i="72"/>
  <c r="F21" i="36" s="1"/>
  <c r="O21" i="36" s="1"/>
  <c r="Y20" i="72"/>
  <c r="M18" i="70" s="1"/>
  <c r="Z20" i="72"/>
  <c r="Y16" i="72"/>
  <c r="M14" i="70" s="1"/>
  <c r="S24" i="72"/>
  <c r="S22" i="72"/>
  <c r="Y13" i="72"/>
  <c r="M11" i="70" s="1"/>
  <c r="Z22" i="72"/>
  <c r="Z29" i="72"/>
  <c r="Y23" i="72"/>
  <c r="M21" i="70" s="1"/>
  <c r="Z27" i="72"/>
  <c r="S29" i="72"/>
  <c r="S26" i="72"/>
  <c r="R33" i="72"/>
  <c r="S16" i="72"/>
  <c r="S19" i="72"/>
  <c r="S25" i="72"/>
  <c r="Y27" i="72"/>
  <c r="M25" i="70" s="1"/>
  <c r="Z24" i="72"/>
  <c r="Y29" i="72"/>
  <c r="M27" i="70" s="1"/>
  <c r="S23" i="72"/>
  <c r="S21" i="72"/>
  <c r="V12" i="75"/>
  <c r="S28" i="72"/>
  <c r="X33" i="72"/>
  <c r="Y25" i="72"/>
  <c r="M23" i="70" s="1"/>
  <c r="V9" i="75"/>
  <c r="Z15" i="72"/>
  <c r="V33" i="72"/>
  <c r="W33" i="72"/>
  <c r="Z17" i="72"/>
  <c r="S15" i="72"/>
  <c r="DH12" i="72"/>
  <c r="DG33" i="72"/>
  <c r="F22" i="36" s="1"/>
  <c r="O22" i="36" s="1"/>
  <c r="O12" i="72"/>
  <c r="Q12" i="72"/>
  <c r="E38" i="43" l="1"/>
  <c r="F38" i="43" s="1"/>
  <c r="G38" i="43" s="1"/>
  <c r="I38" i="43" s="1"/>
  <c r="J38" i="43"/>
  <c r="D43" i="43"/>
  <c r="H43" i="43" s="1"/>
  <c r="W12" i="75"/>
  <c r="D41" i="43"/>
  <c r="H41" i="43" s="1"/>
  <c r="W10" i="75"/>
  <c r="D40" i="43"/>
  <c r="H40" i="43" s="1"/>
  <c r="W9" i="75"/>
  <c r="W10" i="70"/>
  <c r="AD33" i="72"/>
  <c r="AE16" i="36"/>
  <c r="AF16" i="36"/>
  <c r="W33" i="76"/>
  <c r="I27" i="76"/>
  <c r="I26" i="76"/>
  <c r="I20" i="76"/>
  <c r="I14" i="76"/>
  <c r="I15" i="76"/>
  <c r="I22" i="76"/>
  <c r="I31" i="76"/>
  <c r="I18" i="76"/>
  <c r="I16" i="76"/>
  <c r="I30" i="76"/>
  <c r="I32" i="76"/>
  <c r="I13" i="76"/>
  <c r="I19" i="76"/>
  <c r="I25" i="76"/>
  <c r="I28" i="76"/>
  <c r="I12" i="76"/>
  <c r="I17" i="76"/>
  <c r="I23" i="76"/>
  <c r="I24" i="76"/>
  <c r="I29" i="76"/>
  <c r="I21" i="76"/>
  <c r="K32" i="72"/>
  <c r="L32" i="72" s="1"/>
  <c r="Y15" i="36"/>
  <c r="Y23" i="36"/>
  <c r="Y17" i="36"/>
  <c r="Y20" i="36"/>
  <c r="Y21" i="36"/>
  <c r="Y18" i="36"/>
  <c r="Y22" i="36"/>
  <c r="Y19" i="36"/>
  <c r="Y24" i="36"/>
  <c r="Z21" i="36"/>
  <c r="X21" i="36"/>
  <c r="Z22" i="36"/>
  <c r="X22" i="36"/>
  <c r="Z19" i="36"/>
  <c r="X19" i="36"/>
  <c r="Z24" i="36"/>
  <c r="X24" i="36"/>
  <c r="Z18" i="36"/>
  <c r="AE18" i="36" s="1"/>
  <c r="X18" i="36"/>
  <c r="X15" i="36"/>
  <c r="Z23" i="36"/>
  <c r="X23" i="36"/>
  <c r="Z17" i="36"/>
  <c r="X17" i="36"/>
  <c r="Z20" i="36"/>
  <c r="X20" i="36"/>
  <c r="P15" i="36"/>
  <c r="Z15" i="36"/>
  <c r="P24" i="36"/>
  <c r="P21" i="36"/>
  <c r="P18" i="36"/>
  <c r="P19" i="36"/>
  <c r="P22" i="36"/>
  <c r="P23" i="36"/>
  <c r="AF23" i="36" s="1"/>
  <c r="P20" i="36"/>
  <c r="P16" i="72"/>
  <c r="P27" i="72"/>
  <c r="P19" i="72"/>
  <c r="P13" i="72"/>
  <c r="P30" i="72"/>
  <c r="G33" i="76"/>
  <c r="P15" i="72"/>
  <c r="E12" i="72"/>
  <c r="F12" i="76" s="1"/>
  <c r="P20" i="72"/>
  <c r="P17" i="72"/>
  <c r="P22" i="72"/>
  <c r="P29" i="72"/>
  <c r="P28" i="72"/>
  <c r="P18" i="72"/>
  <c r="P25" i="72"/>
  <c r="P32" i="72"/>
  <c r="P31" i="72"/>
  <c r="P24" i="72"/>
  <c r="P23" i="72"/>
  <c r="P21" i="72"/>
  <c r="E33" i="76"/>
  <c r="A32" i="76"/>
  <c r="L32" i="76" s="1"/>
  <c r="AH32" i="76" s="1"/>
  <c r="A20" i="76"/>
  <c r="L20" i="76" s="1"/>
  <c r="AH20" i="76" s="1"/>
  <c r="A28" i="76"/>
  <c r="L28" i="76" s="1"/>
  <c r="AH28" i="76" s="1"/>
  <c r="A24" i="76"/>
  <c r="L24" i="76" s="1"/>
  <c r="AH24" i="76" s="1"/>
  <c r="A16" i="76"/>
  <c r="L16" i="76" s="1"/>
  <c r="AH16" i="76" s="1"/>
  <c r="A12" i="76"/>
  <c r="L12" i="76" s="1"/>
  <c r="AH12" i="76" s="1"/>
  <c r="A23" i="76"/>
  <c r="L23" i="76" s="1"/>
  <c r="AH23" i="76" s="1"/>
  <c r="A19" i="76"/>
  <c r="L19" i="76" s="1"/>
  <c r="AH19" i="76" s="1"/>
  <c r="A27" i="76"/>
  <c r="L27" i="76" s="1"/>
  <c r="AH27" i="76" s="1"/>
  <c r="A31" i="76"/>
  <c r="L31" i="76" s="1"/>
  <c r="AH31" i="76" s="1"/>
  <c r="A15" i="76"/>
  <c r="L15" i="76" s="1"/>
  <c r="AH15" i="76" s="1"/>
  <c r="A18" i="76"/>
  <c r="L18" i="76" s="1"/>
  <c r="AH18" i="76" s="1"/>
  <c r="A29" i="76"/>
  <c r="L29" i="76" s="1"/>
  <c r="AH29" i="76" s="1"/>
  <c r="A30" i="76"/>
  <c r="L30" i="76" s="1"/>
  <c r="AH30" i="76" s="1"/>
  <c r="A21" i="76"/>
  <c r="L21" i="76" s="1"/>
  <c r="AH21" i="76" s="1"/>
  <c r="A17" i="76"/>
  <c r="L17" i="76" s="1"/>
  <c r="AH17" i="76" s="1"/>
  <c r="A13" i="76"/>
  <c r="L13" i="76" s="1"/>
  <c r="AH13" i="76" s="1"/>
  <c r="A25" i="76"/>
  <c r="L25" i="76" s="1"/>
  <c r="AH25" i="76" s="1"/>
  <c r="A26" i="76"/>
  <c r="L26" i="76" s="1"/>
  <c r="AH26" i="76" s="1"/>
  <c r="A22" i="76"/>
  <c r="L22" i="76" s="1"/>
  <c r="AH22" i="76" s="1"/>
  <c r="A14" i="76"/>
  <c r="L14" i="76" s="1"/>
  <c r="AH14" i="76" s="1"/>
  <c r="AW33" i="72"/>
  <c r="P14" i="72"/>
  <c r="F14" i="76"/>
  <c r="H7" i="12"/>
  <c r="H6" i="70"/>
  <c r="H6" i="11"/>
  <c r="L6" i="54"/>
  <c r="L5" i="54"/>
  <c r="H6" i="12"/>
  <c r="H5" i="11"/>
  <c r="H5" i="70"/>
  <c r="K14" i="72"/>
  <c r="K18" i="72"/>
  <c r="L18" i="72" s="1"/>
  <c r="K25" i="72"/>
  <c r="K28" i="72"/>
  <c r="K29" i="72"/>
  <c r="L29" i="72" s="1"/>
  <c r="K17" i="72"/>
  <c r="K21" i="72"/>
  <c r="K31" i="72"/>
  <c r="K12" i="72"/>
  <c r="L12" i="72" s="1"/>
  <c r="K15" i="72"/>
  <c r="K26" i="72"/>
  <c r="K13" i="72"/>
  <c r="K22" i="72"/>
  <c r="K24" i="72"/>
  <c r="K27" i="72"/>
  <c r="L27" i="72" s="1"/>
  <c r="K30" i="72"/>
  <c r="K20" i="72"/>
  <c r="K16" i="72"/>
  <c r="K19" i="72"/>
  <c r="V8" i="75"/>
  <c r="Z33" i="72"/>
  <c r="O33" i="72"/>
  <c r="Y33" i="72"/>
  <c r="DH33" i="72"/>
  <c r="V13" i="75" s="1"/>
  <c r="P12" i="72"/>
  <c r="Q33" i="72"/>
  <c r="K16" i="64"/>
  <c r="V16" i="75" l="1"/>
  <c r="J33" i="12" s="1"/>
  <c r="I32" i="12" s="1"/>
  <c r="J43" i="43"/>
  <c r="E41" i="43"/>
  <c r="F41" i="43" s="1"/>
  <c r="G41" i="43" s="1"/>
  <c r="I41" i="43" s="1"/>
  <c r="J41" i="43"/>
  <c r="E40" i="43"/>
  <c r="F40" i="43" s="1"/>
  <c r="G40" i="43" s="1"/>
  <c r="I40" i="43" s="1"/>
  <c r="J40" i="43"/>
  <c r="AF24" i="36"/>
  <c r="AF18" i="36"/>
  <c r="E43" i="43"/>
  <c r="F43" i="43" s="1"/>
  <c r="G43" i="43" s="1"/>
  <c r="I43" i="43" s="1"/>
  <c r="D39" i="43"/>
  <c r="H39" i="43" s="1"/>
  <c r="W8" i="75"/>
  <c r="D44" i="43"/>
  <c r="H44" i="43" s="1"/>
  <c r="W13" i="75"/>
  <c r="AE24" i="36"/>
  <c r="AE23" i="36"/>
  <c r="AE17" i="36"/>
  <c r="AE19" i="36"/>
  <c r="AF19" i="36"/>
  <c r="AE21" i="36"/>
  <c r="AF21" i="36"/>
  <c r="AF20" i="36"/>
  <c r="AE20" i="36"/>
  <c r="AF15" i="36"/>
  <c r="AE15" i="36"/>
  <c r="AE22" i="36"/>
  <c r="AF22" i="36"/>
  <c r="P17" i="36"/>
  <c r="AF17" i="36" s="1"/>
  <c r="AH33" i="76"/>
  <c r="L33" i="76"/>
  <c r="A33" i="76"/>
  <c r="F33" i="76"/>
  <c r="L19" i="72"/>
  <c r="L30" i="72"/>
  <c r="L13" i="72"/>
  <c r="L31" i="72"/>
  <c r="L16" i="72"/>
  <c r="L26" i="72"/>
  <c r="L21" i="72"/>
  <c r="L14" i="72"/>
  <c r="L20" i="72"/>
  <c r="L24" i="72"/>
  <c r="L15" i="72"/>
  <c r="L17" i="72"/>
  <c r="L28" i="72"/>
  <c r="L23" i="72"/>
  <c r="L22" i="72"/>
  <c r="L25" i="72"/>
  <c r="K33" i="72"/>
  <c r="P33" i="72"/>
  <c r="P9" i="72" s="1"/>
  <c r="S7" i="64"/>
  <c r="H33" i="12" l="1"/>
  <c r="J44" i="43"/>
  <c r="J39" i="43"/>
  <c r="E39" i="43"/>
  <c r="F39" i="43" s="1"/>
  <c r="G39" i="43" s="1"/>
  <c r="I39" i="43" s="1"/>
  <c r="E44" i="43"/>
  <c r="F44" i="43" s="1"/>
  <c r="G44" i="43" s="1"/>
  <c r="I44" i="43" s="1"/>
  <c r="W16" i="75"/>
  <c r="AU3" i="76" s="1"/>
  <c r="AE25" i="36"/>
  <c r="E11" i="11" s="1"/>
  <c r="AF25" i="36"/>
  <c r="E15" i="11" s="1"/>
  <c r="R13" i="76"/>
  <c r="R14" i="76"/>
  <c r="R20" i="76"/>
  <c r="R17" i="76"/>
  <c r="R18" i="76"/>
  <c r="R15" i="76"/>
  <c r="R31" i="76"/>
  <c r="O12" i="76"/>
  <c r="R28" i="76"/>
  <c r="R25" i="76"/>
  <c r="R26" i="76"/>
  <c r="R23" i="76"/>
  <c r="R16" i="76"/>
  <c r="R32" i="76"/>
  <c r="R29" i="76"/>
  <c r="R30" i="76"/>
  <c r="R27" i="76"/>
  <c r="R12" i="76"/>
  <c r="R24" i="76"/>
  <c r="R21" i="76"/>
  <c r="R22" i="76"/>
  <c r="R19" i="76"/>
  <c r="Q29" i="76"/>
  <c r="O29" i="76"/>
  <c r="P29" i="76"/>
  <c r="Q27" i="76"/>
  <c r="P27" i="76"/>
  <c r="O27" i="76"/>
  <c r="P12" i="76"/>
  <c r="Q12" i="76"/>
  <c r="Q18" i="76"/>
  <c r="P18" i="76"/>
  <c r="O18" i="76"/>
  <c r="O26" i="76"/>
  <c r="Q32" i="76"/>
  <c r="O30" i="76"/>
  <c r="P23" i="76"/>
  <c r="O22" i="76"/>
  <c r="P15" i="76"/>
  <c r="P19" i="76"/>
  <c r="Q16" i="76"/>
  <c r="Q22" i="76"/>
  <c r="Q15" i="76"/>
  <c r="Q24" i="76"/>
  <c r="O21" i="76"/>
  <c r="P26" i="76"/>
  <c r="O15" i="76"/>
  <c r="O23" i="76"/>
  <c r="O31" i="76"/>
  <c r="O16" i="76"/>
  <c r="O32" i="76"/>
  <c r="Q30" i="76"/>
  <c r="Q19" i="76"/>
  <c r="Q28" i="76"/>
  <c r="Q13" i="76"/>
  <c r="Q17" i="76"/>
  <c r="Q25" i="76"/>
  <c r="P16" i="76"/>
  <c r="O17" i="76"/>
  <c r="O19" i="76"/>
  <c r="Q31" i="76"/>
  <c r="Q23" i="76"/>
  <c r="P13" i="76"/>
  <c r="P17" i="76"/>
  <c r="P21" i="76"/>
  <c r="P25" i="76"/>
  <c r="P22" i="76"/>
  <c r="P20" i="76"/>
  <c r="P28" i="76"/>
  <c r="O28" i="76"/>
  <c r="P24" i="76"/>
  <c r="P32" i="76"/>
  <c r="O20" i="76"/>
  <c r="Q20" i="76"/>
  <c r="P31" i="76"/>
  <c r="O13" i="76"/>
  <c r="Q21" i="76"/>
  <c r="O25" i="76"/>
  <c r="Q26" i="76"/>
  <c r="P30" i="76"/>
  <c r="O24" i="76"/>
  <c r="O14" i="76"/>
  <c r="P14" i="76"/>
  <c r="Q14" i="76"/>
  <c r="L33" i="72"/>
  <c r="C10" i="69"/>
  <c r="C4" i="69"/>
  <c r="J47" i="43" l="1"/>
  <c r="E17" i="12" s="1"/>
  <c r="B26" i="65" s="1"/>
  <c r="I47" i="43"/>
  <c r="E29" i="11" s="1"/>
  <c r="T14" i="76"/>
  <c r="S14" i="76"/>
  <c r="S25" i="76"/>
  <c r="T25" i="76"/>
  <c r="T28" i="76"/>
  <c r="S28" i="76"/>
  <c r="T16" i="76"/>
  <c r="S16" i="76"/>
  <c r="T22" i="76"/>
  <c r="S22" i="76"/>
  <c r="T26" i="76"/>
  <c r="S26" i="76"/>
  <c r="T24" i="76"/>
  <c r="S24" i="76"/>
  <c r="T20" i="76"/>
  <c r="S20" i="76"/>
  <c r="T31" i="76"/>
  <c r="S31" i="76"/>
  <c r="S21" i="76"/>
  <c r="T21" i="76"/>
  <c r="T18" i="76"/>
  <c r="S18" i="76"/>
  <c r="S13" i="76"/>
  <c r="AO13" i="76" s="1"/>
  <c r="T13" i="76"/>
  <c r="T19" i="76"/>
  <c r="S19" i="76"/>
  <c r="T23" i="76"/>
  <c r="S23" i="76"/>
  <c r="T30" i="76"/>
  <c r="S30" i="76"/>
  <c r="T27" i="76"/>
  <c r="S27" i="76"/>
  <c r="S29" i="76"/>
  <c r="T29" i="76"/>
  <c r="S12" i="76"/>
  <c r="T12" i="76"/>
  <c r="S17" i="76"/>
  <c r="T17" i="76"/>
  <c r="T32" i="76"/>
  <c r="S32" i="76"/>
  <c r="T15" i="76"/>
  <c r="S15" i="76"/>
  <c r="Y31" i="76"/>
  <c r="Y23" i="76"/>
  <c r="R33" i="76"/>
  <c r="Q33" i="76"/>
  <c r="O33" i="76"/>
  <c r="P33" i="76"/>
  <c r="C33" i="72"/>
  <c r="D33" i="72"/>
  <c r="H30" i="72"/>
  <c r="H21" i="72"/>
  <c r="H22" i="72"/>
  <c r="H19" i="72"/>
  <c r="H15" i="72"/>
  <c r="H25" i="72"/>
  <c r="H26" i="72"/>
  <c r="H20" i="72"/>
  <c r="H24" i="72"/>
  <c r="H17" i="72"/>
  <c r="H28" i="72"/>
  <c r="E23" i="11" l="1"/>
  <c r="Z23" i="76"/>
  <c r="Z31" i="76"/>
  <c r="AO20" i="76"/>
  <c r="AO23" i="76"/>
  <c r="AO12" i="76"/>
  <c r="AP27" i="76"/>
  <c r="AP23" i="76"/>
  <c r="AP31" i="76"/>
  <c r="AO17" i="76"/>
  <c r="AO27" i="76"/>
  <c r="AO22" i="76"/>
  <c r="AO28" i="76"/>
  <c r="AO21" i="76"/>
  <c r="AO25" i="76"/>
  <c r="AO14" i="76"/>
  <c r="AO18" i="76"/>
  <c r="AP12" i="76"/>
  <c r="AP22" i="76"/>
  <c r="AP32" i="76"/>
  <c r="AP18" i="76"/>
  <c r="AP24" i="76"/>
  <c r="AP14" i="76"/>
  <c r="AO31" i="76"/>
  <c r="AO19" i="76"/>
  <c r="AO26" i="76"/>
  <c r="AP13" i="76"/>
  <c r="AO30" i="76"/>
  <c r="AO16" i="76"/>
  <c r="AP16" i="76"/>
  <c r="AP20" i="76"/>
  <c r="AP25" i="76"/>
  <c r="AP15" i="76"/>
  <c r="AO15" i="76"/>
  <c r="AO24" i="76"/>
  <c r="AO32" i="76"/>
  <c r="AO29" i="76"/>
  <c r="AP29" i="76"/>
  <c r="AP30" i="76"/>
  <c r="AP19" i="76"/>
  <c r="AP26" i="76"/>
  <c r="AP17" i="76"/>
  <c r="AP21" i="76"/>
  <c r="AP28" i="76"/>
  <c r="E33" i="72"/>
  <c r="E34" i="72" s="1"/>
  <c r="H14" i="72"/>
  <c r="H16" i="72"/>
  <c r="H31" i="72"/>
  <c r="H32" i="72"/>
  <c r="H23" i="72"/>
  <c r="F33" i="72"/>
  <c r="H13" i="72"/>
  <c r="G33" i="72"/>
  <c r="B37" i="65" l="1"/>
  <c r="E7" i="11" l="1"/>
  <c r="H4" i="12"/>
  <c r="N3" i="54"/>
  <c r="L3" i="54"/>
  <c r="E7" i="70" l="1"/>
  <c r="E8" i="12"/>
  <c r="B39" i="65" s="1"/>
  <c r="G7" i="54"/>
  <c r="B7" i="43"/>
  <c r="J3" i="36"/>
  <c r="H3" i="11"/>
  <c r="G39" i="54" l="1"/>
  <c r="K11" i="6"/>
  <c r="K12" i="6" s="1"/>
  <c r="B6" i="43"/>
  <c r="B11" i="43"/>
  <c r="B8" i="43"/>
  <c r="C55" i="64" l="1"/>
  <c r="K39" i="64" s="1"/>
  <c r="D32" i="64"/>
  <c r="D31" i="64"/>
  <c r="D30" i="64"/>
  <c r="D29" i="64"/>
  <c r="D22" i="64"/>
  <c r="D20" i="64"/>
  <c r="D19" i="64"/>
  <c r="B10" i="64"/>
  <c r="B9" i="64"/>
  <c r="B8" i="64"/>
  <c r="B7" i="64"/>
  <c r="B6" i="64"/>
  <c r="Q32" i="64" l="1"/>
  <c r="Q29" i="64"/>
  <c r="Q31" i="64"/>
  <c r="Q28" i="64"/>
  <c r="Q30" i="64"/>
  <c r="D78" i="64"/>
  <c r="V20" i="64" l="1"/>
  <c r="Q21" i="64"/>
  <c r="D5" i="64"/>
  <c r="L4" i="64"/>
  <c r="R24" i="61"/>
  <c r="L19" i="64"/>
  <c r="L21" i="64"/>
  <c r="L22" i="64"/>
  <c r="P19" i="64"/>
  <c r="Q19" i="64"/>
  <c r="Q20" i="64"/>
  <c r="Q22" i="64"/>
  <c r="U19" i="64"/>
  <c r="V19" i="64"/>
  <c r="B67" i="64" l="1"/>
  <c r="O43" i="64"/>
  <c r="T43" i="64"/>
  <c r="B45" i="64"/>
  <c r="T35" i="64"/>
  <c r="G6" i="64"/>
  <c r="S4" i="64"/>
  <c r="O28" i="64"/>
  <c r="P28" i="64" s="1"/>
  <c r="O29" i="64" s="1"/>
  <c r="P29" i="64" s="1"/>
  <c r="O30" i="64" s="1"/>
  <c r="P30" i="64" s="1"/>
  <c r="O31" i="64" s="1"/>
  <c r="P31" i="64" s="1"/>
  <c r="O32" i="64" s="1"/>
  <c r="P32" i="64" s="1"/>
  <c r="O35" i="64"/>
  <c r="T25" i="64"/>
  <c r="B13" i="64"/>
  <c r="B58" i="64"/>
  <c r="J35" i="64"/>
  <c r="B15" i="65"/>
  <c r="B14" i="65"/>
  <c r="B25" i="64"/>
  <c r="J25" i="64"/>
  <c r="B35" i="64"/>
  <c r="O13" i="64"/>
  <c r="B75" i="64"/>
  <c r="B52" i="64"/>
  <c r="T13" i="64"/>
  <c r="L20" i="64"/>
  <c r="J13" i="64"/>
  <c r="Q43" i="64" l="1"/>
  <c r="V43" i="64"/>
  <c r="V35" i="64"/>
  <c r="D67" i="64"/>
  <c r="AV24" i="61"/>
  <c r="D45" i="64"/>
  <c r="Q35" i="64"/>
  <c r="V25" i="64"/>
  <c r="V13" i="64"/>
  <c r="L25" i="64"/>
  <c r="Q13" i="64"/>
  <c r="D58" i="64"/>
  <c r="D35" i="64"/>
  <c r="D13" i="64"/>
  <c r="D75" i="64"/>
  <c r="L35" i="64"/>
  <c r="D52" i="64"/>
  <c r="D25" i="64"/>
  <c r="D15" i="65" l="1"/>
  <c r="C11" i="69"/>
  <c r="L13" i="64"/>
  <c r="AV18" i="61" l="1"/>
  <c r="AV20" i="61"/>
  <c r="R22" i="61"/>
  <c r="R20" i="61"/>
  <c r="K12" i="61"/>
  <c r="R14" i="61"/>
  <c r="C3" i="69" s="1"/>
  <c r="G66" i="54" l="1"/>
  <c r="J18" i="54"/>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K52" i="64" l="1"/>
  <c r="K48" i="64"/>
  <c r="K51" i="64"/>
  <c r="K50" i="64"/>
  <c r="K46" i="64"/>
  <c r="K53" i="64"/>
  <c r="K49" i="64"/>
  <c r="K45" i="64"/>
  <c r="K47" i="64"/>
  <c r="J47" i="64"/>
  <c r="J51" i="64"/>
  <c r="J48" i="64"/>
  <c r="J52" i="64"/>
  <c r="J45" i="64"/>
  <c r="J49" i="64"/>
  <c r="J53" i="64"/>
  <c r="J46" i="64"/>
  <c r="J50" i="64"/>
  <c r="M3" i="54"/>
  <c r="D55" i="64" l="1"/>
  <c r="K38" i="64" s="1"/>
  <c r="B12" i="65"/>
  <c r="B9" i="43" l="1"/>
  <c r="B12" i="43" s="1"/>
  <c r="B40" i="64" l="1"/>
  <c r="C39" i="64" s="1"/>
  <c r="U20" i="64" l="1"/>
  <c r="K10" i="6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R7" i="75" s="1"/>
  <c r="M20" i="36"/>
  <c r="L15" i="36"/>
  <c r="N15" i="36" s="1"/>
  <c r="AD15" i="36" s="1"/>
  <c r="AG15" i="36" s="1"/>
  <c r="M15" i="36"/>
  <c r="A15" i="36" s="1"/>
  <c r="R6" i="75" s="1"/>
  <c r="M19" i="36"/>
  <c r="M21" i="36"/>
  <c r="M22" i="36"/>
  <c r="M24" i="36"/>
  <c r="L17" i="36"/>
  <c r="N17" i="36" s="1"/>
  <c r="AD17" i="36" s="1"/>
  <c r="AG17" i="36" s="1"/>
  <c r="M17" i="36"/>
  <c r="A17" i="36" s="1"/>
  <c r="R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B22" i="64"/>
  <c r="K22" i="64" s="1"/>
  <c r="B30" i="65"/>
  <c r="E25" i="12"/>
  <c r="B21" i="64"/>
  <c r="K21" i="64" s="1"/>
  <c r="E30" i="12"/>
  <c r="C21" i="64" l="1"/>
  <c r="C20" i="64"/>
  <c r="E17" i="11"/>
  <c r="AG25" i="36"/>
  <c r="B20" i="64"/>
  <c r="J20" i="64" l="1"/>
  <c r="K20" i="64"/>
  <c r="C19" i="64"/>
  <c r="E28" i="12"/>
  <c r="F1" i="6" l="1"/>
  <c r="K1" i="6" l="1"/>
  <c r="J1" i="6"/>
  <c r="H1" i="6"/>
  <c r="K19" i="6" l="1"/>
  <c r="K20" i="6" l="1"/>
  <c r="E27" i="12" l="1"/>
  <c r="G72" i="59" l="1"/>
  <c r="G66" i="59"/>
  <c r="B32" i="64" l="1"/>
  <c r="P22" i="64" s="1"/>
  <c r="B30" i="64"/>
  <c r="P20" i="64" s="1"/>
  <c r="B31" i="64"/>
  <c r="P21" i="64" s="1"/>
  <c r="C29" i="64" l="1"/>
  <c r="C31" i="64"/>
  <c r="C30" i="64"/>
  <c r="E12" i="12" l="1"/>
  <c r="E26" i="12" s="1"/>
  <c r="E13" i="11" s="1"/>
  <c r="E19" i="11" s="1"/>
  <c r="B29" i="65" s="1"/>
  <c r="J12" i="12" l="1"/>
  <c r="I17" i="12"/>
  <c r="G5" i="54"/>
  <c r="H9" i="54"/>
  <c r="E6" i="12"/>
  <c r="T28" i="61" s="1"/>
  <c r="T36" i="61" s="1"/>
  <c r="E5" i="11"/>
  <c r="E5" i="70"/>
  <c r="B14" i="43"/>
  <c r="C21" i="43"/>
  <c r="C22" i="43" s="1"/>
  <c r="C23" i="43" s="1"/>
  <c r="B23" i="65"/>
  <c r="D64" i="64" l="1"/>
  <c r="D72" i="64"/>
  <c r="G28" i="54"/>
  <c r="G17" i="54"/>
  <c r="I23" i="11"/>
  <c r="I13" i="11"/>
  <c r="C23" i="69"/>
  <c r="D25" i="43"/>
  <c r="D24" i="43"/>
  <c r="E31" i="54"/>
  <c r="E30" i="54"/>
  <c r="E29" i="54"/>
  <c r="E18" i="54"/>
  <c r="G20" i="64" s="1"/>
  <c r="E19" i="54"/>
  <c r="G21" i="64" s="1"/>
  <c r="E20" i="54"/>
  <c r="G22" i="64" s="1"/>
  <c r="I19" i="11"/>
  <c r="I17" i="11"/>
  <c r="G4" i="64"/>
  <c r="I29" i="11"/>
  <c r="C78" i="64"/>
  <c r="I11" i="11"/>
  <c r="I15" i="11"/>
  <c r="B15" i="43"/>
  <c r="B16" i="43"/>
  <c r="K31" i="64" l="1"/>
  <c r="U48" i="64"/>
  <c r="P48" i="64"/>
  <c r="U49" i="64"/>
  <c r="P49" i="64"/>
  <c r="D62" i="64"/>
  <c r="Q26" i="64" s="1"/>
  <c r="K30" i="64"/>
  <c r="Y29" i="70" l="1"/>
  <c r="Y26" i="70"/>
  <c r="Y11" i="70"/>
  <c r="Y12" i="70"/>
  <c r="Y25" i="70"/>
  <c r="Y24" i="70"/>
  <c r="Y22" i="70"/>
  <c r="Y30" i="70"/>
  <c r="Y27" i="70"/>
  <c r="AA17" i="76" l="1"/>
  <c r="Y17" i="76" l="1"/>
  <c r="Z17" i="76" s="1"/>
  <c r="AA29" i="76" l="1"/>
  <c r="Y29" i="76"/>
  <c r="Z29" i="76" l="1"/>
  <c r="AA28" i="76" l="1"/>
  <c r="Y28" i="76"/>
  <c r="Z28" i="76" l="1"/>
  <c r="AA16" i="76" l="1"/>
  <c r="AA21" i="76" l="1"/>
  <c r="AA26" i="76"/>
  <c r="Y16" i="76"/>
  <c r="Z16" i="76" s="1"/>
  <c r="Y21" i="76"/>
  <c r="Z21" i="76" s="1"/>
  <c r="Y26" i="76"/>
  <c r="Z26" i="76" s="1"/>
  <c r="AA27" i="76" l="1"/>
  <c r="Y27" i="76" l="1"/>
  <c r="Z27" i="76" l="1"/>
  <c r="AA22" i="76" l="1"/>
  <c r="Y22" i="76" l="1"/>
  <c r="Z22" i="76" s="1"/>
  <c r="AA25" i="76" l="1"/>
  <c r="Y25" i="76"/>
  <c r="Z25" i="76" s="1"/>
  <c r="AA18" i="76" l="1"/>
  <c r="Y18" i="76"/>
  <c r="Z18" i="76" s="1"/>
  <c r="AA20" i="76" l="1"/>
  <c r="Y20" i="76"/>
  <c r="Z20" i="76" l="1"/>
  <c r="AA15" i="76" l="1"/>
  <c r="AA19" i="76"/>
  <c r="Y15" i="76" l="1"/>
  <c r="Y19" i="76"/>
  <c r="Z19" i="76" s="1"/>
  <c r="Z15" i="76" l="1"/>
  <c r="AA13" i="76" l="1"/>
  <c r="Y13" i="76"/>
  <c r="Z13" i="76" s="1"/>
  <c r="AO32" i="72" l="1"/>
  <c r="W30" i="70" s="1"/>
  <c r="AA14" i="76" l="1"/>
  <c r="Y14" i="76"/>
  <c r="AO30" i="72"/>
  <c r="W28" i="70" s="1"/>
  <c r="AO14" i="72"/>
  <c r="W12" i="70" s="1"/>
  <c r="Z14" i="76" l="1"/>
  <c r="Y24" i="76" l="1"/>
  <c r="Z24" i="76" s="1"/>
  <c r="Y12" i="76"/>
  <c r="AA12" i="76"/>
  <c r="AA24" i="76"/>
  <c r="Y32" i="76"/>
  <c r="Z32" i="76" s="1"/>
  <c r="AA32" i="76"/>
  <c r="Z12" i="76" l="1"/>
  <c r="G32" i="70" l="1"/>
  <c r="H10" i="54" s="1"/>
  <c r="M91" i="54" l="1"/>
  <c r="M29" i="54"/>
  <c r="M18" i="54"/>
  <c r="M40" i="54"/>
  <c r="Y30" i="76"/>
  <c r="Z30" i="76" s="1"/>
  <c r="Z33" i="76" s="1"/>
  <c r="AA30" i="76"/>
  <c r="M94" i="54" l="1"/>
  <c r="B25" i="65" s="1"/>
  <c r="B38" i="65"/>
  <c r="Y33" i="76"/>
  <c r="AB23" i="76" s="1"/>
  <c r="AC23" i="76" s="1"/>
  <c r="X23" i="76"/>
  <c r="X32" i="76"/>
  <c r="X29" i="76"/>
  <c r="X21" i="76"/>
  <c r="X22" i="76"/>
  <c r="X25" i="76"/>
  <c r="X24" i="76"/>
  <c r="X31" i="76"/>
  <c r="X14" i="76"/>
  <c r="X30" i="76"/>
  <c r="X20" i="76"/>
  <c r="X17" i="76"/>
  <c r="X19" i="76"/>
  <c r="X16" i="76"/>
  <c r="X27" i="76"/>
  <c r="X12" i="76"/>
  <c r="X26" i="76"/>
  <c r="X15" i="76"/>
  <c r="X13" i="76"/>
  <c r="X18" i="76"/>
  <c r="X28" i="76"/>
  <c r="AA33" i="76"/>
  <c r="M96" i="54" l="1"/>
  <c r="F22" i="12" s="1"/>
  <c r="E22" i="12"/>
  <c r="J22" i="12" s="1"/>
  <c r="AB32" i="76"/>
  <c r="AC32" i="76" s="1"/>
  <c r="AB27" i="76"/>
  <c r="AC27" i="76" s="1"/>
  <c r="AB20" i="76"/>
  <c r="AC20" i="76" s="1"/>
  <c r="AB28" i="76"/>
  <c r="AC28" i="76" s="1"/>
  <c r="AB18" i="76"/>
  <c r="AC18" i="76" s="1"/>
  <c r="AB21" i="76"/>
  <c r="AC21" i="76" s="1"/>
  <c r="AB26" i="76"/>
  <c r="AC26" i="76" s="1"/>
  <c r="AB16" i="76"/>
  <c r="AC16" i="76" s="1"/>
  <c r="AB31" i="76"/>
  <c r="AC31" i="76" s="1"/>
  <c r="AB25" i="76"/>
  <c r="AC25" i="76" s="1"/>
  <c r="AB24" i="76"/>
  <c r="AC24" i="76" s="1"/>
  <c r="AB12" i="76"/>
  <c r="AC12" i="76" s="1"/>
  <c r="AB19" i="76"/>
  <c r="AC19" i="76" s="1"/>
  <c r="AB22" i="76"/>
  <c r="AC22" i="76" s="1"/>
  <c r="AB14" i="76"/>
  <c r="AC14" i="76" s="1"/>
  <c r="AB29" i="76"/>
  <c r="AC29" i="76" s="1"/>
  <c r="AB13" i="76"/>
  <c r="AC13" i="76" s="1"/>
  <c r="AB15" i="76"/>
  <c r="AC15" i="76" s="1"/>
  <c r="AB17" i="76"/>
  <c r="AC17" i="76" s="1"/>
  <c r="AB30" i="76"/>
  <c r="AC30" i="76" s="1"/>
  <c r="S6" i="64" l="1"/>
  <c r="AB33" i="76"/>
  <c r="AC33" i="76"/>
  <c r="AD15" i="76" s="1"/>
  <c r="AF15" i="76" s="1"/>
  <c r="AI15" i="76" s="1"/>
  <c r="AD14" i="76" l="1"/>
  <c r="AF14" i="76" s="1"/>
  <c r="AI14" i="76" s="1"/>
  <c r="AD19" i="76"/>
  <c r="AF19" i="76" s="1"/>
  <c r="AI19" i="76" s="1"/>
  <c r="AD23" i="76"/>
  <c r="AF23" i="76" s="1"/>
  <c r="AI23" i="76" s="1"/>
  <c r="AD32" i="76"/>
  <c r="AF32" i="76" s="1"/>
  <c r="AI32" i="76" s="1"/>
  <c r="AD24" i="76"/>
  <c r="AF24" i="76" s="1"/>
  <c r="AI24" i="76" s="1"/>
  <c r="AD30" i="76"/>
  <c r="AF30" i="76" s="1"/>
  <c r="AI30" i="76" s="1"/>
  <c r="AD25" i="76"/>
  <c r="AF25" i="76" s="1"/>
  <c r="AI25" i="76" s="1"/>
  <c r="AD26" i="76"/>
  <c r="AF26" i="76" s="1"/>
  <c r="AI26" i="76" s="1"/>
  <c r="AD18" i="76"/>
  <c r="AF18" i="76" s="1"/>
  <c r="AI18" i="76" s="1"/>
  <c r="AD31" i="76"/>
  <c r="AF31" i="76" s="1"/>
  <c r="AI31" i="76" s="1"/>
  <c r="AD17" i="76"/>
  <c r="AF17" i="76" s="1"/>
  <c r="AI17" i="76" s="1"/>
  <c r="AD27" i="76"/>
  <c r="AF27" i="76" s="1"/>
  <c r="AI27" i="76" s="1"/>
  <c r="AD13" i="76"/>
  <c r="AF13" i="76" s="1"/>
  <c r="AI13" i="76" s="1"/>
  <c r="AD20" i="76"/>
  <c r="AF20" i="76" s="1"/>
  <c r="AI20" i="76" s="1"/>
  <c r="AD28" i="76"/>
  <c r="AF28" i="76" s="1"/>
  <c r="AI28" i="76" s="1"/>
  <c r="AD16" i="76"/>
  <c r="AF16" i="76" s="1"/>
  <c r="AI16" i="76" s="1"/>
  <c r="AD12" i="76"/>
  <c r="AF12" i="76" s="1"/>
  <c r="AD22" i="76"/>
  <c r="AF22" i="76" s="1"/>
  <c r="AI22" i="76" s="1"/>
  <c r="AD29" i="76"/>
  <c r="AF29" i="76" s="1"/>
  <c r="AI29" i="76" s="1"/>
  <c r="AD21" i="76"/>
  <c r="AF21" i="76" s="1"/>
  <c r="AI21" i="76" s="1"/>
  <c r="AD33" i="76" l="1"/>
  <c r="AF33" i="76"/>
  <c r="AI12" i="76"/>
  <c r="AI33" i="76" s="1"/>
  <c r="AL15" i="76" l="1"/>
  <c r="AL24" i="76"/>
  <c r="AL27" i="76"/>
  <c r="AL30" i="76"/>
  <c r="AL26" i="76"/>
  <c r="AL18" i="76"/>
  <c r="AL13" i="76"/>
  <c r="AL23" i="76"/>
  <c r="AL12" i="76"/>
  <c r="AL22" i="76"/>
  <c r="AL17" i="76"/>
  <c r="AL32" i="76"/>
  <c r="AL19" i="76"/>
  <c r="AL14" i="76"/>
  <c r="AL31" i="76"/>
  <c r="AL20" i="76"/>
  <c r="AL29" i="76"/>
  <c r="AL25" i="76"/>
  <c r="AL28" i="76"/>
  <c r="AL16" i="76"/>
  <c r="AL21" i="76"/>
  <c r="AM28" i="76" l="1"/>
  <c r="H26" i="70" s="1"/>
  <c r="AB26" i="70" s="1"/>
  <c r="AR28" i="76"/>
  <c r="AN28" i="76"/>
  <c r="I26" i="70" s="1"/>
  <c r="G26" i="70"/>
  <c r="AQ28" i="76"/>
  <c r="P26" i="70" s="1"/>
  <c r="AJ28" i="72"/>
  <c r="AK28" i="72" s="1"/>
  <c r="G29" i="70"/>
  <c r="AM31" i="76"/>
  <c r="H29" i="70" s="1"/>
  <c r="AB29" i="70" s="1"/>
  <c r="AQ31" i="76"/>
  <c r="P29" i="70" s="1"/>
  <c r="AJ31" i="72"/>
  <c r="AK31" i="72" s="1"/>
  <c r="AN31" i="76"/>
  <c r="I29" i="70" s="1"/>
  <c r="AR31" i="76"/>
  <c r="G15" i="70"/>
  <c r="AM17" i="76"/>
  <c r="H15" i="70" s="1"/>
  <c r="AB15" i="70" s="1"/>
  <c r="AN17" i="76"/>
  <c r="I15" i="70" s="1"/>
  <c r="AR17" i="76"/>
  <c r="AQ17" i="76"/>
  <c r="P15" i="70" s="1"/>
  <c r="AJ17" i="72"/>
  <c r="AK17" i="72" s="1"/>
  <c r="G11" i="70"/>
  <c r="AQ13" i="76"/>
  <c r="P11" i="70" s="1"/>
  <c r="AR13" i="76"/>
  <c r="AN13" i="76"/>
  <c r="I11" i="70" s="1"/>
  <c r="AM13" i="76"/>
  <c r="H11" i="70" s="1"/>
  <c r="AB11" i="70" s="1"/>
  <c r="AJ13" i="72"/>
  <c r="AK13" i="72" s="1"/>
  <c r="AR27" i="76"/>
  <c r="AQ27" i="76"/>
  <c r="P25" i="70" s="1"/>
  <c r="AJ27" i="72"/>
  <c r="AK27" i="72" s="1"/>
  <c r="AM27" i="76"/>
  <c r="H25" i="70" s="1"/>
  <c r="AB25" i="70" s="1"/>
  <c r="AN27" i="76"/>
  <c r="I25" i="70" s="1"/>
  <c r="G25" i="70"/>
  <c r="AM25" i="76"/>
  <c r="H23" i="70" s="1"/>
  <c r="AB23" i="70" s="1"/>
  <c r="AQ25" i="76"/>
  <c r="P23" i="70" s="1"/>
  <c r="AN25" i="76"/>
  <c r="I23" i="70" s="1"/>
  <c r="AJ25" i="72"/>
  <c r="AK25" i="72" s="1"/>
  <c r="G23" i="70"/>
  <c r="AR25" i="76"/>
  <c r="G12" i="70"/>
  <c r="AM14" i="76"/>
  <c r="H12" i="70" s="1"/>
  <c r="AB12" i="70" s="1"/>
  <c r="AJ14" i="72"/>
  <c r="AK14" i="72" s="1"/>
  <c r="AN14" i="76"/>
  <c r="I12" i="70" s="1"/>
  <c r="AQ14" i="76"/>
  <c r="P12" i="70" s="1"/>
  <c r="AR14" i="76"/>
  <c r="G20" i="70"/>
  <c r="AQ22" i="76"/>
  <c r="P20" i="70" s="1"/>
  <c r="AM22" i="76"/>
  <c r="H20" i="70" s="1"/>
  <c r="AB20" i="70" s="1"/>
  <c r="AN22" i="76"/>
  <c r="I20" i="70" s="1"/>
  <c r="AR22" i="76"/>
  <c r="AJ22" i="72"/>
  <c r="AK22" i="72" s="1"/>
  <c r="AM18" i="76"/>
  <c r="H16" i="70" s="1"/>
  <c r="AB16" i="70" s="1"/>
  <c r="AQ18" i="76"/>
  <c r="P16" i="70" s="1"/>
  <c r="AR18" i="76"/>
  <c r="G16" i="70"/>
  <c r="AN18" i="76"/>
  <c r="I16" i="70" s="1"/>
  <c r="AJ18" i="72"/>
  <c r="AK18" i="72" s="1"/>
  <c r="G22" i="70"/>
  <c r="AQ24" i="76"/>
  <c r="P22" i="70" s="1"/>
  <c r="AJ24" i="72"/>
  <c r="AK24" i="72" s="1"/>
  <c r="AN24" i="76"/>
  <c r="I22" i="70" s="1"/>
  <c r="AM24" i="76"/>
  <c r="H22" i="70" s="1"/>
  <c r="AB22" i="70" s="1"/>
  <c r="AR24" i="76"/>
  <c r="G19" i="70"/>
  <c r="AQ21" i="76"/>
  <c r="P19" i="70" s="1"/>
  <c r="AM21" i="76"/>
  <c r="H19" i="70" s="1"/>
  <c r="AB19" i="70" s="1"/>
  <c r="AJ21" i="72"/>
  <c r="AK21" i="72" s="1"/>
  <c r="AN21" i="76"/>
  <c r="I19" i="70" s="1"/>
  <c r="AR21" i="76"/>
  <c r="AR29" i="76"/>
  <c r="G27" i="70"/>
  <c r="AM29" i="76"/>
  <c r="H27" i="70" s="1"/>
  <c r="AB27" i="70" s="1"/>
  <c r="AQ29" i="76"/>
  <c r="P27" i="70" s="1"/>
  <c r="AN29" i="76"/>
  <c r="I27" i="70" s="1"/>
  <c r="AJ29" i="72"/>
  <c r="AK29" i="72" s="1"/>
  <c r="AR19" i="76"/>
  <c r="AQ19" i="76"/>
  <c r="P17" i="70" s="1"/>
  <c r="G17" i="70"/>
  <c r="AM19" i="76"/>
  <c r="H17" i="70" s="1"/>
  <c r="AB17" i="70" s="1"/>
  <c r="AN19" i="76"/>
  <c r="I17" i="70" s="1"/>
  <c r="AJ19" i="72"/>
  <c r="AK19" i="72" s="1"/>
  <c r="G10" i="70"/>
  <c r="AQ12" i="76"/>
  <c r="P10" i="70" s="1"/>
  <c r="AJ12" i="72"/>
  <c r="AK12" i="72" s="1"/>
  <c r="AL33" i="76"/>
  <c r="AU2" i="76" s="1"/>
  <c r="AM12" i="76"/>
  <c r="AR12" i="76"/>
  <c r="AN12" i="76"/>
  <c r="G24" i="70"/>
  <c r="AM26" i="76"/>
  <c r="H24" i="70" s="1"/>
  <c r="AB24" i="70" s="1"/>
  <c r="AQ26" i="76"/>
  <c r="P24" i="70" s="1"/>
  <c r="AJ26" i="72"/>
  <c r="AK26" i="72" s="1"/>
  <c r="AN26" i="76"/>
  <c r="I24" i="70" s="1"/>
  <c r="AR26" i="76"/>
  <c r="AM15" i="76"/>
  <c r="H13" i="70" s="1"/>
  <c r="AB13" i="70" s="1"/>
  <c r="AQ15" i="76"/>
  <c r="P13" i="70" s="1"/>
  <c r="G13" i="70"/>
  <c r="AJ15" i="72"/>
  <c r="AK15" i="72" s="1"/>
  <c r="AR15" i="76"/>
  <c r="AN15" i="76"/>
  <c r="I13" i="70" s="1"/>
  <c r="G14" i="70"/>
  <c r="AQ16" i="76"/>
  <c r="P14" i="70" s="1"/>
  <c r="AN16" i="76"/>
  <c r="I14" i="70" s="1"/>
  <c r="AJ16" i="72"/>
  <c r="AK16" i="72" s="1"/>
  <c r="AM16" i="76"/>
  <c r="H14" i="70" s="1"/>
  <c r="AB14" i="70" s="1"/>
  <c r="AR16" i="76"/>
  <c r="G18" i="70"/>
  <c r="AJ20" i="72"/>
  <c r="AK20" i="72" s="1"/>
  <c r="AN20" i="76"/>
  <c r="I18" i="70" s="1"/>
  <c r="AQ20" i="76"/>
  <c r="P18" i="70" s="1"/>
  <c r="AR20" i="76"/>
  <c r="AM20" i="76"/>
  <c r="H18" i="70" s="1"/>
  <c r="AB18" i="70" s="1"/>
  <c r="AM32" i="76"/>
  <c r="H30" i="70" s="1"/>
  <c r="AB30" i="70" s="1"/>
  <c r="AR32" i="76"/>
  <c r="AQ32" i="76"/>
  <c r="P30" i="70" s="1"/>
  <c r="AN32" i="76"/>
  <c r="I30" i="70" s="1"/>
  <c r="AJ32" i="72"/>
  <c r="AK32" i="72" s="1"/>
  <c r="G30" i="70"/>
  <c r="G21" i="70"/>
  <c r="AM23" i="76"/>
  <c r="H21" i="70" s="1"/>
  <c r="AB21" i="70" s="1"/>
  <c r="AR23" i="76"/>
  <c r="AQ23" i="76"/>
  <c r="P21" i="70" s="1"/>
  <c r="AN23" i="76"/>
  <c r="I21" i="70" s="1"/>
  <c r="AJ23" i="72"/>
  <c r="AK23" i="72" s="1"/>
  <c r="G28" i="70"/>
  <c r="AQ30" i="76"/>
  <c r="P28" i="70" s="1"/>
  <c r="AR30" i="76"/>
  <c r="AN30" i="76"/>
  <c r="I28" i="70" s="1"/>
  <c r="AJ30" i="72"/>
  <c r="AK30" i="72" s="1"/>
  <c r="AM30" i="76"/>
  <c r="H28" i="70" s="1"/>
  <c r="AB28" i="70" s="1"/>
  <c r="J25" i="70" l="1"/>
  <c r="J21" i="70"/>
  <c r="J18" i="70"/>
  <c r="J27" i="70"/>
  <c r="J16" i="70"/>
  <c r="J17" i="70"/>
  <c r="J19" i="70"/>
  <c r="J26" i="70"/>
  <c r="J29" i="70"/>
  <c r="J13" i="70"/>
  <c r="J30" i="70"/>
  <c r="J10" i="70"/>
  <c r="J22" i="70"/>
  <c r="J23" i="70"/>
  <c r="J11" i="70"/>
  <c r="J14" i="70"/>
  <c r="J24" i="70"/>
  <c r="J20" i="70"/>
  <c r="J28" i="70"/>
  <c r="J12" i="70"/>
  <c r="Q13" i="70"/>
  <c r="O13" i="70"/>
  <c r="I10" i="70"/>
  <c r="I31" i="70" s="1"/>
  <c r="AN33" i="76"/>
  <c r="T12" i="70"/>
  <c r="U12" i="70"/>
  <c r="S12" i="70"/>
  <c r="O12" i="70"/>
  <c r="Q12" i="70"/>
  <c r="Q15" i="70"/>
  <c r="O15" i="70"/>
  <c r="J15" i="70"/>
  <c r="AU36" i="61"/>
  <c r="S29" i="70"/>
  <c r="T29" i="70"/>
  <c r="U29" i="70"/>
  <c r="Q29" i="70"/>
  <c r="O29" i="70"/>
  <c r="S26" i="70"/>
  <c r="U26" i="70"/>
  <c r="T26" i="70"/>
  <c r="O26" i="70"/>
  <c r="Q26" i="70"/>
  <c r="U30" i="70"/>
  <c r="Q30" i="70"/>
  <c r="S30" i="70"/>
  <c r="T30" i="70"/>
  <c r="O30" i="70"/>
  <c r="O24" i="70"/>
  <c r="S24" i="70"/>
  <c r="U24" i="70"/>
  <c r="Q24" i="70"/>
  <c r="T24" i="70"/>
  <c r="O10" i="70"/>
  <c r="Q10" i="70"/>
  <c r="Q22" i="70"/>
  <c r="T22" i="70"/>
  <c r="S22" i="70"/>
  <c r="O22" i="70"/>
  <c r="U22" i="70"/>
  <c r="O20" i="70"/>
  <c r="Q20" i="70"/>
  <c r="Q23" i="70"/>
  <c r="O23" i="70"/>
  <c r="U11" i="70"/>
  <c r="Q11" i="70"/>
  <c r="S11" i="70"/>
  <c r="O11" i="70"/>
  <c r="T11" i="70"/>
  <c r="O28" i="70"/>
  <c r="Q28" i="70"/>
  <c r="O21" i="70"/>
  <c r="Q21" i="70"/>
  <c r="O18" i="70"/>
  <c r="Q18" i="70"/>
  <c r="Q14" i="70"/>
  <c r="O14" i="70"/>
  <c r="H10" i="70"/>
  <c r="AM33" i="76"/>
  <c r="AX6" i="76"/>
  <c r="AX7" i="76" s="1"/>
  <c r="BJ6" i="76"/>
  <c r="BJ7" i="76" s="1"/>
  <c r="O17" i="70"/>
  <c r="Q17" i="70"/>
  <c r="S27" i="70"/>
  <c r="T27" i="70"/>
  <c r="O27" i="70"/>
  <c r="U27" i="70"/>
  <c r="Q27" i="70"/>
  <c r="Q19" i="70"/>
  <c r="O19" i="70"/>
  <c r="Q16" i="70"/>
  <c r="O16" i="70"/>
  <c r="Q25" i="70"/>
  <c r="T25" i="70"/>
  <c r="U25" i="70"/>
  <c r="O25" i="70"/>
  <c r="S25" i="70"/>
  <c r="L27" i="70" l="1"/>
  <c r="AF27" i="70" s="1"/>
  <c r="Z127" i="61" s="1"/>
  <c r="L12" i="70"/>
  <c r="AF12" i="70" s="1"/>
  <c r="L22" i="70"/>
  <c r="AF22" i="70" s="1"/>
  <c r="AG22" i="70" s="1"/>
  <c r="AF122" i="61" s="1"/>
  <c r="L19" i="70"/>
  <c r="AF19" i="70" s="1"/>
  <c r="AG19" i="70" s="1"/>
  <c r="AF119" i="61" s="1"/>
  <c r="L29" i="70"/>
  <c r="AF29" i="70" s="1"/>
  <c r="Z129" i="61" s="1"/>
  <c r="L13" i="70"/>
  <c r="AF13" i="70" s="1"/>
  <c r="AG13" i="70" s="1"/>
  <c r="AF113" i="61" s="1"/>
  <c r="L14" i="70"/>
  <c r="AF14" i="70" s="1"/>
  <c r="Z114" i="61" s="1"/>
  <c r="L16" i="70"/>
  <c r="AF16" i="70" s="1"/>
  <c r="AH16" i="70" s="1"/>
  <c r="AM116" i="61" s="1"/>
  <c r="L17" i="70"/>
  <c r="AF17" i="70" s="1"/>
  <c r="Z117" i="61" s="1"/>
  <c r="L18" i="70"/>
  <c r="AF18" i="70" s="1"/>
  <c r="Z118" i="61" s="1"/>
  <c r="L28" i="70"/>
  <c r="AF28" i="70" s="1"/>
  <c r="Z128" i="61" s="1"/>
  <c r="L10" i="70"/>
  <c r="AF10" i="70" s="1"/>
  <c r="L26" i="70"/>
  <c r="AF26" i="70" s="1"/>
  <c r="Z126" i="61" s="1"/>
  <c r="L24" i="70"/>
  <c r="AF24" i="70" s="1"/>
  <c r="AH24" i="70" s="1"/>
  <c r="AM124" i="61" s="1"/>
  <c r="L21" i="70"/>
  <c r="AF21" i="70" s="1"/>
  <c r="L11" i="70"/>
  <c r="AF11" i="70" s="1"/>
  <c r="L23" i="70"/>
  <c r="AF23" i="70" s="1"/>
  <c r="L30" i="70"/>
  <c r="AF30" i="70" s="1"/>
  <c r="L25" i="70"/>
  <c r="AF25" i="70" s="1"/>
  <c r="L15" i="70"/>
  <c r="AF15" i="70" s="1"/>
  <c r="L20" i="70"/>
  <c r="AF20" i="70" s="1"/>
  <c r="J31" i="70"/>
  <c r="I34" i="70" s="1"/>
  <c r="I35" i="70" s="1"/>
  <c r="I33" i="70"/>
  <c r="H31" i="70"/>
  <c r="D26" i="65" s="1"/>
  <c r="AB10" i="70"/>
  <c r="G26" i="12" l="1"/>
  <c r="G13" i="11" s="1"/>
  <c r="G19" i="11"/>
  <c r="G17" i="12"/>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E13" i="12"/>
  <c r="I40" i="70"/>
  <c r="T38" i="61"/>
  <c r="C22" i="69" s="1"/>
  <c r="G29" i="11"/>
  <c r="D25" i="65"/>
  <c r="D30" i="65"/>
  <c r="E30" i="11"/>
  <c r="B31" i="65" s="1"/>
  <c r="D31" i="65" s="1"/>
  <c r="G23" i="11"/>
  <c r="I39" i="70"/>
  <c r="T40" i="61"/>
  <c r="G12" i="12"/>
  <c r="G27" i="12"/>
  <c r="D29" i="65"/>
  <c r="G28" i="12"/>
  <c r="G30" i="12"/>
  <c r="G22" i="12"/>
  <c r="G15" i="11"/>
  <c r="G25" i="12"/>
  <c r="G17" i="11"/>
  <c r="G11" i="11"/>
  <c r="L33" i="70"/>
  <c r="K33" i="70"/>
  <c r="K36" i="70"/>
  <c r="G37" i="70"/>
  <c r="I37" i="70"/>
  <c r="G13" i="12" l="1"/>
  <c r="E20" i="12"/>
  <c r="G20" i="12" s="1"/>
  <c r="B24" i="65"/>
  <c r="J17" i="12"/>
  <c r="J13" i="12" s="1"/>
  <c r="Z131" i="61"/>
  <c r="E31" i="12"/>
  <c r="G31" i="12" s="1"/>
  <c r="G30" i="11"/>
  <c r="I30" i="11"/>
  <c r="D24" i="65" l="1"/>
  <c r="B27" i="65"/>
  <c r="B33" i="65" s="1"/>
  <c r="B34" i="65" s="1"/>
  <c r="I20" i="12"/>
  <c r="E23" i="12"/>
  <c r="E34" i="12" s="1"/>
  <c r="G23" i="12" l="1"/>
  <c r="I34" i="12"/>
  <c r="C27" i="43" s="1"/>
  <c r="H34" i="12" s="1"/>
  <c r="J34" i="12" s="1"/>
  <c r="D27" i="65"/>
  <c r="B35" i="65"/>
  <c r="D33" i="65"/>
  <c r="G34" i="12" l="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Lim, Alex</author>
  </authors>
  <commentList>
    <comment ref="C16" authorId="0" shapeId="0" xr:uid="{9D984760-714A-44EE-AA22-466F67FA63E6}">
      <text>
        <r>
          <rPr>
            <b/>
            <sz val="8"/>
            <color indexed="81"/>
            <rFont val="Tahoma"/>
            <family val="2"/>
          </rPr>
          <t>Does this customer currently or do you expect them to make the vast majority of their payments via credit card?  (If you don’t know, find out before proceeding)</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Boone, Roger A</author>
  </authors>
  <commentList>
    <comment ref="G9" authorId="0" shapeId="0" xr:uid="{00000000-0006-0000-0400-000001000000}">
      <text>
        <r>
          <rPr>
            <b/>
            <sz val="8"/>
            <color indexed="81"/>
            <rFont val="Arial"/>
            <family val="2"/>
          </rPr>
          <t>Qualifying incentive sales excludes all PIM Classes that were excluded on PIM Model tab.</t>
        </r>
      </text>
    </comment>
    <comment ref="G10" authorId="0" shapeId="0" xr:uid="{00000000-0006-0000-0400-000002000000}">
      <text>
        <r>
          <rPr>
            <b/>
            <sz val="8"/>
            <color indexed="81"/>
            <rFont val="Tahoma"/>
            <family val="2"/>
          </rPr>
          <t>Eligible payout sales excludes any qualifying volume priced at $/LB or $/CS.  This spend is eligible for incentive payouts.</t>
        </r>
      </text>
    </comment>
    <comment ref="D14" authorId="0" shapeId="0" xr:uid="{00000000-0006-0000-0400-000003000000}">
      <text>
        <r>
          <rPr>
            <b/>
            <sz val="8"/>
            <color indexed="81"/>
            <rFont val="Tahoma"/>
            <family val="2"/>
          </rPr>
          <t>Volume incentive is a tiered incentive offering that pays back a percentage on every dollar of eligible spend if a customer hits the volume target.  This incentive pays out from the first dollar.  For A La Carte modeling purposes, we assume the customer hits Tier 1. 
For a flat-rate Volume incentive, enter the same target and payout in each tier.</t>
        </r>
      </text>
    </comment>
    <comment ref="G18" authorId="0" shapeId="0" xr:uid="{00000000-0006-0000-0400-000004000000}">
      <text>
        <r>
          <rPr>
            <b/>
            <sz val="8"/>
            <color indexed="81"/>
            <rFont val="Tahoma"/>
            <family val="2"/>
          </rPr>
          <t>Enter the minimum weekly sales threshold to earn the rate for each tier.  For single tier, only enter minimum for tier 1.  For flat rate on all eligible volume, enter 0 in tier 1</t>
        </r>
      </text>
    </comment>
    <comment ref="D25" authorId="0" shapeId="0" xr:uid="{00000000-0006-0000-0400-000005000000}">
      <text>
        <r>
          <rPr>
            <b/>
            <sz val="8"/>
            <color indexed="81"/>
            <rFont val="Tahoma"/>
            <family val="2"/>
          </rPr>
          <t>Drop-size incentive is a tiered incentive offering that pays back a percentage on every dollar of eligible spend if a customer hits the drop size target.  This incentive pays out from the first dollar.  For A La Carte modeling purposes, we assume the customer hits Tier 1. 
For a flat-rate Drop-Size incentive, enter the same target and payout in each tier.</t>
        </r>
      </text>
    </comment>
    <comment ref="G29" authorId="0" shapeId="0" xr:uid="{00000000-0006-0000-0400-000006000000}">
      <text>
        <r>
          <rPr>
            <b/>
            <sz val="8"/>
            <color indexed="81"/>
            <rFont val="Tahoma"/>
            <family val="2"/>
          </rPr>
          <t>Enter the tiers of the Drop-Size incentive.</t>
        </r>
      </text>
    </comment>
    <comment ref="D36" authorId="0" shapeId="0" xr:uid="{00000000-0006-0000-0400-000007000000}">
      <text>
        <r>
          <rPr>
            <b/>
            <sz val="8"/>
            <color indexed="81"/>
            <rFont val="Tahoma"/>
            <family val="2"/>
          </rPr>
          <t xml:space="preserve">Exclusive Brand (EB) is a tiered incentive that pays a rebate on EB sales if the customer exceeds the EB threshold % of sales.
For modeling purposes, we assume tier 1 payout % and multiply by whichever EB % is greater between Current and Tier 1. </t>
        </r>
      </text>
    </comment>
    <comment ref="G40" authorId="0" shapeId="0" xr:uid="{00000000-0006-0000-0400-000008000000}">
      <text>
        <r>
          <rPr>
            <b/>
            <sz val="8"/>
            <color indexed="81"/>
            <rFont val="Tahoma"/>
            <family val="2"/>
          </rPr>
          <t>Enter the tiers of the Exclusive Brand incentive.  For a flat EB incentive, enter the same value for all 3 tiers and incentive payouts.</t>
        </r>
      </text>
    </comment>
    <comment ref="G50" authorId="1" shapeId="0" xr:uid="{98D764AF-0085-4632-842A-C390AE0C48C6}">
      <text>
        <r>
          <rPr>
            <sz val="9"/>
            <color indexed="81"/>
            <rFont val="Tahoma"/>
            <family val="2"/>
          </rPr>
          <t>This is the weekly sales on which NO INCENTIVE rate will be applied.</t>
        </r>
      </text>
    </comment>
    <comment ref="D55" authorId="0" shapeId="0" xr:uid="{00000000-0006-0000-0400-000009000000}">
      <text>
        <r>
          <rPr>
            <b/>
            <sz val="8"/>
            <color indexed="81"/>
            <rFont val="Tahoma"/>
            <family val="2"/>
          </rPr>
          <t>eCommerce is an earned incentive that pays a rebate on eCOM sales if the customer exceeds the eCOM threshold % of sales.</t>
        </r>
      </text>
    </comment>
    <comment ref="G58" authorId="0" shapeId="0" xr:uid="{00000000-0006-0000-0400-00000A000000}">
      <text>
        <r>
          <rPr>
            <b/>
            <sz val="8"/>
            <color indexed="81"/>
            <rFont val="Tahoma"/>
            <family val="2"/>
          </rPr>
          <t>Enter the eCommerce target percentage.</t>
        </r>
      </text>
    </comment>
    <comment ref="D63" authorId="0" shapeId="0" xr:uid="{00000000-0006-0000-0400-00000B000000}">
      <text>
        <r>
          <rPr>
            <b/>
            <sz val="8"/>
            <color indexed="81"/>
            <rFont val="Tahoma"/>
            <family val="2"/>
          </rPr>
          <t>Prepaid Incentive can be paid up front, based on purchase commitment, or multiple yearly payments and amortized by sales volume during the term of the agreement.</t>
        </r>
      </text>
    </comment>
    <comment ref="G63" authorId="1" shapeId="0" xr:uid="{62CFEF4F-1338-487D-8F1A-049EEF08F875}">
      <text>
        <r>
          <rPr>
            <b/>
            <sz val="9"/>
            <color indexed="81"/>
            <rFont val="Tahoma"/>
            <family val="2"/>
          </rPr>
          <t>Purchase Commitment</t>
        </r>
        <r>
          <rPr>
            <sz val="9"/>
            <color indexed="81"/>
            <rFont val="Tahoma"/>
            <family val="2"/>
          </rPr>
          <t xml:space="preserve">: Future payments will be scheduled once the customer has reached their sales commitment for the prior payment.
</t>
        </r>
        <r>
          <rPr>
            <b/>
            <sz val="9"/>
            <color indexed="81"/>
            <rFont val="Tahoma"/>
            <family val="2"/>
          </rPr>
          <t xml:space="preserve">Annual: </t>
        </r>
        <r>
          <rPr>
            <sz val="9"/>
            <color indexed="81"/>
            <rFont val="Tahoma"/>
            <family val="2"/>
          </rPr>
          <t xml:space="preserve">Future payments will be scheduled for released on the anniversary date of the agreement even if the customer has not met their annual sales commitment. </t>
        </r>
      </text>
    </comment>
    <comment ref="D70" authorId="0" shapeId="0" xr:uid="{94CB0E2E-3CCA-4F22-BB02-955E5862EAE6}">
      <text>
        <r>
          <rPr>
            <b/>
            <sz val="8"/>
            <color indexed="81"/>
            <rFont val="Tahoma"/>
            <family val="2"/>
          </rPr>
          <t>Roll over any unamortized balance for a previouse agreement.</t>
        </r>
      </text>
    </comment>
    <comment ref="G70" authorId="1" shapeId="0" xr:uid="{2AD2DF77-17CF-47B6-ADEF-51059634090C}">
      <text>
        <r>
          <rPr>
            <sz val="9"/>
            <color indexed="81"/>
            <rFont val="Tahoma"/>
            <family val="2"/>
          </rPr>
          <t>This is the amount of money that will be giving to the customer</t>
        </r>
      </text>
    </comment>
    <comment ref="K70" authorId="1" shapeId="0" xr:uid="{64802C60-3588-4B33-BF52-1C41521E79E2}">
      <text>
        <r>
          <rPr>
            <sz val="9"/>
            <color indexed="81"/>
            <rFont val="Tahoma"/>
            <family val="2"/>
          </rPr>
          <t>Amount of the clawback</t>
        </r>
      </text>
    </comment>
    <comment ref="D80" authorId="0" shapeId="0" xr:uid="{00000000-0006-0000-0400-00000C000000}">
      <text>
        <r>
          <rPr>
            <b/>
            <sz val="8"/>
            <color indexed="81"/>
            <rFont val="Tahoma"/>
            <family val="2"/>
          </rPr>
          <t>CBT incentive that reimburses customers for CBT expenses incurred during the agreement term up to this total dollar value.</t>
        </r>
      </text>
    </comment>
    <comment ref="D88" authorId="0" shapeId="0" xr:uid="{174439C4-6D35-4E80-8A54-7DF9A261D959}">
      <text>
        <r>
          <rPr>
            <b/>
            <sz val="8"/>
            <color indexed="81"/>
            <rFont val="Tahoma"/>
            <family val="2"/>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00000000-0006-0000-0D00-000001000000}">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0000000-0006-0000-0D00-000002000000}">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00000000-0006-0000-0D00-000003000000}">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6F65E0F1-2D3C-4651-BC33-00AC68FDD624}">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00000000-0006-0000-0D00-00000400000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00000000-0006-0000-0D00-000005000000}">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46DD9E43-1B5A-4312-91E5-F4AC9963BAD7}">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00000000-0006-0000-0D00-000006000000}">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sharedStrings.xml><?xml version="1.0" encoding="utf-8"?>
<sst xmlns="http://schemas.openxmlformats.org/spreadsheetml/2006/main" count="4403" uniqueCount="1326">
  <si>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</si>
  <si>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</si>
  <si>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</si>
  <si>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</si>
  <si>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</si>
  <si>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</si>
  <si>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</si>
  <si>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</si>
  <si>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</si>
  <si>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</si>
  <si>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</si>
  <si>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</si>
  <si>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</si>
  <si>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</si>
  <si>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</si>
  <si>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</si>
  <si>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</si>
  <si>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</si>
  <si>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</si>
  <si>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</si>
  <si>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</si>
  <si>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</si>
  <si>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</si>
  <si>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</si>
  <si>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</si>
  <si>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</si>
  <si>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</si>
  <si>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</si>
  <si>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</si>
  <si>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</si>
  <si>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</si>
  <si>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</si>
  <si>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</si>
  <si>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</si>
  <si>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</si>
  <si>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</si>
  <si>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</si>
  <si>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</si>
  <si>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</si>
  <si>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</si>
  <si>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</si>
  <si>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</si>
  <si>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</si>
  <si>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</si>
  <si>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</si>
  <si>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</si>
  <si>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</si>
  <si>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</si>
  <si>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</si>
  <si>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</si>
  <si>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</si>
  <si>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</si>
  <si>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</si>
  <si>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</si>
  <si>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</si>
  <si>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</si>
  <si>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</si>
  <si>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</si>
  <si>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</si>
  <si>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</si>
  <si>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</si>
  <si>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</si>
  <si>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</si>
  <si>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</si>
  <si>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</si>
  <si>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</si>
  <si>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</si>
  <si>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</si>
  <si>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</si>
  <si>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</si>
  <si>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</si>
  <si>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</si>
  <si>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</si>
  <si>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</si>
  <si>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</si>
  <si>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</si>
  <si>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</si>
  <si>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</si>
  <si>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</si>
  <si>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</si>
  <si>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</si>
  <si>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</si>
  <si>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</si>
  <si>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</si>
  <si>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</si>
  <si>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</si>
  <si>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</si>
  <si>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</si>
  <si>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</si>
  <si>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</si>
  <si>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</si>
  <si>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</si>
  <si>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</si>
  <si>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</si>
  <si>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</si>
  <si>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</si>
  <si>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</si>
  <si>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</si>
  <si>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</si>
  <si>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</si>
  <si>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</si>
  <si>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</si>
  <si>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</si>
  <si>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</si>
  <si>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</si>
  <si>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</si>
  <si>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</si>
  <si>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</si>
  <si>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</si>
  <si>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</si>
  <si>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</si>
  <si>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</si>
  <si>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</si>
  <si>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</si>
  <si>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</si>
  <si>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</si>
  <si>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</si>
  <si>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</si>
  <si>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</si>
  <si>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</si>
  <si>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</si>
  <si>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</si>
  <si>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</si>
  <si>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</si>
  <si>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</si>
  <si>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</si>
  <si>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Calculated</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</si>
  <si>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</si>
  <si>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</si>
  <si>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</si>
  <si>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</si>
  <si>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</si>
  <si>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</si>
  <si>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</si>
  <si>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</si>
  <si>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</si>
  <si>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</si>
  <si>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</si>
  <si>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</si>
  <si>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</si>
  <si>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</si>
  <si>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</si>
  <si>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</si>
  <si>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</si>
  <si>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</si>
  <si>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</si>
  <si>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</si>
  <si>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</si>
  <si>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</si>
  <si>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</si>
  <si>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</si>
  <si>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</si>
  <si>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</si>
  <si>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</si>
  <si>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</si>
  <si>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</si>
  <si>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</si>
  <si>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</si>
  <si>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</si>
  <si>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</si>
  <si>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</si>
  <si>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</si>
  <si>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</si>
  <si>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</si>
  <si>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</si>
  <si>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</si>
  <si>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</si>
  <si>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</si>
  <si>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</si>
  <si>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</si>
  <si>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</si>
  <si>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</si>
  <si>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</si>
  <si>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</si>
  <si>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</si>
  <si>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</si>
  <si>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</si>
  <si>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</si>
  <si>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</si>
  <si>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</si>
  <si>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</si>
  <si>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</si>
  <si>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</si>
  <si>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</si>
  <si>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</si>
  <si>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</si>
  <si>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</si>
  <si>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</si>
  <si>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</si>
  <si>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</si>
  <si>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</si>
  <si>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</si>
  <si>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</si>
  <si>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</si>
  <si>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</si>
  <si>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</si>
  <si>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</si>
  <si>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</si>
  <si>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</si>
  <si>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</si>
  <si>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</si>
  <si>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</si>
  <si>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 xml:space="preserve">Spend Level: </t>
  </si>
  <si>
    <t xml:space="preserve">Variable Delivery: </t>
  </si>
  <si>
    <t xml:space="preserve">Variable Warehouse: </t>
  </si>
  <si>
    <t>Variable Selling:</t>
  </si>
  <si>
    <t>Select Accountability Type</t>
  </si>
  <si>
    <t>Max</t>
  </si>
  <si>
    <t>Select Incentive Type</t>
  </si>
  <si>
    <t>Zip Code</t>
  </si>
  <si>
    <t>Drops/Wk</t>
  </si>
  <si>
    <t>LOCALLY ACCOUNTABLE</t>
  </si>
  <si>
    <t>NATIONALLY ACCOUNTABLE</t>
  </si>
  <si>
    <t>PIM Model</t>
  </si>
  <si>
    <t xml:space="preserve">Estimated Contribution: </t>
  </si>
  <si>
    <t>Variable Costs &amp; Income</t>
  </si>
  <si>
    <t xml:space="preserve">Term (Years): </t>
  </si>
  <si>
    <t>Select Term</t>
  </si>
  <si>
    <t>Q1</t>
  </si>
  <si>
    <t>Q2</t>
  </si>
  <si>
    <t>Q3</t>
  </si>
  <si>
    <t>Mean</t>
  </si>
  <si>
    <t>Min</t>
  </si>
  <si>
    <t>Drop-Size</t>
  </si>
  <si>
    <t>Total Other Income</t>
  </si>
  <si>
    <t xml:space="preserve">Accountable Type: </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</si>
  <si>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</si>
  <si>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</si>
  <si>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</si>
  <si>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</si>
  <si>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</si>
  <si>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</si>
  <si>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</si>
  <si>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</si>
  <si>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</si>
  <si>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</si>
  <si>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</si>
  <si>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</si>
  <si>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</si>
  <si>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</si>
  <si>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</si>
  <si>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</si>
  <si>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</si>
  <si>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</si>
  <si>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</si>
  <si>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</si>
  <si>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</si>
  <si>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</si>
  <si>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</si>
  <si>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</si>
  <si>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</si>
  <si>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</si>
  <si>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</si>
  <si>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</si>
  <si>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</si>
  <si>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</si>
  <si>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</si>
  <si>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</si>
  <si>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</si>
  <si>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</si>
  <si>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</si>
  <si>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</si>
  <si>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</si>
  <si>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</si>
  <si>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</si>
  <si>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</si>
  <si>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</si>
  <si>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</si>
  <si>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</si>
  <si>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</si>
  <si>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</si>
  <si>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</si>
  <si>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</si>
  <si>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</si>
  <si>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</si>
  <si>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</si>
  <si>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</si>
  <si>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</si>
  <si>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</si>
  <si>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</si>
  <si>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</si>
  <si>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</si>
  <si>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</si>
  <si>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</si>
  <si>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</si>
  <si>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</si>
  <si>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</si>
  <si>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</si>
  <si>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</si>
  <si>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</si>
  <si>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</si>
  <si>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</si>
  <si>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</si>
  <si>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</si>
  <si>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</si>
  <si>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</si>
  <si>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</si>
  <si>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</si>
  <si>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</si>
  <si>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</si>
  <si>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</si>
  <si>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</si>
  <si>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</si>
  <si>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</si>
  <si>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</si>
  <si>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</si>
  <si>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</si>
  <si>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</si>
  <si>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</si>
  <si>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</si>
  <si>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</si>
  <si>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</si>
  <si>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</si>
  <si>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</si>
  <si>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</si>
  <si>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</si>
  <si>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</si>
  <si>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</si>
  <si>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</si>
  <si>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</si>
  <si>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</si>
  <si>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</si>
  <si>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</si>
  <si>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</si>
  <si>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</si>
  <si>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</si>
  <si>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</si>
  <si>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</si>
  <si>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</si>
  <si>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</si>
  <si>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</si>
  <si>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</si>
  <si>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</si>
  <si>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</si>
  <si>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</si>
  <si>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</si>
  <si>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</si>
  <si>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</si>
  <si>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</si>
  <si>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</si>
  <si>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</si>
  <si>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</si>
  <si>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</si>
  <si>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</si>
  <si>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</si>
  <si>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</si>
  <si>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</si>
  <si>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</si>
  <si>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</si>
  <si>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</si>
  <si>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</si>
  <si>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</si>
  <si>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</si>
  <si>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</si>
  <si>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</si>
  <si>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</si>
  <si>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</si>
  <si>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</si>
  <si>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</si>
  <si>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</si>
  <si>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</si>
  <si>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</si>
  <si>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</si>
  <si>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</si>
  <si>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</si>
  <si>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</si>
  <si>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</si>
  <si>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</si>
  <si>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</si>
  <si>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</si>
  <si>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</si>
  <si>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</si>
  <si>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</si>
  <si>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</si>
  <si>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</si>
  <si>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</si>
  <si>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</si>
  <si>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</si>
  <si>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</si>
  <si>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</si>
  <si>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</si>
  <si>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 xml:space="preserve">MDA/Incentive Only: </t>
  </si>
  <si>
    <t>MDA</t>
  </si>
  <si>
    <t>Incentive Only</t>
  </si>
  <si>
    <t xml:space="preserve"># of Locations: </t>
  </si>
  <si>
    <t>8O</t>
  </si>
  <si>
    <t>Branch Code</t>
  </si>
  <si>
    <t>Market Number</t>
  </si>
  <si>
    <t>DELAWARE VALLEY</t>
  </si>
  <si>
    <t>METRO NY</t>
  </si>
  <si>
    <t>9F</t>
  </si>
  <si>
    <t>RHODE ISLAND</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</si>
  <si>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</si>
  <si>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</si>
  <si>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</si>
  <si>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</si>
  <si>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</si>
  <si>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</si>
  <si>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</si>
  <si>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</si>
  <si>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</si>
  <si>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</si>
  <si>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</si>
  <si>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</si>
  <si>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</si>
  <si>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</si>
  <si>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</si>
  <si>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</si>
  <si>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</si>
  <si>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 xml:space="preserve">Variable Selling: </t>
  </si>
  <si>
    <t xml:space="preserve">Menu Lookup: </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</si>
  <si>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</si>
  <si>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</si>
  <si>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</si>
  <si>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</si>
  <si>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</si>
  <si>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</si>
  <si>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</si>
  <si>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</si>
  <si>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</si>
  <si>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</si>
  <si>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</si>
  <si>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</si>
  <si>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</si>
  <si>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</si>
  <si>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</si>
  <si>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</si>
  <si>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</si>
  <si>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</si>
  <si>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</si>
  <si>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</si>
  <si>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</si>
  <si>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</si>
  <si>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</si>
  <si>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</si>
  <si>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</si>
  <si>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</si>
  <si>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</si>
  <si>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</si>
  <si>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</si>
  <si>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</si>
  <si>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</si>
  <si>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</si>
  <si>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</si>
  <si>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</si>
  <si>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</si>
  <si>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</si>
  <si>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</si>
  <si>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</si>
  <si>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</si>
  <si>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</si>
  <si>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</si>
  <si>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</si>
  <si>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</si>
  <si>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</si>
  <si>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</si>
  <si>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</si>
  <si>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</si>
  <si>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</si>
  <si>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</si>
  <si>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</si>
  <si>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</si>
  <si>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</si>
  <si>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</si>
  <si>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</si>
  <si>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</si>
  <si>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</si>
  <si>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</si>
  <si>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</si>
  <si>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</si>
  <si>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</si>
  <si>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</si>
  <si>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</si>
  <si>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</si>
  <si>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</si>
  <si>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</si>
  <si>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</si>
  <si>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</si>
  <si>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</si>
  <si>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</si>
  <si>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</si>
  <si>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</si>
  <si>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</si>
  <si>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</si>
  <si>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</si>
  <si>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</si>
  <si>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</si>
  <si>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</si>
  <si>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</si>
  <si>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</si>
  <si>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</si>
  <si>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</si>
  <si>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</si>
  <si>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 xml:space="preserve">Drops/Location/Wk: </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</si>
  <si>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</si>
  <si>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</si>
  <si>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</si>
  <si>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</si>
  <si>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</si>
  <si>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</si>
  <si>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</si>
  <si>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</si>
  <si>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</si>
  <si>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</si>
  <si>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</si>
  <si>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</si>
  <si>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 </t>
  </si>
  <si>
    <t xml:space="preserve">TAGP/ Case: </t>
  </si>
  <si>
    <t xml:space="preserve">Gross TAGP/ Drop: </t>
  </si>
  <si>
    <t>Annual Incentive Cost</t>
  </si>
  <si>
    <t>Spend Q</t>
  </si>
  <si>
    <t>Min TAGP</t>
  </si>
  <si>
    <t>Incentive Only Margin Ranges</t>
  </si>
  <si>
    <t>Pricing Standard</t>
  </si>
  <si>
    <t>$/LB</t>
  </si>
  <si>
    <t>$/CS</t>
  </si>
  <si>
    <t>COP</t>
  </si>
  <si>
    <t>Produce</t>
  </si>
  <si>
    <t>Weight</t>
  </si>
  <si>
    <t>Sales $/LB</t>
  </si>
  <si>
    <t>Average Sales $ /CS</t>
  </si>
  <si>
    <t>Sales $/CS</t>
  </si>
  <si>
    <t>Per Case or LB Conversions</t>
  </si>
  <si>
    <t>Weekly Volume</t>
  </si>
  <si>
    <t xml:space="preserve">Tier 1: </t>
  </si>
  <si>
    <t xml:space="preserve">Tier 2: </t>
  </si>
  <si>
    <t xml:space="preserve">Tier 3: </t>
  </si>
  <si>
    <t xml:space="preserve">Current Weekly Volume: </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</si>
  <si>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</si>
  <si>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</si>
  <si>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</si>
  <si>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</si>
  <si>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</si>
  <si>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</si>
  <si>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</si>
  <si>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</si>
  <si>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</si>
  <si>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</si>
  <si>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</si>
  <si>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</si>
  <si>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</si>
  <si>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</si>
  <si>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</si>
  <si>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</si>
  <si>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</si>
  <si>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</si>
  <si>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Drop-Size Tiers</t>
  </si>
  <si>
    <t xml:space="preserve">EB %: </t>
  </si>
  <si>
    <t xml:space="preserve">eCommerce %: </t>
  </si>
  <si>
    <t xml:space="preserve">Drop-Size  </t>
  </si>
  <si>
    <t xml:space="preserve">Tier 1 Growth: </t>
  </si>
  <si>
    <t xml:space="preserve">Tier 2 Growth: </t>
  </si>
  <si>
    <t xml:space="preserve">Tier 3 Growth: </t>
  </si>
  <si>
    <t>Offer this Incentive?</t>
  </si>
  <si>
    <t>YES</t>
  </si>
  <si>
    <t>Exclusive Brand</t>
  </si>
  <si>
    <t>NO</t>
  </si>
  <si>
    <t>Enter Incentive $</t>
  </si>
  <si>
    <t>Tiered Incentive Payout %</t>
  </si>
  <si>
    <t>Enter Incentive Payout %</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</si>
  <si>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</si>
  <si>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</si>
  <si>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</si>
  <si>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</si>
  <si>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</si>
  <si>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</si>
  <si>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</si>
  <si>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</si>
  <si>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</si>
  <si>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</si>
  <si>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</si>
  <si>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</si>
  <si>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</si>
  <si>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</si>
  <si>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</si>
  <si>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</si>
  <si>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</si>
  <si>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</si>
  <si>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</si>
  <si>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</si>
  <si>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</si>
  <si>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</si>
  <si>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</si>
  <si>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</si>
  <si>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</si>
  <si>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</si>
  <si>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</si>
  <si>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</si>
  <si>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</si>
  <si>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</si>
  <si>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</si>
  <si>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</si>
  <si>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</si>
  <si>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</si>
  <si>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</si>
  <si>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</si>
  <si>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</si>
  <si>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</si>
  <si>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</si>
  <si>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</si>
  <si>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</si>
  <si>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</si>
  <si>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</si>
  <si>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</si>
  <si>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</si>
  <si>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</si>
  <si>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</si>
  <si>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</si>
  <si>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</si>
  <si>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</si>
  <si>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</si>
  <si>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</si>
  <si>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</si>
  <si>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</si>
  <si>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</si>
  <si>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</si>
  <si>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</si>
  <si>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</si>
  <si>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</si>
  <si>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</si>
  <si>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</si>
  <si>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</si>
  <si>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</si>
  <si>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</si>
  <si>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</si>
  <si>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</si>
  <si>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</si>
  <si>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</si>
  <si>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</si>
  <si>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</si>
  <si>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</si>
  <si>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</si>
  <si>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</si>
  <si>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</si>
  <si>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</si>
  <si>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</si>
  <si>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</si>
  <si>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</si>
  <si>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</si>
  <si>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</si>
  <si>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</si>
  <si>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</si>
  <si>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</si>
  <si>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</si>
  <si>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</si>
  <si>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</si>
  <si>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</si>
  <si>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</si>
  <si>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</si>
  <si>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</si>
  <si>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</si>
  <si>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</si>
  <si>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</si>
  <si>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</si>
  <si>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</si>
  <si>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</si>
  <si>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</si>
  <si>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</si>
  <si>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</si>
  <si>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</si>
  <si>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</si>
  <si>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</si>
  <si>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</si>
  <si>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</si>
  <si>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</si>
  <si>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</si>
  <si>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</si>
  <si>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</si>
  <si>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</si>
  <si>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</si>
  <si>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</si>
  <si>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</si>
  <si>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</si>
  <si>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</si>
  <si>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</si>
  <si>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</si>
  <si>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</si>
  <si>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</si>
  <si>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</si>
  <si>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</si>
  <si>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</si>
  <si>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</si>
  <si>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</si>
  <si>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</si>
  <si>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</si>
  <si>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</si>
  <si>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</si>
  <si>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</si>
  <si>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</si>
  <si>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</si>
  <si>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</si>
  <si>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</si>
  <si>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</si>
  <si>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</si>
  <si>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</si>
  <si>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</si>
  <si>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</si>
  <si>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</si>
  <si>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</si>
  <si>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</si>
  <si>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</si>
  <si>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</si>
  <si>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</si>
  <si>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</si>
  <si>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</si>
  <si>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</si>
  <si>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</si>
  <si>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</si>
  <si>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</si>
  <si>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</si>
  <si>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</si>
  <si>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</si>
  <si>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</si>
  <si>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</si>
  <si>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</si>
  <si>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</si>
  <si>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</si>
  <si>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</si>
  <si>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</si>
  <si>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</si>
  <si>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</si>
  <si>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</si>
  <si>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</si>
  <si>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</si>
  <si>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</si>
  <si>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</si>
  <si>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</si>
  <si>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</si>
  <si>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</si>
  <si>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</si>
  <si>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</si>
  <si>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</si>
  <si>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</si>
  <si>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</si>
  <si>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</si>
  <si>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</si>
  <si>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</si>
  <si>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</si>
  <si>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</si>
  <si>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</si>
  <si>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</si>
  <si>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</si>
  <si>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</si>
  <si>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</si>
  <si>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</si>
  <si>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</si>
  <si>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</si>
  <si>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</si>
  <si>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</si>
  <si>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</si>
  <si>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</si>
  <si>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 xml:space="preserve">Current Drop Size: </t>
  </si>
  <si>
    <t>Average Drop Size ($)</t>
  </si>
  <si>
    <t>eCommerce</t>
  </si>
  <si>
    <t>% of Sales</t>
  </si>
  <si>
    <t xml:space="preserve">Current EB %: </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</si>
  <si>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</si>
  <si>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</si>
  <si>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</si>
  <si>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</si>
  <si>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</si>
  <si>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</si>
  <si>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</si>
  <si>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</si>
  <si>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</si>
  <si>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</si>
  <si>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</si>
  <si>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</si>
  <si>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</si>
  <si>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</si>
  <si>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</si>
  <si>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</si>
  <si>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</si>
  <si>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</si>
  <si>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</si>
  <si>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</si>
  <si>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</si>
  <si>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</si>
  <si>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</si>
  <si>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</si>
  <si>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</si>
  <si>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</si>
  <si>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</si>
  <si>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</si>
  <si>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</si>
  <si>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</si>
  <si>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</si>
  <si>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</si>
  <si>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</si>
  <si>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</si>
  <si>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</si>
  <si>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</si>
  <si>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</si>
  <si>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</si>
  <si>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</si>
  <si>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</si>
  <si>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</si>
  <si>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</si>
  <si>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</si>
  <si>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</si>
  <si>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</si>
  <si>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</si>
  <si>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</si>
  <si>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</si>
  <si>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</si>
  <si>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</si>
  <si>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</si>
  <si>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</si>
  <si>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</si>
  <si>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</si>
  <si>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</si>
  <si>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</si>
  <si>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</si>
  <si>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</si>
  <si>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</si>
  <si>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</si>
  <si>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</si>
  <si>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</si>
  <si>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</si>
  <si>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</si>
  <si>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</si>
  <si>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</si>
  <si>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</si>
  <si>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</si>
  <si>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</si>
  <si>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</si>
  <si>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</si>
  <si>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</si>
  <si>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</si>
  <si>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</si>
  <si>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</si>
  <si>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</si>
  <si>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</si>
  <si>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</si>
  <si>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</si>
  <si>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</si>
  <si>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</si>
  <si>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</si>
  <si>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</si>
  <si>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</si>
  <si>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</si>
  <si>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</si>
  <si>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</si>
  <si>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</si>
  <si>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</si>
  <si>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</si>
  <si>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</si>
  <si>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</si>
  <si>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</si>
  <si>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</si>
  <si>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</si>
  <si>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</si>
  <si>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</si>
  <si>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</si>
  <si>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</si>
  <si>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</si>
  <si>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</si>
  <si>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</si>
  <si>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</si>
  <si>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</si>
  <si>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</si>
  <si>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</si>
  <si>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EB%</t>
  </si>
  <si>
    <t>Existing Customers</t>
  </si>
  <si>
    <t>Delivery</t>
  </si>
  <si>
    <t>Selling</t>
  </si>
  <si>
    <t>Warehouse</t>
  </si>
  <si>
    <t>Menu Type:</t>
  </si>
  <si>
    <t>PYRAMID SEGMENT RANKER</t>
  </si>
  <si>
    <t>MENU TYPE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</si>
  <si>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</si>
  <si>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</si>
  <si>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</si>
  <si>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</si>
  <si>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</si>
  <si>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</si>
  <si>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</si>
  <si>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</si>
  <si>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</si>
  <si>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</si>
  <si>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</si>
  <si>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</si>
  <si>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</si>
  <si>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</si>
  <si>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</si>
  <si>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</si>
  <si>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</si>
  <si>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</si>
  <si>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</si>
  <si>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</si>
  <si>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</si>
  <si>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</si>
  <si>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</si>
  <si>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</si>
  <si>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</si>
  <si>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</si>
  <si>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</si>
  <si>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</si>
  <si>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</si>
  <si>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</si>
  <si>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</si>
  <si>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</si>
  <si>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</si>
  <si>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</si>
  <si>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</si>
  <si>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</si>
  <si>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</si>
  <si>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</si>
  <si>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</si>
  <si>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</si>
  <si>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</si>
  <si>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</si>
  <si>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</si>
  <si>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</si>
  <si>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</si>
  <si>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</si>
  <si>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</si>
  <si>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</si>
  <si>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</si>
  <si>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</si>
  <si>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</si>
  <si>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</si>
  <si>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</si>
  <si>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Credit Memo or Check</t>
  </si>
  <si>
    <t>Pay Method:</t>
  </si>
  <si>
    <t>Pay Method</t>
  </si>
  <si>
    <t xml:space="preserve">Pay By: </t>
  </si>
  <si>
    <t>CONNECTICUT</t>
  </si>
  <si>
    <t>BISMARCK</t>
  </si>
  <si>
    <t>GRAND FORKS</t>
  </si>
  <si>
    <t xml:space="preserve">Enter Tier 1: </t>
  </si>
  <si>
    <t xml:space="preserve">Enter Tier 2: </t>
  </si>
  <si>
    <t xml:space="preserve">Enter Tier 3: </t>
  </si>
  <si>
    <t xml:space="preserve">Qualifying Sales: </t>
  </si>
  <si>
    <t xml:space="preserve">Eligible Payout Sales: </t>
  </si>
  <si>
    <t>Volume</t>
  </si>
  <si>
    <t>Volume Tiers</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</si>
  <si>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</si>
  <si>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</si>
  <si>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</si>
  <si>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</si>
  <si>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</si>
  <si>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</si>
  <si>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</si>
  <si>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</si>
  <si>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</si>
  <si>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</si>
  <si>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</si>
  <si>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</si>
  <si>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</si>
  <si>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</si>
  <si>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Menu Type</t>
  </si>
  <si>
    <t>Current Zip Code</t>
  </si>
  <si>
    <t>Actual EB:</t>
  </si>
  <si>
    <t>Current Spend</t>
  </si>
  <si>
    <t>Current EB %</t>
  </si>
  <si>
    <t>Menu</t>
  </si>
  <si>
    <t>Expected Annual
 Sales Commitment:</t>
  </si>
  <si>
    <t>Total Current Sales:</t>
  </si>
  <si>
    <t>Customer Inputs</t>
  </si>
  <si>
    <t>Expected Annual Sales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</si>
  <si>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</si>
  <si>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</si>
  <si>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</si>
  <si>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</si>
  <si>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</si>
  <si>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</si>
  <si>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</si>
  <si>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</si>
  <si>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</si>
  <si>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</si>
  <si>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</si>
  <si>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</si>
  <si>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</si>
  <si>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</si>
  <si>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</si>
  <si>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</si>
  <si>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</si>
  <si>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EB</t>
  </si>
  <si>
    <t>PA $</t>
  </si>
  <si>
    <t>PA Rate</t>
  </si>
  <si>
    <t>EB Q</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</si>
  <si>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</si>
  <si>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</si>
  <si>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</si>
  <si>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</si>
  <si>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</si>
  <si>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</si>
  <si>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</si>
  <si>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</si>
  <si>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</si>
  <si>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</si>
  <si>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</si>
  <si>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</si>
  <si>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</si>
  <si>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</si>
  <si>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</si>
  <si>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</si>
  <si>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</si>
  <si>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</si>
  <si>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</si>
  <si>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Incentives</t>
  </si>
  <si>
    <t>Existing Margin %</t>
  </si>
  <si>
    <t>Incentive Tiers</t>
  </si>
  <si>
    <t>MDA TIERS</t>
  </si>
  <si>
    <t>Spend Tiers</t>
  </si>
  <si>
    <t xml:space="preserve"> Incentive Only Per Case or LB Conversions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</si>
  <si>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</si>
  <si>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</si>
  <si>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</si>
  <si>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</si>
  <si>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</si>
  <si>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</si>
  <si>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</si>
  <si>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</si>
  <si>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</si>
  <si>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</si>
  <si>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</si>
  <si>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</si>
  <si>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</si>
  <si>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</si>
  <si>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</si>
  <si>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</si>
  <si>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</si>
  <si>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</si>
  <si>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</si>
  <si>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</si>
  <si>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</si>
  <si>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</si>
  <si>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</si>
  <si>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</si>
  <si>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</si>
  <si>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</si>
  <si>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</si>
  <si>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</si>
  <si>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</si>
  <si>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</si>
  <si>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</si>
  <si>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</si>
  <si>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</si>
  <si>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</si>
  <si>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</si>
  <si>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</si>
  <si>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</si>
  <si>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</si>
  <si>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</si>
  <si>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</si>
  <si>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</si>
  <si>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</si>
  <si>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</si>
  <si>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</si>
  <si>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</si>
  <si>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</si>
  <si>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</si>
  <si>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</si>
  <si>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</si>
  <si>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</si>
  <si>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</si>
  <si>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</si>
  <si>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</si>
  <si>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</si>
  <si>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</si>
  <si>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</si>
  <si>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</si>
  <si>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</si>
  <si>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</si>
  <si>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</si>
  <si>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</si>
  <si>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</si>
  <si>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</si>
  <si>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</si>
  <si>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</si>
  <si>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</si>
  <si>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</si>
  <si>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</si>
  <si>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</si>
  <si>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</si>
  <si>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</si>
  <si>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</si>
  <si>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</si>
  <si>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</si>
  <si>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</si>
  <si>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</si>
  <si>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</si>
  <si>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</si>
  <si>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</si>
  <si>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</si>
  <si>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</si>
  <si>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</si>
  <si>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Current Drops/ Wk</t>
  </si>
  <si>
    <t>Drops/ Wk</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</si>
  <si>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</si>
  <si>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</si>
  <si>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</si>
  <si>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</si>
  <si>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</si>
  <si>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</si>
  <si>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</si>
  <si>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</si>
  <si>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</si>
  <si>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</si>
  <si>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</si>
  <si>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</si>
  <si>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</si>
  <si>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</si>
  <si>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</si>
  <si>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</si>
  <si>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 xml:space="preserve">Credit Card Conversion: </t>
  </si>
  <si>
    <t>Payout %</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</si>
  <si>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</si>
  <si>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</si>
  <si>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</si>
  <si>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</si>
  <si>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</si>
  <si>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</si>
  <si>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</si>
  <si>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</si>
  <si>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</si>
  <si>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</si>
  <si>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</si>
  <si>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</si>
  <si>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</si>
  <si>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</si>
  <si>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</si>
  <si>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</si>
  <si>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SIOUX CITY</t>
  </si>
  <si>
    <t>3S</t>
  </si>
  <si>
    <t>SIOUX FALLS</t>
  </si>
  <si>
    <t>6A</t>
  </si>
  <si>
    <t>GRAND ISLAND</t>
  </si>
  <si>
    <t>NORTHERN NEW ENGLAND</t>
  </si>
  <si>
    <t>WESTERN PA</t>
  </si>
  <si>
    <t>BLUFF STATES</t>
  </si>
  <si>
    <t>5T</t>
  </si>
  <si>
    <t>SOUTHERN LOUISIANA AREA</t>
  </si>
  <si>
    <t>F. CHRISTIANA</t>
  </si>
  <si>
    <t>2C</t>
  </si>
  <si>
    <t>BALTIMORE</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</si>
  <si>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</si>
  <si>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</si>
  <si>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</si>
  <si>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</si>
  <si>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</si>
  <si>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</si>
  <si>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</si>
  <si>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</si>
  <si>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</si>
  <si>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</si>
  <si>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</si>
  <si>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</si>
  <si>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</si>
  <si>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</si>
  <si>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</si>
  <si>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</si>
  <si>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</si>
  <si>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</si>
  <si>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</si>
  <si>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</si>
  <si>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</si>
  <si>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</si>
  <si>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</si>
  <si>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</si>
  <si>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</si>
  <si>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</si>
  <si>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</si>
  <si>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</si>
  <si>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</si>
  <si>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</si>
  <si>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</si>
  <si>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</si>
  <si>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</si>
  <si>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</si>
  <si>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</si>
  <si>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</si>
  <si>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</si>
  <si>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</si>
  <si>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</si>
  <si>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</si>
  <si>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</si>
  <si>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</si>
  <si>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Address Line 1</t>
  </si>
  <si>
    <t>CONTEXT AND BUSINESS RATIONALE FOR THE DEAL</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</si>
  <si>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</si>
  <si>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</si>
  <si>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</si>
  <si>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</si>
  <si>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</si>
  <si>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</si>
  <si>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</si>
  <si>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</si>
  <si>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</si>
  <si>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</si>
  <si>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</si>
  <si>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</si>
  <si>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</si>
  <si>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</si>
  <si>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</si>
  <si>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</si>
  <si>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</si>
  <si>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</si>
  <si>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</si>
  <si>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</si>
  <si>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</si>
  <si>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</si>
  <si>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</si>
  <si>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</si>
  <si>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</si>
  <si>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</si>
  <si>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</si>
  <si>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</si>
  <si>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</si>
  <si>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</si>
  <si>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</si>
  <si>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</si>
  <si>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</si>
  <si>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</si>
  <si>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</si>
  <si>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Incentive Option</t>
  </si>
  <si>
    <t>SI1</t>
  </si>
  <si>
    <t>SI2</t>
  </si>
  <si>
    <t>SI3</t>
  </si>
  <si>
    <t>SI4</t>
  </si>
  <si>
    <t>SI5</t>
  </si>
  <si>
    <t>CHECK Business Tool</t>
  </si>
  <si>
    <t xml:space="preserve">Credit Card Payment: </t>
  </si>
  <si>
    <t>Please explain why the customer can’t move off credit card to ACH or lower cost payment method.</t>
  </si>
  <si>
    <t xml:space="preserve">Credit Card Expense: </t>
  </si>
  <si>
    <t>Credit Card Payment on the Welcome Sheet must be "YES"  to proceed with this incentive!</t>
  </si>
  <si>
    <t>Variable CC Expense:</t>
  </si>
  <si>
    <t>Gross sales multiplied by the maximum credit card fee amount (2.5%)</t>
  </si>
  <si>
    <t>Unit</t>
  </si>
  <si>
    <t>Credit Rate</t>
  </si>
  <si>
    <t>National CC Rate</t>
  </si>
  <si>
    <t>MARKET NUMBER</t>
  </si>
  <si>
    <t>MARKET NAME</t>
  </si>
  <si>
    <t>MDA/INCENTIVE:</t>
  </si>
  <si>
    <t>Prepaid</t>
  </si>
  <si>
    <t>Multi Years Prepaid</t>
  </si>
  <si>
    <t>PON Only</t>
  </si>
  <si>
    <t>PON w/ Incentive</t>
  </si>
  <si>
    <t>STANDARD</t>
  </si>
  <si>
    <t>CURRENT</t>
  </si>
  <si>
    <t xml:space="preserve">MDA/Incentive/PON: </t>
  </si>
  <si>
    <t>Is this a MDA Renewal?</t>
  </si>
  <si>
    <t>Annually or Quarterly:</t>
  </si>
  <si>
    <t>Sales Growth Incentive</t>
  </si>
  <si>
    <t>Weekly Baseline</t>
  </si>
  <si>
    <t>Rebate Rate</t>
  </si>
  <si>
    <t>Rate</t>
  </si>
  <si>
    <t>Period:</t>
  </si>
  <si>
    <t>Sales Growth</t>
  </si>
  <si>
    <t>Regional</t>
  </si>
  <si>
    <t>Pay Menthod</t>
  </si>
  <si>
    <t>Period</t>
  </si>
  <si>
    <t>Quarterly</t>
  </si>
  <si>
    <t>CHECK Business Tools (General)</t>
  </si>
  <si>
    <t>Precentage Rate</t>
  </si>
  <si>
    <t>Minimim Target</t>
  </si>
  <si>
    <t>Tracking Program 008</t>
  </si>
  <si>
    <t>9A</t>
  </si>
  <si>
    <t>NORTHWEST</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</si>
  <si>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</si>
  <si>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</si>
  <si>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</si>
  <si>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</si>
  <si>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</si>
  <si>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</si>
  <si>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</si>
  <si>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</si>
  <si>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</si>
  <si>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</si>
  <si>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</si>
  <si>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</si>
  <si>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</si>
  <si>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</si>
  <si>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</si>
  <si>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</si>
  <si>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</si>
  <si>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</si>
  <si>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</si>
  <si>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</si>
  <si>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</si>
  <si>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</si>
  <si>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</si>
  <si>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</si>
  <si>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</si>
  <si>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</si>
  <si>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</si>
  <si>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Classification</t>
  </si>
  <si>
    <t>Previous Agreement Effective Date</t>
  </si>
  <si>
    <t>Multiple Payout</t>
  </si>
  <si>
    <t>Unamortized Amount</t>
  </si>
  <si>
    <t>Prepaid Incentive With Rollover</t>
  </si>
  <si>
    <t>New Money</t>
  </si>
  <si>
    <t>Classification</t>
  </si>
  <si>
    <t>Previous Amount</t>
  </si>
  <si>
    <t>Unamortized</t>
  </si>
  <si>
    <t>New Amount</t>
  </si>
  <si>
    <t>Total Commitment</t>
  </si>
  <si>
    <t>Number of Payments</t>
  </si>
  <si>
    <t>Volume Rate</t>
  </si>
  <si>
    <t>Prepaid Rollover Incentive New Tracking</t>
  </si>
  <si>
    <t>Prepaid Rollover Incentive Claw Back</t>
  </si>
  <si>
    <t>Tracking Program TBD</t>
  </si>
  <si>
    <t>Net New Prepaid Amount</t>
  </si>
  <si>
    <t>Note:</t>
  </si>
  <si>
    <t>Max 1.5%</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</si>
  <si>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</si>
  <si>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</si>
  <si>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</si>
  <si>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</si>
  <si>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</si>
  <si>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</si>
  <si>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</si>
  <si>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</si>
  <si>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</si>
  <si>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</si>
  <si>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</si>
  <si>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</si>
  <si>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</si>
  <si>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</si>
  <si>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</si>
  <si>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Threshold</t>
  </si>
  <si>
    <t>Recommendation:  We recommend having your Sales Analyst configure this incentive.</t>
  </si>
  <si>
    <t>Only needed after the model is approved.</t>
  </si>
  <si>
    <t xml:space="preserve">Need to provide SBS team with original agreement program number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</si>
</sst>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s>
  <fonts count="84"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b/>
      <i/>
      <sz val="17"/>
      <color theme="1"/>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0"/>
      <color rgb="FFC0000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sz val="9"/>
      <color indexed="81"/>
      <name val="Tahoma"/>
      <family val="2"/>
    </font>
    <font>
      <sz val="11"/>
      <color theme="4" tint="0.59999389629810485"/>
      <name val="Calibri"/>
      <family val="2"/>
      <scheme val="minor"/>
    </font>
    <font>
      <i/>
      <sz val="10"/>
      <color theme="1"/>
      <name val="Calibri"/>
      <family val="2"/>
      <scheme val="minor"/>
    </font>
    <font>
      <b/>
      <sz val="10"/>
      <color rgb="FF002060"/>
      <name val="Calibri"/>
      <family val="2"/>
      <scheme val="minor"/>
    </font>
    <font>
      <b/>
      <sz val="9"/>
      <color indexed="81"/>
      <name val="Tahoma"/>
      <family val="2"/>
    </font>
  </fonts>
  <fills count="34">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s>
  <borders count="82">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344">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applyAlignment="1">
      <alignment horizontal="center"/>
    </xf>
    <xf numFmtId="0" fontId="0" fillId="0" borderId="44" xfId="0" applyBorder="1"/>
    <xf numFmtId="0" fontId="0" fillId="0" borderId="8" xfId="0" applyBorder="1"/>
    <xf numFmtId="0" fontId="0" fillId="0" borderId="3"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164" fontId="0" fillId="2" borderId="9" xfId="2" applyNumberFormat="1" applyFont="1" applyFill="1" applyBorder="1" applyAlignment="1" applyProtection="1">
      <alignment horizontal="center" vertical="center"/>
      <protection locked="0"/>
    </xf>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 fillId="7" borderId="9" xfId="0" applyFont="1" applyFill="1" applyBorder="1" applyAlignment="1" applyProtection="1">
      <alignment horizontal="center" vertical="center"/>
      <protection locked="0"/>
    </xf>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applyAlignment="1">
      <alignment horizontal="left" indent="1"/>
    </xf>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0" fontId="26" fillId="0" borderId="0" xfId="0" applyFont="1" applyAlignment="1">
      <alignment horizontal="right"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7" xfId="0" applyFill="1" applyBorder="1" applyAlignment="1">
      <alignment horizontal="center"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16" xfId="0" applyFill="1" applyBorder="1" applyAlignment="1">
      <alignment horizontal="center" vertical="center"/>
    </xf>
    <xf numFmtId="0" fontId="13" fillId="10" borderId="0" xfId="0" applyFont="1" applyFill="1" applyAlignment="1">
      <alignment horizontal="center" vertical="top"/>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15" fillId="6" borderId="9" xfId="0" applyFont="1" applyFill="1" applyBorder="1" applyAlignment="1">
      <alignment horizontal="righ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5"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30" fillId="6" borderId="9" xfId="0" applyFont="1" applyFill="1" applyBorder="1" applyAlignment="1">
      <alignment horizontal="right" vertical="center"/>
    </xf>
    <xf numFmtId="0" fontId="0" fillId="10" borderId="21" xfId="0"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19" fillId="10" borderId="18" xfId="0" applyFont="1" applyFill="1" applyBorder="1" applyAlignment="1">
      <alignment horizontal="center" vertical="center"/>
    </xf>
    <xf numFmtId="9" fontId="10" fillId="10" borderId="18" xfId="2" applyFont="1" applyFill="1" applyBorder="1" applyAlignment="1">
      <alignment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9" fontId="10" fillId="10" borderId="0" xfId="2" applyFont="1" applyFill="1" applyAlignment="1">
      <alignment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0" fillId="10" borderId="16" xfId="0" applyFill="1" applyBorder="1"/>
    <xf numFmtId="0" fontId="10" fillId="10" borderId="20" xfId="0" applyFont="1" applyFill="1" applyBorder="1"/>
    <xf numFmtId="0" fontId="0" fillId="10" borderId="21" xfId="0"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3" borderId="0" xfId="1" applyNumberFormat="1" applyFont="1" applyFill="1" applyAlignment="1">
      <alignment horizontal="center" vertical="center"/>
    </xf>
    <xf numFmtId="0" fontId="0" fillId="10" borderId="17" xfId="0" applyFill="1" applyBorder="1"/>
    <xf numFmtId="0" fontId="10" fillId="10" borderId="18" xfId="0" applyFont="1" applyFill="1" applyBorder="1" applyAlignment="1">
      <alignment horizontal="right" vertical="center"/>
    </xf>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13" fillId="10" borderId="0" xfId="0" applyFont="1" applyFill="1" applyAlignment="1">
      <alignment horizontal="center" vertical="center"/>
    </xf>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0" fillId="0" borderId="14" xfId="0" applyBorder="1" applyAlignment="1">
      <alignment horizontal="center"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0" fillId="3" borderId="22" xfId="0" applyFill="1" applyBorder="1" applyAlignment="1">
      <alignment horizontal="center" vertical="center"/>
    </xf>
    <xf numFmtId="0" fontId="12" fillId="0" borderId="14" xfId="0" applyFont="1" applyBorder="1"/>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42" xfId="0" applyBorder="1"/>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4" xfId="0"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0" fillId="10" borderId="0" xfId="0" applyFont="1" applyFill="1" applyAlignment="1">
      <alignment horizontal="right" vertical="center"/>
    </xf>
    <xf numFmtId="0" fontId="19" fillId="10" borderId="0" xfId="0" applyFont="1" applyFill="1" applyAlignment="1">
      <alignment horizontal="center" vertical="center"/>
    </xf>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43" fontId="3" fillId="2" borderId="9" xfId="3" applyNumberFormat="1" applyFont="1" applyFill="1" applyBorder="1" applyAlignment="1">
      <alignment horizontal="center" vertic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0" fontId="4" fillId="3" borderId="0" xfId="0" applyFont="1" applyFill="1" applyAlignment="1">
      <alignment horizontal="center" vertical="center"/>
    </xf>
    <xf numFmtId="167" fontId="4" fillId="3" borderId="0" xfId="0" applyNumberFormat="1" applyFont="1" applyFill="1"/>
    <xf numFmtId="168" fontId="4" fillId="3" borderId="0" xfId="0" applyNumberFormat="1" applyFont="1" applyFill="1"/>
    <xf numFmtId="168" fontId="4" fillId="0" borderId="26" xfId="0" applyNumberFormat="1" applyFont="1" applyBorder="1" applyAlignment="1">
      <alignment horizontal="center"/>
    </xf>
    <xf numFmtId="164" fontId="4" fillId="0" borderId="27" xfId="2" applyNumberFormat="1" applyFont="1" applyBorder="1" applyAlignment="1">
      <alignment horizontal="center" vertical="center"/>
    </xf>
    <xf numFmtId="2" fontId="0" fillId="0" borderId="9" xfId="0" applyNumberFormat="1" applyBorder="1"/>
    <xf numFmtId="2" fontId="0" fillId="0" borderId="9" xfId="2" applyNumberFormat="1" applyFont="1" applyBorder="1"/>
    <xf numFmtId="0" fontId="4" fillId="4" borderId="8" xfId="0" applyFont="1" applyFill="1" applyBorder="1" applyAlignment="1" applyProtection="1">
      <alignment horizontal="center" vertical="center"/>
      <protection locked="0"/>
    </xf>
    <xf numFmtId="0" fontId="4" fillId="4" borderId="8" xfId="0" applyFont="1" applyFill="1" applyBorder="1" applyAlignment="1">
      <alignment horizontal="center" vertical="center"/>
    </xf>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0" fontId="0" fillId="0" borderId="12" xfId="0"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3" fillId="7" borderId="0" xfId="0" applyFont="1" applyFill="1" applyAlignment="1">
      <alignment horizontal="left"/>
    </xf>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0" fontId="42" fillId="7" borderId="49" xfId="0" applyFont="1" applyFill="1" applyBorder="1" applyAlignment="1">
      <alignment horizontal="center"/>
    </xf>
    <xf numFmtId="43" fontId="42" fillId="7" borderId="8" xfId="1" applyFont="1" applyFill="1" applyBorder="1"/>
    <xf numFmtId="44" fontId="42" fillId="7" borderId="21" xfId="3" applyFont="1" applyFill="1" applyBorder="1"/>
    <xf numFmtId="164" fontId="42" fillId="7" borderId="31" xfId="2" applyNumberFormat="1" applyFont="1" applyFill="1" applyBorder="1"/>
    <xf numFmtId="164" fontId="42" fillId="7" borderId="32" xfId="2" applyNumberFormat="1" applyFont="1" applyFill="1" applyBorder="1"/>
    <xf numFmtId="164" fontId="42" fillId="7" borderId="33" xfId="2" applyNumberFormat="1"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18" fillId="14" borderId="9" xfId="0" applyFont="1" applyFill="1" applyBorder="1" applyAlignment="1">
      <alignment horizontal="center" wrapText="1"/>
    </xf>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0" fontId="65" fillId="0" borderId="11" xfId="0" applyFont="1" applyBorder="1" applyAlignment="1">
      <alignment horizontal="right" vertical="center"/>
    </xf>
    <xf numFmtId="9" fontId="21" fillId="4" borderId="9" xfId="2" applyFont="1" applyFill="1" applyBorder="1" applyAlignment="1">
      <alignment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167" fontId="0" fillId="2" borderId="9" xfId="3" applyNumberFormat="1" applyFont="1" applyFill="1" applyBorder="1" applyAlignment="1" applyProtection="1">
      <alignment horizontal="center"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166" fontId="0" fillId="3" borderId="67" xfId="3" applyNumberFormat="1" applyFont="1" applyFill="1" applyBorder="1" applyAlignment="1">
      <alignment horizontal="right" vertical="center"/>
    </xf>
    <xf numFmtId="44" fontId="0" fillId="3" borderId="67" xfId="3" applyFont="1" applyFill="1" applyBorder="1" applyAlignment="1">
      <alignment horizontal="righ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6"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0" fontId="21" fillId="2" borderId="12" xfId="0" applyFont="1" applyFill="1" applyBorder="1" applyAlignment="1" applyProtection="1">
      <alignment horizontal="center"/>
      <protection locked="0"/>
    </xf>
    <xf numFmtId="166" fontId="21" fillId="3" borderId="3" xfId="3" applyNumberFormat="1" applyFont="1" applyFill="1" applyBorder="1" applyAlignment="1">
      <alignment horizontal="left"/>
    </xf>
    <xf numFmtId="173" fontId="4" fillId="0" borderId="9" xfId="1" applyNumberFormat="1" applyFont="1" applyBorder="1" applyAlignment="1">
      <alignment horizontal="center"/>
    </xf>
    <xf numFmtId="166" fontId="21" fillId="3" borderId="4" xfId="3" applyNumberFormat="1" applyFont="1" applyFill="1" applyBorder="1" applyAlignment="1">
      <alignment horizontal="left"/>
    </xf>
    <xf numFmtId="173" fontId="4" fillId="0" borderId="10" xfId="1" applyNumberFormat="1" applyFont="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4" fontId="0" fillId="10" borderId="0" xfId="2" applyNumberFormat="1" applyFont="1" applyFill="1" applyAlignment="1">
      <alignment horizontal="center" vertical="center"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69" fillId="3" borderId="9" xfId="0" applyFont="1" applyFill="1" applyBorder="1" applyAlignment="1">
      <alignment horizontal="left"/>
    </xf>
    <xf numFmtId="0" fontId="69" fillId="3" borderId="10" xfId="0" applyFont="1" applyFill="1" applyBorder="1" applyAlignment="1">
      <alignment horizontal="left"/>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25" fillId="10" borderId="18" xfId="0" applyFont="1" applyFill="1" applyBorder="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60" xfId="0" applyFont="1" applyFill="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8" fillId="3" borderId="0" xfId="2" applyFont="1" applyFill="1" applyAlignment="1" applyProtection="1">
      <alignment horizontal="center" vertical="center"/>
      <protection hidden="1"/>
    </xf>
    <xf numFmtId="0" fontId="70" fillId="3" borderId="29" xfId="0" applyFont="1" applyFill="1" applyBorder="1" applyAlignment="1" applyProtection="1">
      <alignment horizontal="center"/>
      <protection locked="0"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70"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1"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3"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166" fontId="21" fillId="3" borderId="79" xfId="3" applyNumberFormat="1" applyFont="1" applyFill="1" applyBorder="1" applyAlignment="1">
      <alignment horizontal="left"/>
    </xf>
    <xf numFmtId="173" fontId="4" fillId="0" borderId="54" xfId="1" applyNumberFormat="1" applyFont="1" applyBorder="1" applyAlignment="1">
      <alignment horizontal="center"/>
    </xf>
    <xf numFmtId="0" fontId="69" fillId="3" borderId="80" xfId="0" applyFont="1" applyFill="1" applyBorder="1" applyAlignment="1">
      <alignment horizontal="left"/>
    </xf>
    <xf numFmtId="0" fontId="4" fillId="0" borderId="80" xfId="0" applyFont="1" applyBorder="1" applyAlignment="1">
      <alignment horizontal="center"/>
    </xf>
    <xf numFmtId="0" fontId="21" fillId="2" borderId="53" xfId="0" applyFont="1" applyFill="1" applyBorder="1" applyAlignment="1" applyProtection="1">
      <alignment horizontal="center"/>
      <protection locked="0"/>
    </xf>
    <xf numFmtId="0" fontId="30" fillId="18" borderId="24" xfId="0" applyFont="1" applyFill="1" applyBorder="1" applyAlignment="1">
      <alignment horizontal="center" wrapText="1"/>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9" fontId="4" fillId="0" borderId="39" xfId="0" applyNumberFormat="1" applyFont="1" applyBorder="1" applyAlignment="1">
      <alignment horizontal="center"/>
    </xf>
    <xf numFmtId="0" fontId="0" fillId="0" borderId="0" xfId="0"/>
    <xf numFmtId="0" fontId="0" fillId="0" borderId="9" xfId="0" applyBorder="1"/>
    <xf numFmtId="9" fontId="4" fillId="0" borderId="81" xfId="0" applyNumberFormat="1" applyFont="1" applyBorder="1" applyAlignment="1">
      <alignment horizontal="center"/>
    </xf>
    <xf numFmtId="9" fontId="4" fillId="0" borderId="41" xfId="0" applyNumberFormat="1" applyFont="1" applyBorder="1" applyAlignment="1">
      <alignment horizontal="center"/>
    </xf>
    <xf numFmtId="0" fontId="30" fillId="20" borderId="58" xfId="0" applyFont="1" applyFill="1" applyBorder="1" applyAlignment="1">
      <alignment horizontal="center" wrapText="1"/>
    </xf>
    <xf numFmtId="0" fontId="30" fillId="20" borderId="80" xfId="0" applyFont="1" applyFill="1" applyBorder="1" applyAlignment="1">
      <alignment horizontal="center" wrapText="1"/>
    </xf>
    <xf numFmtId="0" fontId="30" fillId="20" borderId="52" xfId="0" applyFont="1" applyFill="1" applyBorder="1" applyAlignment="1">
      <alignment horizontal="center" wrapText="1"/>
    </xf>
    <xf numFmtId="0" fontId="69"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9"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9" fontId="21" fillId="7" borderId="7" xfId="0"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9"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14" fontId="0" fillId="0" borderId="0" xfId="0" applyNumberFormat="1" applyBorder="1" applyAlignment="1">
      <alignment wrapText="1"/>
    </xf>
    <xf numFmtId="0" fontId="0" fillId="0" borderId="0" xfId="0" applyBorder="1" applyAlignment="1">
      <alignment horizontal="right" wrapText="1"/>
    </xf>
    <xf numFmtId="0" fontId="0" fillId="0" borderId="0" xfId="0" applyBorder="1" applyAlignment="1">
      <alignment horizontal="right"/>
    </xf>
    <xf numFmtId="0" fontId="3" fillId="0" borderId="0" xfId="0" applyFont="1" applyBorder="1" applyAlignment="1">
      <alignment wrapText="1"/>
    </xf>
    <xf numFmtId="44" fontId="0" fillId="0" borderId="0" xfId="3" applyFont="1" applyBorder="1"/>
    <xf numFmtId="43" fontId="0" fillId="0" borderId="0" xfId="1" applyFont="1" applyBorder="1"/>
    <xf numFmtId="0" fontId="26" fillId="0" borderId="0" xfId="0"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14" fontId="26" fillId="0" borderId="0" xfId="0" applyNumberFormat="1" applyFont="1" applyBorder="1"/>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3" fillId="0" borderId="0" xfId="0" applyFont="1" applyFill="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3" fillId="3" borderId="0" xfId="0" applyFont="1" applyFill="1" applyBorder="1" applyAlignment="1">
      <alignment horizontal="right"/>
    </xf>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10" fontId="0" fillId="2" borderId="9" xfId="2" applyNumberFormat="1" applyFont="1" applyFill="1" applyBorder="1" applyAlignment="1" applyProtection="1">
      <alignment horizontal="center" vertical="center"/>
      <protection locked="0"/>
    </xf>
    <xf numFmtId="10" fontId="0" fillId="0" borderId="0" xfId="0" applyNumberFormat="1" applyBorder="1"/>
    <xf numFmtId="0" fontId="26" fillId="0" borderId="0" xfId="0" applyFont="1" applyFill="1"/>
    <xf numFmtId="10" fontId="0" fillId="23" borderId="10" xfId="2" applyNumberFormat="1" applyFont="1" applyFill="1" applyBorder="1"/>
    <xf numFmtId="0" fontId="0" fillId="0" borderId="0" xfId="0"/>
    <xf numFmtId="0" fontId="0" fillId="16" borderId="9" xfId="0" applyFill="1" applyBorder="1"/>
    <xf numFmtId="0" fontId="0" fillId="0" borderId="0" xfId="0"/>
    <xf numFmtId="0" fontId="0" fillId="0" borderId="0" xfId="0"/>
    <xf numFmtId="0" fontId="76" fillId="10" borderId="22" xfId="0" applyFont="1" applyFill="1" applyBorder="1"/>
    <xf numFmtId="169" fontId="4" fillId="4" borderId="8" xfId="3" applyNumberFormat="1" applyFont="1" applyFill="1" applyBorder="1" applyAlignment="1" applyProtection="1">
      <alignment horizontal="center" vertical="center"/>
      <protection locked="0"/>
    </xf>
    <xf numFmtId="0" fontId="0" fillId="0" borderId="14" xfId="0" applyFill="1" applyBorder="1"/>
    <xf numFmtId="0" fontId="0" fillId="0" borderId="0" xfId="0" applyFill="1" applyBorder="1"/>
    <xf numFmtId="0" fontId="0" fillId="0" borderId="29" xfId="0" applyFill="1" applyBorder="1"/>
    <xf numFmtId="0" fontId="0" fillId="0" borderId="15" xfId="0" applyFill="1" applyBorder="1"/>
    <xf numFmtId="0" fontId="0" fillId="0" borderId="2" xfId="0" applyFill="1" applyBorder="1"/>
    <xf numFmtId="0" fontId="0" fillId="0" borderId="30" xfId="0" applyFill="1" applyBorder="1"/>
    <xf numFmtId="14" fontId="0" fillId="0" borderId="0" xfId="0" applyNumberFormat="1" applyFill="1" applyBorder="1"/>
    <xf numFmtId="14" fontId="0" fillId="0" borderId="29" xfId="0" applyNumberFormat="1" applyFill="1" applyBorder="1"/>
    <xf numFmtId="0" fontId="0" fillId="0" borderId="0" xfId="0" applyFill="1" applyBorder="1" applyAlignment="1">
      <alignment horizontal="right"/>
    </xf>
    <xf numFmtId="0" fontId="0" fillId="0" borderId="14" xfId="0" applyFill="1" applyBorder="1" applyAlignment="1">
      <alignment wrapText="1"/>
    </xf>
    <xf numFmtId="0" fontId="0" fillId="0" borderId="0" xfId="0" applyFill="1" applyBorder="1" applyAlignment="1">
      <alignment wrapText="1"/>
    </xf>
    <xf numFmtId="10" fontId="0" fillId="0" borderId="29" xfId="0" applyNumberForma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horizontal="center"/>
    </xf>
    <xf numFmtId="0" fontId="0" fillId="0" borderId="0" xfId="0" applyBorder="1" applyAlignment="1">
      <alignment wrapText="1"/>
    </xf>
    <xf numFmtId="0" fontId="3" fillId="0" borderId="26" xfId="0" applyFont="1" applyBorder="1"/>
    <xf numFmtId="0" fontId="11" fillId="17" borderId="0" xfId="0" applyFont="1" applyFill="1" applyBorder="1"/>
    <xf numFmtId="0" fontId="3" fillId="0" borderId="14" xfId="0" applyFont="1" applyBorder="1"/>
    <xf numFmtId="0" fontId="3" fillId="0" borderId="0" xfId="0" applyFont="1" applyBorder="1"/>
    <xf numFmtId="0" fontId="3" fillId="0" borderId="29" xfId="0" applyFont="1" applyBorder="1"/>
    <xf numFmtId="0" fontId="0" fillId="0" borderId="0" xfId="0" applyAlignment="1">
      <alignment vertical="center"/>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0" fillId="0" borderId="0" xfId="0"/>
    <xf numFmtId="0" fontId="1" fillId="4" borderId="8" xfId="0" applyFont="1" applyFill="1" applyBorder="1" applyAlignment="1" applyProtection="1">
      <alignment horizontal="center" vertical="center"/>
      <protection locked="0"/>
    </xf>
    <xf numFmtId="0" fontId="78" fillId="10" borderId="0" xfId="0" applyFont="1" applyFill="1" applyAlignment="1">
      <alignment horizontal="center" vertical="center"/>
    </xf>
    <xf numFmtId="0" fontId="74" fillId="10" borderId="0" xfId="0" applyFont="1" applyFill="1" applyAlignment="1">
      <alignment horizontal="right" vertical="center"/>
    </xf>
    <xf numFmtId="0" fontId="27" fillId="10" borderId="22" xfId="0" applyFont="1" applyFill="1" applyBorder="1" applyAlignment="1">
      <alignment horizontal="center" vertical="center"/>
    </xf>
    <xf numFmtId="0" fontId="35" fillId="10" borderId="0"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35" fillId="10" borderId="0" xfId="0" applyFont="1" applyFill="1" applyAlignment="1">
      <alignment vertical="center"/>
    </xf>
    <xf numFmtId="0" fontId="0" fillId="0" borderId="0" xfId="0"/>
    <xf numFmtId="0" fontId="0" fillId="0" borderId="9" xfId="0" applyBorder="1"/>
    <xf numFmtId="0" fontId="0" fillId="0" borderId="10" xfId="0" applyBorder="1"/>
    <xf numFmtId="0" fontId="0" fillId="0" borderId="26" xfId="0" applyBorder="1"/>
    <xf numFmtId="0" fontId="0" fillId="0" borderId="0" xfId="0" applyFill="1"/>
    <xf numFmtId="0" fontId="0" fillId="17" borderId="20" xfId="0" applyFill="1" applyBorder="1"/>
    <xf numFmtId="0" fontId="0" fillId="17" borderId="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0" fontId="0" fillId="0" borderId="0" xfId="0" applyAlignment="1">
      <alignment vertical="center"/>
    </xf>
    <xf numFmtId="0" fontId="0" fillId="0" borderId="0" xfId="0"/>
    <xf numFmtId="164" fontId="0" fillId="4" borderId="9" xfId="2" applyNumberFormat="1" applyFont="1" applyFill="1" applyBorder="1" applyAlignment="1" applyProtection="1">
      <alignment horizontal="center" vertical="center"/>
      <protection locked="0"/>
    </xf>
    <xf numFmtId="14" fontId="0" fillId="4" borderId="9" xfId="2" applyNumberFormat="1" applyFont="1" applyFill="1" applyBorder="1" applyAlignment="1" applyProtection="1">
      <alignment horizontal="center" vertical="center"/>
      <protection locked="0"/>
    </xf>
    <xf numFmtId="166" fontId="0" fillId="4" borderId="9" xfId="3" applyNumberFormat="1" applyFont="1" applyFill="1" applyBorder="1" applyAlignment="1" applyProtection="1">
      <alignment horizontal="center" vertical="center"/>
      <protection locked="0"/>
    </xf>
    <xf numFmtId="10" fontId="0" fillId="4" borderId="9" xfId="2" applyNumberFormat="1" applyFont="1" applyFill="1" applyBorder="1" applyAlignment="1" applyProtection="1">
      <alignment horizontal="center" vertical="center"/>
      <protection locked="0"/>
    </xf>
    <xf numFmtId="10" fontId="0" fillId="4" borderId="9" xfId="2" applyNumberFormat="1" applyFont="1" applyFill="1" applyBorder="1" applyAlignment="1">
      <alignment horizontal="center" vertical="center"/>
    </xf>
    <xf numFmtId="0" fontId="0" fillId="0" borderId="0" xfId="0"/>
    <xf numFmtId="0" fontId="0" fillId="0" borderId="0" xfId="0" applyAlignment="1">
      <alignment vertical="center"/>
    </xf>
    <xf numFmtId="0" fontId="0" fillId="0" borderId="9" xfId="0" applyBorder="1"/>
    <xf numFmtId="0" fontId="0" fillId="0" borderId="14" xfId="0" applyBorder="1" applyAlignment="1">
      <alignment horizontal="right"/>
    </xf>
    <xf numFmtId="0" fontId="8" fillId="11" borderId="50" xfId="0" applyFont="1" applyFill="1" applyBorder="1" applyAlignment="1">
      <alignment horizontal="center" vertical="center"/>
    </xf>
    <xf numFmtId="0" fontId="6" fillId="10" borderId="0" xfId="0" applyFont="1" applyFill="1" applyBorder="1" applyAlignment="1">
      <alignment horizontal="right" vertical="center"/>
    </xf>
    <xf numFmtId="0" fontId="0" fillId="10" borderId="0" xfId="0" applyFill="1" applyBorder="1" applyAlignment="1">
      <alignment vertical="center"/>
    </xf>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10" fontId="80" fillId="10" borderId="0" xfId="2" applyNumberFormat="1" applyFont="1" applyFill="1" applyAlignment="1">
      <alignment vertical="center"/>
    </xf>
    <xf numFmtId="44" fontId="4" fillId="4" borderId="8" xfId="3" applyFont="1" applyFill="1" applyBorder="1" applyAlignment="1" applyProtection="1">
      <alignment horizontal="center" vertical="center"/>
      <protection locked="0"/>
    </xf>
    <xf numFmtId="44" fontId="0" fillId="0" borderId="0" xfId="3" applyFont="1" applyFill="1" applyBorder="1"/>
    <xf numFmtId="44" fontId="0" fillId="4" borderId="9" xfId="3" applyNumberFormat="1" applyFont="1" applyFill="1" applyBorder="1" applyAlignment="1" applyProtection="1">
      <alignment horizontal="center" vertical="center"/>
      <protection locked="0"/>
    </xf>
    <xf numFmtId="44" fontId="0" fillId="23" borderId="41" xfId="0" applyNumberFormat="1" applyFont="1" applyFill="1" applyBorder="1"/>
    <xf numFmtId="0" fontId="0" fillId="23" borderId="41" xfId="0" applyFont="1" applyFill="1" applyBorder="1" applyAlignment="1">
      <alignment horizontal="right"/>
    </xf>
    <xf numFmtId="44" fontId="0" fillId="23" borderId="41" xfId="0" applyNumberFormat="1" applyFont="1" applyFill="1" applyBorder="1" applyAlignment="1">
      <alignment horizontal="right"/>
    </xf>
    <xf numFmtId="44" fontId="0" fillId="23" borderId="26" xfId="3" applyFont="1" applyFill="1" applyBorder="1"/>
    <xf numFmtId="14" fontId="0" fillId="23" borderId="26" xfId="0" applyNumberFormat="1" applyFont="1" applyFill="1" applyBorder="1"/>
    <xf numFmtId="44" fontId="0" fillId="23" borderId="27" xfId="0" applyNumberFormat="1" applyFill="1" applyBorder="1"/>
    <xf numFmtId="0" fontId="0" fillId="23" borderId="9" xfId="0" applyFill="1" applyBorder="1"/>
    <xf numFmtId="0" fontId="0" fillId="0" borderId="0" xfId="0" applyAlignment="1">
      <alignment horizontal="center"/>
    </xf>
    <xf numFmtId="0" fontId="3" fillId="0" borderId="9" xfId="0" applyFont="1" applyBorder="1"/>
    <xf numFmtId="0" fontId="3" fillId="0" borderId="3" xfId="0" applyFont="1" applyFill="1" applyBorder="1"/>
    <xf numFmtId="0" fontId="3" fillId="0" borderId="9" xfId="0" applyFont="1" applyFill="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0" fillId="17" borderId="0" xfId="0" applyFont="1" applyFill="1"/>
    <xf numFmtId="0" fontId="3" fillId="32" borderId="14" xfId="0" applyFont="1" applyFill="1" applyBorder="1" applyAlignment="1">
      <alignment horizontal="center" wrapText="1"/>
    </xf>
    <xf numFmtId="44" fontId="0" fillId="16" borderId="0" xfId="3" applyFont="1" applyFill="1" applyBorder="1"/>
    <xf numFmtId="4" fontId="0" fillId="16" borderId="0" xfId="1" applyNumberFormat="1"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81"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7" xfId="0" applyNumberFormat="1" applyFont="1" applyFill="1" applyBorder="1" applyAlignment="1">
      <alignment horizontal="center" vertical="center"/>
    </xf>
    <xf numFmtId="166" fontId="3" fillId="3" borderId="27" xfId="0" applyNumberFormat="1" applyFont="1" applyFill="1" applyBorder="1" applyAlignment="1">
      <alignment horizontal="center" vertical="center"/>
    </xf>
    <xf numFmtId="0" fontId="3" fillId="6" borderId="5" xfId="0" applyFont="1" applyFill="1" applyBorder="1" applyAlignment="1">
      <alignment horizontal="right" vertical="center" wrapText="1"/>
    </xf>
    <xf numFmtId="0" fontId="3" fillId="6" borderId="4" xfId="0" applyFont="1" applyFill="1" applyBorder="1" applyAlignment="1">
      <alignment horizontal="right" vertical="center" wrapText="1"/>
    </xf>
    <xf numFmtId="0" fontId="3" fillId="6" borderId="5" xfId="0" applyFont="1" applyFill="1" applyBorder="1" applyAlignment="1">
      <alignment horizontal="right" wrapText="1"/>
    </xf>
    <xf numFmtId="0" fontId="3" fillId="6" borderId="6" xfId="0" applyFont="1" applyFill="1" applyBorder="1" applyAlignment="1">
      <alignment horizontal="right" wrapText="1"/>
    </xf>
    <xf numFmtId="0" fontId="3" fillId="6" borderId="4" xfId="0" applyFont="1" applyFill="1" applyBorder="1" applyAlignment="1">
      <alignment horizontal="right" wrapText="1"/>
    </xf>
    <xf numFmtId="0" fontId="3" fillId="6" borderId="10" xfId="0" applyFont="1" applyFill="1" applyBorder="1" applyAlignment="1">
      <alignment horizontal="right" wrapText="1"/>
    </xf>
    <xf numFmtId="0" fontId="63" fillId="3" borderId="14" xfId="0" applyFont="1" applyFill="1" applyBorder="1" applyAlignment="1">
      <alignment horizontal="left" vertical="center" indent="1"/>
    </xf>
    <xf numFmtId="0" fontId="63" fillId="3" borderId="0" xfId="0" applyFont="1" applyFill="1" applyBorder="1" applyAlignment="1">
      <alignment horizontal="left" vertical="center" indent="1"/>
    </xf>
    <xf numFmtId="0" fontId="66" fillId="3" borderId="0" xfId="0" applyFont="1" applyFill="1" applyBorder="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21" fillId="10" borderId="16" xfId="0" applyFont="1" applyFill="1" applyBorder="1" applyAlignment="1">
      <alignment horizontal="center" vertical="center"/>
    </xf>
    <xf numFmtId="0" fontId="21" fillId="10" borderId="0" xfId="0" applyFont="1" applyFill="1" applyAlignment="1">
      <alignment horizontal="center" vertical="center"/>
    </xf>
    <xf numFmtId="0" fontId="21" fillId="10" borderId="20" xfId="0" applyFont="1" applyFill="1" applyBorder="1" applyAlignment="1">
      <alignment horizontal="center" vertical="center"/>
    </xf>
    <xf numFmtId="166" fontId="3" fillId="10" borderId="18" xfId="3" applyNumberFormat="1"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74" fillId="10" borderId="0" xfId="0" applyFont="1" applyFill="1" applyAlignment="1">
      <alignment horizontal="left" vertical="center" wrapText="1"/>
    </xf>
    <xf numFmtId="166" fontId="72" fillId="10" borderId="0" xfId="3" applyNumberFormat="1" applyFont="1" applyFill="1" applyAlignment="1">
      <alignment horizontal="center" vertical="center" wrapText="1"/>
    </xf>
    <xf numFmtId="0" fontId="0" fillId="0" borderId="0" xfId="0"/>
    <xf numFmtId="0" fontId="0" fillId="0" borderId="0" xfId="0" applyAlignment="1">
      <alignment vertical="center"/>
    </xf>
    <xf numFmtId="0" fontId="77" fillId="10" borderId="18" xfId="0" applyFont="1" applyFill="1" applyBorder="1" applyAlignment="1">
      <alignment horizontal="center" vertical="center" wrapText="1"/>
    </xf>
    <xf numFmtId="0" fontId="77" fillId="10" borderId="0" xfId="0" applyFont="1" applyFill="1" applyAlignment="1">
      <alignment horizontal="center" vertical="center" wrapText="1"/>
    </xf>
    <xf numFmtId="0" fontId="77" fillId="10" borderId="22" xfId="0" applyFont="1" applyFill="1" applyBorder="1" applyAlignment="1">
      <alignment horizontal="center" vertical="center" wrapText="1"/>
    </xf>
    <xf numFmtId="0" fontId="13" fillId="10" borderId="0" xfId="0" applyFont="1" applyFill="1" applyAlignment="1">
      <alignment horizontal="center" vertical="center" wrapText="1"/>
    </xf>
    <xf numFmtId="0" fontId="13" fillId="10" borderId="22" xfId="0" applyFont="1" applyFill="1" applyBorder="1" applyAlignment="1">
      <alignment horizontal="center" vertical="center" wrapText="1"/>
    </xf>
    <xf numFmtId="0" fontId="82" fillId="10" borderId="0" xfId="0" applyFont="1" applyFill="1" applyBorder="1" applyAlignment="1">
      <alignment horizontal="left" vertical="center" wrapText="1"/>
    </xf>
    <xf numFmtId="0" fontId="43" fillId="10" borderId="18" xfId="0" applyFont="1" applyFill="1" applyBorder="1" applyAlignment="1">
      <alignment horizontal="center" vertical="center" wrapText="1"/>
    </xf>
    <xf numFmtId="0" fontId="77" fillId="10" borderId="0" xfId="0" applyFont="1" applyFill="1" applyBorder="1" applyAlignment="1">
      <alignment horizontal="center" vertical="center" wrapText="1"/>
    </xf>
    <xf numFmtId="0" fontId="77" fillId="10" borderId="20" xfId="0" applyFont="1" applyFill="1" applyBorder="1" applyAlignment="1">
      <alignment horizontal="center" vertical="center" wrapText="1"/>
    </xf>
    <xf numFmtId="164"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19" fillId="0" borderId="60" xfId="0" applyFont="1" applyBorder="1" applyAlignment="1">
      <alignment horizontal="left" vertical="top" indent="1"/>
    </xf>
    <xf numFmtId="164" fontId="3" fillId="3" borderId="67"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0" fillId="0" borderId="11" xfId="0" applyBorder="1" applyAlignment="1">
      <alignment vertical="center"/>
    </xf>
    <xf numFmtId="9" fontId="4" fillId="0" borderId="10" xfId="0" applyNumberFormat="1" applyFont="1" applyBorder="1" applyAlignment="1">
      <alignment horizontal="center"/>
    </xf>
    <xf numFmtId="9" fontId="4" fillId="0" borderId="27" xfId="0" applyNumberFormat="1" applyFont="1" applyBorder="1" applyAlignment="1">
      <alignment horizont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2" fontId="0" fillId="7" borderId="9" xfId="0" applyNumberFormat="1" applyFill="1" applyBorder="1" applyAlignment="1" applyProtection="1">
      <alignment horizontal="center"/>
      <protection locked="0"/>
    </xf>
    <xf numFmtId="0" fontId="0" fillId="3" borderId="0" xfId="0" applyFill="1" applyAlignment="1">
      <alignment horizontal="center"/>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16" borderId="0" xfId="0" applyFill="1" applyBorder="1" applyAlignment="1">
      <alignment horizontal="left" vertical="top" wrapText="1"/>
    </xf>
    <xf numFmtId="0" fontId="0" fillId="16" borderId="29" xfId="0" applyFill="1" applyBorder="1" applyAlignment="1">
      <alignment horizontal="left" vertical="top" wrapText="1"/>
    </xf>
    <xf numFmtId="0" fontId="0" fillId="16" borderId="2" xfId="0" applyFill="1" applyBorder="1" applyAlignment="1">
      <alignment horizontal="left" vertical="top" wrapText="1"/>
    </xf>
    <xf numFmtId="0" fontId="0" fillId="16" borderId="30" xfId="0" applyFill="1" applyBorder="1" applyAlignment="1">
      <alignment horizontal="left" vertical="top" wrapText="1"/>
    </xf>
    <xf numFmtId="0" fontId="0" fillId="16" borderId="0" xfId="0" applyFill="1" applyBorder="1" applyAlignment="1">
      <alignment horizontal="left"/>
    </xf>
    <xf numFmtId="0" fontId="0" fillId="16" borderId="29" xfId="0" applyFill="1"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0" fillId="0" borderId="0" xfId="0"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75" fillId="23" borderId="56" xfId="0" applyFont="1" applyFill="1" applyBorder="1" applyAlignment="1">
      <alignment horizontal="center"/>
    </xf>
    <xf numFmtId="0" fontId="75" fillId="23" borderId="60" xfId="0" applyFont="1" applyFill="1" applyBorder="1" applyAlignment="1">
      <alignment horizontal="center"/>
    </xf>
    <xf numFmtId="0" fontId="75" fillId="23"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0" fillId="0" borderId="2" xfId="0" applyBorder="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quotePrefix="1" applyAlignment="1">
      <alignment horizontal="left" wrapText="1"/>
    </xf>
    <xf numFmtId="172" fontId="0" fillId="0" borderId="0" xfId="0" applyNumberFormat="1" applyAlignment="1">
      <alignment horizontal="left"/>
    </xf>
    <xf numFmtId="14" fontId="0" fillId="0" borderId="0" xfId="0" applyNumberFormat="1" applyAlignment="1">
      <alignment horizontal="left"/>
    </xf>
    <xf numFmtId="44" fontId="0" fillId="0" borderId="0" xfId="3" applyFont="1" applyAlignment="1">
      <alignment horizontal="left"/>
    </xf>
    <xf numFmtId="0" fontId="0" fillId="0" borderId="0" xfId="0" applyAlignment="1">
      <alignment horizontal="left"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7" fillId="0" borderId="24" xfId="0" applyFont="1" applyBorder="1" applyAlignment="1">
      <alignment horizontal="center" wrapText="1"/>
    </xf>
    <xf numFmtId="0" fontId="67"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7"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172">
    <dxf>
      <fill>
        <patternFill>
          <bgColor rgb="FFFF9B9B"/>
        </patternFill>
      </fill>
    </dxf>
    <dxf>
      <font>
        <b/>
        <i val="0"/>
      </font>
      <fill>
        <patternFill>
          <bgColor rgb="FFFF0000"/>
        </patternFill>
      </fill>
    </dxf>
    <dxf>
      <fill>
        <patternFill>
          <bgColor rgb="FFFFFF00"/>
        </patternFill>
      </fill>
    </dxf>
    <dxf>
      <fill>
        <patternFill>
          <bgColor theme="7" tint="0.59996337778862885"/>
        </patternFill>
      </fill>
    </dxf>
    <dxf>
      <font>
        <strike/>
      </font>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0" tint="-0.24994659260841701"/>
        </patternFill>
      </fill>
    </dxf>
    <dxf>
      <font>
        <color theme="0"/>
      </font>
      <fill>
        <patternFill patternType="none">
          <bgColor auto="1"/>
        </patternFill>
      </fill>
    </dxf>
    <dxf>
      <fill>
        <patternFill>
          <bgColor theme="7" tint="0.59996337778862885"/>
        </patternFill>
      </fill>
    </dxf>
    <dxf>
      <fill>
        <patternFill>
          <bgColor theme="7" tint="0.59996337778862885"/>
        </patternFill>
      </fill>
    </dxf>
    <dxf>
      <fill>
        <patternFill>
          <bgColor theme="0" tint="-0.2499465926084170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ont>
        <color theme="0"/>
      </font>
      <fill>
        <patternFill patternType="none">
          <bgColor auto="1"/>
        </patternFill>
      </fill>
    </dxf>
    <dxf>
      <fill>
        <patternFill>
          <bgColor theme="0" tint="-0.24994659260841701"/>
        </patternFill>
      </fill>
    </dxf>
    <dxf>
      <font>
        <color theme="0"/>
      </font>
    </dxf>
    <dxf>
      <font>
        <strike/>
      </font>
    </dxf>
    <dxf>
      <font>
        <color auto="1"/>
      </font>
    </dxf>
    <dxf>
      <fill>
        <patternFill>
          <bgColor theme="4" tint="0.39994506668294322"/>
        </patternFill>
      </fill>
    </dxf>
    <dxf>
      <fill>
        <patternFill patternType="none">
          <bgColor auto="1"/>
        </patternFill>
      </fill>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ill>
        <patternFill>
          <bgColor theme="4" tint="0.39994506668294322"/>
        </patternFill>
      </fill>
    </dxf>
    <dxf>
      <font>
        <color theme="0"/>
      </font>
      <fill>
        <patternFill patternType="none">
          <bgColor auto="1"/>
        </patternFill>
      </fill>
    </dxf>
    <dxf>
      <font>
        <strike/>
      </font>
    </dxf>
    <dxf>
      <font>
        <strike/>
      </font>
    </dxf>
    <dxf>
      <font>
        <strike/>
      </font>
    </dxf>
    <dxf>
      <font>
        <strike/>
      </font>
    </dxf>
    <dxf>
      <font>
        <strike/>
      </font>
    </dxf>
    <dxf>
      <font>
        <color theme="0"/>
      </font>
      <fill>
        <patternFill patternType="none">
          <bgColor auto="1"/>
        </patternFill>
      </fill>
    </dxf>
    <dxf>
      <font>
        <strike/>
      </font>
    </dxf>
    <dxf>
      <font>
        <color theme="1"/>
      </font>
      <fill>
        <patternFill>
          <bgColor theme="4" tint="0.39994506668294322"/>
        </patternFill>
      </fill>
    </dxf>
    <dxf>
      <font>
        <strike/>
      </font>
    </dxf>
    <dxf>
      <fill>
        <patternFill>
          <bgColor theme="0" tint="-0.24994659260841701"/>
        </patternFill>
      </fill>
    </dxf>
    <dxf>
      <fill>
        <patternFill>
          <bgColor theme="0" tint="-0.24994659260841701"/>
        </patternFill>
      </fill>
    </dxf>
    <dxf>
      <fill>
        <patternFill>
          <bgColor theme="8" tint="0.59996337778862885"/>
        </patternFill>
      </fill>
    </dxf>
    <dxf>
      <fill>
        <patternFill>
          <bgColor theme="4" tint="0.39994506668294322"/>
        </patternFill>
      </fill>
    </dxf>
    <dxf>
      <fill>
        <patternFill>
          <bgColor theme="4" tint="0.39994506668294322"/>
        </patternFill>
      </fill>
    </dxf>
    <dxf>
      <fill>
        <patternFill>
          <bgColor theme="0" tint="-0.24994659260841701"/>
        </patternFill>
      </fill>
    </dxf>
    <dxf>
      <fill>
        <patternFill>
          <bgColor theme="9" tint="0.79998168889431442"/>
        </patternFill>
      </fill>
    </dxf>
    <dxf>
      <font>
        <color auto="1"/>
      </font>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font>
      <fill>
        <patternFill patternType="none">
          <bgColor auto="1"/>
        </patternFill>
      </fill>
    </dxf>
    <dxf>
      <font>
        <strike/>
      </font>
    </dxf>
    <dxf>
      <font>
        <color theme="0"/>
      </font>
      <fill>
        <patternFill patternType="none">
          <bgColor auto="1"/>
        </patternFill>
      </fill>
    </dxf>
    <dxf>
      <font>
        <strike/>
      </font>
    </dxf>
    <dxf>
      <font>
        <color theme="0"/>
      </font>
      <fill>
        <patternFill patternType="none">
          <bgColor auto="1"/>
        </patternFill>
      </fill>
    </dxf>
    <dxf>
      <font>
        <strike/>
      </font>
    </dxf>
    <dxf>
      <font>
        <strike/>
      </font>
    </dxf>
    <dxf>
      <font>
        <strike/>
      </font>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ill>
        <patternFill>
          <bgColor theme="5" tint="0.39994506668294322"/>
        </patternFill>
      </fill>
    </dxf>
    <dxf>
      <font>
        <b/>
        <i val="0"/>
        <color theme="1"/>
      </font>
      <fill>
        <patternFill>
          <bgColor rgb="FFFF0000"/>
        </patternFill>
      </fill>
    </dxf>
    <dxf>
      <font>
        <color auto="1"/>
      </font>
    </dxf>
    <dxf>
      <font>
        <color auto="1"/>
      </font>
      <fill>
        <patternFill>
          <bgColor rgb="FFFFFF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color theme="9"/>
      </font>
      <fill>
        <patternFill>
          <bgColor theme="9"/>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ont>
        <color rgb="FF006100"/>
      </font>
      <fill>
        <patternFill>
          <bgColor rgb="FFC6EFCE"/>
        </patternFill>
      </fill>
    </dxf>
    <dxf>
      <font>
        <color rgb="FFFF0000"/>
      </font>
    </dxf>
    <dxf>
      <font>
        <color rgb="FF9C0006"/>
      </font>
      <fill>
        <patternFill>
          <bgColor rgb="FFFFC7CE"/>
        </patternFill>
      </fill>
    </dxf>
    <dxf>
      <fill>
        <patternFill>
          <bgColor rgb="FFFFFF00"/>
        </patternFill>
      </fill>
      <border>
        <left style="thin">
          <color auto="1"/>
        </left>
        <right style="thin">
          <color auto="1"/>
        </right>
        <top style="thin">
          <color auto="1"/>
        </top>
        <bottom style="thin">
          <color auto="1"/>
        </bottom>
      </border>
    </dxf>
    <dxf>
      <font>
        <b/>
        <i val="0"/>
        <color theme="1"/>
      </font>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numFmt numFmtId="169" formatCode="&quot;$&quot;#,##0.00"/>
    </dxf>
    <dxf>
      <font>
        <color theme="5" tint="-0.24994659260841701"/>
      </font>
      <fill>
        <patternFill>
          <bgColor theme="5" tint="-0.24994659260841701"/>
        </patternFill>
      </fill>
    </dxf>
    <dxf>
      <font>
        <color theme="5" tint="-0.24994659260841701"/>
      </font>
      <fill>
        <patternFill>
          <bgColor theme="5" tint="-0.24994659260841701"/>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patternFill>
      </fill>
    </dxf>
    <dxf>
      <font>
        <strike/>
      </font>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C7CE"/>
      <color rgb="FFFF9B9B"/>
      <color rgb="FFFFCCCC"/>
      <color rgb="FFFF0000"/>
      <color rgb="FFCCB9B2"/>
      <color rgb="FFCF4520"/>
      <color rgb="FF9C0006"/>
      <color rgb="FFE2AC00"/>
      <color rgb="FFF4B084"/>
      <color rgb="FFFF66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theme" Target="theme/theme1.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externalLink" Target="externalLinks/externalLink1.xml"/><Relationship Id="rId38" Type="http://schemas.openxmlformats.org/officeDocument/2006/relationships/calcChain" Target="calcChain.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1309947</xdr:colOff>
      <xdr:row>16</xdr:row>
      <xdr:rowOff>242455</xdr:rowOff>
    </xdr:from>
    <xdr:to>
      <xdr:col>4</xdr:col>
      <xdr:colOff>839931</xdr:colOff>
      <xdr:row>18</xdr:row>
      <xdr:rowOff>0</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838402" y="3835978"/>
          <a:ext cx="1305097" cy="25977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10</xdr:col>
      <xdr:colOff>176959</xdr:colOff>
      <xdr:row>20</xdr:row>
      <xdr:rowOff>0</xdr:rowOff>
    </xdr:from>
    <xdr:to>
      <xdr:col>12</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14</xdr:col>
      <xdr:colOff>2243667</xdr:colOff>
      <xdr:row>20</xdr:row>
      <xdr:rowOff>848</xdr:rowOff>
    </xdr:from>
    <xdr:to>
      <xdr:col>17</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729342</xdr:colOff>
      <xdr:row>8</xdr:row>
      <xdr:rowOff>102054</xdr:rowOff>
    </xdr:from>
    <xdr:to>
      <xdr:col>13</xdr:col>
      <xdr:colOff>348342</xdr:colOff>
      <xdr:row>9</xdr:row>
      <xdr:rowOff>219075</xdr:rowOff>
    </xdr:to>
    <xdr:sp macro="[0]!Incentives" textlink="">
      <xdr:nvSpPr>
        <xdr:cNvPr id="2" name="Rectangle 1">
          <a:extLst>
            <a:ext uri="{FF2B5EF4-FFF2-40B4-BE49-F238E27FC236}">
              <a16:creationId xmlns:a16="http://schemas.microsoft.com/office/drawing/2014/main" id="{00000000-0008-0000-0300-000002000000}"/>
            </a:ext>
          </a:extLst>
        </xdr:cNvPr>
        <xdr:cNvSpPr>
          <a:spLocks noChangeArrowheads="1"/>
        </xdr:cNvSpPr>
      </xdr:nvSpPr>
      <xdr:spPr bwMode="auto">
        <a:xfrm>
          <a:off x="12645117" y="1521279"/>
          <a:ext cx="1381125" cy="36467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523875</xdr:colOff>
      <xdr:row>97</xdr:row>
      <xdr:rowOff>142875</xdr:rowOff>
    </xdr:from>
    <xdr:to>
      <xdr:col>8</xdr:col>
      <xdr:colOff>1733551</xdr:colOff>
      <xdr:row>97</xdr:row>
      <xdr:rowOff>491217</xdr:rowOff>
    </xdr:to>
    <xdr:sp macro="[0]!Incentives" textlink="">
      <xdr:nvSpPr>
        <xdr:cNvPr id="3" name="Rectangle 2">
          <a:extLst>
            <a:ext uri="{FF2B5EF4-FFF2-40B4-BE49-F238E27FC236}">
              <a16:creationId xmlns:a16="http://schemas.microsoft.com/office/drawing/2014/main" id="{00000000-0008-0000-0300-000003000000}"/>
            </a:ext>
          </a:extLst>
        </xdr:cNvPr>
        <xdr:cNvSpPr>
          <a:spLocks noChangeArrowheads="1"/>
        </xdr:cNvSpPr>
      </xdr:nvSpPr>
      <xdr:spPr bwMode="auto">
        <a:xfrm>
          <a:off x="7800975" y="13620750"/>
          <a:ext cx="1209676" cy="348342"/>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12</xdr:col>
      <xdr:colOff>1114424</xdr:colOff>
      <xdr:row>97</xdr:row>
      <xdr:rowOff>142875</xdr:rowOff>
    </xdr:from>
    <xdr:to>
      <xdr:col>13</xdr:col>
      <xdr:colOff>542924</xdr:colOff>
      <xdr:row>97</xdr:row>
      <xdr:rowOff>504825</xdr:rowOff>
    </xdr:to>
    <xdr:sp macro="[0]!NextActiveSheet" textlink="">
      <xdr:nvSpPr>
        <xdr:cNvPr id="4" name="Rectangle 3">
          <a:extLst>
            <a:ext uri="{FF2B5EF4-FFF2-40B4-BE49-F238E27FC236}">
              <a16:creationId xmlns:a16="http://schemas.microsoft.com/office/drawing/2014/main" id="{00000000-0008-0000-0300-000004000000}"/>
            </a:ext>
          </a:extLst>
        </xdr:cNvPr>
        <xdr:cNvSpPr>
          <a:spLocks noChangeArrowheads="1"/>
        </xdr:cNvSpPr>
      </xdr:nvSpPr>
      <xdr:spPr bwMode="auto">
        <a:xfrm>
          <a:off x="13106399" y="13620750"/>
          <a:ext cx="119062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123825</xdr:colOff>
      <xdr:row>97</xdr:row>
      <xdr:rowOff>142876</xdr:rowOff>
    </xdr:from>
    <xdr:to>
      <xdr:col>3</xdr:col>
      <xdr:colOff>1169246</xdr:colOff>
      <xdr:row>97</xdr:row>
      <xdr:rowOff>485776</xdr:rowOff>
    </xdr:to>
    <xdr:sp macro="[0]!PrevActiveSheet" textlink="">
      <xdr:nvSpPr>
        <xdr:cNvPr id="6" name="Rectangle 5">
          <a:extLst>
            <a:ext uri="{FF2B5EF4-FFF2-40B4-BE49-F238E27FC236}">
              <a16:creationId xmlns:a16="http://schemas.microsoft.com/office/drawing/2014/main" id="{00000000-0008-0000-0300-000006000000}"/>
            </a:ext>
          </a:extLst>
        </xdr:cNvPr>
        <xdr:cNvSpPr>
          <a:spLocks noChangeArrowheads="1"/>
        </xdr:cNvSpPr>
      </xdr:nvSpPr>
      <xdr:spPr bwMode="auto">
        <a:xfrm>
          <a:off x="381000" y="13620751"/>
          <a:ext cx="1378796" cy="34290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1646237</xdr:colOff>
      <xdr:row>72</xdr:row>
      <xdr:rowOff>309562</xdr:rowOff>
    </xdr:from>
    <xdr:to>
      <xdr:col>11</xdr:col>
      <xdr:colOff>68262</xdr:colOff>
      <xdr:row>75</xdr:row>
      <xdr:rowOff>44450</xdr:rowOff>
    </xdr:to>
    <xdr:sp macro="" textlink="">
      <xdr:nvSpPr>
        <xdr:cNvPr id="5" name="Rectangle 4">
          <a:extLst>
            <a:ext uri="{FF2B5EF4-FFF2-40B4-BE49-F238E27FC236}">
              <a16:creationId xmlns:a16="http://schemas.microsoft.com/office/drawing/2014/main" id="{55D1025A-8B02-4B85-8154-E041D03B9546}"/>
            </a:ext>
          </a:extLst>
        </xdr:cNvPr>
        <xdr:cNvSpPr/>
      </xdr:nvSpPr>
      <xdr:spPr>
        <a:xfrm>
          <a:off x="4741862" y="13346906"/>
          <a:ext cx="8328025" cy="615950"/>
        </a:xfrm>
        <a:prstGeom prst="rect">
          <a:avLst/>
        </a:prstGeom>
        <a:noFill/>
        <a:ln>
          <a:solidFill>
            <a:srgbClr val="00206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32</xdr:row>
      <xdr:rowOff>57150</xdr:rowOff>
    </xdr:from>
    <xdr:to>
      <xdr:col>3</xdr:col>
      <xdr:colOff>1121621</xdr:colOff>
      <xdr:row>32</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32</xdr:row>
      <xdr:rowOff>57149</xdr:rowOff>
    </xdr:from>
    <xdr:to>
      <xdr:col>10</xdr:col>
      <xdr:colOff>282536</xdr:colOff>
      <xdr:row>32</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619125</xdr:colOff>
      <xdr:row>36</xdr:row>
      <xdr:rowOff>66675</xdr:rowOff>
    </xdr:from>
    <xdr:to>
      <xdr:col>14</xdr:col>
      <xdr:colOff>304800</xdr:colOff>
      <xdr:row>36</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36</xdr:row>
      <xdr:rowOff>66675</xdr:rowOff>
    </xdr:from>
    <xdr:to>
      <xdr:col>3</xdr:col>
      <xdr:colOff>695325</xdr:colOff>
      <xdr:row>36</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36</xdr:row>
      <xdr:rowOff>66675</xdr:rowOff>
    </xdr:from>
    <xdr:to>
      <xdr:col>7</xdr:col>
      <xdr:colOff>95250</xdr:colOff>
      <xdr:row>36</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30</xdr:row>
      <xdr:rowOff>129540</xdr:rowOff>
    </xdr:from>
    <xdr:to>
      <xdr:col>6</xdr:col>
      <xdr:colOff>838199</xdr:colOff>
      <xdr:row>32</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30</xdr:row>
      <xdr:rowOff>129540</xdr:rowOff>
    </xdr:from>
    <xdr:to>
      <xdr:col>9</xdr:col>
      <xdr:colOff>624840</xdr:colOff>
      <xdr:row>32</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30</xdr:row>
      <xdr:rowOff>129540</xdr:rowOff>
    </xdr:from>
    <xdr:to>
      <xdr:col>4</xdr:col>
      <xdr:colOff>741045</xdr:colOff>
      <xdr:row>32</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 xr16:uid="{6E42BCEA-8ADD-4F2D-8609-2F4120E66783}" autoFormatId="0" applyNumberFormats="0" applyBorderFormats="0" applyFontFormats="1" applyPatternFormats="1" applyAlignmentFormats="0" applyWidthHeightFormats="0">
  <queryTableRefresh preserveSortFilterLayout="0" nextId="29">
    <queryTableFields count="28">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14.bin"/><Relationship Id="rId4" Type="http://schemas.openxmlformats.org/officeDocument/2006/relationships/comments" Target="../comments7.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9.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0.bin"/></Relationships>
</file>

<file path=xl/worksheets/_rels/sheet23.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24.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25.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26.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27.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_rels/sheet28.xml.rels><?xml version="1.0" encoding="UTF-8" standalone="yes"?>
<Relationships xmlns="http://schemas.openxmlformats.org/package/2006/relationships"><Relationship Id="rId1" Type="http://schemas.openxmlformats.org/officeDocument/2006/relationships/queryTable" Target="../queryTables/queryTable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015" t="s">
        <v>790</v>
      </c>
      <c r="B1" s="1015"/>
      <c r="C1" s="1015"/>
      <c r="D1" s="1015"/>
      <c r="E1" s="1015"/>
    </row>
    <row r="2" spans="1:5" x14ac:dyDescent="0.25">
      <c r="A2" s="1015" t="s">
        <v>791</v>
      </c>
      <c r="B2" s="1015"/>
      <c r="C2" s="1015"/>
      <c r="D2" s="1015"/>
      <c r="E2" s="1015"/>
    </row>
    <row r="3" spans="1:5" x14ac:dyDescent="0.25">
      <c r="A3" s="77"/>
    </row>
    <row r="4" spans="1:5" ht="78" customHeight="1" x14ac:dyDescent="0.25">
      <c r="A4" s="1033" t="s">
        <v>792</v>
      </c>
      <c r="B4" s="1033"/>
      <c r="C4" s="1033"/>
      <c r="D4" s="1033"/>
      <c r="E4" s="1033"/>
    </row>
    <row r="5" spans="1:5" x14ac:dyDescent="0.25">
      <c r="A5" s="77"/>
    </row>
    <row r="6" spans="1:5" ht="31.5" customHeight="1" x14ac:dyDescent="0.25">
      <c r="A6" s="1032" t="s">
        <v>793</v>
      </c>
      <c r="B6" s="1032"/>
      <c r="C6" s="1032"/>
      <c r="D6" s="1032"/>
      <c r="E6" s="1032"/>
    </row>
    <row r="7" spans="1:5" ht="15.75" thickBot="1" x14ac:dyDescent="0.3">
      <c r="A7" s="78"/>
    </row>
    <row r="8" spans="1:5" ht="15" customHeight="1" x14ac:dyDescent="0.25">
      <c r="A8" s="1026" t="s">
        <v>794</v>
      </c>
      <c r="B8" s="1027"/>
      <c r="C8" s="1027"/>
      <c r="D8" s="1027"/>
      <c r="E8" s="1028"/>
    </row>
    <row r="9" spans="1:5" ht="15" customHeight="1" thickBot="1" x14ac:dyDescent="0.3">
      <c r="A9" s="1029" t="s">
        <v>795</v>
      </c>
      <c r="B9" s="1030"/>
      <c r="C9" s="1030"/>
      <c r="D9" s="1030"/>
      <c r="E9" s="1031"/>
    </row>
    <row r="10" spans="1:5" x14ac:dyDescent="0.25">
      <c r="A10" s="79"/>
      <c r="B10" s="1023"/>
      <c r="C10" s="1023"/>
      <c r="D10" s="83"/>
    </row>
    <row r="11" spans="1:5" ht="31.5" customHeight="1" thickBot="1" x14ac:dyDescent="0.3">
      <c r="A11" s="81" t="s">
        <v>796</v>
      </c>
      <c r="B11" s="1024" t="s">
        <v>797</v>
      </c>
      <c r="C11" s="1024"/>
      <c r="D11" s="83">
        <f>Welcome!$D$4</f>
        <v>0</v>
      </c>
    </row>
    <row r="12" spans="1:5" ht="15.75" thickBot="1" x14ac:dyDescent="0.3">
      <c r="A12" s="81" t="s">
        <v>798</v>
      </c>
      <c r="B12" s="1025">
        <f>'MDA Worksheet'!$R$18</f>
        <v>0</v>
      </c>
      <c r="C12" s="1025"/>
      <c r="D12" s="79"/>
    </row>
    <row r="13" spans="1:5" x14ac:dyDescent="0.25">
      <c r="A13" s="81"/>
      <c r="B13" s="79"/>
      <c r="C13" s="80"/>
      <c r="D13" s="79"/>
    </row>
    <row r="14" spans="1:5" ht="30.75" thickBot="1" x14ac:dyDescent="0.3">
      <c r="A14" s="81" t="s">
        <v>799</v>
      </c>
      <c r="B14" s="138">
        <f>'MDA Worksheet'!$R$24</f>
        <v>44332</v>
      </c>
      <c r="C14" s="79" t="s">
        <v>800</v>
      </c>
      <c r="D14" s="139" t="str">
        <f>Welcome!$D$12&amp;" Years"</f>
        <v xml:space="preserve"> Years</v>
      </c>
    </row>
    <row r="15" spans="1:5" ht="15.75" thickBot="1" x14ac:dyDescent="0.3">
      <c r="A15" s="81" t="s">
        <v>801</v>
      </c>
      <c r="B15" s="126">
        <f>'MDA Worksheet'!$R$24</f>
        <v>44332</v>
      </c>
      <c r="C15" s="79" t="s">
        <v>802</v>
      </c>
      <c r="D15" s="126">
        <f>'MDA Worksheet'!$AV$24</f>
        <v>44338</v>
      </c>
    </row>
    <row r="16" spans="1:5" x14ac:dyDescent="0.25">
      <c r="A16" s="79"/>
      <c r="B16" s="122"/>
      <c r="C16" s="79"/>
      <c r="D16" s="122"/>
    </row>
    <row r="17" spans="1:5" ht="15.75" thickBot="1" x14ac:dyDescent="0.3">
      <c r="A17" s="81" t="s">
        <v>803</v>
      </c>
      <c r="B17" s="1022"/>
      <c r="C17" s="1022"/>
      <c r="D17" s="1022"/>
      <c r="E17" s="1022"/>
    </row>
    <row r="18" spans="1:5" x14ac:dyDescent="0.25">
      <c r="A18" s="79"/>
      <c r="B18" s="122"/>
      <c r="C18" s="79"/>
      <c r="D18" s="122"/>
    </row>
    <row r="19" spans="1:5" ht="15.75" thickBot="1" x14ac:dyDescent="0.3">
      <c r="A19" s="81" t="s">
        <v>876</v>
      </c>
      <c r="B19" s="1022">
        <f>Welcome!$D$8</f>
        <v>0</v>
      </c>
      <c r="C19" s="1022"/>
      <c r="D19" s="1022"/>
      <c r="E19" s="1022"/>
    </row>
    <row r="20" spans="1:5" x14ac:dyDescent="0.25">
      <c r="A20" s="81"/>
      <c r="B20" s="122"/>
      <c r="C20" s="79"/>
      <c r="D20" s="122"/>
    </row>
    <row r="21" spans="1:5" x14ac:dyDescent="0.25">
      <c r="A21" s="125"/>
      <c r="B21" s="125"/>
      <c r="C21" s="125"/>
      <c r="D21" s="125"/>
      <c r="E21" s="44"/>
    </row>
    <row r="22" spans="1:5" x14ac:dyDescent="0.25">
      <c r="A22" s="7"/>
      <c r="B22" s="6" t="s">
        <v>238</v>
      </c>
      <c r="C22" s="38"/>
      <c r="D22" s="130" t="s">
        <v>376</v>
      </c>
      <c r="E22" s="44"/>
    </row>
    <row r="23" spans="1:5" x14ac:dyDescent="0.25">
      <c r="A23" s="8" t="s">
        <v>715</v>
      </c>
      <c r="B23" s="12">
        <f>'Tracking &amp; Profitability'!$E$12</f>
        <v>0</v>
      </c>
      <c r="C23" s="129"/>
      <c r="D23" s="68"/>
      <c r="E23" s="44"/>
    </row>
    <row r="24" spans="1:5" x14ac:dyDescent="0.25">
      <c r="A24" s="8" t="s">
        <v>504</v>
      </c>
      <c r="B24" s="12">
        <f>IFERROR('Tracking &amp; Profitability'!$E$13,0)</f>
        <v>0</v>
      </c>
      <c r="C24" s="39"/>
      <c r="D24" s="134">
        <f>IFERROR($B$24/'PIM Model'!$H$31,0)</f>
        <v>0</v>
      </c>
      <c r="E24" s="44"/>
    </row>
    <row r="25" spans="1:5" x14ac:dyDescent="0.25">
      <c r="A25" s="16" t="s">
        <v>229</v>
      </c>
      <c r="B25" s="12">
        <f>IFERROR(Incentives!$M$94*-1,0)</f>
        <v>0</v>
      </c>
      <c r="C25" s="131"/>
      <c r="D25" s="134">
        <f>IFERROR($B$25/'PIM Model'!$H$31,0)</f>
        <v>0</v>
      </c>
      <c r="E25" s="44"/>
    </row>
    <row r="26" spans="1:5" s="880" customFormat="1" x14ac:dyDescent="0.25">
      <c r="A26" s="16" t="s">
        <v>231</v>
      </c>
      <c r="B26" s="12">
        <f>IFERROR('Tracking &amp; Profitability'!$E$17,0)</f>
        <v>0</v>
      </c>
      <c r="C26" s="131"/>
      <c r="D26" s="134">
        <f>IFERROR(#REF!/'PIM Model'!$H$31,0)</f>
        <v>0</v>
      </c>
      <c r="E26" s="44"/>
    </row>
    <row r="27" spans="1:5" x14ac:dyDescent="0.25">
      <c r="A27" s="8" t="s">
        <v>230</v>
      </c>
      <c r="B27" s="12">
        <f>B24+B25+B26</f>
        <v>0</v>
      </c>
      <c r="C27" s="39"/>
      <c r="D27" s="134">
        <f>IFERROR($B$27/'PIM Model'!$H$31,0)</f>
        <v>0</v>
      </c>
      <c r="E27" s="44"/>
    </row>
    <row r="28" spans="1:5" x14ac:dyDescent="0.25">
      <c r="A28" s="44"/>
      <c r="B28" s="44"/>
      <c r="C28" s="44"/>
      <c r="D28" s="135"/>
      <c r="E28" s="44"/>
    </row>
    <row r="29" spans="1:5" x14ac:dyDescent="0.25">
      <c r="A29" s="16" t="s">
        <v>875</v>
      </c>
      <c r="B29" s="13">
        <f>IFERROR('Variable Costs &amp; Income'!$E$19*-1,0)</f>
        <v>0</v>
      </c>
      <c r="C29" s="40"/>
      <c r="D29" s="134">
        <f>IFERROR($B$29/'PIM Model'!$H$31,0)</f>
        <v>0</v>
      </c>
      <c r="E29" s="44"/>
    </row>
    <row r="30" spans="1:5" x14ac:dyDescent="0.25">
      <c r="A30" s="17" t="s">
        <v>228</v>
      </c>
      <c r="B30" s="12">
        <f>IFERROR('Variable Costs &amp; Income'!$E$29,0)</f>
        <v>0</v>
      </c>
      <c r="C30" s="39"/>
      <c r="D30" s="134">
        <f>IFERROR($B$30/'PIM Model'!$H$31,0)</f>
        <v>0</v>
      </c>
      <c r="E30" s="44"/>
    </row>
    <row r="31" spans="1:5" x14ac:dyDescent="0.25">
      <c r="A31" s="17" t="s">
        <v>227</v>
      </c>
      <c r="B31" s="12">
        <f>'Variable Costs &amp; Income'!$E$30</f>
        <v>0</v>
      </c>
      <c r="C31" s="39"/>
      <c r="D31" s="134">
        <f>IFERROR($B$31/'PIM Model'!$H$31,0)</f>
        <v>0</v>
      </c>
      <c r="E31" s="44"/>
    </row>
    <row r="32" spans="1:5" x14ac:dyDescent="0.25">
      <c r="A32" s="123"/>
      <c r="B32" s="123"/>
      <c r="C32" s="37"/>
      <c r="D32" s="136"/>
      <c r="E32" s="44"/>
    </row>
    <row r="33" spans="1:5" x14ac:dyDescent="0.25">
      <c r="A33" s="8" t="s">
        <v>214</v>
      </c>
      <c r="B33" s="12">
        <f>IFERROR(B27+B29+B30+B31,"")</f>
        <v>0</v>
      </c>
      <c r="C33" s="39"/>
      <c r="D33" s="134">
        <f>IFERROR($B$33/'PIM Model'!$H$31,0)</f>
        <v>0</v>
      </c>
      <c r="E33" s="44"/>
    </row>
    <row r="34" spans="1:5" x14ac:dyDescent="0.25">
      <c r="A34" s="8" t="s">
        <v>877</v>
      </c>
      <c r="B34" s="12">
        <f>IFERROR($B$33/('Tracking &amp; Profitability'!E7*52),0)</f>
        <v>0</v>
      </c>
      <c r="C34" s="44"/>
      <c r="D34" s="44"/>
      <c r="E34" s="44"/>
    </row>
    <row r="35" spans="1:5" x14ac:dyDescent="0.25">
      <c r="A35" s="8" t="s">
        <v>913</v>
      </c>
      <c r="B35" s="137">
        <f>IFERROR(B33/B23,0)</f>
        <v>0</v>
      </c>
      <c r="C35" s="44"/>
      <c r="D35" s="44"/>
      <c r="E35" s="44"/>
    </row>
    <row r="36" spans="1:5" x14ac:dyDescent="0.25">
      <c r="A36" s="124"/>
      <c r="B36" s="44"/>
      <c r="C36" s="44"/>
      <c r="D36" s="128"/>
      <c r="E36" s="44"/>
    </row>
    <row r="37" spans="1:5" x14ac:dyDescent="0.25">
      <c r="A37" s="8" t="s">
        <v>804</v>
      </c>
      <c r="B37" s="12">
        <f>Incentives!$K$66</f>
        <v>0</v>
      </c>
      <c r="C37" s="44"/>
      <c r="D37" s="44"/>
      <c r="E37" s="44"/>
    </row>
    <row r="38" spans="1:5" x14ac:dyDescent="0.25">
      <c r="A38" s="8" t="s">
        <v>805</v>
      </c>
      <c r="B38" s="12" t="e">
        <f>SUM(Incentives!M17:M20)+SUM(Incentives!M28:M31)+Incentives!#REF!+Incentives!M58+Incentives!M83</f>
        <v>#REF!</v>
      </c>
      <c r="C38" s="44"/>
      <c r="D38" s="44"/>
      <c r="E38" s="44"/>
    </row>
    <row r="39" spans="1:5" x14ac:dyDescent="0.25">
      <c r="A39" s="8" t="s">
        <v>477</v>
      </c>
      <c r="B39" s="127">
        <f>'Tracking &amp; Profitability'!$E$8</f>
        <v>0</v>
      </c>
      <c r="C39" s="44"/>
      <c r="D39" s="44"/>
      <c r="E39" s="44"/>
    </row>
    <row r="40" spans="1:5" x14ac:dyDescent="0.25">
      <c r="A40" s="124"/>
      <c r="B40" s="44"/>
      <c r="C40" s="44"/>
      <c r="D40" s="44"/>
      <c r="E40" s="44"/>
    </row>
    <row r="41" spans="1:5" s="932" customFormat="1" ht="15.75" thickBot="1" x14ac:dyDescent="0.3">
      <c r="A41" s="992"/>
    </row>
    <row r="42" spans="1:5" s="932" customFormat="1" ht="15.75" thickBot="1" x14ac:dyDescent="0.3">
      <c r="A42" s="1034" t="s">
        <v>1318</v>
      </c>
      <c r="B42" s="1035"/>
      <c r="C42" s="1035"/>
      <c r="D42" s="1035"/>
      <c r="E42" s="1036"/>
    </row>
    <row r="43" spans="1:5" s="932" customFormat="1" x14ac:dyDescent="0.25">
      <c r="A43" s="1043"/>
      <c r="B43" s="1044"/>
      <c r="C43" s="1044"/>
      <c r="D43" s="1044"/>
      <c r="E43" s="1045"/>
    </row>
    <row r="44" spans="1:5" s="932" customFormat="1" ht="15.75" thickBot="1" x14ac:dyDescent="0.3">
      <c r="A44" s="1046"/>
      <c r="B44" s="1047"/>
      <c r="C44" s="1047"/>
      <c r="D44" s="1047"/>
      <c r="E44" s="1048"/>
    </row>
    <row r="45" spans="1:5" s="932" customFormat="1" ht="15.75" thickBot="1" x14ac:dyDescent="0.3">
      <c r="A45" s="992"/>
    </row>
    <row r="46" spans="1:5" s="932" customFormat="1" ht="15.75" thickBot="1" x14ac:dyDescent="0.3">
      <c r="A46" s="1034" t="s">
        <v>1307</v>
      </c>
      <c r="B46" s="1035"/>
      <c r="C46" s="1035"/>
      <c r="D46" s="1035"/>
      <c r="E46" s="1036"/>
    </row>
    <row r="47" spans="1:5" s="932" customFormat="1" ht="15.75" x14ac:dyDescent="0.25">
      <c r="A47" s="993" t="s">
        <v>1308</v>
      </c>
      <c r="B47" s="994"/>
      <c r="C47" s="1005" t="s">
        <v>1309</v>
      </c>
      <c r="D47" s="995"/>
      <c r="E47" s="996"/>
    </row>
    <row r="48" spans="1:5" s="932" customFormat="1" ht="15" customHeight="1" x14ac:dyDescent="0.25">
      <c r="A48" s="993" t="s">
        <v>1310</v>
      </c>
      <c r="B48" s="994"/>
      <c r="C48" s="1006"/>
      <c r="D48" s="999" t="s">
        <v>1311</v>
      </c>
      <c r="E48" s="1007"/>
    </row>
    <row r="49" spans="1:5" s="932" customFormat="1" ht="15.75" x14ac:dyDescent="0.25">
      <c r="A49" s="993" t="s">
        <v>1312</v>
      </c>
      <c r="B49" s="994"/>
      <c r="C49" s="1006"/>
      <c r="D49" s="995" t="s">
        <v>1313</v>
      </c>
      <c r="E49" s="1007"/>
    </row>
    <row r="50" spans="1:5" s="932" customFormat="1" ht="15.75" x14ac:dyDescent="0.25">
      <c r="A50" s="993" t="s">
        <v>1314</v>
      </c>
      <c r="B50" s="994"/>
      <c r="C50" s="1006"/>
      <c r="D50" s="995"/>
      <c r="E50" s="996"/>
    </row>
    <row r="51" spans="1:5" s="932" customFormat="1" ht="15.75" x14ac:dyDescent="0.25">
      <c r="A51" s="993" t="s">
        <v>1315</v>
      </c>
      <c r="B51" s="994"/>
      <c r="C51" s="1006"/>
      <c r="D51" s="995" t="s">
        <v>1316</v>
      </c>
      <c r="E51" s="1007"/>
    </row>
    <row r="52" spans="1:5" s="932" customFormat="1" ht="15.75" x14ac:dyDescent="0.25">
      <c r="A52" s="993" t="s">
        <v>1317</v>
      </c>
      <c r="B52" s="994"/>
      <c r="C52" s="997"/>
      <c r="D52" s="994"/>
      <c r="E52" s="998"/>
    </row>
    <row r="53" spans="1:5" s="932" customFormat="1" x14ac:dyDescent="0.25">
      <c r="A53" s="1037"/>
      <c r="B53" s="1038"/>
      <c r="C53" s="1038"/>
      <c r="D53" s="1038"/>
      <c r="E53" s="1039"/>
    </row>
    <row r="54" spans="1:5" s="932" customFormat="1" ht="15.75" thickBot="1" x14ac:dyDescent="0.3">
      <c r="A54" s="1040"/>
      <c r="B54" s="1041"/>
      <c r="C54" s="1041"/>
      <c r="D54" s="1041"/>
      <c r="E54" s="1042"/>
    </row>
    <row r="55" spans="1:5" ht="15.75" thickBot="1" x14ac:dyDescent="0.3">
      <c r="A55" s="992"/>
      <c r="B55" s="932"/>
      <c r="C55" s="932"/>
      <c r="D55" s="932"/>
      <c r="E55" s="932"/>
    </row>
    <row r="56" spans="1:5" ht="30.75" customHeight="1" thickBot="1" x14ac:dyDescent="0.3">
      <c r="A56" s="1016" t="s">
        <v>806</v>
      </c>
      <c r="B56" s="1017"/>
      <c r="C56" s="1017"/>
      <c r="D56" s="1017"/>
      <c r="E56" s="1018"/>
    </row>
    <row r="57" spans="1:5" ht="15" customHeight="1" x14ac:dyDescent="0.25">
      <c r="A57" s="82"/>
      <c r="B57" s="83"/>
      <c r="C57" s="83"/>
      <c r="D57" s="83"/>
    </row>
    <row r="58" spans="1:5" ht="30.95" customHeight="1" thickBot="1" x14ac:dyDescent="0.3">
      <c r="A58" s="84" t="s">
        <v>807</v>
      </c>
      <c r="B58" s="309"/>
      <c r="C58" s="85" t="s">
        <v>808</v>
      </c>
      <c r="D58" s="309"/>
    </row>
    <row r="59" spans="1:5" ht="30.95" customHeight="1" thickBot="1" x14ac:dyDescent="0.3">
      <c r="A59" s="86" t="s">
        <v>809</v>
      </c>
      <c r="B59" s="309"/>
      <c r="C59" s="85" t="s">
        <v>810</v>
      </c>
      <c r="D59" s="310" t="s">
        <v>811</v>
      </c>
    </row>
    <row r="60" spans="1:5" ht="30.95" customHeight="1" thickBot="1" x14ac:dyDescent="0.3">
      <c r="A60" s="84" t="s">
        <v>812</v>
      </c>
      <c r="B60" s="309"/>
      <c r="C60" s="85" t="s">
        <v>808</v>
      </c>
      <c r="D60" s="310"/>
    </row>
    <row r="61" spans="1:5" ht="30.6" customHeight="1" thickBot="1" x14ac:dyDescent="0.3">
      <c r="A61" s="86" t="s">
        <v>809</v>
      </c>
      <c r="B61" s="309"/>
      <c r="C61" s="85" t="s">
        <v>810</v>
      </c>
      <c r="D61" s="310" t="s">
        <v>813</v>
      </c>
    </row>
    <row r="62" spans="1:5" ht="30.75" customHeight="1" thickBot="1" x14ac:dyDescent="0.3">
      <c r="A62" s="84" t="s">
        <v>814</v>
      </c>
      <c r="B62" s="309"/>
      <c r="C62" s="85" t="s">
        <v>808</v>
      </c>
      <c r="D62" s="309"/>
    </row>
    <row r="63" spans="1:5" ht="30.75" customHeight="1" thickBot="1" x14ac:dyDescent="0.3">
      <c r="A63" s="86" t="s">
        <v>809</v>
      </c>
      <c r="B63" s="310"/>
      <c r="C63" s="85" t="s">
        <v>810</v>
      </c>
      <c r="D63" s="310" t="s">
        <v>815</v>
      </c>
    </row>
    <row r="64" spans="1:5" ht="30.75" customHeight="1" thickBot="1" x14ac:dyDescent="0.3">
      <c r="A64" s="84" t="s">
        <v>816</v>
      </c>
      <c r="B64" s="310"/>
      <c r="C64" s="85" t="s">
        <v>808</v>
      </c>
      <c r="D64" s="310"/>
    </row>
    <row r="65" spans="1:5" ht="30.95" customHeight="1" thickBot="1" x14ac:dyDescent="0.3">
      <c r="A65" s="86" t="s">
        <v>809</v>
      </c>
      <c r="B65" s="310"/>
      <c r="C65" s="85" t="s">
        <v>810</v>
      </c>
      <c r="D65" s="310" t="s">
        <v>817</v>
      </c>
    </row>
    <row r="66" spans="1:5" ht="15.75" thickBot="1" x14ac:dyDescent="0.3">
      <c r="A66" s="5"/>
    </row>
    <row r="67" spans="1:5" ht="15.75" thickBot="1" x14ac:dyDescent="0.3">
      <c r="A67" s="1019" t="s">
        <v>818</v>
      </c>
      <c r="B67" s="1020"/>
      <c r="C67" s="1020"/>
      <c r="D67" s="1020"/>
      <c r="E67" s="1021"/>
    </row>
    <row r="68" spans="1:5" x14ac:dyDescent="0.25">
      <c r="A68" s="82"/>
      <c r="B68" s="83"/>
      <c r="C68" s="83"/>
      <c r="D68" s="83"/>
    </row>
    <row r="69" spans="1:5" ht="30.95" customHeight="1" thickBot="1" x14ac:dyDescent="0.3">
      <c r="A69" s="84" t="s">
        <v>807</v>
      </c>
      <c r="B69" s="309"/>
      <c r="C69" s="85" t="s">
        <v>808</v>
      </c>
      <c r="D69" s="309"/>
    </row>
    <row r="70" spans="1:5" ht="30.95" customHeight="1" thickBot="1" x14ac:dyDescent="0.3">
      <c r="A70" s="86" t="s">
        <v>809</v>
      </c>
      <c r="B70" s="309"/>
      <c r="C70" s="85" t="s">
        <v>810</v>
      </c>
      <c r="D70" s="310" t="s">
        <v>819</v>
      </c>
    </row>
    <row r="71" spans="1:5" ht="30.95" customHeight="1" thickBot="1" x14ac:dyDescent="0.3">
      <c r="A71" s="84" t="s">
        <v>812</v>
      </c>
      <c r="B71" s="309"/>
      <c r="C71" s="85" t="s">
        <v>808</v>
      </c>
      <c r="D71" s="309"/>
    </row>
    <row r="72" spans="1:5" ht="30.95" customHeight="1" thickBot="1" x14ac:dyDescent="0.3">
      <c r="A72" s="86" t="s">
        <v>809</v>
      </c>
      <c r="B72" s="310"/>
      <c r="C72" s="85" t="s">
        <v>810</v>
      </c>
      <c r="D72" s="310" t="s">
        <v>820</v>
      </c>
    </row>
    <row r="73" spans="1:5" ht="15.75" thickBot="1" x14ac:dyDescent="0.3"/>
    <row r="74" spans="1:5" ht="15.75" thickBot="1" x14ac:dyDescent="0.3">
      <c r="A74" s="1049" t="s">
        <v>1319</v>
      </c>
      <c r="B74" s="1050"/>
      <c r="C74" s="1050"/>
      <c r="D74" s="1050"/>
      <c r="E74" s="1051"/>
    </row>
    <row r="75" spans="1:5" ht="30.95" customHeight="1" thickBot="1" x14ac:dyDescent="0.3">
      <c r="A75" s="1003" t="s">
        <v>822</v>
      </c>
      <c r="B75" s="309"/>
      <c r="C75" s="1000" t="s">
        <v>808</v>
      </c>
      <c r="D75" s="309"/>
    </row>
    <row r="76" spans="1:5" ht="30.95" customHeight="1" thickBot="1" x14ac:dyDescent="0.3">
      <c r="A76" s="1003" t="s">
        <v>1320</v>
      </c>
      <c r="B76" s="309"/>
      <c r="C76" s="1000" t="s">
        <v>810</v>
      </c>
      <c r="D76" s="1004" t="s">
        <v>1321</v>
      </c>
    </row>
    <row r="77" spans="1:5" ht="15" customHeight="1" thickBot="1" x14ac:dyDescent="0.3">
      <c r="A77" s="1001"/>
      <c r="B77" s="1001"/>
      <c r="C77" s="1002"/>
      <c r="D77" s="1002"/>
      <c r="E77" s="1002"/>
    </row>
    <row r="78" spans="1:5" ht="15.75" thickBot="1" x14ac:dyDescent="0.3">
      <c r="A78" s="1012" t="s">
        <v>821</v>
      </c>
      <c r="B78" s="1013"/>
      <c r="C78" s="1013"/>
      <c r="D78" s="1013"/>
      <c r="E78" s="1014"/>
    </row>
    <row r="79" spans="1:5" x14ac:dyDescent="0.25">
      <c r="A79" s="82"/>
      <c r="B79" s="83"/>
      <c r="C79" s="83"/>
      <c r="D79" s="83"/>
    </row>
    <row r="80" spans="1:5" ht="30.95" customHeight="1" thickBot="1" x14ac:dyDescent="0.3">
      <c r="A80" s="84" t="s">
        <v>822</v>
      </c>
      <c r="B80" s="309"/>
      <c r="C80" s="85" t="s">
        <v>808</v>
      </c>
      <c r="D80" s="309"/>
    </row>
    <row r="81" spans="1:5" ht="30.95" customHeight="1" thickBot="1" x14ac:dyDescent="0.3">
      <c r="A81" s="87" t="s">
        <v>809</v>
      </c>
      <c r="B81" s="309"/>
      <c r="C81" s="85" t="s">
        <v>810</v>
      </c>
      <c r="D81" s="309"/>
    </row>
    <row r="82" spans="1:5" ht="15.75" thickBot="1" x14ac:dyDescent="0.3">
      <c r="A82" s="5"/>
    </row>
    <row r="83" spans="1:5" ht="15.75" thickBot="1" x14ac:dyDescent="0.3">
      <c r="A83" s="1012" t="s">
        <v>823</v>
      </c>
      <c r="B83" s="1013"/>
      <c r="C83" s="1013"/>
      <c r="D83" s="1013"/>
      <c r="E83" s="1014"/>
    </row>
    <row r="84" spans="1:5" x14ac:dyDescent="0.25">
      <c r="A84" s="82"/>
      <c r="B84" s="83"/>
      <c r="C84" s="83"/>
      <c r="D84" s="83"/>
    </row>
    <row r="85" spans="1:5" ht="30.95" customHeight="1" thickBot="1" x14ac:dyDescent="0.3">
      <c r="A85" s="84" t="s">
        <v>822</v>
      </c>
      <c r="B85" s="309"/>
      <c r="C85" s="85" t="s">
        <v>808</v>
      </c>
      <c r="D85" s="309"/>
    </row>
    <row r="86" spans="1:5" ht="30.95" customHeight="1" thickBot="1" x14ac:dyDescent="0.3">
      <c r="A86" s="87" t="s">
        <v>809</v>
      </c>
      <c r="B86" s="309"/>
      <c r="C86" s="85" t="s">
        <v>810</v>
      </c>
      <c r="D86" s="309"/>
    </row>
  </sheetData>
  <sheetProtection algorithmName="SHA-512" hashValue="hf9YBZotzUCFpspCH2kIOENL7XSbWQEHSxYY9KZtrZWzrpnzjwDejxEw+jCVBwkNpja6tsX5JuaLkrsxyLRZBA==" saltValue="HYbU5MmxSrYRNLS/GiJo5Q==" spinCount="100000" sheet="1" objects="1" scenarios="1"/>
  <mergeCells count="20">
    <mergeCell ref="A53:E54"/>
    <mergeCell ref="A42:E42"/>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s>
  <conditionalFormatting sqref="C48">
    <cfRule type="expression" dxfId="171" priority="7">
      <formula>NOT(ISBLANK(C48))</formula>
    </cfRule>
  </conditionalFormatting>
  <conditionalFormatting sqref="E48">
    <cfRule type="expression" dxfId="170" priority="6">
      <formula>NOT(ISBLANK(E48))</formula>
    </cfRule>
  </conditionalFormatting>
  <conditionalFormatting sqref="E49">
    <cfRule type="expression" dxfId="169" priority="5">
      <formula>NOT(ISBLANK(E49))</formula>
    </cfRule>
  </conditionalFormatting>
  <conditionalFormatting sqref="E51">
    <cfRule type="expression" dxfId="168" priority="4">
      <formula>NOT(ISBLANK(E51))</formula>
    </cfRule>
  </conditionalFormatting>
  <conditionalFormatting sqref="C49">
    <cfRule type="expression" dxfId="167" priority="3">
      <formula>NOT(ISBLANK(C49))</formula>
    </cfRule>
  </conditionalFormatting>
  <conditionalFormatting sqref="C50">
    <cfRule type="expression" dxfId="166" priority="2">
      <formula>NOT(ISBLANK(C50))</formula>
    </cfRule>
  </conditionalFormatting>
  <conditionalFormatting sqref="C51">
    <cfRule type="expression" dxfId="165" priority="1">
      <formula>NOT(ISBLANK(C51))</formula>
    </cfRule>
  </conditionalFormatting>
  <printOptions horizontalCentered="1"/>
  <pageMargins left="0.25" right="0.25" top="0.75" bottom="0.75" header="0.3" footer="0.3"/>
  <pageSetup scale="70" fitToHeight="0" orientation="landscape" errors="dash" r:id="rId1"/>
  <headerFooter scaleWithDoc="0">
    <oddHeader>&amp;C&amp;F&amp;R&amp;D</oddHeader>
    <oddFooter>&amp;L&amp;P&amp;CWelcome | US Foods Confidential</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Y95"/>
  <sheetViews>
    <sheetView zoomScale="110" zoomScaleNormal="110" workbookViewId="0">
      <selection activeCell="D6" sqref="D6"/>
    </sheetView>
  </sheetViews>
  <sheetFormatPr defaultColWidth="8.85546875" defaultRowHeight="15" x14ac:dyDescent="0.25"/>
  <cols>
    <col min="1" max="1" width="3.28515625" customWidth="1"/>
    <col min="2" max="2" width="12.7109375" customWidth="1"/>
    <col min="3" max="3" width="22" bestFit="1" customWidth="1"/>
    <col min="4" max="4" width="26.5703125" bestFit="1" customWidth="1"/>
    <col min="5" max="5" width="12.7109375" customWidth="1"/>
    <col min="6" max="6" width="15.28515625" customWidth="1"/>
    <col min="7" max="7" width="3.28515625" customWidth="1"/>
    <col min="21" max="21" width="10.7109375" hidden="1" customWidth="1"/>
    <col min="22" max="22" width="11.42578125" hidden="1" customWidth="1"/>
  </cols>
  <sheetData>
    <row r="1" spans="1:25" ht="15" customHeight="1" thickBot="1" x14ac:dyDescent="0.3">
      <c r="A1" s="140"/>
      <c r="B1" s="140"/>
      <c r="C1" s="140"/>
      <c r="D1" s="140"/>
      <c r="E1" s="140"/>
      <c r="F1" s="140"/>
      <c r="G1" s="140"/>
      <c r="H1" s="140"/>
      <c r="I1" s="140"/>
      <c r="J1" s="140"/>
      <c r="K1" s="140"/>
      <c r="L1" s="140"/>
      <c r="M1" s="140"/>
      <c r="N1" s="140"/>
      <c r="O1" s="140"/>
      <c r="P1" s="140"/>
      <c r="Q1" s="140"/>
      <c r="R1" s="140"/>
      <c r="S1" s="140"/>
      <c r="T1" s="140"/>
      <c r="U1" s="140"/>
      <c r="V1" s="140" t="s">
        <v>383</v>
      </c>
      <c r="W1" s="140"/>
      <c r="X1" s="140"/>
      <c r="Y1" s="140"/>
    </row>
    <row r="2" spans="1:25" ht="21" customHeight="1" x14ac:dyDescent="0.3">
      <c r="A2" s="147"/>
      <c r="B2" s="362"/>
      <c r="C2" s="385" t="s">
        <v>921</v>
      </c>
      <c r="D2" s="386"/>
      <c r="E2" s="387"/>
      <c r="F2" s="147"/>
      <c r="G2" s="140"/>
      <c r="H2" s="140"/>
      <c r="I2" s="140"/>
      <c r="J2" s="140"/>
      <c r="K2" s="140"/>
      <c r="L2" s="140"/>
      <c r="M2" s="140"/>
      <c r="N2" s="140"/>
      <c r="O2" s="140"/>
      <c r="P2" s="140"/>
      <c r="Q2" s="140"/>
      <c r="R2" s="140"/>
      <c r="S2" s="140"/>
      <c r="T2" s="140"/>
      <c r="U2" s="140"/>
      <c r="V2" s="140"/>
      <c r="W2" s="140"/>
      <c r="X2" s="140"/>
      <c r="Y2" s="140"/>
    </row>
    <row r="3" spans="1:25" ht="21.6" customHeight="1" x14ac:dyDescent="0.3">
      <c r="A3" s="147"/>
      <c r="B3" s="401"/>
      <c r="C3" s="1052" t="s">
        <v>1284</v>
      </c>
      <c r="D3" s="1053"/>
      <c r="E3" s="384"/>
      <c r="F3" s="147"/>
      <c r="G3" s="140"/>
      <c r="H3" s="140"/>
      <c r="I3" s="140"/>
      <c r="J3" s="140"/>
      <c r="K3" s="140"/>
      <c r="L3" s="140"/>
      <c r="M3" s="140"/>
      <c r="N3" s="140"/>
      <c r="O3" s="140"/>
      <c r="P3" s="140"/>
      <c r="Q3" s="140"/>
      <c r="R3" s="140"/>
      <c r="S3" s="140"/>
      <c r="T3" s="140"/>
      <c r="U3" s="140"/>
      <c r="V3" s="140"/>
      <c r="W3" s="140"/>
      <c r="X3" s="140"/>
      <c r="Y3" s="140"/>
    </row>
    <row r="4" spans="1:25" x14ac:dyDescent="0.25">
      <c r="A4" s="147"/>
      <c r="B4" s="402"/>
      <c r="C4" s="388" t="s">
        <v>120</v>
      </c>
      <c r="D4" s="545">
        <f>'Existing Customers'!$L$2</f>
        <v>0</v>
      </c>
      <c r="E4" s="384"/>
      <c r="F4" s="147"/>
      <c r="G4" s="140"/>
      <c r="H4" s="140"/>
      <c r="I4" s="140"/>
      <c r="J4" s="140"/>
      <c r="K4" s="140"/>
      <c r="L4" s="140"/>
      <c r="M4" s="140"/>
      <c r="N4" s="140"/>
      <c r="O4" s="140"/>
      <c r="P4" s="140"/>
      <c r="Q4" s="140"/>
      <c r="R4" s="140"/>
      <c r="S4" s="140"/>
      <c r="T4" s="140"/>
      <c r="U4" s="140"/>
      <c r="V4" s="140"/>
      <c r="W4" s="140"/>
      <c r="X4" s="140"/>
      <c r="Y4" s="140"/>
    </row>
    <row r="5" spans="1:25" ht="16.899999999999999" customHeight="1" x14ac:dyDescent="0.25">
      <c r="A5" s="147"/>
      <c r="B5" s="402"/>
      <c r="C5" s="147"/>
      <c r="D5" s="147"/>
      <c r="E5" s="384"/>
      <c r="F5" s="147"/>
      <c r="G5" s="140"/>
      <c r="H5" s="140"/>
      <c r="I5" s="140"/>
      <c r="J5" s="140"/>
      <c r="K5" s="140"/>
      <c r="L5" s="140"/>
      <c r="M5" s="140"/>
      <c r="N5" s="140"/>
      <c r="O5" s="140"/>
      <c r="P5" s="140"/>
      <c r="Q5" s="140"/>
      <c r="R5" s="140"/>
      <c r="S5" s="140"/>
      <c r="T5" s="140"/>
      <c r="U5" s="140"/>
      <c r="V5" s="140"/>
      <c r="W5" s="140"/>
      <c r="X5" s="140"/>
      <c r="Y5" s="140"/>
    </row>
    <row r="6" spans="1:25" s="801" customFormat="1" x14ac:dyDescent="0.25">
      <c r="A6" s="147"/>
      <c r="B6" s="402"/>
      <c r="C6" s="388" t="s">
        <v>1020</v>
      </c>
      <c r="D6" s="389"/>
      <c r="E6" s="384"/>
      <c r="F6" s="147"/>
      <c r="G6" s="140"/>
      <c r="H6" s="140"/>
      <c r="I6" s="140"/>
      <c r="J6" s="140"/>
      <c r="K6" s="140"/>
      <c r="L6" s="140"/>
      <c r="M6" s="140"/>
      <c r="N6" s="140"/>
      <c r="O6" s="140"/>
      <c r="P6" s="140"/>
      <c r="Q6" s="140"/>
      <c r="R6" s="140"/>
      <c r="S6" s="140"/>
      <c r="T6" s="140"/>
      <c r="U6" s="140"/>
      <c r="V6" s="140"/>
      <c r="W6" s="140"/>
      <c r="X6" s="140"/>
      <c r="Y6" s="140"/>
    </row>
    <row r="7" spans="1:25" s="806" customFormat="1" ht="16.899999999999999" customHeight="1" x14ac:dyDescent="0.25">
      <c r="A7" s="147"/>
      <c r="B7" s="402"/>
      <c r="C7" s="147"/>
      <c r="D7" s="147"/>
      <c r="E7" s="384"/>
      <c r="F7" s="147"/>
      <c r="G7" s="140"/>
      <c r="H7" s="140"/>
      <c r="I7" s="140"/>
      <c r="J7" s="140"/>
      <c r="K7" s="140"/>
      <c r="L7" s="140"/>
      <c r="M7" s="140"/>
      <c r="N7" s="140"/>
      <c r="O7" s="140"/>
      <c r="P7" s="140"/>
      <c r="Q7" s="140"/>
      <c r="R7" s="140"/>
      <c r="S7" s="140"/>
      <c r="T7" s="140"/>
      <c r="U7" s="140"/>
      <c r="V7" s="140"/>
      <c r="W7" s="140"/>
      <c r="X7" s="140"/>
      <c r="Y7" s="140"/>
    </row>
    <row r="8" spans="1:25" x14ac:dyDescent="0.25">
      <c r="A8" s="147"/>
      <c r="B8" s="402"/>
      <c r="C8" s="388" t="s">
        <v>1242</v>
      </c>
      <c r="D8" s="389"/>
      <c r="E8" s="384"/>
      <c r="F8" s="147"/>
      <c r="G8" s="140"/>
      <c r="H8" s="140"/>
      <c r="I8" s="140"/>
      <c r="J8" s="140"/>
      <c r="K8" s="140"/>
      <c r="L8" s="140"/>
      <c r="M8" s="140"/>
      <c r="N8" s="140"/>
      <c r="O8" s="140"/>
      <c r="P8" s="140"/>
      <c r="Q8" s="140"/>
      <c r="R8" s="140"/>
      <c r="S8" s="140"/>
      <c r="T8" s="140"/>
      <c r="U8" s="140"/>
      <c r="V8" s="140"/>
      <c r="W8" s="140"/>
      <c r="X8" s="140"/>
      <c r="Y8" s="140"/>
    </row>
    <row r="9" spans="1:25" ht="16.899999999999999" customHeight="1" x14ac:dyDescent="0.25">
      <c r="A9" s="147"/>
      <c r="B9" s="402"/>
      <c r="C9" s="818"/>
      <c r="D9" s="818"/>
      <c r="E9" s="384"/>
      <c r="F9" s="147"/>
      <c r="G9" s="140"/>
      <c r="H9" s="140"/>
      <c r="I9" s="140"/>
      <c r="J9" s="140"/>
      <c r="K9" s="140"/>
      <c r="L9" s="140"/>
      <c r="M9" s="140"/>
      <c r="N9" s="140"/>
      <c r="O9" s="140"/>
      <c r="P9" s="140"/>
      <c r="Q9" s="140"/>
      <c r="R9" s="140"/>
      <c r="S9" s="140"/>
      <c r="T9" s="140"/>
      <c r="U9" s="140" t="s">
        <v>1241</v>
      </c>
      <c r="V9" s="140">
        <f>D8</f>
        <v>0</v>
      </c>
      <c r="W9" s="140"/>
      <c r="X9" s="140"/>
      <c r="Y9" s="140"/>
    </row>
    <row r="10" spans="1:25" hidden="1" x14ac:dyDescent="0.25">
      <c r="A10" s="147"/>
      <c r="B10" s="402"/>
      <c r="C10" s="388" t="s">
        <v>1243</v>
      </c>
      <c r="D10" s="389" t="s">
        <v>681</v>
      </c>
      <c r="E10" s="384"/>
      <c r="F10" s="147"/>
      <c r="G10" s="140"/>
      <c r="H10" s="140"/>
      <c r="I10" s="140"/>
      <c r="J10" s="140"/>
      <c r="K10" s="140"/>
      <c r="L10" s="140"/>
      <c r="M10" s="140"/>
      <c r="N10" s="140"/>
      <c r="O10" s="140"/>
      <c r="P10" s="140"/>
      <c r="Q10" s="140"/>
      <c r="R10" s="140"/>
      <c r="S10" s="140"/>
      <c r="T10" s="140"/>
      <c r="U10" s="140" t="s">
        <v>1240</v>
      </c>
      <c r="V10" s="878" t="s">
        <v>217</v>
      </c>
      <c r="W10" s="140"/>
      <c r="X10" s="140"/>
      <c r="Y10" s="140"/>
    </row>
    <row r="11" spans="1:25" ht="16.899999999999999" hidden="1" customHeight="1" x14ac:dyDescent="0.25">
      <c r="A11" s="147"/>
      <c r="B11" s="402"/>
      <c r="C11" s="147"/>
      <c r="D11" s="147"/>
      <c r="E11" s="384"/>
      <c r="F11" s="147"/>
      <c r="G11" s="140"/>
      <c r="H11" s="140"/>
      <c r="I11" s="140"/>
      <c r="J11" s="140"/>
      <c r="K11" s="140"/>
      <c r="L11" s="140"/>
      <c r="M11" s="140"/>
      <c r="N11" s="140"/>
      <c r="O11" s="140"/>
      <c r="P11" s="140"/>
      <c r="Q11" s="140"/>
      <c r="R11" s="140"/>
      <c r="S11" s="140"/>
      <c r="T11" s="140"/>
      <c r="U11" s="140">
        <v>1</v>
      </c>
      <c r="V11" s="56" t="str">
        <f>IF(AND($V$9="MDA",$D$10="No"),"",IF(AND($V$9="MDA",$D$10="Yes"),U11,IF(OR($V$9="PON ONLY",$V$9="MDA",$V$9="Incentive Only",$V$9="PON W/ INCENTIVE"),U11,"")))</f>
        <v/>
      </c>
      <c r="W11" s="140"/>
      <c r="X11" s="140"/>
      <c r="Y11" s="140"/>
    </row>
    <row r="12" spans="1:25" x14ac:dyDescent="0.25">
      <c r="A12" s="147"/>
      <c r="B12" s="402"/>
      <c r="C12" s="388" t="s">
        <v>216</v>
      </c>
      <c r="D12" s="389"/>
      <c r="E12" s="384"/>
      <c r="F12" s="147"/>
      <c r="G12" s="140"/>
      <c r="H12" s="140"/>
      <c r="I12" s="140"/>
      <c r="J12" s="140"/>
      <c r="K12" s="140"/>
      <c r="L12" s="140"/>
      <c r="M12" s="140"/>
      <c r="N12" s="140"/>
      <c r="O12" s="140"/>
      <c r="P12" s="140"/>
      <c r="Q12" s="140"/>
      <c r="R12" s="140"/>
      <c r="S12" s="140"/>
      <c r="T12" s="140"/>
      <c r="U12" s="140">
        <v>2</v>
      </c>
      <c r="V12" s="56" t="str">
        <f>IF($V$9="PON ONLY","",IF($V$9="MDA",U12,IF($V$9="Incentive Only",U12,IF($V$9="PON W/ INCENTIVE",U12,""))))</f>
        <v/>
      </c>
      <c r="W12" s="140"/>
      <c r="X12" s="140"/>
      <c r="Y12" s="140"/>
    </row>
    <row r="13" spans="1:25" s="801" customFormat="1" x14ac:dyDescent="0.25">
      <c r="A13" s="147"/>
      <c r="B13" s="402"/>
      <c r="C13" s="390"/>
      <c r="D13" s="148"/>
      <c r="E13" s="384"/>
      <c r="F13" s="147"/>
      <c r="G13" s="140"/>
      <c r="H13" s="140"/>
      <c r="I13" s="140"/>
      <c r="J13" s="140"/>
      <c r="K13" s="140"/>
      <c r="L13" s="140"/>
      <c r="M13" s="140"/>
      <c r="N13" s="140"/>
      <c r="O13" s="140"/>
      <c r="P13" s="140"/>
      <c r="Q13" s="140"/>
      <c r="R13" s="140"/>
      <c r="S13" s="140"/>
      <c r="T13" s="140"/>
      <c r="U13" s="140">
        <v>3</v>
      </c>
      <c r="V13" s="56" t="str">
        <f t="shared" ref="V13:V15" si="0">IF($V$9="PON ONLY","",IF($V$9="MDA",U13,IF($V$9="Incentive Only",U13,IF($V$9="PON W/ INCENTIVE",U13,""))))</f>
        <v/>
      </c>
      <c r="W13" s="140"/>
      <c r="X13" s="140"/>
      <c r="Y13" s="140"/>
    </row>
    <row r="14" spans="1:25" x14ac:dyDescent="0.25">
      <c r="A14" s="147"/>
      <c r="B14" s="402"/>
      <c r="C14" s="388" t="s">
        <v>384</v>
      </c>
      <c r="D14" s="389"/>
      <c r="E14" s="384"/>
      <c r="F14" s="147"/>
      <c r="G14" s="140"/>
      <c r="H14" s="140"/>
      <c r="I14" s="140"/>
      <c r="J14" s="140"/>
      <c r="K14" s="140"/>
      <c r="L14" s="140"/>
      <c r="M14" s="140"/>
      <c r="N14" s="140"/>
      <c r="O14" s="140"/>
      <c r="P14" s="140"/>
      <c r="Q14" s="140"/>
      <c r="R14" s="140"/>
      <c r="S14" s="140"/>
      <c r="T14" s="140"/>
      <c r="U14" s="140">
        <v>4</v>
      </c>
      <c r="V14" s="56" t="str">
        <f t="shared" si="0"/>
        <v/>
      </c>
      <c r="W14" s="140"/>
      <c r="X14" s="140"/>
      <c r="Y14" s="140"/>
    </row>
    <row r="15" spans="1:25" ht="19.899999999999999" customHeight="1" x14ac:dyDescent="0.25">
      <c r="A15" s="147"/>
      <c r="B15" s="402"/>
      <c r="E15" s="384"/>
      <c r="F15" s="147"/>
      <c r="G15" s="140"/>
      <c r="H15" s="140"/>
      <c r="I15" s="140"/>
      <c r="J15" s="140"/>
      <c r="K15" s="140"/>
      <c r="L15" s="140"/>
      <c r="M15" s="140"/>
      <c r="N15" s="140"/>
      <c r="O15" s="140"/>
      <c r="P15" s="140"/>
      <c r="Q15" s="140"/>
      <c r="R15" s="140"/>
      <c r="S15" s="140"/>
      <c r="T15" s="140"/>
      <c r="U15" s="140">
        <v>5</v>
      </c>
      <c r="V15" s="56" t="str">
        <f t="shared" si="0"/>
        <v/>
      </c>
      <c r="W15" s="140"/>
      <c r="X15" s="140"/>
      <c r="Y15" s="140"/>
    </row>
    <row r="16" spans="1:25" x14ac:dyDescent="0.25">
      <c r="A16" s="147"/>
      <c r="B16" s="402"/>
      <c r="C16" s="388" t="s">
        <v>1224</v>
      </c>
      <c r="D16" s="389"/>
      <c r="E16" s="384"/>
      <c r="F16" s="147"/>
      <c r="G16" s="140"/>
      <c r="H16" s="140"/>
      <c r="I16" s="140"/>
      <c r="J16" s="140"/>
      <c r="K16" s="140"/>
      <c r="L16" s="140"/>
      <c r="M16" s="140"/>
      <c r="N16" s="140"/>
      <c r="O16" s="140"/>
      <c r="P16" s="140"/>
      <c r="Q16" s="140"/>
      <c r="R16" s="140"/>
      <c r="S16" s="140"/>
      <c r="T16" s="140"/>
      <c r="U16" s="140"/>
      <c r="V16" s="140"/>
      <c r="W16" s="140"/>
      <c r="X16" s="140"/>
      <c r="Y16" s="140"/>
    </row>
    <row r="17" spans="1:25" ht="19.899999999999999" customHeight="1" thickBot="1" x14ac:dyDescent="0.3">
      <c r="A17" s="147"/>
      <c r="B17" s="391"/>
      <c r="C17" s="403"/>
      <c r="D17" s="421"/>
      <c r="E17" s="392"/>
      <c r="F17" s="147"/>
      <c r="G17" s="140"/>
      <c r="H17" s="140"/>
      <c r="I17" s="140"/>
      <c r="J17" s="140"/>
      <c r="K17" s="140"/>
      <c r="L17" s="140"/>
      <c r="M17" s="140"/>
      <c r="N17" s="140"/>
      <c r="O17" s="140"/>
      <c r="P17" s="140"/>
      <c r="Q17" s="140"/>
      <c r="R17" s="140"/>
      <c r="S17" s="140"/>
      <c r="T17" s="140"/>
      <c r="U17" s="140"/>
      <c r="V17" s="140"/>
      <c r="W17" s="140"/>
      <c r="X17" s="140"/>
      <c r="Y17" s="140"/>
    </row>
    <row r="18" spans="1:25" ht="33" customHeight="1" thickBot="1" x14ac:dyDescent="0.3">
      <c r="A18" s="147"/>
      <c r="B18" s="147"/>
      <c r="C18" s="390"/>
      <c r="D18" s="148"/>
      <c r="E18" s="147"/>
      <c r="F18" s="147"/>
      <c r="G18" s="140"/>
      <c r="H18" s="140"/>
      <c r="I18" s="140"/>
      <c r="J18" s="140"/>
      <c r="K18" s="140"/>
      <c r="L18" s="140"/>
      <c r="M18" s="140"/>
      <c r="N18" s="140"/>
      <c r="O18" s="140"/>
      <c r="P18" s="140"/>
      <c r="Q18" s="140"/>
      <c r="R18" s="140"/>
      <c r="S18" s="140"/>
      <c r="T18" s="140"/>
      <c r="U18" s="140"/>
      <c r="V18" s="140"/>
      <c r="W18" s="140"/>
      <c r="X18" s="140"/>
      <c r="Y18" s="140"/>
    </row>
    <row r="19" spans="1:25" ht="19.899999999999999" customHeight="1" thickBot="1" x14ac:dyDescent="0.3">
      <c r="A19" s="147"/>
      <c r="B19" s="1063" t="s">
        <v>1181</v>
      </c>
      <c r="C19" s="1064"/>
      <c r="D19" s="1064"/>
      <c r="E19" s="1065"/>
      <c r="F19" s="147"/>
      <c r="G19" s="140"/>
      <c r="H19" s="140"/>
      <c r="I19" s="140"/>
      <c r="J19" s="140"/>
      <c r="K19" s="140"/>
      <c r="L19" s="140"/>
      <c r="M19" s="140"/>
      <c r="N19" s="140"/>
      <c r="O19" s="140"/>
      <c r="P19" s="140"/>
      <c r="Q19" s="140"/>
      <c r="R19" s="140"/>
      <c r="S19" s="140"/>
      <c r="T19" s="140"/>
      <c r="U19" s="140"/>
      <c r="V19" s="140"/>
      <c r="W19" s="140"/>
      <c r="X19" s="140"/>
      <c r="Y19" s="140"/>
    </row>
    <row r="20" spans="1:25" ht="19.899999999999999" customHeight="1" x14ac:dyDescent="0.25">
      <c r="A20" s="147"/>
      <c r="B20" s="1054"/>
      <c r="C20" s="1055"/>
      <c r="D20" s="1055"/>
      <c r="E20" s="1056"/>
      <c r="F20" s="147"/>
      <c r="G20" s="140"/>
      <c r="H20" s="140"/>
      <c r="I20" s="140"/>
      <c r="J20" s="140"/>
      <c r="K20" s="140"/>
      <c r="L20" s="140"/>
      <c r="M20" s="140"/>
      <c r="N20" s="140"/>
      <c r="O20" s="140"/>
      <c r="P20" s="140"/>
      <c r="Q20" s="140"/>
      <c r="R20" s="140"/>
      <c r="S20" s="140"/>
      <c r="T20" s="140"/>
      <c r="U20" s="140"/>
      <c r="V20" s="140"/>
      <c r="W20" s="140"/>
      <c r="X20" s="140"/>
      <c r="Y20" s="140"/>
    </row>
    <row r="21" spans="1:25" ht="19.899999999999999" customHeight="1" x14ac:dyDescent="0.25">
      <c r="A21" s="147"/>
      <c r="B21" s="1057"/>
      <c r="C21" s="1058"/>
      <c r="D21" s="1058"/>
      <c r="E21" s="1059"/>
      <c r="F21" s="147"/>
      <c r="G21" s="140"/>
      <c r="H21" s="140"/>
      <c r="I21" s="140"/>
      <c r="J21" s="140"/>
      <c r="K21" s="140"/>
      <c r="L21" s="140"/>
      <c r="M21" s="140"/>
      <c r="N21" s="140"/>
      <c r="O21" s="140"/>
      <c r="P21" s="140"/>
      <c r="Q21" s="140"/>
      <c r="R21" s="140"/>
      <c r="S21" s="140"/>
      <c r="T21" s="140"/>
      <c r="U21" s="140"/>
      <c r="V21" s="140"/>
      <c r="W21" s="140"/>
      <c r="X21" s="140"/>
      <c r="Y21" s="140"/>
    </row>
    <row r="22" spans="1:25" ht="19.899999999999999" customHeight="1" x14ac:dyDescent="0.25">
      <c r="A22" s="147"/>
      <c r="B22" s="1057"/>
      <c r="C22" s="1058"/>
      <c r="D22" s="1058"/>
      <c r="E22" s="1059"/>
      <c r="F22" s="147"/>
      <c r="G22" s="140"/>
      <c r="H22" s="140"/>
      <c r="I22" s="140"/>
      <c r="J22" s="140"/>
      <c r="K22" s="140"/>
      <c r="L22" s="140"/>
      <c r="M22" s="140"/>
      <c r="N22" s="140"/>
      <c r="O22" s="140"/>
      <c r="P22" s="140"/>
      <c r="Q22" s="140"/>
      <c r="R22" s="140"/>
      <c r="S22" s="140"/>
      <c r="T22" s="140"/>
      <c r="U22" s="140"/>
      <c r="V22" s="140"/>
      <c r="W22" s="140"/>
      <c r="X22" s="140"/>
      <c r="Y22" s="140"/>
    </row>
    <row r="23" spans="1:25" ht="27" customHeight="1" x14ac:dyDescent="0.25">
      <c r="A23" s="147"/>
      <c r="B23" s="1057"/>
      <c r="C23" s="1058"/>
      <c r="D23" s="1058"/>
      <c r="E23" s="1059"/>
      <c r="F23" s="147"/>
      <c r="G23" s="140"/>
      <c r="H23" s="140"/>
      <c r="I23" s="140"/>
      <c r="J23" s="140"/>
      <c r="K23" s="140"/>
      <c r="L23" s="140"/>
      <c r="M23" s="140"/>
      <c r="N23" s="140"/>
      <c r="O23" s="140"/>
      <c r="P23" s="140"/>
      <c r="Q23" s="140"/>
      <c r="R23" s="140"/>
      <c r="S23" s="140"/>
      <c r="T23" s="140"/>
      <c r="U23" s="140"/>
      <c r="V23" s="140"/>
      <c r="W23" s="140"/>
      <c r="X23" s="140"/>
      <c r="Y23" s="140"/>
    </row>
    <row r="24" spans="1:25" ht="15.6" customHeight="1" x14ac:dyDescent="0.25">
      <c r="A24" s="147"/>
      <c r="B24" s="1057"/>
      <c r="C24" s="1058"/>
      <c r="D24" s="1058"/>
      <c r="E24" s="1059"/>
      <c r="F24" s="147"/>
      <c r="G24" s="140"/>
      <c r="H24" s="140"/>
      <c r="I24" s="140"/>
      <c r="J24" s="140"/>
      <c r="K24" s="140"/>
      <c r="L24" s="140"/>
      <c r="M24" s="140"/>
      <c r="N24" s="140"/>
      <c r="O24" s="140"/>
      <c r="P24" s="140"/>
      <c r="Q24" s="140"/>
      <c r="R24" s="140"/>
      <c r="S24" s="140"/>
      <c r="T24" s="140"/>
      <c r="U24" s="140"/>
      <c r="V24" s="140"/>
      <c r="W24" s="140"/>
      <c r="X24" s="140"/>
      <c r="Y24" s="140"/>
    </row>
    <row r="25" spans="1:25" ht="27.75" customHeight="1" thickBot="1" x14ac:dyDescent="0.3">
      <c r="A25" s="140"/>
      <c r="B25" s="1060"/>
      <c r="C25" s="1061"/>
      <c r="D25" s="1061"/>
      <c r="E25" s="1062"/>
      <c r="F25" s="140"/>
      <c r="G25" s="140"/>
      <c r="H25" s="140"/>
      <c r="I25" s="140"/>
      <c r="J25" s="140"/>
      <c r="K25" s="140"/>
      <c r="L25" s="140"/>
      <c r="M25" s="140"/>
      <c r="N25" s="140"/>
      <c r="O25" s="140"/>
      <c r="P25" s="140"/>
      <c r="Q25" s="140"/>
      <c r="R25" s="140"/>
      <c r="S25" s="140"/>
      <c r="T25" s="140"/>
      <c r="U25" s="140"/>
      <c r="V25" s="140"/>
      <c r="W25" s="140"/>
      <c r="X25" s="140"/>
      <c r="Y25" s="140"/>
    </row>
    <row r="26" spans="1:25" ht="15.75" thickBot="1" x14ac:dyDescent="0.3">
      <c r="A26" s="140"/>
      <c r="B26" s="147"/>
      <c r="C26" s="390"/>
      <c r="D26" s="148"/>
      <c r="E26" s="147"/>
      <c r="F26" s="140"/>
      <c r="G26" s="140"/>
      <c r="H26" s="140"/>
      <c r="I26" s="140"/>
      <c r="J26" s="140"/>
      <c r="K26" s="140"/>
      <c r="L26" s="140"/>
      <c r="M26" s="140"/>
      <c r="N26" s="140"/>
      <c r="O26" s="140"/>
      <c r="P26" s="140"/>
      <c r="Q26" s="140"/>
      <c r="R26" s="140"/>
      <c r="S26" s="140"/>
      <c r="T26" s="140"/>
      <c r="U26" s="140"/>
      <c r="V26" s="140"/>
      <c r="W26" s="140"/>
      <c r="X26" s="140"/>
      <c r="Y26" s="140"/>
    </row>
    <row r="27" spans="1:25" ht="15.75" thickBot="1" x14ac:dyDescent="0.3">
      <c r="A27" s="140"/>
      <c r="B27" s="1066" t="s">
        <v>1225</v>
      </c>
      <c r="C27" s="1067"/>
      <c r="D27" s="1067"/>
      <c r="E27" s="1068"/>
      <c r="F27" s="140"/>
      <c r="G27" s="140"/>
      <c r="H27" s="140"/>
      <c r="I27" s="140"/>
      <c r="J27" s="140"/>
      <c r="K27" s="140"/>
      <c r="L27" s="140"/>
      <c r="M27" s="140"/>
      <c r="N27" s="140"/>
      <c r="O27" s="140"/>
      <c r="P27" s="140"/>
      <c r="Q27" s="140"/>
      <c r="R27" s="140"/>
      <c r="S27" s="140"/>
      <c r="T27" s="140"/>
      <c r="U27" s="140"/>
      <c r="V27" s="140"/>
      <c r="W27" s="140"/>
      <c r="X27" s="140"/>
      <c r="Y27" s="140"/>
    </row>
    <row r="28" spans="1:25" x14ac:dyDescent="0.25">
      <c r="A28" s="140"/>
      <c r="B28" s="1054"/>
      <c r="C28" s="1055"/>
      <c r="D28" s="1055"/>
      <c r="E28" s="1056"/>
      <c r="F28" s="140"/>
      <c r="G28" s="140"/>
      <c r="H28" s="140"/>
      <c r="I28" s="140"/>
      <c r="J28" s="140"/>
      <c r="K28" s="140"/>
      <c r="L28" s="140"/>
      <c r="M28" s="140"/>
      <c r="N28" s="140"/>
      <c r="O28" s="140"/>
      <c r="P28" s="140"/>
      <c r="Q28" s="140"/>
      <c r="R28" s="140"/>
      <c r="S28" s="140"/>
      <c r="T28" s="140"/>
      <c r="U28" s="140"/>
      <c r="V28" s="140"/>
      <c r="W28" s="140"/>
      <c r="X28" s="140"/>
      <c r="Y28" s="140"/>
    </row>
    <row r="29" spans="1:25" x14ac:dyDescent="0.25">
      <c r="A29" s="140"/>
      <c r="B29" s="1057"/>
      <c r="C29" s="1058"/>
      <c r="D29" s="1058"/>
      <c r="E29" s="1059"/>
      <c r="F29" s="140"/>
      <c r="G29" s="140"/>
      <c r="H29" s="140"/>
      <c r="I29" s="140"/>
      <c r="J29" s="140"/>
      <c r="K29" s="140"/>
      <c r="L29" s="140"/>
      <c r="M29" s="140"/>
      <c r="N29" s="140"/>
      <c r="O29" s="140"/>
      <c r="P29" s="140"/>
      <c r="Q29" s="140"/>
      <c r="R29" s="140"/>
      <c r="S29" s="140"/>
      <c r="T29" s="140"/>
      <c r="U29" s="140"/>
      <c r="V29" s="140"/>
      <c r="W29" s="140"/>
      <c r="X29" s="140"/>
      <c r="Y29" s="140"/>
    </row>
    <row r="30" spans="1:25" x14ac:dyDescent="0.25">
      <c r="A30" s="140"/>
      <c r="B30" s="1057"/>
      <c r="C30" s="1058"/>
      <c r="D30" s="1058"/>
      <c r="E30" s="1059"/>
      <c r="F30" s="140"/>
      <c r="G30" s="140"/>
      <c r="H30" s="140"/>
      <c r="I30" s="140"/>
      <c r="J30" s="140"/>
      <c r="K30" s="140"/>
      <c r="L30" s="140"/>
      <c r="M30" s="140"/>
      <c r="N30" s="140"/>
      <c r="O30" s="140"/>
      <c r="P30" s="140"/>
      <c r="Q30" s="140"/>
      <c r="R30" s="140"/>
      <c r="S30" s="140"/>
      <c r="T30" s="140"/>
      <c r="U30" s="140"/>
      <c r="V30" s="140"/>
      <c r="W30" s="140"/>
      <c r="X30" s="140"/>
      <c r="Y30" s="140"/>
    </row>
    <row r="31" spans="1:25" x14ac:dyDescent="0.25">
      <c r="A31" s="140"/>
      <c r="B31" s="1057"/>
      <c r="C31" s="1058"/>
      <c r="D31" s="1058"/>
      <c r="E31" s="1059"/>
      <c r="F31" s="140"/>
      <c r="G31" s="140"/>
      <c r="H31" s="140"/>
      <c r="I31" s="140"/>
      <c r="J31" s="140"/>
      <c r="K31" s="140"/>
      <c r="L31" s="140"/>
      <c r="M31" s="140"/>
      <c r="N31" s="140"/>
      <c r="O31" s="140"/>
      <c r="P31" s="140"/>
      <c r="Q31" s="140"/>
      <c r="R31" s="140"/>
      <c r="S31" s="140"/>
      <c r="T31" s="140"/>
      <c r="U31" s="140"/>
      <c r="V31" s="140"/>
      <c r="W31" s="140"/>
      <c r="X31" s="140"/>
      <c r="Y31" s="140"/>
    </row>
    <row r="32" spans="1:25" x14ac:dyDescent="0.25">
      <c r="A32" s="140"/>
      <c r="B32" s="1057"/>
      <c r="C32" s="1058"/>
      <c r="D32" s="1058"/>
      <c r="E32" s="1059"/>
      <c r="F32" s="140"/>
      <c r="G32" s="140"/>
      <c r="H32" s="140"/>
      <c r="I32" s="140"/>
      <c r="J32" s="140"/>
      <c r="K32" s="140"/>
      <c r="L32" s="140"/>
      <c r="M32" s="140"/>
      <c r="N32" s="140"/>
      <c r="O32" s="140"/>
      <c r="P32" s="140"/>
      <c r="Q32" s="140"/>
      <c r="R32" s="140"/>
      <c r="S32" s="140"/>
      <c r="T32" s="140"/>
      <c r="U32" s="140"/>
      <c r="V32" s="140"/>
      <c r="W32" s="140"/>
      <c r="X32" s="140"/>
      <c r="Y32" s="140"/>
    </row>
    <row r="33" spans="1:25" ht="15.75" thickBot="1" x14ac:dyDescent="0.3">
      <c r="A33" s="140"/>
      <c r="B33" s="1060"/>
      <c r="C33" s="1061"/>
      <c r="D33" s="1061"/>
      <c r="E33" s="1062"/>
      <c r="F33" s="140"/>
      <c r="G33" s="140"/>
      <c r="H33" s="140"/>
      <c r="I33" s="140"/>
      <c r="J33" s="140"/>
      <c r="K33" s="140"/>
      <c r="L33" s="140"/>
      <c r="M33" s="140"/>
      <c r="N33" s="140"/>
      <c r="O33" s="140"/>
      <c r="P33" s="140"/>
      <c r="Q33" s="140"/>
      <c r="R33" s="140"/>
      <c r="S33" s="140"/>
      <c r="T33" s="140"/>
      <c r="U33" s="140"/>
      <c r="V33" s="140"/>
      <c r="W33" s="140"/>
      <c r="X33" s="140"/>
      <c r="Y33" s="140"/>
    </row>
    <row r="34" spans="1:25" x14ac:dyDescent="0.25">
      <c r="A34" s="140"/>
      <c r="B34" s="140"/>
      <c r="C34" s="140"/>
      <c r="D34" s="140"/>
      <c r="E34" s="140"/>
      <c r="F34" s="140"/>
      <c r="G34" s="140"/>
      <c r="H34" s="140"/>
      <c r="I34" s="140"/>
      <c r="J34" s="140"/>
      <c r="K34" s="140"/>
      <c r="L34" s="140"/>
      <c r="M34" s="140"/>
      <c r="N34" s="140"/>
      <c r="O34" s="140"/>
      <c r="P34" s="140"/>
      <c r="Q34" s="140"/>
      <c r="R34" s="140"/>
      <c r="S34" s="140"/>
      <c r="T34" s="140"/>
      <c r="U34" s="140"/>
      <c r="V34" s="140"/>
      <c r="W34" s="140"/>
      <c r="X34" s="140"/>
      <c r="Y34" s="140"/>
    </row>
    <row r="35" spans="1:25" x14ac:dyDescent="0.25">
      <c r="A35" s="140"/>
      <c r="B35" s="140"/>
      <c r="C35" s="140"/>
      <c r="D35" s="140"/>
      <c r="E35" s="140"/>
      <c r="F35" s="140"/>
      <c r="G35" s="140"/>
      <c r="H35" s="140"/>
      <c r="I35" s="140"/>
      <c r="J35" s="140"/>
      <c r="K35" s="140"/>
      <c r="L35" s="140"/>
      <c r="M35" s="140"/>
      <c r="N35" s="140"/>
      <c r="O35" s="140"/>
      <c r="P35" s="140"/>
      <c r="Q35" s="140"/>
      <c r="R35" s="140"/>
      <c r="S35" s="140"/>
      <c r="T35" s="140"/>
      <c r="U35" s="140"/>
      <c r="V35" s="140"/>
      <c r="W35" s="140"/>
      <c r="X35" s="140"/>
      <c r="Y35" s="140"/>
    </row>
    <row r="36" spans="1:25" x14ac:dyDescent="0.25">
      <c r="A36" s="140"/>
      <c r="B36" s="140"/>
      <c r="C36" s="140"/>
      <c r="D36" s="140"/>
      <c r="E36" s="140"/>
      <c r="F36" s="140"/>
      <c r="G36" s="140"/>
      <c r="H36" s="140"/>
      <c r="I36" s="140"/>
      <c r="J36" s="140"/>
      <c r="K36" s="140"/>
      <c r="L36" s="140"/>
      <c r="M36" s="140"/>
      <c r="N36" s="140"/>
      <c r="O36" s="140"/>
      <c r="P36" s="140"/>
      <c r="Q36" s="140"/>
      <c r="R36" s="140"/>
      <c r="S36" s="140"/>
      <c r="T36" s="140"/>
      <c r="U36" s="140"/>
      <c r="V36" s="140"/>
      <c r="W36" s="140"/>
      <c r="X36" s="140"/>
      <c r="Y36" s="140"/>
    </row>
    <row r="37" spans="1:25" x14ac:dyDescent="0.25">
      <c r="A37" s="140"/>
      <c r="B37" s="140"/>
      <c r="C37" s="140"/>
      <c r="D37" s="140"/>
      <c r="E37" s="140"/>
      <c r="F37" s="140"/>
      <c r="G37" s="140"/>
      <c r="H37" s="140"/>
      <c r="I37" s="140"/>
      <c r="J37" s="140"/>
      <c r="K37" s="140"/>
      <c r="L37" s="140"/>
      <c r="M37" s="140"/>
      <c r="N37" s="140"/>
      <c r="O37" s="140"/>
      <c r="P37" s="140"/>
      <c r="Q37" s="140"/>
      <c r="R37" s="140"/>
      <c r="S37" s="140"/>
      <c r="T37" s="140"/>
      <c r="U37" s="140"/>
      <c r="V37" s="140"/>
      <c r="W37" s="140"/>
      <c r="X37" s="140"/>
      <c r="Y37" s="140"/>
    </row>
    <row r="38" spans="1:25" x14ac:dyDescent="0.25">
      <c r="A38" s="147"/>
      <c r="B38" s="140"/>
      <c r="C38" s="140"/>
      <c r="D38" s="140"/>
      <c r="E38" s="140"/>
      <c r="F38" s="147"/>
      <c r="G38" s="140"/>
      <c r="H38" s="140"/>
      <c r="I38" s="140"/>
      <c r="J38" s="140"/>
      <c r="K38" s="140"/>
      <c r="L38" s="140"/>
      <c r="M38" s="140"/>
      <c r="N38" s="140"/>
      <c r="O38" s="140"/>
      <c r="P38" s="140"/>
      <c r="Q38" s="140"/>
      <c r="R38" s="140"/>
      <c r="S38" s="140"/>
      <c r="T38" s="140"/>
      <c r="U38" s="140"/>
      <c r="V38" s="140"/>
      <c r="W38" s="140"/>
      <c r="X38" s="140"/>
      <c r="Y38" s="140"/>
    </row>
    <row r="39" spans="1:25" x14ac:dyDescent="0.25">
      <c r="A39" s="147"/>
      <c r="B39" s="140"/>
      <c r="C39" s="140"/>
      <c r="D39" s="140"/>
      <c r="E39" s="140"/>
      <c r="F39" s="147"/>
      <c r="G39" s="140"/>
      <c r="H39" s="140"/>
      <c r="I39" s="140"/>
      <c r="J39" s="140"/>
      <c r="K39" s="140"/>
      <c r="L39" s="140"/>
      <c r="M39" s="140"/>
      <c r="N39" s="140"/>
      <c r="O39" s="140"/>
      <c r="P39" s="140"/>
      <c r="Q39" s="140"/>
      <c r="R39" s="140"/>
      <c r="S39" s="140"/>
      <c r="T39" s="140"/>
      <c r="U39" s="140"/>
      <c r="V39" s="140"/>
      <c r="W39" s="140"/>
      <c r="X39" s="140"/>
      <c r="Y39" s="140"/>
    </row>
    <row r="40" spans="1:25" x14ac:dyDescent="0.25">
      <c r="A40" s="147"/>
      <c r="B40" s="140"/>
      <c r="C40" s="140"/>
      <c r="D40" s="140"/>
      <c r="E40" s="140"/>
      <c r="F40" s="147"/>
      <c r="G40" s="140"/>
      <c r="H40" s="140"/>
      <c r="I40" s="140"/>
      <c r="J40" s="140"/>
      <c r="K40" s="140"/>
      <c r="L40" s="140"/>
      <c r="M40" s="140"/>
      <c r="N40" s="140"/>
      <c r="O40" s="140"/>
      <c r="P40" s="140"/>
      <c r="Q40" s="140"/>
      <c r="R40" s="140"/>
      <c r="S40" s="140"/>
      <c r="T40" s="140"/>
      <c r="U40" s="140"/>
      <c r="V40" s="140"/>
      <c r="W40" s="140"/>
      <c r="X40" s="140"/>
      <c r="Y40" s="140"/>
    </row>
    <row r="41" spans="1:25" x14ac:dyDescent="0.25">
      <c r="A41" s="147"/>
      <c r="B41" s="147"/>
      <c r="C41" s="147"/>
      <c r="D41" s="147"/>
      <c r="E41" s="147"/>
      <c r="F41" s="147"/>
      <c r="G41" s="140"/>
      <c r="H41" s="140"/>
      <c r="I41" s="140"/>
      <c r="J41" s="140"/>
      <c r="K41" s="140"/>
      <c r="L41" s="140"/>
      <c r="M41" s="140"/>
      <c r="N41" s="140"/>
      <c r="O41" s="140"/>
      <c r="P41" s="140"/>
      <c r="Q41" s="140"/>
      <c r="R41" s="140"/>
      <c r="S41" s="140"/>
      <c r="T41" s="140"/>
      <c r="U41" s="140"/>
      <c r="V41" s="140"/>
      <c r="W41" s="140"/>
      <c r="X41" s="140"/>
      <c r="Y41" s="140"/>
    </row>
    <row r="42" spans="1:25" x14ac:dyDescent="0.25">
      <c r="A42" s="147"/>
      <c r="B42" s="147"/>
      <c r="C42" s="147"/>
      <c r="D42" s="147"/>
      <c r="E42" s="147"/>
      <c r="F42" s="147"/>
      <c r="G42" s="140"/>
      <c r="H42" s="140"/>
      <c r="I42" s="140"/>
      <c r="J42" s="140"/>
      <c r="K42" s="140"/>
      <c r="L42" s="140"/>
      <c r="M42" s="140"/>
      <c r="N42" s="140"/>
      <c r="O42" s="140"/>
      <c r="P42" s="140"/>
      <c r="Q42" s="140"/>
      <c r="R42" s="140"/>
      <c r="S42" s="140"/>
      <c r="T42" s="140"/>
      <c r="U42" s="140"/>
      <c r="V42" s="140"/>
      <c r="W42" s="140"/>
      <c r="X42" s="140"/>
      <c r="Y42" s="140"/>
    </row>
    <row r="43" spans="1:25" x14ac:dyDescent="0.25">
      <c r="A43" s="147"/>
      <c r="B43" s="147"/>
      <c r="C43" s="147"/>
      <c r="D43" s="147"/>
      <c r="E43" s="147"/>
      <c r="F43" s="147"/>
      <c r="G43" s="140"/>
      <c r="H43" s="140"/>
      <c r="I43" s="140"/>
      <c r="J43" s="140"/>
      <c r="K43" s="140"/>
      <c r="L43" s="140"/>
      <c r="M43" s="140"/>
      <c r="N43" s="140"/>
      <c r="O43" s="140"/>
      <c r="P43" s="140"/>
      <c r="Q43" s="140"/>
      <c r="R43" s="140"/>
      <c r="S43" s="140"/>
      <c r="T43" s="140"/>
      <c r="U43" s="140"/>
      <c r="V43" s="140"/>
      <c r="W43" s="140"/>
      <c r="X43" s="140"/>
      <c r="Y43" s="140"/>
    </row>
    <row r="44" spans="1:25" x14ac:dyDescent="0.25">
      <c r="A44" s="147"/>
      <c r="B44" s="147"/>
      <c r="C44" s="147"/>
      <c r="D44" s="147"/>
      <c r="E44" s="147"/>
      <c r="F44" s="147"/>
      <c r="G44" s="140"/>
      <c r="H44" s="140"/>
      <c r="I44" s="140"/>
      <c r="J44" s="140"/>
      <c r="K44" s="140"/>
      <c r="L44" s="140"/>
      <c r="M44" s="140"/>
      <c r="N44" s="140"/>
      <c r="O44" s="140"/>
      <c r="P44" s="140"/>
      <c r="Q44" s="140"/>
      <c r="R44" s="140"/>
      <c r="S44" s="140"/>
      <c r="T44" s="140"/>
      <c r="U44" s="140"/>
      <c r="V44" s="140"/>
      <c r="W44" s="140"/>
      <c r="X44" s="140"/>
      <c r="Y44" s="140"/>
    </row>
    <row r="45" spans="1:25" x14ac:dyDescent="0.25">
      <c r="A45" s="147"/>
      <c r="B45" s="147"/>
      <c r="C45" s="147"/>
      <c r="D45" s="147"/>
      <c r="E45" s="147"/>
      <c r="F45" s="147"/>
      <c r="G45" s="140"/>
      <c r="H45" s="140"/>
      <c r="I45" s="140"/>
      <c r="J45" s="140"/>
      <c r="K45" s="140"/>
      <c r="L45" s="140"/>
      <c r="M45" s="140"/>
      <c r="N45" s="140"/>
      <c r="O45" s="140"/>
      <c r="P45" s="140"/>
      <c r="Q45" s="140"/>
      <c r="R45" s="140"/>
      <c r="S45" s="140"/>
      <c r="T45" s="140"/>
      <c r="U45" s="140"/>
      <c r="V45" s="140"/>
      <c r="W45" s="140"/>
      <c r="X45" s="140"/>
      <c r="Y45" s="140"/>
    </row>
    <row r="46" spans="1:25" x14ac:dyDescent="0.25">
      <c r="A46" s="147"/>
      <c r="B46" s="147"/>
      <c r="C46" s="147"/>
      <c r="D46" s="147"/>
      <c r="E46" s="147"/>
      <c r="F46" s="147"/>
      <c r="G46" s="140"/>
      <c r="H46" s="140"/>
      <c r="I46" s="140"/>
      <c r="J46" s="140"/>
      <c r="K46" s="140"/>
      <c r="L46" s="140"/>
      <c r="M46" s="140"/>
      <c r="N46" s="140"/>
      <c r="O46" s="140"/>
      <c r="P46" s="140"/>
      <c r="Q46" s="140"/>
      <c r="R46" s="140"/>
      <c r="S46" s="140"/>
      <c r="T46" s="140"/>
      <c r="U46" s="140"/>
      <c r="V46" s="140"/>
      <c r="W46" s="140"/>
      <c r="X46" s="140"/>
      <c r="Y46" s="140"/>
    </row>
    <row r="47" spans="1:25" x14ac:dyDescent="0.25">
      <c r="A47" s="147"/>
      <c r="B47" s="147"/>
      <c r="C47" s="147"/>
      <c r="D47" s="147"/>
      <c r="E47" s="147"/>
      <c r="F47" s="147"/>
      <c r="G47" s="140"/>
      <c r="H47" s="140"/>
      <c r="I47" s="140"/>
      <c r="J47" s="140"/>
      <c r="K47" s="140"/>
      <c r="L47" s="140"/>
      <c r="M47" s="140"/>
      <c r="N47" s="140"/>
      <c r="O47" s="140"/>
      <c r="P47" s="140"/>
      <c r="Q47" s="140"/>
      <c r="R47" s="140"/>
      <c r="S47" s="140"/>
      <c r="T47" s="140"/>
      <c r="U47" s="140"/>
      <c r="V47" s="140"/>
      <c r="W47" s="140"/>
      <c r="X47" s="140"/>
      <c r="Y47" s="140"/>
    </row>
    <row r="48" spans="1:25" x14ac:dyDescent="0.25">
      <c r="A48" s="147"/>
      <c r="B48" s="147"/>
      <c r="C48" s="147"/>
      <c r="D48" s="147"/>
      <c r="E48" s="147"/>
      <c r="F48" s="147"/>
      <c r="G48" s="140"/>
      <c r="H48" s="140"/>
      <c r="I48" s="140"/>
      <c r="J48" s="140"/>
      <c r="K48" s="140"/>
      <c r="L48" s="140"/>
      <c r="M48" s="140"/>
      <c r="N48" s="140"/>
      <c r="O48" s="140"/>
      <c r="P48" s="140"/>
      <c r="Q48" s="140"/>
      <c r="R48" s="140"/>
      <c r="S48" s="140"/>
      <c r="T48" s="140"/>
      <c r="U48" s="140"/>
      <c r="V48" s="140"/>
      <c r="W48" s="140"/>
      <c r="X48" s="140"/>
      <c r="Y48" s="140"/>
    </row>
    <row r="49" spans="1:25" x14ac:dyDescent="0.25">
      <c r="A49" s="140"/>
      <c r="B49" s="147"/>
      <c r="C49" s="147"/>
      <c r="D49" s="147"/>
      <c r="E49" s="147"/>
      <c r="F49" s="140"/>
      <c r="G49" s="140"/>
      <c r="H49" s="140"/>
      <c r="I49" s="140"/>
      <c r="J49" s="140"/>
      <c r="K49" s="140"/>
      <c r="L49" s="140"/>
      <c r="M49" s="140"/>
      <c r="N49" s="140"/>
      <c r="O49" s="140"/>
      <c r="P49" s="140"/>
      <c r="Q49" s="140"/>
      <c r="R49" s="140"/>
      <c r="S49" s="140"/>
      <c r="T49" s="140"/>
      <c r="U49" s="140"/>
      <c r="V49" s="140"/>
      <c r="W49" s="140"/>
      <c r="X49" s="140"/>
      <c r="Y49" s="140"/>
    </row>
    <row r="50" spans="1:25" x14ac:dyDescent="0.25">
      <c r="A50" s="140"/>
      <c r="B50" s="147"/>
      <c r="C50" s="147"/>
      <c r="D50" s="147"/>
      <c r="E50" s="147"/>
      <c r="F50" s="140"/>
      <c r="G50" s="140"/>
      <c r="H50" s="140"/>
      <c r="I50" s="140"/>
      <c r="J50" s="140"/>
      <c r="K50" s="140"/>
      <c r="L50" s="140"/>
      <c r="M50" s="140"/>
      <c r="N50" s="140"/>
      <c r="O50" s="140"/>
      <c r="P50" s="140"/>
      <c r="Q50" s="140"/>
      <c r="R50" s="140"/>
      <c r="S50" s="140"/>
      <c r="T50" s="140"/>
      <c r="U50" s="140"/>
      <c r="V50" s="140"/>
      <c r="W50" s="140"/>
      <c r="X50" s="140"/>
      <c r="Y50" s="140"/>
    </row>
    <row r="51" spans="1:25" x14ac:dyDescent="0.25">
      <c r="A51" s="140"/>
      <c r="B51" s="147"/>
      <c r="C51" s="147"/>
      <c r="D51" s="147"/>
      <c r="E51" s="147"/>
      <c r="F51" s="140"/>
      <c r="G51" s="140"/>
      <c r="H51" s="140"/>
      <c r="I51" s="140"/>
      <c r="J51" s="140"/>
      <c r="K51" s="140"/>
      <c r="L51" s="140"/>
      <c r="M51" s="140"/>
      <c r="N51" s="140"/>
      <c r="O51" s="140"/>
      <c r="P51" s="140"/>
      <c r="Q51" s="140"/>
      <c r="R51" s="140"/>
      <c r="S51" s="140"/>
      <c r="T51" s="140"/>
      <c r="U51" s="140"/>
      <c r="V51" s="140"/>
      <c r="W51" s="140"/>
      <c r="X51" s="140"/>
      <c r="Y51" s="140"/>
    </row>
    <row r="52" spans="1:25" x14ac:dyDescent="0.25">
      <c r="A52" s="140"/>
      <c r="B52" s="140"/>
      <c r="C52" s="140"/>
      <c r="D52" s="140"/>
      <c r="E52" s="140"/>
      <c r="F52" s="140"/>
      <c r="G52" s="140"/>
      <c r="H52" s="140"/>
      <c r="I52" s="140"/>
      <c r="J52" s="140"/>
      <c r="K52" s="140"/>
      <c r="L52" s="140"/>
      <c r="M52" s="140"/>
      <c r="N52" s="140"/>
      <c r="O52" s="140"/>
      <c r="P52" s="140"/>
      <c r="Q52" s="140"/>
      <c r="R52" s="140"/>
      <c r="S52" s="140"/>
      <c r="T52" s="140"/>
      <c r="U52" s="140"/>
      <c r="V52" s="140"/>
      <c r="W52" s="140"/>
      <c r="X52" s="140"/>
      <c r="Y52" s="140"/>
    </row>
    <row r="53" spans="1:25" x14ac:dyDescent="0.25">
      <c r="A53" s="140"/>
      <c r="B53" s="140"/>
      <c r="C53" s="140"/>
      <c r="D53" s="140"/>
      <c r="E53" s="140"/>
      <c r="F53" s="140"/>
      <c r="G53" s="140"/>
      <c r="H53" s="140"/>
      <c r="I53" s="140"/>
      <c r="J53" s="140"/>
      <c r="K53" s="140"/>
      <c r="L53" s="140"/>
      <c r="M53" s="140"/>
      <c r="N53" s="140"/>
      <c r="O53" s="140"/>
      <c r="P53" s="140"/>
      <c r="Q53" s="140"/>
      <c r="R53" s="140"/>
      <c r="S53" s="140"/>
      <c r="T53" s="140"/>
      <c r="U53" s="140"/>
      <c r="V53" s="140"/>
      <c r="W53" s="140"/>
      <c r="X53" s="140"/>
      <c r="Y53" s="140"/>
    </row>
    <row r="54" spans="1:25" x14ac:dyDescent="0.25">
      <c r="A54" s="140"/>
      <c r="B54" s="140"/>
      <c r="C54" s="140"/>
      <c r="D54" s="140"/>
      <c r="E54" s="140"/>
      <c r="F54" s="140"/>
      <c r="G54" s="140"/>
      <c r="H54" s="140"/>
      <c r="I54" s="140"/>
      <c r="J54" s="140"/>
      <c r="K54" s="140"/>
      <c r="L54" s="140"/>
      <c r="M54" s="140"/>
      <c r="N54" s="140"/>
      <c r="O54" s="140"/>
      <c r="P54" s="140"/>
      <c r="Q54" s="140"/>
      <c r="R54" s="140"/>
      <c r="S54" s="140"/>
      <c r="T54" s="140"/>
      <c r="U54" s="140"/>
      <c r="V54" s="140"/>
      <c r="W54" s="140"/>
      <c r="X54" s="140"/>
      <c r="Y54" s="140"/>
    </row>
    <row r="55" spans="1:25" x14ac:dyDescent="0.25">
      <c r="A55" s="140"/>
      <c r="B55" s="140"/>
      <c r="C55" s="140"/>
      <c r="D55" s="140"/>
      <c r="E55" s="140"/>
      <c r="F55" s="140"/>
      <c r="G55" s="140"/>
      <c r="H55" s="140"/>
      <c r="I55" s="140"/>
      <c r="J55" s="140"/>
      <c r="K55" s="140"/>
      <c r="L55" s="140"/>
      <c r="M55" s="140"/>
      <c r="N55" s="140"/>
      <c r="O55" s="140"/>
      <c r="P55" s="140"/>
      <c r="Q55" s="140"/>
      <c r="R55" s="140"/>
      <c r="S55" s="140"/>
      <c r="T55" s="140"/>
      <c r="U55" s="140"/>
      <c r="V55" s="140"/>
      <c r="W55" s="140"/>
      <c r="X55" s="140"/>
      <c r="Y55" s="140"/>
    </row>
    <row r="56" spans="1:25" x14ac:dyDescent="0.25">
      <c r="A56" s="140"/>
      <c r="B56" s="140"/>
      <c r="C56" s="140"/>
      <c r="D56" s="140"/>
      <c r="E56" s="140"/>
      <c r="F56" s="140"/>
      <c r="G56" s="140"/>
      <c r="H56" s="140"/>
      <c r="I56" s="140"/>
      <c r="J56" s="140"/>
      <c r="K56" s="140"/>
      <c r="L56" s="140"/>
      <c r="M56" s="140"/>
      <c r="N56" s="140"/>
      <c r="O56" s="140"/>
      <c r="P56" s="140"/>
      <c r="Q56" s="140"/>
      <c r="R56" s="140"/>
      <c r="S56" s="140"/>
      <c r="T56" s="140"/>
      <c r="U56" s="140"/>
      <c r="V56" s="140"/>
      <c r="W56" s="140"/>
      <c r="X56" s="140"/>
      <c r="Y56" s="140"/>
    </row>
    <row r="57" spans="1:25" x14ac:dyDescent="0.25">
      <c r="A57" s="140"/>
      <c r="B57" s="140"/>
      <c r="C57" s="140"/>
      <c r="D57" s="140"/>
      <c r="E57" s="140"/>
      <c r="F57" s="140"/>
      <c r="G57" s="140"/>
      <c r="H57" s="140"/>
      <c r="I57" s="140"/>
      <c r="J57" s="140"/>
      <c r="K57" s="140"/>
      <c r="L57" s="140"/>
      <c r="M57" s="140"/>
      <c r="N57" s="140"/>
      <c r="O57" s="140"/>
      <c r="P57" s="140"/>
      <c r="Q57" s="140"/>
      <c r="R57" s="140"/>
      <c r="S57" s="140"/>
      <c r="T57" s="140"/>
      <c r="U57" s="140"/>
      <c r="V57" s="140"/>
      <c r="W57" s="140"/>
      <c r="X57" s="140"/>
      <c r="Y57" s="140"/>
    </row>
    <row r="58" spans="1:25" x14ac:dyDescent="0.25">
      <c r="A58" s="140"/>
      <c r="B58" s="140"/>
      <c r="C58" s="140"/>
      <c r="D58" s="140"/>
      <c r="E58" s="140"/>
      <c r="F58" s="140"/>
      <c r="G58" s="140"/>
      <c r="H58" s="140"/>
      <c r="I58" s="140"/>
      <c r="J58" s="140"/>
      <c r="K58" s="140"/>
      <c r="L58" s="140"/>
      <c r="M58" s="140"/>
      <c r="N58" s="140"/>
      <c r="O58" s="140"/>
      <c r="P58" s="140"/>
      <c r="Q58" s="140"/>
      <c r="R58" s="140"/>
      <c r="S58" s="140"/>
      <c r="T58" s="140"/>
      <c r="U58" s="140"/>
      <c r="V58" s="140"/>
      <c r="W58" s="140"/>
      <c r="X58" s="140"/>
      <c r="Y58" s="140"/>
    </row>
    <row r="59" spans="1:25" x14ac:dyDescent="0.25">
      <c r="A59" s="140"/>
      <c r="B59" s="140"/>
      <c r="C59" s="140"/>
      <c r="D59" s="140"/>
      <c r="E59" s="140"/>
      <c r="F59" s="140"/>
      <c r="G59" s="140"/>
      <c r="H59" s="140"/>
      <c r="I59" s="140"/>
      <c r="J59" s="140"/>
      <c r="K59" s="140"/>
      <c r="L59" s="140"/>
      <c r="M59" s="140"/>
      <c r="N59" s="140"/>
      <c r="O59" s="140"/>
      <c r="P59" s="140"/>
      <c r="Q59" s="140"/>
      <c r="R59" s="140"/>
      <c r="S59" s="140"/>
      <c r="T59" s="140"/>
      <c r="U59" s="140"/>
      <c r="V59" s="140"/>
      <c r="W59" s="140"/>
      <c r="X59" s="140"/>
      <c r="Y59" s="140"/>
    </row>
    <row r="60" spans="1:25" x14ac:dyDescent="0.25">
      <c r="A60" s="140"/>
      <c r="B60" s="140"/>
      <c r="C60" s="140"/>
      <c r="D60" s="140"/>
      <c r="E60" s="140"/>
      <c r="F60" s="140"/>
      <c r="G60" s="140"/>
      <c r="H60" s="140"/>
      <c r="I60" s="140"/>
      <c r="J60" s="140"/>
      <c r="K60" s="140"/>
      <c r="L60" s="140"/>
      <c r="M60" s="140"/>
      <c r="N60" s="140"/>
      <c r="O60" s="140"/>
      <c r="P60" s="140"/>
      <c r="Q60" s="140"/>
      <c r="R60" s="140"/>
      <c r="S60" s="140"/>
      <c r="T60" s="140"/>
      <c r="U60" s="140"/>
      <c r="V60" s="140"/>
      <c r="W60" s="140"/>
      <c r="X60" s="140"/>
      <c r="Y60" s="140"/>
    </row>
    <row r="61" spans="1:25" x14ac:dyDescent="0.25">
      <c r="A61" s="140"/>
      <c r="B61" s="140"/>
      <c r="C61" s="140"/>
      <c r="D61" s="140"/>
      <c r="E61" s="140"/>
      <c r="F61" s="140"/>
      <c r="G61" s="140"/>
      <c r="H61" s="140"/>
      <c r="I61" s="140"/>
      <c r="J61" s="140"/>
      <c r="K61" s="140"/>
      <c r="L61" s="140"/>
      <c r="M61" s="140"/>
      <c r="N61" s="140"/>
      <c r="O61" s="140"/>
      <c r="P61" s="140"/>
      <c r="Q61" s="140"/>
      <c r="R61" s="140"/>
      <c r="S61" s="140"/>
      <c r="T61" s="140"/>
      <c r="U61" s="140"/>
      <c r="V61" s="140"/>
      <c r="W61" s="140"/>
      <c r="X61" s="140"/>
      <c r="Y61" s="140"/>
    </row>
    <row r="62" spans="1:25" x14ac:dyDescent="0.25">
      <c r="A62" s="140"/>
      <c r="B62" s="140"/>
      <c r="C62" s="140"/>
      <c r="D62" s="140"/>
      <c r="E62" s="140"/>
      <c r="F62" s="140"/>
      <c r="G62" s="140"/>
      <c r="H62" s="140"/>
      <c r="I62" s="140"/>
      <c r="J62" s="140"/>
      <c r="K62" s="140"/>
      <c r="L62" s="140"/>
      <c r="M62" s="140"/>
      <c r="N62" s="140"/>
      <c r="O62" s="140"/>
      <c r="P62" s="140"/>
      <c r="Q62" s="140"/>
      <c r="R62" s="140"/>
      <c r="S62" s="140"/>
      <c r="T62" s="140"/>
      <c r="U62" s="140"/>
      <c r="V62" s="140"/>
      <c r="W62" s="140"/>
      <c r="X62" s="140"/>
      <c r="Y62" s="140"/>
    </row>
    <row r="63" spans="1:25" x14ac:dyDescent="0.25">
      <c r="A63" s="140"/>
      <c r="B63" s="140"/>
      <c r="C63" s="140"/>
      <c r="D63" s="140"/>
      <c r="E63" s="140"/>
      <c r="F63" s="140"/>
      <c r="G63" s="140"/>
      <c r="H63" s="140"/>
      <c r="I63" s="140"/>
      <c r="J63" s="140"/>
      <c r="K63" s="140"/>
      <c r="L63" s="140"/>
      <c r="M63" s="140"/>
      <c r="N63" s="140"/>
      <c r="O63" s="140"/>
      <c r="P63" s="140"/>
      <c r="Q63" s="140"/>
      <c r="R63" s="140"/>
      <c r="S63" s="140"/>
      <c r="T63" s="140"/>
      <c r="U63" s="140"/>
      <c r="V63" s="140"/>
      <c r="W63" s="140"/>
      <c r="X63" s="140"/>
      <c r="Y63" s="140"/>
    </row>
    <row r="64" spans="1:25" x14ac:dyDescent="0.25">
      <c r="A64" s="140"/>
      <c r="B64" s="140"/>
      <c r="C64" s="140"/>
      <c r="D64" s="140"/>
      <c r="E64" s="140"/>
      <c r="F64" s="140"/>
      <c r="G64" s="140"/>
      <c r="H64" s="140"/>
      <c r="I64" s="140"/>
      <c r="J64" s="140"/>
      <c r="K64" s="140"/>
      <c r="L64" s="140"/>
      <c r="M64" s="140"/>
      <c r="N64" s="140"/>
      <c r="O64" s="140"/>
      <c r="P64" s="140"/>
      <c r="Q64" s="140"/>
      <c r="R64" s="140"/>
      <c r="S64" s="140"/>
      <c r="T64" s="140"/>
      <c r="U64" s="140"/>
      <c r="V64" s="140"/>
      <c r="W64" s="140"/>
      <c r="X64" s="140"/>
      <c r="Y64" s="140"/>
    </row>
    <row r="65" spans="1:25" x14ac:dyDescent="0.25">
      <c r="A65" s="140"/>
      <c r="B65" s="140"/>
      <c r="C65" s="140"/>
      <c r="D65" s="140"/>
      <c r="E65" s="140"/>
      <c r="F65" s="140"/>
      <c r="G65" s="140"/>
      <c r="H65" s="140"/>
      <c r="I65" s="140"/>
      <c r="J65" s="140"/>
      <c r="K65" s="140"/>
      <c r="L65" s="140"/>
      <c r="M65" s="140"/>
      <c r="N65" s="140"/>
      <c r="O65" s="140"/>
      <c r="P65" s="140"/>
      <c r="Q65" s="140"/>
      <c r="R65" s="140"/>
      <c r="S65" s="140"/>
      <c r="T65" s="140"/>
      <c r="U65" s="140"/>
      <c r="V65" s="140"/>
      <c r="W65" s="140"/>
      <c r="X65" s="140"/>
      <c r="Y65" s="140"/>
    </row>
    <row r="66" spans="1:25" x14ac:dyDescent="0.25">
      <c r="A66" s="140"/>
      <c r="B66" s="140"/>
      <c r="C66" s="140"/>
      <c r="D66" s="140"/>
      <c r="E66" s="140"/>
      <c r="F66" s="140"/>
      <c r="G66" s="140"/>
      <c r="H66" s="140"/>
      <c r="I66" s="140"/>
      <c r="J66" s="140"/>
      <c r="K66" s="140"/>
      <c r="L66" s="140"/>
      <c r="M66" s="140"/>
      <c r="N66" s="140"/>
      <c r="O66" s="140"/>
      <c r="P66" s="140"/>
      <c r="Q66" s="140"/>
      <c r="R66" s="140"/>
      <c r="S66" s="140"/>
      <c r="T66" s="140"/>
      <c r="U66" s="140"/>
      <c r="V66" s="140"/>
      <c r="W66" s="140"/>
      <c r="X66" s="140"/>
      <c r="Y66" s="140"/>
    </row>
    <row r="67" spans="1:25" x14ac:dyDescent="0.25">
      <c r="A67" s="140"/>
      <c r="B67" s="140"/>
      <c r="C67" s="140"/>
      <c r="D67" s="140"/>
      <c r="E67" s="140"/>
      <c r="F67" s="140"/>
      <c r="G67" s="140"/>
      <c r="H67" s="140"/>
      <c r="I67" s="140"/>
      <c r="J67" s="140"/>
      <c r="K67" s="140"/>
      <c r="L67" s="140"/>
      <c r="M67" s="140"/>
      <c r="N67" s="140"/>
      <c r="O67" s="140"/>
      <c r="P67" s="140"/>
      <c r="Q67" s="140"/>
      <c r="R67" s="140"/>
      <c r="S67" s="140"/>
      <c r="T67" s="140"/>
      <c r="U67" s="140"/>
      <c r="V67" s="140"/>
      <c r="W67" s="140"/>
      <c r="X67" s="140"/>
      <c r="Y67" s="140"/>
    </row>
    <row r="68" spans="1:25" x14ac:dyDescent="0.25">
      <c r="A68" s="140"/>
      <c r="B68" s="140"/>
      <c r="C68" s="140"/>
      <c r="D68" s="140"/>
      <c r="E68" s="140"/>
      <c r="F68" s="140"/>
      <c r="G68" s="140"/>
      <c r="H68" s="140"/>
      <c r="I68" s="140"/>
      <c r="J68" s="140"/>
      <c r="K68" s="140"/>
      <c r="L68" s="140"/>
      <c r="M68" s="140"/>
      <c r="N68" s="140"/>
      <c r="O68" s="140"/>
      <c r="P68" s="140"/>
      <c r="Q68" s="140"/>
      <c r="R68" s="140"/>
      <c r="S68" s="140"/>
      <c r="T68" s="140"/>
      <c r="U68" s="140"/>
      <c r="V68" s="140"/>
      <c r="W68" s="140"/>
      <c r="X68" s="140"/>
      <c r="Y68" s="140"/>
    </row>
    <row r="69" spans="1:25" x14ac:dyDescent="0.25">
      <c r="A69" s="140"/>
      <c r="B69" s="140"/>
      <c r="C69" s="140"/>
      <c r="D69" s="140"/>
      <c r="E69" s="140"/>
      <c r="F69" s="140"/>
      <c r="G69" s="140"/>
      <c r="H69" s="140"/>
      <c r="I69" s="140"/>
      <c r="J69" s="140"/>
      <c r="K69" s="140"/>
      <c r="L69" s="140"/>
      <c r="M69" s="140"/>
      <c r="N69" s="140"/>
      <c r="O69" s="140"/>
      <c r="P69" s="140"/>
      <c r="Q69" s="140"/>
      <c r="R69" s="140"/>
      <c r="S69" s="140"/>
      <c r="T69" s="140"/>
      <c r="U69" s="140"/>
      <c r="V69" s="140"/>
      <c r="W69" s="140"/>
      <c r="X69" s="140"/>
      <c r="Y69" s="140"/>
    </row>
    <row r="70" spans="1:25" x14ac:dyDescent="0.25">
      <c r="A70" s="140"/>
      <c r="B70" s="140"/>
      <c r="C70" s="140"/>
      <c r="D70" s="140"/>
      <c r="E70" s="140"/>
      <c r="F70" s="140"/>
      <c r="G70" s="140"/>
      <c r="H70" s="140"/>
      <c r="I70" s="140"/>
      <c r="J70" s="140"/>
      <c r="K70" s="140"/>
      <c r="L70" s="140"/>
      <c r="M70" s="140"/>
      <c r="N70" s="140"/>
      <c r="O70" s="140"/>
      <c r="P70" s="140"/>
      <c r="Q70" s="140"/>
      <c r="R70" s="140"/>
      <c r="S70" s="140"/>
      <c r="T70" s="140"/>
      <c r="U70" s="140"/>
      <c r="V70" s="140"/>
      <c r="W70" s="140"/>
      <c r="X70" s="140"/>
      <c r="Y70" s="140"/>
    </row>
    <row r="71" spans="1:25" x14ac:dyDescent="0.25">
      <c r="A71" s="140"/>
      <c r="B71" s="140"/>
      <c r="C71" s="140"/>
      <c r="D71" s="140"/>
      <c r="E71" s="140"/>
      <c r="F71" s="140"/>
      <c r="G71" s="140"/>
      <c r="H71" s="140"/>
      <c r="I71" s="140"/>
      <c r="J71" s="140"/>
      <c r="K71" s="140"/>
      <c r="L71" s="140"/>
      <c r="M71" s="140"/>
      <c r="N71" s="140"/>
      <c r="O71" s="140"/>
      <c r="P71" s="140"/>
      <c r="Q71" s="140"/>
      <c r="R71" s="140"/>
      <c r="S71" s="140"/>
      <c r="T71" s="140"/>
      <c r="U71" s="140"/>
      <c r="V71" s="140"/>
      <c r="W71" s="140"/>
      <c r="X71" s="140"/>
      <c r="Y71" s="140"/>
    </row>
    <row r="72" spans="1:25" x14ac:dyDescent="0.25">
      <c r="A72" s="140"/>
      <c r="B72" s="140"/>
      <c r="C72" s="140"/>
      <c r="D72" s="140"/>
      <c r="E72" s="140"/>
      <c r="F72" s="140"/>
      <c r="G72" s="140"/>
      <c r="H72" s="140"/>
      <c r="I72" s="140"/>
      <c r="J72" s="140"/>
      <c r="K72" s="140"/>
      <c r="L72" s="140"/>
      <c r="M72" s="140"/>
      <c r="N72" s="140"/>
      <c r="O72" s="140"/>
      <c r="P72" s="140"/>
      <c r="Q72" s="140"/>
      <c r="R72" s="140"/>
      <c r="S72" s="140"/>
      <c r="T72" s="140"/>
      <c r="U72" s="140"/>
      <c r="V72" s="140"/>
      <c r="W72" s="140"/>
      <c r="X72" s="140"/>
      <c r="Y72" s="140"/>
    </row>
    <row r="73" spans="1:25" x14ac:dyDescent="0.25">
      <c r="A73" s="140"/>
      <c r="B73" s="140"/>
      <c r="C73" s="140"/>
      <c r="D73" s="140"/>
      <c r="E73" s="140"/>
      <c r="F73" s="140"/>
      <c r="G73" s="140"/>
      <c r="H73" s="140"/>
      <c r="I73" s="140"/>
      <c r="J73" s="140"/>
      <c r="K73" s="140"/>
      <c r="L73" s="140"/>
      <c r="M73" s="140"/>
      <c r="N73" s="140"/>
      <c r="O73" s="140"/>
      <c r="P73" s="140"/>
      <c r="Q73" s="140"/>
      <c r="R73" s="140"/>
      <c r="S73" s="140"/>
      <c r="T73" s="140"/>
      <c r="U73" s="140"/>
      <c r="V73" s="140"/>
      <c r="W73" s="140"/>
      <c r="X73" s="140"/>
      <c r="Y73" s="140"/>
    </row>
    <row r="74" spans="1:25" x14ac:dyDescent="0.25">
      <c r="A74" s="140"/>
      <c r="B74" s="140"/>
      <c r="C74" s="140"/>
      <c r="D74" s="140"/>
      <c r="E74" s="140"/>
      <c r="F74" s="140"/>
      <c r="G74" s="140"/>
      <c r="H74" s="140"/>
      <c r="I74" s="140"/>
      <c r="J74" s="140"/>
      <c r="K74" s="140"/>
      <c r="L74" s="140"/>
      <c r="M74" s="140"/>
      <c r="N74" s="140"/>
      <c r="O74" s="140"/>
      <c r="P74" s="140"/>
      <c r="Q74" s="140"/>
      <c r="R74" s="140"/>
      <c r="S74" s="140"/>
      <c r="T74" s="140"/>
      <c r="U74" s="140"/>
      <c r="V74" s="140"/>
      <c r="W74" s="140"/>
      <c r="X74" s="140"/>
      <c r="Y74" s="140"/>
    </row>
    <row r="75" spans="1:25" x14ac:dyDescent="0.25">
      <c r="A75" s="140"/>
      <c r="B75" s="140"/>
      <c r="C75" s="140"/>
      <c r="D75" s="140"/>
      <c r="E75" s="140"/>
      <c r="F75" s="140"/>
      <c r="G75" s="140"/>
      <c r="H75" s="140"/>
      <c r="I75" s="140"/>
      <c r="J75" s="140"/>
      <c r="K75" s="140"/>
      <c r="L75" s="140"/>
      <c r="M75" s="140"/>
      <c r="N75" s="140"/>
      <c r="O75" s="140"/>
      <c r="P75" s="140"/>
      <c r="Q75" s="140"/>
      <c r="R75" s="140"/>
      <c r="S75" s="140"/>
      <c r="T75" s="140"/>
      <c r="U75" s="140"/>
      <c r="V75" s="140"/>
      <c r="W75" s="140"/>
      <c r="X75" s="140"/>
      <c r="Y75" s="140"/>
    </row>
    <row r="76" spans="1:25" x14ac:dyDescent="0.25">
      <c r="A76" s="140"/>
      <c r="B76" s="140"/>
      <c r="C76" s="140"/>
      <c r="D76" s="140"/>
      <c r="E76" s="140"/>
      <c r="F76" s="140"/>
      <c r="G76" s="140"/>
      <c r="H76" s="140"/>
      <c r="I76" s="140"/>
      <c r="J76" s="140"/>
      <c r="K76" s="140"/>
      <c r="L76" s="140"/>
      <c r="M76" s="140"/>
      <c r="N76" s="140"/>
      <c r="O76" s="140"/>
      <c r="P76" s="140"/>
      <c r="Q76" s="140"/>
      <c r="R76" s="140"/>
      <c r="S76" s="140"/>
      <c r="T76" s="140"/>
      <c r="U76" s="140"/>
      <c r="V76" s="140"/>
      <c r="W76" s="140"/>
      <c r="X76" s="140"/>
      <c r="Y76" s="140"/>
    </row>
    <row r="77" spans="1:25" x14ac:dyDescent="0.25">
      <c r="A77" s="140"/>
      <c r="B77" s="140"/>
      <c r="C77" s="140"/>
      <c r="D77" s="140"/>
      <c r="E77" s="140"/>
      <c r="F77" s="140"/>
      <c r="G77" s="140"/>
      <c r="H77" s="140"/>
      <c r="I77" s="140"/>
      <c r="J77" s="140"/>
      <c r="K77" s="140"/>
      <c r="L77" s="140"/>
      <c r="M77" s="140"/>
      <c r="N77" s="140"/>
      <c r="O77" s="140"/>
      <c r="P77" s="140"/>
      <c r="Q77" s="140"/>
      <c r="R77" s="140"/>
      <c r="S77" s="140"/>
      <c r="T77" s="140"/>
      <c r="U77" s="140"/>
      <c r="V77" s="140"/>
      <c r="W77" s="140"/>
      <c r="X77" s="140"/>
      <c r="Y77" s="140"/>
    </row>
    <row r="78" spans="1:25" x14ac:dyDescent="0.25">
      <c r="A78" s="140"/>
      <c r="B78" s="140"/>
      <c r="C78" s="140"/>
      <c r="D78" s="140"/>
      <c r="E78" s="140"/>
      <c r="F78" s="140"/>
      <c r="G78" s="140"/>
      <c r="H78" s="140"/>
      <c r="I78" s="140"/>
      <c r="J78" s="140"/>
      <c r="K78" s="140"/>
      <c r="L78" s="140"/>
      <c r="M78" s="140"/>
      <c r="N78" s="140"/>
      <c r="O78" s="140"/>
      <c r="P78" s="140"/>
      <c r="Q78" s="140"/>
      <c r="R78" s="140"/>
      <c r="S78" s="140"/>
      <c r="T78" s="140"/>
      <c r="U78" s="140"/>
      <c r="V78" s="140"/>
      <c r="W78" s="140"/>
      <c r="X78" s="140"/>
      <c r="Y78" s="140"/>
    </row>
    <row r="79" spans="1:25" x14ac:dyDescent="0.25">
      <c r="A79" s="140"/>
      <c r="B79" s="140"/>
      <c r="C79" s="140"/>
      <c r="D79" s="140"/>
      <c r="E79" s="140"/>
      <c r="F79" s="140"/>
      <c r="G79" s="140"/>
      <c r="H79" s="140"/>
      <c r="I79" s="140"/>
      <c r="J79" s="140"/>
      <c r="K79" s="140"/>
      <c r="L79" s="140"/>
      <c r="M79" s="140"/>
      <c r="N79" s="140"/>
      <c r="O79" s="140"/>
      <c r="P79" s="140"/>
      <c r="Q79" s="140"/>
      <c r="R79" s="140"/>
      <c r="S79" s="140"/>
      <c r="T79" s="140"/>
      <c r="U79" s="140"/>
      <c r="V79" s="140"/>
      <c r="W79" s="140"/>
      <c r="X79" s="140"/>
      <c r="Y79" s="140"/>
    </row>
    <row r="80" spans="1:25" x14ac:dyDescent="0.25">
      <c r="A80" s="140"/>
      <c r="B80" s="140"/>
      <c r="C80" s="140"/>
      <c r="D80" s="140"/>
      <c r="E80" s="140"/>
      <c r="F80" s="140"/>
      <c r="G80" s="140"/>
      <c r="H80" s="140"/>
      <c r="I80" s="140"/>
      <c r="J80" s="140"/>
      <c r="K80" s="140"/>
      <c r="L80" s="140"/>
      <c r="M80" s="140"/>
      <c r="N80" s="140"/>
      <c r="O80" s="140"/>
      <c r="P80" s="140"/>
      <c r="Q80" s="140"/>
      <c r="R80" s="140"/>
      <c r="S80" s="140"/>
      <c r="T80" s="140"/>
      <c r="U80" s="140"/>
      <c r="V80" s="140"/>
      <c r="W80" s="140"/>
      <c r="X80" s="140"/>
      <c r="Y80" s="140"/>
    </row>
    <row r="81" spans="1:25" x14ac:dyDescent="0.25">
      <c r="A81" s="140"/>
      <c r="B81" s="140"/>
      <c r="C81" s="140"/>
      <c r="D81" s="140"/>
      <c r="E81" s="140"/>
      <c r="F81" s="140"/>
      <c r="G81" s="140"/>
      <c r="H81" s="140"/>
      <c r="I81" s="140"/>
      <c r="J81" s="140"/>
      <c r="K81" s="140"/>
      <c r="L81" s="140"/>
      <c r="M81" s="140"/>
      <c r="N81" s="140"/>
      <c r="O81" s="140"/>
      <c r="P81" s="140"/>
      <c r="Q81" s="140"/>
      <c r="R81" s="140"/>
      <c r="S81" s="140"/>
      <c r="T81" s="140"/>
      <c r="U81" s="140"/>
      <c r="V81" s="140"/>
      <c r="W81" s="140"/>
      <c r="X81" s="140"/>
      <c r="Y81" s="140"/>
    </row>
    <row r="82" spans="1:25" x14ac:dyDescent="0.25">
      <c r="A82" s="140"/>
      <c r="B82" s="140"/>
      <c r="C82" s="140"/>
      <c r="D82" s="140"/>
      <c r="E82" s="140"/>
      <c r="F82" s="140"/>
      <c r="G82" s="140"/>
      <c r="H82" s="140"/>
      <c r="I82" s="140"/>
      <c r="J82" s="140"/>
      <c r="K82" s="140"/>
      <c r="L82" s="140"/>
      <c r="M82" s="140"/>
      <c r="N82" s="140"/>
      <c r="O82" s="140"/>
      <c r="P82" s="140"/>
      <c r="Q82" s="140"/>
      <c r="R82" s="140"/>
      <c r="S82" s="140"/>
      <c r="T82" s="140"/>
      <c r="U82" s="140"/>
      <c r="V82" s="140"/>
      <c r="W82" s="140"/>
      <c r="X82" s="140"/>
      <c r="Y82" s="140"/>
    </row>
    <row r="83" spans="1:25" x14ac:dyDescent="0.25">
      <c r="A83" s="140"/>
      <c r="B83" s="140"/>
      <c r="C83" s="140"/>
      <c r="D83" s="140"/>
      <c r="E83" s="140"/>
      <c r="F83" s="140"/>
      <c r="G83" s="140"/>
      <c r="H83" s="140"/>
      <c r="I83" s="140"/>
      <c r="J83" s="140"/>
      <c r="K83" s="140"/>
      <c r="L83" s="140"/>
      <c r="M83" s="140"/>
      <c r="N83" s="140"/>
      <c r="O83" s="140"/>
      <c r="P83" s="140"/>
      <c r="Q83" s="140"/>
      <c r="R83" s="140"/>
      <c r="S83" s="140"/>
      <c r="T83" s="140"/>
      <c r="U83" s="140"/>
      <c r="V83" s="140"/>
      <c r="W83" s="140"/>
      <c r="X83" s="140"/>
      <c r="Y83" s="140"/>
    </row>
    <row r="84" spans="1:25" x14ac:dyDescent="0.25">
      <c r="A84" s="140"/>
      <c r="B84" s="140"/>
      <c r="C84" s="140"/>
      <c r="D84" s="140"/>
      <c r="E84" s="140"/>
      <c r="F84" s="140"/>
      <c r="G84" s="140"/>
      <c r="H84" s="140"/>
      <c r="I84" s="140"/>
      <c r="J84" s="140"/>
      <c r="K84" s="140"/>
      <c r="L84" s="140"/>
      <c r="M84" s="140"/>
      <c r="N84" s="140"/>
      <c r="O84" s="140"/>
      <c r="P84" s="140"/>
      <c r="Q84" s="140"/>
      <c r="R84" s="140"/>
      <c r="S84" s="140"/>
      <c r="T84" s="140"/>
      <c r="U84" s="140"/>
      <c r="V84" s="140"/>
      <c r="W84" s="140"/>
      <c r="X84" s="140"/>
      <c r="Y84" s="140"/>
    </row>
    <row r="85" spans="1:25" x14ac:dyDescent="0.25">
      <c r="A85" s="140"/>
      <c r="B85" s="140"/>
      <c r="C85" s="140"/>
      <c r="D85" s="140"/>
      <c r="E85" s="140"/>
      <c r="F85" s="140"/>
      <c r="G85" s="140"/>
      <c r="H85" s="140"/>
      <c r="I85" s="140"/>
      <c r="J85" s="140"/>
      <c r="K85" s="140"/>
      <c r="L85" s="140"/>
      <c r="M85" s="140"/>
      <c r="N85" s="140"/>
      <c r="O85" s="140"/>
      <c r="P85" s="140"/>
      <c r="Q85" s="140"/>
      <c r="R85" s="140"/>
      <c r="S85" s="140"/>
      <c r="T85" s="140"/>
      <c r="U85" s="140"/>
      <c r="V85" s="140"/>
      <c r="W85" s="140"/>
      <c r="X85" s="140"/>
      <c r="Y85" s="140"/>
    </row>
    <row r="86" spans="1:25" x14ac:dyDescent="0.25">
      <c r="A86" s="140"/>
      <c r="B86" s="140"/>
      <c r="C86" s="140"/>
      <c r="D86" s="140"/>
      <c r="E86" s="140"/>
      <c r="F86" s="140"/>
      <c r="G86" s="140"/>
      <c r="H86" s="140"/>
      <c r="I86" s="140"/>
      <c r="J86" s="140"/>
      <c r="K86" s="140"/>
      <c r="L86" s="140"/>
      <c r="M86" s="140"/>
      <c r="N86" s="140"/>
      <c r="O86" s="140"/>
      <c r="P86" s="140"/>
      <c r="Q86" s="140"/>
      <c r="R86" s="140"/>
      <c r="S86" s="140"/>
      <c r="T86" s="140"/>
      <c r="U86" s="140"/>
      <c r="V86" s="140"/>
      <c r="W86" s="140"/>
      <c r="X86" s="140"/>
      <c r="Y86" s="140"/>
    </row>
    <row r="87" spans="1:25" x14ac:dyDescent="0.25">
      <c r="A87" s="140"/>
      <c r="B87" s="140"/>
      <c r="C87" s="140"/>
      <c r="D87" s="140"/>
      <c r="E87" s="140"/>
      <c r="F87" s="140"/>
      <c r="G87" s="140"/>
      <c r="H87" s="140"/>
      <c r="I87" s="140"/>
      <c r="J87" s="140"/>
      <c r="K87" s="140"/>
      <c r="L87" s="140"/>
      <c r="M87" s="140"/>
      <c r="N87" s="140"/>
      <c r="O87" s="140"/>
      <c r="P87" s="140"/>
      <c r="Q87" s="140"/>
      <c r="R87" s="140"/>
      <c r="S87" s="140"/>
      <c r="T87" s="140"/>
      <c r="U87" s="140"/>
      <c r="V87" s="140"/>
      <c r="W87" s="140"/>
      <c r="X87" s="140"/>
      <c r="Y87" s="140"/>
    </row>
    <row r="88" spans="1:25" x14ac:dyDescent="0.25">
      <c r="A88" s="140"/>
      <c r="B88" s="140"/>
      <c r="C88" s="140"/>
      <c r="D88" s="140"/>
      <c r="E88" s="140"/>
      <c r="F88" s="140"/>
      <c r="G88" s="140"/>
      <c r="H88" s="140"/>
      <c r="I88" s="140"/>
      <c r="J88" s="140"/>
      <c r="K88" s="140"/>
      <c r="L88" s="140"/>
      <c r="M88" s="140"/>
      <c r="N88" s="140"/>
      <c r="O88" s="140"/>
      <c r="P88" s="140"/>
      <c r="Q88" s="140"/>
      <c r="R88" s="140"/>
      <c r="S88" s="140"/>
      <c r="T88" s="140"/>
      <c r="U88" s="140"/>
      <c r="V88" s="140"/>
      <c r="W88" s="140"/>
      <c r="X88" s="140"/>
      <c r="Y88" s="140"/>
    </row>
    <row r="89" spans="1:25" x14ac:dyDescent="0.25">
      <c r="A89" s="140"/>
      <c r="B89" s="140"/>
      <c r="C89" s="140"/>
      <c r="D89" s="140"/>
      <c r="E89" s="140"/>
      <c r="F89" s="140"/>
      <c r="G89" s="140"/>
      <c r="H89" s="140"/>
      <c r="I89" s="140"/>
      <c r="J89" s="140"/>
      <c r="K89" s="140"/>
      <c r="L89" s="140"/>
      <c r="M89" s="140"/>
      <c r="N89" s="140"/>
      <c r="O89" s="140"/>
      <c r="P89" s="140"/>
      <c r="Q89" s="140"/>
      <c r="R89" s="140"/>
      <c r="S89" s="140"/>
      <c r="T89" s="140"/>
      <c r="U89" s="140"/>
      <c r="V89" s="140"/>
      <c r="W89" s="140"/>
      <c r="X89" s="140"/>
      <c r="Y89" s="140"/>
    </row>
    <row r="90" spans="1:25" x14ac:dyDescent="0.25">
      <c r="A90" s="140"/>
      <c r="B90" s="140"/>
      <c r="C90" s="140"/>
      <c r="D90" s="140"/>
      <c r="E90" s="140"/>
      <c r="F90" s="140"/>
      <c r="G90" s="140"/>
      <c r="H90" s="140"/>
      <c r="I90" s="140"/>
      <c r="J90" s="140"/>
      <c r="K90" s="140"/>
      <c r="L90" s="140"/>
      <c r="M90" s="140"/>
      <c r="N90" s="140"/>
      <c r="O90" s="140"/>
      <c r="P90" s="140"/>
      <c r="Q90" s="140"/>
      <c r="R90" s="140"/>
      <c r="S90" s="140"/>
      <c r="T90" s="140"/>
      <c r="U90" s="140"/>
      <c r="V90" s="140"/>
      <c r="W90" s="140"/>
      <c r="X90" s="140"/>
      <c r="Y90" s="140"/>
    </row>
    <row r="91" spans="1:25" x14ac:dyDescent="0.25">
      <c r="A91" s="140"/>
      <c r="B91" s="140"/>
      <c r="C91" s="140"/>
      <c r="D91" s="140"/>
      <c r="E91" s="140"/>
      <c r="F91" s="140"/>
      <c r="G91" s="140"/>
      <c r="H91" s="140"/>
      <c r="I91" s="140"/>
      <c r="J91" s="140"/>
      <c r="K91" s="140"/>
      <c r="L91" s="140"/>
      <c r="M91" s="140"/>
      <c r="N91" s="140"/>
      <c r="O91" s="140"/>
      <c r="P91" s="140"/>
      <c r="Q91" s="140"/>
      <c r="R91" s="140"/>
      <c r="S91" s="140"/>
      <c r="T91" s="140"/>
      <c r="U91" s="140"/>
      <c r="V91" s="140"/>
      <c r="W91" s="140"/>
      <c r="X91" s="140"/>
      <c r="Y91" s="140"/>
    </row>
    <row r="92" spans="1:25" x14ac:dyDescent="0.25">
      <c r="A92" s="140"/>
      <c r="B92" s="140"/>
      <c r="C92" s="140"/>
      <c r="D92" s="140"/>
      <c r="E92" s="140"/>
      <c r="F92" s="140"/>
      <c r="G92" s="140"/>
      <c r="H92" s="140"/>
      <c r="I92" s="140"/>
      <c r="J92" s="140"/>
      <c r="K92" s="140"/>
      <c r="L92" s="140"/>
      <c r="M92" s="140"/>
      <c r="N92" s="140"/>
      <c r="O92" s="140"/>
      <c r="P92" s="140"/>
      <c r="Q92" s="140"/>
      <c r="R92" s="140"/>
      <c r="S92" s="140"/>
      <c r="T92" s="140"/>
      <c r="U92" s="140"/>
      <c r="V92" s="140"/>
      <c r="W92" s="140"/>
      <c r="X92" s="140"/>
      <c r="Y92" s="140"/>
    </row>
    <row r="93" spans="1:25" x14ac:dyDescent="0.25">
      <c r="B93" s="140"/>
      <c r="C93" s="140"/>
      <c r="D93" s="140"/>
      <c r="E93" s="140"/>
    </row>
    <row r="94" spans="1:25" x14ac:dyDescent="0.25">
      <c r="B94" s="140"/>
      <c r="C94" s="140"/>
      <c r="D94" s="140"/>
      <c r="E94" s="140"/>
    </row>
    <row r="95" spans="1:25" x14ac:dyDescent="0.25">
      <c r="B95" s="140"/>
      <c r="C95" s="140"/>
      <c r="D95" s="140"/>
      <c r="E95" s="140"/>
    </row>
  </sheetData>
  <sheetProtection algorithmName="SHA-512" hashValue="5tOsncQPRW6h3vMqcRVdvfm4IQ1GmBEk34ErcC+lWaawjmZYSFAe+YMvIznqBkb5iZl7MN7n8EWErIE7IpThdQ==" saltValue="iGBn863PAUAcEG5mrx6HHg==" spinCount="100000" sheet="1" objects="1" scenarios="1" selectLockedCells="1"/>
  <mergeCells count="5">
    <mergeCell ref="C3:D3"/>
    <mergeCell ref="B20:E25"/>
    <mergeCell ref="B19:E19"/>
    <mergeCell ref="B27:E27"/>
    <mergeCell ref="B28:E33"/>
  </mergeCells>
  <conditionalFormatting sqref="B27:E33">
    <cfRule type="expression" dxfId="164" priority="2">
      <formula>$D$16="No"</formula>
    </cfRule>
  </conditionalFormatting>
  <dataValidations count="3">
    <dataValidation type="list" allowBlank="1" showInputMessage="1" showErrorMessage="1" sqref="D6" xr:uid="{06F53E83-4E01-47A5-B2A8-CE2BA1630612}">
      <formula1>"INDEPENDENT RESTAURATEURS,HOSPITALITY"</formula1>
    </dataValidation>
    <dataValidation type="list" allowBlank="1" showInputMessage="1" showErrorMessage="1" sqref="D16 D10" xr:uid="{6C9A9740-786D-439D-8842-F9CFA15CE546}">
      <formula1>"Yes,No"</formula1>
    </dataValidation>
    <dataValidation type="list" allowBlank="1" showInputMessage="1" showErrorMessage="1" sqref="D12" xr:uid="{00000000-0002-0000-0100-000001000000}">
      <formula1>$V$10:$V$15</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colBreaks count="1" manualBreakCount="1">
    <brk id="7" max="1048575" man="1"/>
  </colBreaks>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100-000002000000}">
          <x14:formula1>
            <xm:f>Lookups!$AA$1:$AA$11</xm:f>
          </x14:formula1>
          <xm:sqref>D14</xm:sqref>
        </x14:dataValidation>
        <x14:dataValidation type="list" allowBlank="1" showInputMessage="1" showErrorMessage="1" xr:uid="{00000000-0002-0000-0100-000000000000}">
          <x14:formula1>
            <xm:f>IF(D6="HOSPITALITY",$V$1,Lookups!$AB$1:$AB$5)</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AW50"/>
  <sheetViews>
    <sheetView topLeftCell="D1" zoomScale="82" zoomScaleNormal="82" zoomScaleSheetLayoutView="80" workbookViewId="0">
      <selection activeCell="E6" sqref="E6"/>
    </sheetView>
  </sheetViews>
  <sheetFormatPr defaultColWidth="8.85546875" defaultRowHeight="15" x14ac:dyDescent="0.25"/>
  <cols>
    <col min="1" max="1" width="4.140625" hidden="1" customWidth="1"/>
    <col min="2" max="2" width="9" hidden="1" customWidth="1"/>
    <col min="3" max="3" width="3" hidden="1" customWidth="1"/>
    <col min="4" max="4" width="0.5703125" style="140" customWidth="1"/>
    <col min="5" max="5" width="2.7109375" customWidth="1"/>
    <col min="6" max="6" width="8.42578125" customWidth="1"/>
    <col min="7" max="7" width="14.5703125" customWidth="1"/>
    <col min="8" max="8" width="12.85546875" bestFit="1" customWidth="1"/>
    <col min="9" max="9" width="10.42578125" customWidth="1"/>
    <col min="10" max="10" width="46.7109375" customWidth="1"/>
    <col min="11" max="11" width="10.5703125" customWidth="1"/>
    <col min="12" max="12" width="12.28515625" customWidth="1"/>
    <col min="13" max="13" width="13.140625" customWidth="1"/>
    <col min="14" max="14" width="9" bestFit="1" customWidth="1"/>
    <col min="15" max="15" width="43.28515625" bestFit="1" customWidth="1"/>
    <col min="16" max="16" width="17.140625" customWidth="1"/>
    <col min="17" max="17" width="8.140625" customWidth="1"/>
    <col min="18" max="18" width="18.5703125" customWidth="1"/>
    <col min="19" max="19" width="12" hidden="1" customWidth="1"/>
    <col min="20" max="20" width="38.7109375" hidden="1" customWidth="1"/>
    <col min="21" max="21" width="8" hidden="1" customWidth="1"/>
    <col min="22" max="22" width="12" hidden="1" customWidth="1"/>
    <col min="23" max="23" width="13.85546875" hidden="1" customWidth="1"/>
    <col min="24" max="24" width="11.28515625" hidden="1" customWidth="1"/>
    <col min="25" max="25" width="2" hidden="1" customWidth="1"/>
    <col min="26" max="29" width="8.85546875" hidden="1" customWidth="1"/>
    <col min="30" max="31" width="0" hidden="1" customWidth="1"/>
    <col min="32" max="32" width="12.7109375" hidden="1" customWidth="1"/>
    <col min="33" max="33" width="8.85546875" hidden="1" customWidth="1"/>
    <col min="34" max="34" width="10.5703125" hidden="1" customWidth="1"/>
    <col min="35" max="35" width="8.85546875" hidden="1" customWidth="1"/>
  </cols>
  <sheetData>
    <row r="1" spans="1:49" ht="10.9" customHeight="1" thickBot="1" x14ac:dyDescent="0.3">
      <c r="E1" s="140"/>
      <c r="F1" s="140"/>
      <c r="G1" s="422"/>
      <c r="H1" s="140"/>
      <c r="I1" s="140"/>
      <c r="J1" s="140"/>
      <c r="K1" s="140"/>
      <c r="L1" s="140"/>
      <c r="M1" s="140"/>
      <c r="N1" s="140"/>
      <c r="O1" s="140"/>
      <c r="P1" s="140"/>
      <c r="Q1" s="140"/>
      <c r="R1" s="140"/>
      <c r="S1" s="140"/>
      <c r="T1" s="140"/>
      <c r="U1" s="140"/>
      <c r="V1" s="140"/>
      <c r="W1" s="140"/>
      <c r="X1" s="140"/>
      <c r="Y1" s="140"/>
      <c r="Z1" s="140"/>
      <c r="AA1" s="140"/>
      <c r="AB1" s="140"/>
      <c r="AC1" s="140"/>
      <c r="AD1" s="140"/>
      <c r="AE1" s="140"/>
      <c r="AF1" s="140"/>
      <c r="AG1" s="140"/>
      <c r="AH1" s="140"/>
      <c r="AI1" s="140"/>
      <c r="AJ1" s="140"/>
      <c r="AK1" s="140"/>
      <c r="AL1" s="140"/>
      <c r="AM1" s="140"/>
      <c r="AN1" s="140"/>
      <c r="AO1" s="140"/>
      <c r="AP1" s="140"/>
      <c r="AQ1" s="140"/>
      <c r="AR1" s="140"/>
      <c r="AS1" s="140"/>
      <c r="AT1" s="140"/>
      <c r="AU1" s="140"/>
      <c r="AV1" s="140"/>
      <c r="AW1" s="140"/>
    </row>
    <row r="2" spans="1:49" ht="21" x14ac:dyDescent="0.35">
      <c r="E2" s="756"/>
      <c r="F2" s="1069" t="s">
        <v>959</v>
      </c>
      <c r="G2" s="1069"/>
      <c r="H2" s="678"/>
      <c r="I2" s="678"/>
      <c r="J2" s="678"/>
      <c r="K2" s="678"/>
      <c r="L2" s="678"/>
      <c r="M2" s="141"/>
      <c r="N2" s="141"/>
      <c r="O2" s="141"/>
      <c r="P2" s="678"/>
      <c r="Q2" s="678"/>
      <c r="R2" s="679"/>
      <c r="S2" s="140"/>
      <c r="T2" s="140"/>
      <c r="U2" s="140"/>
      <c r="V2" s="140"/>
      <c r="W2" s="140"/>
      <c r="X2" s="140"/>
      <c r="Y2" s="140"/>
      <c r="Z2" s="140"/>
      <c r="AA2" s="140"/>
      <c r="AB2" s="140"/>
      <c r="AC2" s="140"/>
      <c r="AD2" s="140"/>
      <c r="AE2" s="140"/>
      <c r="AG2" s="140"/>
      <c r="AH2" s="140"/>
      <c r="AI2" s="140"/>
      <c r="AJ2" s="140"/>
      <c r="AK2" s="140"/>
      <c r="AL2" s="140"/>
      <c r="AM2" s="140"/>
      <c r="AN2" s="140"/>
      <c r="AO2" s="140"/>
      <c r="AP2" s="140"/>
      <c r="AQ2" s="140"/>
      <c r="AR2" s="140"/>
      <c r="AS2" s="140"/>
      <c r="AT2" s="140"/>
      <c r="AU2" s="140"/>
      <c r="AV2" s="140"/>
      <c r="AW2" s="140"/>
    </row>
    <row r="3" spans="1:49" ht="27" customHeight="1" x14ac:dyDescent="0.25">
      <c r="E3" s="680"/>
      <c r="F3" s="817"/>
      <c r="G3" s="817"/>
      <c r="H3" s="817"/>
      <c r="I3" s="1082" t="str">
        <f>IF(AI4&gt;0,"HYBRID DEALS WITH HOSPITALITY AND INDEPENDENT RESTAURANT CUSTOMERS ARE CURRENTLY NOT ALLOWED IN ALC. PLEASE REMOVE THE CUSTOMER NUMBER!","")</f>
        <v/>
      </c>
      <c r="J3" s="1082"/>
      <c r="K3" s="1082"/>
      <c r="L3" s="818"/>
      <c r="M3" s="1070" t="str">
        <f>IF(COUNTIFS($M$6:$M$15,"&gt;0")&lt;$C$4,"Must Enter Expected Sales for All Locations","")</f>
        <v/>
      </c>
      <c r="N3" s="1070"/>
      <c r="O3" s="1070"/>
      <c r="P3" s="817"/>
      <c r="Q3" s="817"/>
      <c r="R3" s="681"/>
      <c r="S3" s="140"/>
      <c r="T3" s="140"/>
      <c r="U3" s="140"/>
      <c r="V3" s="140"/>
      <c r="W3" s="140"/>
      <c r="X3" s="140"/>
      <c r="Y3" s="140"/>
      <c r="Z3" s="140"/>
      <c r="AA3" s="140"/>
      <c r="AB3" s="140"/>
      <c r="AC3" s="140"/>
      <c r="AD3" s="140"/>
      <c r="AE3" s="140"/>
      <c r="AG3" s="140"/>
      <c r="AH3" s="140"/>
      <c r="AI3" s="140"/>
      <c r="AJ3" s="140"/>
      <c r="AK3" s="140"/>
      <c r="AL3" s="140"/>
      <c r="AM3" s="140"/>
      <c r="AN3" s="140"/>
      <c r="AO3" s="140"/>
      <c r="AP3" s="140"/>
      <c r="AQ3" s="140"/>
      <c r="AR3" s="140"/>
      <c r="AS3" s="140"/>
      <c r="AT3" s="140"/>
      <c r="AU3" s="140"/>
      <c r="AV3" s="140"/>
      <c r="AW3" s="140"/>
    </row>
    <row r="4" spans="1:49" ht="21" customHeight="1" thickBot="1" x14ac:dyDescent="0.3">
      <c r="C4" s="147">
        <f>IF(Welcome!$D$14="Select # of Locations",0,Welcome!$D$14)</f>
        <v>0</v>
      </c>
      <c r="D4" s="147"/>
      <c r="E4" s="402"/>
      <c r="F4" s="819"/>
      <c r="G4" s="819"/>
      <c r="H4" s="819"/>
      <c r="I4" s="819"/>
      <c r="J4" s="819"/>
      <c r="K4" s="819"/>
      <c r="L4" s="1071" t="str">
        <f>IF(COUNTIFS($M$6:$M$15,"&gt;0")&lt;$C$4,"VVVVV","")</f>
        <v/>
      </c>
      <c r="M4" s="1071"/>
      <c r="N4" s="1071"/>
      <c r="O4" s="817"/>
      <c r="P4" s="817"/>
      <c r="Q4" s="820"/>
      <c r="R4" s="681"/>
      <c r="S4" s="140"/>
      <c r="T4" s="140"/>
      <c r="U4" s="140"/>
      <c r="V4" s="140"/>
      <c r="W4" s="140"/>
      <c r="Z4" s="2"/>
      <c r="AA4" s="140"/>
      <c r="AC4" s="140"/>
      <c r="AD4" s="140"/>
      <c r="AE4" s="140"/>
      <c r="AF4" s="483">
        <f>Welcome!D6</f>
        <v>0</v>
      </c>
      <c r="AG4" s="483"/>
      <c r="AH4" s="483"/>
      <c r="AI4" s="810">
        <f>COUNTIF($AI$6:$AI$15,"FLAG")</f>
        <v>0</v>
      </c>
      <c r="AJ4" s="140"/>
      <c r="AK4" s="140"/>
      <c r="AL4" s="140"/>
      <c r="AM4" s="140"/>
      <c r="AN4" s="140"/>
      <c r="AO4" s="140"/>
      <c r="AP4" s="140"/>
      <c r="AQ4" s="140"/>
      <c r="AR4" s="140"/>
      <c r="AS4" s="140"/>
      <c r="AT4" s="140"/>
      <c r="AU4" s="140"/>
      <c r="AV4" s="140"/>
      <c r="AW4" s="140"/>
    </row>
    <row r="5" spans="1:49" ht="27" thickBot="1" x14ac:dyDescent="0.3">
      <c r="E5" s="680"/>
      <c r="F5" s="754" t="s">
        <v>1088</v>
      </c>
      <c r="G5" s="705" t="s">
        <v>765</v>
      </c>
      <c r="H5" s="816" t="s">
        <v>954</v>
      </c>
      <c r="I5" s="706" t="s">
        <v>1089</v>
      </c>
      <c r="J5" s="706" t="s">
        <v>951</v>
      </c>
      <c r="K5" s="706" t="s">
        <v>952</v>
      </c>
      <c r="L5" s="707" t="s">
        <v>955</v>
      </c>
      <c r="M5" s="827" t="s">
        <v>960</v>
      </c>
      <c r="N5" s="828" t="s">
        <v>1090</v>
      </c>
      <c r="O5" s="828" t="s">
        <v>938</v>
      </c>
      <c r="P5" s="828" t="s">
        <v>209</v>
      </c>
      <c r="Q5" s="829" t="s">
        <v>862</v>
      </c>
      <c r="R5" s="681"/>
      <c r="S5" s="676" t="s">
        <v>474</v>
      </c>
      <c r="T5" s="56" t="s">
        <v>956</v>
      </c>
      <c r="U5" s="56" t="s">
        <v>209</v>
      </c>
      <c r="V5" s="56" t="s">
        <v>528</v>
      </c>
      <c r="W5" s="140"/>
      <c r="X5" t="s">
        <v>975</v>
      </c>
      <c r="Y5">
        <f>MAX(Y6:Y15)</f>
        <v>0</v>
      </c>
      <c r="Z5" s="2"/>
      <c r="AA5" s="140"/>
      <c r="AC5" s="140"/>
      <c r="AD5" s="140"/>
      <c r="AE5" s="140"/>
      <c r="AF5" s="140" t="s">
        <v>1189</v>
      </c>
      <c r="AG5" s="140" t="s">
        <v>1190</v>
      </c>
      <c r="AH5" s="140" t="s">
        <v>1191</v>
      </c>
      <c r="AI5" s="140" t="s">
        <v>1192</v>
      </c>
      <c r="AJ5" s="140"/>
      <c r="AK5" s="140"/>
      <c r="AL5" s="140"/>
      <c r="AM5" s="140"/>
      <c r="AN5" s="140"/>
      <c r="AO5" s="140"/>
      <c r="AP5" s="140"/>
      <c r="AQ5" s="140"/>
      <c r="AR5" s="140"/>
      <c r="AS5" s="140"/>
      <c r="AT5" s="140"/>
      <c r="AU5" s="140"/>
      <c r="AV5" s="140"/>
      <c r="AW5" s="140"/>
    </row>
    <row r="6" spans="1:49" x14ac:dyDescent="0.25">
      <c r="A6" t="str">
        <f t="shared" ref="A6:A15" si="0">IFERROR(RANK($Z6,$Z$6:$Z$15,1),"")</f>
        <v/>
      </c>
      <c r="B6">
        <f t="shared" ref="B6:B15" si="1">IF($G6="New Store",$G6&amp;" "&amp;$X6,$G6)</f>
        <v>0</v>
      </c>
      <c r="C6" s="147">
        <v>1</v>
      </c>
      <c r="D6" s="147"/>
      <c r="E6" s="753"/>
      <c r="F6" s="662" t="str">
        <f>IF(Welcome!$D$14="Select # of Locations","",IF($C6&lt;=Welcome!$D$14,$C6,""))</f>
        <v/>
      </c>
      <c r="G6" s="665"/>
      <c r="H6" s="811" t="str">
        <f>IF($C$4&gt;=$C6,IF(SUMIF('Existing Customers'!$A:$A,'Customer Inputs'!$G6,'Existing Customers'!$Q:$Q)=0,"Enter Spend&gt;&gt;&gt;",ROUND(SUMIF('Existing Customers'!$A:$A,'Customer Inputs'!$G6,'Existing Customers'!$Q:$Q),0)),"")</f>
        <v/>
      </c>
      <c r="I6" s="812" t="str">
        <f>IF($F6="","",'Multi-Customer'!$AU47)</f>
        <v/>
      </c>
      <c r="J6" s="813" t="str">
        <f>IF($F6="","",IFERROR(VLOOKUP($G6,'Existing Customers'!$A:$F,6,FALSE),"Enter Menu Type&gt;&gt;"))</f>
        <v/>
      </c>
      <c r="K6" s="814" t="str">
        <f>IFERROR(IF($C$4&gt;=$C6,VLOOKUP($G6,'Existing Customers'!$A:$J,10,FALSE),""),"Enter Zip Code &gt;")</f>
        <v/>
      </c>
      <c r="L6" s="825" t="str">
        <f>IF($F6="","",'Multi-Customer'!$AU48)</f>
        <v/>
      </c>
      <c r="M6" s="832"/>
      <c r="N6" s="685"/>
      <c r="O6" s="833"/>
      <c r="P6" s="834"/>
      <c r="Q6" s="835"/>
      <c r="R6" s="752" t="str">
        <f>IF($F6="","",'Variable Costs (Back)'!$A15)</f>
        <v/>
      </c>
      <c r="S6" s="677" t="str">
        <f>IF(N6="",I6,N6)</f>
        <v/>
      </c>
      <c r="T6" s="56" t="str">
        <f t="shared" ref="T6:T15" si="2">IF(H6="Enter Spend&gt;&gt;&gt;",O6,J6)</f>
        <v/>
      </c>
      <c r="U6" s="56" t="str">
        <f t="shared" ref="U6:U15" si="3">IF(H6="Enter Spend&gt;&gt;&gt;",P6,K6)</f>
        <v/>
      </c>
      <c r="V6" s="56" t="str">
        <f>IF(Q6="",L6,Q6)</f>
        <v/>
      </c>
      <c r="W6" s="140">
        <f>IFERROR(V6*(M6/$M$17),0)</f>
        <v>0</v>
      </c>
      <c r="X6">
        <f>IF($G6="New Store",COUNTIF($G$6:$G$15,"New Store")-COUNTIF($G7:$G$15,"New Store"),0)</f>
        <v>0</v>
      </c>
      <c r="Y6" t="str">
        <f t="shared" ref="Y6:Y15" si="4">IFERROR(RANK($Z6,$Z$6:$Z$15,1),"")</f>
        <v/>
      </c>
      <c r="Z6" s="2" t="str">
        <f t="shared" ref="Z6:Z15" si="5">IF($G6="New Store",$F6,IF($H6="Enter Spend&gt;&gt;&gt;",$F6,""))</f>
        <v/>
      </c>
      <c r="AA6" s="140"/>
      <c r="AC6" s="140"/>
      <c r="AD6" s="140"/>
      <c r="AE6" s="140"/>
      <c r="AF6" s="140" t="b">
        <f>NOT(ISERROR(IFERROR(VLOOKUP($G6&amp;"",'HOS_Modellable Customers'!$A:$A,1,0),VLOOKUP($G6,'HOS_Modellable Customers'!$A:$A,1,0))))</f>
        <v>0</v>
      </c>
      <c r="AG6" s="140" t="b">
        <f>NOT(ISERROR(IFERROR(VLOOKUP($G6&amp;"",'Modellable Customers'!$A:$A,1,0),VLOOKUP($G6,'Modellable Customers'!$A:$A,1,0))))</f>
        <v>0</v>
      </c>
      <c r="AH6" s="140" t="b">
        <f>IF(H6="Enter Spend&gt;&gt;&gt;",TRUE,FALSE)</f>
        <v>0</v>
      </c>
      <c r="AI6" s="140" t="str">
        <f>IF(G6="","CLEAR",IF(AH6=TRUE,"CLEAR",IF(AND($AF$4="HOSPITALITY",AF6=TRUE),"CLEAR",IF(AND($AF$4="INDEPENDENT RESTAURATEURS",AG6=TRUE),"CLEAR","FLAG"))))</f>
        <v>CLEAR</v>
      </c>
      <c r="AJ6" s="140"/>
      <c r="AK6" s="140"/>
      <c r="AL6" s="140"/>
      <c r="AM6" s="140"/>
      <c r="AN6" s="140"/>
      <c r="AO6" s="140"/>
      <c r="AP6" s="140"/>
      <c r="AQ6" s="140"/>
      <c r="AR6" s="140"/>
      <c r="AS6" s="140"/>
      <c r="AT6" s="140"/>
      <c r="AU6" s="140"/>
      <c r="AV6" s="140"/>
      <c r="AW6" s="140"/>
    </row>
    <row r="7" spans="1:49" x14ac:dyDescent="0.25">
      <c r="A7" t="str">
        <f t="shared" si="0"/>
        <v/>
      </c>
      <c r="B7">
        <f t="shared" si="1"/>
        <v>0</v>
      </c>
      <c r="C7" s="147">
        <v>2</v>
      </c>
      <c r="D7" s="147"/>
      <c r="E7" s="753"/>
      <c r="F7" s="663" t="str">
        <f>IF(Welcome!$D$14="Select # of Locations","",IF($C7&lt;=Welcome!$D$14,$C7,""))</f>
        <v/>
      </c>
      <c r="G7" s="665"/>
      <c r="H7" s="666" t="str">
        <f>IF($C$4&gt;=$C7,IF(SUMIF('Existing Customers'!$A:$A,'Customer Inputs'!$G7,'Existing Customers'!$Q:$Q)=0,"Enter Spend&gt;&gt;&gt;",ROUND(SUMIF('Existing Customers'!$A:$A,'Customer Inputs'!$G7,'Existing Customers'!$Q:$Q),0)),"")</f>
        <v/>
      </c>
      <c r="I7" s="667" t="str">
        <f>IF($F7="","",'Multi-Customer'!$BD47)</f>
        <v/>
      </c>
      <c r="J7" s="708" t="str">
        <f>IF($F7="","",IFERROR(VLOOKUP($G7,'Existing Customers'!$A:$F,6,FALSE),"Enter Menu Type&gt;&gt;"))</f>
        <v/>
      </c>
      <c r="K7" s="808" t="str">
        <f>IFERROR(IF($C$4&gt;=$C7,VLOOKUP($G7,'Existing Customers'!$A:$J,10,FALSE),""),"Enter Zip Code &gt;")</f>
        <v/>
      </c>
      <c r="L7" s="826" t="str">
        <f>IF($F7="","",'Multi-Customer'!$BD48)</f>
        <v/>
      </c>
      <c r="M7" s="836"/>
      <c r="N7" s="686"/>
      <c r="O7" s="830"/>
      <c r="P7" s="831"/>
      <c r="Q7" s="670"/>
      <c r="R7" s="752" t="str">
        <f>IF($F7="","",'Variable Costs (Back)'!$A16)</f>
        <v/>
      </c>
      <c r="S7" s="677" t="str">
        <f t="shared" ref="S7:S15" si="6">IF(N7="",I7,N7)</f>
        <v/>
      </c>
      <c r="T7" s="56" t="str">
        <f t="shared" si="2"/>
        <v/>
      </c>
      <c r="U7" s="56" t="str">
        <f t="shared" si="3"/>
        <v/>
      </c>
      <c r="V7" s="56" t="str">
        <f t="shared" ref="V7:V15" si="7">IF(Q7="",L7,Q7)</f>
        <v/>
      </c>
      <c r="W7" s="140">
        <f t="shared" ref="W7:W15" si="8">IFERROR(V7*(M7/$M$17),0)</f>
        <v>0</v>
      </c>
      <c r="X7">
        <f>IF($G7="New Store",COUNTIF($G$6:$G$15,"New Store")-COUNTIF($G8:$G$15,"New Store"),0)</f>
        <v>0</v>
      </c>
      <c r="Y7" t="str">
        <f t="shared" si="4"/>
        <v/>
      </c>
      <c r="Z7" s="2" t="str">
        <f t="shared" si="5"/>
        <v/>
      </c>
      <c r="AA7" s="140"/>
      <c r="AC7" s="140"/>
      <c r="AD7" s="140"/>
      <c r="AE7" s="140"/>
      <c r="AF7" s="140" t="b">
        <f>NOT(ISERROR(IFERROR(VLOOKUP($G7&amp;"",'HOS_Modellable Customers'!$A:$A,1,0),VLOOKUP($G7,'HOS_Modellable Customers'!$A:$A,1,0))))</f>
        <v>0</v>
      </c>
      <c r="AG7" s="140" t="b">
        <f>NOT(ISERROR(IFERROR(VLOOKUP($G7&amp;"",'Modellable Customers'!$A:$A,1,0),VLOOKUP($G7,'Modellable Customers'!$A:$A,1,0))))</f>
        <v>0</v>
      </c>
      <c r="AH7" s="140" t="b">
        <f t="shared" ref="AH7:AH12" si="9">IF(H7="Enter Spend&gt;&gt;&gt;",TRUE,FALSE)</f>
        <v>0</v>
      </c>
      <c r="AI7" s="140" t="str">
        <f t="shared" ref="AI7:AI15" si="10">IF(G7="","CLEAR",IF(AH7=TRUE,"CLEAR",IF(AND($AF$4="HOSPITALITY",AF7=TRUE),"CLEAR",IF(AND($AF$4="INDEPENDENT RESTAURATEURS",AG7=TRUE),"CLEAR","FLAG"))))</f>
        <v>CLEAR</v>
      </c>
      <c r="AJ7" s="140"/>
      <c r="AK7" s="140"/>
      <c r="AL7" s="140"/>
      <c r="AM7" s="140"/>
      <c r="AN7" s="140"/>
      <c r="AO7" s="140"/>
      <c r="AP7" s="140"/>
      <c r="AQ7" s="140"/>
      <c r="AR7" s="140"/>
      <c r="AS7" s="140"/>
      <c r="AT7" s="140"/>
      <c r="AU7" s="140"/>
      <c r="AV7" s="140"/>
      <c r="AW7" s="140"/>
    </row>
    <row r="8" spans="1:49" x14ac:dyDescent="0.25">
      <c r="A8" t="str">
        <f t="shared" si="0"/>
        <v/>
      </c>
      <c r="B8">
        <f t="shared" si="1"/>
        <v>0</v>
      </c>
      <c r="C8" s="147">
        <v>3</v>
      </c>
      <c r="D8" s="147"/>
      <c r="E8" s="753"/>
      <c r="F8" s="663" t="str">
        <f>IF(Welcome!$D$14="Select # of Locations","",IF($C8&lt;=Welcome!$D$14,$C8,""))</f>
        <v/>
      </c>
      <c r="G8" s="665"/>
      <c r="H8" s="666" t="str">
        <f>IF($C$4&gt;=$C8,IF(SUMIF('Existing Customers'!$A:$A,'Customer Inputs'!$G8,'Existing Customers'!$Q:$Q)=0,"Enter Spend&gt;&gt;&gt;",ROUND(SUMIF('Existing Customers'!$A:$A,'Customer Inputs'!$G8,'Existing Customers'!$Q:$Q),0)),"")</f>
        <v/>
      </c>
      <c r="I8" s="667" t="str">
        <f>IF($F8="","",'Multi-Customer'!$BM47)</f>
        <v/>
      </c>
      <c r="J8" s="708" t="str">
        <f>IF($F8="","",IFERROR(VLOOKUP($G8,'Existing Customers'!$A:$F,6,FALSE),"Enter Menu Type&gt;&gt;"))</f>
        <v/>
      </c>
      <c r="K8" s="808" t="str">
        <f>IFERROR(IF($C$4&gt;=$C8,VLOOKUP($G8,'Existing Customers'!$A:$J,10,FALSE),""),"Enter Zip Code &gt;")</f>
        <v/>
      </c>
      <c r="L8" s="826" t="str">
        <f>IF($F8="","",'Multi-Customer'!$BM48)</f>
        <v/>
      </c>
      <c r="M8" s="836"/>
      <c r="N8" s="686"/>
      <c r="O8" s="830"/>
      <c r="P8" s="831"/>
      <c r="Q8" s="670"/>
      <c r="R8" s="752" t="str">
        <f>IF($F8="","",'Variable Costs (Back)'!$A17)</f>
        <v/>
      </c>
      <c r="S8" s="677" t="str">
        <f t="shared" si="6"/>
        <v/>
      </c>
      <c r="T8" s="56" t="str">
        <f t="shared" si="2"/>
        <v/>
      </c>
      <c r="U8" s="56" t="str">
        <f t="shared" si="3"/>
        <v/>
      </c>
      <c r="V8" s="56" t="str">
        <f t="shared" si="7"/>
        <v/>
      </c>
      <c r="W8" s="140">
        <f t="shared" si="8"/>
        <v>0</v>
      </c>
      <c r="X8">
        <f>IF($G8="New Store",COUNTIF($G$6:$G$15,"New Store")-COUNTIF($G9:$G$15,"New Store"),0)</f>
        <v>0</v>
      </c>
      <c r="Y8" t="str">
        <f t="shared" si="4"/>
        <v/>
      </c>
      <c r="Z8" s="2" t="str">
        <f t="shared" si="5"/>
        <v/>
      </c>
      <c r="AA8" s="140"/>
      <c r="AC8" s="140"/>
      <c r="AD8" s="140"/>
      <c r="AE8" s="140"/>
      <c r="AF8" s="140" t="b">
        <f>NOT(ISERROR(IFERROR(VLOOKUP($G8&amp;"",'HOS_Modellable Customers'!$A:$A,1,0),VLOOKUP($G8,'HOS_Modellable Customers'!$A:$A,1,0))))</f>
        <v>0</v>
      </c>
      <c r="AG8" s="140" t="b">
        <f>NOT(ISERROR(IFERROR(VLOOKUP($G8&amp;"",'Modellable Customers'!$A:$A,1,0),VLOOKUP($G8,'Modellable Customers'!$A:$A,1,0))))</f>
        <v>0</v>
      </c>
      <c r="AH8" s="140" t="b">
        <f t="shared" si="9"/>
        <v>0</v>
      </c>
      <c r="AI8" s="140" t="str">
        <f t="shared" si="10"/>
        <v>CLEAR</v>
      </c>
      <c r="AJ8" s="140"/>
      <c r="AK8" s="140"/>
      <c r="AL8" s="140"/>
      <c r="AM8" s="140"/>
      <c r="AN8" s="140"/>
      <c r="AO8" s="140"/>
      <c r="AP8" s="140"/>
      <c r="AQ8" s="140"/>
      <c r="AR8" s="140"/>
      <c r="AS8" s="140"/>
      <c r="AT8" s="140"/>
      <c r="AU8" s="140"/>
      <c r="AV8" s="140"/>
      <c r="AW8" s="140"/>
    </row>
    <row r="9" spans="1:49" x14ac:dyDescent="0.25">
      <c r="A9" t="str">
        <f t="shared" si="0"/>
        <v/>
      </c>
      <c r="B9">
        <f t="shared" si="1"/>
        <v>0</v>
      </c>
      <c r="C9" s="147">
        <v>4</v>
      </c>
      <c r="D9" s="147"/>
      <c r="E9" s="753"/>
      <c r="F9" s="663" t="str">
        <f>IF(Welcome!$D$14="Select # of Locations","",IF($C9&lt;=Welcome!$D$14,$C9,""))</f>
        <v/>
      </c>
      <c r="G9" s="665"/>
      <c r="H9" s="666" t="str">
        <f>IF($C$4&gt;=$C9,IF(SUMIF('Existing Customers'!$A:$A,'Customer Inputs'!$G9,'Existing Customers'!$Q:$Q)=0,"Enter Spend&gt;&gt;&gt;",ROUND(SUMIF('Existing Customers'!$A:$A,'Customer Inputs'!$G9,'Existing Customers'!$Q:$Q),0)),"")</f>
        <v/>
      </c>
      <c r="I9" s="667" t="str">
        <f>IF($F9="","",'Multi-Customer'!$BV47)</f>
        <v/>
      </c>
      <c r="J9" s="708" t="str">
        <f>IF($F9="","",IFERROR(VLOOKUP($G9,'Existing Customers'!$A:$F,6,FALSE),"Enter Menu Type&gt;&gt;"))</f>
        <v/>
      </c>
      <c r="K9" s="808" t="str">
        <f>IFERROR(IF($C$4&gt;=$C9,VLOOKUP($G9,'Existing Customers'!$A:$J,10,FALSE),""),"Enter Zip Code &gt;")</f>
        <v/>
      </c>
      <c r="L9" s="826" t="str">
        <f>IF($F9="","",'Multi-Customer'!$BV48)</f>
        <v/>
      </c>
      <c r="M9" s="836"/>
      <c r="N9" s="686"/>
      <c r="O9" s="830"/>
      <c r="P9" s="831"/>
      <c r="Q9" s="670"/>
      <c r="R9" s="752" t="str">
        <f>IF($F9="","",'Variable Costs (Back)'!$A18)</f>
        <v/>
      </c>
      <c r="S9" s="677" t="str">
        <f>IF(N9="",I9,N9)</f>
        <v/>
      </c>
      <c r="T9" s="56" t="str">
        <f t="shared" si="2"/>
        <v/>
      </c>
      <c r="U9" s="56" t="str">
        <f t="shared" si="3"/>
        <v/>
      </c>
      <c r="V9" s="56" t="str">
        <f t="shared" si="7"/>
        <v/>
      </c>
      <c r="W9" s="140">
        <f t="shared" si="8"/>
        <v>0</v>
      </c>
      <c r="X9">
        <f>IF($G9="New Store",COUNTIF($G$6:$G$15,"New Store")-COUNTIF($G10:$G$15,"New Store"),0)</f>
        <v>0</v>
      </c>
      <c r="Y9" t="str">
        <f t="shared" si="4"/>
        <v/>
      </c>
      <c r="Z9" s="2" t="str">
        <f t="shared" si="5"/>
        <v/>
      </c>
      <c r="AA9" s="140"/>
      <c r="AC9" s="140"/>
      <c r="AD9" s="140"/>
      <c r="AE9" s="140"/>
      <c r="AF9" s="140" t="b">
        <f>NOT(ISERROR(IFERROR(VLOOKUP($G9&amp;"",'HOS_Modellable Customers'!$A:$A,1,0),VLOOKUP($G9,'HOS_Modellable Customers'!$A:$A,1,0))))</f>
        <v>0</v>
      </c>
      <c r="AG9" s="140" t="b">
        <f>NOT(ISERROR(IFERROR(VLOOKUP($G9&amp;"",'Modellable Customers'!$A:$A,1,0),VLOOKUP($G9,'Modellable Customers'!$A:$A,1,0))))</f>
        <v>0</v>
      </c>
      <c r="AH9" s="140" t="b">
        <f t="shared" si="9"/>
        <v>0</v>
      </c>
      <c r="AI9" s="140" t="str">
        <f t="shared" si="10"/>
        <v>CLEAR</v>
      </c>
      <c r="AJ9" s="140"/>
      <c r="AK9" s="140"/>
      <c r="AL9" s="140"/>
      <c r="AM9" s="140"/>
      <c r="AN9" s="140"/>
      <c r="AO9" s="140"/>
      <c r="AP9" s="140"/>
      <c r="AQ9" s="140"/>
      <c r="AR9" s="140"/>
      <c r="AS9" s="140"/>
      <c r="AT9" s="140"/>
      <c r="AU9" s="140"/>
      <c r="AV9" s="140"/>
      <c r="AW9" s="140"/>
    </row>
    <row r="10" spans="1:49" x14ac:dyDescent="0.25">
      <c r="A10" t="str">
        <f t="shared" si="0"/>
        <v/>
      </c>
      <c r="B10">
        <f t="shared" si="1"/>
        <v>0</v>
      </c>
      <c r="C10" s="147">
        <v>5</v>
      </c>
      <c r="D10" s="147"/>
      <c r="E10" s="753"/>
      <c r="F10" s="663" t="str">
        <f>IF(Welcome!$D$14="Select # of Locations","",IF($C10&lt;=Welcome!$D$14,$C10,""))</f>
        <v/>
      </c>
      <c r="G10" s="665"/>
      <c r="H10" s="666" t="str">
        <f>IF($C$4&gt;=$C10,IF(SUMIF('Existing Customers'!$A:$A,'Customer Inputs'!$G10,'Existing Customers'!$Q:$Q)=0,"Enter Spend&gt;&gt;&gt;",ROUND(SUMIF('Existing Customers'!$A:$A,'Customer Inputs'!$G10,'Existing Customers'!$Q:$Q),0)),"")</f>
        <v/>
      </c>
      <c r="I10" s="667" t="str">
        <f>IF($F10="","",'Multi-Customer'!$CE47)</f>
        <v/>
      </c>
      <c r="J10" s="708" t="str">
        <f>IF($F10="","",IFERROR(VLOOKUP($G10,'Existing Customers'!$A:$F,6,FALSE),"Enter Menu Type&gt;&gt;"))</f>
        <v/>
      </c>
      <c r="K10" s="808" t="str">
        <f>IFERROR(IF($C$4&gt;=$C10,VLOOKUP($G10,'Existing Customers'!$A:$J,10,FALSE),""),"Enter Zip Code &gt;")</f>
        <v/>
      </c>
      <c r="L10" s="826" t="str">
        <f>IF($F10="","",'Multi-Customer'!$CE48)</f>
        <v/>
      </c>
      <c r="M10" s="836"/>
      <c r="N10" s="686"/>
      <c r="O10" s="830"/>
      <c r="P10" s="831"/>
      <c r="Q10" s="670"/>
      <c r="R10" s="752" t="str">
        <f>IF($F10="","",'Variable Costs (Back)'!$A19)</f>
        <v/>
      </c>
      <c r="S10" s="677" t="str">
        <f t="shared" si="6"/>
        <v/>
      </c>
      <c r="T10" s="56" t="str">
        <f t="shared" si="2"/>
        <v/>
      </c>
      <c r="U10" s="56" t="str">
        <f t="shared" si="3"/>
        <v/>
      </c>
      <c r="V10" s="56" t="str">
        <f t="shared" si="7"/>
        <v/>
      </c>
      <c r="W10" s="140">
        <f t="shared" si="8"/>
        <v>0</v>
      </c>
      <c r="X10">
        <f>IF($G10="New Store",COUNTIF($G$6:$G$15,"New Store")-COUNTIF($G11:$G$15,"New Store"),0)</f>
        <v>0</v>
      </c>
      <c r="Y10" t="str">
        <f t="shared" si="4"/>
        <v/>
      </c>
      <c r="Z10" s="2" t="str">
        <f t="shared" si="5"/>
        <v/>
      </c>
      <c r="AA10" s="140"/>
      <c r="AC10" s="140"/>
      <c r="AD10" s="140"/>
      <c r="AE10" s="140"/>
      <c r="AF10" s="140" t="b">
        <f>NOT(ISERROR(IFERROR(VLOOKUP($G10&amp;"",'HOS_Modellable Customers'!$A:$A,1,0),VLOOKUP($G10,'HOS_Modellable Customers'!$A:$A,1,0))))</f>
        <v>0</v>
      </c>
      <c r="AG10" s="140" t="b">
        <f>NOT(ISERROR(IFERROR(VLOOKUP($G10&amp;"",'Modellable Customers'!$A:$A,1,0),VLOOKUP($G10,'Modellable Customers'!$A:$A,1,0))))</f>
        <v>0</v>
      </c>
      <c r="AH10" s="140" t="b">
        <f t="shared" si="9"/>
        <v>0</v>
      </c>
      <c r="AI10" s="140" t="str">
        <f t="shared" si="10"/>
        <v>CLEAR</v>
      </c>
      <c r="AJ10" s="140"/>
      <c r="AK10" s="140"/>
      <c r="AL10" s="140"/>
      <c r="AM10" s="140"/>
      <c r="AN10" s="140"/>
      <c r="AO10" s="140"/>
      <c r="AP10" s="140"/>
      <c r="AQ10" s="140"/>
      <c r="AR10" s="140"/>
      <c r="AS10" s="140"/>
      <c r="AT10" s="140"/>
      <c r="AU10" s="140"/>
      <c r="AV10" s="140"/>
      <c r="AW10" s="140"/>
    </row>
    <row r="11" spans="1:49" x14ac:dyDescent="0.25">
      <c r="A11" t="str">
        <f t="shared" si="0"/>
        <v/>
      </c>
      <c r="B11">
        <f t="shared" si="1"/>
        <v>0</v>
      </c>
      <c r="C11" s="147">
        <v>6</v>
      </c>
      <c r="D11" s="147"/>
      <c r="E11" s="753"/>
      <c r="F11" s="663" t="str">
        <f>IF(Welcome!$D$14="Select # of Locations","",IF($C11&lt;=Welcome!$D$14,$C11,""))</f>
        <v/>
      </c>
      <c r="G11" s="665"/>
      <c r="H11" s="666" t="str">
        <f>IF($C$4&gt;=$C11,IF(SUMIF('Existing Customers'!$A:$A,'Customer Inputs'!$G11,'Existing Customers'!$Q:$Q)=0,"Enter Spend&gt;&gt;&gt;",ROUND(SUMIF('Existing Customers'!$A:$A,'Customer Inputs'!$G11,'Existing Customers'!$Q:$Q),0)),"")</f>
        <v/>
      </c>
      <c r="I11" s="667" t="str">
        <f>IF($F11="","",'Multi-Customer'!$CN47)</f>
        <v/>
      </c>
      <c r="J11" s="708" t="str">
        <f>IF($F11="","",IFERROR(VLOOKUP($G11,'Existing Customers'!$A:$F,6,FALSE),"Enter Menu Type&gt;&gt;"))</f>
        <v/>
      </c>
      <c r="K11" s="808" t="str">
        <f>IFERROR(IF($C$4&gt;=$C11,VLOOKUP($G11,'Existing Customers'!$A:$J,10,FALSE),""),"Enter Zip Code &gt;")</f>
        <v/>
      </c>
      <c r="L11" s="826" t="str">
        <f>IF($F11="","",'Multi-Customer'!$CN48)</f>
        <v/>
      </c>
      <c r="M11" s="836"/>
      <c r="N11" s="686"/>
      <c r="O11" s="830"/>
      <c r="P11" s="831"/>
      <c r="Q11" s="670"/>
      <c r="R11" s="752" t="str">
        <f>IF($F11="","",'Variable Costs (Back)'!$A20)</f>
        <v/>
      </c>
      <c r="S11" s="677" t="str">
        <f t="shared" si="6"/>
        <v/>
      </c>
      <c r="T11" s="56" t="str">
        <f t="shared" si="2"/>
        <v/>
      </c>
      <c r="U11" s="56" t="str">
        <f t="shared" si="3"/>
        <v/>
      </c>
      <c r="V11" s="56" t="str">
        <f t="shared" si="7"/>
        <v/>
      </c>
      <c r="W11" s="140">
        <f t="shared" si="8"/>
        <v>0</v>
      </c>
      <c r="X11">
        <f>IF($G11="New Store",COUNTIF($G$6:$G$15,"New Store")-COUNTIF($G12:$G$15,"New Store"),0)</f>
        <v>0</v>
      </c>
      <c r="Y11" t="str">
        <f t="shared" si="4"/>
        <v/>
      </c>
      <c r="Z11" s="2" t="str">
        <f t="shared" si="5"/>
        <v/>
      </c>
      <c r="AA11" s="140"/>
      <c r="AC11" s="140"/>
      <c r="AD11" s="140"/>
      <c r="AE11" s="140"/>
      <c r="AF11" s="140" t="b">
        <f>NOT(ISERROR(IFERROR(VLOOKUP($G11&amp;"",'HOS_Modellable Customers'!$A:$A,1,0),VLOOKUP($G11,'HOS_Modellable Customers'!$A:$A,1,0))))</f>
        <v>0</v>
      </c>
      <c r="AG11" s="140" t="b">
        <f>NOT(ISERROR(IFERROR(VLOOKUP($G11&amp;"",'Modellable Customers'!$A:$A,1,0),VLOOKUP($G11,'Modellable Customers'!$A:$A,1,0))))</f>
        <v>0</v>
      </c>
      <c r="AH11" s="140" t="b">
        <f t="shared" si="9"/>
        <v>0</v>
      </c>
      <c r="AI11" s="140" t="str">
        <f t="shared" si="10"/>
        <v>CLEAR</v>
      </c>
      <c r="AJ11" s="140"/>
      <c r="AK11" s="140"/>
      <c r="AL11" s="140"/>
      <c r="AM11" s="140"/>
      <c r="AN11" s="140"/>
      <c r="AO11" s="140"/>
      <c r="AP11" s="140"/>
      <c r="AQ11" s="140"/>
      <c r="AR11" s="140"/>
      <c r="AS11" s="140"/>
      <c r="AT11" s="140"/>
      <c r="AU11" s="140"/>
      <c r="AV11" s="140"/>
      <c r="AW11" s="140"/>
    </row>
    <row r="12" spans="1:49" x14ac:dyDescent="0.25">
      <c r="A12" t="str">
        <f t="shared" si="0"/>
        <v/>
      </c>
      <c r="B12">
        <f t="shared" si="1"/>
        <v>0</v>
      </c>
      <c r="C12" s="147">
        <v>7</v>
      </c>
      <c r="D12" s="147"/>
      <c r="E12" s="753"/>
      <c r="F12" s="663" t="str">
        <f>IF(Welcome!$D$14="Select # of Locations","",IF($C12&lt;=Welcome!$D$14,$C12,""))</f>
        <v/>
      </c>
      <c r="G12" s="665"/>
      <c r="H12" s="666" t="str">
        <f>IF($C$4&gt;=$C12,IF(SUMIF('Existing Customers'!$A:$A,'Customer Inputs'!$G12,'Existing Customers'!$Q:$Q)=0,"Enter Spend&gt;&gt;&gt;",ROUND(SUMIF('Existing Customers'!$A:$A,'Customer Inputs'!$G12,'Existing Customers'!$Q:$Q),0)),"")</f>
        <v/>
      </c>
      <c r="I12" s="667" t="str">
        <f>IF($F12="","",'Multi-Customer'!$CW47)</f>
        <v/>
      </c>
      <c r="J12" s="708" t="str">
        <f>IF($F12="","",IFERROR(VLOOKUP($G12,'Existing Customers'!$A:$F,6,FALSE),"Enter Menu Type&gt;&gt;"))</f>
        <v/>
      </c>
      <c r="K12" s="808" t="str">
        <f>IFERROR(IF($C$4&gt;=$C12,VLOOKUP($G12,'Existing Customers'!$A:$J,10,FALSE),""),"Enter Zip Code &gt;")</f>
        <v/>
      </c>
      <c r="L12" s="826" t="str">
        <f>IF($F12="","",'Multi-Customer'!$CW48)</f>
        <v/>
      </c>
      <c r="M12" s="836"/>
      <c r="N12" s="686"/>
      <c r="O12" s="830"/>
      <c r="P12" s="831"/>
      <c r="Q12" s="670"/>
      <c r="R12" s="752" t="str">
        <f>IF($F12="","",'Variable Costs (Back)'!$A21)</f>
        <v/>
      </c>
      <c r="S12" s="677" t="str">
        <f t="shared" si="6"/>
        <v/>
      </c>
      <c r="T12" s="56" t="str">
        <f t="shared" si="2"/>
        <v/>
      </c>
      <c r="U12" s="56" t="str">
        <f t="shared" si="3"/>
        <v/>
      </c>
      <c r="V12" s="56" t="str">
        <f t="shared" si="7"/>
        <v/>
      </c>
      <c r="W12" s="140">
        <f t="shared" si="8"/>
        <v>0</v>
      </c>
      <c r="X12">
        <f>IF($G12="New Store",COUNTIF($G$6:$G$15,"New Store")-COUNTIF($G13:$G$15,"New Store"),0)</f>
        <v>0</v>
      </c>
      <c r="Y12" t="str">
        <f t="shared" si="4"/>
        <v/>
      </c>
      <c r="Z12" s="2" t="str">
        <f t="shared" si="5"/>
        <v/>
      </c>
      <c r="AA12" s="140"/>
      <c r="AC12" s="140"/>
      <c r="AD12" s="140"/>
      <c r="AE12" s="140"/>
      <c r="AF12" s="140" t="b">
        <f>NOT(ISERROR(IFERROR(VLOOKUP($G12&amp;"",'HOS_Modellable Customers'!$A:$A,1,0),VLOOKUP($G12,'HOS_Modellable Customers'!$A:$A,1,0))))</f>
        <v>0</v>
      </c>
      <c r="AG12" s="140" t="b">
        <f>NOT(ISERROR(IFERROR(VLOOKUP($G12&amp;"",'Modellable Customers'!$A:$A,1,0),VLOOKUP($G12,'Modellable Customers'!$A:$A,1,0))))</f>
        <v>0</v>
      </c>
      <c r="AH12" s="140" t="b">
        <f t="shared" si="9"/>
        <v>0</v>
      </c>
      <c r="AI12" s="140" t="str">
        <f t="shared" si="10"/>
        <v>CLEAR</v>
      </c>
      <c r="AJ12" s="140"/>
      <c r="AK12" s="140"/>
      <c r="AL12" s="140"/>
      <c r="AM12" s="140"/>
      <c r="AN12" s="140"/>
      <c r="AO12" s="140"/>
      <c r="AP12" s="140"/>
      <c r="AQ12" s="140"/>
      <c r="AR12" s="140"/>
      <c r="AS12" s="140"/>
      <c r="AT12" s="140"/>
      <c r="AU12" s="140"/>
      <c r="AV12" s="140"/>
      <c r="AW12" s="140"/>
    </row>
    <row r="13" spans="1:49" x14ac:dyDescent="0.25">
      <c r="A13" t="str">
        <f t="shared" si="0"/>
        <v/>
      </c>
      <c r="B13">
        <f t="shared" si="1"/>
        <v>0</v>
      </c>
      <c r="C13" s="147">
        <v>8</v>
      </c>
      <c r="D13" s="147"/>
      <c r="E13" s="753"/>
      <c r="F13" s="663" t="str">
        <f>IF(Welcome!$D$14="Select # of Locations","",IF($C13&lt;=Welcome!$D$14,$C13,""))</f>
        <v/>
      </c>
      <c r="G13" s="665"/>
      <c r="H13" s="666" t="str">
        <f>IF($C$4&gt;=$C13,IF(SUMIF('Existing Customers'!$A:$A,'Customer Inputs'!$G13,'Existing Customers'!$Q:$Q)=0,"Enter Spend&gt;&gt;&gt;",ROUND(SUMIF('Existing Customers'!$A:$A,'Customer Inputs'!$G13,'Existing Customers'!$Q:$Q),0)),"")</f>
        <v/>
      </c>
      <c r="I13" s="667" t="str">
        <f>IF($F13="","",'Multi-Customer'!$DF47)</f>
        <v/>
      </c>
      <c r="J13" s="708" t="str">
        <f>IF($F13="","",IFERROR(VLOOKUP($G13,'Existing Customers'!$A:$F,6,FALSE),"Enter Menu Type&gt;&gt;"))</f>
        <v/>
      </c>
      <c r="K13" s="808" t="str">
        <f>IFERROR(IF($C$4&gt;=$C13,VLOOKUP($G13,'Existing Customers'!$A:$J,10,FALSE),""),"Enter Zip Code &gt;")</f>
        <v/>
      </c>
      <c r="L13" s="826" t="str">
        <f>IF($F13="","",'Multi-Customer'!$DF48)</f>
        <v/>
      </c>
      <c r="M13" s="836"/>
      <c r="N13" s="686"/>
      <c r="O13" s="830"/>
      <c r="P13" s="831"/>
      <c r="Q13" s="670"/>
      <c r="R13" s="752" t="str">
        <f>IF($F13="","",'Variable Costs (Back)'!$A22)</f>
        <v/>
      </c>
      <c r="S13" s="677" t="str">
        <f t="shared" si="6"/>
        <v/>
      </c>
      <c r="T13" s="56" t="str">
        <f t="shared" si="2"/>
        <v/>
      </c>
      <c r="U13" s="56" t="str">
        <f t="shared" si="3"/>
        <v/>
      </c>
      <c r="V13" s="56" t="str">
        <f t="shared" si="7"/>
        <v/>
      </c>
      <c r="W13" s="140">
        <f t="shared" si="8"/>
        <v>0</v>
      </c>
      <c r="X13">
        <f>IF($G13="New Store",COUNTIF($G$6:$G$15,"New Store")-COUNTIF($G14:$G$15,"New Store"),0)</f>
        <v>0</v>
      </c>
      <c r="Y13" t="str">
        <f t="shared" si="4"/>
        <v/>
      </c>
      <c r="Z13" s="2" t="str">
        <f t="shared" si="5"/>
        <v/>
      </c>
      <c r="AA13" s="140"/>
      <c r="AC13" s="140"/>
      <c r="AD13" s="140"/>
      <c r="AE13" s="140"/>
      <c r="AF13" s="140" t="b">
        <f>NOT(ISERROR(IFERROR(VLOOKUP($G13&amp;"",'HOS_Modellable Customers'!$A:$A,1,0),VLOOKUP($G13,'HOS_Modellable Customers'!$A:$A,1,0))))</f>
        <v>0</v>
      </c>
      <c r="AG13" s="140" t="b">
        <f>NOT(ISERROR(IFERROR(VLOOKUP($G13&amp;"",'Modellable Customers'!$A:$A,1,0),VLOOKUP($G13,'Modellable Customers'!$A:$A,1,0))))</f>
        <v>0</v>
      </c>
      <c r="AH13" s="140" t="b">
        <f t="shared" ref="AH13:AH15" si="11">IF(H13="Enter Spend&gt;&gt;&gt;",TRUE,FALSE)</f>
        <v>0</v>
      </c>
      <c r="AI13" s="140" t="str">
        <f t="shared" si="10"/>
        <v>CLEAR</v>
      </c>
      <c r="AJ13" s="140"/>
      <c r="AK13" s="140"/>
      <c r="AL13" s="140"/>
      <c r="AM13" s="140"/>
      <c r="AN13" s="140"/>
      <c r="AO13" s="140"/>
      <c r="AP13" s="140"/>
      <c r="AQ13" s="140"/>
      <c r="AR13" s="140"/>
      <c r="AS13" s="140"/>
      <c r="AT13" s="140"/>
      <c r="AU13" s="140"/>
      <c r="AV13" s="140"/>
      <c r="AW13" s="140"/>
    </row>
    <row r="14" spans="1:49" x14ac:dyDescent="0.25">
      <c r="A14" t="str">
        <f t="shared" si="0"/>
        <v/>
      </c>
      <c r="B14">
        <f t="shared" si="1"/>
        <v>0</v>
      </c>
      <c r="C14" s="147">
        <v>9</v>
      </c>
      <c r="D14" s="147"/>
      <c r="E14" s="753"/>
      <c r="F14" s="663" t="str">
        <f>IF(Welcome!$D$14="Select # of Locations","",IF($C14&lt;=Welcome!$D$14,$C14,""))</f>
        <v/>
      </c>
      <c r="G14" s="665"/>
      <c r="H14" s="666" t="str">
        <f>IF($C$4&gt;=$C14,IF(SUMIF('Existing Customers'!$A:$A,'Customer Inputs'!$G14,'Existing Customers'!$Q:$Q)=0,"Enter Spend&gt;&gt;&gt;",ROUND(SUMIF('Existing Customers'!$A:$A,'Customer Inputs'!$G14,'Existing Customers'!$Q:$Q),0)),"")</f>
        <v/>
      </c>
      <c r="I14" s="667" t="str">
        <f>IF($F14="","",'Multi-Customer'!$DO47)</f>
        <v/>
      </c>
      <c r="J14" s="708" t="str">
        <f>IF($F14="","",IFERROR(VLOOKUP($G14,'Existing Customers'!$A:$F,6,FALSE),"Enter Menu Type&gt;&gt;"))</f>
        <v/>
      </c>
      <c r="K14" s="808" t="str">
        <f>IFERROR(IF($C$4&gt;=$C14,VLOOKUP($G14,'Existing Customers'!$A:$J,10,FALSE),""),"Enter Zip Code &gt;")</f>
        <v/>
      </c>
      <c r="L14" s="826" t="str">
        <f>IF($F14="","",'Multi-Customer'!$DO48)</f>
        <v/>
      </c>
      <c r="M14" s="836"/>
      <c r="N14" s="686"/>
      <c r="O14" s="830"/>
      <c r="P14" s="831"/>
      <c r="Q14" s="670"/>
      <c r="R14" s="752" t="str">
        <f>IF($F14="","",'Variable Costs (Back)'!$A23)</f>
        <v/>
      </c>
      <c r="S14" s="677" t="str">
        <f t="shared" si="6"/>
        <v/>
      </c>
      <c r="T14" s="56" t="str">
        <f t="shared" si="2"/>
        <v/>
      </c>
      <c r="U14" s="56" t="str">
        <f t="shared" si="3"/>
        <v/>
      </c>
      <c r="V14" s="56" t="str">
        <f t="shared" si="7"/>
        <v/>
      </c>
      <c r="W14" s="140">
        <f t="shared" si="8"/>
        <v>0</v>
      </c>
      <c r="X14">
        <f>IF($G14="New Store",COUNTIF($G$6:$G$15,"New Store")-COUNTIF($G15:$G$15,"New Store"),0)</f>
        <v>0</v>
      </c>
      <c r="Y14" t="str">
        <f t="shared" si="4"/>
        <v/>
      </c>
      <c r="Z14" s="2" t="str">
        <f t="shared" si="5"/>
        <v/>
      </c>
      <c r="AA14" s="140"/>
      <c r="AC14" s="140"/>
      <c r="AD14" s="140"/>
      <c r="AE14" s="140"/>
      <c r="AF14" s="140" t="b">
        <f>NOT(ISERROR(IFERROR(VLOOKUP($G14&amp;"",'HOS_Modellable Customers'!$A:$A,1,0),VLOOKUP($G14,'HOS_Modellable Customers'!$A:$A,1,0))))</f>
        <v>0</v>
      </c>
      <c r="AG14" s="140" t="b">
        <f>NOT(ISERROR(IFERROR(VLOOKUP($G14&amp;"",'Modellable Customers'!$A:$A,1,0),VLOOKUP($G14,'Modellable Customers'!$A:$A,1,0))))</f>
        <v>0</v>
      </c>
      <c r="AH14" s="140" t="b">
        <f t="shared" si="11"/>
        <v>0</v>
      </c>
      <c r="AI14" s="140" t="str">
        <f t="shared" si="10"/>
        <v>CLEAR</v>
      </c>
      <c r="AJ14" s="140"/>
      <c r="AK14" s="140"/>
      <c r="AL14" s="140"/>
      <c r="AM14" s="140"/>
      <c r="AN14" s="140"/>
      <c r="AO14" s="140"/>
      <c r="AP14" s="140"/>
      <c r="AQ14" s="140"/>
      <c r="AR14" s="140"/>
      <c r="AS14" s="140"/>
      <c r="AT14" s="140"/>
      <c r="AU14" s="140"/>
      <c r="AV14" s="140"/>
      <c r="AW14" s="140"/>
    </row>
    <row r="15" spans="1:49" ht="15.75" thickBot="1" x14ac:dyDescent="0.3">
      <c r="A15" t="str">
        <f t="shared" si="0"/>
        <v/>
      </c>
      <c r="B15">
        <f t="shared" si="1"/>
        <v>0</v>
      </c>
      <c r="C15" s="147">
        <v>10</v>
      </c>
      <c r="D15" s="147"/>
      <c r="E15" s="753"/>
      <c r="F15" s="664" t="str">
        <f>IF(Welcome!$D$14="Select # of Locations","",IF($C15&lt;=Welcome!$D$14,$C15,""))</f>
        <v/>
      </c>
      <c r="G15" s="815"/>
      <c r="H15" s="668" t="str">
        <f>IF($C$4&gt;=$C15,IF(SUMIF('Existing Customers'!$A:$A,'Customer Inputs'!$G15,'Existing Customers'!$Q:$Q)=0,"Enter Spend&gt;&gt;&gt;",ROUND(SUMIF('Existing Customers'!$A:$A,'Customer Inputs'!$G15,'Existing Customers'!$Q:$Q),0)),"")</f>
        <v/>
      </c>
      <c r="I15" s="669" t="str">
        <f>IF($F15="","",'Multi-Customer'!$DX47)</f>
        <v/>
      </c>
      <c r="J15" s="709" t="str">
        <f>IF($F15="","",IFERROR(VLOOKUP($G15,'Existing Customers'!$A:$F,6,FALSE),"Enter Menu Type&gt;&gt;"))</f>
        <v/>
      </c>
      <c r="K15" s="809" t="str">
        <f>IFERROR(IF($C$4&gt;=$C15,VLOOKUP($G15,'Existing Customers'!$A:$J,10,FALSE),""),"Enter Zip Code &gt;")</f>
        <v/>
      </c>
      <c r="L15" s="822" t="str">
        <f>IF($F15="","",'Multi-Customer'!$DX48)</f>
        <v/>
      </c>
      <c r="M15" s="837"/>
      <c r="N15" s="687"/>
      <c r="O15" s="838"/>
      <c r="P15" s="839"/>
      <c r="Q15" s="671"/>
      <c r="R15" s="752" t="str">
        <f>IF($F15="","",'Variable Costs (Back)'!$A24)</f>
        <v/>
      </c>
      <c r="S15" s="677" t="str">
        <f t="shared" si="6"/>
        <v/>
      </c>
      <c r="T15" s="56" t="str">
        <f t="shared" si="2"/>
        <v/>
      </c>
      <c r="U15" s="56" t="str">
        <f t="shared" si="3"/>
        <v/>
      </c>
      <c r="V15" s="56" t="str">
        <f t="shared" si="7"/>
        <v/>
      </c>
      <c r="W15" s="140">
        <f t="shared" si="8"/>
        <v>0</v>
      </c>
      <c r="X15">
        <f>IF(IF($G15="New Store",COUNTIF($G$6:$G$15,"New Store")-COUNTIF($G$15:$G16,"New Store"),0)=9,10,9)</f>
        <v>9</v>
      </c>
      <c r="Y15" t="str">
        <f t="shared" si="4"/>
        <v/>
      </c>
      <c r="Z15" s="2" t="str">
        <f t="shared" si="5"/>
        <v/>
      </c>
      <c r="AA15" s="140"/>
      <c r="AB15" s="140"/>
      <c r="AC15" s="140"/>
      <c r="AD15" s="140"/>
      <c r="AE15" s="140"/>
      <c r="AF15" s="140" t="b">
        <f>NOT(ISERROR(IFERROR(VLOOKUP($G15&amp;"",'HOS_Modellable Customers'!$A:$A,1,0),VLOOKUP($G15,'HOS_Modellable Customers'!$A:$A,1,0))))</f>
        <v>0</v>
      </c>
      <c r="AG15" s="140" t="b">
        <f>NOT(ISERROR(IFERROR(VLOOKUP($G15&amp;"",'Modellable Customers'!$A:$A,1,0),VLOOKUP($G15,'Modellable Customers'!$A:$A,1,0))))</f>
        <v>0</v>
      </c>
      <c r="AH15" s="140" t="b">
        <f t="shared" si="11"/>
        <v>0</v>
      </c>
      <c r="AI15" s="140" t="str">
        <f t="shared" si="10"/>
        <v>CLEAR</v>
      </c>
      <c r="AJ15" s="140"/>
      <c r="AK15" s="140"/>
      <c r="AL15" s="140"/>
      <c r="AM15" s="140"/>
      <c r="AN15" s="140"/>
      <c r="AO15" s="140"/>
      <c r="AP15" s="140"/>
      <c r="AQ15" s="140"/>
      <c r="AR15" s="140"/>
      <c r="AS15" s="140"/>
      <c r="AT15" s="140"/>
      <c r="AU15" s="140"/>
      <c r="AV15" s="140"/>
      <c r="AW15" s="140"/>
    </row>
    <row r="16" spans="1:49" ht="15.75" thickBot="1" x14ac:dyDescent="0.3">
      <c r="E16" s="680"/>
      <c r="F16" s="817"/>
      <c r="G16" s="817"/>
      <c r="H16" s="821"/>
      <c r="I16" s="817"/>
      <c r="J16" s="817"/>
      <c r="K16" s="817"/>
      <c r="L16" s="817"/>
      <c r="M16" s="817"/>
      <c r="N16" s="817"/>
      <c r="O16" s="817"/>
      <c r="P16" s="817"/>
      <c r="Q16" s="817"/>
      <c r="R16" s="681"/>
      <c r="S16" s="140">
        <f>COUNTIF($S$6:$S$15,"Enter Drops &gt;")</f>
        <v>0</v>
      </c>
      <c r="T16" s="140"/>
      <c r="U16" s="140"/>
      <c r="V16" s="741">
        <f>COUNTIF($V$6:$V$15,"Enter EB % &gt;")</f>
        <v>0</v>
      </c>
      <c r="W16" s="140">
        <f>SUM(W6:W15)</f>
        <v>0</v>
      </c>
      <c r="X16" s="140"/>
      <c r="Y16" s="140"/>
      <c r="Z16" s="140"/>
      <c r="AA16" s="140"/>
      <c r="AB16" s="140"/>
      <c r="AC16" s="140"/>
      <c r="AD16" s="140"/>
      <c r="AE16" s="140"/>
      <c r="AF16" s="140"/>
      <c r="AG16" s="140"/>
      <c r="AH16" s="140"/>
      <c r="AI16" s="140"/>
      <c r="AJ16" s="140"/>
      <c r="AK16" s="140"/>
      <c r="AL16" s="140"/>
      <c r="AM16" s="140"/>
      <c r="AN16" s="140"/>
      <c r="AO16" s="140"/>
      <c r="AP16" s="140"/>
      <c r="AQ16" s="140"/>
      <c r="AR16" s="140"/>
      <c r="AS16" s="140"/>
      <c r="AT16" s="140"/>
      <c r="AU16" s="140"/>
      <c r="AV16" s="140"/>
      <c r="AW16" s="140"/>
    </row>
    <row r="17" spans="5:49" ht="14.45" customHeight="1" x14ac:dyDescent="0.25">
      <c r="E17" s="680"/>
      <c r="F17" s="817"/>
      <c r="G17" s="1074" t="s">
        <v>958</v>
      </c>
      <c r="H17" s="1072">
        <f>SUM($H$6:$H$15)</f>
        <v>0</v>
      </c>
      <c r="I17" s="817"/>
      <c r="J17" s="817"/>
      <c r="K17" s="1076" t="s">
        <v>957</v>
      </c>
      <c r="L17" s="1077"/>
      <c r="M17" s="1072">
        <f>SUMIF($F$6:$F$15,"&gt;0",$M$6:$M$15)</f>
        <v>0</v>
      </c>
      <c r="N17" s="1080" t="str">
        <f>IF(Welcome!$D$14="Select # of Locations","",IF(AND(Welcome!D8="Incentive Only",M17&lt;150000),"Annual sales must exceed $150,000 for ALC",IF(AND(OR(Welcome!D8="MDA",Welcome!D8="PON ONLY",Welcome!D8="PON W/ INCENTIVE"),M17&lt;250000),"Annual sales must exceed $250,000 for ALC",IF(M17&gt;2500000,"Annual sales cannot exceed $2.5M for ALC",""))))</f>
        <v/>
      </c>
      <c r="O17" s="1081"/>
      <c r="P17" s="817"/>
      <c r="Q17" s="817"/>
      <c r="R17" s="681"/>
      <c r="S17" s="140"/>
      <c r="T17" s="140"/>
      <c r="U17" s="140"/>
      <c r="V17" s="140"/>
      <c r="W17" s="140" t="s">
        <v>1105</v>
      </c>
      <c r="X17" s="140"/>
      <c r="Y17" s="140"/>
      <c r="Z17" s="140"/>
      <c r="AA17" s="140"/>
      <c r="AB17" s="140"/>
      <c r="AC17" s="140"/>
      <c r="AD17" s="140"/>
      <c r="AE17" s="140"/>
      <c r="AF17" s="140"/>
      <c r="AG17" s="140"/>
      <c r="AH17" s="140"/>
      <c r="AI17" s="140"/>
      <c r="AJ17" s="140"/>
      <c r="AK17" s="140"/>
      <c r="AL17" s="140"/>
      <c r="AM17" s="140"/>
      <c r="AN17" s="140"/>
      <c r="AO17" s="140"/>
      <c r="AP17" s="140"/>
      <c r="AQ17" s="140"/>
      <c r="AR17" s="140"/>
      <c r="AS17" s="140"/>
      <c r="AT17" s="140"/>
      <c r="AU17" s="140"/>
      <c r="AV17" s="140"/>
      <c r="AW17" s="140"/>
    </row>
    <row r="18" spans="5:49" ht="15.75" thickBot="1" x14ac:dyDescent="0.3">
      <c r="E18" s="680"/>
      <c r="F18" s="817"/>
      <c r="G18" s="1075"/>
      <c r="H18" s="1073"/>
      <c r="I18" s="817"/>
      <c r="J18" s="817"/>
      <c r="K18" s="1078"/>
      <c r="L18" s="1079"/>
      <c r="M18" s="1073"/>
      <c r="N18" s="1080"/>
      <c r="O18" s="1081"/>
      <c r="P18" s="817"/>
      <c r="Q18" s="817"/>
      <c r="R18" s="681"/>
      <c r="S18" s="140"/>
      <c r="T18" s="140"/>
      <c r="U18" s="140"/>
      <c r="V18" s="140"/>
      <c r="W18" s="140"/>
      <c r="X18" s="140"/>
      <c r="Y18" s="140"/>
      <c r="Z18" s="140"/>
      <c r="AA18" s="140"/>
      <c r="AB18" s="140"/>
      <c r="AC18" s="140"/>
      <c r="AD18" s="140"/>
      <c r="AE18" s="140"/>
      <c r="AF18" s="140"/>
      <c r="AG18" s="140"/>
      <c r="AH18" s="140"/>
      <c r="AI18" s="140"/>
      <c r="AJ18" s="140"/>
      <c r="AK18" s="140"/>
      <c r="AL18" s="140"/>
      <c r="AM18" s="140"/>
      <c r="AN18" s="140"/>
      <c r="AO18" s="140"/>
      <c r="AP18" s="140"/>
      <c r="AQ18" s="140"/>
      <c r="AR18" s="140"/>
      <c r="AS18" s="140"/>
      <c r="AT18" s="140"/>
      <c r="AU18" s="140"/>
      <c r="AV18" s="140"/>
      <c r="AW18" s="140"/>
    </row>
    <row r="19" spans="5:49" ht="19.149999999999999" customHeight="1" thickBot="1" x14ac:dyDescent="0.3">
      <c r="E19" s="682"/>
      <c r="F19" s="683"/>
      <c r="G19" s="683"/>
      <c r="H19" s="683"/>
      <c r="I19" s="683"/>
      <c r="J19" s="683"/>
      <c r="K19" s="722"/>
      <c r="L19" s="292"/>
      <c r="M19" s="723"/>
      <c r="N19" s="723"/>
      <c r="O19" s="683"/>
      <c r="P19" s="683"/>
      <c r="Q19" s="683"/>
      <c r="R19" s="684"/>
      <c r="S19" s="140"/>
      <c r="T19" s="140"/>
      <c r="U19" s="140"/>
      <c r="V19" s="140"/>
      <c r="W19" s="140"/>
      <c r="X19" s="140"/>
      <c r="Y19" s="140"/>
      <c r="Z19" s="140"/>
      <c r="AA19" s="140"/>
      <c r="AB19" s="140"/>
      <c r="AC19" s="140"/>
      <c r="AD19" s="140"/>
      <c r="AE19" s="140"/>
      <c r="AF19" s="140"/>
      <c r="AG19" s="140"/>
      <c r="AH19" s="140"/>
      <c r="AI19" s="140"/>
      <c r="AJ19" s="140"/>
      <c r="AK19" s="140"/>
      <c r="AL19" s="140"/>
      <c r="AM19" s="140"/>
      <c r="AN19" s="140"/>
      <c r="AO19" s="140"/>
      <c r="AP19" s="140"/>
      <c r="AQ19" s="140"/>
      <c r="AR19" s="140"/>
      <c r="AS19" s="140"/>
      <c r="AT19" s="140"/>
      <c r="AU19" s="140"/>
      <c r="AV19" s="140"/>
      <c r="AW19" s="140"/>
    </row>
    <row r="20" spans="5:49" x14ac:dyDescent="0.25">
      <c r="E20" s="140"/>
      <c r="F20" s="140"/>
      <c r="G20" s="140"/>
      <c r="H20" s="140"/>
      <c r="I20" s="140"/>
      <c r="J20" s="140"/>
      <c r="K20" s="140"/>
      <c r="L20" s="140"/>
      <c r="M20" s="140"/>
      <c r="N20" s="140"/>
      <c r="O20" s="140"/>
      <c r="P20" s="140"/>
      <c r="Q20" s="140"/>
      <c r="R20" s="140"/>
      <c r="S20" s="140"/>
      <c r="T20" s="140"/>
      <c r="U20" s="140"/>
      <c r="V20" s="140"/>
      <c r="W20" s="140"/>
      <c r="X20" s="140"/>
      <c r="Y20" s="140"/>
      <c r="Z20" s="140"/>
      <c r="AA20" s="140"/>
      <c r="AB20" s="140"/>
      <c r="AC20" s="140"/>
      <c r="AD20" s="140"/>
      <c r="AE20" s="140"/>
      <c r="AF20" s="140"/>
      <c r="AG20" s="140"/>
      <c r="AH20" s="140"/>
      <c r="AI20" s="140"/>
      <c r="AJ20" s="140"/>
      <c r="AK20" s="140"/>
      <c r="AL20" s="140"/>
      <c r="AM20" s="140"/>
      <c r="AN20" s="140"/>
      <c r="AO20" s="140"/>
      <c r="AP20" s="140"/>
      <c r="AQ20" s="140"/>
      <c r="AR20" s="140"/>
      <c r="AS20" s="140"/>
      <c r="AT20" s="140"/>
      <c r="AU20" s="140"/>
      <c r="AV20" s="140"/>
      <c r="AW20" s="140"/>
    </row>
    <row r="21" spans="5:49" ht="15" customHeight="1" x14ac:dyDescent="0.25">
      <c r="E21" s="140"/>
      <c r="F21" s="140"/>
      <c r="G21" s="140"/>
      <c r="H21" s="140"/>
      <c r="I21" s="140"/>
      <c r="J21" s="140"/>
      <c r="K21" s="140"/>
      <c r="L21" s="140"/>
      <c r="M21" s="140"/>
      <c r="N21" s="140"/>
      <c r="O21" s="140"/>
      <c r="P21" s="140"/>
      <c r="Q21" s="140"/>
      <c r="R21" s="140"/>
      <c r="S21" s="140"/>
      <c r="T21" s="140"/>
      <c r="U21" s="140"/>
      <c r="V21" s="140"/>
      <c r="W21" s="140"/>
      <c r="X21" s="140"/>
      <c r="Y21" s="140"/>
      <c r="Z21" s="140"/>
      <c r="AA21" s="140"/>
      <c r="AB21" s="140"/>
      <c r="AC21" s="140"/>
      <c r="AD21" s="140"/>
      <c r="AE21" s="140"/>
      <c r="AF21" s="140"/>
      <c r="AG21" s="140"/>
      <c r="AH21" s="140"/>
      <c r="AI21" s="140"/>
      <c r="AJ21" s="140"/>
      <c r="AK21" s="140"/>
      <c r="AL21" s="140"/>
      <c r="AM21" s="140"/>
      <c r="AN21" s="140"/>
      <c r="AO21" s="140"/>
      <c r="AP21" s="140"/>
      <c r="AQ21" s="140"/>
      <c r="AR21" s="140"/>
      <c r="AS21" s="140"/>
      <c r="AT21" s="140"/>
      <c r="AU21" s="140"/>
      <c r="AV21" s="140"/>
      <c r="AW21" s="140"/>
    </row>
    <row r="22" spans="5:49" x14ac:dyDescent="0.25">
      <c r="E22" s="140"/>
      <c r="F22" s="140"/>
      <c r="G22" s="140"/>
      <c r="H22" s="140"/>
      <c r="I22" s="140"/>
      <c r="J22" s="140"/>
      <c r="K22" s="140"/>
      <c r="L22" s="140"/>
      <c r="M22" s="140"/>
      <c r="N22" s="140"/>
      <c r="O22" s="140"/>
      <c r="P22" s="140"/>
      <c r="Q22" s="140"/>
      <c r="R22" s="140"/>
      <c r="S22" s="140"/>
      <c r="T22" s="140"/>
      <c r="U22" s="140"/>
      <c r="V22" s="140"/>
      <c r="W22" s="140"/>
      <c r="X22" s="140"/>
      <c r="Y22" s="140"/>
      <c r="Z22" s="140"/>
      <c r="AA22" s="140"/>
      <c r="AB22" s="140"/>
      <c r="AC22" s="140"/>
      <c r="AD22" s="140"/>
      <c r="AE22" s="140"/>
      <c r="AF22" s="140"/>
      <c r="AG22" s="140"/>
      <c r="AH22" s="140"/>
      <c r="AI22" s="140"/>
      <c r="AJ22" s="140"/>
      <c r="AK22" s="140"/>
      <c r="AL22" s="140"/>
      <c r="AM22" s="140"/>
      <c r="AN22" s="140"/>
      <c r="AO22" s="140"/>
      <c r="AP22" s="140"/>
      <c r="AQ22" s="140"/>
      <c r="AR22" s="140"/>
      <c r="AS22" s="140"/>
      <c r="AT22" s="140"/>
      <c r="AU22" s="140"/>
      <c r="AV22" s="140"/>
      <c r="AW22" s="140"/>
    </row>
    <row r="23" spans="5:49" x14ac:dyDescent="0.25">
      <c r="E23" s="140"/>
      <c r="F23" s="140"/>
      <c r="G23" s="140"/>
      <c r="H23" s="140"/>
      <c r="I23" s="140"/>
      <c r="J23" s="140"/>
      <c r="K23" s="140"/>
      <c r="L23" s="140"/>
      <c r="M23" s="140"/>
      <c r="N23" s="140"/>
      <c r="O23" s="140"/>
      <c r="P23" s="140"/>
      <c r="Q23" s="140"/>
      <c r="R23" s="140"/>
      <c r="S23" s="140"/>
      <c r="T23" s="140"/>
      <c r="U23" s="140"/>
      <c r="V23" s="140"/>
      <c r="W23" s="140"/>
      <c r="X23" s="140"/>
      <c r="Y23" s="140"/>
      <c r="Z23" s="140"/>
      <c r="AA23" s="140"/>
      <c r="AB23" s="140"/>
      <c r="AC23" s="140"/>
      <c r="AD23" s="140"/>
      <c r="AE23" s="140"/>
      <c r="AF23" s="140"/>
      <c r="AG23" s="140"/>
      <c r="AH23" s="140"/>
      <c r="AI23" s="140"/>
      <c r="AJ23" s="140"/>
      <c r="AK23" s="140"/>
      <c r="AL23" s="140"/>
      <c r="AM23" s="140"/>
      <c r="AN23" s="140"/>
      <c r="AO23" s="140"/>
      <c r="AP23" s="140"/>
      <c r="AQ23" s="140"/>
      <c r="AR23" s="140"/>
      <c r="AS23" s="140"/>
      <c r="AT23" s="140"/>
      <c r="AU23" s="140"/>
      <c r="AV23" s="140"/>
      <c r="AW23" s="140"/>
    </row>
    <row r="24" spans="5:49" x14ac:dyDescent="0.25">
      <c r="E24" s="140"/>
      <c r="F24" s="140"/>
      <c r="G24" s="140"/>
      <c r="H24" s="140"/>
      <c r="I24" s="140"/>
      <c r="J24" s="140"/>
      <c r="K24" s="140"/>
      <c r="L24" s="140"/>
      <c r="M24" s="140"/>
      <c r="N24" s="140"/>
      <c r="O24" s="140"/>
      <c r="P24" s="140"/>
      <c r="Q24" s="140"/>
      <c r="R24" s="140"/>
      <c r="S24" s="140"/>
      <c r="T24" s="140"/>
      <c r="U24" s="140"/>
      <c r="V24" s="140"/>
      <c r="W24" s="140"/>
      <c r="X24" s="140"/>
      <c r="Y24" s="140"/>
      <c r="Z24" s="140"/>
      <c r="AA24" s="140"/>
      <c r="AB24" s="140"/>
      <c r="AC24" s="140"/>
      <c r="AD24" s="140"/>
      <c r="AE24" s="140"/>
      <c r="AF24" s="140"/>
      <c r="AG24" s="140"/>
      <c r="AH24" s="140"/>
      <c r="AI24" s="140"/>
      <c r="AJ24" s="140"/>
      <c r="AK24" s="140"/>
      <c r="AL24" s="140"/>
      <c r="AM24" s="140"/>
      <c r="AN24" s="140"/>
      <c r="AO24" s="140"/>
      <c r="AP24" s="140"/>
      <c r="AQ24" s="140"/>
      <c r="AR24" s="140"/>
      <c r="AS24" s="140"/>
      <c r="AT24" s="140"/>
      <c r="AU24" s="140"/>
      <c r="AV24" s="140"/>
      <c r="AW24" s="140"/>
    </row>
    <row r="25" spans="5:49" x14ac:dyDescent="0.25">
      <c r="E25" s="140"/>
      <c r="F25" s="140"/>
      <c r="G25" s="140"/>
      <c r="H25" s="140"/>
      <c r="I25" s="140"/>
      <c r="J25" s="140"/>
      <c r="K25" s="140"/>
      <c r="L25" s="140"/>
      <c r="M25" s="140"/>
      <c r="N25" s="140"/>
      <c r="O25" s="140"/>
      <c r="P25" s="140"/>
      <c r="Q25" s="140"/>
      <c r="R25" s="140"/>
      <c r="S25" s="140"/>
      <c r="T25" s="140"/>
      <c r="U25" s="140"/>
      <c r="V25" s="140"/>
      <c r="W25" s="140"/>
      <c r="X25" s="140"/>
      <c r="Y25" s="140"/>
      <c r="Z25" s="140"/>
      <c r="AA25" s="140"/>
      <c r="AB25" s="140"/>
      <c r="AC25" s="140"/>
      <c r="AD25" s="140"/>
      <c r="AE25" s="140"/>
      <c r="AF25" s="140"/>
      <c r="AG25" s="140"/>
      <c r="AH25" s="140"/>
      <c r="AI25" s="140"/>
      <c r="AJ25" s="140"/>
      <c r="AK25" s="140"/>
      <c r="AL25" s="140"/>
      <c r="AM25" s="140"/>
      <c r="AN25" s="140"/>
      <c r="AO25" s="140"/>
      <c r="AP25" s="140"/>
      <c r="AQ25" s="140"/>
      <c r="AR25" s="140"/>
      <c r="AS25" s="140"/>
      <c r="AT25" s="140"/>
      <c r="AU25" s="140"/>
      <c r="AV25" s="140"/>
      <c r="AW25" s="140"/>
    </row>
    <row r="26" spans="5:49" x14ac:dyDescent="0.25">
      <c r="E26" s="140"/>
      <c r="F26" s="140"/>
      <c r="G26" s="140"/>
      <c r="H26" s="140"/>
      <c r="I26" s="140"/>
      <c r="J26" s="140"/>
      <c r="K26" s="140"/>
      <c r="L26" s="140"/>
      <c r="M26" s="140"/>
      <c r="N26" s="140"/>
      <c r="O26" s="140"/>
      <c r="P26" s="140"/>
      <c r="Q26" s="140"/>
      <c r="R26" s="140"/>
      <c r="S26" s="140"/>
      <c r="T26" s="140"/>
      <c r="U26" s="140"/>
      <c r="V26" s="140"/>
      <c r="W26" s="140"/>
      <c r="X26" s="140"/>
      <c r="Y26" s="140"/>
      <c r="Z26" s="140"/>
      <c r="AA26" s="140"/>
      <c r="AB26" s="140"/>
      <c r="AC26" s="140"/>
      <c r="AD26" s="140"/>
      <c r="AE26" s="140"/>
      <c r="AF26" s="140"/>
      <c r="AG26" s="140"/>
      <c r="AH26" s="140"/>
      <c r="AI26" s="140"/>
      <c r="AJ26" s="140"/>
      <c r="AK26" s="140"/>
      <c r="AL26" s="140"/>
      <c r="AM26" s="140"/>
      <c r="AN26" s="140"/>
      <c r="AO26" s="140"/>
      <c r="AP26" s="140"/>
      <c r="AQ26" s="140"/>
      <c r="AR26" s="140"/>
      <c r="AS26" s="140"/>
      <c r="AT26" s="140"/>
      <c r="AU26" s="140"/>
      <c r="AV26" s="140"/>
      <c r="AW26" s="140"/>
    </row>
    <row r="27" spans="5:49" x14ac:dyDescent="0.25">
      <c r="E27" s="140"/>
      <c r="F27" s="140"/>
      <c r="G27" s="140"/>
      <c r="H27" s="140"/>
      <c r="I27" s="140"/>
      <c r="J27" s="140"/>
      <c r="K27" s="140"/>
      <c r="L27" s="140"/>
      <c r="M27" s="140"/>
      <c r="N27" s="140"/>
      <c r="O27" s="140"/>
      <c r="P27" s="140"/>
      <c r="Q27" s="140"/>
      <c r="R27" s="140"/>
      <c r="S27" s="140"/>
      <c r="T27" s="140"/>
      <c r="U27" s="140"/>
      <c r="V27" s="140"/>
      <c r="W27" s="140"/>
      <c r="X27" s="140"/>
      <c r="Y27" s="140"/>
      <c r="Z27" s="140"/>
      <c r="AA27" s="140"/>
      <c r="AB27" s="140"/>
      <c r="AC27" s="140"/>
      <c r="AD27" s="140"/>
      <c r="AE27" s="140"/>
      <c r="AF27" s="140"/>
      <c r="AG27" s="140"/>
      <c r="AH27" s="140"/>
      <c r="AI27" s="140"/>
      <c r="AJ27" s="140"/>
      <c r="AK27" s="140"/>
      <c r="AL27" s="140"/>
      <c r="AM27" s="140"/>
      <c r="AN27" s="140"/>
      <c r="AO27" s="140"/>
      <c r="AP27" s="140"/>
      <c r="AQ27" s="140"/>
      <c r="AR27" s="140"/>
      <c r="AS27" s="140"/>
      <c r="AT27" s="140"/>
      <c r="AU27" s="140"/>
      <c r="AV27" s="140"/>
      <c r="AW27" s="140"/>
    </row>
    <row r="28" spans="5:49" x14ac:dyDescent="0.25">
      <c r="E28" s="140"/>
      <c r="F28" s="140"/>
      <c r="G28" s="140"/>
      <c r="H28" s="140"/>
      <c r="I28" s="140"/>
      <c r="J28" s="140"/>
      <c r="K28" s="140"/>
      <c r="L28" s="140"/>
      <c r="M28" s="140"/>
      <c r="N28" s="140"/>
      <c r="O28" s="140"/>
      <c r="P28" s="140"/>
      <c r="Q28" s="140"/>
      <c r="R28" s="140"/>
      <c r="S28" s="140"/>
      <c r="T28" s="140"/>
      <c r="U28" s="140"/>
      <c r="V28" s="140"/>
      <c r="W28" s="140"/>
      <c r="X28" s="140"/>
      <c r="Y28" s="140"/>
      <c r="Z28" s="140"/>
      <c r="AA28" s="140"/>
      <c r="AB28" s="140"/>
      <c r="AC28" s="140"/>
      <c r="AD28" s="140"/>
      <c r="AE28" s="140"/>
      <c r="AF28" s="140"/>
      <c r="AG28" s="140"/>
      <c r="AH28" s="140"/>
      <c r="AI28" s="140"/>
      <c r="AJ28" s="140"/>
      <c r="AK28" s="140"/>
      <c r="AL28" s="140"/>
      <c r="AM28" s="140"/>
      <c r="AN28" s="140"/>
      <c r="AO28" s="140"/>
      <c r="AP28" s="140"/>
      <c r="AQ28" s="140"/>
      <c r="AR28" s="140"/>
      <c r="AS28" s="140"/>
      <c r="AT28" s="140"/>
      <c r="AU28" s="140"/>
      <c r="AV28" s="140"/>
      <c r="AW28" s="140"/>
    </row>
    <row r="29" spans="5:49" x14ac:dyDescent="0.25">
      <c r="E29" s="140"/>
      <c r="F29" s="140"/>
      <c r="G29" s="140"/>
      <c r="H29" s="140"/>
      <c r="I29" s="140"/>
      <c r="J29" s="140"/>
      <c r="K29" s="140"/>
      <c r="L29" s="140"/>
      <c r="M29" s="140"/>
      <c r="N29" s="140"/>
      <c r="O29" s="140"/>
      <c r="P29" s="140"/>
      <c r="Q29" s="140"/>
      <c r="R29" s="140"/>
      <c r="S29" s="140"/>
      <c r="T29" s="140"/>
      <c r="U29" s="140"/>
      <c r="V29" s="140"/>
      <c r="W29" s="140"/>
      <c r="X29" s="140"/>
      <c r="Y29" s="140"/>
      <c r="Z29" s="140"/>
      <c r="AA29" s="140"/>
      <c r="AB29" s="140"/>
      <c r="AC29" s="140"/>
      <c r="AD29" s="140"/>
      <c r="AE29" s="140"/>
      <c r="AF29" s="140"/>
      <c r="AG29" s="140"/>
      <c r="AH29" s="140"/>
      <c r="AI29" s="140"/>
      <c r="AJ29" s="140"/>
      <c r="AK29" s="140"/>
      <c r="AL29" s="140"/>
      <c r="AM29" s="140"/>
      <c r="AN29" s="140"/>
      <c r="AO29" s="140"/>
      <c r="AP29" s="140"/>
      <c r="AQ29" s="140"/>
      <c r="AR29" s="140"/>
      <c r="AS29" s="140"/>
      <c r="AT29" s="140"/>
      <c r="AU29" s="140"/>
      <c r="AV29" s="140"/>
      <c r="AW29" s="140"/>
    </row>
    <row r="30" spans="5:49" x14ac:dyDescent="0.25">
      <c r="E30" s="140"/>
      <c r="F30" s="140"/>
      <c r="G30" s="140"/>
      <c r="H30" s="140"/>
      <c r="I30" s="140"/>
      <c r="J30" s="140"/>
      <c r="K30" s="140"/>
      <c r="L30" s="140"/>
      <c r="M30" s="140"/>
      <c r="N30" s="140"/>
      <c r="O30" s="140"/>
      <c r="P30" s="140"/>
      <c r="Q30" s="140"/>
      <c r="R30" s="140"/>
      <c r="S30" s="140"/>
      <c r="T30" s="140"/>
      <c r="U30" s="140"/>
      <c r="V30" s="140"/>
      <c r="W30" s="140"/>
      <c r="X30" s="140"/>
      <c r="Y30" s="140"/>
      <c r="Z30" s="140"/>
      <c r="AA30" s="140"/>
      <c r="AB30" s="140"/>
      <c r="AC30" s="140"/>
      <c r="AD30" s="140"/>
      <c r="AE30" s="140"/>
      <c r="AF30" s="140"/>
      <c r="AG30" s="140"/>
      <c r="AH30" s="140"/>
      <c r="AI30" s="140"/>
      <c r="AJ30" s="140"/>
      <c r="AK30" s="140"/>
      <c r="AL30" s="140"/>
      <c r="AM30" s="140"/>
      <c r="AN30" s="140"/>
      <c r="AO30" s="140"/>
      <c r="AP30" s="140"/>
      <c r="AQ30" s="140"/>
      <c r="AR30" s="140"/>
      <c r="AS30" s="140"/>
      <c r="AT30" s="140"/>
      <c r="AU30" s="140"/>
      <c r="AV30" s="140"/>
      <c r="AW30" s="140"/>
    </row>
    <row r="31" spans="5:49" x14ac:dyDescent="0.25">
      <c r="E31" s="140"/>
      <c r="F31" s="140"/>
      <c r="G31" s="140"/>
      <c r="H31" s="140"/>
      <c r="I31" s="140"/>
      <c r="J31" s="140"/>
      <c r="K31" s="140"/>
      <c r="L31" s="140"/>
      <c r="M31" s="140"/>
      <c r="N31" s="140"/>
      <c r="O31" s="140"/>
      <c r="P31" s="140"/>
      <c r="Q31" s="140"/>
      <c r="R31" s="140"/>
      <c r="S31" s="140"/>
      <c r="T31" s="140"/>
      <c r="U31" s="140"/>
      <c r="V31" s="140"/>
      <c r="W31" s="140"/>
      <c r="X31" s="140"/>
      <c r="Y31" s="140"/>
      <c r="Z31" s="140"/>
      <c r="AA31" s="140"/>
      <c r="AB31" s="140"/>
      <c r="AC31" s="140"/>
      <c r="AD31" s="140"/>
      <c r="AE31" s="140"/>
      <c r="AF31" s="140"/>
      <c r="AG31" s="140"/>
      <c r="AH31" s="140"/>
      <c r="AI31" s="140"/>
      <c r="AJ31" s="140"/>
      <c r="AK31" s="140"/>
      <c r="AL31" s="140"/>
      <c r="AM31" s="140"/>
      <c r="AN31" s="140"/>
      <c r="AO31" s="140"/>
      <c r="AP31" s="140"/>
      <c r="AQ31" s="140"/>
      <c r="AR31" s="140"/>
      <c r="AS31" s="140"/>
      <c r="AT31" s="140"/>
      <c r="AU31" s="140"/>
      <c r="AV31" s="140"/>
      <c r="AW31" s="140"/>
    </row>
    <row r="32" spans="5:49" x14ac:dyDescent="0.25">
      <c r="E32" s="140"/>
      <c r="F32" s="140"/>
      <c r="G32" s="140"/>
      <c r="H32" s="140"/>
      <c r="I32" s="140"/>
      <c r="J32" s="140"/>
      <c r="K32" s="140"/>
      <c r="L32" s="140"/>
      <c r="M32" s="140"/>
      <c r="N32" s="140"/>
      <c r="O32" s="140"/>
      <c r="P32" s="140"/>
      <c r="Q32" s="140"/>
      <c r="R32" s="140"/>
      <c r="S32" s="140"/>
      <c r="T32" s="140"/>
      <c r="U32" s="140"/>
      <c r="V32" s="140"/>
      <c r="W32" s="140"/>
      <c r="X32" s="140"/>
      <c r="Y32" s="140"/>
      <c r="Z32" s="140"/>
      <c r="AA32" s="140"/>
      <c r="AB32" s="140"/>
      <c r="AC32" s="140"/>
      <c r="AD32" s="140"/>
      <c r="AE32" s="140"/>
      <c r="AF32" s="140"/>
      <c r="AG32" s="140"/>
      <c r="AH32" s="140"/>
      <c r="AI32" s="140"/>
      <c r="AJ32" s="140"/>
      <c r="AK32" s="140"/>
      <c r="AL32" s="140"/>
      <c r="AM32" s="140"/>
      <c r="AN32" s="140"/>
      <c r="AO32" s="140"/>
      <c r="AP32" s="140"/>
      <c r="AQ32" s="140"/>
      <c r="AR32" s="140"/>
      <c r="AS32" s="140"/>
      <c r="AT32" s="140"/>
      <c r="AU32" s="140"/>
      <c r="AV32" s="140"/>
      <c r="AW32" s="140"/>
    </row>
    <row r="33" spans="5:49" x14ac:dyDescent="0.25">
      <c r="E33" s="140"/>
      <c r="F33" s="140"/>
      <c r="G33" s="140"/>
      <c r="H33" s="140"/>
      <c r="I33" s="140"/>
      <c r="J33" s="140"/>
      <c r="K33" s="140"/>
      <c r="L33" s="140"/>
      <c r="M33" s="140"/>
      <c r="N33" s="140"/>
      <c r="O33" s="140"/>
      <c r="P33" s="140"/>
      <c r="Q33" s="140"/>
      <c r="R33" s="140"/>
      <c r="S33" s="140"/>
      <c r="T33" s="140"/>
      <c r="U33" s="140"/>
      <c r="V33" s="140"/>
      <c r="W33" s="140"/>
      <c r="X33" s="140"/>
      <c r="Y33" s="140"/>
      <c r="Z33" s="140"/>
      <c r="AA33" s="140"/>
      <c r="AB33" s="140"/>
      <c r="AC33" s="140"/>
      <c r="AD33" s="140"/>
      <c r="AE33" s="140"/>
      <c r="AF33" s="140"/>
      <c r="AG33" s="140"/>
      <c r="AH33" s="140"/>
      <c r="AI33" s="140"/>
      <c r="AJ33" s="140"/>
      <c r="AK33" s="140"/>
      <c r="AL33" s="140"/>
      <c r="AM33" s="140"/>
      <c r="AN33" s="140"/>
      <c r="AO33" s="140"/>
      <c r="AP33" s="140"/>
      <c r="AQ33" s="140"/>
      <c r="AR33" s="140"/>
      <c r="AS33" s="140"/>
      <c r="AT33" s="140"/>
      <c r="AU33" s="140"/>
      <c r="AV33" s="140"/>
      <c r="AW33" s="140"/>
    </row>
    <row r="34" spans="5:49" x14ac:dyDescent="0.25">
      <c r="E34" s="140"/>
      <c r="F34" s="140"/>
      <c r="G34" s="140"/>
      <c r="H34" s="140"/>
      <c r="I34" s="140"/>
      <c r="J34" s="140"/>
      <c r="K34" s="140"/>
      <c r="L34" s="140"/>
      <c r="M34" s="140"/>
      <c r="N34" s="140"/>
      <c r="O34" s="140"/>
      <c r="P34" s="140"/>
      <c r="Q34" s="140"/>
      <c r="R34" s="140"/>
      <c r="S34" s="140"/>
      <c r="T34" s="140"/>
      <c r="U34" s="140"/>
      <c r="V34" s="140"/>
      <c r="W34" s="140"/>
      <c r="X34" s="140"/>
      <c r="Y34" s="140"/>
      <c r="Z34" s="140"/>
      <c r="AA34" s="140"/>
      <c r="AB34" s="140"/>
      <c r="AC34" s="140"/>
      <c r="AD34" s="140"/>
      <c r="AE34" s="140"/>
      <c r="AF34" s="140"/>
      <c r="AG34" s="140"/>
      <c r="AH34" s="140"/>
      <c r="AI34" s="140"/>
      <c r="AJ34" s="140"/>
      <c r="AK34" s="140"/>
      <c r="AL34" s="140"/>
      <c r="AM34" s="140"/>
      <c r="AN34" s="140"/>
      <c r="AO34" s="140"/>
      <c r="AP34" s="140"/>
      <c r="AQ34" s="140"/>
      <c r="AR34" s="140"/>
      <c r="AS34" s="140"/>
      <c r="AT34" s="140"/>
      <c r="AU34" s="140"/>
      <c r="AV34" s="140"/>
      <c r="AW34" s="140"/>
    </row>
    <row r="35" spans="5:49" x14ac:dyDescent="0.25">
      <c r="E35" s="140"/>
      <c r="F35" s="140"/>
      <c r="G35" s="140"/>
      <c r="H35" s="140"/>
      <c r="I35" s="140"/>
      <c r="J35" s="140"/>
      <c r="K35" s="140"/>
      <c r="L35" s="140"/>
      <c r="M35" s="140"/>
      <c r="N35" s="140"/>
      <c r="O35" s="140"/>
      <c r="P35" s="140"/>
      <c r="Q35" s="140"/>
      <c r="R35" s="140"/>
      <c r="S35" s="140"/>
      <c r="T35" s="140"/>
      <c r="U35" s="140"/>
      <c r="V35" s="140"/>
      <c r="W35" s="140"/>
      <c r="X35" s="140"/>
      <c r="Y35" s="140"/>
      <c r="Z35" s="140"/>
      <c r="AA35" s="140"/>
      <c r="AB35" s="140"/>
      <c r="AC35" s="140"/>
      <c r="AD35" s="140"/>
      <c r="AE35" s="140"/>
      <c r="AF35" s="140"/>
      <c r="AG35" s="140"/>
      <c r="AH35" s="140"/>
      <c r="AI35" s="140"/>
      <c r="AJ35" s="140"/>
      <c r="AK35" s="140"/>
      <c r="AL35" s="140"/>
      <c r="AM35" s="140"/>
      <c r="AN35" s="140"/>
      <c r="AO35" s="140"/>
      <c r="AP35" s="140"/>
      <c r="AQ35" s="140"/>
      <c r="AR35" s="140"/>
      <c r="AS35" s="140"/>
      <c r="AT35" s="140"/>
      <c r="AU35" s="140"/>
      <c r="AV35" s="140"/>
      <c r="AW35" s="140"/>
    </row>
    <row r="36" spans="5:49" x14ac:dyDescent="0.25">
      <c r="E36" s="140"/>
      <c r="F36" s="140"/>
      <c r="G36" s="140"/>
      <c r="H36" s="140"/>
      <c r="I36" s="140"/>
      <c r="J36" s="140"/>
      <c r="K36" s="140"/>
      <c r="L36" s="140"/>
      <c r="M36" s="140"/>
      <c r="N36" s="140"/>
      <c r="O36" s="140"/>
      <c r="P36" s="140"/>
      <c r="Q36" s="140"/>
      <c r="R36" s="140"/>
      <c r="S36" s="140"/>
      <c r="T36" s="140"/>
      <c r="U36" s="140"/>
      <c r="V36" s="140"/>
      <c r="W36" s="140"/>
      <c r="X36" s="140"/>
      <c r="Y36" s="140"/>
      <c r="Z36" s="140"/>
      <c r="AA36" s="140"/>
      <c r="AB36" s="140"/>
      <c r="AC36" s="140"/>
      <c r="AD36" s="140"/>
      <c r="AE36" s="140"/>
      <c r="AF36" s="140"/>
      <c r="AG36" s="140"/>
      <c r="AH36" s="140"/>
      <c r="AI36" s="140"/>
      <c r="AJ36" s="140"/>
      <c r="AK36" s="140"/>
      <c r="AL36" s="140"/>
      <c r="AM36" s="140"/>
      <c r="AN36" s="140"/>
      <c r="AO36" s="140"/>
      <c r="AP36" s="140"/>
      <c r="AQ36" s="140"/>
      <c r="AR36" s="140"/>
      <c r="AS36" s="140"/>
      <c r="AT36" s="140"/>
      <c r="AU36" s="140"/>
      <c r="AV36" s="140"/>
      <c r="AW36" s="140"/>
    </row>
    <row r="37" spans="5:49" x14ac:dyDescent="0.25">
      <c r="E37" s="140"/>
      <c r="F37" s="140"/>
      <c r="G37" s="140"/>
      <c r="H37" s="140"/>
      <c r="I37" s="140"/>
      <c r="J37" s="140"/>
      <c r="K37" s="140"/>
      <c r="L37" s="140"/>
      <c r="M37" s="140"/>
      <c r="N37" s="140"/>
      <c r="O37" s="140"/>
      <c r="P37" s="140"/>
      <c r="Q37" s="140"/>
      <c r="R37" s="140"/>
      <c r="S37" s="140"/>
      <c r="T37" s="140"/>
      <c r="U37" s="140"/>
      <c r="V37" s="140"/>
      <c r="W37" s="140"/>
      <c r="X37" s="140"/>
      <c r="Y37" s="140"/>
      <c r="Z37" s="140"/>
      <c r="AA37" s="140"/>
      <c r="AB37" s="140"/>
      <c r="AC37" s="140"/>
      <c r="AD37" s="140"/>
      <c r="AE37" s="140"/>
      <c r="AF37" s="140"/>
      <c r="AG37" s="140"/>
      <c r="AH37" s="140"/>
      <c r="AI37" s="140"/>
      <c r="AJ37" s="140"/>
      <c r="AK37" s="140"/>
      <c r="AL37" s="140"/>
      <c r="AM37" s="140"/>
      <c r="AN37" s="140"/>
      <c r="AO37" s="140"/>
      <c r="AP37" s="140"/>
      <c r="AQ37" s="140"/>
      <c r="AR37" s="140"/>
      <c r="AS37" s="140"/>
      <c r="AT37" s="140"/>
      <c r="AU37" s="140"/>
      <c r="AV37" s="140"/>
      <c r="AW37" s="140"/>
    </row>
    <row r="38" spans="5:49" x14ac:dyDescent="0.25">
      <c r="E38" s="140"/>
      <c r="F38" s="140"/>
      <c r="G38" s="140"/>
      <c r="H38" s="140"/>
      <c r="I38" s="140"/>
      <c r="J38" s="140"/>
      <c r="K38" s="140"/>
      <c r="L38" s="140"/>
      <c r="M38" s="140"/>
      <c r="N38" s="140"/>
      <c r="O38" s="140"/>
      <c r="P38" s="140"/>
      <c r="Q38" s="140"/>
      <c r="R38" s="140"/>
      <c r="S38" s="140"/>
      <c r="T38" s="140"/>
      <c r="U38" s="140"/>
      <c r="V38" s="140"/>
      <c r="W38" s="140"/>
      <c r="X38" s="140"/>
      <c r="Y38" s="140"/>
      <c r="Z38" s="140"/>
      <c r="AA38" s="140"/>
      <c r="AB38" s="140"/>
      <c r="AC38" s="140"/>
      <c r="AD38" s="140"/>
      <c r="AE38" s="140"/>
      <c r="AF38" s="140"/>
      <c r="AG38" s="140"/>
      <c r="AH38" s="140"/>
      <c r="AI38" s="140"/>
      <c r="AJ38" s="140"/>
      <c r="AK38" s="140"/>
      <c r="AL38" s="140"/>
      <c r="AM38" s="140"/>
      <c r="AN38" s="140"/>
      <c r="AO38" s="140"/>
      <c r="AP38" s="140"/>
      <c r="AQ38" s="140"/>
      <c r="AR38" s="140"/>
      <c r="AS38" s="140"/>
      <c r="AT38" s="140"/>
      <c r="AU38" s="140"/>
      <c r="AV38" s="140"/>
      <c r="AW38" s="140"/>
    </row>
    <row r="39" spans="5:49" x14ac:dyDescent="0.25">
      <c r="E39" s="140"/>
      <c r="F39" s="140"/>
      <c r="G39" s="140"/>
      <c r="H39" s="140"/>
      <c r="I39" s="140"/>
      <c r="J39" s="140"/>
      <c r="K39" s="140"/>
      <c r="L39" s="140"/>
      <c r="M39" s="140"/>
      <c r="N39" s="140"/>
      <c r="O39" s="140"/>
      <c r="P39" s="140"/>
      <c r="Q39" s="140"/>
      <c r="R39" s="140"/>
      <c r="S39" s="140"/>
      <c r="T39" s="140"/>
      <c r="U39" s="140"/>
      <c r="V39" s="140"/>
      <c r="W39" s="140"/>
      <c r="X39" s="140"/>
      <c r="Y39" s="140"/>
      <c r="Z39" s="140"/>
      <c r="AA39" s="140"/>
      <c r="AB39" s="140"/>
      <c r="AC39" s="140"/>
      <c r="AD39" s="140"/>
      <c r="AE39" s="140"/>
      <c r="AF39" s="140"/>
      <c r="AG39" s="140"/>
      <c r="AH39" s="140"/>
      <c r="AI39" s="140"/>
      <c r="AJ39" s="140"/>
      <c r="AK39" s="140"/>
      <c r="AL39" s="140"/>
      <c r="AM39" s="140"/>
      <c r="AN39" s="140"/>
      <c r="AO39" s="140"/>
      <c r="AP39" s="140"/>
      <c r="AQ39" s="140"/>
      <c r="AR39" s="140"/>
      <c r="AS39" s="140"/>
      <c r="AT39" s="140"/>
      <c r="AU39" s="140"/>
      <c r="AV39" s="140"/>
      <c r="AW39" s="140"/>
    </row>
    <row r="40" spans="5:49" x14ac:dyDescent="0.25">
      <c r="E40" s="140"/>
      <c r="F40" s="140"/>
      <c r="G40" s="140"/>
      <c r="H40" s="140"/>
      <c r="I40" s="140"/>
      <c r="J40" s="140"/>
      <c r="K40" s="140"/>
      <c r="L40" s="140"/>
      <c r="M40" s="140"/>
      <c r="N40" s="140"/>
      <c r="O40" s="140"/>
      <c r="P40" s="140"/>
      <c r="Q40" s="140"/>
      <c r="R40" s="140"/>
      <c r="S40" s="140"/>
      <c r="T40" s="140"/>
      <c r="U40" s="140"/>
      <c r="V40" s="140"/>
      <c r="W40" s="140"/>
      <c r="X40" s="140"/>
      <c r="Y40" s="140"/>
      <c r="Z40" s="140"/>
      <c r="AA40" s="140"/>
      <c r="AB40" s="140"/>
      <c r="AC40" s="140"/>
      <c r="AD40" s="140"/>
      <c r="AE40" s="140"/>
      <c r="AF40" s="140"/>
      <c r="AG40" s="140"/>
      <c r="AH40" s="140"/>
      <c r="AI40" s="140"/>
      <c r="AJ40" s="140"/>
      <c r="AK40" s="140"/>
      <c r="AL40" s="140"/>
      <c r="AM40" s="140"/>
      <c r="AN40" s="140"/>
      <c r="AO40" s="140"/>
      <c r="AP40" s="140"/>
      <c r="AQ40" s="140"/>
      <c r="AR40" s="140"/>
      <c r="AS40" s="140"/>
      <c r="AT40" s="140"/>
      <c r="AU40" s="140"/>
      <c r="AV40" s="140"/>
      <c r="AW40" s="140"/>
    </row>
    <row r="41" spans="5:49" x14ac:dyDescent="0.25">
      <c r="E41" s="140"/>
      <c r="F41" s="140"/>
      <c r="G41" s="140"/>
      <c r="H41" s="140"/>
      <c r="I41" s="140"/>
      <c r="J41" s="140"/>
      <c r="K41" s="140"/>
      <c r="L41" s="140"/>
      <c r="M41" s="140"/>
      <c r="N41" s="140"/>
      <c r="O41" s="140"/>
      <c r="P41" s="140"/>
      <c r="Q41" s="140"/>
      <c r="R41" s="140"/>
      <c r="S41" s="140"/>
      <c r="T41" s="140"/>
      <c r="U41" s="140"/>
      <c r="V41" s="140"/>
      <c r="W41" s="140"/>
      <c r="X41" s="140"/>
      <c r="Y41" s="140"/>
      <c r="Z41" s="140"/>
      <c r="AA41" s="140"/>
      <c r="AB41" s="140"/>
      <c r="AC41" s="140"/>
      <c r="AD41" s="140"/>
      <c r="AE41" s="140"/>
      <c r="AF41" s="140"/>
      <c r="AG41" s="140"/>
      <c r="AH41" s="140"/>
      <c r="AI41" s="140"/>
      <c r="AJ41" s="140"/>
      <c r="AK41" s="140"/>
      <c r="AL41" s="140"/>
      <c r="AM41" s="140"/>
      <c r="AN41" s="140"/>
      <c r="AO41" s="140"/>
      <c r="AP41" s="140"/>
      <c r="AQ41" s="140"/>
      <c r="AR41" s="140"/>
      <c r="AS41" s="140"/>
      <c r="AT41" s="140"/>
      <c r="AU41" s="140"/>
      <c r="AV41" s="140"/>
      <c r="AW41" s="140"/>
    </row>
    <row r="42" spans="5:49" x14ac:dyDescent="0.25">
      <c r="E42" s="140"/>
      <c r="F42" s="140"/>
      <c r="G42" s="140"/>
      <c r="H42" s="140"/>
      <c r="I42" s="140"/>
      <c r="J42" s="140"/>
      <c r="K42" s="140"/>
      <c r="L42" s="140"/>
      <c r="M42" s="140"/>
      <c r="N42" s="140"/>
      <c r="O42" s="140"/>
      <c r="P42" s="140"/>
      <c r="Q42" s="140"/>
      <c r="R42" s="140"/>
      <c r="S42" s="140"/>
      <c r="T42" s="140"/>
      <c r="U42" s="140"/>
      <c r="V42" s="140"/>
      <c r="W42" s="140"/>
      <c r="X42" s="140"/>
      <c r="Y42" s="140"/>
      <c r="Z42" s="140"/>
      <c r="AA42" s="140"/>
      <c r="AB42" s="140"/>
      <c r="AC42" s="140"/>
      <c r="AD42" s="140"/>
      <c r="AE42" s="140"/>
      <c r="AF42" s="140"/>
      <c r="AG42" s="140"/>
      <c r="AH42" s="140"/>
      <c r="AI42" s="140"/>
      <c r="AJ42" s="140"/>
      <c r="AK42" s="140"/>
      <c r="AL42" s="140"/>
      <c r="AM42" s="140"/>
      <c r="AN42" s="140"/>
      <c r="AO42" s="140"/>
      <c r="AP42" s="140"/>
      <c r="AQ42" s="140"/>
      <c r="AR42" s="140"/>
      <c r="AS42" s="140"/>
      <c r="AT42" s="140"/>
      <c r="AU42" s="140"/>
      <c r="AV42" s="140"/>
      <c r="AW42" s="140"/>
    </row>
    <row r="43" spans="5:49" x14ac:dyDescent="0.25">
      <c r="E43" s="140"/>
      <c r="F43" s="140"/>
      <c r="G43" s="140"/>
      <c r="H43" s="140"/>
      <c r="I43" s="140"/>
      <c r="J43" s="140"/>
      <c r="K43" s="140"/>
      <c r="L43" s="140"/>
      <c r="M43" s="140"/>
      <c r="N43" s="140"/>
      <c r="O43" s="140"/>
      <c r="P43" s="140"/>
      <c r="Q43" s="140"/>
      <c r="R43" s="140"/>
      <c r="S43" s="140"/>
      <c r="T43" s="140"/>
      <c r="U43" s="140"/>
      <c r="V43" s="140"/>
      <c r="W43" s="140"/>
      <c r="X43" s="140"/>
      <c r="Y43" s="140"/>
      <c r="Z43" s="140"/>
      <c r="AA43" s="140"/>
      <c r="AB43" s="140"/>
      <c r="AC43" s="140"/>
      <c r="AD43" s="140"/>
      <c r="AE43" s="140"/>
      <c r="AF43" s="140"/>
      <c r="AG43" s="140"/>
      <c r="AH43" s="140"/>
      <c r="AI43" s="140"/>
      <c r="AJ43" s="140"/>
      <c r="AK43" s="140"/>
      <c r="AL43" s="140"/>
      <c r="AM43" s="140"/>
      <c r="AN43" s="140"/>
      <c r="AO43" s="140"/>
      <c r="AP43" s="140"/>
      <c r="AQ43" s="140"/>
      <c r="AR43" s="140"/>
      <c r="AS43" s="140"/>
      <c r="AT43" s="140"/>
      <c r="AU43" s="140"/>
      <c r="AV43" s="140"/>
      <c r="AW43" s="140"/>
    </row>
    <row r="44" spans="5:49" x14ac:dyDescent="0.25">
      <c r="E44" s="140"/>
      <c r="F44" s="140"/>
      <c r="G44" s="140"/>
      <c r="H44" s="140"/>
      <c r="I44" s="140"/>
      <c r="J44" s="140"/>
      <c r="K44" s="140"/>
      <c r="L44" s="140"/>
      <c r="M44" s="140"/>
      <c r="N44" s="140"/>
      <c r="O44" s="140"/>
      <c r="P44" s="140"/>
      <c r="Q44" s="140"/>
      <c r="R44" s="140"/>
      <c r="S44" s="140"/>
      <c r="T44" s="140"/>
      <c r="U44" s="140"/>
      <c r="V44" s="140"/>
      <c r="W44" s="140"/>
      <c r="X44" s="140"/>
      <c r="Y44" s="140"/>
      <c r="Z44" s="140"/>
      <c r="AA44" s="140"/>
      <c r="AB44" s="140"/>
      <c r="AC44" s="140"/>
      <c r="AD44" s="140"/>
      <c r="AE44" s="140"/>
      <c r="AF44" s="140"/>
      <c r="AG44" s="140"/>
      <c r="AH44" s="140"/>
      <c r="AI44" s="140"/>
      <c r="AJ44" s="140"/>
      <c r="AK44" s="140"/>
      <c r="AL44" s="140"/>
      <c r="AM44" s="140"/>
      <c r="AN44" s="140"/>
      <c r="AO44" s="140"/>
      <c r="AP44" s="140"/>
      <c r="AQ44" s="140"/>
      <c r="AR44" s="140"/>
      <c r="AS44" s="140"/>
      <c r="AT44" s="140"/>
      <c r="AU44" s="140"/>
      <c r="AV44" s="140"/>
      <c r="AW44" s="140"/>
    </row>
    <row r="45" spans="5:49" x14ac:dyDescent="0.25">
      <c r="E45" s="140"/>
      <c r="F45" s="140"/>
      <c r="G45" s="140"/>
      <c r="H45" s="140"/>
      <c r="I45" s="140"/>
      <c r="J45" s="140"/>
      <c r="K45" s="140"/>
      <c r="L45" s="140"/>
      <c r="M45" s="140"/>
      <c r="N45" s="140"/>
      <c r="O45" s="140"/>
      <c r="P45" s="140"/>
      <c r="Q45" s="140"/>
      <c r="R45" s="140"/>
      <c r="S45" s="140"/>
      <c r="T45" s="140"/>
      <c r="U45" s="140"/>
      <c r="V45" s="140"/>
      <c r="W45" s="140"/>
      <c r="X45" s="140"/>
      <c r="Y45" s="140"/>
      <c r="Z45" s="140"/>
      <c r="AA45" s="140"/>
      <c r="AB45" s="140"/>
      <c r="AC45" s="140"/>
      <c r="AD45" s="140"/>
      <c r="AE45" s="140"/>
      <c r="AF45" s="140"/>
      <c r="AG45" s="140"/>
      <c r="AH45" s="140"/>
      <c r="AI45" s="140"/>
      <c r="AJ45" s="140"/>
      <c r="AK45" s="140"/>
      <c r="AL45" s="140"/>
      <c r="AM45" s="140"/>
      <c r="AN45" s="140"/>
      <c r="AO45" s="140"/>
      <c r="AP45" s="140"/>
      <c r="AQ45" s="140"/>
      <c r="AR45" s="140"/>
      <c r="AS45" s="140"/>
      <c r="AT45" s="140"/>
      <c r="AU45" s="140"/>
      <c r="AV45" s="140"/>
      <c r="AW45" s="140"/>
    </row>
    <row r="46" spans="5:49" x14ac:dyDescent="0.25">
      <c r="E46" s="140"/>
      <c r="F46" s="140"/>
      <c r="G46" s="140"/>
      <c r="H46" s="140"/>
      <c r="I46" s="140"/>
      <c r="J46" s="140"/>
      <c r="K46" s="140"/>
      <c r="L46" s="140"/>
      <c r="M46" s="140"/>
      <c r="N46" s="140"/>
      <c r="O46" s="140"/>
      <c r="P46" s="140"/>
      <c r="Q46" s="140"/>
      <c r="R46" s="140"/>
      <c r="S46" s="140"/>
      <c r="T46" s="140"/>
      <c r="U46" s="140"/>
      <c r="V46" s="140"/>
      <c r="W46" s="140"/>
      <c r="X46" s="140"/>
      <c r="Y46" s="140"/>
      <c r="Z46" s="140"/>
      <c r="AA46" s="140"/>
      <c r="AB46" s="140"/>
      <c r="AC46" s="140"/>
      <c r="AD46" s="140"/>
      <c r="AE46" s="140"/>
      <c r="AF46" s="140"/>
      <c r="AG46" s="140"/>
      <c r="AH46" s="140"/>
      <c r="AI46" s="140"/>
      <c r="AJ46" s="140"/>
      <c r="AK46" s="140"/>
      <c r="AL46" s="140"/>
      <c r="AM46" s="140"/>
      <c r="AN46" s="140"/>
      <c r="AO46" s="140"/>
      <c r="AP46" s="140"/>
      <c r="AQ46" s="140"/>
      <c r="AR46" s="140"/>
      <c r="AS46" s="140"/>
      <c r="AT46" s="140"/>
      <c r="AU46" s="140"/>
      <c r="AV46" s="140"/>
      <c r="AW46" s="140"/>
    </row>
    <row r="47" spans="5:49" x14ac:dyDescent="0.25">
      <c r="E47" s="140"/>
      <c r="F47" s="140"/>
      <c r="G47" s="140"/>
      <c r="H47" s="140"/>
      <c r="I47" s="140"/>
      <c r="J47" s="140"/>
      <c r="K47" s="140"/>
      <c r="L47" s="140"/>
      <c r="M47" s="140"/>
      <c r="N47" s="140"/>
      <c r="O47" s="140"/>
      <c r="P47" s="140"/>
      <c r="Q47" s="140"/>
      <c r="R47" s="140"/>
      <c r="S47" s="140"/>
      <c r="T47" s="140"/>
      <c r="U47" s="140"/>
      <c r="V47" s="140"/>
      <c r="W47" s="140"/>
      <c r="X47" s="140"/>
      <c r="Y47" s="140"/>
      <c r="Z47" s="140"/>
      <c r="AA47" s="140"/>
      <c r="AB47" s="140"/>
      <c r="AC47" s="140"/>
      <c r="AD47" s="140"/>
      <c r="AE47" s="140"/>
      <c r="AF47" s="140"/>
      <c r="AG47" s="140"/>
      <c r="AH47" s="140"/>
      <c r="AI47" s="140"/>
      <c r="AJ47" s="140"/>
      <c r="AK47" s="140"/>
      <c r="AL47" s="140"/>
      <c r="AM47" s="140"/>
      <c r="AN47" s="140"/>
      <c r="AO47" s="140"/>
      <c r="AP47" s="140"/>
      <c r="AQ47" s="140"/>
      <c r="AR47" s="140"/>
      <c r="AS47" s="140"/>
      <c r="AT47" s="140"/>
      <c r="AU47" s="140"/>
      <c r="AV47" s="140"/>
      <c r="AW47" s="140"/>
    </row>
    <row r="48" spans="5:49" x14ac:dyDescent="0.25">
      <c r="E48" s="140"/>
      <c r="F48" s="140"/>
      <c r="G48" s="140"/>
      <c r="H48" s="140"/>
      <c r="I48" s="140"/>
      <c r="J48" s="140"/>
      <c r="K48" s="140"/>
      <c r="L48" s="140"/>
      <c r="M48" s="140"/>
      <c r="N48" s="140"/>
      <c r="O48" s="140"/>
      <c r="P48" s="140"/>
      <c r="Q48" s="140"/>
      <c r="R48" s="140"/>
      <c r="S48" s="140"/>
      <c r="T48" s="140"/>
      <c r="U48" s="140"/>
      <c r="V48" s="140"/>
      <c r="W48" s="140"/>
      <c r="X48" s="140"/>
      <c r="Y48" s="140"/>
      <c r="Z48" s="140"/>
      <c r="AA48" s="140"/>
      <c r="AB48" s="140"/>
      <c r="AC48" s="140"/>
      <c r="AD48" s="140"/>
      <c r="AE48" s="140"/>
      <c r="AF48" s="140"/>
      <c r="AG48" s="140"/>
      <c r="AH48" s="140"/>
      <c r="AI48" s="140"/>
      <c r="AJ48" s="140"/>
      <c r="AK48" s="140"/>
      <c r="AL48" s="140"/>
      <c r="AM48" s="140"/>
      <c r="AN48" s="140"/>
      <c r="AO48" s="140"/>
      <c r="AP48" s="140"/>
      <c r="AQ48" s="140"/>
      <c r="AR48" s="140"/>
      <c r="AS48" s="140"/>
      <c r="AT48" s="140"/>
      <c r="AU48" s="140"/>
      <c r="AV48" s="140"/>
      <c r="AW48" s="140"/>
    </row>
    <row r="49" spans="5:49" x14ac:dyDescent="0.25">
      <c r="E49" s="140"/>
      <c r="F49" s="140"/>
      <c r="G49" s="140"/>
      <c r="H49" s="140"/>
      <c r="I49" s="140"/>
      <c r="J49" s="140"/>
      <c r="K49" s="140"/>
      <c r="L49" s="140"/>
      <c r="M49" s="140"/>
      <c r="N49" s="140"/>
      <c r="O49" s="140"/>
      <c r="P49" s="140"/>
      <c r="Q49" s="140"/>
      <c r="R49" s="140"/>
      <c r="S49" s="140"/>
      <c r="T49" s="140"/>
      <c r="U49" s="140"/>
      <c r="V49" s="140"/>
      <c r="W49" s="140"/>
      <c r="X49" s="140"/>
      <c r="Y49" s="140"/>
      <c r="Z49" s="140"/>
      <c r="AA49" s="140"/>
      <c r="AB49" s="140"/>
      <c r="AC49" s="140"/>
      <c r="AD49" s="140"/>
      <c r="AE49" s="140"/>
      <c r="AF49" s="140"/>
      <c r="AG49" s="140"/>
      <c r="AH49" s="140"/>
      <c r="AI49" s="140"/>
      <c r="AJ49" s="140"/>
      <c r="AK49" s="140"/>
      <c r="AL49" s="140"/>
      <c r="AM49" s="140"/>
      <c r="AN49" s="140"/>
      <c r="AO49" s="140"/>
      <c r="AP49" s="140"/>
      <c r="AQ49" s="140"/>
      <c r="AR49" s="140"/>
      <c r="AS49" s="140"/>
      <c r="AT49" s="140"/>
      <c r="AU49" s="140"/>
      <c r="AV49" s="140"/>
      <c r="AW49" s="140"/>
    </row>
    <row r="50" spans="5:49" x14ac:dyDescent="0.25">
      <c r="E50" s="140"/>
      <c r="F50" s="140"/>
      <c r="G50" s="140"/>
      <c r="H50" s="140"/>
      <c r="I50" s="140"/>
      <c r="J50" s="140"/>
      <c r="K50" s="140"/>
      <c r="L50" s="140"/>
      <c r="M50" s="140"/>
      <c r="N50" s="140"/>
      <c r="O50" s="140"/>
      <c r="P50" s="140"/>
      <c r="Q50" s="140"/>
      <c r="R50" s="140"/>
      <c r="S50" s="140"/>
      <c r="T50" s="140"/>
      <c r="U50" s="140"/>
      <c r="V50" s="140"/>
      <c r="W50" s="140"/>
      <c r="X50" s="140"/>
      <c r="Y50" s="140"/>
      <c r="Z50" s="140"/>
      <c r="AA50" s="140"/>
      <c r="AB50" s="140"/>
      <c r="AC50" s="140"/>
      <c r="AD50" s="140"/>
      <c r="AE50" s="140"/>
      <c r="AF50" s="140"/>
      <c r="AG50" s="140"/>
      <c r="AH50" s="140"/>
      <c r="AI50" s="140"/>
      <c r="AJ50" s="140"/>
      <c r="AK50" s="140"/>
      <c r="AL50" s="140"/>
      <c r="AM50" s="140"/>
      <c r="AN50" s="140"/>
      <c r="AO50" s="140"/>
      <c r="AP50" s="140"/>
      <c r="AQ50" s="140"/>
      <c r="AR50" s="140"/>
      <c r="AS50" s="140"/>
      <c r="AT50" s="140"/>
      <c r="AU50" s="140"/>
      <c r="AV50" s="140"/>
      <c r="AW50" s="140"/>
    </row>
  </sheetData>
  <sheetProtection algorithmName="SHA-512" hashValue="+DI3ryX8cBFzn0+s4W0nwZN73jMEma+JQ7uveYpZsEzulr2ronQk7UqqygvKlaZVZrUaendCfl7Jt8hr37SMqQ==" saltValue="1ShMepA57+Rxk4YJlz7qjQ==" spinCount="100000" sheet="1" selectLockedCells="1"/>
  <mergeCells count="9">
    <mergeCell ref="F2:G2"/>
    <mergeCell ref="M3:O3"/>
    <mergeCell ref="L4:N4"/>
    <mergeCell ref="M17:M18"/>
    <mergeCell ref="G17:G18"/>
    <mergeCell ref="H17:H18"/>
    <mergeCell ref="K17:L18"/>
    <mergeCell ref="N17:O18"/>
    <mergeCell ref="I3:K3"/>
  </mergeCells>
  <conditionalFormatting sqref="O6:Q15">
    <cfRule type="expression" dxfId="163" priority="13">
      <formula>$H6&lt;&gt;"Enter Spend&gt;&gt;&gt;"</formula>
    </cfRule>
  </conditionalFormatting>
  <conditionalFormatting sqref="G6:G15">
    <cfRule type="notContainsBlanks" dxfId="162" priority="10">
      <formula>LEN(TRIM(G6))&gt;0</formula>
    </cfRule>
    <cfRule type="expression" dxfId="161" priority="11">
      <formula>$F6&lt;&gt;""</formula>
    </cfRule>
  </conditionalFormatting>
  <conditionalFormatting sqref="L6:L15 I6:I15">
    <cfRule type="expression" dxfId="160" priority="9">
      <formula>N6&lt;&gt;""</formula>
    </cfRule>
  </conditionalFormatting>
  <conditionalFormatting sqref="M6:Q15">
    <cfRule type="expression" dxfId="159" priority="14">
      <formula>$F6=""</formula>
    </cfRule>
    <cfRule type="notContainsBlanks" dxfId="158" priority="15">
      <formula>LEN(TRIM(M6))&gt;0</formula>
    </cfRule>
  </conditionalFormatting>
  <conditionalFormatting sqref="P6:P15">
    <cfRule type="expression" dxfId="157" priority="7">
      <formula>$R6="Zip Code Not Serviced"</formula>
    </cfRule>
  </conditionalFormatting>
  <conditionalFormatting sqref="I3:K3">
    <cfRule type="expression" dxfId="156" priority="3">
      <formula>$AI$4&gt;0</formula>
    </cfRule>
  </conditionalFormatting>
  <conditionalFormatting sqref="H6:L15">
    <cfRule type="expression" dxfId="155" priority="2">
      <formula>$AI6="FLAG"</formula>
    </cfRule>
  </conditionalFormatting>
  <conditionalFormatting sqref="M6:Q15">
    <cfRule type="expression" dxfId="154" priority="1">
      <formula>$AI6="FLAG"</formula>
    </cfRule>
  </conditionalFormatting>
  <dataValidations count="1">
    <dataValidation type="decimal" allowBlank="1" showErrorMessage="1" errorTitle="EB % Outside Allowable Range" error="EB % must be between 0% and 100%" sqref="Q6:Q15" xr:uid="{00000000-0002-0000-0200-000000000000}">
      <formula1>0</formula1>
      <formula2>1</formula2>
    </dataValidation>
  </dataValidations>
  <printOptions horizontalCentered="1"/>
  <pageMargins left="0.25" right="0.25" top="0.75" bottom="0.75" header="0.3" footer="0.3"/>
  <pageSetup scale="58" orientation="landscape" errors="dash" r:id="rId1"/>
  <headerFooter scaleWithDoc="0">
    <oddHeader>&amp;C&amp;F&amp;R&amp;D</oddHeader>
    <oddFooter>&amp;L&amp;P&amp;CWelcome | US Foods Confidential</oddFooter>
  </headerFooter>
  <ignoredErrors>
    <ignoredError sqref="H6" unlockedFormula="1"/>
  </ignoredErrors>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1000000}">
          <x14:formula1>
            <xm:f>Lookups!$D$2:$D$21</xm:f>
          </x14:formula1>
          <xm:sqref>O6:O15</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AI10" sqref="AI10"/>
    </sheetView>
  </sheetViews>
  <sheetFormatPr defaultColWidth="8.85546875" defaultRowHeight="15" x14ac:dyDescent="0.25"/>
  <cols>
    <col min="1" max="1" width="2.140625" style="146" customWidth="1"/>
    <col min="2" max="2" width="15.5703125" style="146" customWidth="1"/>
    <col min="3" max="3" width="12.5703125" style="146" customWidth="1"/>
    <col min="4" max="4" width="20.42578125" style="146" bestFit="1" customWidth="1"/>
    <col min="5" max="5" width="17.7109375" style="146" customWidth="1"/>
    <col min="6" max="6" width="36.140625" style="146" customWidth="1"/>
    <col min="7" max="7" width="17.7109375" style="146" bestFit="1" customWidth="1"/>
    <col min="8" max="8" width="11.140625" bestFit="1" customWidth="1"/>
    <col min="9" max="9" width="13.7109375" customWidth="1"/>
    <col min="10" max="10" width="10.5703125" hidden="1" customWidth="1"/>
    <col min="11" max="11" width="14.140625" style="146" customWidth="1"/>
    <col min="12" max="12" width="7.28515625" style="146" customWidth="1"/>
    <col min="13" max="13" width="16.85546875" style="146" bestFit="1" customWidth="1"/>
    <col min="14" max="14" width="2.140625" style="146" customWidth="1"/>
    <col min="15" max="15" width="11.7109375" style="146" customWidth="1"/>
    <col min="16" max="16" width="17.28515625" style="146" bestFit="1" customWidth="1"/>
    <col min="17" max="17" width="10.7109375" style="146" customWidth="1"/>
    <col min="18" max="18" width="2.7109375" hidden="1" customWidth="1"/>
    <col min="19" max="19" width="8.7109375" style="146" hidden="1" customWidth="1"/>
    <col min="20" max="20" width="13.140625" style="146" hidden="1" customWidth="1"/>
    <col min="21" max="21" width="9" style="146" hidden="1" customWidth="1"/>
    <col min="22" max="22" width="2.7109375" style="146" hidden="1" customWidth="1"/>
    <col min="23" max="23" width="24.85546875" style="146" hidden="1" customWidth="1"/>
    <col min="24" max="24" width="2.7109375" style="146" hidden="1" customWidth="1"/>
    <col min="25" max="25" width="22.5703125" style="146" hidden="1" customWidth="1"/>
    <col min="26" max="27" width="8.85546875" style="146" hidden="1" customWidth="1"/>
    <col min="28" max="28" width="7.140625" hidden="1" customWidth="1"/>
    <col min="29" max="29" width="15.42578125" style="146" hidden="1" customWidth="1"/>
    <col min="30" max="30" width="14.28515625" style="146" hidden="1" customWidth="1"/>
    <col min="31" max="31" width="8.85546875" style="146" hidden="1" customWidth="1"/>
    <col min="32" max="32" width="11.5703125" style="146" hidden="1" customWidth="1"/>
    <col min="33" max="34" width="8.85546875" style="146" hidden="1" customWidth="1"/>
    <col min="35" max="16384" width="8.85546875" style="146"/>
  </cols>
  <sheetData>
    <row r="1" spans="1:39" ht="21" x14ac:dyDescent="0.25">
      <c r="A1" s="145"/>
      <c r="B1" s="145"/>
      <c r="C1" s="145"/>
      <c r="D1" s="549" t="s">
        <v>213</v>
      </c>
      <c r="E1" s="145"/>
      <c r="F1" s="145"/>
      <c r="G1" s="147"/>
      <c r="H1" s="147"/>
      <c r="I1" s="147"/>
      <c r="J1" s="147"/>
      <c r="K1" s="550"/>
      <c r="L1" s="145"/>
      <c r="M1" s="145"/>
      <c r="N1" s="145"/>
      <c r="O1" s="145"/>
      <c r="P1" s="145"/>
      <c r="Q1" s="145"/>
      <c r="R1" s="140"/>
      <c r="S1" s="145"/>
      <c r="T1" s="145"/>
      <c r="U1" s="145"/>
      <c r="V1" s="145"/>
      <c r="W1" s="145"/>
      <c r="X1" s="145"/>
      <c r="Y1" s="145"/>
      <c r="Z1" s="145"/>
      <c r="AA1" s="145"/>
      <c r="AB1" s="140"/>
      <c r="AC1" s="145"/>
      <c r="AD1" s="145"/>
      <c r="AE1" s="145"/>
      <c r="AF1" s="145"/>
      <c r="AG1" s="145"/>
      <c r="AH1" s="145"/>
      <c r="AI1" s="145"/>
      <c r="AJ1" s="145"/>
      <c r="AK1" s="145"/>
      <c r="AL1" s="145"/>
      <c r="AM1" s="145"/>
    </row>
    <row r="2" spans="1:39" ht="6.6" customHeight="1" thickBot="1" x14ac:dyDescent="0.3">
      <c r="A2" s="145"/>
      <c r="B2" s="145"/>
      <c r="C2" s="145"/>
      <c r="D2" s="549"/>
      <c r="E2" s="145"/>
      <c r="F2" s="145"/>
      <c r="G2" s="147"/>
      <c r="H2" s="147"/>
      <c r="I2" s="147"/>
      <c r="J2" s="147"/>
      <c r="K2" s="145"/>
      <c r="L2" s="145"/>
      <c r="M2" s="145"/>
      <c r="N2" s="145"/>
      <c r="O2" s="145"/>
      <c r="P2" s="145"/>
      <c r="Q2" s="145"/>
      <c r="R2" s="140"/>
      <c r="S2" s="145"/>
      <c r="T2" s="145"/>
      <c r="U2" s="145"/>
      <c r="V2" s="145"/>
      <c r="W2" s="145"/>
      <c r="X2" s="145"/>
      <c r="Y2" s="145"/>
      <c r="Z2" s="145"/>
      <c r="AA2" s="145"/>
      <c r="AB2" s="140"/>
      <c r="AC2" s="145"/>
      <c r="AD2" s="145"/>
      <c r="AE2" s="145"/>
      <c r="AF2" s="145"/>
      <c r="AG2" s="145"/>
      <c r="AH2" s="145"/>
      <c r="AI2" s="145"/>
      <c r="AJ2" s="145"/>
      <c r="AK2" s="145"/>
      <c r="AL2" s="145"/>
      <c r="AM2" s="145"/>
    </row>
    <row r="3" spans="1:39" x14ac:dyDescent="0.25">
      <c r="A3" s="145"/>
      <c r="B3" s="145"/>
      <c r="C3" s="145"/>
      <c r="D3" s="523" t="s">
        <v>381</v>
      </c>
      <c r="E3" s="425">
        <f>Welcome!$D$8</f>
        <v>0</v>
      </c>
      <c r="F3" s="145"/>
      <c r="G3" s="523" t="s">
        <v>110</v>
      </c>
      <c r="H3" s="1086" t="e">
        <f>VLOOKUP($H$4,'Market Geography'!$D:$G,4,FALSE)</f>
        <v>#N/A</v>
      </c>
      <c r="I3" s="1087"/>
      <c r="J3" s="1087"/>
      <c r="K3" s="1088"/>
      <c r="L3" s="145"/>
      <c r="M3" s="145"/>
      <c r="N3" s="145"/>
      <c r="O3" s="145"/>
      <c r="P3" s="145"/>
      <c r="Q3" s="145"/>
      <c r="R3" s="140"/>
      <c r="S3" s="145"/>
      <c r="T3" s="145"/>
      <c r="U3" s="145"/>
      <c r="V3" s="145"/>
      <c r="W3" s="145"/>
      <c r="X3" s="145"/>
      <c r="Y3" s="145"/>
      <c r="Z3" s="145"/>
      <c r="AA3" s="145"/>
      <c r="AB3" s="140"/>
      <c r="AC3" s="145"/>
      <c r="AD3" s="145"/>
      <c r="AE3" s="145"/>
      <c r="AF3" s="145"/>
      <c r="AG3" s="145"/>
      <c r="AH3" s="145"/>
      <c r="AI3" s="145"/>
      <c r="AJ3" s="145"/>
      <c r="AK3" s="145"/>
      <c r="AL3" s="145"/>
      <c r="AM3" s="145"/>
    </row>
    <row r="4" spans="1:39" x14ac:dyDescent="0.25">
      <c r="A4" s="145"/>
      <c r="B4" s="145"/>
      <c r="C4" s="145"/>
      <c r="D4" s="524" t="s">
        <v>216</v>
      </c>
      <c r="E4" s="393">
        <f>Welcome!$D$12</f>
        <v>0</v>
      </c>
      <c r="F4" s="145"/>
      <c r="G4" s="524" t="s">
        <v>120</v>
      </c>
      <c r="H4" s="1083">
        <f>Welcome!$D$4</f>
        <v>0</v>
      </c>
      <c r="I4" s="1084"/>
      <c r="J4" s="1084"/>
      <c r="K4" s="1085"/>
      <c r="L4" s="145"/>
      <c r="M4" s="145"/>
      <c r="N4" s="145"/>
      <c r="O4" s="145"/>
      <c r="P4" s="145"/>
      <c r="Q4" s="145"/>
      <c r="R4" s="140"/>
      <c r="S4" s="145"/>
      <c r="T4" s="145"/>
      <c r="U4" s="145"/>
      <c r="V4" s="145"/>
      <c r="W4" s="145"/>
      <c r="X4" s="145"/>
      <c r="Y4" s="145"/>
      <c r="Z4" s="145"/>
      <c r="AA4" s="145"/>
      <c r="AB4" s="140"/>
      <c r="AC4" s="145"/>
      <c r="AD4" s="145"/>
      <c r="AE4" s="145"/>
      <c r="AF4" s="145"/>
      <c r="AG4" s="145"/>
      <c r="AH4" s="145"/>
      <c r="AI4" s="145"/>
      <c r="AJ4" s="145"/>
      <c r="AK4" s="145"/>
      <c r="AL4" s="145"/>
      <c r="AM4" s="145"/>
    </row>
    <row r="5" spans="1:39" x14ac:dyDescent="0.25">
      <c r="A5" s="145"/>
      <c r="B5" s="145"/>
      <c r="C5" s="145"/>
      <c r="D5" s="524" t="s">
        <v>202</v>
      </c>
      <c r="E5" s="149">
        <f>$G$31</f>
        <v>0</v>
      </c>
      <c r="F5" s="145"/>
      <c r="G5" s="524" t="s">
        <v>107</v>
      </c>
      <c r="H5" s="1083" t="str">
        <f>'Multi-Customer'!$M$47</f>
        <v>Enter Customer(s)</v>
      </c>
      <c r="I5" s="1084"/>
      <c r="J5" s="1084"/>
      <c r="K5" s="1085"/>
      <c r="L5" s="145"/>
      <c r="M5" s="145"/>
      <c r="N5" s="145"/>
      <c r="O5" s="145"/>
      <c r="P5" s="145"/>
      <c r="Q5" s="145"/>
      <c r="R5" s="140"/>
      <c r="S5" s="145"/>
      <c r="T5" s="145"/>
      <c r="U5" s="145"/>
      <c r="V5" s="145"/>
      <c r="W5" s="145"/>
      <c r="X5" s="145"/>
      <c r="Y5" s="145"/>
      <c r="Z5" s="145"/>
      <c r="AA5" s="145"/>
      <c r="AB5" s="140"/>
      <c r="AC5" s="145"/>
      <c r="AD5" s="145"/>
      <c r="AE5" s="145"/>
      <c r="AF5" s="145"/>
      <c r="AG5" s="145"/>
      <c r="AH5" s="145"/>
      <c r="AI5" s="145"/>
      <c r="AJ5" s="145"/>
      <c r="AK5" s="145"/>
      <c r="AL5" s="145"/>
      <c r="AM5" s="145"/>
    </row>
    <row r="6" spans="1:39" x14ac:dyDescent="0.25">
      <c r="A6" s="145"/>
      <c r="B6" s="145"/>
      <c r="C6" s="145"/>
      <c r="D6" s="524" t="s">
        <v>493</v>
      </c>
      <c r="E6" s="150">
        <f>IFERROR('Variable Costs (Back)'!$K$26,0)</f>
        <v>0</v>
      </c>
      <c r="F6" s="145"/>
      <c r="G6" s="524" t="s">
        <v>410</v>
      </c>
      <c r="H6" s="1083" t="str">
        <f>'Multi-Customer'!$M$83</f>
        <v>MULTIPLE MENU TYPES</v>
      </c>
      <c r="I6" s="1084"/>
      <c r="J6" s="1084"/>
      <c r="K6" s="1085"/>
      <c r="L6" s="145"/>
      <c r="M6" s="145"/>
      <c r="N6" s="145"/>
      <c r="O6" s="145"/>
      <c r="P6" s="145"/>
      <c r="Q6" s="145"/>
      <c r="R6" s="140"/>
      <c r="S6" s="145"/>
      <c r="T6" s="145"/>
      <c r="U6" s="145"/>
      <c r="V6" s="145"/>
      <c r="W6" s="145"/>
      <c r="X6" s="145"/>
      <c r="Y6" s="145"/>
      <c r="Z6" s="145"/>
      <c r="AA6" s="145"/>
      <c r="AB6" s="140"/>
      <c r="AC6" s="145"/>
      <c r="AD6" s="145"/>
      <c r="AE6" s="145"/>
      <c r="AF6" s="145"/>
      <c r="AG6" s="145"/>
      <c r="AH6" s="145"/>
      <c r="AI6" s="145"/>
      <c r="AJ6" s="145"/>
      <c r="AK6" s="145"/>
      <c r="AL6" s="145"/>
      <c r="AM6" s="145"/>
    </row>
    <row r="7" spans="1:39" ht="15.75" thickBot="1" x14ac:dyDescent="0.3">
      <c r="A7" s="145"/>
      <c r="B7" s="145"/>
      <c r="C7" s="145"/>
      <c r="D7" s="525" t="s">
        <v>547</v>
      </c>
      <c r="E7" s="426">
        <f>IFERROR('PIM Ranges'!$AU$3,0)</f>
        <v>0</v>
      </c>
      <c r="F7" s="145"/>
      <c r="G7" s="525" t="s">
        <v>225</v>
      </c>
      <c r="H7" s="1089" t="s">
        <v>211</v>
      </c>
      <c r="I7" s="1090"/>
      <c r="J7" s="1090"/>
      <c r="K7" s="1091"/>
      <c r="L7" s="145"/>
      <c r="M7" s="145"/>
      <c r="N7" s="145"/>
      <c r="O7" s="145"/>
      <c r="P7" s="145"/>
      <c r="Q7" s="550"/>
      <c r="R7" s="140"/>
      <c r="S7" s="145"/>
      <c r="T7" s="145"/>
      <c r="U7" s="145"/>
      <c r="V7" s="145"/>
      <c r="W7" s="145"/>
      <c r="X7" s="145"/>
      <c r="Y7" s="145"/>
      <c r="Z7" s="145"/>
      <c r="AA7" s="145"/>
      <c r="AB7" s="140"/>
      <c r="AC7" s="145"/>
      <c r="AD7" s="145"/>
      <c r="AE7" s="145"/>
      <c r="AF7" s="145"/>
      <c r="AG7" s="145"/>
      <c r="AH7" s="145"/>
      <c r="AI7" s="145"/>
      <c r="AJ7" s="145"/>
      <c r="AK7" s="145"/>
      <c r="AL7" s="145"/>
      <c r="AM7" s="145"/>
    </row>
    <row r="8" spans="1:39" ht="31.9" customHeight="1" thickBot="1" x14ac:dyDescent="0.3">
      <c r="A8" s="145"/>
      <c r="B8" s="145"/>
      <c r="C8" s="145"/>
      <c r="D8" s="145"/>
      <c r="E8" s="145"/>
      <c r="F8" s="145"/>
      <c r="G8" s="661"/>
      <c r="H8" s="140"/>
      <c r="I8" s="140"/>
      <c r="J8" s="140"/>
      <c r="K8" s="145"/>
      <c r="L8" s="145"/>
      <c r="M8" s="145"/>
      <c r="N8" s="145"/>
      <c r="O8" s="518"/>
      <c r="P8" s="619" t="str">
        <f>IF($E$3="MDA","Contract Margin %","Margin % Used For Modeling")</f>
        <v>Margin % Used For Modeling</v>
      </c>
      <c r="Q8" s="518"/>
      <c r="R8" s="140"/>
      <c r="S8" s="152"/>
      <c r="T8" s="153" t="s">
        <v>522</v>
      </c>
      <c r="U8" s="152"/>
      <c r="V8" s="145"/>
      <c r="W8" s="417" t="s">
        <v>512</v>
      </c>
      <c r="X8" s="145"/>
      <c r="Y8" s="527" t="s">
        <v>1006</v>
      </c>
      <c r="Z8" s="145"/>
      <c r="AA8" s="145"/>
      <c r="AB8" s="145"/>
      <c r="AC8" s="145"/>
      <c r="AD8" s="145"/>
      <c r="AE8" s="145"/>
      <c r="AF8" s="145"/>
      <c r="AG8" s="145"/>
      <c r="AH8" s="145"/>
      <c r="AI8" s="145"/>
      <c r="AJ8" s="145"/>
      <c r="AK8" s="145"/>
      <c r="AL8" s="145"/>
      <c r="AM8" s="145"/>
    </row>
    <row r="9" spans="1:39" ht="30" customHeight="1" thickBot="1" x14ac:dyDescent="0.3">
      <c r="A9" s="145"/>
      <c r="B9" s="547" t="s">
        <v>972</v>
      </c>
      <c r="C9" s="548" t="s">
        <v>1052</v>
      </c>
      <c r="D9" s="548" t="s">
        <v>513</v>
      </c>
      <c r="E9" s="419" t="s">
        <v>479</v>
      </c>
      <c r="F9" s="154" t="s">
        <v>108</v>
      </c>
      <c r="G9" s="155" t="s">
        <v>82</v>
      </c>
      <c r="H9" s="156" t="s">
        <v>83</v>
      </c>
      <c r="I9" s="157" t="s">
        <v>518</v>
      </c>
      <c r="J9" s="154" t="s">
        <v>412</v>
      </c>
      <c r="K9" s="158" t="s">
        <v>232</v>
      </c>
      <c r="L9" s="159"/>
      <c r="M9" s="160" t="s">
        <v>1002</v>
      </c>
      <c r="N9" s="161"/>
      <c r="O9" s="520" t="s">
        <v>127</v>
      </c>
      <c r="P9" s="519" t="str">
        <f>IF($E$3="Incentive Only","Incentive Only","Recommended")</f>
        <v>Recommended</v>
      </c>
      <c r="Q9" s="521" t="s">
        <v>129</v>
      </c>
      <c r="R9" s="140"/>
      <c r="S9" s="162" t="s">
        <v>127</v>
      </c>
      <c r="T9" s="163" t="s">
        <v>128</v>
      </c>
      <c r="U9" s="164" t="s">
        <v>129</v>
      </c>
      <c r="V9" s="145"/>
      <c r="W9" s="418" t="s">
        <v>128</v>
      </c>
      <c r="X9" s="145"/>
      <c r="Y9" s="418" t="s">
        <v>128</v>
      </c>
      <c r="Z9" s="145"/>
      <c r="AA9" s="145"/>
      <c r="AB9" s="147"/>
      <c r="AD9" s="165" t="s">
        <v>711</v>
      </c>
      <c r="AE9" s="145"/>
      <c r="AF9" s="692" t="s">
        <v>1058</v>
      </c>
      <c r="AG9" s="145" t="s">
        <v>1059</v>
      </c>
      <c r="AH9" s="145" t="s">
        <v>501</v>
      </c>
      <c r="AI9" s="145"/>
      <c r="AJ9" s="145"/>
      <c r="AK9" s="145"/>
      <c r="AL9" s="145"/>
      <c r="AM9" s="145"/>
    </row>
    <row r="10" spans="1:39" ht="17.25" x14ac:dyDescent="0.25">
      <c r="A10" s="145"/>
      <c r="B10" s="650">
        <v>0</v>
      </c>
      <c r="C10" s="656"/>
      <c r="D10" s="803" t="s">
        <v>496</v>
      </c>
      <c r="E10" s="651" t="s">
        <v>1011</v>
      </c>
      <c r="F10" s="166" t="s">
        <v>99</v>
      </c>
      <c r="G10" s="696">
        <f>IFERROR('PIM Ranges'!AL12,0)</f>
        <v>0</v>
      </c>
      <c r="H10" s="697">
        <f>IFERROR('PIM Ranges'!AM12,0)</f>
        <v>0</v>
      </c>
      <c r="I10" s="698">
        <f>IFERROR('PIM Ranges'!AN12,0)</f>
        <v>0</v>
      </c>
      <c r="J10" s="423">
        <f>IF($E$3="Incentive Only",IF($D10="%",$P10*$G10,$P10*$I10),IF($D10="%",$K10*$G10,$K10*I10))</f>
        <v>0</v>
      </c>
      <c r="K10" s="898"/>
      <c r="L10" s="751" t="str">
        <f>IF($E$3="Incentive Only","",IF(K10="","",IF(K10&lt;O10,"X",IF(K10&gt;Q10,"X",""))))</f>
        <v/>
      </c>
      <c r="M10" s="896">
        <f>'Multi-Customer'!Y12</f>
        <v>0</v>
      </c>
      <c r="N10" s="167"/>
      <c r="O10" s="900">
        <f>IFERROR(IF($D10="%",VLOOKUP($F10&amp;'PIM Ranges'!$AQ12,'Margin Quartiles'!$A:$H,5,FALSE),S10),0)</f>
        <v>0</v>
      </c>
      <c r="P10" s="900">
        <f>IFERROR(IF($E$3="Incentive Only",$W10,IF($D10="%",VLOOKUP($F10&amp;'PIM Ranges'!$AQ12,'Margin Quartiles'!$A:$H,6,FALSE),T10)),0)</f>
        <v>0</v>
      </c>
      <c r="Q10" s="900">
        <f>IFERROR(IF($D10="%",VLOOKUP($F10&amp;'PIM Ranges'!$AQ12,'Margin Quartiles'!$A:$H,7,FALSE),U10),0)</f>
        <v>0</v>
      </c>
      <c r="R10" s="546"/>
      <c r="S10" s="168"/>
      <c r="T10" s="168"/>
      <c r="U10" s="168"/>
      <c r="V10" s="145"/>
      <c r="W10" s="168" t="e">
        <f>'Multi-Customer'!AO12</f>
        <v>#DIV/0!</v>
      </c>
      <c r="X10" s="145"/>
      <c r="Y10" s="168"/>
      <c r="Z10" s="145"/>
      <c r="AA10" s="145"/>
      <c r="AB10" s="395" t="str">
        <f>IF($E$3="Incentive Only","",IF($H10&gt;0,IF(E10="Include",IF($K10&lt;&gt;"","","ERROR"),""),""))</f>
        <v/>
      </c>
      <c r="AC10" s="169">
        <f>IF($E$3="Incentive Only","N/A for Incentive Only Customer",K10)</f>
        <v>0</v>
      </c>
      <c r="AD10" s="145" t="str">
        <f>IF($K10="","",ROUND(IF($D10="%",AC10*100,K10),4))</f>
        <v/>
      </c>
      <c r="AE10" s="145"/>
      <c r="AF10" s="145" t="str">
        <f>IF(L10="X",IF(K10&lt;O10,"BELOW","ABOVE"),"")</f>
        <v/>
      </c>
      <c r="AG10" s="145" t="str">
        <f>IF($AF10="","",IF($AF10="ABOVE",$Q10,$O10))</f>
        <v/>
      </c>
      <c r="AH10" s="145" t="str">
        <f>IF($AF10="","",$K10)</f>
        <v/>
      </c>
      <c r="AI10" s="145"/>
      <c r="AJ10" s="145"/>
      <c r="AK10" s="145"/>
      <c r="AL10" s="145"/>
      <c r="AM10" s="145"/>
    </row>
    <row r="11" spans="1:39" ht="17.25" x14ac:dyDescent="0.25">
      <c r="A11" s="145"/>
      <c r="B11" s="652">
        <v>0</v>
      </c>
      <c r="C11" s="657"/>
      <c r="D11" s="794" t="s">
        <v>496</v>
      </c>
      <c r="E11" s="653" t="s">
        <v>1011</v>
      </c>
      <c r="F11" s="170" t="s">
        <v>529</v>
      </c>
      <c r="G11" s="699">
        <f>IFERROR('PIM Ranges'!AL13,0)</f>
        <v>0</v>
      </c>
      <c r="H11" s="700">
        <f>IFERROR('PIM Ranges'!AM13,0)</f>
        <v>0</v>
      </c>
      <c r="I11" s="701">
        <f>IFERROR('PIM Ranges'!AN13,0)</f>
        <v>0</v>
      </c>
      <c r="J11" s="423">
        <f t="shared" ref="J11:J30" si="0">IF($E$3="Incentive Only",IF($D11="%",$P11*$G11,$P11*$I11),IF($D11="%",$K11*$G11,$K11*I11))</f>
        <v>0</v>
      </c>
      <c r="K11" s="898"/>
      <c r="L11" s="751" t="str">
        <f t="shared" ref="L11:L30" si="1">IF($E$3="Incentive Only","",IF(K11="","",IF(K11&lt;O11,"X",IF(K11&gt;Q11,"X",""))))</f>
        <v/>
      </c>
      <c r="M11" s="896">
        <f>'Multi-Customer'!Y13</f>
        <v>0</v>
      </c>
      <c r="N11" s="167"/>
      <c r="O11" s="900">
        <f>IFERROR(IF($D11="%",VLOOKUP($F11&amp;'PIM Ranges'!$AQ13,'Margin Quartiles'!$A:$H,5,FALSE),S11),0)</f>
        <v>0</v>
      </c>
      <c r="P11" s="900">
        <f>IFERROR(IF($E$3="Incentive Only",$W11,IF($D11="%",VLOOKUP($F11&amp;'PIM Ranges'!$AQ13,'Margin Quartiles'!$A:$H,6,FALSE),T11)),0)</f>
        <v>0</v>
      </c>
      <c r="Q11" s="900">
        <f>IFERROR(IF($D11="%",VLOOKUP($F11&amp;'PIM Ranges'!$AQ13,'Margin Quartiles'!$A:$H,7,FALSE),U11),0)</f>
        <v>0</v>
      </c>
      <c r="R11" s="546"/>
      <c r="S11" s="416" t="e">
        <f>VLOOKUP($F11&amp;'PIM Ranges'!$AQ13,'Margin Quartiles'!$A:$H,5,FALSE)*'PIM Ranges'!$AP13</f>
        <v>#DIV/0!</v>
      </c>
      <c r="T11" s="416" t="e">
        <f>VLOOKUP($F11&amp;'PIM Ranges'!$AQ13,'Margin Quartiles'!$A:$H,6,FALSE)*'PIM Ranges'!$AP13</f>
        <v>#DIV/0!</v>
      </c>
      <c r="U11" s="416" t="e">
        <f>VLOOKUP($F11&amp;'PIM Ranges'!$AQ13,'Margin Quartiles'!$A:$H,8,FALSE)*'PIM Ranges'!$AP13</f>
        <v>#DIV/0!</v>
      </c>
      <c r="V11" s="145"/>
      <c r="W11" s="168" t="e">
        <f>'Multi-Customer'!AO13</f>
        <v>#DIV/0!</v>
      </c>
      <c r="X11" s="145"/>
      <c r="Y11" s="416">
        <f>VLOOKUP($F11&amp;'Multi-Customer'!$AG13,'IMargin Quartiles'!$A:$H,6,FALSE)*'PIM Ranges'!AP13</f>
        <v>0.5799402185190482</v>
      </c>
      <c r="Z11" s="145"/>
      <c r="AA11" s="145"/>
      <c r="AB11" s="395" t="str">
        <f t="shared" ref="AB11:AB30" si="2">IF($E$3="Incentive Only","",IF($H11&gt;0,IF(E11="Include",IF($K11&lt;&gt;"","","ERROR"),""),""))</f>
        <v/>
      </c>
      <c r="AC11" s="169">
        <f t="shared" ref="AC11:AC30" si="3">IF($E$3="Incentive Only","N/A for Incentive Only Customer",K11)</f>
        <v>0</v>
      </c>
      <c r="AD11" s="145" t="str">
        <f t="shared" ref="AD11:AD30" si="4">IF($K11="","",ROUND(IF($D11="%",AC11*100,K11),4))</f>
        <v/>
      </c>
      <c r="AE11" s="145"/>
      <c r="AF11" s="145" t="str">
        <f t="shared" ref="AF11:AF30" si="5">IF(L11="X",IF(K11&lt;O11,"BELOW","ABOVE"),"")</f>
        <v/>
      </c>
      <c r="AG11" s="145" t="str">
        <f t="shared" ref="AG11:AG30" si="6">IF($AF11="","",IF($AF11="ABOVE",$Q11,$O11))</f>
        <v/>
      </c>
      <c r="AH11" s="145" t="str">
        <f t="shared" ref="AH11:AH30" si="7">IF($AF11="","",$K11)</f>
        <v/>
      </c>
      <c r="AI11" s="145"/>
      <c r="AJ11" s="145"/>
      <c r="AK11" s="145"/>
      <c r="AL11" s="145"/>
      <c r="AM11" s="145"/>
    </row>
    <row r="12" spans="1:39" ht="17.25" x14ac:dyDescent="0.25">
      <c r="A12" s="145"/>
      <c r="B12" s="652">
        <v>0</v>
      </c>
      <c r="C12" s="657"/>
      <c r="D12" s="794" t="s">
        <v>496</v>
      </c>
      <c r="E12" s="653" t="s">
        <v>1011</v>
      </c>
      <c r="F12" s="170" t="s">
        <v>530</v>
      </c>
      <c r="G12" s="699">
        <f>IFERROR('PIM Ranges'!AL14,0)</f>
        <v>0</v>
      </c>
      <c r="H12" s="700">
        <f>IFERROR('PIM Ranges'!AM14,0)</f>
        <v>0</v>
      </c>
      <c r="I12" s="701">
        <f>IFERROR('PIM Ranges'!AN14,0)</f>
        <v>0</v>
      </c>
      <c r="J12" s="423">
        <f t="shared" si="0"/>
        <v>0</v>
      </c>
      <c r="K12" s="898"/>
      <c r="L12" s="751" t="str">
        <f>IF($E$3="Incentive Only","",IF(K12="","",IF(K12&lt;O12,"X",IF(K12&gt;Q12,"X",""))))</f>
        <v/>
      </c>
      <c r="M12" s="896">
        <f>'Multi-Customer'!Y14</f>
        <v>0</v>
      </c>
      <c r="N12" s="167"/>
      <c r="O12" s="900">
        <f>IFERROR(IF($D12="%",VLOOKUP($F12&amp;'PIM Ranges'!$AQ14,'Margin Quartiles'!$A:$H,5,FALSE),S12),0)</f>
        <v>0</v>
      </c>
      <c r="P12" s="900">
        <f>IFERROR(IF($E$3="Incentive Only",$W12,IF($D12="%",VLOOKUP($F12&amp;'PIM Ranges'!$AQ14,'Margin Quartiles'!$A:$H,6,FALSE),T12)),0)</f>
        <v>0</v>
      </c>
      <c r="Q12" s="900">
        <f>IFERROR(IF($D12="%",VLOOKUP($F12&amp;'PIM Ranges'!$AQ14,'Margin Quartiles'!$A:$H,7,FALSE),U12),0)</f>
        <v>0</v>
      </c>
      <c r="R12" s="546"/>
      <c r="S12" s="416" t="e">
        <f>VLOOKUP($F12&amp;'PIM Ranges'!$AQ14,'Margin Quartiles'!$A:$H,5,FALSE)*'PIM Ranges'!$AP14</f>
        <v>#DIV/0!</v>
      </c>
      <c r="T12" s="416" t="e">
        <f>VLOOKUP($F12&amp;'PIM Ranges'!$AQ14,'Margin Quartiles'!$A:$H,6,FALSE)*'PIM Ranges'!$AP14</f>
        <v>#DIV/0!</v>
      </c>
      <c r="U12" s="416" t="e">
        <f>VLOOKUP($F12&amp;'PIM Ranges'!$AQ14,'Margin Quartiles'!$A:$H,8,FALSE)*'PIM Ranges'!$AP14</f>
        <v>#DIV/0!</v>
      </c>
      <c r="V12" s="145"/>
      <c r="W12" s="168" t="e">
        <f>'Multi-Customer'!AO14</f>
        <v>#DIV/0!</v>
      </c>
      <c r="X12" s="145"/>
      <c r="Y12" s="416">
        <f>VLOOKUP($F12&amp;'Multi-Customer'!$AG14,'IMargin Quartiles'!$A:$H,6,FALSE)*'PIM Ranges'!AP14</f>
        <v>0.26673394043099319</v>
      </c>
      <c r="Z12" s="145"/>
      <c r="AA12" s="145"/>
      <c r="AB12" s="395" t="str">
        <f t="shared" si="2"/>
        <v/>
      </c>
      <c r="AC12" s="169">
        <f t="shared" si="3"/>
        <v>0</v>
      </c>
      <c r="AD12" s="145" t="str">
        <f t="shared" si="4"/>
        <v/>
      </c>
      <c r="AE12" s="145"/>
      <c r="AF12" s="145" t="str">
        <f t="shared" si="5"/>
        <v/>
      </c>
      <c r="AG12" s="145" t="str">
        <f t="shared" si="6"/>
        <v/>
      </c>
      <c r="AH12" s="145" t="str">
        <f t="shared" si="7"/>
        <v/>
      </c>
      <c r="AI12" s="145"/>
      <c r="AJ12" s="145"/>
      <c r="AK12" s="145"/>
      <c r="AL12" s="145"/>
      <c r="AM12" s="145"/>
    </row>
    <row r="13" spans="1:39" ht="17.25" x14ac:dyDescent="0.25">
      <c r="A13" s="145"/>
      <c r="B13" s="652">
        <v>0</v>
      </c>
      <c r="C13" s="657"/>
      <c r="D13" s="804" t="s">
        <v>496</v>
      </c>
      <c r="E13" s="653" t="s">
        <v>1011</v>
      </c>
      <c r="F13" s="171" t="s">
        <v>102</v>
      </c>
      <c r="G13" s="699">
        <f>IFERROR('PIM Ranges'!AL15,0)</f>
        <v>0</v>
      </c>
      <c r="H13" s="700">
        <f>IFERROR('PIM Ranges'!AM15,0)</f>
        <v>0</v>
      </c>
      <c r="I13" s="701">
        <f>IFERROR('PIM Ranges'!AN15,0)</f>
        <v>0</v>
      </c>
      <c r="J13" s="423">
        <f t="shared" si="0"/>
        <v>0</v>
      </c>
      <c r="K13" s="898"/>
      <c r="L13" s="751" t="str">
        <f t="shared" si="1"/>
        <v/>
      </c>
      <c r="M13" s="896">
        <f>'Multi-Customer'!Y15</f>
        <v>0</v>
      </c>
      <c r="N13" s="167"/>
      <c r="O13" s="900">
        <f>IFERROR(IF($D13="%",VLOOKUP($F13&amp;'PIM Ranges'!$AQ15,'Margin Quartiles'!$A:$H,5,FALSE),S13),0)</f>
        <v>0</v>
      </c>
      <c r="P13" s="900">
        <f>IFERROR(IF($E$3="Incentive Only",$W13,IF($D13="%",VLOOKUP($F13&amp;'PIM Ranges'!$AQ15,'Margin Quartiles'!$A:$H,6,FALSE),T13)),0)</f>
        <v>0</v>
      </c>
      <c r="Q13" s="900">
        <f>IFERROR(IF($D13="%",VLOOKUP($F13&amp;'PIM Ranges'!$AQ15,'Margin Quartiles'!$A:$H,7,FALSE),U13),0)</f>
        <v>0</v>
      </c>
      <c r="R13" s="546"/>
      <c r="S13" s="168"/>
      <c r="T13" s="168"/>
      <c r="U13" s="168"/>
      <c r="V13" s="145"/>
      <c r="W13" s="168" t="e">
        <f>'Multi-Customer'!AO15</f>
        <v>#DIV/0!</v>
      </c>
      <c r="X13" s="145"/>
      <c r="Y13" s="168"/>
      <c r="Z13" s="145"/>
      <c r="AA13" s="145"/>
      <c r="AB13" s="395" t="str">
        <f t="shared" si="2"/>
        <v/>
      </c>
      <c r="AC13" s="169">
        <f t="shared" si="3"/>
        <v>0</v>
      </c>
      <c r="AD13" s="145" t="str">
        <f t="shared" si="4"/>
        <v/>
      </c>
      <c r="AE13" s="145"/>
      <c r="AF13" s="145" t="str">
        <f t="shared" si="5"/>
        <v/>
      </c>
      <c r="AG13" s="145" t="str">
        <f t="shared" si="6"/>
        <v/>
      </c>
      <c r="AH13" s="145" t="str">
        <f t="shared" si="7"/>
        <v/>
      </c>
      <c r="AI13" s="145"/>
      <c r="AJ13" s="145"/>
      <c r="AK13" s="145"/>
      <c r="AL13" s="145"/>
      <c r="AM13" s="145"/>
    </row>
    <row r="14" spans="1:39" ht="17.25" x14ac:dyDescent="0.25">
      <c r="A14" s="145"/>
      <c r="B14" s="652">
        <v>0</v>
      </c>
      <c r="C14" s="657"/>
      <c r="D14" s="804" t="s">
        <v>496</v>
      </c>
      <c r="E14" s="653" t="s">
        <v>1011</v>
      </c>
      <c r="F14" s="171" t="s">
        <v>100</v>
      </c>
      <c r="G14" s="699">
        <f>IFERROR('PIM Ranges'!AL16,0)</f>
        <v>0</v>
      </c>
      <c r="H14" s="700">
        <f>IFERROR('PIM Ranges'!AM16,0)</f>
        <v>0</v>
      </c>
      <c r="I14" s="701">
        <f>IFERROR('PIM Ranges'!AN16,0)</f>
        <v>0</v>
      </c>
      <c r="J14" s="423">
        <f t="shared" si="0"/>
        <v>0</v>
      </c>
      <c r="K14" s="898"/>
      <c r="L14" s="751" t="str">
        <f t="shared" si="1"/>
        <v/>
      </c>
      <c r="M14" s="896">
        <f>'Multi-Customer'!Y16</f>
        <v>0</v>
      </c>
      <c r="N14" s="167"/>
      <c r="O14" s="900">
        <f>IFERROR(IF($D14="%",VLOOKUP($F14&amp;'PIM Ranges'!$AQ16,'Margin Quartiles'!$A:$H,5,FALSE),S14),0)</f>
        <v>0</v>
      </c>
      <c r="P14" s="900">
        <f>IFERROR(IF($E$3="Incentive Only",$W14,IF($D14="%",VLOOKUP($F14&amp;'PIM Ranges'!$AQ16,'Margin Quartiles'!$A:$H,6,FALSE),T14)),0)</f>
        <v>0</v>
      </c>
      <c r="Q14" s="900">
        <f>IFERROR(IF($D14="%",VLOOKUP($F14&amp;'PIM Ranges'!$AQ16,'Margin Quartiles'!$A:$H,7,FALSE),U14),0)</f>
        <v>0</v>
      </c>
      <c r="R14" s="546"/>
      <c r="S14" s="168"/>
      <c r="T14" s="168"/>
      <c r="U14" s="168"/>
      <c r="V14" s="145"/>
      <c r="W14" s="168" t="e">
        <f>'Multi-Customer'!AO16</f>
        <v>#DIV/0!</v>
      </c>
      <c r="X14" s="145"/>
      <c r="Y14" s="168"/>
      <c r="Z14" s="145"/>
      <c r="AA14" s="145"/>
      <c r="AB14" s="395" t="str">
        <f t="shared" si="2"/>
        <v/>
      </c>
      <c r="AC14" s="169">
        <f t="shared" si="3"/>
        <v>0</v>
      </c>
      <c r="AD14" s="145" t="str">
        <f t="shared" si="4"/>
        <v/>
      </c>
      <c r="AE14" s="145"/>
      <c r="AF14" s="145" t="str">
        <f t="shared" si="5"/>
        <v/>
      </c>
      <c r="AG14" s="145" t="str">
        <f t="shared" si="6"/>
        <v/>
      </c>
      <c r="AH14" s="145" t="str">
        <f t="shared" si="7"/>
        <v/>
      </c>
      <c r="AI14" s="145"/>
      <c r="AJ14" s="145"/>
      <c r="AK14" s="145"/>
      <c r="AL14" s="145"/>
      <c r="AM14" s="145"/>
    </row>
    <row r="15" spans="1:39" ht="17.25" x14ac:dyDescent="0.25">
      <c r="A15" s="145"/>
      <c r="B15" s="652">
        <v>0</v>
      </c>
      <c r="C15" s="657"/>
      <c r="D15" s="804" t="s">
        <v>496</v>
      </c>
      <c r="E15" s="653" t="s">
        <v>1011</v>
      </c>
      <c r="F15" s="171" t="s">
        <v>104</v>
      </c>
      <c r="G15" s="699">
        <f>IFERROR('PIM Ranges'!AL17,0)</f>
        <v>0</v>
      </c>
      <c r="H15" s="700">
        <f>IFERROR('PIM Ranges'!AM17,0)</f>
        <v>0</v>
      </c>
      <c r="I15" s="701">
        <f>IFERROR('PIM Ranges'!AN17,0)</f>
        <v>0</v>
      </c>
      <c r="J15" s="423">
        <f t="shared" si="0"/>
        <v>0</v>
      </c>
      <c r="K15" s="898"/>
      <c r="L15" s="751" t="str">
        <f t="shared" si="1"/>
        <v/>
      </c>
      <c r="M15" s="896">
        <f>'Multi-Customer'!Y17</f>
        <v>0</v>
      </c>
      <c r="N15" s="167"/>
      <c r="O15" s="900">
        <f>IFERROR(IF($D15="%",VLOOKUP($F15&amp;'PIM Ranges'!$AQ17,'Margin Quartiles'!$A:$H,5,FALSE),S15),0)</f>
        <v>0</v>
      </c>
      <c r="P15" s="900">
        <f>IFERROR(IF($E$3="Incentive Only",$W15,IF($D15="%",VLOOKUP($F15&amp;'PIM Ranges'!$AQ17,'Margin Quartiles'!$A:$H,6,FALSE),T15)),0)</f>
        <v>0</v>
      </c>
      <c r="Q15" s="900">
        <f>IFERROR(IF($D15="%",VLOOKUP($F15&amp;'PIM Ranges'!$AQ17,'Margin Quartiles'!$A:$H,7,FALSE),U15),0)</f>
        <v>0</v>
      </c>
      <c r="R15" s="546"/>
      <c r="S15" s="168"/>
      <c r="T15" s="168"/>
      <c r="U15" s="168"/>
      <c r="V15" s="145"/>
      <c r="W15" s="168" t="e">
        <f>'Multi-Customer'!AO17</f>
        <v>#DIV/0!</v>
      </c>
      <c r="X15" s="145"/>
      <c r="Y15" s="168"/>
      <c r="Z15" s="145"/>
      <c r="AA15" s="145"/>
      <c r="AB15" s="395" t="str">
        <f>IF($E$3="Incentive Only","",IF($H15&gt;0,IF(E15="Include",IF($K15&lt;&gt;"","","ERROR"),""),""))</f>
        <v/>
      </c>
      <c r="AC15" s="169">
        <f t="shared" si="3"/>
        <v>0</v>
      </c>
      <c r="AD15" s="145" t="str">
        <f t="shared" si="4"/>
        <v/>
      </c>
      <c r="AE15" s="145"/>
      <c r="AF15" s="145" t="str">
        <f t="shared" si="5"/>
        <v/>
      </c>
      <c r="AG15" s="145" t="str">
        <f t="shared" si="6"/>
        <v/>
      </c>
      <c r="AH15" s="145" t="str">
        <f t="shared" si="7"/>
        <v/>
      </c>
      <c r="AI15" s="145"/>
      <c r="AJ15" s="145"/>
      <c r="AK15" s="145"/>
      <c r="AL15" s="145"/>
      <c r="AM15" s="145"/>
    </row>
    <row r="16" spans="1:39" ht="17.25" x14ac:dyDescent="0.25">
      <c r="A16" s="145"/>
      <c r="B16" s="652">
        <v>0</v>
      </c>
      <c r="C16" s="657"/>
      <c r="D16" s="804" t="s">
        <v>496</v>
      </c>
      <c r="E16" s="653" t="s">
        <v>1011</v>
      </c>
      <c r="F16" s="171" t="s">
        <v>98</v>
      </c>
      <c r="G16" s="699">
        <f>IFERROR('PIM Ranges'!AL18,0)</f>
        <v>0</v>
      </c>
      <c r="H16" s="700">
        <f>IFERROR('PIM Ranges'!AM18,0)</f>
        <v>0</v>
      </c>
      <c r="I16" s="701">
        <f>IFERROR('PIM Ranges'!AN18,0)</f>
        <v>0</v>
      </c>
      <c r="J16" s="423">
        <f t="shared" si="0"/>
        <v>0</v>
      </c>
      <c r="K16" s="898"/>
      <c r="L16" s="751" t="str">
        <f t="shared" si="1"/>
        <v/>
      </c>
      <c r="M16" s="896">
        <f>'Multi-Customer'!Y18</f>
        <v>0</v>
      </c>
      <c r="N16" s="167"/>
      <c r="O16" s="900">
        <f>IFERROR(IF($D16="%",VLOOKUP($F16&amp;'PIM Ranges'!$AQ18,'Margin Quartiles'!$A:$H,5,FALSE),S16),0)</f>
        <v>0</v>
      </c>
      <c r="P16" s="900">
        <f>IFERROR(IF($E$3="Incentive Only",$W16,IF($D16="%",VLOOKUP($F16&amp;'PIM Ranges'!$AQ18,'Margin Quartiles'!$A:$H,6,FALSE),T16)),0)</f>
        <v>0</v>
      </c>
      <c r="Q16" s="900">
        <f>IFERROR(IF($D16="%",VLOOKUP($F16&amp;'PIM Ranges'!$AQ18,'Margin Quartiles'!$A:$H,7,FALSE),U16),0)</f>
        <v>0</v>
      </c>
      <c r="R16" s="546"/>
      <c r="S16" s="168"/>
      <c r="T16" s="168"/>
      <c r="U16" s="168"/>
      <c r="V16" s="145"/>
      <c r="W16" s="168" t="e">
        <f>'Multi-Customer'!AO18</f>
        <v>#DIV/0!</v>
      </c>
      <c r="X16" s="145"/>
      <c r="Y16" s="168"/>
      <c r="Z16" s="145"/>
      <c r="AA16" s="145"/>
      <c r="AB16" s="395" t="str">
        <f t="shared" si="2"/>
        <v/>
      </c>
      <c r="AC16" s="169">
        <f t="shared" si="3"/>
        <v>0</v>
      </c>
      <c r="AD16" s="145" t="str">
        <f t="shared" si="4"/>
        <v/>
      </c>
      <c r="AE16" s="145"/>
      <c r="AF16" s="145" t="str">
        <f t="shared" si="5"/>
        <v/>
      </c>
      <c r="AG16" s="145" t="str">
        <f t="shared" si="6"/>
        <v/>
      </c>
      <c r="AH16" s="145" t="str">
        <f t="shared" si="7"/>
        <v/>
      </c>
      <c r="AI16" s="145"/>
      <c r="AJ16" s="145"/>
      <c r="AK16" s="145"/>
      <c r="AL16" s="145"/>
      <c r="AM16" s="145"/>
    </row>
    <row r="17" spans="1:39" ht="17.25" x14ac:dyDescent="0.25">
      <c r="A17" s="145"/>
      <c r="B17" s="652">
        <v>0</v>
      </c>
      <c r="C17" s="657"/>
      <c r="D17" s="804" t="s">
        <v>496</v>
      </c>
      <c r="E17" s="653" t="s">
        <v>1011</v>
      </c>
      <c r="F17" s="171" t="s">
        <v>95</v>
      </c>
      <c r="G17" s="699">
        <f>IFERROR('PIM Ranges'!AL19,0)</f>
        <v>0</v>
      </c>
      <c r="H17" s="700">
        <f>IFERROR('PIM Ranges'!AM19,0)</f>
        <v>0</v>
      </c>
      <c r="I17" s="701">
        <f>IFERROR('PIM Ranges'!AN19,0)</f>
        <v>0</v>
      </c>
      <c r="J17" s="423">
        <f t="shared" si="0"/>
        <v>0</v>
      </c>
      <c r="K17" s="898"/>
      <c r="L17" s="751" t="str">
        <f t="shared" si="1"/>
        <v/>
      </c>
      <c r="M17" s="896">
        <f>'Multi-Customer'!Y19</f>
        <v>0</v>
      </c>
      <c r="N17" s="167"/>
      <c r="O17" s="900">
        <f>IFERROR(IF($D17="%",VLOOKUP($F17&amp;'PIM Ranges'!$AQ19,'Margin Quartiles'!$A:$H,5,FALSE),S17),0)</f>
        <v>0</v>
      </c>
      <c r="P17" s="900">
        <f>IFERROR(IF($E$3="Incentive Only",$W17,IF($D17="%",VLOOKUP($F17&amp;'PIM Ranges'!$AQ19,'Margin Quartiles'!$A:$H,6,FALSE),T17)),0)</f>
        <v>0</v>
      </c>
      <c r="Q17" s="900">
        <f>IFERROR(IF($D17="%",VLOOKUP($F17&amp;'PIM Ranges'!$AQ19,'Margin Quartiles'!$A:$H,7,FALSE),U17),0)</f>
        <v>0</v>
      </c>
      <c r="R17" s="546"/>
      <c r="S17" s="168"/>
      <c r="T17" s="168"/>
      <c r="U17" s="168"/>
      <c r="V17" s="145"/>
      <c r="W17" s="168" t="e">
        <f>'Multi-Customer'!AO19</f>
        <v>#DIV/0!</v>
      </c>
      <c r="X17" s="145"/>
      <c r="Y17" s="168"/>
      <c r="Z17" s="145"/>
      <c r="AA17" s="145"/>
      <c r="AB17" s="395" t="str">
        <f t="shared" si="2"/>
        <v/>
      </c>
      <c r="AC17" s="169">
        <f t="shared" si="3"/>
        <v>0</v>
      </c>
      <c r="AD17" s="145" t="str">
        <f t="shared" si="4"/>
        <v/>
      </c>
      <c r="AE17" s="145"/>
      <c r="AF17" s="145" t="str">
        <f t="shared" si="5"/>
        <v/>
      </c>
      <c r="AG17" s="145" t="str">
        <f t="shared" si="6"/>
        <v/>
      </c>
      <c r="AH17" s="145" t="str">
        <f t="shared" si="7"/>
        <v/>
      </c>
      <c r="AI17" s="145"/>
      <c r="AJ17" s="145"/>
      <c r="AK17" s="145"/>
      <c r="AL17" s="145"/>
      <c r="AM17" s="145"/>
    </row>
    <row r="18" spans="1:39" ht="17.25" x14ac:dyDescent="0.25">
      <c r="A18" s="145"/>
      <c r="B18" s="652">
        <v>0</v>
      </c>
      <c r="C18" s="657"/>
      <c r="D18" s="804" t="s">
        <v>496</v>
      </c>
      <c r="E18" s="653" t="s">
        <v>1011</v>
      </c>
      <c r="F18" s="171" t="s">
        <v>96</v>
      </c>
      <c r="G18" s="699">
        <f>IFERROR('PIM Ranges'!AL20,0)</f>
        <v>0</v>
      </c>
      <c r="H18" s="700">
        <f>IFERROR('PIM Ranges'!AM20,0)</f>
        <v>0</v>
      </c>
      <c r="I18" s="701">
        <f>IFERROR('PIM Ranges'!AN20,0)</f>
        <v>0</v>
      </c>
      <c r="J18" s="423">
        <f t="shared" si="0"/>
        <v>0</v>
      </c>
      <c r="K18" s="898"/>
      <c r="L18" s="751" t="str">
        <f t="shared" si="1"/>
        <v/>
      </c>
      <c r="M18" s="896">
        <f>'Multi-Customer'!Y20</f>
        <v>0</v>
      </c>
      <c r="N18" s="167"/>
      <c r="O18" s="900">
        <f>IFERROR(IF($D18="%",VLOOKUP($F18&amp;'PIM Ranges'!$AQ20,'Margin Quartiles'!$A:$H,5,FALSE),S18),0)</f>
        <v>0</v>
      </c>
      <c r="P18" s="900">
        <f>IFERROR(IF($E$3="Incentive Only",$W18,IF($D18="%",VLOOKUP($F18&amp;'PIM Ranges'!$AQ20,'Margin Quartiles'!$A:$H,6,FALSE),T18)),0)</f>
        <v>0</v>
      </c>
      <c r="Q18" s="900">
        <f>IFERROR(IF($D18="%",VLOOKUP($F18&amp;'PIM Ranges'!$AQ20,'Margin Quartiles'!$A:$H,7,FALSE),U18),0)</f>
        <v>0</v>
      </c>
      <c r="R18" s="546"/>
      <c r="S18" s="168"/>
      <c r="T18" s="168"/>
      <c r="U18" s="168"/>
      <c r="V18" s="145"/>
      <c r="W18" s="168" t="e">
        <f>'Multi-Customer'!AO20</f>
        <v>#DIV/0!</v>
      </c>
      <c r="X18" s="145"/>
      <c r="Y18" s="168"/>
      <c r="Z18" s="145"/>
      <c r="AA18" s="145"/>
      <c r="AB18" s="395" t="str">
        <f t="shared" si="2"/>
        <v/>
      </c>
      <c r="AC18" s="169">
        <f t="shared" si="3"/>
        <v>0</v>
      </c>
      <c r="AD18" s="145" t="str">
        <f t="shared" si="4"/>
        <v/>
      </c>
      <c r="AE18" s="145"/>
      <c r="AF18" s="145" t="str">
        <f t="shared" si="5"/>
        <v/>
      </c>
      <c r="AG18" s="145" t="str">
        <f t="shared" si="6"/>
        <v/>
      </c>
      <c r="AH18" s="145" t="str">
        <f t="shared" si="7"/>
        <v/>
      </c>
      <c r="AI18" s="145"/>
      <c r="AJ18" s="145"/>
      <c r="AK18" s="145"/>
      <c r="AL18" s="145"/>
      <c r="AM18" s="145"/>
    </row>
    <row r="19" spans="1:39" ht="17.25" x14ac:dyDescent="0.25">
      <c r="A19" s="145"/>
      <c r="B19" s="652">
        <v>0</v>
      </c>
      <c r="C19" s="657"/>
      <c r="D19" s="804" t="s">
        <v>496</v>
      </c>
      <c r="E19" s="653" t="s">
        <v>1011</v>
      </c>
      <c r="F19" s="171" t="s">
        <v>101</v>
      </c>
      <c r="G19" s="699">
        <f>IFERROR('PIM Ranges'!AL21,0)</f>
        <v>0</v>
      </c>
      <c r="H19" s="700">
        <f>IFERROR('PIM Ranges'!AM21,0)</f>
        <v>0</v>
      </c>
      <c r="I19" s="701">
        <f>IFERROR('PIM Ranges'!AN21,0)</f>
        <v>0</v>
      </c>
      <c r="J19" s="423">
        <f t="shared" si="0"/>
        <v>0</v>
      </c>
      <c r="K19" s="898"/>
      <c r="L19" s="751" t="str">
        <f t="shared" si="1"/>
        <v/>
      </c>
      <c r="M19" s="896">
        <f>'Multi-Customer'!Y21</f>
        <v>0</v>
      </c>
      <c r="N19" s="167"/>
      <c r="O19" s="900">
        <f>IFERROR(IF($D19="%",VLOOKUP($F19&amp;'PIM Ranges'!$AQ21,'Margin Quartiles'!$A:$H,5,FALSE),S19),0)</f>
        <v>0</v>
      </c>
      <c r="P19" s="900">
        <f>IFERROR(IF($E$3="Incentive Only",$W19,IF($D19="%",VLOOKUP($F19&amp;'PIM Ranges'!$AQ21,'Margin Quartiles'!$A:$H,6,FALSE),T19)),0)</f>
        <v>0</v>
      </c>
      <c r="Q19" s="900">
        <f>IFERROR(IF($D19="%",VLOOKUP($F19&amp;'PIM Ranges'!$AQ21,'Margin Quartiles'!$A:$H,7,FALSE),U19),0)</f>
        <v>0</v>
      </c>
      <c r="R19" s="546"/>
      <c r="S19" s="168"/>
      <c r="T19" s="168"/>
      <c r="U19" s="168"/>
      <c r="V19" s="145"/>
      <c r="W19" s="168" t="e">
        <f>'Multi-Customer'!AO21</f>
        <v>#DIV/0!</v>
      </c>
      <c r="X19" s="145"/>
      <c r="Y19" s="168"/>
      <c r="Z19" s="145"/>
      <c r="AA19" s="145"/>
      <c r="AB19" s="395" t="str">
        <f t="shared" si="2"/>
        <v/>
      </c>
      <c r="AC19" s="169">
        <f t="shared" si="3"/>
        <v>0</v>
      </c>
      <c r="AD19" s="145" t="str">
        <f t="shared" si="4"/>
        <v/>
      </c>
      <c r="AE19" s="145"/>
      <c r="AF19" s="145" t="str">
        <f t="shared" si="5"/>
        <v/>
      </c>
      <c r="AG19" s="145" t="str">
        <f t="shared" si="6"/>
        <v/>
      </c>
      <c r="AH19" s="145" t="str">
        <f t="shared" si="7"/>
        <v/>
      </c>
      <c r="AI19" s="145"/>
      <c r="AJ19" s="145"/>
      <c r="AK19" s="145"/>
      <c r="AL19" s="145"/>
      <c r="AM19" s="145"/>
    </row>
    <row r="20" spans="1:39" ht="17.25" x14ac:dyDescent="0.25">
      <c r="A20" s="145"/>
      <c r="B20" s="652">
        <v>0</v>
      </c>
      <c r="C20" s="657"/>
      <c r="D20" s="804" t="s">
        <v>496</v>
      </c>
      <c r="E20" s="653" t="s">
        <v>1011</v>
      </c>
      <c r="F20" s="171" t="s">
        <v>97</v>
      </c>
      <c r="G20" s="699">
        <f>IFERROR('PIM Ranges'!AL22,0)</f>
        <v>0</v>
      </c>
      <c r="H20" s="700">
        <f>IFERROR('PIM Ranges'!AM22,0)</f>
        <v>0</v>
      </c>
      <c r="I20" s="701">
        <f>IFERROR('PIM Ranges'!AN22,0)</f>
        <v>0</v>
      </c>
      <c r="J20" s="423">
        <f t="shared" si="0"/>
        <v>0</v>
      </c>
      <c r="K20" s="898"/>
      <c r="L20" s="751" t="str">
        <f t="shared" si="1"/>
        <v/>
      </c>
      <c r="M20" s="896">
        <f>'Multi-Customer'!Y22</f>
        <v>0</v>
      </c>
      <c r="N20" s="167"/>
      <c r="O20" s="900">
        <f>IFERROR(IF($D20="%",VLOOKUP($F20&amp;'PIM Ranges'!$AQ22,'Margin Quartiles'!$A:$H,5,FALSE),S20),0)</f>
        <v>0</v>
      </c>
      <c r="P20" s="900">
        <f>IFERROR(IF($E$3="Incentive Only",$W20,IF($D20="%",VLOOKUP($F20&amp;'PIM Ranges'!$AQ22,'Margin Quartiles'!$A:$H,6,FALSE),T20)),0)</f>
        <v>0</v>
      </c>
      <c r="Q20" s="900">
        <f>IFERROR(IF($D20="%",VLOOKUP($F20&amp;'PIM Ranges'!$AQ22,'Margin Quartiles'!$A:$H,7,FALSE),U20),0)</f>
        <v>0</v>
      </c>
      <c r="R20" s="546"/>
      <c r="S20" s="168"/>
      <c r="T20" s="168"/>
      <c r="U20" s="168"/>
      <c r="V20" s="145"/>
      <c r="W20" s="168" t="e">
        <f>'Multi-Customer'!AO22</f>
        <v>#DIV/0!</v>
      </c>
      <c r="X20" s="145"/>
      <c r="Y20" s="168"/>
      <c r="Z20" s="145"/>
      <c r="AA20" s="145"/>
      <c r="AB20" s="395" t="str">
        <f t="shared" si="2"/>
        <v/>
      </c>
      <c r="AC20" s="169">
        <f t="shared" si="3"/>
        <v>0</v>
      </c>
      <c r="AD20" s="145" t="str">
        <f t="shared" si="4"/>
        <v/>
      </c>
      <c r="AE20" s="145"/>
      <c r="AF20" s="145" t="str">
        <f t="shared" si="5"/>
        <v/>
      </c>
      <c r="AG20" s="145" t="str">
        <f t="shared" si="6"/>
        <v/>
      </c>
      <c r="AH20" s="145" t="str">
        <f t="shared" si="7"/>
        <v/>
      </c>
      <c r="AI20" s="145"/>
      <c r="AJ20" s="145"/>
      <c r="AK20" s="145"/>
      <c r="AL20" s="145"/>
      <c r="AM20" s="145"/>
    </row>
    <row r="21" spans="1:39" ht="17.25" x14ac:dyDescent="0.25">
      <c r="A21" s="145"/>
      <c r="B21" s="652">
        <v>0</v>
      </c>
      <c r="C21" s="657"/>
      <c r="D21" s="804" t="s">
        <v>496</v>
      </c>
      <c r="E21" s="653" t="s">
        <v>1011</v>
      </c>
      <c r="F21" s="171" t="s">
        <v>93</v>
      </c>
      <c r="G21" s="699">
        <f>IFERROR('PIM Ranges'!AL23,0)</f>
        <v>0</v>
      </c>
      <c r="H21" s="700">
        <f>IFERROR('PIM Ranges'!AM23,0)</f>
        <v>0</v>
      </c>
      <c r="I21" s="701">
        <f>IFERROR('PIM Ranges'!AN23,0)</f>
        <v>0</v>
      </c>
      <c r="J21" s="423">
        <f t="shared" si="0"/>
        <v>0</v>
      </c>
      <c r="K21" s="898"/>
      <c r="L21" s="751" t="str">
        <f t="shared" si="1"/>
        <v/>
      </c>
      <c r="M21" s="896">
        <f>'Multi-Customer'!Y23</f>
        <v>0</v>
      </c>
      <c r="N21" s="167"/>
      <c r="O21" s="900">
        <f>IFERROR(IF($D21="%",VLOOKUP($F21&amp;'PIM Ranges'!$AQ23,'Margin Quartiles'!$A:$H,5,FALSE),S21),0)</f>
        <v>0</v>
      </c>
      <c r="P21" s="900">
        <f>IFERROR(IF($E$3="Incentive Only",$W21,IF($D21="%",VLOOKUP($F21&amp;'PIM Ranges'!$AQ23,'Margin Quartiles'!$A:$H,6,FALSE),T21)),0)</f>
        <v>0</v>
      </c>
      <c r="Q21" s="900">
        <f>IFERROR(IF($D21="%",VLOOKUP($F21&amp;'PIM Ranges'!$AQ23,'Margin Quartiles'!$A:$H,7,FALSE),U21),0)</f>
        <v>0</v>
      </c>
      <c r="R21" s="546"/>
      <c r="S21" s="168"/>
      <c r="T21" s="168"/>
      <c r="U21" s="168"/>
      <c r="V21" s="145"/>
      <c r="W21" s="168" t="e">
        <f>'Multi-Customer'!AO23</f>
        <v>#DIV/0!</v>
      </c>
      <c r="X21" s="145"/>
      <c r="Y21" s="168"/>
      <c r="Z21" s="145"/>
      <c r="AA21" s="145"/>
      <c r="AB21" s="395" t="str">
        <f t="shared" si="2"/>
        <v/>
      </c>
      <c r="AC21" s="169">
        <f t="shared" si="3"/>
        <v>0</v>
      </c>
      <c r="AD21" s="145" t="str">
        <f t="shared" si="4"/>
        <v/>
      </c>
      <c r="AE21" s="145"/>
      <c r="AF21" s="145" t="str">
        <f t="shared" si="5"/>
        <v/>
      </c>
      <c r="AG21" s="145" t="str">
        <f t="shared" si="6"/>
        <v/>
      </c>
      <c r="AH21" s="145" t="str">
        <f t="shared" si="7"/>
        <v/>
      </c>
      <c r="AI21" s="145"/>
      <c r="AJ21" s="145"/>
      <c r="AK21" s="145"/>
      <c r="AL21" s="145"/>
      <c r="AM21" s="145"/>
    </row>
    <row r="22" spans="1:39" ht="17.25" x14ac:dyDescent="0.25">
      <c r="A22" s="145"/>
      <c r="B22" s="652">
        <v>0</v>
      </c>
      <c r="C22" s="657"/>
      <c r="D22" s="794" t="s">
        <v>496</v>
      </c>
      <c r="E22" s="653" t="s">
        <v>1011</v>
      </c>
      <c r="F22" s="171" t="s">
        <v>105</v>
      </c>
      <c r="G22" s="699">
        <f>IFERROR('PIM Ranges'!AL24,0)</f>
        <v>0</v>
      </c>
      <c r="H22" s="700">
        <f>IFERROR('PIM Ranges'!AM24,0)</f>
        <v>0</v>
      </c>
      <c r="I22" s="701">
        <f>IFERROR('PIM Ranges'!AN24,0)</f>
        <v>0</v>
      </c>
      <c r="J22" s="423">
        <f t="shared" si="0"/>
        <v>0</v>
      </c>
      <c r="K22" s="898"/>
      <c r="L22" s="751" t="str">
        <f t="shared" si="1"/>
        <v/>
      </c>
      <c r="M22" s="896">
        <f>'Multi-Customer'!Y24</f>
        <v>0</v>
      </c>
      <c r="N22" s="167"/>
      <c r="O22" s="900">
        <f>IFERROR(IF($D22="%",VLOOKUP($F22&amp;'PIM Ranges'!$AQ24,'Margin Quartiles'!$A:$H,5,FALSE),S22),0)</f>
        <v>0</v>
      </c>
      <c r="P22" s="900">
        <f>IFERROR(IF($E$3="Incentive Only",$W22,IF($D22="%",VLOOKUP($F22&amp;'PIM Ranges'!$AQ24,'Margin Quartiles'!$A:$H,6,FALSE),T22)),0)</f>
        <v>0</v>
      </c>
      <c r="Q22" s="900">
        <f>IFERROR(IF($D22="%",VLOOKUP($F22&amp;'PIM Ranges'!$AQ24,'Margin Quartiles'!$A:$H,7,FALSE),U22),0)</f>
        <v>0</v>
      </c>
      <c r="R22" s="546"/>
      <c r="S22" s="416" t="e">
        <f>VLOOKUP($F22&amp;'PIM Ranges'!$AQ24,'Margin Quartiles'!$A:$H,5,FALSE)*'PIM Ranges'!$AP24</f>
        <v>#DIV/0!</v>
      </c>
      <c r="T22" s="416" t="e">
        <f>VLOOKUP($F22&amp;'PIM Ranges'!$AQ24,'Margin Quartiles'!$A:$H,6,FALSE)*'PIM Ranges'!$AP24</f>
        <v>#DIV/0!</v>
      </c>
      <c r="U22" s="416" t="e">
        <f>VLOOKUP($F22&amp;'PIM Ranges'!$AQ24,'Margin Quartiles'!$A:$H,8,FALSE)*'PIM Ranges'!$AP24</f>
        <v>#DIV/0!</v>
      </c>
      <c r="V22" s="145"/>
      <c r="W22" s="168" t="e">
        <f>'Multi-Customer'!AO24</f>
        <v>#DIV/0!</v>
      </c>
      <c r="X22" s="145"/>
      <c r="Y22" s="416">
        <f>VLOOKUP($F22&amp;'Multi-Customer'!$AG24,'IMargin Quartiles'!$A:$H,6,FALSE)*'PIM Ranges'!AP24</f>
        <v>0.8419261540087376</v>
      </c>
      <c r="Z22" s="145"/>
      <c r="AA22" s="145"/>
      <c r="AB22" s="395" t="str">
        <f t="shared" si="2"/>
        <v/>
      </c>
      <c r="AC22" s="169">
        <f t="shared" si="3"/>
        <v>0</v>
      </c>
      <c r="AD22" s="145" t="str">
        <f t="shared" si="4"/>
        <v/>
      </c>
      <c r="AE22" s="145"/>
      <c r="AF22" s="145" t="str">
        <f t="shared" si="5"/>
        <v/>
      </c>
      <c r="AG22" s="145" t="str">
        <f t="shared" si="6"/>
        <v/>
      </c>
      <c r="AH22" s="145" t="str">
        <f t="shared" si="7"/>
        <v/>
      </c>
      <c r="AI22" s="145"/>
      <c r="AJ22" s="145"/>
      <c r="AK22" s="145"/>
      <c r="AL22" s="145"/>
      <c r="AM22" s="145"/>
    </row>
    <row r="23" spans="1:39" ht="17.25" x14ac:dyDescent="0.25">
      <c r="A23" s="145"/>
      <c r="B23" s="652">
        <v>0</v>
      </c>
      <c r="C23" s="657"/>
      <c r="D23" s="804" t="s">
        <v>496</v>
      </c>
      <c r="E23" s="653" t="s">
        <v>1011</v>
      </c>
      <c r="F23" s="171" t="s">
        <v>92</v>
      </c>
      <c r="G23" s="699">
        <f>IFERROR('PIM Ranges'!AL25,0)</f>
        <v>0</v>
      </c>
      <c r="H23" s="700">
        <f>IFERROR('PIM Ranges'!AM25,0)</f>
        <v>0</v>
      </c>
      <c r="I23" s="701">
        <f>IFERROR('PIM Ranges'!AN25,0)</f>
        <v>0</v>
      </c>
      <c r="J23" s="423">
        <f t="shared" si="0"/>
        <v>0</v>
      </c>
      <c r="K23" s="898"/>
      <c r="L23" s="751" t="str">
        <f t="shared" si="1"/>
        <v/>
      </c>
      <c r="M23" s="896">
        <f>'Multi-Customer'!Y25</f>
        <v>0</v>
      </c>
      <c r="N23" s="167"/>
      <c r="O23" s="900">
        <f>IFERROR(IF($D23="%",VLOOKUP($F23&amp;'PIM Ranges'!$AQ25,'Margin Quartiles'!$A:$H,5,FALSE),S23),0)</f>
        <v>0</v>
      </c>
      <c r="P23" s="900">
        <f>IFERROR(IF($E$3="Incentive Only",$W23,IF($D23="%",VLOOKUP($F23&amp;'PIM Ranges'!$AQ25,'Margin Quartiles'!$A:$H,6,FALSE),T23)),0)</f>
        <v>0</v>
      </c>
      <c r="Q23" s="900">
        <f>IFERROR(IF($D23="%",VLOOKUP($F23&amp;'PIM Ranges'!$AQ25,'Margin Quartiles'!$A:$H,7,FALSE),U23),0)</f>
        <v>0</v>
      </c>
      <c r="R23" s="546"/>
      <c r="S23" s="168"/>
      <c r="T23" s="168"/>
      <c r="U23" s="168"/>
      <c r="V23" s="145"/>
      <c r="W23" s="168" t="e">
        <f>'Multi-Customer'!AO25</f>
        <v>#DIV/0!</v>
      </c>
      <c r="X23" s="145"/>
      <c r="Y23" s="168"/>
      <c r="Z23" s="145"/>
      <c r="AA23" s="145"/>
      <c r="AB23" s="395" t="str">
        <f t="shared" si="2"/>
        <v/>
      </c>
      <c r="AC23" s="169">
        <f t="shared" si="3"/>
        <v>0</v>
      </c>
      <c r="AD23" s="145" t="str">
        <f t="shared" si="4"/>
        <v/>
      </c>
      <c r="AE23" s="145"/>
      <c r="AF23" s="145" t="str">
        <f t="shared" si="5"/>
        <v/>
      </c>
      <c r="AG23" s="145" t="str">
        <f t="shared" si="6"/>
        <v/>
      </c>
      <c r="AH23" s="145" t="str">
        <f t="shared" si="7"/>
        <v/>
      </c>
      <c r="AI23" s="145"/>
      <c r="AJ23" s="145"/>
      <c r="AK23" s="145"/>
      <c r="AL23" s="145"/>
      <c r="AM23" s="145"/>
    </row>
    <row r="24" spans="1:39" ht="17.25" x14ac:dyDescent="0.25">
      <c r="A24" s="145"/>
      <c r="B24" s="652">
        <v>0</v>
      </c>
      <c r="C24" s="657"/>
      <c r="D24" s="794" t="s">
        <v>496</v>
      </c>
      <c r="E24" s="653" t="s">
        <v>1011</v>
      </c>
      <c r="F24" s="171" t="s">
        <v>91</v>
      </c>
      <c r="G24" s="699">
        <f>IFERROR('PIM Ranges'!AL26,0)</f>
        <v>0</v>
      </c>
      <c r="H24" s="700">
        <f>IFERROR('PIM Ranges'!AM26,0)</f>
        <v>0</v>
      </c>
      <c r="I24" s="701">
        <f>IFERROR('PIM Ranges'!AN26,0)</f>
        <v>0</v>
      </c>
      <c r="J24" s="423">
        <f t="shared" si="0"/>
        <v>0</v>
      </c>
      <c r="K24" s="898"/>
      <c r="L24" s="751" t="str">
        <f t="shared" si="1"/>
        <v/>
      </c>
      <c r="M24" s="896">
        <f>'Multi-Customer'!Y26</f>
        <v>0</v>
      </c>
      <c r="N24" s="167"/>
      <c r="O24" s="900">
        <f>IFERROR(IF($D24="%",VLOOKUP($F24&amp;'PIM Ranges'!$AQ26,'Margin Quartiles'!$A:$H,5,FALSE),S24),0)</f>
        <v>0</v>
      </c>
      <c r="P24" s="900">
        <f>IFERROR(IF($E$3="Incentive Only",$W24,IF($D24="%",VLOOKUP($F24&amp;'PIM Ranges'!$AQ26,'Margin Quartiles'!$A:$H,6,FALSE),T24)),0)</f>
        <v>0</v>
      </c>
      <c r="Q24" s="900">
        <f>IFERROR(IF($D24="%",VLOOKUP($F24&amp;'PIM Ranges'!$AQ26,'Margin Quartiles'!$A:$H,7,FALSE),U24),0)</f>
        <v>0</v>
      </c>
      <c r="R24" s="546"/>
      <c r="S24" s="416" t="e">
        <f>VLOOKUP($F24&amp;'PIM Ranges'!$AQ26,'Margin Quartiles'!$A:$H,5,FALSE)*'PIM Ranges'!$AP26</f>
        <v>#DIV/0!</v>
      </c>
      <c r="T24" s="416" t="e">
        <f>VLOOKUP($F24&amp;'PIM Ranges'!$AQ26,'Margin Quartiles'!$A:$H,6,FALSE)*'PIM Ranges'!$AP26</f>
        <v>#DIV/0!</v>
      </c>
      <c r="U24" s="416" t="e">
        <f>VLOOKUP($F24&amp;'PIM Ranges'!$AQ26,'Margin Quartiles'!$A:$H,8,FALSE)*'PIM Ranges'!$AP26</f>
        <v>#DIV/0!</v>
      </c>
      <c r="V24" s="145"/>
      <c r="W24" s="168" t="e">
        <f>'Multi-Customer'!AO26</f>
        <v>#DIV/0!</v>
      </c>
      <c r="X24" s="145"/>
      <c r="Y24" s="416">
        <f>VLOOKUP($F24&amp;'Multi-Customer'!$AG26,'IMargin Quartiles'!$A:$H,6,FALSE)*'PIM Ranges'!AP26</f>
        <v>0.4928466276758563</v>
      </c>
      <c r="Z24" s="145"/>
      <c r="AA24" s="145"/>
      <c r="AB24" s="395" t="str">
        <f t="shared" si="2"/>
        <v/>
      </c>
      <c r="AC24" s="169">
        <f t="shared" si="3"/>
        <v>0</v>
      </c>
      <c r="AD24" s="145" t="str">
        <f t="shared" si="4"/>
        <v/>
      </c>
      <c r="AE24" s="145"/>
      <c r="AF24" s="145" t="str">
        <f t="shared" si="5"/>
        <v/>
      </c>
      <c r="AG24" s="145" t="str">
        <f t="shared" si="6"/>
        <v/>
      </c>
      <c r="AH24" s="145" t="str">
        <f t="shared" si="7"/>
        <v/>
      </c>
      <c r="AI24" s="145"/>
      <c r="AJ24" s="145"/>
      <c r="AK24" s="145"/>
      <c r="AL24" s="145"/>
      <c r="AM24" s="145"/>
    </row>
    <row r="25" spans="1:39" ht="17.25" x14ac:dyDescent="0.25">
      <c r="A25" s="145"/>
      <c r="B25" s="652">
        <v>0</v>
      </c>
      <c r="C25" s="657"/>
      <c r="D25" s="794" t="s">
        <v>496</v>
      </c>
      <c r="E25" s="653" t="s">
        <v>1011</v>
      </c>
      <c r="F25" s="171" t="s">
        <v>90</v>
      </c>
      <c r="G25" s="699">
        <f>IFERROR('PIM Ranges'!AL27,0)</f>
        <v>0</v>
      </c>
      <c r="H25" s="700">
        <f>IFERROR('PIM Ranges'!AM27,0)</f>
        <v>0</v>
      </c>
      <c r="I25" s="701">
        <f>IFERROR('PIM Ranges'!AN27,0)</f>
        <v>0</v>
      </c>
      <c r="J25" s="423">
        <f t="shared" si="0"/>
        <v>0</v>
      </c>
      <c r="K25" s="898"/>
      <c r="L25" s="751" t="str">
        <f t="shared" si="1"/>
        <v/>
      </c>
      <c r="M25" s="896">
        <f>'Multi-Customer'!Y27</f>
        <v>0</v>
      </c>
      <c r="N25" s="167"/>
      <c r="O25" s="900">
        <f>IFERROR(IF($D25="%",VLOOKUP($F25&amp;'PIM Ranges'!$AQ27,'Margin Quartiles'!$A:$H,5,FALSE),S25),0)</f>
        <v>0</v>
      </c>
      <c r="P25" s="900">
        <f>IFERROR(IF($E$3="Incentive Only",$W25,IF($D25="%",VLOOKUP($F25&amp;'PIM Ranges'!$AQ27,'Margin Quartiles'!$A:$H,6,FALSE),T25)),0)</f>
        <v>0</v>
      </c>
      <c r="Q25" s="900">
        <f>IFERROR(IF($D25="%",VLOOKUP($F25&amp;'PIM Ranges'!$AQ27,'Margin Quartiles'!$A:$H,7,FALSE),U25),0)</f>
        <v>0</v>
      </c>
      <c r="R25" s="546"/>
      <c r="S25" s="416" t="e">
        <f>VLOOKUP($F25&amp;'PIM Ranges'!$AQ27,'Margin Quartiles'!$A:$H,5,FALSE)*'PIM Ranges'!$AP27</f>
        <v>#DIV/0!</v>
      </c>
      <c r="T25" s="416" t="e">
        <f>VLOOKUP($F25&amp;'PIM Ranges'!$AQ27,'Margin Quartiles'!$A:$H,6,FALSE)*'PIM Ranges'!$AP27</f>
        <v>#DIV/0!</v>
      </c>
      <c r="U25" s="416" t="e">
        <f>VLOOKUP($F25&amp;'PIM Ranges'!$AQ27,'Margin Quartiles'!$A:$H,8,FALSE)*'PIM Ranges'!$AP27</f>
        <v>#DIV/0!</v>
      </c>
      <c r="V25" s="145"/>
      <c r="W25" s="168" t="e">
        <f>'Multi-Customer'!AO27</f>
        <v>#DIV/0!</v>
      </c>
      <c r="X25" s="145"/>
      <c r="Y25" s="416">
        <f>VLOOKUP($F25&amp;'Multi-Customer'!$AG27,'IMargin Quartiles'!$A:$H,6,FALSE)*'PIM Ranges'!AP27</f>
        <v>0.24392265679614475</v>
      </c>
      <c r="Z25" s="145"/>
      <c r="AA25" s="145"/>
      <c r="AB25" s="395" t="str">
        <f t="shared" si="2"/>
        <v/>
      </c>
      <c r="AC25" s="169">
        <f t="shared" si="3"/>
        <v>0</v>
      </c>
      <c r="AD25" s="145" t="str">
        <f t="shared" si="4"/>
        <v/>
      </c>
      <c r="AE25" s="145"/>
      <c r="AF25" s="145" t="str">
        <f t="shared" si="5"/>
        <v/>
      </c>
      <c r="AG25" s="145" t="str">
        <f t="shared" si="6"/>
        <v/>
      </c>
      <c r="AH25" s="145" t="str">
        <f t="shared" si="7"/>
        <v/>
      </c>
      <c r="AI25" s="145"/>
      <c r="AJ25" s="145"/>
      <c r="AK25" s="145"/>
      <c r="AL25" s="145"/>
      <c r="AM25" s="145"/>
    </row>
    <row r="26" spans="1:39" ht="17.25" x14ac:dyDescent="0.25">
      <c r="A26" s="145"/>
      <c r="B26" s="652">
        <v>0</v>
      </c>
      <c r="C26" s="657"/>
      <c r="D26" s="794" t="s">
        <v>496</v>
      </c>
      <c r="E26" s="653" t="s">
        <v>1011</v>
      </c>
      <c r="F26" s="171" t="s">
        <v>89</v>
      </c>
      <c r="G26" s="699">
        <f>IFERROR('PIM Ranges'!AL28,0)</f>
        <v>0</v>
      </c>
      <c r="H26" s="700">
        <f>IFERROR('PIM Ranges'!AM28,0)</f>
        <v>0</v>
      </c>
      <c r="I26" s="701">
        <f>IFERROR('PIM Ranges'!AN28,0)</f>
        <v>0</v>
      </c>
      <c r="J26" s="423">
        <f t="shared" si="0"/>
        <v>0</v>
      </c>
      <c r="K26" s="898"/>
      <c r="L26" s="751" t="str">
        <f t="shared" si="1"/>
        <v/>
      </c>
      <c r="M26" s="896">
        <f>'Multi-Customer'!Y28</f>
        <v>0</v>
      </c>
      <c r="N26" s="167"/>
      <c r="O26" s="900">
        <f>IFERROR(IF($D26="%",VLOOKUP($F26&amp;'PIM Ranges'!$AQ28,'Margin Quartiles'!$A:$H,5,FALSE),S26),0)</f>
        <v>0</v>
      </c>
      <c r="P26" s="900">
        <f>IFERROR(IF($E$3="Incentive Only",$W26,IF($D26="%",VLOOKUP($F26&amp;'PIM Ranges'!$AQ28,'Margin Quartiles'!$A:$H,6,FALSE),T26)),0)</f>
        <v>0</v>
      </c>
      <c r="Q26" s="900">
        <f>IFERROR(IF($D26="%",VLOOKUP($F26&amp;'PIM Ranges'!$AQ28,'Margin Quartiles'!$A:$H,7,FALSE),U26),0)</f>
        <v>0</v>
      </c>
      <c r="R26" s="546"/>
      <c r="S26" s="416" t="e">
        <f>VLOOKUP($F26&amp;'PIM Ranges'!$AQ28,'Margin Quartiles'!$A:$H,5,FALSE)*'PIM Ranges'!$AP28</f>
        <v>#DIV/0!</v>
      </c>
      <c r="T26" s="416" t="e">
        <f>VLOOKUP($F26&amp;'PIM Ranges'!$AQ28,'Margin Quartiles'!$A:$H,6,FALSE)*'PIM Ranges'!$AP28</f>
        <v>#DIV/0!</v>
      </c>
      <c r="U26" s="416" t="e">
        <f>VLOOKUP($F26&amp;'PIM Ranges'!$AQ28,'Margin Quartiles'!$A:$H,8,FALSE)*'PIM Ranges'!$AP28</f>
        <v>#DIV/0!</v>
      </c>
      <c r="V26" s="145"/>
      <c r="W26" s="168" t="e">
        <f>'Multi-Customer'!AO28</f>
        <v>#DIV/0!</v>
      </c>
      <c r="X26" s="145"/>
      <c r="Y26" s="416">
        <f>VLOOKUP($F26&amp;'Multi-Customer'!$AG28,'IMargin Quartiles'!$A:$H,6,FALSE)*'PIM Ranges'!AP28</f>
        <v>0.49485156330010727</v>
      </c>
      <c r="Z26" s="145"/>
      <c r="AA26" s="145"/>
      <c r="AB26" s="395" t="str">
        <f t="shared" si="2"/>
        <v/>
      </c>
      <c r="AC26" s="169">
        <f t="shared" si="3"/>
        <v>0</v>
      </c>
      <c r="AD26" s="145" t="str">
        <f t="shared" si="4"/>
        <v/>
      </c>
      <c r="AE26" s="145"/>
      <c r="AF26" s="145" t="str">
        <f t="shared" si="5"/>
        <v/>
      </c>
      <c r="AG26" s="145" t="str">
        <f t="shared" si="6"/>
        <v/>
      </c>
      <c r="AH26" s="145" t="str">
        <f t="shared" si="7"/>
        <v/>
      </c>
      <c r="AI26" s="145"/>
      <c r="AJ26" s="145"/>
      <c r="AK26" s="145"/>
      <c r="AL26" s="145"/>
      <c r="AM26" s="145"/>
    </row>
    <row r="27" spans="1:39" ht="17.25" x14ac:dyDescent="0.25">
      <c r="A27" s="145"/>
      <c r="B27" s="652">
        <v>0</v>
      </c>
      <c r="C27" s="657"/>
      <c r="D27" s="794" t="s">
        <v>496</v>
      </c>
      <c r="E27" s="653" t="s">
        <v>1011</v>
      </c>
      <c r="F27" s="171" t="s">
        <v>94</v>
      </c>
      <c r="G27" s="699">
        <f>IFERROR('PIM Ranges'!AL29,0)</f>
        <v>0</v>
      </c>
      <c r="H27" s="700">
        <f>IFERROR('PIM Ranges'!AM29,0)</f>
        <v>0</v>
      </c>
      <c r="I27" s="701">
        <f>IFERROR('PIM Ranges'!AN29,0)</f>
        <v>0</v>
      </c>
      <c r="J27" s="423">
        <f>IF($E$3="Incentive Only",IF($D27="%",$P27*$G27,$P27*$H27),IF($D27="%",$K27*$G27,$K27*H27))</f>
        <v>0</v>
      </c>
      <c r="K27" s="898"/>
      <c r="L27" s="751" t="str">
        <f>IF(K27&lt;0,"X",IF($E$3="Incentive Only","",IF(K27="","",IF(K27&lt;O27,"L",IF(K27&gt;Q27,"X","")))))</f>
        <v/>
      </c>
      <c r="M27" s="896">
        <f>'Multi-Customer'!Y29</f>
        <v>0</v>
      </c>
      <c r="N27" s="167"/>
      <c r="O27" s="900">
        <f>IFERROR(IF($D27="%",VLOOKUP($F27&amp;'PIM Ranges'!$AQ29,'Margin Quartiles'!$A:$H,5,FALSE),S27),0)</f>
        <v>0</v>
      </c>
      <c r="P27" s="900">
        <f>IFERROR(IF($E$3="Incentive Only",$W27,IF($D27="%",VLOOKUP($F27&amp;'PIM Ranges'!$AQ29,'Margin Quartiles'!$A:$H,6,FALSE),T27)),0)</f>
        <v>0</v>
      </c>
      <c r="Q27" s="900">
        <f>IFERROR(IF($D27="%",VLOOKUP($F27&amp;'PIM Ranges'!$AQ29,'Margin Quartiles'!$A:$H,7,FALSE),U27),0)</f>
        <v>0</v>
      </c>
      <c r="R27" s="546"/>
      <c r="S27" s="416" t="e">
        <f>VLOOKUP($F27&amp;'PIM Ranges'!$AQ29,'Margin Quartiles'!$A:$H,5,FALSE)*'PIM Ranges'!$AO29</f>
        <v>#DIV/0!</v>
      </c>
      <c r="T27" s="416" t="e">
        <f>VLOOKUP($F27&amp;'PIM Ranges'!$AQ29,'Margin Quartiles'!$A:$H,6,FALSE)*'PIM Ranges'!$AO29</f>
        <v>#DIV/0!</v>
      </c>
      <c r="U27" s="416" t="e">
        <f>VLOOKUP($F27&amp;'PIM Ranges'!$AQ29,'Margin Quartiles'!$A:$H,8,FALSE)*'PIM Ranges'!$AO29</f>
        <v>#DIV/0!</v>
      </c>
      <c r="V27" s="145"/>
      <c r="W27" s="168" t="e">
        <f>'Multi-Customer'!AO29</f>
        <v>#DIV/0!</v>
      </c>
      <c r="X27" s="145"/>
      <c r="Y27" s="416">
        <f>VLOOKUP($F27&amp;'Multi-Customer'!$AG29,'IMargin Quartiles'!$A:$H,6,FALSE)*'PIM Ranges'!AO29</f>
        <v>3.3256203619495563</v>
      </c>
      <c r="Z27" s="145"/>
      <c r="AA27" s="145"/>
      <c r="AB27" s="395" t="str">
        <f t="shared" si="2"/>
        <v/>
      </c>
      <c r="AC27" s="169">
        <f t="shared" si="3"/>
        <v>0</v>
      </c>
      <c r="AD27" s="145" t="str">
        <f t="shared" si="4"/>
        <v/>
      </c>
      <c r="AE27" s="145"/>
      <c r="AF27" s="145" t="str">
        <f t="shared" si="5"/>
        <v/>
      </c>
      <c r="AG27" s="145" t="str">
        <f t="shared" si="6"/>
        <v/>
      </c>
      <c r="AH27" s="145" t="str">
        <f t="shared" si="7"/>
        <v/>
      </c>
      <c r="AI27" s="145"/>
      <c r="AJ27" s="145"/>
      <c r="AK27" s="145"/>
      <c r="AL27" s="145"/>
      <c r="AM27" s="145"/>
    </row>
    <row r="28" spans="1:39" ht="17.25" x14ac:dyDescent="0.25">
      <c r="A28" s="145"/>
      <c r="B28" s="652">
        <v>0</v>
      </c>
      <c r="C28" s="657"/>
      <c r="D28" s="804" t="s">
        <v>496</v>
      </c>
      <c r="E28" s="653" t="s">
        <v>1011</v>
      </c>
      <c r="F28" s="171" t="s">
        <v>86</v>
      </c>
      <c r="G28" s="699">
        <f>IFERROR('PIM Ranges'!AL30,0)</f>
        <v>0</v>
      </c>
      <c r="H28" s="700">
        <f>IFERROR('PIM Ranges'!AM30,0)</f>
        <v>0</v>
      </c>
      <c r="I28" s="701">
        <f>IFERROR('PIM Ranges'!AN30,0)</f>
        <v>0</v>
      </c>
      <c r="J28" s="423">
        <f t="shared" si="0"/>
        <v>0</v>
      </c>
      <c r="K28" s="898"/>
      <c r="L28" s="751" t="str">
        <f t="shared" si="1"/>
        <v/>
      </c>
      <c r="M28" s="896">
        <f>'Multi-Customer'!Y30</f>
        <v>0</v>
      </c>
      <c r="N28" s="167"/>
      <c r="O28" s="900">
        <f>IFERROR(IF($D28="%",VLOOKUP($F28&amp;'PIM Ranges'!$AQ30,'Margin Quartiles'!$A:$H,5,FALSE),S28),0)</f>
        <v>0</v>
      </c>
      <c r="P28" s="900">
        <f>IFERROR(IF($E$3="Incentive Only",$W28,IF($D28="%",VLOOKUP($F28&amp;'PIM Ranges'!$AQ30,'Margin Quartiles'!$A:$H,6,FALSE),T28)),0)</f>
        <v>0</v>
      </c>
      <c r="Q28" s="900">
        <f>IFERROR(IF($D28="%",VLOOKUP($F28&amp;'PIM Ranges'!$AQ30,'Margin Quartiles'!$A:$H,7,FALSE),U28),0)</f>
        <v>0</v>
      </c>
      <c r="R28" s="546"/>
      <c r="S28" s="168"/>
      <c r="T28" s="168"/>
      <c r="U28" s="168"/>
      <c r="V28" s="145"/>
      <c r="W28" s="168" t="e">
        <f>'Multi-Customer'!AO30</f>
        <v>#DIV/0!</v>
      </c>
      <c r="X28" s="145"/>
      <c r="Y28" s="168"/>
      <c r="Z28" s="145"/>
      <c r="AA28" s="145"/>
      <c r="AB28" s="395" t="str">
        <f t="shared" si="2"/>
        <v/>
      </c>
      <c r="AC28" s="169">
        <f t="shared" si="3"/>
        <v>0</v>
      </c>
      <c r="AD28" s="145" t="str">
        <f t="shared" si="4"/>
        <v/>
      </c>
      <c r="AE28" s="145"/>
      <c r="AF28" s="145" t="str">
        <f t="shared" si="5"/>
        <v/>
      </c>
      <c r="AG28" s="145" t="str">
        <f t="shared" si="6"/>
        <v/>
      </c>
      <c r="AH28" s="145" t="str">
        <f t="shared" si="7"/>
        <v/>
      </c>
      <c r="AI28" s="145"/>
      <c r="AJ28" s="145"/>
      <c r="AK28" s="145"/>
      <c r="AL28" s="145"/>
      <c r="AM28" s="145"/>
    </row>
    <row r="29" spans="1:39" ht="17.25" x14ac:dyDescent="0.25">
      <c r="A29" s="145"/>
      <c r="B29" s="652">
        <v>0</v>
      </c>
      <c r="C29" s="657"/>
      <c r="D29" s="795" t="s">
        <v>496</v>
      </c>
      <c r="E29" s="653" t="s">
        <v>1011</v>
      </c>
      <c r="F29" s="171" t="s">
        <v>88</v>
      </c>
      <c r="G29" s="699">
        <f>IFERROR('PIM Ranges'!AL31,0)</f>
        <v>0</v>
      </c>
      <c r="H29" s="700">
        <f>IFERROR('PIM Ranges'!AM31,0)</f>
        <v>0</v>
      </c>
      <c r="I29" s="701">
        <f>IFERROR('PIM Ranges'!AN31,0)</f>
        <v>0</v>
      </c>
      <c r="J29" s="423">
        <f t="shared" si="0"/>
        <v>0</v>
      </c>
      <c r="K29" s="898"/>
      <c r="L29" s="751" t="str">
        <f t="shared" si="1"/>
        <v/>
      </c>
      <c r="M29" s="896">
        <f>'Multi-Customer'!Y31</f>
        <v>0</v>
      </c>
      <c r="N29" s="167"/>
      <c r="O29" s="900">
        <f>IFERROR(IF($D29="%",VLOOKUP($F29&amp;'PIM Ranges'!$AQ31,'Margin Quartiles'!$A:$H,5,FALSE),S29),0)</f>
        <v>0</v>
      </c>
      <c r="P29" s="900">
        <f>IFERROR(IF($E$3="Incentive Only",$W29,IF($D29="%",VLOOKUP($F29&amp;'PIM Ranges'!$AQ31,'Margin Quartiles'!$A:$H,6,FALSE),T29)),0)</f>
        <v>0</v>
      </c>
      <c r="Q29" s="900">
        <f>IFERROR(IF($D29="%",VLOOKUP($F29&amp;'PIM Ranges'!$AQ31,'Margin Quartiles'!$A:$H,7,FALSE),U29),0)</f>
        <v>0</v>
      </c>
      <c r="R29" s="546"/>
      <c r="S29" s="416" t="e">
        <f>VLOOKUP($F29&amp;'PIM Ranges'!$AQ31,'Margin Quartiles'!$A:$H,5,FALSE)*'PIM Ranges'!$AP31</f>
        <v>#DIV/0!</v>
      </c>
      <c r="T29" s="416" t="e">
        <f>VLOOKUP($F29&amp;'PIM Ranges'!$AQ31,'Margin Quartiles'!$A:$H,6,FALSE)*'PIM Ranges'!$AP31</f>
        <v>#DIV/0!</v>
      </c>
      <c r="U29" s="416" t="e">
        <f>VLOOKUP($F29&amp;'PIM Ranges'!$AQ31,'Margin Quartiles'!$A:$H,8,FALSE)*'PIM Ranges'!$AP31</f>
        <v>#DIV/0!</v>
      </c>
      <c r="V29" s="145"/>
      <c r="W29" s="168" t="e">
        <f>'Multi-Customer'!AO31</f>
        <v>#DIV/0!</v>
      </c>
      <c r="X29" s="145"/>
      <c r="Y29" s="416">
        <f>VLOOKUP($F29&amp;'Multi-Customer'!$AG31,'IMargin Quartiles'!$A:$H,6,FALSE)*'PIM Ranges'!AP31</f>
        <v>0.75109971111658513</v>
      </c>
      <c r="Z29" s="145"/>
      <c r="AA29" s="145"/>
      <c r="AB29" s="395" t="str">
        <f t="shared" si="2"/>
        <v/>
      </c>
      <c r="AC29" s="169">
        <f t="shared" si="3"/>
        <v>0</v>
      </c>
      <c r="AD29" s="145" t="str">
        <f t="shared" si="4"/>
        <v/>
      </c>
      <c r="AE29" s="145"/>
      <c r="AF29" s="145" t="str">
        <f t="shared" si="5"/>
        <v/>
      </c>
      <c r="AG29" s="145" t="str">
        <f t="shared" si="6"/>
        <v/>
      </c>
      <c r="AH29" s="145" t="str">
        <f t="shared" si="7"/>
        <v/>
      </c>
      <c r="AI29" s="145"/>
      <c r="AJ29" s="145"/>
      <c r="AK29" s="145"/>
      <c r="AL29" s="145"/>
      <c r="AM29" s="145"/>
    </row>
    <row r="30" spans="1:39" ht="18" thickBot="1" x14ac:dyDescent="0.3">
      <c r="A30" s="145"/>
      <c r="B30" s="654">
        <v>0</v>
      </c>
      <c r="C30" s="658"/>
      <c r="D30" s="796" t="s">
        <v>496</v>
      </c>
      <c r="E30" s="655" t="s">
        <v>1011</v>
      </c>
      <c r="F30" s="172" t="s">
        <v>87</v>
      </c>
      <c r="G30" s="699">
        <f>IFERROR('PIM Ranges'!AL32,0)</f>
        <v>0</v>
      </c>
      <c r="H30" s="700">
        <f>IFERROR('PIM Ranges'!AM32,0)</f>
        <v>0</v>
      </c>
      <c r="I30" s="702">
        <f>IFERROR('PIM Ranges'!AN32,0)</f>
        <v>0</v>
      </c>
      <c r="J30" s="423">
        <f t="shared" si="0"/>
        <v>0</v>
      </c>
      <c r="K30" s="899"/>
      <c r="L30" s="751" t="str">
        <f t="shared" si="1"/>
        <v/>
      </c>
      <c r="M30" s="897">
        <f>'Multi-Customer'!Y32</f>
        <v>0</v>
      </c>
      <c r="N30" s="167"/>
      <c r="O30" s="900">
        <f>IFERROR(IF($D30="%",VLOOKUP($F30&amp;'PIM Ranges'!$AQ32,'Margin Quartiles'!$A:$H,5,FALSE),S30),0)</f>
        <v>0</v>
      </c>
      <c r="P30" s="900">
        <f>IFERROR(IF($E$3="Incentive Only",$W30,IF($D30="%",VLOOKUP($F30&amp;'PIM Ranges'!$AQ32,'Margin Quartiles'!$A:$H,6,FALSE),T30)),0)</f>
        <v>0</v>
      </c>
      <c r="Q30" s="900">
        <f>IFERROR(IF($D30="%",VLOOKUP($F30&amp;'PIM Ranges'!$AQ32,'Margin Quartiles'!$A:$H,7,FALSE),U30),0)</f>
        <v>0</v>
      </c>
      <c r="R30" s="546"/>
      <c r="S30" s="416" t="e">
        <f>VLOOKUP($F30&amp;'PIM Ranges'!$AQ32,'Margin Quartiles'!$A:$H,5,FALSE)*'PIM Ranges'!$AP32</f>
        <v>#DIV/0!</v>
      </c>
      <c r="T30" s="416" t="e">
        <f>VLOOKUP($F30&amp;'PIM Ranges'!$AQ32,'Margin Quartiles'!$A:$H,6,FALSE)*'PIM Ranges'!$AP32</f>
        <v>#DIV/0!</v>
      </c>
      <c r="U30" s="416" t="e">
        <f>VLOOKUP($F30&amp;'PIM Ranges'!$AQ32,'Margin Quartiles'!$A:$H,8,FALSE)*'PIM Ranges'!$AP32</f>
        <v>#DIV/0!</v>
      </c>
      <c r="V30" s="145"/>
      <c r="W30" s="168" t="e">
        <f>'Multi-Customer'!AO32</f>
        <v>#DIV/0!</v>
      </c>
      <c r="X30" s="145"/>
      <c r="Y30" s="416">
        <f>VLOOKUP($F30&amp;'Multi-Customer'!$AG32,'IMargin Quartiles'!$A:$H,6,FALSE)*'PIM Ranges'!AP32</f>
        <v>0.59335682950692847</v>
      </c>
      <c r="Z30" s="145"/>
      <c r="AA30" s="145"/>
      <c r="AB30" s="395" t="str">
        <f t="shared" si="2"/>
        <v/>
      </c>
      <c r="AC30" s="169">
        <f t="shared" si="3"/>
        <v>0</v>
      </c>
      <c r="AD30" s="145" t="str">
        <f t="shared" si="4"/>
        <v/>
      </c>
      <c r="AE30" s="145"/>
      <c r="AF30" s="145" t="str">
        <f t="shared" si="5"/>
        <v/>
      </c>
      <c r="AG30" s="145" t="str">
        <f t="shared" si="6"/>
        <v/>
      </c>
      <c r="AH30" s="145" t="str">
        <f t="shared" si="7"/>
        <v/>
      </c>
      <c r="AI30" s="145"/>
      <c r="AJ30" s="145"/>
      <c r="AK30" s="145"/>
      <c r="AL30" s="145"/>
      <c r="AM30" s="145"/>
    </row>
    <row r="31" spans="1:39" ht="14.45" customHeight="1" thickBot="1" x14ac:dyDescent="0.3">
      <c r="A31" s="145"/>
      <c r="B31" s="145"/>
      <c r="C31" s="145"/>
      <c r="D31" s="145"/>
      <c r="E31" s="145"/>
      <c r="F31" s="173" t="s">
        <v>109</v>
      </c>
      <c r="G31" s="174">
        <f>'Customer Inputs'!$M$17</f>
        <v>0</v>
      </c>
      <c r="H31" s="175">
        <f>SUM(H10:H30)</f>
        <v>0</v>
      </c>
      <c r="I31" s="176">
        <f>SUM(I10:I30)</f>
        <v>0</v>
      </c>
      <c r="J31" s="424">
        <f>SUM(J10:J30)</f>
        <v>0</v>
      </c>
      <c r="K31" s="145"/>
      <c r="L31" s="145"/>
      <c r="M31" s="145"/>
      <c r="N31" s="145"/>
      <c r="O31" s="145"/>
      <c r="P31" s="145"/>
      <c r="Q31" s="145"/>
      <c r="R31" s="140"/>
      <c r="S31" s="145"/>
      <c r="T31" s="145"/>
      <c r="U31" s="145"/>
      <c r="V31" s="145"/>
      <c r="W31" s="145"/>
      <c r="X31" s="145"/>
      <c r="Y31" s="145"/>
      <c r="Z31" s="145"/>
      <c r="AA31" s="145"/>
      <c r="AB31" s="140"/>
      <c r="AC31" s="145"/>
      <c r="AD31" s="145"/>
      <c r="AE31" s="145"/>
      <c r="AF31" s="145"/>
      <c r="AG31" s="145"/>
      <c r="AH31" s="145"/>
      <c r="AI31" s="145"/>
      <c r="AJ31" s="145"/>
      <c r="AK31" s="145"/>
      <c r="AL31" s="145"/>
      <c r="AM31" s="145"/>
    </row>
    <row r="32" spans="1:39" ht="15.75" thickBot="1" x14ac:dyDescent="0.3">
      <c r="A32" s="145"/>
      <c r="B32" s="145"/>
      <c r="C32" s="145"/>
      <c r="D32" s="145"/>
      <c r="E32" s="145"/>
      <c r="F32" s="173"/>
      <c r="G32" s="177">
        <f>IF($H$32=21,$G$31,ROUND(SUMIFS($G$10:$G$30,$D$10:$D$30,"%"),0))</f>
        <v>0</v>
      </c>
      <c r="H32" s="177">
        <f>COUNTIF($D$10:$D$30,"%")</f>
        <v>21</v>
      </c>
      <c r="I32" s="140"/>
      <c r="J32" s="140"/>
      <c r="K32" s="145"/>
      <c r="L32" s="145"/>
      <c r="M32" s="145"/>
      <c r="N32" s="145"/>
      <c r="O32" s="145"/>
      <c r="P32" s="145"/>
      <c r="Q32" s="145"/>
      <c r="R32" s="140"/>
      <c r="S32" s="145"/>
      <c r="T32" s="145"/>
      <c r="U32" s="145"/>
      <c r="V32" s="145"/>
      <c r="W32" s="145"/>
      <c r="X32" s="145"/>
      <c r="Y32" s="145"/>
      <c r="Z32" s="145"/>
      <c r="AA32" s="145"/>
      <c r="AB32" s="140"/>
      <c r="AC32" s="145"/>
      <c r="AD32" s="145"/>
      <c r="AE32" s="145"/>
      <c r="AF32" s="145"/>
      <c r="AG32" s="145"/>
      <c r="AH32" s="145"/>
      <c r="AI32" s="145"/>
      <c r="AJ32" s="145"/>
      <c r="AK32" s="145"/>
      <c r="AL32" s="145"/>
      <c r="AM32" s="145"/>
    </row>
    <row r="33" spans="1:39" ht="22.15" customHeight="1" x14ac:dyDescent="0.3">
      <c r="A33" s="145"/>
      <c r="B33" s="145"/>
      <c r="C33" s="145"/>
      <c r="D33" s="145"/>
      <c r="E33" s="145"/>
      <c r="F33" s="145"/>
      <c r="G33" s="1094" t="s">
        <v>119</v>
      </c>
      <c r="H33" s="1095"/>
      <c r="I33" s="517" t="e">
        <f>IF($E$3="MDA",'PIM Ranges'!$AX$7,'PIM Ranges'!$BJ$7)</f>
        <v>#DIV/0!</v>
      </c>
      <c r="J33" s="140"/>
      <c r="K33" s="1096" t="str">
        <f>IF(COUNTIF($AB$10:$AB$30,"ERROR")&lt;1,"",IF(COUNTIF($AB$10:$AB$30,"ERROR")&lt;2,(COUNTIF($AB$10:$AB$30,"ERROR")&amp;" Margin Missing Above"),(COUNTIF($AB$10:$AB$30,"ERROR")&amp;" Margins Missing Above")))</f>
        <v/>
      </c>
      <c r="L33" s="1096" t="str">
        <f t="shared" ref="L33" si="8">IF(COUNTIF($AB$10:$AB$30,"ERROR")&lt;1,"",IF(COUNTIF($AB$10:$AB$30,"ERROR")&lt;2,(COUNTIF($AB$10:$AB$30,"ERROR")&amp;" Margin Missing Above"),(COUNTIF($AB$10:$AB$30,"ERROR")&amp;" Margins Missing Above")))</f>
        <v/>
      </c>
      <c r="M33" s="145"/>
      <c r="N33" s="145"/>
      <c r="O33" s="145"/>
      <c r="P33" s="145"/>
      <c r="Q33" s="145"/>
      <c r="R33" s="140"/>
      <c r="S33" s="145"/>
      <c r="T33" s="145"/>
      <c r="U33" s="145"/>
      <c r="V33" s="145"/>
      <c r="W33" s="145"/>
      <c r="X33" s="145"/>
      <c r="Y33" s="145"/>
      <c r="Z33" s="145"/>
      <c r="AA33" s="145"/>
      <c r="AB33" s="140"/>
      <c r="AC33" s="145"/>
      <c r="AD33" s="145"/>
      <c r="AE33" s="145"/>
      <c r="AF33" s="145"/>
      <c r="AG33" s="145"/>
      <c r="AH33" s="145"/>
      <c r="AI33" s="145"/>
      <c r="AJ33" s="145"/>
      <c r="AK33" s="145"/>
      <c r="AL33" s="145"/>
      <c r="AM33" s="145"/>
    </row>
    <row r="34" spans="1:39" ht="25.15" customHeight="1" x14ac:dyDescent="0.25">
      <c r="A34" s="145"/>
      <c r="B34" s="145"/>
      <c r="C34" s="145"/>
      <c r="D34" s="145"/>
      <c r="E34" s="145"/>
      <c r="F34" s="145"/>
      <c r="G34" s="1092" t="s">
        <v>505</v>
      </c>
      <c r="H34" s="1093"/>
      <c r="I34" s="513">
        <f>J31</f>
        <v>0</v>
      </c>
      <c r="J34" s="140"/>
      <c r="K34" s="1096" t="str">
        <f>IF(COUNTIFS($L$10:$L$30,"X",$AF$10:$AF$30,"BELOW")&lt;1,"",IF(COUNTIFS($L$10:$L$30,"X",$AF$10:$AF$30,"BELOW")&lt;2,(COUNTIFS($L$10:$L$30,"X",$AF$10:$AF$30,"BELOW")&amp;" Margin Below Minimum"),(COUNTIFS($L$10:$L$30,"X",$AF$10:$AF$30,"BELOW")&amp;" Margins Below Minimum")))</f>
        <v/>
      </c>
      <c r="L34" s="1096"/>
      <c r="M34" s="145"/>
      <c r="N34" s="145"/>
      <c r="O34" s="145"/>
      <c r="P34" s="145"/>
      <c r="Q34" s="145"/>
      <c r="R34" s="140"/>
      <c r="S34" s="145"/>
      <c r="T34" s="145"/>
      <c r="U34" s="145"/>
      <c r="V34" s="145"/>
      <c r="W34" s="145"/>
      <c r="X34" s="145"/>
      <c r="Y34" s="145"/>
      <c r="Z34" s="145"/>
      <c r="AA34" s="145"/>
      <c r="AB34" s="140"/>
      <c r="AC34" s="145"/>
      <c r="AD34" s="145"/>
      <c r="AE34" s="145"/>
      <c r="AF34" s="145"/>
      <c r="AG34" s="145"/>
      <c r="AH34" s="145"/>
      <c r="AI34" s="145"/>
      <c r="AJ34" s="145"/>
      <c r="AK34" s="145"/>
      <c r="AL34" s="145"/>
      <c r="AM34" s="145"/>
    </row>
    <row r="35" spans="1:39" ht="27" customHeight="1" x14ac:dyDescent="0.25">
      <c r="A35" s="145"/>
      <c r="B35" s="145"/>
      <c r="C35" s="145"/>
      <c r="D35" s="145"/>
      <c r="E35" s="145"/>
      <c r="F35" s="145"/>
      <c r="G35" s="1092" t="s">
        <v>506</v>
      </c>
      <c r="H35" s="1093"/>
      <c r="I35" s="514" t="str">
        <f>IFERROR(I34/G31,"")</f>
        <v/>
      </c>
      <c r="K35" s="1096" t="str">
        <f>IF(COUNTIFS($L$10:$L$30,"X",$AF$10:$AF$30,"ABOVE")&lt;1,"",IF(COUNTIFS($L$10:$L$30,"X",$AF$10:$AF$30,"ABOVE")&lt;2,(COUNTIFS($L$10:$L$30,"X",$AF$10:$AF$30,"ABOVE")&amp;" Margin Above Maximum"),(COUNTIFS($L$10:$L$30,"X",$AF$10:$AF$30,"ABOVE")&amp;" Margins Above Maximum")))</f>
        <v/>
      </c>
      <c r="L35" s="1096"/>
      <c r="M35" s="145"/>
      <c r="N35" s="145"/>
      <c r="O35" s="145"/>
      <c r="P35" s="145"/>
      <c r="Q35" s="145"/>
      <c r="R35" s="140"/>
      <c r="S35" s="145"/>
      <c r="T35" s="145"/>
      <c r="U35" s="145"/>
      <c r="V35" s="145"/>
      <c r="W35" s="145"/>
      <c r="X35" s="145"/>
      <c r="Y35" s="145"/>
      <c r="Z35" s="145"/>
      <c r="AA35" s="145"/>
      <c r="AB35" s="140"/>
      <c r="AC35" s="145"/>
      <c r="AD35" s="145"/>
      <c r="AE35" s="145"/>
      <c r="AF35" s="145"/>
      <c r="AG35" s="145"/>
      <c r="AH35" s="145"/>
      <c r="AI35" s="145"/>
      <c r="AJ35" s="145"/>
      <c r="AK35" s="145"/>
      <c r="AL35" s="145"/>
      <c r="AM35" s="145"/>
    </row>
    <row r="36" spans="1:39" ht="12" customHeight="1" x14ac:dyDescent="0.25">
      <c r="A36" s="145"/>
      <c r="B36" s="145"/>
      <c r="C36" s="145"/>
      <c r="D36" s="145"/>
      <c r="E36" s="145"/>
      <c r="F36" s="145"/>
      <c r="G36" s="1092"/>
      <c r="H36" s="1093"/>
      <c r="I36" s="514"/>
      <c r="J36" s="140"/>
      <c r="K36" s="526">
        <f>COUNTIF('PIM Model'!$AB$10:$AB$30,"ERROR")+COUNTIFS($L$10:$L$30,"X",$AF$10:$AF$30,"BELOW")</f>
        <v>0</v>
      </c>
      <c r="L36" s="178"/>
      <c r="M36" s="178"/>
      <c r="N36" s="178"/>
      <c r="O36" s="145"/>
      <c r="P36" s="145"/>
      <c r="Q36" s="145"/>
      <c r="R36" s="140"/>
      <c r="S36" s="145"/>
      <c r="T36" s="145"/>
      <c r="U36" s="145"/>
      <c r="V36" s="145"/>
      <c r="W36" s="145"/>
      <c r="X36" s="145"/>
      <c r="Y36" s="145"/>
      <c r="Z36" s="145"/>
      <c r="AA36" s="145"/>
      <c r="AB36" s="140"/>
      <c r="AC36" s="145"/>
      <c r="AD36" s="145"/>
      <c r="AE36" s="145"/>
      <c r="AF36" s="145"/>
      <c r="AG36" s="145"/>
      <c r="AH36" s="145"/>
      <c r="AI36" s="145"/>
      <c r="AJ36" s="145"/>
      <c r="AK36" s="145"/>
      <c r="AL36" s="145"/>
      <c r="AM36" s="145"/>
    </row>
    <row r="37" spans="1:39" ht="16.149999999999999" customHeight="1" x14ac:dyDescent="0.25">
      <c r="A37" s="145"/>
      <c r="B37" s="145"/>
      <c r="C37" s="145"/>
      <c r="D37" s="145"/>
      <c r="E37" s="145"/>
      <c r="F37" s="145"/>
      <c r="G37" s="1092" t="str">
        <f>IFERROR(IF(I35&gt;I33,"","Below Recommended TAGP: "),"")</f>
        <v/>
      </c>
      <c r="H37" s="1093"/>
      <c r="I37" s="514" t="str">
        <f>IFERROR(IF(I35&lt;I33,I33-I35,""),"")</f>
        <v/>
      </c>
      <c r="J37" s="140"/>
      <c r="K37" s="145"/>
      <c r="L37" s="178"/>
      <c r="M37" s="178"/>
      <c r="N37" s="178"/>
      <c r="O37" s="145"/>
      <c r="P37" s="145"/>
      <c r="Q37" s="145"/>
      <c r="R37" s="140"/>
      <c r="S37" s="145"/>
      <c r="T37" s="145"/>
      <c r="U37" s="145"/>
      <c r="V37" s="145"/>
      <c r="W37" s="145"/>
      <c r="X37" s="145"/>
      <c r="Y37" s="145"/>
      <c r="Z37" s="145"/>
      <c r="AA37" s="145"/>
      <c r="AB37" s="140"/>
      <c r="AC37" s="145"/>
      <c r="AD37" s="145"/>
      <c r="AE37" s="145"/>
      <c r="AF37" s="145"/>
      <c r="AG37" s="145"/>
      <c r="AH37" s="145"/>
      <c r="AI37" s="145"/>
      <c r="AJ37" s="145"/>
      <c r="AK37" s="145"/>
      <c r="AL37" s="145"/>
      <c r="AM37" s="145"/>
    </row>
    <row r="38" spans="1:39" ht="4.9000000000000004" customHeight="1" x14ac:dyDescent="0.25">
      <c r="A38" s="145"/>
      <c r="B38" s="145"/>
      <c r="C38" s="145"/>
      <c r="D38" s="145"/>
      <c r="E38" s="145"/>
      <c r="F38" s="145"/>
      <c r="G38" s="1092"/>
      <c r="H38" s="1093"/>
      <c r="I38" s="514"/>
      <c r="J38" s="140"/>
      <c r="K38" s="178"/>
      <c r="L38" s="178"/>
      <c r="M38" s="178"/>
      <c r="N38" s="178"/>
      <c r="O38" s="145"/>
      <c r="P38" s="145"/>
      <c r="Q38" s="145"/>
      <c r="R38" s="140"/>
      <c r="S38" s="145"/>
      <c r="T38" s="145"/>
      <c r="U38" s="145"/>
      <c r="V38" s="145"/>
      <c r="W38" s="145"/>
      <c r="X38" s="145"/>
      <c r="Y38" s="145"/>
      <c r="Z38" s="145"/>
      <c r="AA38" s="145"/>
      <c r="AB38" s="140"/>
      <c r="AC38" s="145"/>
      <c r="AD38" s="145"/>
      <c r="AE38" s="145"/>
      <c r="AF38" s="145"/>
      <c r="AG38" s="145"/>
      <c r="AH38" s="145"/>
      <c r="AI38" s="145"/>
      <c r="AJ38" s="145"/>
      <c r="AK38" s="145"/>
      <c r="AL38" s="145"/>
      <c r="AM38" s="145"/>
    </row>
    <row r="39" spans="1:39" ht="16.149999999999999" customHeight="1" x14ac:dyDescent="0.25">
      <c r="A39" s="145"/>
      <c r="B39" s="145"/>
      <c r="C39" s="145"/>
      <c r="D39" s="145"/>
      <c r="E39" s="145"/>
      <c r="F39" s="145"/>
      <c r="G39" s="1092" t="s">
        <v>507</v>
      </c>
      <c r="H39" s="1093"/>
      <c r="I39" s="515">
        <f>IFERROR(I34/H31,0)</f>
        <v>0</v>
      </c>
      <c r="J39" s="140"/>
      <c r="K39" s="145"/>
      <c r="L39" s="145"/>
      <c r="M39" s="145"/>
      <c r="N39" s="145"/>
      <c r="O39" s="145"/>
      <c r="P39" s="145"/>
      <c r="Q39" s="145"/>
      <c r="R39" s="140"/>
      <c r="S39" s="145"/>
      <c r="T39" s="145"/>
      <c r="U39" s="145"/>
      <c r="V39" s="145"/>
      <c r="W39" s="145"/>
      <c r="X39" s="145"/>
      <c r="Y39" s="145"/>
      <c r="Z39" s="145"/>
      <c r="AA39" s="145"/>
      <c r="AB39" s="140"/>
      <c r="AC39" s="145"/>
      <c r="AD39" s="145"/>
      <c r="AE39" s="145"/>
      <c r="AF39" s="145"/>
      <c r="AG39" s="145"/>
      <c r="AH39" s="145"/>
      <c r="AI39" s="145"/>
      <c r="AJ39" s="145"/>
      <c r="AK39" s="145"/>
      <c r="AL39" s="145"/>
      <c r="AM39" s="145"/>
    </row>
    <row r="40" spans="1:39" ht="21" customHeight="1" thickBot="1" x14ac:dyDescent="0.3">
      <c r="A40" s="145"/>
      <c r="B40" s="145"/>
      <c r="C40" s="145"/>
      <c r="D40" s="145"/>
      <c r="E40" s="145"/>
      <c r="F40" s="145"/>
      <c r="G40" s="1097" t="s">
        <v>508</v>
      </c>
      <c r="H40" s="1098"/>
      <c r="I40" s="516">
        <f>IFERROR($I$34/(52*$E$6*$K$40),0)</f>
        <v>0</v>
      </c>
      <c r="J40" s="140"/>
      <c r="K40" s="620">
        <f>Welcome!$D$14</f>
        <v>0</v>
      </c>
      <c r="L40" s="145"/>
      <c r="M40" s="145"/>
      <c r="N40" s="145"/>
      <c r="O40" s="145"/>
      <c r="P40" s="145"/>
      <c r="Q40" s="550"/>
      <c r="R40" s="140"/>
      <c r="S40" s="145"/>
      <c r="T40" s="145"/>
      <c r="U40" s="145"/>
      <c r="V40" s="145"/>
      <c r="W40" s="145"/>
      <c r="X40" s="145"/>
      <c r="Y40" s="145"/>
      <c r="Z40" s="145"/>
      <c r="AA40" s="145"/>
      <c r="AB40" s="140"/>
      <c r="AC40" s="145"/>
      <c r="AD40" s="145"/>
      <c r="AE40" s="145"/>
      <c r="AF40" s="145"/>
      <c r="AG40" s="145"/>
      <c r="AH40" s="145"/>
      <c r="AI40" s="145"/>
      <c r="AJ40" s="145"/>
      <c r="AK40" s="145"/>
      <c r="AL40" s="145"/>
      <c r="AM40" s="145"/>
    </row>
    <row r="41" spans="1:39" x14ac:dyDescent="0.25">
      <c r="A41" s="145"/>
      <c r="B41" s="145"/>
      <c r="C41" s="145"/>
      <c r="D41" s="145"/>
      <c r="E41" s="145"/>
      <c r="F41" s="145"/>
      <c r="G41" s="145"/>
      <c r="H41" s="140"/>
      <c r="I41" s="546"/>
      <c r="J41" s="140"/>
      <c r="K41" s="145"/>
      <c r="L41" s="145"/>
      <c r="M41" s="145"/>
      <c r="N41" s="145"/>
      <c r="O41" s="145"/>
      <c r="P41" s="145"/>
      <c r="Q41" s="145"/>
      <c r="R41" s="140"/>
      <c r="S41" s="145"/>
      <c r="T41" s="145"/>
      <c r="U41" s="145"/>
      <c r="V41" s="145"/>
      <c r="W41" s="145"/>
      <c r="X41" s="145"/>
      <c r="Y41" s="145"/>
      <c r="Z41" s="145"/>
      <c r="AA41" s="145"/>
      <c r="AB41" s="140"/>
      <c r="AC41" s="145"/>
      <c r="AD41" s="145"/>
      <c r="AE41" s="145"/>
      <c r="AF41" s="145"/>
      <c r="AG41" s="145"/>
      <c r="AH41" s="145"/>
      <c r="AI41" s="145"/>
      <c r="AJ41" s="145"/>
      <c r="AK41" s="145"/>
      <c r="AL41" s="145"/>
      <c r="AM41" s="145"/>
    </row>
    <row r="42" spans="1:39" x14ac:dyDescent="0.25">
      <c r="A42" s="145"/>
      <c r="B42" s="145"/>
      <c r="C42" s="145"/>
      <c r="D42" s="145"/>
      <c r="E42" s="145"/>
      <c r="F42" s="145"/>
      <c r="G42" s="145"/>
      <c r="H42" s="140"/>
      <c r="I42" s="140"/>
      <c r="J42" s="140"/>
      <c r="K42" s="145"/>
      <c r="L42" s="145"/>
      <c r="M42" s="145"/>
      <c r="N42" s="145"/>
      <c r="O42" s="145"/>
      <c r="P42" s="145"/>
      <c r="Q42" s="145"/>
      <c r="R42" s="140"/>
      <c r="S42" s="145"/>
      <c r="T42" s="145"/>
      <c r="U42" s="145"/>
      <c r="V42" s="145"/>
      <c r="W42" s="145"/>
      <c r="X42" s="145"/>
      <c r="Y42" s="145"/>
      <c r="Z42" s="145"/>
      <c r="AA42" s="145"/>
      <c r="AB42" s="140"/>
      <c r="AC42" s="145"/>
      <c r="AD42" s="145"/>
      <c r="AE42" s="145"/>
      <c r="AF42" s="145"/>
      <c r="AG42" s="145"/>
      <c r="AH42" s="145"/>
      <c r="AI42" s="145"/>
      <c r="AJ42" s="145"/>
      <c r="AK42" s="145"/>
      <c r="AL42" s="145"/>
      <c r="AM42" s="145"/>
    </row>
    <row r="43" spans="1:39" x14ac:dyDescent="0.25">
      <c r="A43" s="145"/>
      <c r="B43" s="145"/>
      <c r="C43" s="145"/>
      <c r="D43" s="145"/>
      <c r="E43" s="145"/>
      <c r="F43" s="145"/>
      <c r="G43" s="145"/>
      <c r="H43" s="140"/>
      <c r="I43" s="140"/>
      <c r="J43" s="140"/>
      <c r="K43" s="145"/>
      <c r="L43" s="145"/>
      <c r="M43" s="145"/>
      <c r="N43" s="145"/>
      <c r="O43" s="145"/>
      <c r="P43" s="145"/>
      <c r="Q43" s="145"/>
      <c r="R43" s="140"/>
      <c r="S43" s="145"/>
      <c r="T43" s="145"/>
      <c r="U43" s="145"/>
      <c r="V43" s="145"/>
      <c r="W43" s="145"/>
      <c r="X43" s="145"/>
      <c r="Y43" s="145"/>
      <c r="Z43" s="145"/>
      <c r="AA43" s="145"/>
      <c r="AB43" s="140"/>
      <c r="AC43" s="145"/>
      <c r="AD43" s="145"/>
      <c r="AE43" s="145"/>
      <c r="AF43" s="145"/>
      <c r="AG43" s="145"/>
      <c r="AH43" s="145"/>
      <c r="AI43" s="145"/>
      <c r="AJ43" s="145"/>
      <c r="AK43" s="145"/>
      <c r="AL43" s="145"/>
      <c r="AM43" s="145"/>
    </row>
    <row r="44" spans="1:39" x14ac:dyDescent="0.25">
      <c r="A44" s="145"/>
      <c r="B44" s="145"/>
      <c r="C44" s="145"/>
      <c r="D44" s="145"/>
      <c r="E44" s="145"/>
      <c r="F44" s="145"/>
      <c r="G44" s="145"/>
      <c r="H44" s="140"/>
      <c r="I44" s="140"/>
      <c r="J44" s="140"/>
      <c r="K44" s="145"/>
      <c r="L44" s="145"/>
      <c r="M44" s="145"/>
      <c r="N44" s="145"/>
      <c r="O44" s="145"/>
      <c r="P44" s="145"/>
      <c r="Q44" s="145"/>
      <c r="R44" s="140"/>
      <c r="S44" s="145"/>
      <c r="T44" s="145"/>
      <c r="U44" s="145"/>
      <c r="V44" s="145"/>
      <c r="W44" s="145"/>
      <c r="X44" s="145"/>
      <c r="Y44" s="145"/>
      <c r="Z44" s="145"/>
      <c r="AA44" s="145"/>
      <c r="AB44" s="140"/>
      <c r="AC44" s="145"/>
      <c r="AD44" s="145"/>
      <c r="AE44" s="145"/>
      <c r="AF44" s="145"/>
      <c r="AG44" s="145"/>
      <c r="AH44" s="145"/>
      <c r="AI44" s="145"/>
      <c r="AJ44" s="145"/>
      <c r="AK44" s="145"/>
      <c r="AL44" s="145"/>
      <c r="AM44" s="145"/>
    </row>
    <row r="45" spans="1:39" x14ac:dyDescent="0.25">
      <c r="A45" s="145"/>
      <c r="B45" s="145"/>
      <c r="C45" s="145"/>
      <c r="D45" s="145"/>
      <c r="E45" s="145"/>
      <c r="F45" s="145"/>
      <c r="G45" s="145"/>
      <c r="H45" s="140"/>
      <c r="I45" s="140"/>
      <c r="J45" s="140"/>
      <c r="K45" s="145"/>
      <c r="L45" s="145"/>
      <c r="M45" s="145"/>
      <c r="N45" s="145"/>
      <c r="O45" s="145"/>
      <c r="P45" s="145"/>
      <c r="Q45" s="145"/>
      <c r="R45" s="140"/>
      <c r="S45" s="145"/>
      <c r="T45" s="145"/>
      <c r="U45" s="145"/>
      <c r="V45" s="145"/>
      <c r="W45" s="145"/>
      <c r="X45" s="145"/>
      <c r="Y45" s="145"/>
      <c r="Z45" s="145"/>
      <c r="AA45" s="145"/>
      <c r="AB45" s="140"/>
      <c r="AC45" s="145"/>
      <c r="AD45" s="145"/>
      <c r="AE45" s="145"/>
      <c r="AF45" s="145"/>
      <c r="AG45" s="145"/>
      <c r="AH45" s="145"/>
      <c r="AI45" s="145"/>
      <c r="AJ45" s="145"/>
      <c r="AK45" s="145"/>
      <c r="AL45" s="145"/>
      <c r="AM45" s="145"/>
    </row>
    <row r="46" spans="1:39" x14ac:dyDescent="0.25">
      <c r="A46" s="145"/>
      <c r="B46" s="145"/>
      <c r="C46" s="145"/>
      <c r="D46" s="145"/>
      <c r="E46" s="145"/>
      <c r="F46" s="145"/>
      <c r="G46" s="145"/>
      <c r="H46" s="140"/>
      <c r="I46" s="140"/>
      <c r="J46" s="140"/>
      <c r="K46" s="145"/>
      <c r="L46" s="145"/>
      <c r="M46" s="145"/>
      <c r="N46" s="145"/>
      <c r="O46" s="145"/>
      <c r="P46" s="145"/>
      <c r="Q46" s="145"/>
      <c r="R46" s="140"/>
      <c r="S46" s="145"/>
      <c r="T46" s="145"/>
      <c r="U46" s="145"/>
      <c r="V46" s="145"/>
      <c r="W46" s="145"/>
      <c r="X46" s="145"/>
      <c r="Y46" s="145"/>
      <c r="Z46" s="145"/>
      <c r="AA46" s="145"/>
      <c r="AB46" s="140"/>
      <c r="AC46" s="145"/>
      <c r="AD46" s="145"/>
      <c r="AE46" s="145"/>
      <c r="AF46" s="145"/>
      <c r="AG46" s="145"/>
      <c r="AH46" s="145"/>
      <c r="AI46" s="145"/>
      <c r="AJ46" s="145"/>
      <c r="AK46" s="145"/>
      <c r="AL46" s="145"/>
      <c r="AM46" s="145"/>
    </row>
    <row r="47" spans="1:39" x14ac:dyDescent="0.25">
      <c r="A47" s="145"/>
      <c r="B47" s="145"/>
      <c r="C47" s="145"/>
      <c r="D47" s="145"/>
      <c r="E47" s="145"/>
      <c r="F47" s="145"/>
      <c r="G47" s="145"/>
      <c r="H47" s="140"/>
      <c r="I47" s="140"/>
      <c r="J47" s="140"/>
      <c r="K47" s="145"/>
      <c r="L47" s="145"/>
      <c r="M47" s="145"/>
      <c r="N47" s="145"/>
      <c r="O47" s="145"/>
      <c r="P47" s="145"/>
      <c r="Q47" s="145"/>
      <c r="R47" s="140"/>
      <c r="S47" s="145"/>
      <c r="T47" s="145"/>
      <c r="U47" s="145"/>
      <c r="V47" s="145"/>
      <c r="W47" s="145"/>
      <c r="X47" s="145"/>
      <c r="Y47" s="145"/>
      <c r="Z47" s="145"/>
      <c r="AA47" s="145"/>
      <c r="AB47" s="140"/>
      <c r="AC47" s="145"/>
      <c r="AD47" s="145"/>
      <c r="AE47" s="145"/>
      <c r="AF47" s="145"/>
      <c r="AG47" s="145"/>
      <c r="AH47" s="145"/>
      <c r="AI47" s="145"/>
      <c r="AJ47" s="145"/>
      <c r="AK47" s="145"/>
      <c r="AL47" s="145"/>
      <c r="AM47" s="145"/>
    </row>
    <row r="48" spans="1:39" x14ac:dyDescent="0.25">
      <c r="A48" s="145"/>
      <c r="B48" s="145"/>
      <c r="C48" s="145"/>
      <c r="D48" s="145"/>
      <c r="E48" s="145"/>
      <c r="F48" s="145"/>
      <c r="G48" s="145"/>
      <c r="H48" s="140"/>
      <c r="I48" s="140"/>
      <c r="J48" s="140"/>
      <c r="K48" s="145"/>
      <c r="L48" s="145"/>
      <c r="M48" s="145"/>
      <c r="N48" s="145"/>
      <c r="O48" s="145"/>
      <c r="P48" s="145"/>
      <c r="Q48" s="145"/>
      <c r="R48" s="140"/>
      <c r="S48" s="145"/>
      <c r="T48" s="145"/>
      <c r="U48" s="145"/>
      <c r="V48" s="145"/>
      <c r="W48" s="145"/>
      <c r="X48" s="145"/>
      <c r="Y48" s="145"/>
      <c r="Z48" s="145"/>
      <c r="AA48" s="145"/>
      <c r="AB48" s="140"/>
      <c r="AC48" s="145"/>
      <c r="AD48" s="145"/>
      <c r="AE48" s="145"/>
      <c r="AF48" s="145"/>
      <c r="AG48" s="145"/>
      <c r="AH48" s="145"/>
      <c r="AI48" s="145"/>
      <c r="AJ48" s="145"/>
      <c r="AK48" s="145"/>
      <c r="AL48" s="145"/>
      <c r="AM48" s="145"/>
    </row>
    <row r="49" spans="1:39" x14ac:dyDescent="0.25">
      <c r="A49" s="145"/>
      <c r="B49" s="145"/>
      <c r="C49" s="145"/>
      <c r="D49" s="145"/>
      <c r="E49" s="145"/>
      <c r="F49" s="145"/>
      <c r="G49" s="145"/>
      <c r="H49" s="140"/>
      <c r="I49" s="140"/>
      <c r="J49" s="140"/>
      <c r="K49" s="145"/>
      <c r="L49" s="145"/>
      <c r="M49" s="145"/>
      <c r="N49" s="145"/>
      <c r="O49" s="145"/>
      <c r="P49" s="145"/>
      <c r="Q49" s="145"/>
      <c r="R49" s="140"/>
      <c r="S49" s="145"/>
      <c r="T49" s="145"/>
      <c r="U49" s="145"/>
      <c r="V49" s="145"/>
      <c r="W49" s="145"/>
      <c r="X49" s="145"/>
      <c r="Y49" s="145"/>
      <c r="Z49" s="145"/>
      <c r="AA49" s="145"/>
      <c r="AB49" s="140"/>
      <c r="AC49" s="145"/>
      <c r="AD49" s="145"/>
      <c r="AE49" s="145"/>
      <c r="AF49" s="145"/>
      <c r="AG49" s="145"/>
      <c r="AH49" s="145"/>
      <c r="AI49" s="145"/>
      <c r="AJ49" s="145"/>
      <c r="AK49" s="145"/>
      <c r="AL49" s="145"/>
      <c r="AM49" s="145"/>
    </row>
    <row r="50" spans="1:39" x14ac:dyDescent="0.25">
      <c r="A50" s="145"/>
      <c r="B50" s="145"/>
      <c r="C50" s="145"/>
      <c r="D50" s="145"/>
      <c r="E50" s="145"/>
      <c r="F50" s="145"/>
      <c r="G50" s="145"/>
      <c r="H50" s="140"/>
      <c r="I50" s="140"/>
      <c r="J50" s="140"/>
      <c r="K50" s="145"/>
      <c r="L50" s="145"/>
      <c r="M50" s="145"/>
      <c r="N50" s="145"/>
      <c r="O50" s="145"/>
      <c r="P50" s="145"/>
      <c r="Q50" s="145"/>
      <c r="R50" s="140"/>
      <c r="S50" s="145"/>
      <c r="T50" s="145"/>
      <c r="U50" s="145"/>
      <c r="V50" s="145"/>
      <c r="W50" s="145"/>
      <c r="X50" s="145"/>
      <c r="Y50" s="145"/>
      <c r="Z50" s="145"/>
      <c r="AA50" s="145"/>
      <c r="AB50" s="140"/>
      <c r="AC50" s="145"/>
      <c r="AD50" s="145"/>
      <c r="AE50" s="145"/>
      <c r="AF50" s="145"/>
      <c r="AG50" s="145"/>
      <c r="AH50" s="145"/>
      <c r="AI50" s="145"/>
      <c r="AJ50" s="145"/>
      <c r="AK50" s="145"/>
      <c r="AL50" s="145"/>
      <c r="AM50" s="145"/>
    </row>
    <row r="51" spans="1:39" x14ac:dyDescent="0.25">
      <c r="A51" s="145"/>
      <c r="B51" s="145"/>
      <c r="C51" s="145"/>
      <c r="D51" s="145"/>
      <c r="E51" s="145"/>
      <c r="F51" s="145"/>
      <c r="G51" s="145"/>
      <c r="H51" s="140"/>
      <c r="I51" s="140"/>
      <c r="J51" s="140"/>
      <c r="K51" s="145"/>
      <c r="L51" s="145"/>
      <c r="M51" s="145"/>
      <c r="N51" s="145"/>
      <c r="O51" s="145"/>
      <c r="P51" s="145"/>
      <c r="Q51" s="145"/>
      <c r="R51" s="140"/>
      <c r="S51" s="145"/>
      <c r="T51" s="145"/>
      <c r="U51" s="145"/>
      <c r="V51" s="145"/>
      <c r="W51" s="145"/>
      <c r="X51" s="145"/>
      <c r="Y51" s="145"/>
      <c r="Z51" s="145"/>
      <c r="AA51" s="145"/>
      <c r="AB51" s="140"/>
      <c r="AC51" s="145"/>
      <c r="AD51" s="145"/>
      <c r="AE51" s="145"/>
      <c r="AF51" s="145"/>
      <c r="AG51" s="145"/>
      <c r="AH51" s="145"/>
      <c r="AI51" s="145"/>
      <c r="AJ51" s="145"/>
      <c r="AK51" s="145"/>
      <c r="AL51" s="145"/>
      <c r="AM51" s="145"/>
    </row>
    <row r="52" spans="1:39" x14ac:dyDescent="0.25">
      <c r="A52" s="145"/>
      <c r="B52" s="145"/>
      <c r="C52" s="145"/>
      <c r="D52" s="145"/>
      <c r="E52" s="145"/>
      <c r="F52" s="1099"/>
      <c r="G52" s="1099"/>
      <c r="H52" s="140"/>
      <c r="I52" s="140"/>
      <c r="J52" s="140"/>
      <c r="K52" s="145"/>
      <c r="L52" s="145"/>
      <c r="M52" s="145"/>
      <c r="N52" s="145"/>
      <c r="O52" s="145"/>
      <c r="P52" s="145"/>
      <c r="Q52" s="145"/>
      <c r="R52" s="140"/>
      <c r="S52" s="145"/>
      <c r="T52" s="145"/>
      <c r="U52" s="145"/>
      <c r="V52" s="145"/>
      <c r="W52" s="145"/>
      <c r="X52" s="145"/>
      <c r="Y52" s="145"/>
      <c r="Z52" s="145"/>
      <c r="AA52" s="145"/>
      <c r="AB52" s="140"/>
      <c r="AC52" s="145"/>
      <c r="AD52" s="145"/>
      <c r="AE52" s="145"/>
      <c r="AF52" s="145"/>
      <c r="AG52" s="145"/>
      <c r="AH52" s="145"/>
      <c r="AI52" s="145"/>
      <c r="AJ52" s="145"/>
      <c r="AK52" s="145"/>
      <c r="AL52" s="145"/>
      <c r="AM52" s="145"/>
    </row>
    <row r="53" spans="1:39" x14ac:dyDescent="0.25">
      <c r="A53" s="145"/>
      <c r="B53" s="145"/>
      <c r="C53" s="145"/>
      <c r="D53" s="145"/>
      <c r="E53" s="145"/>
      <c r="F53" s="1099"/>
      <c r="G53" s="1099"/>
      <c r="H53" s="140"/>
      <c r="I53" s="140"/>
      <c r="J53" s="140"/>
      <c r="K53" s="145"/>
      <c r="L53" s="145"/>
      <c r="M53" s="145"/>
      <c r="N53" s="145"/>
      <c r="O53" s="145"/>
      <c r="P53" s="145"/>
      <c r="Q53" s="145"/>
      <c r="R53" s="140"/>
      <c r="S53" s="145"/>
      <c r="T53" s="145"/>
      <c r="U53" s="145"/>
      <c r="V53" s="145"/>
      <c r="W53" s="145"/>
      <c r="X53" s="145"/>
      <c r="Y53" s="145"/>
      <c r="Z53" s="145"/>
      <c r="AA53" s="145"/>
      <c r="AB53" s="140"/>
      <c r="AC53" s="145"/>
      <c r="AD53" s="145"/>
      <c r="AE53" s="145"/>
      <c r="AF53" s="145"/>
      <c r="AG53" s="145"/>
      <c r="AH53" s="145"/>
      <c r="AI53" s="145"/>
      <c r="AJ53" s="145"/>
      <c r="AK53" s="145"/>
      <c r="AL53" s="145"/>
      <c r="AM53" s="145"/>
    </row>
    <row r="54" spans="1:39" x14ac:dyDescent="0.25">
      <c r="A54" s="145"/>
      <c r="B54" s="145"/>
      <c r="C54" s="145"/>
      <c r="D54" s="145"/>
      <c r="E54" s="145"/>
      <c r="F54" s="1099"/>
      <c r="G54" s="1099"/>
      <c r="H54" s="140"/>
      <c r="I54" s="140"/>
      <c r="J54" s="140"/>
      <c r="K54" s="145"/>
      <c r="L54" s="145"/>
      <c r="M54" s="145"/>
      <c r="N54" s="145"/>
      <c r="O54" s="145"/>
      <c r="P54" s="145"/>
      <c r="Q54" s="145"/>
      <c r="R54" s="140"/>
      <c r="S54" s="145"/>
      <c r="T54" s="145"/>
      <c r="U54" s="145"/>
      <c r="V54" s="145"/>
      <c r="W54" s="145"/>
      <c r="X54" s="145"/>
      <c r="Y54" s="145"/>
      <c r="Z54" s="145"/>
      <c r="AA54" s="145"/>
      <c r="AB54" s="140"/>
      <c r="AC54" s="145"/>
      <c r="AD54" s="145"/>
      <c r="AE54" s="145"/>
      <c r="AF54" s="145"/>
      <c r="AG54" s="145"/>
      <c r="AH54" s="145"/>
      <c r="AI54" s="145"/>
      <c r="AJ54" s="145"/>
      <c r="AK54" s="145"/>
      <c r="AL54" s="145"/>
      <c r="AM54" s="145"/>
    </row>
    <row r="55" spans="1:39" x14ac:dyDescent="0.25">
      <c r="A55" s="145"/>
      <c r="B55" s="145"/>
      <c r="C55" s="145"/>
      <c r="D55" s="145"/>
      <c r="E55" s="145"/>
      <c r="F55" s="145"/>
      <c r="G55" s="145"/>
      <c r="H55" s="140"/>
      <c r="I55" s="140"/>
      <c r="J55" s="140"/>
      <c r="K55" s="145"/>
      <c r="L55" s="145"/>
      <c r="M55" s="145"/>
      <c r="N55" s="145"/>
      <c r="O55" s="145"/>
      <c r="P55" s="145"/>
      <c r="Q55" s="145"/>
      <c r="R55" s="140"/>
      <c r="S55" s="145"/>
      <c r="T55" s="145"/>
      <c r="U55" s="145"/>
      <c r="V55" s="145"/>
      <c r="W55" s="145"/>
      <c r="X55" s="145"/>
      <c r="Y55" s="145"/>
      <c r="Z55" s="145"/>
      <c r="AA55" s="145"/>
      <c r="AB55" s="140"/>
      <c r="AC55" s="145"/>
      <c r="AD55" s="145"/>
      <c r="AE55" s="145"/>
      <c r="AF55" s="145"/>
      <c r="AG55" s="145"/>
      <c r="AH55" s="145"/>
      <c r="AI55" s="145"/>
      <c r="AJ55" s="145"/>
      <c r="AK55" s="145"/>
      <c r="AL55" s="145"/>
      <c r="AM55" s="145"/>
    </row>
    <row r="56" spans="1:39" x14ac:dyDescent="0.25">
      <c r="A56" s="145"/>
      <c r="B56" s="145"/>
      <c r="C56" s="145"/>
      <c r="D56" s="145"/>
      <c r="E56" s="145"/>
      <c r="F56" s="145"/>
      <c r="G56" s="145"/>
      <c r="H56" s="140"/>
      <c r="I56" s="140"/>
      <c r="J56" s="140"/>
      <c r="K56" s="145"/>
      <c r="L56" s="145"/>
      <c r="M56" s="145"/>
      <c r="N56" s="145"/>
      <c r="O56" s="145"/>
      <c r="P56" s="145"/>
      <c r="Q56" s="145"/>
      <c r="R56" s="140"/>
      <c r="S56" s="145"/>
      <c r="T56" s="145"/>
      <c r="U56" s="145"/>
      <c r="V56" s="145"/>
      <c r="W56" s="145"/>
      <c r="X56" s="145"/>
      <c r="Y56" s="145"/>
      <c r="Z56" s="145"/>
      <c r="AA56" s="145"/>
      <c r="AB56" s="140"/>
      <c r="AC56" s="145"/>
      <c r="AD56" s="145"/>
      <c r="AE56" s="145"/>
      <c r="AF56" s="145"/>
      <c r="AG56" s="145"/>
      <c r="AH56" s="145"/>
      <c r="AI56" s="145"/>
      <c r="AJ56" s="145"/>
      <c r="AK56" s="145"/>
      <c r="AL56" s="145"/>
      <c r="AM56" s="145"/>
    </row>
    <row r="57" spans="1:39" x14ac:dyDescent="0.25">
      <c r="A57" s="145"/>
      <c r="B57" s="145"/>
      <c r="C57" s="145"/>
      <c r="D57" s="145"/>
      <c r="E57" s="145"/>
      <c r="F57" s="145"/>
      <c r="G57" s="145"/>
      <c r="H57" s="140"/>
      <c r="I57" s="140"/>
      <c r="J57" s="140"/>
      <c r="K57" s="145"/>
      <c r="L57" s="145"/>
      <c r="M57" s="145"/>
      <c r="N57" s="145"/>
      <c r="O57" s="145"/>
      <c r="P57" s="145"/>
      <c r="Q57" s="145"/>
      <c r="R57" s="140"/>
      <c r="S57" s="145"/>
      <c r="T57" s="145"/>
      <c r="U57" s="145"/>
      <c r="V57" s="145"/>
      <c r="W57" s="145"/>
      <c r="X57" s="145"/>
      <c r="Y57" s="145"/>
      <c r="Z57" s="145"/>
      <c r="AA57" s="145"/>
      <c r="AB57" s="140"/>
      <c r="AC57" s="145"/>
      <c r="AD57" s="145"/>
      <c r="AE57" s="145"/>
      <c r="AF57" s="145"/>
      <c r="AG57" s="145"/>
      <c r="AH57" s="145"/>
      <c r="AI57" s="145"/>
      <c r="AJ57" s="145"/>
      <c r="AK57" s="145"/>
      <c r="AL57" s="145"/>
      <c r="AM57" s="145"/>
    </row>
    <row r="58" spans="1:39" x14ac:dyDescent="0.25">
      <c r="A58" s="145"/>
      <c r="B58" s="145"/>
      <c r="C58" s="145"/>
      <c r="D58" s="145"/>
      <c r="E58" s="145"/>
      <c r="F58" s="145"/>
      <c r="G58" s="145"/>
      <c r="H58" s="140"/>
      <c r="I58" s="140"/>
      <c r="J58" s="140"/>
      <c r="K58" s="145"/>
      <c r="L58" s="145"/>
      <c r="M58" s="145"/>
      <c r="N58" s="145"/>
      <c r="O58" s="145"/>
      <c r="P58" s="145"/>
      <c r="Q58" s="145"/>
      <c r="R58" s="140"/>
      <c r="S58" s="145"/>
      <c r="T58" s="145"/>
      <c r="U58" s="145"/>
      <c r="V58" s="145"/>
      <c r="W58" s="145"/>
      <c r="X58" s="145"/>
      <c r="Y58" s="145"/>
      <c r="Z58" s="145"/>
      <c r="AA58" s="145"/>
      <c r="AB58" s="140"/>
      <c r="AC58" s="145"/>
      <c r="AD58" s="145"/>
      <c r="AE58" s="145"/>
      <c r="AF58" s="145"/>
      <c r="AG58" s="145"/>
      <c r="AH58" s="145"/>
      <c r="AI58" s="145"/>
      <c r="AJ58" s="145"/>
      <c r="AK58" s="145"/>
      <c r="AL58" s="145"/>
      <c r="AM58" s="145"/>
    </row>
    <row r="59" spans="1:39" x14ac:dyDescent="0.25">
      <c r="A59" s="145"/>
      <c r="B59" s="145"/>
      <c r="C59" s="145"/>
      <c r="D59" s="145"/>
      <c r="E59" s="145"/>
      <c r="F59" s="145"/>
      <c r="G59" s="145"/>
      <c r="H59" s="140"/>
      <c r="I59" s="140"/>
      <c r="J59" s="140"/>
      <c r="K59" s="145"/>
      <c r="L59" s="145"/>
      <c r="M59" s="145"/>
      <c r="N59" s="145"/>
      <c r="O59" s="145"/>
      <c r="P59" s="145"/>
      <c r="Q59" s="145"/>
      <c r="R59" s="140"/>
      <c r="S59" s="145"/>
      <c r="T59" s="145"/>
      <c r="U59" s="145"/>
      <c r="V59" s="145"/>
      <c r="W59" s="145"/>
      <c r="X59" s="145"/>
      <c r="Y59" s="145"/>
      <c r="Z59" s="145"/>
      <c r="AA59" s="145"/>
      <c r="AB59" s="140"/>
      <c r="AC59" s="145"/>
      <c r="AD59" s="145"/>
      <c r="AE59" s="145"/>
      <c r="AF59" s="145"/>
      <c r="AG59" s="145"/>
      <c r="AH59" s="145"/>
      <c r="AI59" s="145"/>
      <c r="AJ59" s="145"/>
      <c r="AK59" s="145"/>
      <c r="AL59" s="145"/>
      <c r="AM59" s="145"/>
    </row>
    <row r="60" spans="1:39" x14ac:dyDescent="0.25">
      <c r="A60" s="145"/>
      <c r="B60" s="145"/>
      <c r="C60" s="145"/>
      <c r="D60" s="145"/>
      <c r="E60" s="145"/>
      <c r="F60" s="145"/>
      <c r="G60" s="145"/>
      <c r="H60" s="140"/>
      <c r="I60" s="140"/>
      <c r="J60" s="140"/>
      <c r="K60" s="145"/>
      <c r="L60" s="145"/>
      <c r="M60" s="145"/>
      <c r="N60" s="145"/>
      <c r="O60" s="145"/>
      <c r="P60" s="145"/>
      <c r="Q60" s="145"/>
      <c r="R60" s="140"/>
      <c r="S60" s="145"/>
      <c r="T60" s="145"/>
      <c r="U60" s="145"/>
      <c r="V60" s="145"/>
      <c r="W60" s="145"/>
      <c r="X60" s="145"/>
      <c r="Y60" s="145"/>
      <c r="Z60" s="145"/>
      <c r="AA60" s="145"/>
      <c r="AB60" s="140"/>
      <c r="AC60" s="145"/>
      <c r="AD60" s="145"/>
      <c r="AE60" s="145"/>
      <c r="AF60" s="145"/>
      <c r="AG60" s="145"/>
      <c r="AH60" s="145"/>
      <c r="AI60" s="145"/>
      <c r="AJ60" s="145"/>
      <c r="AK60" s="145"/>
      <c r="AL60" s="145"/>
      <c r="AM60" s="145"/>
    </row>
    <row r="61" spans="1:39" x14ac:dyDescent="0.25">
      <c r="A61" s="145"/>
      <c r="B61" s="145"/>
      <c r="C61" s="145"/>
      <c r="D61" s="145"/>
      <c r="E61" s="145"/>
      <c r="F61" s="145"/>
      <c r="G61" s="145"/>
      <c r="H61" s="140"/>
      <c r="I61" s="140"/>
      <c r="J61" s="140"/>
      <c r="K61" s="145"/>
      <c r="L61" s="145"/>
      <c r="M61" s="145"/>
      <c r="N61" s="145"/>
      <c r="O61" s="145"/>
      <c r="P61" s="145"/>
      <c r="Q61" s="145"/>
      <c r="R61" s="140"/>
      <c r="S61" s="145"/>
      <c r="T61" s="145"/>
      <c r="U61" s="145"/>
      <c r="V61" s="145"/>
      <c r="W61" s="145"/>
      <c r="X61" s="145"/>
      <c r="Y61" s="145"/>
      <c r="Z61" s="145"/>
      <c r="AA61" s="145"/>
      <c r="AB61" s="140"/>
      <c r="AC61" s="145"/>
      <c r="AD61" s="145"/>
      <c r="AE61" s="145"/>
      <c r="AF61" s="145"/>
      <c r="AG61" s="145"/>
      <c r="AH61" s="145"/>
      <c r="AI61" s="145"/>
      <c r="AJ61" s="145"/>
      <c r="AK61" s="145"/>
      <c r="AL61" s="145"/>
      <c r="AM61" s="145"/>
    </row>
    <row r="62" spans="1:39" x14ac:dyDescent="0.25">
      <c r="A62" s="145"/>
      <c r="B62" s="145"/>
      <c r="C62" s="145"/>
      <c r="D62" s="145"/>
      <c r="E62" s="145"/>
      <c r="F62" s="145"/>
      <c r="G62" s="145"/>
      <c r="H62" s="140"/>
      <c r="I62" s="140"/>
      <c r="J62" s="140"/>
      <c r="K62" s="145"/>
      <c r="L62" s="145"/>
      <c r="M62" s="145"/>
      <c r="N62" s="145"/>
      <c r="O62" s="145"/>
      <c r="P62" s="145"/>
      <c r="Q62" s="145"/>
      <c r="R62" s="140"/>
      <c r="S62" s="145"/>
      <c r="T62" s="145"/>
      <c r="U62" s="145"/>
      <c r="V62" s="145"/>
      <c r="W62" s="145"/>
      <c r="X62" s="145"/>
      <c r="Y62" s="145"/>
      <c r="Z62" s="145"/>
      <c r="AA62" s="145"/>
      <c r="AB62" s="140"/>
      <c r="AC62" s="145"/>
      <c r="AD62" s="145"/>
      <c r="AE62" s="145"/>
      <c r="AF62" s="145"/>
      <c r="AG62" s="145"/>
      <c r="AH62" s="145"/>
      <c r="AI62" s="145"/>
      <c r="AJ62" s="145"/>
      <c r="AK62" s="145"/>
      <c r="AL62" s="145"/>
      <c r="AM62" s="145"/>
    </row>
    <row r="63" spans="1:39" x14ac:dyDescent="0.25">
      <c r="A63" s="145"/>
      <c r="B63" s="145"/>
      <c r="C63" s="145"/>
      <c r="D63" s="145"/>
      <c r="E63" s="145"/>
      <c r="F63" s="145"/>
      <c r="G63" s="145"/>
      <c r="H63" s="140"/>
      <c r="I63" s="140"/>
      <c r="J63" s="140"/>
      <c r="K63" s="145"/>
      <c r="L63" s="145"/>
      <c r="M63" s="145"/>
      <c r="N63" s="145"/>
      <c r="O63" s="145"/>
      <c r="P63" s="145"/>
      <c r="Q63" s="145"/>
      <c r="R63" s="140"/>
      <c r="S63" s="145"/>
      <c r="T63" s="145"/>
      <c r="U63" s="145"/>
      <c r="V63" s="145"/>
      <c r="W63" s="145"/>
      <c r="X63" s="145"/>
      <c r="Y63" s="145"/>
      <c r="Z63" s="145"/>
      <c r="AA63" s="145"/>
      <c r="AB63" s="140"/>
      <c r="AC63" s="145"/>
      <c r="AD63" s="145"/>
      <c r="AE63" s="145"/>
      <c r="AF63" s="145"/>
      <c r="AG63" s="145"/>
      <c r="AH63" s="145"/>
      <c r="AI63" s="145"/>
      <c r="AJ63" s="145"/>
      <c r="AK63" s="145"/>
      <c r="AL63" s="145"/>
      <c r="AM63" s="145"/>
    </row>
    <row r="64" spans="1:39" x14ac:dyDescent="0.25">
      <c r="A64" s="145"/>
      <c r="B64" s="145"/>
      <c r="C64" s="145"/>
      <c r="D64" s="145"/>
      <c r="E64" s="145"/>
      <c r="F64" s="145"/>
      <c r="G64" s="145"/>
      <c r="H64" s="140"/>
      <c r="I64" s="140"/>
      <c r="J64" s="140"/>
      <c r="K64" s="145"/>
      <c r="L64" s="145"/>
      <c r="M64" s="145"/>
      <c r="N64" s="145"/>
      <c r="O64" s="145"/>
      <c r="P64" s="145"/>
      <c r="Q64" s="145"/>
      <c r="R64" s="140"/>
      <c r="S64" s="145"/>
      <c r="T64" s="145"/>
      <c r="U64" s="145"/>
      <c r="V64" s="145"/>
      <c r="W64" s="145"/>
      <c r="X64" s="145"/>
      <c r="Y64" s="145"/>
      <c r="Z64" s="145"/>
      <c r="AA64" s="145"/>
      <c r="AB64" s="140"/>
      <c r="AC64" s="145"/>
      <c r="AD64" s="145"/>
      <c r="AE64" s="145"/>
      <c r="AF64" s="145"/>
      <c r="AG64" s="145"/>
      <c r="AH64" s="145"/>
      <c r="AI64" s="145"/>
      <c r="AJ64" s="145"/>
      <c r="AK64" s="145"/>
      <c r="AL64" s="145"/>
      <c r="AM64" s="145"/>
    </row>
    <row r="65" spans="1:39" x14ac:dyDescent="0.25">
      <c r="A65" s="145"/>
      <c r="B65" s="145"/>
      <c r="C65" s="145"/>
      <c r="D65" s="145"/>
      <c r="E65" s="145"/>
      <c r="F65" s="145"/>
      <c r="G65" s="145"/>
      <c r="H65" s="140"/>
      <c r="I65" s="140"/>
      <c r="J65" s="140"/>
      <c r="K65" s="145"/>
      <c r="L65" s="145"/>
      <c r="M65" s="145"/>
      <c r="N65" s="145"/>
      <c r="O65" s="145"/>
      <c r="P65" s="145"/>
      <c r="Q65" s="145"/>
      <c r="R65" s="140"/>
      <c r="S65" s="145"/>
      <c r="T65" s="145"/>
      <c r="U65" s="145"/>
      <c r="V65" s="145"/>
      <c r="W65" s="145"/>
      <c r="X65" s="145"/>
      <c r="Y65" s="145"/>
      <c r="Z65" s="145"/>
      <c r="AA65" s="145"/>
      <c r="AB65" s="140"/>
      <c r="AC65" s="145"/>
      <c r="AD65" s="145"/>
      <c r="AE65" s="145"/>
      <c r="AF65" s="145"/>
      <c r="AG65" s="145"/>
      <c r="AH65" s="145"/>
      <c r="AI65" s="145"/>
      <c r="AJ65" s="145"/>
      <c r="AK65" s="145"/>
      <c r="AL65" s="145"/>
      <c r="AM65" s="145"/>
    </row>
    <row r="66" spans="1:39" x14ac:dyDescent="0.25">
      <c r="A66" s="145"/>
      <c r="B66" s="145"/>
      <c r="C66" s="145"/>
      <c r="D66" s="145"/>
      <c r="E66" s="145"/>
      <c r="F66" s="145"/>
      <c r="G66" s="145"/>
      <c r="H66" s="140"/>
      <c r="I66" s="140"/>
      <c r="J66" s="140"/>
      <c r="K66" s="145"/>
      <c r="L66" s="145"/>
      <c r="M66" s="145"/>
      <c r="N66" s="145"/>
      <c r="O66" s="145"/>
      <c r="P66" s="145"/>
      <c r="Q66" s="145"/>
      <c r="R66" s="140"/>
      <c r="S66" s="145"/>
      <c r="T66" s="145"/>
      <c r="U66" s="145"/>
      <c r="V66" s="145"/>
      <c r="W66" s="145"/>
      <c r="X66" s="145"/>
      <c r="Y66" s="145"/>
      <c r="Z66" s="145"/>
      <c r="AA66" s="145"/>
      <c r="AB66" s="140"/>
      <c r="AC66" s="145"/>
      <c r="AD66" s="145"/>
      <c r="AE66" s="145"/>
      <c r="AF66" s="145"/>
      <c r="AG66" s="145"/>
      <c r="AH66" s="145"/>
      <c r="AI66" s="145"/>
      <c r="AJ66" s="145"/>
      <c r="AK66" s="145"/>
      <c r="AL66" s="145"/>
      <c r="AM66" s="145"/>
    </row>
    <row r="67" spans="1:39" x14ac:dyDescent="0.25">
      <c r="A67" s="145"/>
      <c r="B67" s="145"/>
      <c r="C67" s="145"/>
      <c r="D67" s="145"/>
      <c r="E67" s="145"/>
      <c r="F67" s="145"/>
      <c r="G67" s="145"/>
      <c r="H67" s="140"/>
      <c r="I67" s="140"/>
      <c r="J67" s="140"/>
      <c r="K67" s="145"/>
      <c r="L67" s="145"/>
      <c r="M67" s="145"/>
      <c r="N67" s="145"/>
      <c r="O67" s="145"/>
      <c r="P67" s="145"/>
      <c r="Q67" s="145"/>
      <c r="R67" s="140"/>
      <c r="S67" s="145"/>
      <c r="T67" s="145"/>
      <c r="U67" s="145"/>
      <c r="V67" s="145"/>
      <c r="W67" s="145"/>
      <c r="X67" s="145"/>
      <c r="Y67" s="145"/>
      <c r="Z67" s="145"/>
      <c r="AA67" s="145"/>
      <c r="AB67" s="140"/>
      <c r="AC67" s="145"/>
      <c r="AD67" s="145"/>
      <c r="AE67" s="145"/>
      <c r="AF67" s="145"/>
      <c r="AG67" s="145"/>
      <c r="AH67" s="145"/>
      <c r="AI67" s="145"/>
      <c r="AJ67" s="145"/>
      <c r="AK67" s="145"/>
      <c r="AL67" s="145"/>
      <c r="AM67" s="145"/>
    </row>
  </sheetData>
  <sheetProtection algorithmName="SHA-512" hashValue="5TZLkzdinHdcMMRrHzbij38IHWHKJznD3A3vkM+VVLntVYN04dxO0iwtiMpP+gpWAz3a2XKLSrF+TNygZDk+FQ==" saltValue="DtH+fbV61u0ZCVRYgOsFPA=="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O10:Q30">
    <cfRule type="expression" dxfId="153" priority="19">
      <formula>$D10&lt;&gt;"%"</formula>
    </cfRule>
  </conditionalFormatting>
  <conditionalFormatting sqref="B10:J30">
    <cfRule type="expression" dxfId="152" priority="13">
      <formula>$E10="EXCLUDE"</formula>
    </cfRule>
  </conditionalFormatting>
  <conditionalFormatting sqref="O8:O30">
    <cfRule type="expression" dxfId="151" priority="15">
      <formula>$E$3="Incentive Only"</formula>
    </cfRule>
  </conditionalFormatting>
  <conditionalFormatting sqref="Q8:Q30">
    <cfRule type="expression" dxfId="150" priority="14">
      <formula>$E$3="Incentive Only"</formula>
    </cfRule>
  </conditionalFormatting>
  <conditionalFormatting sqref="K9:K30">
    <cfRule type="expression" dxfId="149" priority="4">
      <formula>$E$3="Incentive Only"</formula>
    </cfRule>
  </conditionalFormatting>
  <conditionalFormatting sqref="L10:L30">
    <cfRule type="expression" dxfId="148" priority="5">
      <formula>$AF10="ABOVE"</formula>
    </cfRule>
  </conditionalFormatting>
  <conditionalFormatting sqref="I35">
    <cfRule type="expression" dxfId="147" priority="75">
      <formula>$K$36&gt;0</formula>
    </cfRule>
    <cfRule type="expression" dxfId="146" priority="76">
      <formula>$I$35&lt;$I$33</formula>
    </cfRule>
    <cfRule type="expression" dxfId="145" priority="77">
      <formula>$I$35&gt;$I$33</formula>
    </cfRule>
  </conditionalFormatting>
  <conditionalFormatting sqref="D10:D30">
    <cfRule type="expression" dxfId="144" priority="16">
      <formula>$E$3="Incentive Only"</formula>
    </cfRule>
  </conditionalFormatting>
  <conditionalFormatting sqref="K10:K30">
    <cfRule type="expression" dxfId="143" priority="3">
      <formula>$D10&lt;&gt;"%"</formula>
    </cfRule>
  </conditionalFormatting>
  <conditionalFormatting sqref="K27">
    <cfRule type="expression" dxfId="142" priority="1">
      <formula>$K$27&lt;0</formula>
    </cfRule>
  </conditionalFormatting>
  <printOptions horizontalCentered="1" verticalCentered="1"/>
  <pageMargins left="0.25" right="0.25" top="0.75" bottom="0.75" header="0.3" footer="0.3"/>
  <pageSetup scale="59" orientation="landscape" errors="dash" r:id="rId1"/>
  <headerFooter scaleWithDoc="0">
    <oddHeader>&amp;C&amp;F&amp;R&amp;D</oddHeader>
    <oddFooter>&amp;L&amp;P&amp;CWelcome | US Foods Confidential</oddFooter>
  </headerFooter>
  <ignoredErrors>
    <ignoredError sqref="J27" formula="1"/>
    <ignoredError sqref="I33" evalError="1"/>
  </ignoredErrors>
  <drawing r:id="rId2"/>
  <legacyDrawing r:id="rId3"/>
  <extLst>
    <ext xmlns:x14="http://schemas.microsoft.com/office/spreadsheetml/2009/9/main" uri="{CCE6A557-97BC-4b89-ADB6-D9C93CAAB3DF}">
      <x14:dataValidations xmlns:xm="http://schemas.microsoft.com/office/excel/2006/main" disablePrompts="1"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4">
    <tabColor rgb="FFFFC000"/>
    <pageSetUpPr fitToPage="1"/>
  </sheetPr>
  <dimension ref="B1:AC98"/>
  <sheetViews>
    <sheetView showGridLines="0" topLeftCell="A7" zoomScale="80" zoomScaleNormal="80" workbookViewId="0">
      <selection activeCell="G29" sqref="G29"/>
    </sheetView>
  </sheetViews>
  <sheetFormatPr defaultColWidth="8.85546875" defaultRowHeight="15" x14ac:dyDescent="0.25"/>
  <cols>
    <col min="1" max="1" width="0.85546875" customWidth="1"/>
    <col min="2" max="2" width="2.85546875" customWidth="1"/>
    <col min="3" max="3" width="4.85546875" customWidth="1"/>
    <col min="4" max="4" width="29.42578125" customWidth="1"/>
    <col min="5" max="5" width="6.28515625" customWidth="1"/>
    <col min="6" max="6" width="24.85546875" bestFit="1" customWidth="1"/>
    <col min="7" max="7" width="32" bestFit="1" customWidth="1"/>
    <col min="8" max="8" width="4.85546875" customWidth="1"/>
    <col min="9" max="9" width="37.5703125" customWidth="1"/>
    <col min="10" max="10" width="4.85546875" customWidth="1"/>
    <col min="11" max="11" width="37.7109375" customWidth="1"/>
    <col min="12" max="12" width="5.42578125" customWidth="1"/>
    <col min="13" max="13" width="35.85546875" customWidth="1"/>
    <col min="14" max="14" width="8.7109375" customWidth="1"/>
    <col min="15" max="15" width="2.85546875" customWidth="1"/>
    <col min="16" max="16" width="8" style="5" bestFit="1" customWidth="1"/>
    <col min="17" max="17" width="9.5703125" bestFit="1" customWidth="1"/>
    <col min="18" max="18" width="13" bestFit="1" customWidth="1"/>
    <col min="19" max="19" width="12.7109375" customWidth="1"/>
    <col min="20" max="20" width="8.42578125" customWidth="1"/>
  </cols>
  <sheetData>
    <row r="1" spans="2:29" ht="5.45" customHeight="1" thickBot="1" x14ac:dyDescent="0.3"/>
    <row r="2" spans="2:29" s="5" customFormat="1" ht="23.25" thickBot="1" x14ac:dyDescent="0.4">
      <c r="B2" s="755"/>
      <c r="C2" s="179"/>
      <c r="D2" s="551" t="s">
        <v>1001</v>
      </c>
      <c r="E2" s="179"/>
      <c r="F2" s="180"/>
      <c r="G2" s="181"/>
      <c r="H2" s="179"/>
      <c r="I2" s="554"/>
      <c r="J2" s="179"/>
      <c r="K2" s="179"/>
      <c r="L2" s="179"/>
      <c r="M2" s="179"/>
      <c r="N2" s="179"/>
      <c r="O2" s="555"/>
      <c r="Q2" s="183"/>
      <c r="R2" s="184"/>
      <c r="S2" s="184"/>
      <c r="T2" s="184"/>
      <c r="U2" s="184"/>
      <c r="V2" s="184"/>
      <c r="W2" s="184"/>
      <c r="X2" s="184"/>
      <c r="Y2" s="184"/>
      <c r="Z2" s="184"/>
      <c r="AA2" s="184"/>
      <c r="AB2" s="184"/>
      <c r="AC2" s="184"/>
    </row>
    <row r="3" spans="2:29" s="5" customFormat="1" x14ac:dyDescent="0.25">
      <c r="B3" s="185"/>
      <c r="F3" s="523" t="s">
        <v>381</v>
      </c>
      <c r="G3" s="716">
        <f>Welcome!$D$8</f>
        <v>0</v>
      </c>
      <c r="H3" s="145"/>
      <c r="I3" s="88"/>
      <c r="J3"/>
      <c r="K3" s="523" t="s">
        <v>110</v>
      </c>
      <c r="L3" s="1086" t="e">
        <f>VLOOKUP($L$4,'Market Geography'!$D:$G,4,FALSE)</f>
        <v>#N/A</v>
      </c>
      <c r="M3" s="1087" t="e">
        <f>IF(#REF!="New Business",#REF!,#REF!)</f>
        <v>#REF!</v>
      </c>
      <c r="N3" s="1088" t="e">
        <f>VLOOKUP($J$4,'Market Geography'!$D:$G,4,FALSE)</f>
        <v>#N/A</v>
      </c>
      <c r="O3" s="186"/>
      <c r="P3" s="184"/>
      <c r="Q3" s="187"/>
      <c r="R3" s="184"/>
      <c r="S3" s="184"/>
      <c r="T3" s="184"/>
      <c r="U3" s="184"/>
      <c r="V3" s="184"/>
      <c r="W3" s="184"/>
      <c r="X3" s="184"/>
      <c r="Y3" s="184"/>
      <c r="Z3" s="184"/>
      <c r="AA3" s="184"/>
      <c r="AB3" s="184"/>
      <c r="AC3" s="184"/>
    </row>
    <row r="4" spans="2:29" s="5" customFormat="1" x14ac:dyDescent="0.25">
      <c r="B4" s="185"/>
      <c r="F4" s="524" t="s">
        <v>216</v>
      </c>
      <c r="G4" s="393">
        <f>Welcome!$D$12</f>
        <v>0</v>
      </c>
      <c r="H4" s="145"/>
      <c r="I4" s="188" t="s">
        <v>523</v>
      </c>
      <c r="J4" s="189"/>
      <c r="K4" s="524" t="s">
        <v>120</v>
      </c>
      <c r="L4" s="1083">
        <f>Welcome!$D$4</f>
        <v>0</v>
      </c>
      <c r="M4" s="1084"/>
      <c r="N4" s="1085"/>
      <c r="O4" s="186"/>
      <c r="P4" s="184"/>
      <c r="Q4" s="187"/>
      <c r="R4" s="184"/>
      <c r="S4" s="184"/>
      <c r="T4" s="184"/>
      <c r="U4" s="184"/>
      <c r="V4" s="184"/>
      <c r="W4" s="184"/>
      <c r="X4" s="184"/>
      <c r="Y4" s="184"/>
      <c r="Z4" s="184"/>
      <c r="AA4" s="184"/>
      <c r="AB4" s="184"/>
      <c r="AC4" s="184"/>
    </row>
    <row r="5" spans="2:29" s="5" customFormat="1" x14ac:dyDescent="0.25">
      <c r="B5" s="185"/>
      <c r="F5" s="524" t="s">
        <v>202</v>
      </c>
      <c r="G5" s="394">
        <f>'PIM Model'!$G$31</f>
        <v>0</v>
      </c>
      <c r="H5" s="428"/>
      <c r="I5"/>
      <c r="J5"/>
      <c r="K5" s="524" t="s">
        <v>107</v>
      </c>
      <c r="L5" s="1083" t="str">
        <f>'Multi-Customer'!$M$47</f>
        <v>Enter Customer(s)</v>
      </c>
      <c r="M5" s="1084"/>
      <c r="N5" s="1085"/>
      <c r="O5" s="186"/>
      <c r="P5" s="184"/>
      <c r="Q5" s="187"/>
      <c r="R5" s="184"/>
      <c r="S5" s="184"/>
      <c r="T5" s="184"/>
      <c r="U5" s="184"/>
      <c r="V5" s="184"/>
      <c r="W5" s="184"/>
      <c r="X5" s="184"/>
      <c r="Y5" s="184"/>
      <c r="Z5" s="184"/>
      <c r="AA5" s="184"/>
      <c r="AB5" s="184"/>
      <c r="AC5" s="184"/>
    </row>
    <row r="6" spans="2:29" s="5" customFormat="1" x14ac:dyDescent="0.25">
      <c r="B6" s="185"/>
      <c r="F6" s="524" t="s">
        <v>493</v>
      </c>
      <c r="G6" s="430">
        <f>'Variable Costs (Back)'!$K$26</f>
        <v>0</v>
      </c>
      <c r="H6" s="429"/>
      <c r="I6"/>
      <c r="J6"/>
      <c r="K6" s="524" t="s">
        <v>410</v>
      </c>
      <c r="L6" s="1083" t="str">
        <f>'Multi-Customer'!$M$83</f>
        <v>MULTIPLE MENU TYPES</v>
      </c>
      <c r="M6" s="1084"/>
      <c r="N6" s="1085"/>
      <c r="O6" s="186"/>
      <c r="P6" s="184"/>
      <c r="Q6" s="187"/>
      <c r="R6" s="184"/>
      <c r="S6" s="184"/>
      <c r="T6" s="184"/>
      <c r="U6" s="184"/>
      <c r="V6" s="184"/>
      <c r="W6" s="184"/>
      <c r="X6" s="184"/>
      <c r="Y6" s="184"/>
      <c r="Z6" s="184"/>
      <c r="AA6" s="184"/>
      <c r="AB6" s="184"/>
      <c r="AC6" s="184"/>
    </row>
    <row r="7" spans="2:29" s="5" customFormat="1" ht="15.75" thickBot="1" x14ac:dyDescent="0.3">
      <c r="B7" s="185"/>
      <c r="F7" s="525" t="s">
        <v>547</v>
      </c>
      <c r="G7" s="431">
        <f>IFERROR('PIM Ranges'!$AU$3,0)</f>
        <v>0</v>
      </c>
      <c r="I7"/>
      <c r="J7"/>
      <c r="K7" s="525" t="s">
        <v>225</v>
      </c>
      <c r="L7" s="1110" t="s">
        <v>211</v>
      </c>
      <c r="M7" s="1111"/>
      <c r="N7" s="1112"/>
      <c r="O7" s="186"/>
      <c r="P7" s="184"/>
      <c r="Q7" s="187"/>
      <c r="R7" s="184"/>
      <c r="S7" s="184"/>
      <c r="T7" s="184"/>
      <c r="U7" s="184"/>
      <c r="V7" s="184"/>
      <c r="W7" s="184"/>
      <c r="X7" s="184"/>
      <c r="Y7" s="184"/>
      <c r="Z7" s="184"/>
      <c r="AA7" s="184"/>
      <c r="AB7" s="184"/>
      <c r="AC7" s="184"/>
    </row>
    <row r="8" spans="2:29" s="5" customFormat="1" ht="12" customHeight="1" thickBot="1" x14ac:dyDescent="0.3">
      <c r="B8" s="185"/>
      <c r="F8" s="142"/>
      <c r="I8" s="184"/>
      <c r="J8" s="184"/>
      <c r="K8" s="184"/>
      <c r="L8" s="184"/>
      <c r="M8" s="184"/>
      <c r="N8" s="184"/>
      <c r="O8" s="190"/>
      <c r="P8" s="184"/>
      <c r="Q8" s="187"/>
      <c r="R8" s="184"/>
      <c r="S8" s="184"/>
      <c r="T8" s="184"/>
      <c r="U8" s="184"/>
      <c r="V8" s="184"/>
      <c r="W8" s="184"/>
      <c r="X8" s="184"/>
      <c r="Y8" s="184"/>
      <c r="Z8" s="184"/>
      <c r="AA8" s="184"/>
      <c r="AB8" s="184"/>
      <c r="AC8" s="184"/>
    </row>
    <row r="9" spans="2:29" s="5" customFormat="1" ht="19.149999999999999" customHeight="1" x14ac:dyDescent="0.25">
      <c r="B9" s="185"/>
      <c r="F9" s="142"/>
      <c r="G9" s="191" t="s">
        <v>933</v>
      </c>
      <c r="H9" s="1100">
        <f>IFERROR('PIM Model'!$G$31,0)</f>
        <v>0</v>
      </c>
      <c r="I9" s="1101"/>
      <c r="L9" s="184"/>
      <c r="M9" s="184"/>
      <c r="N9" s="184"/>
      <c r="O9" s="190"/>
      <c r="P9" s="184"/>
      <c r="Q9" s="187"/>
      <c r="R9" s="184"/>
      <c r="S9" s="184"/>
      <c r="T9" s="184"/>
      <c r="U9" s="184"/>
      <c r="V9" s="184"/>
      <c r="W9" s="184"/>
      <c r="X9" s="184"/>
      <c r="Y9" s="184"/>
      <c r="Z9" s="184"/>
      <c r="AA9" s="184"/>
      <c r="AB9" s="184"/>
      <c r="AC9" s="184"/>
    </row>
    <row r="10" spans="2:29" s="5" customFormat="1" ht="19.149999999999999" customHeight="1" thickBot="1" x14ac:dyDescent="0.3">
      <c r="B10" s="185"/>
      <c r="F10" s="142"/>
      <c r="G10" s="192" t="s">
        <v>934</v>
      </c>
      <c r="H10" s="1108">
        <f>IFERROR('PIM Model'!$G$32,0)</f>
        <v>0</v>
      </c>
      <c r="I10" s="1109"/>
      <c r="L10" s="184"/>
      <c r="M10" s="184"/>
      <c r="N10" s="184"/>
      <c r="O10" s="190"/>
      <c r="P10" s="184"/>
      <c r="Q10" s="187"/>
      <c r="R10" s="184"/>
      <c r="S10" s="184"/>
      <c r="T10" s="184"/>
      <c r="U10" s="184"/>
      <c r="V10" s="184"/>
      <c r="W10" s="184"/>
      <c r="X10" s="184"/>
      <c r="Y10" s="184"/>
      <c r="Z10" s="184"/>
      <c r="AA10" s="184"/>
      <c r="AB10" s="184"/>
      <c r="AC10" s="184"/>
    </row>
    <row r="11" spans="2:29" s="5" customFormat="1" ht="10.15" customHeight="1" x14ac:dyDescent="0.25">
      <c r="B11" s="185"/>
      <c r="F11" s="142"/>
      <c r="I11" s="184"/>
      <c r="J11" s="184"/>
      <c r="K11" s="184"/>
      <c r="L11" s="184"/>
      <c r="M11" s="184"/>
      <c r="N11" s="184"/>
      <c r="O11" s="190"/>
      <c r="P11" s="184"/>
      <c r="Q11" s="187"/>
      <c r="R11" s="184"/>
      <c r="S11" s="184"/>
      <c r="T11" s="184"/>
      <c r="U11" s="184"/>
      <c r="V11" s="184"/>
      <c r="W11" s="184"/>
      <c r="X11" s="184"/>
      <c r="Y11" s="184"/>
      <c r="Z11" s="184"/>
      <c r="AA11" s="184"/>
      <c r="AB11" s="184"/>
      <c r="AC11" s="184"/>
    </row>
    <row r="12" spans="2:29" s="5" customFormat="1" ht="9" customHeight="1" x14ac:dyDescent="0.25">
      <c r="B12" s="185"/>
      <c r="C12" s="193"/>
      <c r="D12" s="194"/>
      <c r="E12" s="195"/>
      <c r="F12" s="196"/>
      <c r="G12" s="1102"/>
      <c r="H12" s="1103"/>
      <c r="I12" s="197"/>
      <c r="J12" s="1107"/>
      <c r="K12" s="1107"/>
      <c r="L12" s="195"/>
      <c r="M12" s="195"/>
      <c r="N12" s="198"/>
      <c r="O12" s="186"/>
      <c r="P12" s="184"/>
      <c r="Q12" s="184"/>
      <c r="R12" s="184"/>
      <c r="S12" s="184"/>
      <c r="T12" s="184"/>
      <c r="U12" s="184"/>
      <c r="V12" s="184"/>
      <c r="W12" s="184"/>
      <c r="X12" s="184"/>
      <c r="Y12" s="184"/>
      <c r="Z12" s="184"/>
      <c r="AA12" s="184"/>
    </row>
    <row r="13" spans="2:29" s="5" customFormat="1" ht="12" customHeight="1" x14ac:dyDescent="0.25">
      <c r="B13" s="185"/>
      <c r="C13" s="199"/>
      <c r="D13" s="201"/>
      <c r="E13" s="151"/>
      <c r="F13" s="380"/>
      <c r="G13" s="259" t="s">
        <v>1244</v>
      </c>
      <c r="H13" s="711"/>
      <c r="I13" s="259" t="s">
        <v>923</v>
      </c>
      <c r="J13" s="44"/>
      <c r="K13" s="259" t="s">
        <v>904</v>
      </c>
      <c r="L13" s="151"/>
      <c r="M13" s="151"/>
      <c r="N13" s="203"/>
      <c r="O13" s="186"/>
      <c r="P13" s="184"/>
      <c r="Q13" s="184"/>
      <c r="R13" s="184"/>
      <c r="S13" s="184"/>
      <c r="T13" s="184"/>
      <c r="U13" s="184"/>
      <c r="V13" s="184"/>
      <c r="W13" s="184"/>
      <c r="X13" s="184"/>
      <c r="Y13" s="184"/>
      <c r="Z13" s="184"/>
      <c r="AA13" s="184"/>
    </row>
    <row r="14" spans="2:29" s="5" customFormat="1" ht="18.75" x14ac:dyDescent="0.25">
      <c r="B14" s="185"/>
      <c r="C14" s="199"/>
      <c r="D14" s="200" t="s">
        <v>935</v>
      </c>
      <c r="E14" s="201"/>
      <c r="F14" s="202"/>
      <c r="G14" s="434" t="s">
        <v>1254</v>
      </c>
      <c r="H14" s="807"/>
      <c r="I14" s="434" t="s">
        <v>1094</v>
      </c>
      <c r="J14" s="151"/>
      <c r="K14" s="435">
        <f>IF(I14="Credit Memo","Individual Customers",IF('Customer Inputs'!$G$6="New Store","New Customer 1",'Customer Inputs'!$G$6))</f>
        <v>0</v>
      </c>
      <c r="L14" s="151"/>
      <c r="M14" s="151"/>
      <c r="N14" s="203"/>
      <c r="O14" s="186"/>
      <c r="P14" s="184"/>
      <c r="Q14" s="760"/>
      <c r="R14" s="184"/>
      <c r="S14" s="184"/>
      <c r="T14" s="184"/>
      <c r="U14" s="184"/>
      <c r="V14" s="184"/>
      <c r="W14" s="184"/>
      <c r="X14" s="184"/>
      <c r="Y14" s="184"/>
      <c r="Z14" s="184"/>
      <c r="AA14" s="184"/>
    </row>
    <row r="15" spans="2:29" s="5" customFormat="1" x14ac:dyDescent="0.25">
      <c r="B15" s="185"/>
      <c r="C15" s="199"/>
      <c r="D15" s="204" t="s">
        <v>553</v>
      </c>
      <c r="E15" s="73" t="s">
        <v>556</v>
      </c>
      <c r="F15" s="205"/>
      <c r="G15" s="712"/>
      <c r="H15" s="711"/>
      <c r="I15" s="151"/>
      <c r="J15" s="151"/>
      <c r="K15" s="151"/>
      <c r="L15" s="151"/>
      <c r="M15" s="151"/>
      <c r="N15" s="203"/>
      <c r="O15" s="186"/>
      <c r="P15" s="184"/>
      <c r="Q15" s="760" t="str">
        <f>IF($E15="NO","",IF($I14="Select Payment Method","X",""))</f>
        <v/>
      </c>
      <c r="R15" s="184"/>
      <c r="S15" s="184"/>
      <c r="T15" s="184"/>
      <c r="U15" s="184"/>
      <c r="V15" s="184"/>
      <c r="W15" s="184"/>
      <c r="X15" s="184"/>
      <c r="Y15" s="184"/>
      <c r="Z15" s="184"/>
      <c r="AA15" s="184"/>
    </row>
    <row r="16" spans="2:29" s="5" customFormat="1" ht="15.75" x14ac:dyDescent="0.25">
      <c r="B16" s="185"/>
      <c r="C16" s="199"/>
      <c r="D16" s="201"/>
      <c r="E16" s="151"/>
      <c r="F16" s="206"/>
      <c r="G16" s="207" t="s">
        <v>542</v>
      </c>
      <c r="H16" s="711"/>
      <c r="I16" s="208" t="s">
        <v>543</v>
      </c>
      <c r="J16" s="151"/>
      <c r="K16" s="209"/>
      <c r="L16" s="151"/>
      <c r="M16" s="201"/>
      <c r="N16" s="203"/>
      <c r="O16" s="186"/>
      <c r="P16" s="184"/>
      <c r="Q16" s="760"/>
      <c r="R16" s="184"/>
      <c r="S16" s="184"/>
      <c r="T16" s="184"/>
      <c r="U16" s="184"/>
      <c r="V16" s="184"/>
      <c r="W16" s="184"/>
      <c r="X16" s="184"/>
      <c r="Y16" s="184"/>
      <c r="Z16" s="184"/>
      <c r="AA16" s="184"/>
    </row>
    <row r="17" spans="2:27" s="5" customFormat="1" ht="17.45" customHeight="1" x14ac:dyDescent="0.25">
      <c r="B17" s="185"/>
      <c r="C17" s="199"/>
      <c r="D17" s="210" t="s">
        <v>936</v>
      </c>
      <c r="E17" s="201"/>
      <c r="F17" s="211" t="s">
        <v>527</v>
      </c>
      <c r="G17" s="244">
        <f>$H$9/52</f>
        <v>0</v>
      </c>
      <c r="H17" s="711"/>
      <c r="I17" s="870"/>
      <c r="J17" s="151"/>
      <c r="K17" s="212"/>
      <c r="L17" s="151"/>
      <c r="M17" s="6" t="s">
        <v>509</v>
      </c>
      <c r="N17" s="203"/>
      <c r="O17" s="186"/>
      <c r="P17" s="184"/>
      <c r="Q17" s="760"/>
      <c r="R17" s="184"/>
      <c r="S17" s="184"/>
      <c r="T17" s="184"/>
      <c r="U17" s="184"/>
      <c r="V17" s="184"/>
      <c r="W17" s="184"/>
      <c r="X17" s="184"/>
      <c r="Y17" s="184"/>
      <c r="Z17" s="184"/>
      <c r="AA17" s="184"/>
    </row>
    <row r="18" spans="2:27" s="5" customFormat="1" ht="15.75" x14ac:dyDescent="0.25">
      <c r="B18" s="185"/>
      <c r="C18" s="199"/>
      <c r="D18" s="214" t="s">
        <v>550</v>
      </c>
      <c r="E18" s="552">
        <f>IF(G18="",0,(G18-$G$17)/$G$17)</f>
        <v>0</v>
      </c>
      <c r="F18" s="211" t="s">
        <v>930</v>
      </c>
      <c r="G18" s="556"/>
      <c r="H18" s="711"/>
      <c r="I18" s="871">
        <v>0.01</v>
      </c>
      <c r="J18" s="1104" t="str">
        <f>IF($E$15="YES","**Tier 1 used for modeling purposes**","")</f>
        <v/>
      </c>
      <c r="K18" s="1105"/>
      <c r="L18" s="1106"/>
      <c r="M18" s="213" t="str">
        <f>IF($E$15="YES",$H$10*I18,"")</f>
        <v/>
      </c>
      <c r="N18" s="203"/>
      <c r="O18" s="186"/>
      <c r="P18" s="184"/>
      <c r="Q18" s="760"/>
      <c r="R18" s="184"/>
      <c r="S18" s="184"/>
      <c r="T18" s="184"/>
      <c r="U18" s="184"/>
      <c r="V18" s="184"/>
      <c r="W18" s="184"/>
      <c r="X18" s="184"/>
      <c r="Y18" s="184"/>
      <c r="Z18" s="184"/>
      <c r="AA18" s="184"/>
    </row>
    <row r="19" spans="2:27" s="5" customFormat="1" ht="15.6" customHeight="1" x14ac:dyDescent="0.25">
      <c r="B19" s="185"/>
      <c r="C19" s="199"/>
      <c r="D19" s="214" t="s">
        <v>551</v>
      </c>
      <c r="E19" s="552">
        <f t="shared" ref="E19:E20" si="0">IF(G19="",0,(G19-$G$17)/$G$17)</f>
        <v>0</v>
      </c>
      <c r="F19" s="211" t="s">
        <v>931</v>
      </c>
      <c r="G19" s="556"/>
      <c r="H19" s="711"/>
      <c r="I19" s="871">
        <v>1.4999999999999999E-2</v>
      </c>
      <c r="J19" s="151"/>
      <c r="K19" s="1114" t="str">
        <f>IF($I$21&gt;0,"**Warning: You have entered an incentive payout above the recommended 3%**","")</f>
        <v/>
      </c>
      <c r="L19" s="151"/>
      <c r="M19" s="1011"/>
      <c r="N19" s="203"/>
      <c r="O19" s="186"/>
      <c r="P19" s="184"/>
      <c r="Q19" s="760"/>
      <c r="R19" s="184"/>
      <c r="S19" s="184"/>
      <c r="T19" s="184"/>
      <c r="U19" s="184"/>
      <c r="V19" s="184"/>
      <c r="W19" s="184"/>
      <c r="X19" s="184"/>
      <c r="Y19" s="184"/>
      <c r="Z19" s="184"/>
      <c r="AA19" s="184"/>
    </row>
    <row r="20" spans="2:27" s="5" customFormat="1" ht="15.75" x14ac:dyDescent="0.25">
      <c r="B20" s="185"/>
      <c r="C20" s="199"/>
      <c r="D20" s="214" t="s">
        <v>552</v>
      </c>
      <c r="E20" s="552">
        <f t="shared" si="0"/>
        <v>0</v>
      </c>
      <c r="F20" s="211" t="s">
        <v>932</v>
      </c>
      <c r="G20" s="556"/>
      <c r="H20" s="711"/>
      <c r="I20" s="871">
        <v>0.02</v>
      </c>
      <c r="J20" s="151"/>
      <c r="K20" s="1114"/>
      <c r="L20" s="151"/>
      <c r="M20" s="1011"/>
      <c r="N20" s="203"/>
      <c r="O20" s="186"/>
      <c r="P20" s="184"/>
      <c r="Q20" s="760"/>
      <c r="R20" s="184"/>
      <c r="S20" s="184"/>
      <c r="T20" s="184"/>
      <c r="U20" s="184"/>
      <c r="V20" s="184"/>
      <c r="W20" s="184"/>
      <c r="X20" s="184"/>
      <c r="Y20" s="184"/>
      <c r="Z20" s="184"/>
      <c r="AA20" s="184"/>
    </row>
    <row r="21" spans="2:27" s="5" customFormat="1" ht="9" customHeight="1" x14ac:dyDescent="0.25">
      <c r="B21" s="185"/>
      <c r="C21" s="215"/>
      <c r="D21" s="216"/>
      <c r="E21" s="217"/>
      <c r="F21" s="218"/>
      <c r="G21" s="219"/>
      <c r="H21" s="220"/>
      <c r="I21" s="792">
        <f>COUNTIF($I$18:$I$20,"&gt;.03")</f>
        <v>0</v>
      </c>
      <c r="J21" s="221"/>
      <c r="K21" s="222"/>
      <c r="L21" s="221"/>
      <c r="M21" s="223"/>
      <c r="N21" s="224"/>
      <c r="O21" s="186"/>
      <c r="P21" s="184"/>
      <c r="Q21" s="760"/>
      <c r="R21" s="184"/>
      <c r="S21" s="184"/>
      <c r="T21" s="184"/>
      <c r="U21" s="184"/>
      <c r="V21" s="184"/>
      <c r="W21" s="184"/>
      <c r="X21" s="184"/>
      <c r="Y21" s="184"/>
      <c r="Z21" s="184"/>
      <c r="AA21" s="184"/>
    </row>
    <row r="22" spans="2:27" s="5" customFormat="1" ht="10.15" customHeight="1" x14ac:dyDescent="0.25">
      <c r="B22" s="185"/>
      <c r="C22" s="187"/>
      <c r="D22" s="225"/>
      <c r="E22" s="226"/>
      <c r="F22" s="227"/>
      <c r="G22" s="228"/>
      <c r="H22" s="229"/>
      <c r="I22" s="230"/>
      <c r="J22" s="187"/>
      <c r="K22" s="231"/>
      <c r="L22" s="187"/>
      <c r="M22" s="232"/>
      <c r="N22" s="184"/>
      <c r="O22" s="186"/>
      <c r="P22" s="184"/>
      <c r="Q22" s="760"/>
      <c r="R22" s="184"/>
      <c r="S22" s="184"/>
      <c r="T22" s="184"/>
      <c r="U22" s="184"/>
      <c r="V22" s="184"/>
      <c r="W22" s="184"/>
      <c r="X22" s="184"/>
      <c r="Y22" s="184"/>
      <c r="Z22" s="184"/>
      <c r="AA22" s="184"/>
    </row>
    <row r="23" spans="2:27" s="5" customFormat="1" ht="9" customHeight="1" x14ac:dyDescent="0.25">
      <c r="B23" s="185"/>
      <c r="C23" s="193"/>
      <c r="D23" s="233"/>
      <c r="E23" s="234"/>
      <c r="F23" s="235"/>
      <c r="G23" s="236"/>
      <c r="H23" s="713"/>
      <c r="I23" s="237"/>
      <c r="J23" s="195"/>
      <c r="K23" s="238"/>
      <c r="L23" s="195"/>
      <c r="M23" s="239"/>
      <c r="N23" s="198"/>
      <c r="O23" s="186"/>
      <c r="P23" s="184"/>
      <c r="Q23" s="760"/>
      <c r="R23" s="184"/>
      <c r="S23" s="184"/>
      <c r="T23" s="184"/>
      <c r="U23" s="184"/>
      <c r="V23" s="184"/>
      <c r="W23" s="184"/>
      <c r="X23" s="184"/>
      <c r="Y23" s="184"/>
      <c r="Z23" s="184"/>
      <c r="AA23" s="184"/>
    </row>
    <row r="24" spans="2:27" s="5" customFormat="1" ht="12" customHeight="1" x14ac:dyDescent="0.25">
      <c r="B24" s="185"/>
      <c r="C24" s="199"/>
      <c r="D24" s="379"/>
      <c r="E24" s="240"/>
      <c r="F24" s="211"/>
      <c r="G24" s="259" t="s">
        <v>1244</v>
      </c>
      <c r="H24" s="711"/>
      <c r="I24" s="259" t="s">
        <v>923</v>
      </c>
      <c r="J24" s="44"/>
      <c r="K24" s="259" t="s">
        <v>904</v>
      </c>
      <c r="L24" s="151"/>
      <c r="M24" s="241"/>
      <c r="N24" s="203"/>
      <c r="O24" s="186"/>
      <c r="P24" s="184"/>
      <c r="Q24" s="760"/>
      <c r="R24" s="184"/>
      <c r="S24" s="184"/>
      <c r="T24" s="184"/>
      <c r="U24" s="184"/>
      <c r="V24" s="184"/>
      <c r="W24" s="184"/>
      <c r="X24" s="184"/>
      <c r="Y24" s="184"/>
      <c r="Z24" s="184"/>
      <c r="AA24" s="184"/>
    </row>
    <row r="25" spans="2:27" s="5" customFormat="1" ht="18.75" x14ac:dyDescent="0.25">
      <c r="B25" s="185"/>
      <c r="C25" s="199"/>
      <c r="D25" s="200" t="s">
        <v>549</v>
      </c>
      <c r="E25" s="240"/>
      <c r="F25" s="202"/>
      <c r="G25" s="434" t="s">
        <v>1254</v>
      </c>
      <c r="H25" s="711"/>
      <c r="I25" s="434" t="s">
        <v>1094</v>
      </c>
      <c r="J25" s="151"/>
      <c r="K25" s="435">
        <f>IF(I25="Credit Memo","Individual Customers",IF('Customer Inputs'!$G$6="New Store","New Customer 1",'Customer Inputs'!$G$6))</f>
        <v>0</v>
      </c>
      <c r="L25" s="151"/>
      <c r="M25" s="241"/>
      <c r="N25" s="203"/>
      <c r="O25" s="186"/>
      <c r="P25" s="184"/>
      <c r="Q25" s="760"/>
      <c r="R25" s="184"/>
      <c r="S25" s="184"/>
      <c r="T25" s="184"/>
      <c r="U25" s="184"/>
      <c r="V25" s="184"/>
      <c r="W25" s="184"/>
      <c r="X25" s="184"/>
      <c r="Y25" s="184"/>
      <c r="Z25" s="184"/>
      <c r="AA25" s="184"/>
    </row>
    <row r="26" spans="2:27" s="5" customFormat="1" x14ac:dyDescent="0.25">
      <c r="B26" s="185"/>
      <c r="C26" s="199"/>
      <c r="D26" s="204" t="s">
        <v>553</v>
      </c>
      <c r="E26" s="73" t="s">
        <v>556</v>
      </c>
      <c r="F26" s="242"/>
      <c r="G26" s="711"/>
      <c r="H26" s="711"/>
      <c r="I26" s="243"/>
      <c r="J26" s="151"/>
      <c r="K26" s="151"/>
      <c r="L26" s="151"/>
      <c r="M26" s="151"/>
      <c r="N26" s="203"/>
      <c r="O26" s="186"/>
      <c r="P26" s="184"/>
      <c r="Q26" s="760" t="str">
        <f>IF($E26="NO","",IF($I25="Select Payment Method","X",""))</f>
        <v/>
      </c>
      <c r="R26" s="184"/>
      <c r="S26" s="184"/>
      <c r="T26" s="184"/>
      <c r="U26" s="184"/>
      <c r="V26" s="184"/>
      <c r="W26" s="184"/>
      <c r="X26" s="184"/>
      <c r="Y26" s="184"/>
      <c r="Z26" s="184"/>
      <c r="AA26" s="184"/>
    </row>
    <row r="27" spans="2:27" s="5" customFormat="1" ht="15.75" x14ac:dyDescent="0.25">
      <c r="B27" s="185"/>
      <c r="C27" s="199"/>
      <c r="D27" s="201"/>
      <c r="E27" s="151"/>
      <c r="F27" s="206"/>
      <c r="G27" s="207" t="s">
        <v>752</v>
      </c>
      <c r="H27" s="711"/>
      <c r="I27" s="208" t="s">
        <v>558</v>
      </c>
      <c r="J27" s="151"/>
      <c r="K27" s="209"/>
      <c r="L27" s="151"/>
      <c r="M27" s="201"/>
      <c r="N27" s="203"/>
      <c r="O27" s="186"/>
      <c r="P27" s="184"/>
      <c r="Q27" s="760"/>
      <c r="R27" s="184"/>
      <c r="S27" s="184"/>
      <c r="T27" s="184"/>
      <c r="U27" s="184"/>
      <c r="V27" s="184"/>
      <c r="W27" s="184"/>
      <c r="X27" s="184"/>
      <c r="Y27" s="184"/>
      <c r="Z27" s="184"/>
      <c r="AA27" s="184"/>
    </row>
    <row r="28" spans="2:27" s="5" customFormat="1" ht="15.75" x14ac:dyDescent="0.25">
      <c r="B28" s="185"/>
      <c r="C28" s="199"/>
      <c r="D28" s="210" t="s">
        <v>546</v>
      </c>
      <c r="E28" s="201"/>
      <c r="F28" s="211" t="s">
        <v>751</v>
      </c>
      <c r="G28" s="244">
        <f>IFERROR($G$5/($G$6*52*Welcome!$D$14),0)</f>
        <v>0</v>
      </c>
      <c r="H28" s="711"/>
      <c r="I28" s="870">
        <v>0</v>
      </c>
      <c r="J28" s="151"/>
      <c r="K28" s="212"/>
      <c r="L28" s="151"/>
      <c r="M28" s="6" t="s">
        <v>509</v>
      </c>
      <c r="N28" s="203"/>
      <c r="O28" s="186"/>
      <c r="P28" s="184"/>
      <c r="Q28" s="760"/>
      <c r="R28" s="184"/>
      <c r="S28" s="184"/>
      <c r="T28" s="184"/>
      <c r="U28" s="184"/>
      <c r="V28" s="184"/>
      <c r="W28" s="184"/>
      <c r="X28" s="184"/>
      <c r="Y28" s="184"/>
      <c r="Z28" s="184"/>
      <c r="AA28" s="184"/>
    </row>
    <row r="29" spans="2:27" s="5" customFormat="1" ht="15.75" x14ac:dyDescent="0.25">
      <c r="B29" s="185"/>
      <c r="C29" s="199"/>
      <c r="D29" s="214" t="s">
        <v>550</v>
      </c>
      <c r="E29" s="552">
        <f>IF(G29="",0,(G29-$G$28)/$G$28)</f>
        <v>0</v>
      </c>
      <c r="F29" s="211" t="s">
        <v>524</v>
      </c>
      <c r="G29" s="556"/>
      <c r="H29" s="711"/>
      <c r="I29" s="871">
        <v>0.01</v>
      </c>
      <c r="J29" s="1104" t="str">
        <f>IF($E$26="YES","**Tier 1 used for modeling purposes**","")</f>
        <v/>
      </c>
      <c r="K29" s="1105"/>
      <c r="L29" s="1106"/>
      <c r="M29" s="213" t="str">
        <f>IF($E$26="YES",$H$10*I29,"")</f>
        <v/>
      </c>
      <c r="N29" s="203"/>
      <c r="O29" s="186"/>
      <c r="P29" s="184"/>
      <c r="Q29" s="760"/>
      <c r="R29" s="184"/>
      <c r="S29" s="184"/>
      <c r="T29" s="184"/>
      <c r="U29" s="184"/>
      <c r="V29" s="184"/>
      <c r="W29" s="184"/>
      <c r="X29" s="184"/>
      <c r="Y29" s="184"/>
      <c r="Z29" s="184"/>
      <c r="AA29" s="184"/>
    </row>
    <row r="30" spans="2:27" s="5" customFormat="1" ht="15.6" customHeight="1" x14ac:dyDescent="0.25">
      <c r="B30" s="185"/>
      <c r="C30" s="199"/>
      <c r="D30" s="214" t="s">
        <v>551</v>
      </c>
      <c r="E30" s="552">
        <f>IF(G30="",0,(G30-$G$28)/$G$28)</f>
        <v>0</v>
      </c>
      <c r="F30" s="211" t="s">
        <v>525</v>
      </c>
      <c r="G30" s="556"/>
      <c r="H30" s="711"/>
      <c r="I30" s="871">
        <v>1.4999999999999999E-2</v>
      </c>
      <c r="J30" s="151"/>
      <c r="K30" s="1114" t="str">
        <f>IF($I$32&gt;0,"**Warning: You have entered an incentive payout above the recommended 3%**","")</f>
        <v/>
      </c>
      <c r="L30" s="151"/>
      <c r="M30" s="1011"/>
      <c r="N30" s="203"/>
      <c r="O30" s="186"/>
      <c r="P30" s="184"/>
      <c r="Q30" s="760"/>
      <c r="R30" s="184"/>
      <c r="S30" s="184"/>
      <c r="T30" s="184"/>
      <c r="U30" s="184"/>
      <c r="V30" s="184"/>
      <c r="W30" s="184"/>
      <c r="X30" s="184"/>
      <c r="Y30" s="184"/>
      <c r="Z30" s="184"/>
      <c r="AA30" s="184"/>
    </row>
    <row r="31" spans="2:27" ht="15.75" x14ac:dyDescent="0.25">
      <c r="B31" s="143"/>
      <c r="C31" s="245"/>
      <c r="D31" s="214" t="s">
        <v>552</v>
      </c>
      <c r="E31" s="552">
        <f>IF(G31="",0,(G31-$G$28)/$G$28)</f>
        <v>0</v>
      </c>
      <c r="F31" s="211" t="s">
        <v>526</v>
      </c>
      <c r="G31" s="556"/>
      <c r="H31" s="711"/>
      <c r="I31" s="871">
        <v>0.02</v>
      </c>
      <c r="J31" s="44"/>
      <c r="K31" s="1114"/>
      <c r="L31" s="44"/>
      <c r="M31" s="1011"/>
      <c r="N31" s="246"/>
      <c r="O31" s="144"/>
      <c r="P31" s="140"/>
      <c r="Q31" s="761"/>
      <c r="R31" s="140"/>
      <c r="S31" s="140"/>
      <c r="T31" s="140"/>
      <c r="U31" s="140"/>
      <c r="V31" s="140"/>
      <c r="W31" s="140"/>
      <c r="X31" s="140"/>
      <c r="Y31" s="140"/>
      <c r="Z31" s="140"/>
      <c r="AA31" s="140"/>
    </row>
    <row r="32" spans="2:27" ht="9" customHeight="1" x14ac:dyDescent="0.25">
      <c r="B32" s="143"/>
      <c r="C32" s="247"/>
      <c r="D32" s="216"/>
      <c r="E32" s="217"/>
      <c r="F32" s="218"/>
      <c r="G32" s="248"/>
      <c r="H32" s="220"/>
      <c r="I32" s="792">
        <f>COUNTIF($I$29:$I$31,"&gt;.03")</f>
        <v>0</v>
      </c>
      <c r="J32" s="249"/>
      <c r="K32" s="222"/>
      <c r="L32" s="249"/>
      <c r="M32" s="223"/>
      <c r="N32" s="250"/>
      <c r="O32" s="144"/>
      <c r="P32" s="140"/>
      <c r="Q32" s="761"/>
      <c r="R32" s="140"/>
      <c r="S32" s="140"/>
      <c r="T32" s="140"/>
      <c r="U32" s="140"/>
      <c r="V32" s="140"/>
      <c r="W32" s="140"/>
      <c r="X32" s="140"/>
      <c r="Y32" s="140"/>
      <c r="Z32" s="140"/>
      <c r="AA32" s="140"/>
    </row>
    <row r="33" spans="2:27" ht="10.15" customHeight="1" x14ac:dyDescent="0.25">
      <c r="B33" s="143"/>
      <c r="C33" s="140"/>
      <c r="D33" s="225"/>
      <c r="E33" s="226"/>
      <c r="F33" s="227"/>
      <c r="G33" s="251"/>
      <c r="H33" s="229"/>
      <c r="I33" s="230"/>
      <c r="J33" s="140"/>
      <c r="K33" s="231"/>
      <c r="L33" s="140"/>
      <c r="M33" s="232"/>
      <c r="N33" s="147"/>
      <c r="O33" s="144"/>
      <c r="P33" s="140"/>
      <c r="Q33" s="761"/>
      <c r="R33" s="140"/>
      <c r="S33" s="140"/>
      <c r="T33" s="140"/>
      <c r="U33" s="140"/>
      <c r="V33" s="140"/>
      <c r="W33" s="140"/>
      <c r="X33" s="140"/>
      <c r="Y33" s="140"/>
      <c r="Z33" s="140"/>
      <c r="AA33" s="140"/>
    </row>
    <row r="34" spans="2:27" ht="9" customHeight="1" x14ac:dyDescent="0.25">
      <c r="B34" s="143"/>
      <c r="C34" s="252"/>
      <c r="D34" s="253"/>
      <c r="E34" s="234"/>
      <c r="F34" s="235"/>
      <c r="G34" s="254"/>
      <c r="H34" s="713"/>
      <c r="I34" s="237"/>
      <c r="J34" s="255"/>
      <c r="K34" s="238"/>
      <c r="L34" s="255"/>
      <c r="M34" s="239"/>
      <c r="N34" s="256"/>
      <c r="O34" s="144"/>
      <c r="P34" s="140"/>
      <c r="Q34" s="761"/>
      <c r="R34" s="140"/>
      <c r="S34" s="140"/>
      <c r="T34" s="140"/>
      <c r="U34" s="140"/>
      <c r="V34" s="140"/>
      <c r="W34" s="140"/>
      <c r="X34" s="140"/>
      <c r="Y34" s="140"/>
      <c r="Z34" s="140"/>
      <c r="AA34" s="140"/>
    </row>
    <row r="35" spans="2:27" ht="12" customHeight="1" x14ac:dyDescent="0.25">
      <c r="B35" s="143"/>
      <c r="C35" s="245"/>
      <c r="D35" s="378"/>
      <c r="E35" s="240"/>
      <c r="F35" s="211"/>
      <c r="G35" s="259" t="s">
        <v>1244</v>
      </c>
      <c r="H35" s="711"/>
      <c r="I35" s="259" t="s">
        <v>923</v>
      </c>
      <c r="J35" s="44"/>
      <c r="K35" s="259" t="s">
        <v>904</v>
      </c>
      <c r="L35" s="44"/>
      <c r="M35" s="241"/>
      <c r="N35" s="246"/>
      <c r="O35" s="144"/>
      <c r="P35" s="140"/>
      <c r="Q35" s="761"/>
      <c r="R35" s="140"/>
      <c r="S35" s="140"/>
      <c r="T35" s="140"/>
      <c r="U35" s="140"/>
      <c r="V35" s="140"/>
      <c r="W35" s="140"/>
      <c r="X35" s="140"/>
      <c r="Y35" s="140"/>
      <c r="Z35" s="140"/>
      <c r="AA35" s="140"/>
    </row>
    <row r="36" spans="2:27" ht="18.75" x14ac:dyDescent="0.25">
      <c r="B36" s="143"/>
      <c r="C36" s="245"/>
      <c r="D36" s="257" t="s">
        <v>555</v>
      </c>
      <c r="E36" s="240"/>
      <c r="F36" s="44"/>
      <c r="G36" s="434" t="s">
        <v>1254</v>
      </c>
      <c r="H36" s="711"/>
      <c r="I36" s="434" t="s">
        <v>1094</v>
      </c>
      <c r="J36" s="151"/>
      <c r="K36" s="435">
        <f>IF(I36="Credit Memo","Individual Customers",IF('Customer Inputs'!$G$6="New Store","New Customer 1",'Customer Inputs'!$G$6))</f>
        <v>0</v>
      </c>
      <c r="L36" s="44"/>
      <c r="M36" s="241"/>
      <c r="N36" s="246"/>
      <c r="O36" s="144"/>
      <c r="P36" s="140"/>
      <c r="Q36" s="761"/>
      <c r="R36" s="140"/>
      <c r="S36" s="140"/>
      <c r="T36" s="140"/>
      <c r="U36" s="140"/>
      <c r="V36" s="140"/>
      <c r="W36" s="140"/>
      <c r="X36" s="140"/>
      <c r="Y36" s="140"/>
      <c r="Z36" s="140"/>
      <c r="AA36" s="140"/>
    </row>
    <row r="37" spans="2:27" ht="15" customHeight="1" x14ac:dyDescent="0.25">
      <c r="B37" s="143"/>
      <c r="C37" s="245"/>
      <c r="D37" s="204" t="s">
        <v>553</v>
      </c>
      <c r="E37" s="73" t="s">
        <v>556</v>
      </c>
      <c r="F37" s="44"/>
      <c r="G37" s="44"/>
      <c r="H37" s="44"/>
      <c r="I37" s="258"/>
      <c r="J37" s="44"/>
      <c r="K37" s="44"/>
      <c r="L37" s="44"/>
      <c r="M37" s="44"/>
      <c r="N37" s="246"/>
      <c r="O37" s="144"/>
      <c r="P37" s="140"/>
      <c r="Q37" s="760" t="str">
        <f>IF($E37="NO","",IF($I36="Select Payment Method","X",""))</f>
        <v/>
      </c>
      <c r="R37" s="140"/>
      <c r="S37" s="140"/>
      <c r="T37" s="140"/>
      <c r="U37" s="140"/>
      <c r="V37" s="140"/>
      <c r="W37" s="140"/>
      <c r="X37" s="140"/>
      <c r="Y37" s="140"/>
      <c r="Z37" s="140"/>
      <c r="AA37" s="140"/>
    </row>
    <row r="38" spans="2:27" ht="15" customHeight="1" x14ac:dyDescent="0.25">
      <c r="B38" s="143"/>
      <c r="C38" s="245"/>
      <c r="D38" s="764"/>
      <c r="E38" s="765"/>
      <c r="F38" s="44"/>
      <c r="G38" s="207" t="s">
        <v>1095</v>
      </c>
      <c r="H38" s="44"/>
      <c r="I38" s="208" t="s">
        <v>559</v>
      </c>
      <c r="J38" s="44"/>
      <c r="K38" s="44"/>
      <c r="L38" s="44"/>
      <c r="M38" s="44"/>
      <c r="N38" s="246"/>
      <c r="O38" s="144"/>
      <c r="P38" s="140"/>
      <c r="Q38" s="760"/>
      <c r="R38" s="140"/>
      <c r="S38" s="140"/>
      <c r="T38" s="140"/>
      <c r="U38" s="140"/>
      <c r="V38" s="140"/>
      <c r="W38" s="140"/>
      <c r="X38" s="140"/>
      <c r="Y38" s="140"/>
      <c r="Z38" s="140"/>
      <c r="AA38" s="140"/>
    </row>
    <row r="39" spans="2:27" ht="15.75" x14ac:dyDescent="0.25">
      <c r="B39" s="143"/>
      <c r="C39" s="245"/>
      <c r="D39" s="44"/>
      <c r="E39" s="44"/>
      <c r="F39" s="211" t="s">
        <v>755</v>
      </c>
      <c r="G39" s="74">
        <f>IFERROR('EB_CM (Back)'!$B$7,"")</f>
        <v>0</v>
      </c>
      <c r="H39" s="201"/>
      <c r="I39" s="870">
        <v>0</v>
      </c>
      <c r="J39" s="209"/>
      <c r="K39" s="44"/>
      <c r="L39" s="201"/>
      <c r="M39" s="6" t="s">
        <v>509</v>
      </c>
      <c r="N39" s="246"/>
      <c r="O39" s="144"/>
      <c r="P39" s="140"/>
      <c r="Q39" s="761"/>
      <c r="R39" s="140"/>
      <c r="S39" s="140"/>
      <c r="T39" s="140"/>
      <c r="U39" s="140"/>
      <c r="V39" s="140"/>
      <c r="W39" s="140"/>
      <c r="X39" s="140"/>
      <c r="Y39" s="140"/>
      <c r="Z39" s="140"/>
      <c r="AA39" s="140"/>
    </row>
    <row r="40" spans="2:27" ht="16.899999999999999" customHeight="1" x14ac:dyDescent="0.25">
      <c r="B40" s="143"/>
      <c r="C40" s="245"/>
      <c r="D40" s="381"/>
      <c r="E40" s="553"/>
      <c r="F40" s="211" t="s">
        <v>524</v>
      </c>
      <c r="G40" s="45"/>
      <c r="H40" s="201"/>
      <c r="I40" s="871">
        <v>0.01</v>
      </c>
      <c r="J40" s="1104" t="str">
        <f>IF($E$37="YES","**Tier 1 payout used for modeling purposes**","")</f>
        <v/>
      </c>
      <c r="K40" s="1105"/>
      <c r="L40" s="1106"/>
      <c r="M40" s="213">
        <f>IFERROR(IF($E$37="YES",IF($G$39&gt;$G$40,$H$10*$I$40*$G$39,$H$10*$I$40*$G$40),0),0)</f>
        <v>0</v>
      </c>
      <c r="N40" s="246"/>
      <c r="O40" s="144"/>
      <c r="P40" s="140"/>
      <c r="Q40" s="761"/>
      <c r="R40" s="140"/>
      <c r="S40" s="140"/>
      <c r="T40" s="140"/>
      <c r="U40" s="140"/>
      <c r="V40" s="140"/>
      <c r="W40" s="140"/>
      <c r="X40" s="140"/>
      <c r="Y40" s="140"/>
      <c r="Z40" s="140"/>
      <c r="AA40" s="140"/>
    </row>
    <row r="41" spans="2:27" ht="16.899999999999999" customHeight="1" x14ac:dyDescent="0.25">
      <c r="B41" s="143"/>
      <c r="C41" s="245"/>
      <c r="D41" s="381"/>
      <c r="E41" s="553"/>
      <c r="F41" s="211" t="s">
        <v>525</v>
      </c>
      <c r="G41" s="45"/>
      <c r="H41" s="201"/>
      <c r="I41" s="871">
        <v>1.4999999999999999E-2</v>
      </c>
      <c r="J41" s="260"/>
      <c r="K41" s="44"/>
      <c r="L41" s="201"/>
      <c r="M41" s="1011"/>
      <c r="N41" s="246"/>
      <c r="O41" s="144"/>
      <c r="P41" s="140"/>
      <c r="Q41" s="761"/>
      <c r="R41" s="140"/>
      <c r="S41" s="140"/>
      <c r="T41" s="140"/>
      <c r="U41" s="140"/>
      <c r="V41" s="140"/>
      <c r="W41" s="140"/>
      <c r="X41" s="140"/>
      <c r="Y41" s="140"/>
      <c r="Z41" s="140"/>
      <c r="AA41" s="140"/>
    </row>
    <row r="42" spans="2:27" ht="16.899999999999999" customHeight="1" x14ac:dyDescent="0.25">
      <c r="B42" s="143"/>
      <c r="C42" s="245"/>
      <c r="D42" s="381"/>
      <c r="E42" s="553"/>
      <c r="F42" s="211" t="s">
        <v>526</v>
      </c>
      <c r="G42" s="45"/>
      <c r="H42" s="201"/>
      <c r="I42" s="871">
        <v>0.02</v>
      </c>
      <c r="J42" s="260"/>
      <c r="K42" s="44"/>
      <c r="L42" s="201"/>
      <c r="M42" s="1011"/>
      <c r="N42" s="246"/>
      <c r="O42" s="144"/>
      <c r="P42" s="140"/>
      <c r="Q42" s="761"/>
      <c r="R42" s="140"/>
      <c r="S42" s="140"/>
      <c r="T42" s="140"/>
      <c r="U42" s="140"/>
      <c r="V42" s="140"/>
      <c r="W42" s="140"/>
      <c r="X42" s="140"/>
      <c r="Y42" s="140"/>
      <c r="Z42" s="140"/>
      <c r="AA42" s="140"/>
    </row>
    <row r="43" spans="2:27" ht="9" customHeight="1" x14ac:dyDescent="0.25">
      <c r="B43" s="143"/>
      <c r="C43" s="247"/>
      <c r="D43" s="249"/>
      <c r="E43" s="249"/>
      <c r="F43" s="221"/>
      <c r="G43" s="261"/>
      <c r="H43" s="262"/>
      <c r="I43" s="263"/>
      <c r="J43" s="222"/>
      <c r="K43" s="223"/>
      <c r="L43" s="262"/>
      <c r="M43" s="223"/>
      <c r="N43" s="250"/>
      <c r="O43" s="144"/>
      <c r="P43" s="140"/>
      <c r="Q43" s="761"/>
      <c r="R43" s="140"/>
      <c r="S43" s="140"/>
      <c r="T43" s="140"/>
      <c r="U43" s="140"/>
      <c r="V43" s="140"/>
      <c r="W43" s="140"/>
      <c r="X43" s="140"/>
      <c r="Y43" s="140"/>
      <c r="Z43" s="140"/>
      <c r="AA43" s="140"/>
    </row>
    <row r="44" spans="2:27" ht="10.15" customHeight="1" x14ac:dyDescent="0.25">
      <c r="B44" s="143"/>
      <c r="C44" s="140"/>
      <c r="D44" s="140"/>
      <c r="E44" s="140"/>
      <c r="F44" s="187"/>
      <c r="G44" s="264"/>
      <c r="H44" s="184"/>
      <c r="I44" s="265"/>
      <c r="J44" s="231"/>
      <c r="K44" s="232"/>
      <c r="L44" s="184"/>
      <c r="M44" s="232"/>
      <c r="N44" s="147"/>
      <c r="O44" s="144"/>
      <c r="P44" s="140"/>
      <c r="Q44" s="761"/>
      <c r="R44" s="140"/>
      <c r="S44" s="140"/>
      <c r="T44" s="140"/>
      <c r="U44" s="140"/>
      <c r="V44" s="140"/>
      <c r="W44" s="140"/>
      <c r="X44" s="140"/>
      <c r="Y44" s="140"/>
      <c r="Z44" s="140"/>
      <c r="AA44" s="140"/>
    </row>
    <row r="45" spans="2:27" s="879" customFormat="1" ht="9" customHeight="1" x14ac:dyDescent="0.25">
      <c r="B45" s="143"/>
      <c r="C45" s="252"/>
      <c r="D45" s="255"/>
      <c r="E45" s="255"/>
      <c r="F45" s="195"/>
      <c r="G45" s="266"/>
      <c r="H45" s="194"/>
      <c r="I45" s="267"/>
      <c r="J45" s="238"/>
      <c r="K45" s="239"/>
      <c r="L45" s="194"/>
      <c r="M45" s="239"/>
      <c r="N45" s="256"/>
      <c r="O45" s="144"/>
      <c r="P45" s="140"/>
      <c r="Q45" s="761"/>
      <c r="R45" s="140"/>
      <c r="S45" s="140"/>
      <c r="T45" s="140"/>
      <c r="U45" s="140"/>
      <c r="V45" s="140"/>
      <c r="W45" s="140"/>
      <c r="X45" s="140"/>
      <c r="Y45" s="140"/>
      <c r="Z45" s="140"/>
      <c r="AA45" s="140"/>
    </row>
    <row r="46" spans="2:27" s="879" customFormat="1" ht="11.45" customHeight="1" x14ac:dyDescent="0.25">
      <c r="B46" s="143"/>
      <c r="C46" s="245"/>
      <c r="D46" s="44"/>
      <c r="E46" s="44"/>
      <c r="F46" s="151"/>
      <c r="G46" s="259" t="s">
        <v>1244</v>
      </c>
      <c r="H46" s="201"/>
      <c r="I46" s="259" t="s">
        <v>923</v>
      </c>
      <c r="J46" s="44"/>
      <c r="K46" s="241"/>
      <c r="L46" s="201"/>
      <c r="M46" s="241"/>
      <c r="N46" s="246"/>
      <c r="O46" s="144"/>
      <c r="P46" s="140"/>
      <c r="Q46" s="761"/>
      <c r="R46" s="140"/>
      <c r="S46" s="140"/>
      <c r="T46" s="140"/>
      <c r="U46" s="140"/>
      <c r="V46" s="140"/>
      <c r="W46" s="140"/>
      <c r="X46" s="140"/>
      <c r="Y46" s="140"/>
      <c r="Z46" s="140"/>
      <c r="AA46" s="140"/>
    </row>
    <row r="47" spans="2:27" s="879" customFormat="1" ht="18.75" x14ac:dyDescent="0.25">
      <c r="B47" s="143"/>
      <c r="C47" s="245"/>
      <c r="D47" s="257" t="s">
        <v>1245</v>
      </c>
      <c r="E47" s="44"/>
      <c r="F47" s="151"/>
      <c r="G47" s="434" t="s">
        <v>1254</v>
      </c>
      <c r="H47" s="201"/>
      <c r="I47" s="434" t="s">
        <v>1094</v>
      </c>
      <c r="J47" s="151"/>
      <c r="K47" s="241"/>
      <c r="L47" s="201"/>
      <c r="M47" s="241"/>
      <c r="N47" s="246"/>
      <c r="O47" s="144"/>
      <c r="P47" s="140"/>
      <c r="Q47" s="761"/>
      <c r="R47" s="427"/>
      <c r="S47" s="140"/>
      <c r="T47" s="140"/>
      <c r="U47" s="140"/>
      <c r="V47" s="140"/>
      <c r="W47" s="140"/>
      <c r="X47" s="140"/>
      <c r="Y47" s="140"/>
      <c r="Z47" s="140"/>
      <c r="AA47" s="140"/>
    </row>
    <row r="48" spans="2:27" s="879" customFormat="1" x14ac:dyDescent="0.25">
      <c r="B48" s="143"/>
      <c r="C48" s="245"/>
      <c r="D48" s="204" t="s">
        <v>553</v>
      </c>
      <c r="E48" s="73" t="s">
        <v>556</v>
      </c>
      <c r="F48" s="151"/>
      <c r="G48" s="268"/>
      <c r="H48" s="201"/>
      <c r="I48" s="269"/>
      <c r="J48" s="212"/>
      <c r="K48" s="241"/>
      <c r="L48" s="201"/>
      <c r="M48" s="241"/>
      <c r="N48" s="246"/>
      <c r="O48" s="144"/>
      <c r="P48" s="140"/>
      <c r="Q48" s="760" t="str">
        <f>IF($E48="NO","",IF($I47="Select Payment Method","X",""))</f>
        <v/>
      </c>
      <c r="R48" s="140"/>
      <c r="S48" s="140"/>
      <c r="T48" s="140"/>
      <c r="U48" s="140"/>
      <c r="V48" s="140"/>
      <c r="W48" s="140"/>
      <c r="X48" s="140"/>
      <c r="Y48" s="140"/>
      <c r="Z48" s="140"/>
      <c r="AA48" s="140"/>
    </row>
    <row r="49" spans="2:27" s="879" customFormat="1" ht="15.75" x14ac:dyDescent="0.25">
      <c r="B49" s="143"/>
      <c r="C49" s="245"/>
      <c r="D49" s="44"/>
      <c r="E49" s="44"/>
      <c r="F49" s="270"/>
      <c r="G49" s="259" t="s">
        <v>1246</v>
      </c>
      <c r="H49" s="201"/>
      <c r="I49" s="259" t="s">
        <v>1247</v>
      </c>
      <c r="J49" s="209"/>
      <c r="K49" s="241"/>
      <c r="L49" s="201"/>
      <c r="M49" s="6" t="s">
        <v>509</v>
      </c>
      <c r="N49" s="246"/>
      <c r="O49" s="144"/>
      <c r="P49" s="140"/>
      <c r="Q49" s="761"/>
      <c r="R49" s="140"/>
      <c r="S49" s="140"/>
      <c r="T49" s="140"/>
      <c r="U49" s="140"/>
      <c r="V49" s="140"/>
      <c r="W49" s="140"/>
      <c r="X49" s="140"/>
      <c r="Y49" s="140"/>
      <c r="Z49" s="140"/>
      <c r="AA49" s="140"/>
    </row>
    <row r="50" spans="2:27" s="879" customFormat="1" ht="16.899999999999999" customHeight="1" x14ac:dyDescent="0.25">
      <c r="B50" s="143"/>
      <c r="C50" s="245"/>
      <c r="D50" s="381"/>
      <c r="E50" s="553"/>
      <c r="F50" s="211"/>
      <c r="G50" s="882">
        <v>0</v>
      </c>
      <c r="H50" s="201"/>
      <c r="I50" s="873">
        <v>0</v>
      </c>
      <c r="J50" s="260"/>
      <c r="K50" s="241"/>
      <c r="L50" s="201"/>
      <c r="M50" s="213">
        <f>IF(E48="NO",0,IF(((H10-(G50*52))*I50)&lt;0,0,((H10-(G50*52))*I50)))</f>
        <v>0</v>
      </c>
      <c r="N50" s="246"/>
      <c r="O50" s="144"/>
      <c r="Q50" s="762"/>
    </row>
    <row r="51" spans="2:27" s="879" customFormat="1" ht="24.75" customHeight="1" x14ac:dyDescent="0.25">
      <c r="B51" s="143"/>
      <c r="C51" s="247"/>
      <c r="D51" s="249"/>
      <c r="E51" s="249"/>
      <c r="F51" s="249"/>
      <c r="G51" s="881"/>
      <c r="H51" s="249"/>
      <c r="I51" s="271"/>
      <c r="J51" s="249"/>
      <c r="K51" s="249"/>
      <c r="L51" s="249"/>
      <c r="M51" s="249"/>
      <c r="N51" s="250"/>
      <c r="O51" s="144"/>
      <c r="Q51" s="762"/>
    </row>
    <row r="52" spans="2:27" s="879" customFormat="1" ht="10.15" customHeight="1" x14ac:dyDescent="0.25">
      <c r="B52" s="143"/>
      <c r="C52" s="140"/>
      <c r="D52" s="140"/>
      <c r="E52" s="140"/>
      <c r="F52" s="187"/>
      <c r="G52" s="264"/>
      <c r="H52" s="184"/>
      <c r="I52" s="265"/>
      <c r="J52" s="231"/>
      <c r="K52" s="232"/>
      <c r="L52" s="184"/>
      <c r="M52" s="232"/>
      <c r="N52" s="147"/>
      <c r="O52" s="144"/>
      <c r="P52" s="140"/>
      <c r="Q52" s="761"/>
      <c r="R52" s="140"/>
      <c r="S52" s="140"/>
      <c r="T52" s="140"/>
      <c r="U52" s="140"/>
      <c r="V52" s="140"/>
      <c r="W52" s="140"/>
      <c r="X52" s="140"/>
      <c r="Y52" s="140"/>
      <c r="Z52" s="140"/>
      <c r="AA52" s="140"/>
    </row>
    <row r="53" spans="2:27" ht="9" customHeight="1" x14ac:dyDescent="0.25">
      <c r="B53" s="143"/>
      <c r="C53" s="252"/>
      <c r="D53" s="255"/>
      <c r="E53" s="255"/>
      <c r="F53" s="195"/>
      <c r="G53" s="266"/>
      <c r="H53" s="194"/>
      <c r="I53" s="267"/>
      <c r="J53" s="238"/>
      <c r="K53" s="239"/>
      <c r="L53" s="194"/>
      <c r="M53" s="239"/>
      <c r="N53" s="256"/>
      <c r="O53" s="144"/>
      <c r="P53" s="140"/>
      <c r="Q53" s="761"/>
      <c r="R53" s="140"/>
      <c r="S53" s="140"/>
      <c r="T53" s="140"/>
      <c r="U53" s="140"/>
      <c r="V53" s="140"/>
      <c r="W53" s="140"/>
      <c r="X53" s="140"/>
      <c r="Y53" s="140"/>
      <c r="Z53" s="140"/>
      <c r="AA53" s="140"/>
    </row>
    <row r="54" spans="2:27" ht="11.45" customHeight="1" x14ac:dyDescent="0.25">
      <c r="B54" s="143"/>
      <c r="C54" s="245"/>
      <c r="D54" s="44"/>
      <c r="E54" s="44"/>
      <c r="F54" s="151"/>
      <c r="G54" s="259" t="s">
        <v>1244</v>
      </c>
      <c r="H54" s="201"/>
      <c r="I54" s="259" t="s">
        <v>923</v>
      </c>
      <c r="J54" s="44"/>
      <c r="K54" s="259" t="s">
        <v>904</v>
      </c>
      <c r="L54" s="201"/>
      <c r="M54" s="241"/>
      <c r="N54" s="246"/>
      <c r="O54" s="144"/>
      <c r="P54" s="140"/>
      <c r="Q54" s="761"/>
      <c r="R54" s="140"/>
      <c r="S54" s="140"/>
      <c r="T54" s="140"/>
      <c r="U54" s="140"/>
      <c r="V54" s="140"/>
      <c r="W54" s="140"/>
      <c r="X54" s="140"/>
      <c r="Y54" s="140"/>
      <c r="Z54" s="140"/>
      <c r="AA54" s="140"/>
    </row>
    <row r="55" spans="2:27" ht="18.75" x14ac:dyDescent="0.25">
      <c r="B55" s="143"/>
      <c r="C55" s="245"/>
      <c r="D55" s="257" t="s">
        <v>753</v>
      </c>
      <c r="E55" s="44"/>
      <c r="F55" s="151"/>
      <c r="G55" s="434" t="s">
        <v>1254</v>
      </c>
      <c r="H55" s="201"/>
      <c r="I55" s="434" t="s">
        <v>1094</v>
      </c>
      <c r="J55" s="151"/>
      <c r="K55" s="435">
        <f>IF(I55="Credit Memo","Individual Customers",IF('Customer Inputs'!$G$6="New Store","New Customer 1",'Customer Inputs'!$G$6))</f>
        <v>0</v>
      </c>
      <c r="L55" s="201"/>
      <c r="M55" s="241"/>
      <c r="N55" s="246"/>
      <c r="O55" s="144"/>
      <c r="P55" s="140"/>
      <c r="Q55" s="761"/>
      <c r="R55" s="427"/>
      <c r="S55" s="140"/>
      <c r="T55" s="140"/>
      <c r="U55" s="140"/>
      <c r="V55" s="140"/>
      <c r="W55" s="140"/>
      <c r="X55" s="140"/>
      <c r="Y55" s="140"/>
      <c r="Z55" s="140"/>
      <c r="AA55" s="140"/>
    </row>
    <row r="56" spans="2:27" x14ac:dyDescent="0.25">
      <c r="B56" s="143"/>
      <c r="C56" s="245"/>
      <c r="D56" s="204" t="s">
        <v>553</v>
      </c>
      <c r="E56" s="73" t="s">
        <v>556</v>
      </c>
      <c r="F56" s="151"/>
      <c r="G56" s="268"/>
      <c r="H56" s="201"/>
      <c r="I56" s="269"/>
      <c r="J56" s="212"/>
      <c r="K56" s="241"/>
      <c r="L56" s="201"/>
      <c r="M56" s="241"/>
      <c r="N56" s="246"/>
      <c r="O56" s="144"/>
      <c r="P56" s="140"/>
      <c r="Q56" s="760" t="str">
        <f>IF($E56="NO","",IF($I55="Select Payment Method","X",""))</f>
        <v/>
      </c>
      <c r="R56" s="140"/>
      <c r="S56" s="140"/>
      <c r="T56" s="140"/>
      <c r="U56" s="140"/>
      <c r="V56" s="140"/>
      <c r="W56" s="140"/>
      <c r="X56" s="140"/>
      <c r="Y56" s="140"/>
      <c r="Z56" s="140"/>
      <c r="AA56" s="140"/>
    </row>
    <row r="57" spans="2:27" ht="15.75" x14ac:dyDescent="0.25">
      <c r="B57" s="143"/>
      <c r="C57" s="245"/>
      <c r="D57" s="44"/>
      <c r="E57" s="44"/>
      <c r="F57" s="270"/>
      <c r="G57" s="6" t="s">
        <v>1322</v>
      </c>
      <c r="H57" s="201"/>
      <c r="I57" s="530"/>
      <c r="J57" s="209"/>
      <c r="K57" s="259" t="s">
        <v>559</v>
      </c>
      <c r="L57" s="201"/>
      <c r="M57" s="6" t="s">
        <v>509</v>
      </c>
      <c r="N57" s="246"/>
      <c r="O57" s="144"/>
      <c r="P57" s="140"/>
      <c r="Q57" s="761"/>
      <c r="R57" s="140"/>
      <c r="S57" s="140"/>
      <c r="T57" s="140"/>
      <c r="U57" s="140"/>
      <c r="V57" s="140"/>
      <c r="W57" s="140"/>
      <c r="X57" s="140"/>
      <c r="Y57" s="140"/>
      <c r="Z57" s="140"/>
      <c r="AA57" s="140"/>
    </row>
    <row r="58" spans="2:27" ht="16.899999999999999" customHeight="1" x14ac:dyDescent="0.25">
      <c r="B58" s="143"/>
      <c r="C58" s="245"/>
      <c r="D58" s="381"/>
      <c r="E58" s="553"/>
      <c r="F58" s="211" t="s">
        <v>548</v>
      </c>
      <c r="G58" s="952"/>
      <c r="H58" s="201"/>
      <c r="I58" s="693"/>
      <c r="J58" s="260"/>
      <c r="K58" s="952"/>
      <c r="L58" s="201"/>
      <c r="M58" s="213">
        <f>IF($E$56="YES",K58*$H$10,0)</f>
        <v>0</v>
      </c>
      <c r="N58" s="246"/>
      <c r="O58" s="144"/>
      <c r="P58"/>
      <c r="Q58" s="762"/>
    </row>
    <row r="59" spans="2:27" ht="9" customHeight="1" x14ac:dyDescent="0.25">
      <c r="B59" s="143"/>
      <c r="C59" s="247"/>
      <c r="D59" s="249"/>
      <c r="E59" s="249"/>
      <c r="F59" s="249"/>
      <c r="G59" s="249"/>
      <c r="H59" s="249"/>
      <c r="I59" s="271"/>
      <c r="J59" s="249"/>
      <c r="K59" s="249"/>
      <c r="L59" s="249"/>
      <c r="M59" s="249"/>
      <c r="N59" s="250"/>
      <c r="O59" s="144"/>
      <c r="P59"/>
      <c r="Q59" s="762"/>
    </row>
    <row r="60" spans="2:27" ht="10.15" customHeight="1" x14ac:dyDescent="0.25">
      <c r="B60" s="143"/>
      <c r="I60" s="272"/>
      <c r="N60" s="273"/>
      <c r="O60" s="144"/>
      <c r="P60"/>
      <c r="Q60" s="762"/>
    </row>
    <row r="61" spans="2:27" s="909" customFormat="1" ht="9" customHeight="1" x14ac:dyDescent="0.25">
      <c r="B61" s="185"/>
      <c r="C61" s="279"/>
      <c r="D61" s="194"/>
      <c r="E61" s="194"/>
      <c r="F61" s="235"/>
      <c r="G61" s="266"/>
      <c r="H61" s="194"/>
      <c r="I61" s="267"/>
      <c r="J61" s="238"/>
      <c r="K61" s="239"/>
      <c r="L61" s="194"/>
      <c r="M61" s="239"/>
      <c r="N61" s="280"/>
      <c r="O61" s="186"/>
      <c r="Q61" s="763"/>
    </row>
    <row r="62" spans="2:27" s="909" customFormat="1" ht="17.45" customHeight="1" x14ac:dyDescent="0.25">
      <c r="B62" s="185"/>
      <c r="C62" s="274"/>
      <c r="D62" s="201"/>
      <c r="E62" s="201"/>
      <c r="F62" s="211"/>
      <c r="G62" s="6" t="s">
        <v>1290</v>
      </c>
      <c r="H62" s="201"/>
      <c r="I62" s="259" t="s">
        <v>923</v>
      </c>
      <c r="J62" s="44"/>
      <c r="K62" s="259" t="s">
        <v>904</v>
      </c>
      <c r="L62" s="201"/>
      <c r="M62" s="201"/>
      <c r="N62" s="275"/>
      <c r="O62" s="186"/>
      <c r="Q62" s="763"/>
    </row>
    <row r="63" spans="2:27" s="909" customFormat="1" ht="18.75" x14ac:dyDescent="0.25">
      <c r="B63" s="185"/>
      <c r="C63" s="274"/>
      <c r="D63" s="257" t="s">
        <v>1285</v>
      </c>
      <c r="E63" s="201"/>
      <c r="F63" s="211"/>
      <c r="G63" s="949" t="s">
        <v>556</v>
      </c>
      <c r="H63" s="201"/>
      <c r="I63" s="921" t="s">
        <v>1094</v>
      </c>
      <c r="J63" s="151"/>
      <c r="K63" s="435">
        <f>IF('Customer Inputs'!$G$6="New Store","New Customer 1",'Customer Inputs'!$G$6)</f>
        <v>0</v>
      </c>
      <c r="L63" s="201"/>
      <c r="M63" s="965"/>
      <c r="N63" s="275"/>
      <c r="O63" s="186"/>
      <c r="Q63" s="763"/>
    </row>
    <row r="64" spans="2:27" s="909" customFormat="1" x14ac:dyDescent="0.25">
      <c r="B64" s="185"/>
      <c r="C64" s="274"/>
      <c r="D64" s="204" t="s">
        <v>553</v>
      </c>
      <c r="E64" s="73" t="s">
        <v>556</v>
      </c>
      <c r="F64" s="151"/>
      <c r="G64" s="201"/>
      <c r="H64" s="201"/>
      <c r="I64" s="1117" t="str">
        <f>IF($K$66+$K$71&gt;=10000,"The amount entered is $10,000 or above. This model can be submitted but will require additional approved before the agreement can be generated. Business Context will need to be provided","")</f>
        <v/>
      </c>
      <c r="J64" s="201"/>
      <c r="K64" s="201"/>
      <c r="L64" s="201"/>
      <c r="M64" s="201"/>
      <c r="N64" s="275"/>
      <c r="O64" s="186"/>
      <c r="Q64" s="760" t="str">
        <f>IF($E64="NO","",IF($I63="Select Payment Method","X",""))</f>
        <v/>
      </c>
    </row>
    <row r="65" spans="2:17" s="909" customFormat="1" ht="15.75" customHeight="1" x14ac:dyDescent="0.25">
      <c r="B65" s="185"/>
      <c r="C65" s="274"/>
      <c r="D65" s="201"/>
      <c r="E65" s="151"/>
      <c r="F65" s="922"/>
      <c r="G65" s="925" t="s">
        <v>132</v>
      </c>
      <c r="H65" s="201"/>
      <c r="I65" s="1118"/>
      <c r="J65" s="209"/>
      <c r="K65" s="259" t="s">
        <v>557</v>
      </c>
      <c r="L65" s="201"/>
      <c r="M65" s="6" t="s">
        <v>509</v>
      </c>
      <c r="N65" s="275"/>
      <c r="O65" s="186"/>
      <c r="Q65" s="763"/>
    </row>
    <row r="66" spans="2:17" s="909" customFormat="1" ht="15.75" x14ac:dyDescent="0.25">
      <c r="B66" s="185"/>
      <c r="C66" s="274"/>
      <c r="D66" s="201"/>
      <c r="E66" s="201"/>
      <c r="F66" s="923" t="s">
        <v>967</v>
      </c>
      <c r="G66" s="926" t="str">
        <f>IF($E$64="YES","CASH","")</f>
        <v/>
      </c>
      <c r="H66" s="201"/>
      <c r="I66" s="1118"/>
      <c r="J66" s="212"/>
      <c r="K66" s="951"/>
      <c r="L66" s="201"/>
      <c r="M66" s="213">
        <f>IFERROR(IF($E$64="YES",K66/$G$4,0),0)</f>
        <v>0</v>
      </c>
      <c r="N66" s="275"/>
      <c r="O66" s="186"/>
      <c r="Q66" s="914"/>
    </row>
    <row r="67" spans="2:17" s="183" customFormat="1" ht="11.45" customHeight="1" x14ac:dyDescent="0.25">
      <c r="B67" s="281"/>
      <c r="C67" s="215"/>
      <c r="D67" s="221"/>
      <c r="E67" s="221"/>
      <c r="F67" s="924"/>
      <c r="G67" s="924"/>
      <c r="H67" s="221"/>
      <c r="I67" s="1119"/>
      <c r="J67" s="221"/>
      <c r="K67" s="221"/>
      <c r="L67" s="221"/>
      <c r="M67" s="221"/>
      <c r="N67" s="282"/>
      <c r="O67" s="283"/>
    </row>
    <row r="68" spans="2:17" s="947" customFormat="1" ht="10.15" customHeight="1" x14ac:dyDescent="0.25">
      <c r="B68" s="185"/>
      <c r="C68" s="184"/>
      <c r="D68" s="184"/>
      <c r="E68" s="184"/>
      <c r="F68" s="227"/>
      <c r="G68" s="264"/>
      <c r="H68" s="184"/>
      <c r="I68" s="265"/>
      <c r="J68" s="231"/>
      <c r="K68" s="232"/>
      <c r="L68" s="184"/>
      <c r="M68" s="232"/>
      <c r="N68" s="278"/>
      <c r="O68" s="186"/>
      <c r="Q68" s="763"/>
    </row>
    <row r="69" spans="2:17" s="947" customFormat="1" ht="9" customHeight="1" x14ac:dyDescent="0.25">
      <c r="B69" s="185"/>
      <c r="C69" s="279"/>
      <c r="D69" s="194"/>
      <c r="E69" s="194"/>
      <c r="F69" s="235"/>
      <c r="G69" s="266"/>
      <c r="H69" s="194"/>
      <c r="I69" s="267"/>
      <c r="J69" s="238"/>
      <c r="K69" s="239"/>
      <c r="L69" s="194"/>
      <c r="M69" s="239"/>
      <c r="N69" s="280"/>
      <c r="O69" s="186"/>
      <c r="Q69" s="763"/>
    </row>
    <row r="70" spans="2:17" s="955" customFormat="1" ht="17.45" customHeight="1" x14ac:dyDescent="0.25">
      <c r="B70" s="185"/>
      <c r="C70" s="274"/>
      <c r="D70" s="1120" t="s">
        <v>1292</v>
      </c>
      <c r="E70" s="960"/>
      <c r="F70" s="959"/>
      <c r="G70" s="259" t="s">
        <v>1293</v>
      </c>
      <c r="H70" s="960"/>
      <c r="I70" s="259" t="s">
        <v>923</v>
      </c>
      <c r="J70" s="961"/>
      <c r="K70" s="259" t="s">
        <v>1291</v>
      </c>
      <c r="L70" s="960"/>
      <c r="M70" s="259" t="s">
        <v>1304</v>
      </c>
      <c r="N70" s="275"/>
      <c r="O70" s="186"/>
      <c r="Q70" s="763"/>
    </row>
    <row r="71" spans="2:17" s="955" customFormat="1" ht="17.45" customHeight="1" x14ac:dyDescent="0.25">
      <c r="B71" s="185"/>
      <c r="C71" s="274"/>
      <c r="D71" s="1121"/>
      <c r="E71" s="201"/>
      <c r="F71" s="959"/>
      <c r="G71" s="968"/>
      <c r="H71" s="960"/>
      <c r="I71" s="434" t="s">
        <v>1094</v>
      </c>
      <c r="J71" s="961"/>
      <c r="K71" s="968"/>
      <c r="L71" s="960"/>
      <c r="M71" s="213">
        <f>$G$71+$K$71</f>
        <v>0</v>
      </c>
      <c r="N71" s="275"/>
      <c r="O71" s="186"/>
      <c r="Q71" s="763"/>
    </row>
    <row r="72" spans="2:17" s="955" customFormat="1" ht="14.45" customHeight="1" x14ac:dyDescent="0.25">
      <c r="B72" s="185"/>
      <c r="C72" s="274"/>
      <c r="D72" s="204" t="s">
        <v>553</v>
      </c>
      <c r="E72" s="73" t="s">
        <v>556</v>
      </c>
      <c r="F72" s="959"/>
      <c r="G72" s="962"/>
      <c r="H72" s="960"/>
      <c r="I72" s="267"/>
      <c r="J72" s="961"/>
      <c r="K72" s="239"/>
      <c r="L72" s="960"/>
      <c r="M72" s="1124" t="str">
        <f>IF($M$71&gt;=10000,"The amount entered is $10,000 or above. This model can be submitted but will require additional approved before the agreement can be generated. Business Context will need to be provided","")</f>
        <v/>
      </c>
      <c r="N72" s="1125"/>
      <c r="O72" s="186"/>
      <c r="Q72" s="763"/>
    </row>
    <row r="73" spans="2:17" s="947" customFormat="1" ht="34.5" customHeight="1" x14ac:dyDescent="0.25">
      <c r="B73" s="185"/>
      <c r="C73" s="274"/>
      <c r="D73" s="1123" t="s">
        <v>1323</v>
      </c>
      <c r="E73" s="1123"/>
      <c r="F73" s="959"/>
      <c r="G73" s="1122" t="s">
        <v>1324</v>
      </c>
      <c r="H73" s="1122"/>
      <c r="I73" s="1122"/>
      <c r="J73" s="1122"/>
      <c r="K73" s="1122"/>
      <c r="L73" s="201"/>
      <c r="M73" s="1124"/>
      <c r="N73" s="1125"/>
      <c r="O73" s="186"/>
      <c r="Q73" s="763"/>
    </row>
    <row r="74" spans="2:17" s="947" customFormat="1" ht="16.5" customHeight="1" x14ac:dyDescent="0.25">
      <c r="B74" s="185"/>
      <c r="C74" s="274"/>
      <c r="D74" s="201"/>
      <c r="E74" s="151"/>
      <c r="F74" s="922"/>
      <c r="G74" s="958" t="s">
        <v>1288</v>
      </c>
      <c r="H74" s="209"/>
      <c r="I74" s="6" t="s">
        <v>1289</v>
      </c>
      <c r="J74" s="201"/>
      <c r="K74" s="259" t="s">
        <v>1287</v>
      </c>
      <c r="L74" s="201"/>
      <c r="M74" s="6" t="s">
        <v>509</v>
      </c>
      <c r="N74" s="275"/>
      <c r="O74" s="186"/>
      <c r="Q74" s="763"/>
    </row>
    <row r="75" spans="2:17" s="947" customFormat="1" ht="18" customHeight="1" x14ac:dyDescent="0.25">
      <c r="B75" s="185"/>
      <c r="C75" s="274"/>
      <c r="D75" s="201"/>
      <c r="E75" s="201"/>
      <c r="F75" s="923" t="s">
        <v>1216</v>
      </c>
      <c r="G75" s="949"/>
      <c r="H75" s="212"/>
      <c r="I75" s="950"/>
      <c r="J75" s="201"/>
      <c r="K75" s="966"/>
      <c r="L75" s="201"/>
      <c r="M75" s="213">
        <f>IFERROR(IF($E72="YES",M71/$G$4,0),0)</f>
        <v>0</v>
      </c>
      <c r="N75" s="275"/>
      <c r="O75" s="186"/>
    </row>
    <row r="76" spans="2:17" s="183" customFormat="1" ht="11.45" customHeight="1" x14ac:dyDescent="0.25">
      <c r="B76" s="281"/>
      <c r="C76" s="215"/>
      <c r="D76" s="221"/>
      <c r="E76" s="221"/>
      <c r="F76" s="924"/>
      <c r="G76" s="924"/>
      <c r="H76" s="221"/>
      <c r="I76" s="221"/>
      <c r="J76" s="221"/>
      <c r="K76" s="221"/>
      <c r="L76" s="221"/>
      <c r="M76" s="221"/>
      <c r="N76" s="282"/>
      <c r="O76" s="283"/>
    </row>
    <row r="77" spans="2:17" s="5" customFormat="1" ht="10.15" customHeight="1" x14ac:dyDescent="0.25">
      <c r="B77" s="185"/>
      <c r="C77" s="184"/>
      <c r="D77" s="184"/>
      <c r="E77" s="184"/>
      <c r="F77" s="227"/>
      <c r="G77" s="264"/>
      <c r="H77" s="184"/>
      <c r="I77" s="265"/>
      <c r="J77" s="231"/>
      <c r="K77" s="232"/>
      <c r="L77" s="184"/>
      <c r="M77" s="232"/>
      <c r="N77" s="278"/>
      <c r="O77" s="186"/>
      <c r="Q77" s="763"/>
    </row>
    <row r="78" spans="2:17" s="5" customFormat="1" ht="9" customHeight="1" x14ac:dyDescent="0.25">
      <c r="B78" s="185"/>
      <c r="C78" s="279"/>
      <c r="D78" s="194"/>
      <c r="E78" s="194"/>
      <c r="F78" s="235"/>
      <c r="G78" s="266"/>
      <c r="H78" s="194"/>
      <c r="I78" s="267"/>
      <c r="J78" s="238"/>
      <c r="K78" s="239"/>
      <c r="L78" s="194"/>
      <c r="M78" s="239"/>
      <c r="N78" s="280"/>
      <c r="O78" s="186"/>
      <c r="Q78" s="763"/>
    </row>
    <row r="79" spans="2:17" s="5" customFormat="1" ht="17.45" customHeight="1" x14ac:dyDescent="0.25">
      <c r="B79" s="185"/>
      <c r="C79" s="274"/>
      <c r="D79" s="201"/>
      <c r="E79" s="201"/>
      <c r="F79" s="211"/>
      <c r="G79" s="6" t="s">
        <v>1217</v>
      </c>
      <c r="H79" s="201"/>
      <c r="I79" s="259" t="s">
        <v>923</v>
      </c>
      <c r="J79" s="44"/>
      <c r="K79" s="259" t="s">
        <v>904</v>
      </c>
      <c r="L79" s="201"/>
      <c r="M79" s="241"/>
      <c r="N79" s="275"/>
      <c r="O79" s="186"/>
      <c r="Q79" s="763"/>
    </row>
    <row r="80" spans="2:17" s="5" customFormat="1" ht="18.75" x14ac:dyDescent="0.25">
      <c r="B80" s="185"/>
      <c r="C80" s="274"/>
      <c r="D80" s="257" t="s">
        <v>1216</v>
      </c>
      <c r="E80" s="201"/>
      <c r="F80" s="211"/>
      <c r="G80" s="949" t="s">
        <v>1255</v>
      </c>
      <c r="H80" s="201"/>
      <c r="I80" s="434" t="s">
        <v>1094</v>
      </c>
      <c r="J80" s="151"/>
      <c r="K80" s="435">
        <f>IF(I80="Credit Memo","Individual Customers",IF('Customer Inputs'!$G$6="New Store","New Customer 1",'Customer Inputs'!$G$6))</f>
        <v>0</v>
      </c>
      <c r="L80" s="201"/>
      <c r="M80" s="241"/>
      <c r="N80" s="275"/>
      <c r="O80" s="186"/>
      <c r="Q80" s="763"/>
    </row>
    <row r="81" spans="2:20" s="5" customFormat="1" x14ac:dyDescent="0.25">
      <c r="B81" s="185"/>
      <c r="C81" s="274"/>
      <c r="D81" s="204" t="s">
        <v>553</v>
      </c>
      <c r="E81" s="73" t="s">
        <v>556</v>
      </c>
      <c r="F81" s="151"/>
      <c r="G81" s="201"/>
      <c r="H81" s="201"/>
      <c r="I81" s="201"/>
      <c r="J81" s="201"/>
      <c r="K81" s="201"/>
      <c r="L81" s="201"/>
      <c r="M81" s="201"/>
      <c r="N81" s="275"/>
      <c r="O81" s="186"/>
      <c r="Q81" s="760" t="str">
        <f>IF($E81="NO","",IF($I80="Select Payment Method","X",""))</f>
        <v/>
      </c>
    </row>
    <row r="82" spans="2:20" s="5" customFormat="1" ht="15.75" x14ac:dyDescent="0.25">
      <c r="B82" s="185"/>
      <c r="C82" s="274"/>
      <c r="D82" s="201"/>
      <c r="E82" s="151"/>
      <c r="F82" s="922"/>
      <c r="G82" s="925" t="s">
        <v>132</v>
      </c>
      <c r="H82" s="201"/>
      <c r="I82" s="530"/>
      <c r="J82" s="209"/>
      <c r="K82" s="259" t="s">
        <v>557</v>
      </c>
      <c r="L82" s="201"/>
      <c r="M82" s="6" t="s">
        <v>509</v>
      </c>
      <c r="N82" s="275"/>
      <c r="O82" s="186"/>
      <c r="Q82" s="763"/>
    </row>
    <row r="83" spans="2:20" s="5" customFormat="1" ht="18" customHeight="1" x14ac:dyDescent="0.25">
      <c r="B83" s="185"/>
      <c r="C83" s="274"/>
      <c r="D83" s="201"/>
      <c r="E83" s="201"/>
      <c r="F83" s="923" t="s">
        <v>1216</v>
      </c>
      <c r="G83" s="926" t="str">
        <f>IF($E$81="YES","CHECK Business Tools","")</f>
        <v/>
      </c>
      <c r="H83" s="201"/>
      <c r="I83" s="269"/>
      <c r="J83" s="212"/>
      <c r="K83" s="951">
        <v>3</v>
      </c>
      <c r="L83" s="201"/>
      <c r="M83" s="213">
        <f>IFERROR(IF($E81="YES",K83/$G$4,0),0)</f>
        <v>0</v>
      </c>
      <c r="N83" s="275"/>
      <c r="O83" s="186"/>
    </row>
    <row r="84" spans="2:20" s="183" customFormat="1" ht="11.45" customHeight="1" x14ac:dyDescent="0.25">
      <c r="B84" s="281"/>
      <c r="C84" s="215"/>
      <c r="D84" s="221"/>
      <c r="E84" s="221"/>
      <c r="F84" s="924"/>
      <c r="G84" s="924"/>
      <c r="H84" s="221"/>
      <c r="I84" s="221"/>
      <c r="J84" s="221"/>
      <c r="K84" s="221"/>
      <c r="L84" s="221"/>
      <c r="M84" s="221"/>
      <c r="N84" s="282"/>
      <c r="O84" s="283"/>
    </row>
    <row r="85" spans="2:20" s="183" customFormat="1" ht="9" customHeight="1" x14ac:dyDescent="0.25">
      <c r="B85" s="281"/>
      <c r="C85" s="187"/>
      <c r="D85" s="187"/>
      <c r="E85" s="187"/>
      <c r="F85" s="187"/>
      <c r="G85" s="187"/>
      <c r="H85" s="187"/>
      <c r="I85" s="187"/>
      <c r="J85" s="187"/>
      <c r="K85" s="187"/>
      <c r="L85" s="187"/>
      <c r="M85" s="187"/>
      <c r="N85" s="788"/>
      <c r="O85" s="283"/>
    </row>
    <row r="86" spans="2:20" s="183" customFormat="1" ht="13.15" customHeight="1" x14ac:dyDescent="0.25">
      <c r="B86" s="281"/>
      <c r="C86" s="193"/>
      <c r="D86" s="195"/>
      <c r="E86" s="195"/>
      <c r="F86" s="195"/>
      <c r="G86" s="195"/>
      <c r="H86" s="195"/>
      <c r="I86" s="195"/>
      <c r="J86" s="195"/>
      <c r="K86" s="195"/>
      <c r="L86" s="195"/>
      <c r="M86" s="195"/>
      <c r="N86" s="789"/>
      <c r="O86" s="283"/>
    </row>
    <row r="87" spans="2:20" s="183" customFormat="1" ht="13.15" customHeight="1" x14ac:dyDescent="0.25">
      <c r="B87" s="281"/>
      <c r="C87" s="199"/>
      <c r="D87" s="151"/>
      <c r="E87" s="151"/>
      <c r="F87" s="1113" t="s">
        <v>1227</v>
      </c>
      <c r="G87" s="1113"/>
      <c r="H87" s="151"/>
      <c r="I87" s="259" t="s">
        <v>923</v>
      </c>
      <c r="J87" s="151"/>
      <c r="K87" s="259" t="s">
        <v>904</v>
      </c>
      <c r="L87" s="151"/>
      <c r="M87" s="151"/>
      <c r="N87" s="790"/>
      <c r="O87" s="283"/>
    </row>
    <row r="88" spans="2:20" s="183" customFormat="1" ht="18" customHeight="1" x14ac:dyDescent="0.25">
      <c r="B88" s="281"/>
      <c r="C88" s="199"/>
      <c r="D88" s="257" t="s">
        <v>1106</v>
      </c>
      <c r="E88" s="151"/>
      <c r="F88" s="1113"/>
      <c r="G88" s="1113"/>
      <c r="H88" s="151"/>
      <c r="I88" s="434" t="s">
        <v>1094</v>
      </c>
      <c r="J88" s="151"/>
      <c r="K88" s="435">
        <f>IF(I88="Credit Memo","Individual Customers",IF('Customer Inputs'!$G$6="New Store","New Customer 1",'Customer Inputs'!$G$6))</f>
        <v>0</v>
      </c>
      <c r="L88" s="151"/>
      <c r="M88" s="151"/>
      <c r="N88" s="790"/>
      <c r="O88" s="283"/>
    </row>
    <row r="89" spans="2:20" s="183" customFormat="1" x14ac:dyDescent="0.25">
      <c r="B89" s="281"/>
      <c r="C89" s="199"/>
      <c r="D89" s="204" t="s">
        <v>553</v>
      </c>
      <c r="E89" s="73" t="s">
        <v>556</v>
      </c>
      <c r="F89" s="1113"/>
      <c r="G89" s="1113"/>
      <c r="H89" s="151"/>
      <c r="I89" s="151"/>
      <c r="J89" s="151"/>
      <c r="K89" s="151"/>
      <c r="L89" s="151"/>
      <c r="M89" s="151"/>
      <c r="N89" s="790"/>
      <c r="O89" s="283"/>
      <c r="Q89" s="760" t="str">
        <f>IF($D$94=0,"",IF($E89="NO","",IF($I88="Select Payment Method","X","")))</f>
        <v/>
      </c>
    </row>
    <row r="90" spans="2:20" s="183" customFormat="1" ht="15.75" x14ac:dyDescent="0.25">
      <c r="B90" s="281"/>
      <c r="C90" s="199"/>
      <c r="D90" s="764"/>
      <c r="E90" s="765"/>
      <c r="F90" s="270"/>
      <c r="G90" s="6" t="s">
        <v>1108</v>
      </c>
      <c r="H90" s="151"/>
      <c r="I90" s="151"/>
      <c r="J90" s="151"/>
      <c r="K90" s="530"/>
      <c r="L90" s="201"/>
      <c r="M90" s="6" t="s">
        <v>509</v>
      </c>
      <c r="N90" s="790"/>
      <c r="O90" s="283"/>
    </row>
    <row r="91" spans="2:20" s="183" customFormat="1" ht="18" customHeight="1" x14ac:dyDescent="0.25">
      <c r="B91" s="281"/>
      <c r="C91" s="199"/>
      <c r="D91" s="151"/>
      <c r="E91" s="765"/>
      <c r="F91" s="211" t="s">
        <v>1107</v>
      </c>
      <c r="G91" s="953"/>
      <c r="H91" s="151"/>
      <c r="I91" s="151"/>
      <c r="J91" s="151"/>
      <c r="K91" s="241"/>
      <c r="L91" s="201"/>
      <c r="M91" s="213">
        <f>IFERROR(IF($E89="YES",$G$91*$H$10,0),0)</f>
        <v>0</v>
      </c>
      <c r="N91" s="790"/>
      <c r="O91" s="283"/>
    </row>
    <row r="92" spans="2:20" s="183" customFormat="1" ht="11.45" customHeight="1" x14ac:dyDescent="0.25">
      <c r="B92" s="281"/>
      <c r="C92" s="215"/>
      <c r="D92" s="221"/>
      <c r="E92" s="221"/>
      <c r="F92" s="221"/>
      <c r="G92" s="991" t="s">
        <v>1306</v>
      </c>
      <c r="H92" s="221"/>
      <c r="I92" s="221"/>
      <c r="J92" s="221"/>
      <c r="K92" s="221"/>
      <c r="L92" s="221"/>
      <c r="M92" s="221"/>
      <c r="N92" s="282"/>
      <c r="O92" s="283"/>
    </row>
    <row r="93" spans="2:20" s="183" customFormat="1" ht="24" customHeight="1" x14ac:dyDescent="0.25">
      <c r="B93" s="281"/>
      <c r="C93" s="187"/>
      <c r="E93" s="187"/>
      <c r="F93" s="187"/>
      <c r="G93" s="187"/>
      <c r="H93" s="187"/>
      <c r="I93" s="187"/>
      <c r="J93" s="187"/>
      <c r="K93" s="187"/>
      <c r="L93" s="187"/>
      <c r="M93" s="284"/>
      <c r="N93" s="187"/>
      <c r="O93" s="283"/>
      <c r="P93" s="187"/>
      <c r="Q93" s="187"/>
      <c r="R93" s="187"/>
    </row>
    <row r="94" spans="2:20" s="286" customFormat="1" ht="24" customHeight="1" x14ac:dyDescent="0.3">
      <c r="B94" s="285"/>
      <c r="D94" s="791">
        <f>'Customer Inputs'!$H$17</f>
        <v>0</v>
      </c>
      <c r="L94" s="287" t="s">
        <v>233</v>
      </c>
      <c r="M94" s="288">
        <f>SUM($M$17:$M$20)+SUM($M$28:$M$31)+SUM($M$39:$M$42)+$M$58+$M$66+$M$83+$M$91+$M$50+$M$75</f>
        <v>0</v>
      </c>
      <c r="O94" s="289"/>
      <c r="R94" s="436"/>
      <c r="S94" s="436"/>
      <c r="T94" s="437"/>
    </row>
    <row r="95" spans="2:20" s="286" customFormat="1" ht="27.6" customHeight="1" x14ac:dyDescent="0.3">
      <c r="B95" s="285"/>
      <c r="L95" s="287"/>
      <c r="M95" s="758" t="str">
        <f>IF(M97&gt;0,"**Select Payment Method Above**","")</f>
        <v/>
      </c>
      <c r="N95" s="528" t="s">
        <v>207</v>
      </c>
      <c r="O95" s="289"/>
    </row>
    <row r="96" spans="2:20" ht="24" customHeight="1" x14ac:dyDescent="0.25">
      <c r="B96" s="143"/>
      <c r="L96" s="287" t="s">
        <v>234</v>
      </c>
      <c r="M96" s="290">
        <f>IFERROR($M$94/'PIM Model'!$G$31,0)</f>
        <v>0</v>
      </c>
      <c r="N96" s="529">
        <v>0.05</v>
      </c>
      <c r="O96" s="144"/>
      <c r="P96"/>
    </row>
    <row r="97" spans="2:16" ht="24" customHeight="1" thickBot="1" x14ac:dyDescent="0.3">
      <c r="B97" s="291"/>
      <c r="C97" s="292"/>
      <c r="D97" s="292"/>
      <c r="E97" s="292"/>
      <c r="F97" s="292"/>
      <c r="G97" s="292"/>
      <c r="H97" s="292"/>
      <c r="I97" s="292"/>
      <c r="J97" s="292"/>
      <c r="K97" s="292"/>
      <c r="L97" s="725"/>
      <c r="M97" s="759">
        <f>COUNTIF($Q$14:$Q$92,"X")</f>
        <v>0</v>
      </c>
      <c r="N97" s="726"/>
      <c r="O97" s="293"/>
      <c r="P97"/>
    </row>
    <row r="98" spans="2:16" ht="48.6" customHeight="1" x14ac:dyDescent="0.25">
      <c r="C98" s="1115"/>
      <c r="D98" s="1115"/>
      <c r="I98" s="724"/>
      <c r="L98" s="5"/>
      <c r="M98" s="1116"/>
      <c r="N98" s="1116"/>
      <c r="P98"/>
    </row>
  </sheetData>
  <sheetProtection algorithmName="SHA-512" hashValue="QarN/XFD3GMwFy/ZYikQPa8ojA0zRKcsPPRbd1zy29E19WdBkNa0dC/m0RaUcJUkkqJIni6qCVLQFpLkAfWBLg==" saltValue="JCe6WTB1WwWrDLWjewIwoA==" spinCount="100000" sheet="1" selectLockedCells="1"/>
  <mergeCells count="22">
    <mergeCell ref="F87:G89"/>
    <mergeCell ref="K19:K20"/>
    <mergeCell ref="K30:K31"/>
    <mergeCell ref="C98:D98"/>
    <mergeCell ref="M98:N98"/>
    <mergeCell ref="I64:I67"/>
    <mergeCell ref="D70:D71"/>
    <mergeCell ref="G73:K73"/>
    <mergeCell ref="D73:E73"/>
    <mergeCell ref="M72:N73"/>
    <mergeCell ref="L3:N3"/>
    <mergeCell ref="L4:N4"/>
    <mergeCell ref="L5:N5"/>
    <mergeCell ref="L6:N6"/>
    <mergeCell ref="L7:N7"/>
    <mergeCell ref="H9:I9"/>
    <mergeCell ref="G12:H12"/>
    <mergeCell ref="J40:L40"/>
    <mergeCell ref="J18:L18"/>
    <mergeCell ref="J29:L29"/>
    <mergeCell ref="J12:K12"/>
    <mergeCell ref="H10:I10"/>
  </mergeCells>
  <conditionalFormatting sqref="M96">
    <cfRule type="expression" dxfId="141" priority="42">
      <formula>$M$97&gt;0</formula>
    </cfRule>
    <cfRule type="cellIs" dxfId="140" priority="64" operator="lessThan">
      <formula>$N$96</formula>
    </cfRule>
    <cfRule type="cellIs" dxfId="139" priority="65" operator="greaterThan">
      <formula>$N$96</formula>
    </cfRule>
  </conditionalFormatting>
  <conditionalFormatting sqref="G18:G20 I18:I20 I14">
    <cfRule type="expression" dxfId="138" priority="55">
      <formula>$E$15="YES"</formula>
    </cfRule>
  </conditionalFormatting>
  <conditionalFormatting sqref="I29:I31 I25 G29:G31">
    <cfRule type="expression" dxfId="137" priority="54">
      <formula>$E$26="YES"</formula>
    </cfRule>
  </conditionalFormatting>
  <conditionalFormatting sqref="K83 I80">
    <cfRule type="expression" dxfId="136" priority="52">
      <formula>$E$81="YES"</formula>
    </cfRule>
  </conditionalFormatting>
  <conditionalFormatting sqref="K58 I55">
    <cfRule type="expression" dxfId="135" priority="50">
      <formula>$E$56="YES"</formula>
    </cfRule>
  </conditionalFormatting>
  <conditionalFormatting sqref="I36 G40:G42 I39:I42">
    <cfRule type="expression" dxfId="134" priority="46">
      <formula>$E$37="YES"</formula>
    </cfRule>
  </conditionalFormatting>
  <conditionalFormatting sqref="G58">
    <cfRule type="expression" dxfId="133" priority="48">
      <formula>$E$56="YES"</formula>
    </cfRule>
  </conditionalFormatting>
  <conditionalFormatting sqref="I88">
    <cfRule type="expression" dxfId="132" priority="39">
      <formula>$E$89="YES"</formula>
    </cfRule>
  </conditionalFormatting>
  <conditionalFormatting sqref="G80">
    <cfRule type="expression" dxfId="131" priority="30">
      <formula>$E$81="YES"</formula>
    </cfRule>
  </conditionalFormatting>
  <conditionalFormatting sqref="G14">
    <cfRule type="expression" dxfId="130" priority="26">
      <formula>$E$15="YES"</formula>
    </cfRule>
  </conditionalFormatting>
  <conditionalFormatting sqref="G47 I47 G50 I50">
    <cfRule type="expression" dxfId="129" priority="23">
      <formula>$E$48="YES"</formula>
    </cfRule>
  </conditionalFormatting>
  <conditionalFormatting sqref="K66 I63">
    <cfRule type="expression" dxfId="128" priority="21">
      <formula>$E$64="YES"</formula>
    </cfRule>
  </conditionalFormatting>
  <conditionalFormatting sqref="G63">
    <cfRule type="expression" dxfId="127" priority="20">
      <formula>$E$64="YES"</formula>
    </cfRule>
  </conditionalFormatting>
  <conditionalFormatting sqref="G25">
    <cfRule type="expression" dxfId="126" priority="17">
      <formula>$E$26="YES"</formula>
    </cfRule>
  </conditionalFormatting>
  <conditionalFormatting sqref="G36">
    <cfRule type="expression" dxfId="125" priority="16">
      <formula>$E$37="YES"</formula>
    </cfRule>
  </conditionalFormatting>
  <conditionalFormatting sqref="G55">
    <cfRule type="expression" dxfId="124" priority="15">
      <formula>$E$56="YES"</formula>
    </cfRule>
  </conditionalFormatting>
  <conditionalFormatting sqref="G91">
    <cfRule type="expression" dxfId="123" priority="10">
      <formula>$E$89="YES"</formula>
    </cfRule>
  </conditionalFormatting>
  <conditionalFormatting sqref="K71 I71 G75 K75 I75">
    <cfRule type="expression" dxfId="122" priority="118">
      <formula>$E$72="YES"</formula>
    </cfRule>
  </conditionalFormatting>
  <conditionalFormatting sqref="G71">
    <cfRule type="expression" dxfId="121" priority="5">
      <formula>$E$72="YES"</formula>
    </cfRule>
  </conditionalFormatting>
  <conditionalFormatting sqref="I64">
    <cfRule type="expression" dxfId="120" priority="119">
      <formula>$K$66+$K$71&gt;=10000</formula>
    </cfRule>
  </conditionalFormatting>
  <conditionalFormatting sqref="M72">
    <cfRule type="expression" dxfId="119" priority="1">
      <formula>$M$71&gt;=10000</formula>
    </cfRule>
  </conditionalFormatting>
  <dataValidations count="18">
    <dataValidation type="decimal" allowBlank="1" showInputMessage="1" showErrorMessage="1" sqref="M96:M97" xr:uid="{00000000-0002-0000-0400-000000000000}">
      <formula1>0</formula1>
      <formula2>N96</formula2>
    </dataValidation>
    <dataValidation type="decimal" operator="lessThanOrEqual" allowBlank="1" showInputMessage="1" showErrorMessage="1" errorTitle="Maximum Incentive Reached" error="Volume-based incentive payouts cannot exceed 3%" sqref="I17" xr:uid="{00000000-0002-0000-0400-000001000000}">
      <formula1>0.03</formula1>
    </dataValidation>
    <dataValidation type="decimal" operator="lessThanOrEqual" allowBlank="1" showInputMessage="1" showErrorMessage="1" errorTitle="Maximum Incentive Reached" error="Drop-size incentive payouts cannot exceed 3%" sqref="I28" xr:uid="{00000000-0002-0000-0400-000002000000}">
      <formula1>0.03</formula1>
    </dataValidation>
    <dataValidation type="decimal" operator="lessThanOrEqual" allowBlank="1" showErrorMessage="1" errorTitle="Signing Limit Exceeded" error="The signing incentive cannot exceed $100,000.  Please use the custom modeling process in order to accomodate this request. " sqref="K66 G71" xr:uid="{00000000-0002-0000-0400-000003000000}">
      <formula1>100000</formula1>
    </dataValidation>
    <dataValidation type="decimal" errorStyle="warning" operator="greaterThanOrEqual" allowBlank="1" showErrorMessage="1" errorTitle="Invalid Tier Value" error="The values entered is less than the current weekly volume. " sqref="G19" xr:uid="{5D938658-C4EF-4A18-AEBD-63C7883BA9C4}">
      <formula1>$G$17-1</formula1>
    </dataValidation>
    <dataValidation type="list" allowBlank="1" showInputMessage="1" showErrorMessage="1" sqref="G63" xr:uid="{4B29B0FD-6E26-4214-8364-59A5504081CC}">
      <formula1>"YES - Purchase Commitment, YES - Annual,NO"</formula1>
    </dataValidation>
    <dataValidation type="list" allowBlank="1" showInputMessage="1" showErrorMessage="1" sqref="G80" xr:uid="{311D69AD-CAFC-46F3-B6D8-02C9021A82F4}">
      <formula1>"CHECK Business Tools (General),Toast POS (Specific)"</formula1>
    </dataValidation>
    <dataValidation type="list" allowBlank="1" showInputMessage="1" showErrorMessage="1" sqref="G14 G47 G25 G36 G55" xr:uid="{1C0A2919-65EA-4544-A154-5EB152D16C28}">
      <formula1>"Annually, Quarterly"</formula1>
    </dataValidation>
    <dataValidation type="decimal" operator="lessThanOrEqual" allowBlank="1" showInputMessage="1" showErrorMessage="1" errorTitle="Error" error="This value can only be between 0% ~ 2%" sqref="I50" xr:uid="{F07AE327-C5A2-4566-8BD6-75D2D32DAA18}">
      <formula1>0.02</formula1>
    </dataValidation>
    <dataValidation operator="lessThanOrEqual" allowBlank="1" showInputMessage="1" showErrorMessage="1" errorTitle="Error!" error="The Weekly Baseline cannot exceed the annual qualifying sales!" sqref="G50" xr:uid="{EC7337EE-5AE8-45EE-B9E9-CDBD6A5269E2}"/>
    <dataValidation type="list" allowBlank="1" showInputMessage="1" showErrorMessage="1" sqref="E64" xr:uid="{BB52C466-A914-42D2-A95E-1CB75FD738D7}">
      <formula1>"YES,NO"</formula1>
    </dataValidation>
    <dataValidation type="whole" operator="lessThan" allowBlank="1" showInputMessage="1" showErrorMessage="1" sqref="Q66" xr:uid="{C3AEE0D3-F3DB-443D-9F72-F56B08C329C6}">
      <formula1>10000</formula1>
    </dataValidation>
    <dataValidation type="list" allowBlank="1" showInputMessage="1" showErrorMessage="1" sqref="I63" xr:uid="{9AE9412C-A785-44A8-B7D7-C1DDBC3F4D00}">
      <formula1>"Select Payment Method, Credit Memo,Check"</formula1>
    </dataValidation>
    <dataValidation type="decimal" operator="greaterThanOrEqual" allowBlank="1" showInputMessage="1" showErrorMessage="1" errorTitle="Invalid Tier Value" error="The values entered in Tier 3 must be greater than or equal to the current weekly drop-size. " sqref="G31" xr:uid="{1D8A5639-8933-4528-B492-6C75BBD54DD0}">
      <formula1>$G$28-1</formula1>
    </dataValidation>
    <dataValidation type="decimal" errorStyle="warning" operator="greaterThanOrEqual" allowBlank="1" showInputMessage="1" showErrorMessage="1" errorTitle="Invalid Tier Value" error="The value entered is less than the current weekly drop-size. " sqref="G30" xr:uid="{1CF10BB7-C557-4301-A6F3-AB924F70234E}">
      <formula1>$G$28-1</formula1>
    </dataValidation>
    <dataValidation type="decimal" operator="greaterThanOrEqual" allowBlank="1" showErrorMessage="1" errorTitle="Invalid Tier Value" error="The values entered in Tier 3 must be greater than or equal to the current weekly volume. " sqref="G20" xr:uid="{0AA944F5-2044-4BE7-A068-43CD646BE783}">
      <formula1>$G$17-1</formula1>
    </dataValidation>
    <dataValidation type="list" allowBlank="1" showInputMessage="1" showErrorMessage="1" error="Select One" sqref="G75" xr:uid="{18F075A8-4FD8-4FC1-9CD8-54782B65FD1E}">
      <formula1>"MDA,CIA"</formula1>
    </dataValidation>
    <dataValidation type="decimal" operator="lessThan" allowBlank="1" showInputMessage="1" showErrorMessage="1" error="Cannot exceed 1.5%" sqref="G91" xr:uid="{28FE455C-41BD-4740-80B3-E31A1D2CE6E6}">
      <formula1>0.015000001</formula1>
    </dataValidation>
  </dataValidations>
  <printOptions horizontalCentered="1"/>
  <pageMargins left="0.25" right="0.25" top="0.75" bottom="0.75" header="0.3" footer="0.3"/>
  <pageSetup scale="44" orientation="landscape" errors="dash" r:id="rId1"/>
  <headerFooter scaleWithDoc="0">
    <oddHeader>&amp;C&amp;F&amp;R&amp;D</oddHeader>
    <oddFooter>&amp;L&amp;P&amp;CWelcome | US Foods Confidential</oddFooter>
  </headerFooter>
  <ignoredErrors>
    <ignoredError sqref="E18:E20 E29:E31" unlockedFormula="1"/>
  </ignoredErrors>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946E6A02-0640-4275-B487-A8FD8A7912F8}">
            <xm:f>AND($E$89="YES",Welcome!$D$16="No")</xm:f>
            <x14:dxf>
              <font>
                <color rgb="FF9C0006"/>
              </font>
              <fill>
                <patternFill>
                  <bgColor rgb="FFFFC7CE"/>
                </patternFill>
              </fill>
            </x14:dxf>
          </x14:cfRule>
          <xm:sqref>M96</xm:sqref>
        </x14:conditionalFormatting>
        <x14:conditionalFormatting xmlns:xm="http://schemas.microsoft.com/office/excel/2006/main">
          <x14:cfRule type="expression" priority="28" id="{373543F3-260C-495F-9975-97E17B300BBE}">
            <xm:f>AND($E$89="YES",Welcome!D16="NO")</xm:f>
            <x14:dxf>
              <font>
                <color rgb="FFFF0000"/>
              </font>
            </x14:dxf>
          </x14:cfRule>
          <xm:sqref>F87:G89</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4000000}">
          <x14:formula1>
            <xm:f>Lookups!$O$1:$O$2</xm:f>
          </x14:formula1>
          <xm:sqref>E15 E26 E81 E56 E48 E37 E89 E72</xm:sqref>
        </x14:dataValidation>
        <x14:dataValidation type="list" allowBlank="1" showInputMessage="1" showErrorMessage="1" xr:uid="{00000000-0002-0000-0400-000005000000}">
          <x14:formula1>
            <xm:f>Lookups!$AI$1:$AI$3</xm:f>
          </x14:formula1>
          <xm:sqref>I80 I14 I25 I36 I55 I47 I88 I71</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3"/>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3.140625" style="5" bestFit="1" customWidth="1"/>
    <col min="5" max="5" width="27.5703125" style="5" customWidth="1"/>
    <col min="6" max="6" width="7.28515625" style="5" customWidth="1"/>
    <col min="7" max="7" width="17.7109375" style="5" bestFit="1"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755"/>
      <c r="C2" s="1128" t="s">
        <v>215</v>
      </c>
      <c r="D2" s="1128"/>
      <c r="E2" s="1128"/>
      <c r="F2" s="557"/>
      <c r="G2" s="179"/>
      <c r="H2" s="179"/>
      <c r="I2" s="179"/>
      <c r="J2" s="179"/>
      <c r="K2" s="179"/>
      <c r="L2" s="182"/>
    </row>
    <row r="3" spans="2:23" x14ac:dyDescent="0.25">
      <c r="B3" s="185"/>
      <c r="C3" s="1137" t="s">
        <v>381</v>
      </c>
      <c r="D3" s="1138"/>
      <c r="E3" s="425">
        <f>Welcome!$D$8</f>
        <v>0</v>
      </c>
      <c r="F3" s="429"/>
      <c r="G3" s="523" t="s">
        <v>110</v>
      </c>
      <c r="H3" s="1133" t="str">
        <f>IFERROR(VLOOKUP($H$4,'Market Geography'!$D:$G,4,FALSE),"Select Market")</f>
        <v>Select Market</v>
      </c>
      <c r="I3" s="1133"/>
      <c r="J3" s="1133"/>
      <c r="K3" s="1134"/>
      <c r="L3" s="186"/>
    </row>
    <row r="4" spans="2:23" x14ac:dyDescent="0.25">
      <c r="B4" s="185"/>
      <c r="C4" s="1139" t="s">
        <v>216</v>
      </c>
      <c r="D4" s="1140"/>
      <c r="E4" s="393">
        <f>Welcome!$D$12</f>
        <v>0</v>
      </c>
      <c r="F4" s="558"/>
      <c r="G4" s="524" t="s">
        <v>120</v>
      </c>
      <c r="H4" s="1135">
        <f>Welcome!$D$4</f>
        <v>0</v>
      </c>
      <c r="I4" s="1135"/>
      <c r="J4" s="1135"/>
      <c r="K4" s="1136"/>
      <c r="L4" s="186"/>
    </row>
    <row r="5" spans="2:23" x14ac:dyDescent="0.25">
      <c r="B5" s="185"/>
      <c r="C5" s="1139" t="s">
        <v>202</v>
      </c>
      <c r="D5" s="1140"/>
      <c r="E5" s="149">
        <f>'PIM Model'!$G$31</f>
        <v>0</v>
      </c>
      <c r="F5" s="559"/>
      <c r="G5" s="524" t="s">
        <v>107</v>
      </c>
      <c r="H5" s="1135" t="str">
        <f>'Multi-Customer'!$M$47</f>
        <v>Enter Customer(s)</v>
      </c>
      <c r="I5" s="1135"/>
      <c r="J5" s="1135"/>
      <c r="K5" s="1136"/>
      <c r="L5" s="186"/>
    </row>
    <row r="6" spans="2:23" x14ac:dyDescent="0.25">
      <c r="B6" s="185"/>
      <c r="C6" s="1139" t="s">
        <v>493</v>
      </c>
      <c r="D6" s="1140"/>
      <c r="E6" s="150">
        <f>'PIM Model'!$E$6</f>
        <v>0</v>
      </c>
      <c r="F6" s="429"/>
      <c r="G6" s="524" t="s">
        <v>410</v>
      </c>
      <c r="H6" s="1135" t="str">
        <f>'Multi-Customer'!$M$83</f>
        <v>MULTIPLE MENU TYPES</v>
      </c>
      <c r="I6" s="1135"/>
      <c r="J6" s="1135"/>
      <c r="K6" s="1136"/>
      <c r="L6" s="186"/>
      <c r="R6" s="560"/>
    </row>
    <row r="7" spans="2:23" ht="15.75" thickBot="1" x14ac:dyDescent="0.3">
      <c r="B7" s="185"/>
      <c r="C7" s="1145" t="s">
        <v>547</v>
      </c>
      <c r="D7" s="1146"/>
      <c r="E7" s="426">
        <f>IFERROR('PIM Ranges'!$AU$3,0)</f>
        <v>0</v>
      </c>
      <c r="F7" s="184"/>
      <c r="G7" s="525" t="s">
        <v>225</v>
      </c>
      <c r="H7" s="1143" t="s">
        <v>211</v>
      </c>
      <c r="I7" s="1143"/>
      <c r="J7" s="1143"/>
      <c r="K7" s="1144"/>
      <c r="L7" s="186"/>
      <c r="P7" s="184"/>
      <c r="Q7" s="159"/>
      <c r="R7" s="561"/>
      <c r="S7" s="140"/>
      <c r="T7" s="159"/>
      <c r="U7" s="184"/>
      <c r="V7" s="159"/>
      <c r="W7" s="184"/>
    </row>
    <row r="8" spans="2:23" ht="13.9" customHeight="1" x14ac:dyDescent="0.25">
      <c r="B8" s="185"/>
      <c r="D8" s="142"/>
      <c r="E8" s="1099"/>
      <c r="F8" s="1099"/>
      <c r="G8"/>
      <c r="H8"/>
      <c r="I8" s="440"/>
      <c r="J8" s="27"/>
      <c r="K8" s="27"/>
      <c r="L8" s="186"/>
      <c r="P8" s="184"/>
      <c r="Q8" s="142"/>
      <c r="R8" s="562"/>
      <c r="S8" s="140"/>
      <c r="T8" s="231"/>
      <c r="U8" s="184"/>
      <c r="V8" s="232"/>
      <c r="W8" s="184"/>
    </row>
    <row r="9" spans="2:23" ht="13.9" customHeight="1" x14ac:dyDescent="0.25">
      <c r="B9" s="185"/>
      <c r="C9" s="279"/>
      <c r="D9" s="563"/>
      <c r="E9" s="195"/>
      <c r="F9" s="194"/>
      <c r="G9" s="194"/>
      <c r="H9" s="194"/>
      <c r="I9" s="564"/>
      <c r="J9" s="564"/>
      <c r="K9" s="565"/>
      <c r="L9" s="186"/>
      <c r="P9" s="184"/>
      <c r="Q9" s="142"/>
      <c r="R9" s="562"/>
      <c r="S9" s="140"/>
      <c r="T9" s="231"/>
      <c r="U9" s="184"/>
      <c r="V9" s="232"/>
      <c r="W9" s="184"/>
    </row>
    <row r="10" spans="2:23" ht="26.45" customHeight="1" x14ac:dyDescent="0.25">
      <c r="B10" s="185"/>
      <c r="C10" s="274"/>
      <c r="D10" s="6" t="s">
        <v>125</v>
      </c>
      <c r="E10" s="714" t="s">
        <v>126</v>
      </c>
      <c r="F10" s="201"/>
      <c r="G10" s="714" t="s">
        <v>376</v>
      </c>
      <c r="H10" s="201"/>
      <c r="I10" s="1131" t="s">
        <v>754</v>
      </c>
      <c r="J10" s="1131"/>
      <c r="K10" s="275"/>
      <c r="L10" s="186"/>
      <c r="P10" s="184"/>
      <c r="Q10" s="184"/>
      <c r="R10" s="566"/>
      <c r="S10" s="184"/>
      <c r="T10" s="184"/>
      <c r="U10" s="184"/>
      <c r="V10" s="184"/>
      <c r="W10" s="184"/>
    </row>
    <row r="11" spans="2:23" ht="23.45" customHeight="1" x14ac:dyDescent="0.25">
      <c r="B11" s="185"/>
      <c r="C11" s="274"/>
      <c r="D11" s="567" t="s">
        <v>205</v>
      </c>
      <c r="E11" s="568">
        <f>'Variable Costs (Back)'!$AE$25</f>
        <v>0</v>
      </c>
      <c r="F11" s="201"/>
      <c r="G11" s="569">
        <f>IFERROR(E11/'PIM Model'!$H$31,0)</f>
        <v>0</v>
      </c>
      <c r="H11" s="201"/>
      <c r="I11" s="1126" t="str">
        <f>IFERROR($E11/$E$5,"")</f>
        <v/>
      </c>
      <c r="J11" s="1126"/>
      <c r="K11" s="275"/>
      <c r="L11" s="186"/>
      <c r="R11" s="560"/>
    </row>
    <row r="12" spans="2:23" ht="36" customHeight="1" x14ac:dyDescent="0.25">
      <c r="B12" s="185"/>
      <c r="C12" s="274"/>
      <c r="D12" s="1127" t="s">
        <v>712</v>
      </c>
      <c r="E12" s="1127"/>
      <c r="F12" s="570"/>
      <c r="G12" s="571"/>
      <c r="H12" s="201"/>
      <c r="I12" s="572"/>
      <c r="J12" s="573"/>
      <c r="K12" s="275"/>
      <c r="L12" s="186"/>
    </row>
    <row r="13" spans="2:23" s="864" customFormat="1" ht="23.45" customHeight="1" x14ac:dyDescent="0.25">
      <c r="B13" s="185"/>
      <c r="C13" s="274"/>
      <c r="D13" s="567" t="s">
        <v>1228</v>
      </c>
      <c r="E13" s="568">
        <f>'Tracking &amp; Profitability'!E26*-1</f>
        <v>0</v>
      </c>
      <c r="F13" s="201"/>
      <c r="G13" s="569">
        <f>'Tracking &amp; Profitability'!G26*-1</f>
        <v>0</v>
      </c>
      <c r="H13" s="201"/>
      <c r="I13" s="1126" t="str">
        <f>IFERROR(E13/E5,"")</f>
        <v/>
      </c>
      <c r="J13" s="1126"/>
      <c r="K13" s="275"/>
      <c r="L13" s="186"/>
    </row>
    <row r="14" spans="2:23" s="864" customFormat="1" ht="36.6" customHeight="1" x14ac:dyDescent="0.25">
      <c r="B14" s="185"/>
      <c r="C14" s="274"/>
      <c r="D14" s="1127" t="s">
        <v>1229</v>
      </c>
      <c r="E14" s="1127"/>
      <c r="F14" s="570"/>
      <c r="G14" s="571"/>
      <c r="H14" s="201"/>
      <c r="I14" s="572"/>
      <c r="J14" s="573"/>
      <c r="K14" s="275"/>
      <c r="L14" s="186"/>
    </row>
    <row r="15" spans="2:23" ht="23.45" customHeight="1" x14ac:dyDescent="0.25">
      <c r="B15" s="185"/>
      <c r="C15" s="274"/>
      <c r="D15" s="567" t="s">
        <v>204</v>
      </c>
      <c r="E15" s="568">
        <f>'Variable Costs (Back)'!$AF$25</f>
        <v>0</v>
      </c>
      <c r="F15" s="201"/>
      <c r="G15" s="569">
        <f>IFERROR(E15/'PIM Model'!$H$31,0)</f>
        <v>0</v>
      </c>
      <c r="H15" s="201"/>
      <c r="I15" s="1126" t="str">
        <f>IFERROR($E15/$E$5,"")</f>
        <v/>
      </c>
      <c r="J15" s="1126"/>
      <c r="K15" s="275"/>
      <c r="L15" s="186"/>
    </row>
    <row r="16" spans="2:23" ht="26.45" customHeight="1" x14ac:dyDescent="0.25">
      <c r="B16" s="185"/>
      <c r="C16" s="274"/>
      <c r="D16" s="1141" t="s">
        <v>714</v>
      </c>
      <c r="E16" s="1141"/>
      <c r="F16" s="570"/>
      <c r="G16" s="571"/>
      <c r="H16" s="201"/>
      <c r="I16" s="572"/>
      <c r="J16" s="573"/>
      <c r="K16" s="275"/>
      <c r="L16" s="186"/>
    </row>
    <row r="17" spans="2:12" ht="23.45" customHeight="1" thickBot="1" x14ac:dyDescent="0.3">
      <c r="B17" s="185"/>
      <c r="C17" s="274"/>
      <c r="D17" s="567" t="s">
        <v>203</v>
      </c>
      <c r="E17" s="574">
        <f>'Variable Costs (Back)'!$AD$25</f>
        <v>0</v>
      </c>
      <c r="F17" s="201"/>
      <c r="G17" s="575">
        <f>IFERROR(E17/'PIM Model'!$H$31,0)</f>
        <v>0</v>
      </c>
      <c r="H17" s="201"/>
      <c r="I17" s="1129" t="str">
        <f>IFERROR($E17/$E$5,"")</f>
        <v/>
      </c>
      <c r="J17" s="1129"/>
      <c r="K17" s="275"/>
      <c r="L17" s="186"/>
    </row>
    <row r="18" spans="2:12" ht="25.9" customHeight="1" thickTop="1" x14ac:dyDescent="0.25">
      <c r="B18" s="185"/>
      <c r="C18" s="274"/>
      <c r="D18" s="1141" t="s">
        <v>713</v>
      </c>
      <c r="E18" s="1142"/>
      <c r="F18" s="570"/>
      <c r="G18" s="571"/>
      <c r="H18" s="201"/>
      <c r="I18" s="573"/>
      <c r="J18" s="573"/>
      <c r="K18" s="275"/>
      <c r="L18" s="186"/>
    </row>
    <row r="19" spans="2:12" ht="25.15" customHeight="1" x14ac:dyDescent="0.25">
      <c r="B19" s="185"/>
      <c r="C19" s="274"/>
      <c r="D19" s="576" t="s">
        <v>235</v>
      </c>
      <c r="E19" s="577">
        <f>E11+E15+E17+E13</f>
        <v>0</v>
      </c>
      <c r="F19" s="201"/>
      <c r="G19" s="578">
        <f>IFERROR(E19/'PIM Model'!$H$31,0)</f>
        <v>0</v>
      </c>
      <c r="H19" s="579"/>
      <c r="I19" s="1130" t="str">
        <f>IFERROR($E19/$E$5,"")</f>
        <v/>
      </c>
      <c r="J19" s="1130"/>
      <c r="K19" s="275"/>
      <c r="L19" s="186"/>
    </row>
    <row r="20" spans="2:12" ht="13.9" customHeight="1" x14ac:dyDescent="0.25">
      <c r="B20" s="185"/>
      <c r="C20" s="276"/>
      <c r="D20" s="262"/>
      <c r="E20" s="262"/>
      <c r="F20" s="262"/>
      <c r="G20" s="262"/>
      <c r="H20" s="262"/>
      <c r="I20" s="580"/>
      <c r="J20" s="580"/>
      <c r="K20" s="277"/>
      <c r="L20" s="186"/>
    </row>
    <row r="21" spans="2:12" s="184" customFormat="1" ht="13.9" customHeight="1" x14ac:dyDescent="0.25">
      <c r="B21" s="581"/>
      <c r="L21" s="190"/>
    </row>
    <row r="22" spans="2:12" ht="13.9" customHeight="1" x14ac:dyDescent="0.25">
      <c r="B22" s="185"/>
      <c r="C22" s="279"/>
      <c r="D22" s="194"/>
      <c r="E22" s="194"/>
      <c r="F22" s="194"/>
      <c r="G22" s="194"/>
      <c r="H22" s="194"/>
      <c r="I22" s="582"/>
      <c r="J22" s="582"/>
      <c r="K22" s="280"/>
      <c r="L22" s="186"/>
    </row>
    <row r="23" spans="2:12" ht="16.149999999999999" customHeight="1" x14ac:dyDescent="0.25">
      <c r="B23" s="185"/>
      <c r="C23" s="274"/>
      <c r="D23" s="583" t="s">
        <v>990</v>
      </c>
      <c r="E23" s="584">
        <f>IFERROR('EB_CM (Back)'!$J$47,0)</f>
        <v>0</v>
      </c>
      <c r="F23" s="201"/>
      <c r="G23" s="585">
        <f>IFERROR(E23/'PIM Model'!$H$31,0)</f>
        <v>0</v>
      </c>
      <c r="H23" s="201"/>
      <c r="I23" s="1126" t="str">
        <f>IFERROR($E23/$E$5,"")</f>
        <v/>
      </c>
      <c r="J23" s="1126"/>
      <c r="K23" s="275"/>
      <c r="L23" s="186"/>
    </row>
    <row r="24" spans="2:12" ht="16.149999999999999" customHeight="1" x14ac:dyDescent="0.25">
      <c r="B24" s="185"/>
      <c r="C24" s="274"/>
      <c r="D24" s="1132" t="s">
        <v>971</v>
      </c>
      <c r="E24" s="1132"/>
      <c r="F24" s="570"/>
      <c r="G24" s="571"/>
      <c r="H24" s="201"/>
      <c r="I24" s="573"/>
      <c r="J24" s="573"/>
      <c r="K24" s="275"/>
      <c r="L24" s="186"/>
    </row>
    <row r="25" spans="2:12" ht="13.9" customHeight="1" x14ac:dyDescent="0.25">
      <c r="B25" s="185"/>
      <c r="C25" s="276"/>
      <c r="D25" s="586"/>
      <c r="E25" s="587"/>
      <c r="F25" s="262"/>
      <c r="G25" s="588"/>
      <c r="H25" s="262"/>
      <c r="I25" s="580"/>
      <c r="J25" s="580"/>
      <c r="K25" s="277"/>
      <c r="L25" s="186"/>
    </row>
    <row r="26" spans="2:12" ht="13.9" customHeight="1" x14ac:dyDescent="0.25">
      <c r="B26" s="185"/>
      <c r="C26" s="184"/>
      <c r="D26" s="184"/>
      <c r="E26" s="184"/>
      <c r="H26" s="184"/>
      <c r="I26" s="184"/>
      <c r="J26" s="184"/>
      <c r="K26" s="184"/>
      <c r="L26" s="186"/>
    </row>
    <row r="27" spans="2:12" ht="13.9" customHeight="1" x14ac:dyDescent="0.25">
      <c r="B27" s="185"/>
      <c r="C27" s="279"/>
      <c r="D27" s="194"/>
      <c r="E27" s="194"/>
      <c r="F27" s="194"/>
      <c r="G27" s="194"/>
      <c r="H27" s="194"/>
      <c r="I27" s="582"/>
      <c r="J27" s="582"/>
      <c r="K27" s="280"/>
      <c r="L27" s="186"/>
    </row>
    <row r="28" spans="2:12" ht="26.45" customHeight="1" x14ac:dyDescent="0.25">
      <c r="B28" s="185"/>
      <c r="C28" s="274"/>
      <c r="D28" s="6" t="s">
        <v>224</v>
      </c>
      <c r="E28" s="714" t="s">
        <v>126</v>
      </c>
      <c r="F28" s="201"/>
      <c r="G28" s="714" t="s">
        <v>376</v>
      </c>
      <c r="H28" s="201"/>
      <c r="I28" s="1131" t="s">
        <v>754</v>
      </c>
      <c r="J28" s="1131"/>
      <c r="K28" s="275"/>
      <c r="L28" s="186"/>
    </row>
    <row r="29" spans="2:12" ht="25.15" customHeight="1" x14ac:dyDescent="0.25">
      <c r="B29" s="185"/>
      <c r="C29" s="274"/>
      <c r="D29" s="583" t="s">
        <v>228</v>
      </c>
      <c r="E29" s="584">
        <f>IFERROR('EB_CM (Back)'!$I$47,0)</f>
        <v>0</v>
      </c>
      <c r="F29" s="201"/>
      <c r="G29" s="569">
        <f>IFERROR(E29/'PIM Model'!$H$31,0)</f>
        <v>0</v>
      </c>
      <c r="H29" s="201"/>
      <c r="I29" s="1126" t="str">
        <f>IFERROR($E29/$E$5,"")</f>
        <v/>
      </c>
      <c r="J29" s="1126"/>
      <c r="K29" s="275"/>
      <c r="L29" s="186"/>
    </row>
    <row r="30" spans="2:12" ht="17.45" customHeight="1" x14ac:dyDescent="0.25">
      <c r="B30" s="185"/>
      <c r="C30" s="274"/>
      <c r="D30" s="583" t="s">
        <v>227</v>
      </c>
      <c r="E30" s="584">
        <f>IFERROR(VLOOKUP($H$4,'Variable Div Avgs'!$D:$L,9,FALSE)*'PIM Model'!$H$31,0)</f>
        <v>0</v>
      </c>
      <c r="F30" s="201"/>
      <c r="G30" s="569">
        <f>IFERROR(E30/'PIM Model'!$H$31,0)</f>
        <v>0</v>
      </c>
      <c r="H30" s="201"/>
      <c r="I30" s="1126" t="str">
        <f>IFERROR($E30/$E$5,"")</f>
        <v/>
      </c>
      <c r="J30" s="1126"/>
      <c r="K30" s="275"/>
      <c r="L30" s="186"/>
    </row>
    <row r="31" spans="2:12" ht="27.6" customHeight="1" x14ac:dyDescent="0.25">
      <c r="B31" s="185"/>
      <c r="C31" s="589"/>
      <c r="D31" s="1141" t="s">
        <v>237</v>
      </c>
      <c r="E31" s="1141"/>
      <c r="F31" s="590"/>
      <c r="G31" s="590"/>
      <c r="H31" s="590"/>
      <c r="I31" s="580"/>
      <c r="J31" s="580"/>
      <c r="K31" s="277"/>
      <c r="L31" s="186"/>
    </row>
    <row r="32" spans="2:12" ht="21.6" customHeight="1" thickBot="1" x14ac:dyDescent="0.3">
      <c r="B32" s="717"/>
      <c r="C32" s="710"/>
      <c r="D32" s="710"/>
      <c r="E32" s="710"/>
      <c r="F32" s="710"/>
      <c r="G32" s="710"/>
      <c r="H32" s="710"/>
      <c r="I32" s="710"/>
      <c r="J32" s="710"/>
      <c r="K32" s="710"/>
      <c r="L32" s="718"/>
    </row>
    <row r="33" ht="39" customHeight="1" x14ac:dyDescent="0.25"/>
  </sheetData>
  <sheetProtection algorithmName="SHA-512" hashValue="uyyFFe1h+T6mYj7T0ZxF7rMiacsg8SE9ad5NMugfurEy0HGneq2EX2OMlw1SR2iTDsd+btTxHJq+vMjfoA7wvg==" saltValue="gNPNUUzdl7W0mGxHYAlRUA==" spinCount="100000" sheet="1" selectLockedCells="1"/>
  <mergeCells count="28">
    <mergeCell ref="H6:K6"/>
    <mergeCell ref="H7:K7"/>
    <mergeCell ref="C6:D6"/>
    <mergeCell ref="C7:D7"/>
    <mergeCell ref="I10:J10"/>
    <mergeCell ref="C4:D4"/>
    <mergeCell ref="C5:D5"/>
    <mergeCell ref="D31:E31"/>
    <mergeCell ref="E8:F8"/>
    <mergeCell ref="D16:E16"/>
    <mergeCell ref="D12:E12"/>
    <mergeCell ref="D18:E18"/>
    <mergeCell ref="I13:J13"/>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s>
  <dataValidations count="1">
    <dataValidation type="decimal" allowBlank="1" showInputMessage="1" showErrorMessage="1" sqref="E30" xr:uid="{00000000-0002-0000-0500-000000000000}">
      <formula1>#REF!</formula1>
      <formula2>C30</formula2>
    </dataValidation>
  </dataValidations>
  <printOptions horizontalCentered="1"/>
  <pageMargins left="0.25" right="0.25" top="0.75" bottom="0.75" header="0.3" footer="0.3"/>
  <pageSetup scale="89" orientation="landscape" errors="dash" r:id="rId1"/>
  <headerFooter scaleWithDoc="0">
    <oddHeader>&amp;C&amp;F&amp;R&amp;D</oddHeader>
    <oddFooter>&amp;L&amp;P&amp;CWelcome | US Foods Confidential</oddFooter>
  </headerFooter>
  <ignoredErrors>
    <ignoredError sqref="I18:J18" evalError="1"/>
  </ignoredErrors>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P38"/>
  <sheetViews>
    <sheetView showGridLines="0" topLeftCell="A3" zoomScale="80" zoomScaleNormal="80" zoomScaleSheetLayoutView="100" workbookViewId="0">
      <selection activeCell="O38" sqref="O38"/>
    </sheetView>
  </sheetViews>
  <sheetFormatPr defaultColWidth="8.85546875" defaultRowHeight="15" x14ac:dyDescent="0.25"/>
  <cols>
    <col min="1" max="1" width="2.7109375" style="5" customWidth="1"/>
    <col min="2" max="2" width="6.42578125" style="5" customWidth="1"/>
    <col min="3" max="3" width="2.7109375" style="5" customWidth="1"/>
    <col min="4" max="4" width="25.42578125" style="591" bestFit="1" customWidth="1"/>
    <col min="5" max="5" width="24.7109375" style="5" customWidth="1"/>
    <col min="6" max="6" width="2.140625" style="5" customWidth="1"/>
    <col min="7" max="7" width="17.7109375" style="183" bestFit="1" customWidth="1"/>
    <col min="8" max="8" width="2.85546875" style="183" customWidth="1"/>
    <col min="9" max="9" width="17.7109375" style="183" bestFit="1" customWidth="1"/>
    <col min="10" max="10" width="18.28515625" style="5" customWidth="1"/>
    <col min="11" max="11" width="3.5703125" style="5" customWidth="1"/>
    <col min="12" max="12" width="2" style="911" customWidth="1"/>
    <col min="13" max="13" width="10.85546875" style="183" customWidth="1"/>
    <col min="14" max="14" width="11.5703125" style="911" bestFit="1" customWidth="1"/>
    <col min="15" max="15" width="2.42578125" style="183" customWidth="1"/>
    <col min="16" max="16" width="13.140625" style="183" customWidth="1"/>
    <col min="17" max="17" width="21.140625" style="5" customWidth="1"/>
    <col min="18" max="18" width="10.140625" style="5" customWidth="1"/>
    <col min="19" max="19" width="8.85546875" style="5" customWidth="1"/>
    <col min="20" max="20" width="13.140625" style="5" customWidth="1"/>
    <col min="21" max="21" width="8.85546875" style="5" customWidth="1"/>
    <col min="22" max="22" width="10.5703125" style="5" customWidth="1"/>
    <col min="23" max="16384" width="8.85546875" style="5"/>
  </cols>
  <sheetData>
    <row r="1" spans="1:16" ht="15" customHeight="1" thickBot="1" x14ac:dyDescent="0.3">
      <c r="A1" s="5" t="s">
        <v>544</v>
      </c>
    </row>
    <row r="2" spans="1:16" ht="21" x14ac:dyDescent="0.25">
      <c r="B2" s="755"/>
      <c r="C2" s="592" t="s">
        <v>130</v>
      </c>
      <c r="D2" s="179"/>
      <c r="E2" s="592"/>
      <c r="F2" s="593"/>
      <c r="G2" s="181"/>
      <c r="H2" s="181"/>
      <c r="I2" s="181"/>
      <c r="J2" s="179"/>
      <c r="K2" s="179"/>
      <c r="L2" s="912"/>
      <c r="M2" s="181"/>
      <c r="N2" s="912"/>
      <c r="O2" s="594"/>
    </row>
    <row r="3" spans="1:16" ht="8.4499999999999993" customHeight="1" thickBot="1" x14ac:dyDescent="0.3">
      <c r="B3" s="185"/>
      <c r="D3" s="5"/>
      <c r="F3" s="184"/>
      <c r="G3" s="5"/>
      <c r="H3" s="5"/>
      <c r="I3" s="5"/>
      <c r="O3" s="283"/>
    </row>
    <row r="4" spans="1:16" ht="14.45" customHeight="1" x14ac:dyDescent="0.25">
      <c r="B4" s="185"/>
      <c r="C4" s="1137" t="s">
        <v>381</v>
      </c>
      <c r="D4" s="1138"/>
      <c r="E4" s="716">
        <f>Welcome!$D$8</f>
        <v>0</v>
      </c>
      <c r="F4" s="145"/>
      <c r="G4" s="523" t="s">
        <v>110</v>
      </c>
      <c r="H4" s="1133" t="str">
        <f>IFERROR(VLOOKUP($H$5,'Market Geography'!$D:$G,4,FALSE),"Select Market")</f>
        <v>Select Market</v>
      </c>
      <c r="I4" s="1133"/>
      <c r="J4" s="1133"/>
      <c r="K4" s="1134"/>
      <c r="L4" s="915"/>
      <c r="M4" s="917"/>
      <c r="N4" s="818"/>
      <c r="O4" s="595"/>
    </row>
    <row r="5" spans="1:16" x14ac:dyDescent="0.25">
      <c r="B5" s="185"/>
      <c r="C5" s="1139" t="s">
        <v>216</v>
      </c>
      <c r="D5" s="1140"/>
      <c r="E5" s="393">
        <f>Welcome!$D$12</f>
        <v>0</v>
      </c>
      <c r="F5" s="145"/>
      <c r="G5" s="524" t="s">
        <v>120</v>
      </c>
      <c r="H5" s="1135">
        <f>Welcome!$D$4</f>
        <v>0</v>
      </c>
      <c r="I5" s="1135"/>
      <c r="J5" s="1135"/>
      <c r="K5" s="1136"/>
      <c r="L5" s="915"/>
      <c r="M5" s="917"/>
      <c r="N5" s="818"/>
      <c r="O5" s="595"/>
    </row>
    <row r="6" spans="1:16" x14ac:dyDescent="0.25">
      <c r="B6" s="185"/>
      <c r="C6" s="1139" t="s">
        <v>202</v>
      </c>
      <c r="D6" s="1140"/>
      <c r="E6" s="394">
        <f>IFERROR('PIM Model'!$G$31,0)</f>
        <v>0</v>
      </c>
      <c r="F6" s="428"/>
      <c r="G6" s="524" t="s">
        <v>107</v>
      </c>
      <c r="H6" s="1135" t="str">
        <f>'Multi-Customer'!$M$47</f>
        <v>Enter Customer(s)</v>
      </c>
      <c r="I6" s="1135"/>
      <c r="J6" s="1135"/>
      <c r="K6" s="1136"/>
      <c r="L6" s="915"/>
      <c r="M6" s="917"/>
      <c r="N6" s="818"/>
      <c r="O6" s="595"/>
    </row>
    <row r="7" spans="1:16" x14ac:dyDescent="0.25">
      <c r="B7" s="185"/>
      <c r="C7" s="1139" t="s">
        <v>493</v>
      </c>
      <c r="D7" s="1140"/>
      <c r="E7" s="596">
        <f>IFERROR('Variable Costs (Back)'!$K$26,0)</f>
        <v>0</v>
      </c>
      <c r="F7" s="184"/>
      <c r="G7" s="524" t="s">
        <v>410</v>
      </c>
      <c r="H7" s="1135" t="str">
        <f>'Multi-Customer'!$M$83</f>
        <v>MULTIPLE MENU TYPES</v>
      </c>
      <c r="I7" s="1135"/>
      <c r="J7" s="1135"/>
      <c r="K7" s="1136"/>
      <c r="L7" s="915"/>
      <c r="M7" s="917"/>
      <c r="N7" s="818"/>
      <c r="O7" s="595"/>
    </row>
    <row r="8" spans="1:16" ht="15.75" thickBot="1" x14ac:dyDescent="0.3">
      <c r="B8" s="185"/>
      <c r="C8" s="1145" t="s">
        <v>547</v>
      </c>
      <c r="D8" s="1146"/>
      <c r="E8" s="426">
        <f>IFERROR('PIM Ranges'!$AU$3,0)</f>
        <v>0</v>
      </c>
      <c r="F8" s="429"/>
      <c r="G8" s="525" t="s">
        <v>225</v>
      </c>
      <c r="H8" s="1148" t="s">
        <v>211</v>
      </c>
      <c r="I8" s="1148"/>
      <c r="J8" s="1148"/>
      <c r="K8" s="1149"/>
      <c r="L8" s="916"/>
      <c r="M8" s="917"/>
      <c r="N8" s="818"/>
      <c r="O8" s="597"/>
    </row>
    <row r="9" spans="1:16" ht="8.4499999999999993" customHeight="1" x14ac:dyDescent="0.25">
      <c r="B9" s="185"/>
      <c r="D9" s="142"/>
      <c r="E9" s="715"/>
      <c r="F9" s="715"/>
      <c r="G9" s="715"/>
      <c r="H9" s="715"/>
      <c r="I9" s="715"/>
      <c r="O9" s="283"/>
    </row>
    <row r="10" spans="1:16" ht="7.9" customHeight="1" x14ac:dyDescent="0.25">
      <c r="B10" s="185"/>
      <c r="C10" s="279"/>
      <c r="D10" s="598"/>
      <c r="E10" s="194"/>
      <c r="F10" s="194"/>
      <c r="G10" s="194"/>
      <c r="H10" s="194"/>
      <c r="I10" s="194"/>
      <c r="J10" s="194"/>
      <c r="K10" s="198"/>
      <c r="L10"/>
      <c r="M10" s="913"/>
      <c r="N10" s="910"/>
      <c r="O10" s="186"/>
      <c r="P10" s="5"/>
    </row>
    <row r="11" spans="1:16" ht="18.600000000000001" customHeight="1" x14ac:dyDescent="0.25">
      <c r="B11" s="185"/>
      <c r="C11" s="274"/>
      <c r="D11" s="7"/>
      <c r="E11" s="6" t="s">
        <v>238</v>
      </c>
      <c r="F11" s="38"/>
      <c r="G11" s="207" t="s">
        <v>376</v>
      </c>
      <c r="H11" s="209"/>
      <c r="I11" s="201"/>
      <c r="J11" s="201"/>
      <c r="K11" s="203"/>
      <c r="L11"/>
      <c r="M11" s="1154" t="s">
        <v>1283</v>
      </c>
      <c r="N11" s="1154"/>
      <c r="O11" s="186"/>
      <c r="P11" s="5"/>
    </row>
    <row r="12" spans="1:16" ht="21" customHeight="1" x14ac:dyDescent="0.25">
      <c r="B12" s="185"/>
      <c r="C12" s="274"/>
      <c r="D12" s="778" t="s">
        <v>715</v>
      </c>
      <c r="E12" s="779">
        <f>IFERROR('PIM Model'!$G$31,0)</f>
        <v>0</v>
      </c>
      <c r="F12" s="39"/>
      <c r="G12" s="780">
        <f>IFERROR(E12/'PIM Model'!$H$31,0)</f>
        <v>0</v>
      </c>
      <c r="H12" s="600"/>
      <c r="I12" s="601"/>
      <c r="J12" s="602" t="str">
        <f>IF(AND(Welcome!D8="Incentive Only",E12&lt;150000),"Spend",IF(AND(Welcome!D8="MDA",E12&lt;250000),"Spend",IF(E12&gt;2500000,"Spend Maximum Exceeded. Go to Custom","Approve")))</f>
        <v>Approve</v>
      </c>
      <c r="K12" s="603"/>
      <c r="L12"/>
      <c r="M12" s="1008"/>
      <c r="N12" s="1009"/>
      <c r="O12" s="186"/>
      <c r="P12" s="5"/>
    </row>
    <row r="13" spans="1:16" ht="21" customHeight="1" x14ac:dyDescent="0.25">
      <c r="B13" s="185"/>
      <c r="C13" s="274"/>
      <c r="D13" s="8" t="s">
        <v>504</v>
      </c>
      <c r="E13" s="12">
        <f>IFERROR('PIM Model'!$I$34,0)</f>
        <v>0</v>
      </c>
      <c r="F13" s="39"/>
      <c r="G13" s="599">
        <f>IFERROR(E13/'PIM Model'!$H$31,0)</f>
        <v>0</v>
      </c>
      <c r="H13" s="600"/>
      <c r="I13" s="601"/>
      <c r="J13" s="604" t="str">
        <f>IF(E13&gt;0,IF(J17=0,"Approve","Reject"),"")</f>
        <v/>
      </c>
      <c r="K13" s="603"/>
      <c r="L13"/>
      <c r="M13" s="1008"/>
      <c r="N13" s="1009"/>
      <c r="O13" s="186"/>
      <c r="P13" s="5"/>
    </row>
    <row r="14" spans="1:16" ht="7.15" customHeight="1" x14ac:dyDescent="0.25">
      <c r="B14" s="185"/>
      <c r="C14" s="274"/>
      <c r="D14" s="781"/>
      <c r="E14" s="782"/>
      <c r="F14" s="782"/>
      <c r="G14" s="775"/>
      <c r="H14" s="775"/>
      <c r="I14" s="776"/>
      <c r="J14" s="777"/>
      <c r="K14" s="603"/>
      <c r="L14"/>
      <c r="M14" s="913"/>
      <c r="N14" s="910"/>
      <c r="O14" s="186"/>
      <c r="P14" s="5"/>
    </row>
    <row r="15" spans="1:16" ht="21" customHeight="1" x14ac:dyDescent="0.25">
      <c r="B15" s="185"/>
      <c r="C15" s="274"/>
      <c r="D15" s="781"/>
      <c r="E15" s="6" t="s">
        <v>238</v>
      </c>
      <c r="F15" s="38"/>
      <c r="G15" s="130" t="s">
        <v>376</v>
      </c>
      <c r="H15" s="605"/>
      <c r="I15" s="207" t="s">
        <v>754</v>
      </c>
      <c r="J15" s="777"/>
      <c r="K15" s="603"/>
      <c r="L15"/>
      <c r="M15" s="913"/>
      <c r="N15" s="910"/>
      <c r="O15" s="186"/>
      <c r="P15" s="5"/>
    </row>
    <row r="16" spans="1:16" ht="24" customHeight="1" x14ac:dyDescent="0.25">
      <c r="B16" s="185"/>
      <c r="C16" s="274"/>
      <c r="D16" s="16" t="s">
        <v>1096</v>
      </c>
      <c r="E16" s="783">
        <v>0</v>
      </c>
      <c r="F16" s="129"/>
      <c r="G16" s="776"/>
      <c r="H16" s="775"/>
      <c r="I16" s="776"/>
      <c r="J16" s="777"/>
      <c r="K16" s="603"/>
      <c r="L16"/>
      <c r="M16" s="913"/>
      <c r="N16" s="910"/>
      <c r="O16" s="186"/>
      <c r="P16" s="5"/>
    </row>
    <row r="17" spans="2:16" ht="24" customHeight="1" x14ac:dyDescent="0.25">
      <c r="B17" s="185"/>
      <c r="C17" s="274"/>
      <c r="D17" s="16" t="s">
        <v>990</v>
      </c>
      <c r="E17" s="12">
        <f>IFERROR('EB_CM (Back)'!$J$47*-1,0)-E16</f>
        <v>0</v>
      </c>
      <c r="F17" s="39"/>
      <c r="G17" s="599">
        <f>IFERROR(E17/'PIM Model'!$H$31,0)</f>
        <v>0</v>
      </c>
      <c r="H17" s="605"/>
      <c r="I17" s="608">
        <f>IFERROR(E17/E12,0)</f>
        <v>0</v>
      </c>
      <c r="J17" s="1010">
        <f>COUNTIF('PIM Model'!$AB$10:$AB$30,"ERROR")+COUNTIFS('PIM Model'!$AF$10:$AJ$30,"BELOW")</f>
        <v>0</v>
      </c>
      <c r="K17" s="606"/>
      <c r="L17"/>
      <c r="M17" s="913"/>
      <c r="N17" s="910"/>
      <c r="O17" s="186"/>
      <c r="P17" s="5"/>
    </row>
    <row r="18" spans="2:16" ht="13.15" customHeight="1" x14ac:dyDescent="0.25">
      <c r="B18" s="185"/>
      <c r="C18" s="274"/>
      <c r="D18" s="201"/>
      <c r="E18" s="201"/>
      <c r="F18" s="201"/>
      <c r="G18" s="201"/>
      <c r="H18" s="605"/>
      <c r="I18" s="607"/>
      <c r="J18" s="607"/>
      <c r="K18" s="606"/>
      <c r="L18"/>
      <c r="M18" s="913"/>
      <c r="N18" s="910"/>
      <c r="O18" s="186"/>
      <c r="P18" s="5"/>
    </row>
    <row r="19" spans="2:16" ht="21.6" customHeight="1" x14ac:dyDescent="0.25">
      <c r="B19" s="185"/>
      <c r="C19" s="274"/>
      <c r="D19" s="201"/>
      <c r="E19" s="6" t="s">
        <v>238</v>
      </c>
      <c r="F19" s="38"/>
      <c r="G19" s="207" t="s">
        <v>376</v>
      </c>
      <c r="H19" s="605"/>
      <c r="I19" s="207" t="s">
        <v>754</v>
      </c>
      <c r="J19" s="607"/>
      <c r="K19" s="606"/>
      <c r="L19"/>
      <c r="M19" s="913"/>
      <c r="N19" s="910"/>
      <c r="O19" s="186"/>
      <c r="P19" s="5"/>
    </row>
    <row r="20" spans="2:16" ht="21.6" customHeight="1" x14ac:dyDescent="0.25">
      <c r="B20" s="185"/>
      <c r="C20" s="274"/>
      <c r="D20" s="8" t="s">
        <v>993</v>
      </c>
      <c r="E20" s="12">
        <f>E13+E17</f>
        <v>0</v>
      </c>
      <c r="F20" s="39"/>
      <c r="G20" s="599">
        <f>IFERROR(E20/'PIM Model'!$H$31,0)</f>
        <v>0</v>
      </c>
      <c r="H20" s="605"/>
      <c r="I20" s="608">
        <f>IFERROR(E20/E12,0)</f>
        <v>0</v>
      </c>
      <c r="J20" s="607"/>
      <c r="K20" s="606"/>
      <c r="L20"/>
      <c r="M20" s="913"/>
      <c r="N20" s="910"/>
      <c r="O20" s="186"/>
      <c r="P20" s="5"/>
    </row>
    <row r="21" spans="2:16" x14ac:dyDescent="0.25">
      <c r="B21" s="185"/>
      <c r="C21" s="274"/>
      <c r="D21" s="7"/>
      <c r="E21" s="605"/>
      <c r="F21" s="605"/>
      <c r="G21" s="605"/>
      <c r="H21" s="605"/>
      <c r="I21" s="607"/>
      <c r="J21" s="607"/>
      <c r="K21" s="606"/>
      <c r="L21"/>
      <c r="M21" s="1152" t="s">
        <v>1283</v>
      </c>
      <c r="N21" s="1153"/>
      <c r="O21" s="186"/>
      <c r="P21" s="5"/>
    </row>
    <row r="22" spans="2:16" ht="24" customHeight="1" x14ac:dyDescent="0.25">
      <c r="B22" s="185"/>
      <c r="C22" s="274"/>
      <c r="D22" s="16" t="s">
        <v>229</v>
      </c>
      <c r="E22" s="12">
        <f>IFERROR(Incentives!$M$94*-1,0)</f>
        <v>0</v>
      </c>
      <c r="F22" s="609">
        <f>Incentives!$M$96</f>
        <v>0</v>
      </c>
      <c r="G22" s="599">
        <f>IFERROR(E22/'PIM Model'!$H$31,0)</f>
        <v>0</v>
      </c>
      <c r="H22" s="600"/>
      <c r="I22" s="766" t="str">
        <f>IF(Incentives!$M$97&gt;0,"**Missing Incentive Payment Method**","")</f>
        <v/>
      </c>
      <c r="J22" s="927" t="str">
        <f>IF(M22="Yes","Approve",IF(E22=0,"",IF(AND(Incentives!$E$89="YES",Welcome!D16="NO"),"Reject",IF(Incentives!M71&gt;=10000,"Caution",IF(F22&gt;0.05,"Reject",IF(Incentives!K66+K74&gt;=10000,"Caution","Approve"))))))</f>
        <v/>
      </c>
      <c r="K22" s="610"/>
      <c r="L22"/>
      <c r="M22" s="918"/>
      <c r="N22" s="919"/>
      <c r="O22" s="186"/>
      <c r="P22" s="5"/>
    </row>
    <row r="23" spans="2:16" ht="21.6" customHeight="1" x14ac:dyDescent="0.25">
      <c r="B23" s="185"/>
      <c r="C23" s="274"/>
      <c r="D23" s="8" t="s">
        <v>230</v>
      </c>
      <c r="E23" s="12">
        <f>E20+E22</f>
        <v>0</v>
      </c>
      <c r="F23" s="39"/>
      <c r="G23" s="599">
        <f>IFERROR(E23/'PIM Model'!$H$31,0)</f>
        <v>0</v>
      </c>
      <c r="H23" s="600"/>
      <c r="I23" s="201"/>
      <c r="J23" s="201"/>
      <c r="K23" s="203"/>
      <c r="L23"/>
      <c r="M23" s="913"/>
      <c r="N23" s="910"/>
      <c r="O23" s="186"/>
      <c r="P23" s="5"/>
    </row>
    <row r="24" spans="2:16" ht="11.45" customHeight="1" x14ac:dyDescent="0.25">
      <c r="B24" s="185"/>
      <c r="C24" s="274"/>
      <c r="D24" s="7"/>
      <c r="E24" s="605"/>
      <c r="F24" s="605"/>
      <c r="G24" s="611"/>
      <c r="H24" s="611"/>
      <c r="I24" s="201"/>
      <c r="J24" s="201"/>
      <c r="K24" s="203"/>
      <c r="L24"/>
      <c r="M24" s="913"/>
      <c r="N24" s="910"/>
      <c r="O24" s="186"/>
      <c r="P24" s="5"/>
    </row>
    <row r="25" spans="2:16" ht="21.6" customHeight="1" x14ac:dyDescent="0.25">
      <c r="B25" s="185"/>
      <c r="C25" s="274"/>
      <c r="D25" s="16" t="s">
        <v>409</v>
      </c>
      <c r="E25" s="13">
        <f>IFERROR('Variable Costs &amp; Income'!$E$11*-1,0)</f>
        <v>0</v>
      </c>
      <c r="F25" s="40"/>
      <c r="G25" s="612">
        <f>IFERROR(E25/'PIM Model'!$H$31,0)</f>
        <v>0</v>
      </c>
      <c r="H25" s="68"/>
      <c r="I25" s="613"/>
      <c r="J25" s="613"/>
      <c r="K25" s="203"/>
      <c r="L25"/>
      <c r="M25" s="913"/>
      <c r="N25" s="910"/>
      <c r="O25" s="186"/>
      <c r="P25" s="5"/>
    </row>
    <row r="26" spans="2:16" ht="21.6" customHeight="1" x14ac:dyDescent="0.25">
      <c r="B26" s="185"/>
      <c r="C26" s="274"/>
      <c r="D26" s="16" t="s">
        <v>1226</v>
      </c>
      <c r="E26" s="13">
        <f>IF(AND(Welcome!D16="YES",Incentives!E89="YES"),0,IF(AND(Welcome!D16="YES",Incentives!E89="No"),E12*(VLOOKUP('Variable Selling'!$A$2,'CC MARKET EXPENSE'!$A:$D,4,0)),0))*-1</f>
        <v>0</v>
      </c>
      <c r="F26" s="40"/>
      <c r="G26" s="612">
        <f>IFERROR(E26/'PIM Model'!$H$31,0)</f>
        <v>0</v>
      </c>
      <c r="H26" s="68"/>
      <c r="I26" s="613"/>
      <c r="J26" s="613"/>
      <c r="K26" s="203"/>
      <c r="L26"/>
      <c r="M26" s="913"/>
      <c r="N26" s="910"/>
      <c r="O26" s="186"/>
      <c r="P26" s="5"/>
    </row>
    <row r="27" spans="2:16" ht="21.6" customHeight="1" x14ac:dyDescent="0.25">
      <c r="B27" s="185"/>
      <c r="C27" s="274"/>
      <c r="D27" s="16" t="s">
        <v>204</v>
      </c>
      <c r="E27" s="13">
        <f>IFERROR('Variable Costs &amp; Income'!$E$15*-1,0)</f>
        <v>0</v>
      </c>
      <c r="F27" s="40"/>
      <c r="G27" s="612">
        <f>IFERROR(E27/'PIM Model'!$H$31,0)</f>
        <v>0</v>
      </c>
      <c r="H27" s="68"/>
      <c r="I27" s="613"/>
      <c r="J27" s="613"/>
      <c r="K27" s="203"/>
      <c r="L27"/>
      <c r="M27" s="913"/>
      <c r="N27" s="910"/>
      <c r="O27" s="186"/>
      <c r="P27" s="5"/>
    </row>
    <row r="28" spans="2:16" ht="21" customHeight="1" x14ac:dyDescent="0.25">
      <c r="B28" s="185"/>
      <c r="C28" s="274"/>
      <c r="D28" s="16" t="s">
        <v>203</v>
      </c>
      <c r="E28" s="13">
        <f>IFERROR('Variable Costs &amp; Income'!$E$17*-1,0)</f>
        <v>0</v>
      </c>
      <c r="F28" s="40"/>
      <c r="G28" s="612">
        <f>IFERROR(E28/'PIM Model'!$H$31,0)</f>
        <v>0</v>
      </c>
      <c r="H28" s="68"/>
      <c r="I28" s="613"/>
      <c r="J28" s="613"/>
      <c r="K28" s="203"/>
      <c r="L28"/>
      <c r="M28" s="913"/>
      <c r="N28" s="910"/>
      <c r="O28" s="186"/>
      <c r="P28" s="5"/>
    </row>
    <row r="29" spans="2:16" ht="23.45" customHeight="1" x14ac:dyDescent="0.25">
      <c r="B29" s="185"/>
      <c r="C29" s="274"/>
      <c r="D29" s="7"/>
      <c r="E29" s="605"/>
      <c r="F29" s="605"/>
      <c r="G29" s="611"/>
      <c r="H29" s="611"/>
      <c r="I29" s="201"/>
      <c r="J29" s="201"/>
      <c r="K29" s="203"/>
      <c r="L29"/>
      <c r="M29" s="913"/>
      <c r="N29" s="910"/>
      <c r="O29" s="186"/>
      <c r="P29" s="5"/>
    </row>
    <row r="30" spans="2:16" ht="23.45" customHeight="1" x14ac:dyDescent="0.25">
      <c r="B30" s="185"/>
      <c r="C30" s="274"/>
      <c r="D30" s="17" t="s">
        <v>228</v>
      </c>
      <c r="E30" s="12">
        <f>IFERROR('Variable Costs &amp; Income'!$E$29,0)</f>
        <v>0</v>
      </c>
      <c r="F30" s="39"/>
      <c r="G30" s="599">
        <f>IFERROR(E30/'PIM Model'!$H$31,0)</f>
        <v>0</v>
      </c>
      <c r="H30" s="600"/>
      <c r="I30" s="201"/>
      <c r="J30" s="201"/>
      <c r="K30" s="203"/>
      <c r="L30"/>
      <c r="M30" s="913"/>
      <c r="N30" s="910"/>
      <c r="O30" s="186"/>
      <c r="P30" s="5"/>
    </row>
    <row r="31" spans="2:16" ht="21" customHeight="1" x14ac:dyDescent="0.25">
      <c r="B31" s="185"/>
      <c r="C31" s="274"/>
      <c r="D31" s="17" t="s">
        <v>227</v>
      </c>
      <c r="E31" s="12">
        <f>'Variable Costs &amp; Income'!$E$30</f>
        <v>0</v>
      </c>
      <c r="F31" s="39"/>
      <c r="G31" s="599">
        <f>IFERROR(E31/'PIM Model'!$H$31,0)</f>
        <v>0</v>
      </c>
      <c r="H31" s="600"/>
      <c r="I31" s="201"/>
      <c r="J31" s="201"/>
      <c r="K31" s="203"/>
      <c r="L31"/>
      <c r="M31" s="913"/>
      <c r="N31" s="910"/>
      <c r="O31" s="186"/>
      <c r="P31" s="5"/>
    </row>
    <row r="32" spans="2:16" ht="30.75" customHeight="1" x14ac:dyDescent="0.25">
      <c r="B32" s="185"/>
      <c r="C32" s="274"/>
      <c r="D32" s="1151" t="s">
        <v>237</v>
      </c>
      <c r="E32" s="1151"/>
      <c r="F32" s="1151"/>
      <c r="G32" s="1151"/>
      <c r="H32" s="614"/>
      <c r="I32" s="1150" t="str">
        <f>IF($I$33=0,IF($J$33=0,"","Customer EB % Missing"),IF($J$33=0,"Customer Drops/Wk Missing","Customer EB % &amp; Drops/Wk Missing"))</f>
        <v/>
      </c>
      <c r="J32" s="1150"/>
      <c r="K32" s="203"/>
      <c r="L32"/>
      <c r="M32" s="913"/>
      <c r="N32" s="910"/>
      <c r="O32" s="186"/>
      <c r="P32" s="5"/>
    </row>
    <row r="33" spans="2:16" ht="21.6" customHeight="1" x14ac:dyDescent="0.25">
      <c r="B33" s="185"/>
      <c r="C33" s="274"/>
      <c r="D33" s="7"/>
      <c r="E33" s="605"/>
      <c r="F33" s="605"/>
      <c r="G33" s="787"/>
      <c r="H33" s="787">
        <f>I33+J33</f>
        <v>0</v>
      </c>
      <c r="I33" s="573">
        <f>'Customer Inputs'!$S$16</f>
        <v>0</v>
      </c>
      <c r="J33" s="573">
        <f>'Customer Inputs'!$V$16</f>
        <v>0</v>
      </c>
      <c r="K33" s="203"/>
      <c r="L33"/>
      <c r="M33" s="1152" t="s">
        <v>1283</v>
      </c>
      <c r="N33" s="1153"/>
      <c r="O33" s="186"/>
      <c r="P33" s="5"/>
    </row>
    <row r="34" spans="2:16" ht="24" customHeight="1" x14ac:dyDescent="0.25">
      <c r="B34" s="185"/>
      <c r="C34" s="274"/>
      <c r="D34" s="8" t="s">
        <v>214</v>
      </c>
      <c r="E34" s="12">
        <f>IFERROR(E23+E25+E27+E28+E30+E31+E26,"")</f>
        <v>0</v>
      </c>
      <c r="F34" s="39"/>
      <c r="G34" s="599">
        <f>IFERROR(E34/'PIM Model'!$H$31,0)</f>
        <v>0</v>
      </c>
      <c r="H34" s="615">
        <f>'EB_CM (Back)'!$C$26-'EB_CM (Back)'!$C$27</f>
        <v>0.08</v>
      </c>
      <c r="I34" s="608">
        <f>IFERROR($E$34/'PIM Model'!$G$31,0)</f>
        <v>0</v>
      </c>
      <c r="J34" s="616" t="str">
        <f>IFERROR(IF($M$34="Yes","Approve",IF(H34&gt;0,"Reject","Approve")),"Reject")</f>
        <v>Reject</v>
      </c>
      <c r="K34" s="203"/>
      <c r="L34"/>
      <c r="M34" s="918"/>
      <c r="N34" s="919"/>
      <c r="O34" s="186"/>
      <c r="P34" s="5"/>
    </row>
    <row r="35" spans="2:16" ht="24.6" customHeight="1" x14ac:dyDescent="0.25">
      <c r="B35" s="185"/>
      <c r="C35" s="276"/>
      <c r="D35" s="617"/>
      <c r="E35" s="618"/>
      <c r="F35" s="618"/>
      <c r="G35" s="221"/>
      <c r="H35" s="618"/>
      <c r="I35" s="262"/>
      <c r="J35" s="262"/>
      <c r="K35" s="224"/>
      <c r="L35"/>
      <c r="M35" s="913"/>
      <c r="N35" s="910"/>
      <c r="O35" s="186"/>
      <c r="P35" s="5"/>
    </row>
    <row r="36" spans="2:16" ht="41.25" customHeight="1" thickBot="1" x14ac:dyDescent="0.3">
      <c r="B36" s="717"/>
      <c r="C36" s="727"/>
      <c r="D36" s="728"/>
      <c r="E36" s="729"/>
      <c r="F36" s="729"/>
      <c r="G36" s="730"/>
      <c r="H36" s="729"/>
      <c r="I36" s="727"/>
      <c r="J36" s="727"/>
      <c r="K36" s="727"/>
      <c r="L36" s="727"/>
      <c r="M36" s="730"/>
      <c r="N36" s="727"/>
      <c r="O36" s="718"/>
    </row>
    <row r="37" spans="2:16" ht="40.5" customHeight="1" x14ac:dyDescent="0.25">
      <c r="B37" s="1147"/>
      <c r="C37" s="1147"/>
      <c r="D37" s="1147"/>
      <c r="J37" s="1116"/>
      <c r="K37" s="1116"/>
      <c r="L37" s="1116"/>
      <c r="M37" s="1116"/>
      <c r="N37" s="1116"/>
      <c r="O37" s="1116"/>
    </row>
    <row r="38" spans="2:16" x14ac:dyDescent="0.25">
      <c r="O38" s="621"/>
    </row>
  </sheetData>
  <sheetProtection algorithmName="SHA-512" hashValue="9DpeVoc1CdKStZ3cBolF1mP9Ik0HD/pRTK8Eg/DxTV7eOYJl/Z7zVEdF8pHsjG7Bv9tKtlD015j4eXSPOCzjBA==" saltValue="DxB5ovXdhEeSDMEC1Cl7fw==" spinCount="100000" sheet="1" selectLockedCells="1"/>
  <mergeCells count="17">
    <mergeCell ref="C7:D7"/>
    <mergeCell ref="C8:D8"/>
    <mergeCell ref="B37:D37"/>
    <mergeCell ref="J37:O37"/>
    <mergeCell ref="H7:K7"/>
    <mergeCell ref="H8:K8"/>
    <mergeCell ref="I32:J32"/>
    <mergeCell ref="D32:G32"/>
    <mergeCell ref="M21:N21"/>
    <mergeCell ref="M33:N33"/>
    <mergeCell ref="M11:N11"/>
    <mergeCell ref="H4:K4"/>
    <mergeCell ref="H5:K5"/>
    <mergeCell ref="H6:K6"/>
    <mergeCell ref="C4:D4"/>
    <mergeCell ref="C5:D5"/>
    <mergeCell ref="C6:D6"/>
  </mergeCells>
  <conditionalFormatting sqref="I25:I28">
    <cfRule type="containsText" dxfId="116" priority="36" operator="containsText" text="Below Average">
      <formula>NOT(ISERROR(SEARCH("Below Average",I25)))</formula>
    </cfRule>
  </conditionalFormatting>
  <conditionalFormatting sqref="J34">
    <cfRule type="expression" dxfId="115" priority="18">
      <formula>$H$33&gt;0</formula>
    </cfRule>
    <cfRule type="containsText" dxfId="114" priority="22" operator="containsText" text="Reject">
      <formula>NOT(ISERROR(SEARCH("Reject",J34)))</formula>
    </cfRule>
    <cfRule type="expression" dxfId="113" priority="33">
      <formula>$M$34="Yes"</formula>
    </cfRule>
    <cfRule type="expression" dxfId="112" priority="34">
      <formula>J34="Approve"</formula>
    </cfRule>
  </conditionalFormatting>
  <conditionalFormatting sqref="J12">
    <cfRule type="expression" dxfId="111" priority="11">
      <formula>$M$12="yes"</formula>
    </cfRule>
    <cfRule type="containsText" dxfId="110" priority="27" operator="containsText" text="Spend">
      <formula>NOT(ISERROR(SEARCH("Spend",J12)))</formula>
    </cfRule>
    <cfRule type="containsText" dxfId="109" priority="31" operator="containsText" text="Approve">
      <formula>NOT(ISERROR(SEARCH("Approve",J12)))</formula>
    </cfRule>
  </conditionalFormatting>
  <conditionalFormatting sqref="J13:J16">
    <cfRule type="containsText" dxfId="108" priority="26" operator="containsText" text="Reject">
      <formula>NOT(ISERROR(SEARCH("Reject",J13)))</formula>
    </cfRule>
    <cfRule type="containsText" dxfId="107" priority="30" operator="containsText" text="Approve">
      <formula>NOT(ISERROR(SEARCH("Approve",J13)))</formula>
    </cfRule>
  </conditionalFormatting>
  <conditionalFormatting sqref="J22">
    <cfRule type="expression" dxfId="106" priority="16">
      <formula>$I$22="**Missing Incentive Payment Method**"</formula>
    </cfRule>
    <cfRule type="containsText" dxfId="105" priority="21" operator="containsText" text="Reject">
      <formula>NOT(ISERROR(SEARCH("Reject",J22)))</formula>
    </cfRule>
    <cfRule type="containsText" dxfId="104" priority="25" operator="containsText" text="Caution">
      <formula>NOT(ISERROR(SEARCH("Caution",J22)))</formula>
    </cfRule>
    <cfRule type="expression" dxfId="103" priority="28">
      <formula>$M$22="Yes"</formula>
    </cfRule>
    <cfRule type="expression" dxfId="102" priority="29">
      <formula>$J$22="Approve"</formula>
    </cfRule>
  </conditionalFormatting>
  <conditionalFormatting sqref="H34">
    <cfRule type="expression" dxfId="101" priority="92">
      <formula>#REF!="Approve"</formula>
    </cfRule>
  </conditionalFormatting>
  <conditionalFormatting sqref="E16">
    <cfRule type="cellIs" dxfId="100" priority="23" operator="notEqual">
      <formula>0</formula>
    </cfRule>
  </conditionalFormatting>
  <conditionalFormatting sqref="M33:N34">
    <cfRule type="expression" dxfId="99" priority="17">
      <formula>H34&lt;0</formula>
    </cfRule>
  </conditionalFormatting>
  <conditionalFormatting sqref="J13">
    <cfRule type="expression" dxfId="98" priority="8">
      <formula>$M$13="Yes"</formula>
    </cfRule>
  </conditionalFormatting>
  <conditionalFormatting sqref="M11:N11">
    <cfRule type="expression" dxfId="97" priority="2">
      <formula>OR($J$13="Reject",$J$13="")</formula>
    </cfRule>
    <cfRule type="expression" dxfId="96" priority="5">
      <formula>$J$12="Spend"</formula>
    </cfRule>
  </conditionalFormatting>
  <conditionalFormatting sqref="M12:N12">
    <cfRule type="expression" dxfId="95" priority="4">
      <formula>$J$12="spend"</formula>
    </cfRule>
  </conditionalFormatting>
  <conditionalFormatting sqref="M13:N13">
    <cfRule type="expression" dxfId="94" priority="3">
      <formula>OR($J$13="Reject",$J$13="")</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M22 M34 M12:M13" xr:uid="{54834AA0-7D33-4341-86A2-4543BF35C233}">
      <formula1>"Yes"</formula1>
    </dataValidation>
  </dataValidations>
  <printOptions horizontalCentered="1"/>
  <pageMargins left="0.25" right="0.25" top="0.75" bottom="0.75" header="0.3" footer="0.3"/>
  <pageSetup scale="83" orientation="landscape" errors="dash" r:id="rId1"/>
  <headerFooter scaleWithDoc="0">
    <oddHeader>&amp;C&amp;F&amp;R&amp;D</oddHeader>
    <oddFooter>&amp;L&amp;P&amp;CWelcome | US Foods Confidential</odd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F65958E2-08DD-47E3-88EB-867E80A97CBC}">
            <xm:f>Incentives!$K$66+Incentives!$M$71&lt;10000</xm:f>
            <x14:dxf>
              <font>
                <color theme="0"/>
              </font>
              <fill>
                <patternFill>
                  <bgColor theme="0"/>
                </patternFill>
              </fill>
              <border>
                <left/>
                <right/>
                <top/>
                <bottom/>
              </border>
            </x14:dxf>
          </x14:cfRule>
          <xm:sqref>M21:N22</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R32"/>
  <sheetViews>
    <sheetView showGridLines="0" tabSelected="1" topLeftCell="B1" zoomScale="80" zoomScaleNormal="80" zoomScaleSheetLayoutView="70" workbookViewId="0">
      <selection activeCell="F20" sqref="F20"/>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140625" customWidth="1"/>
    <col min="8" max="8" width="19" customWidth="1"/>
    <col min="9" max="9" width="8.7109375" bestFit="1" customWidth="1"/>
    <col min="10" max="10" width="9.28515625" customWidth="1"/>
    <col min="11" max="11" width="5" customWidth="1"/>
    <col min="13" max="13" width="15.28515625" hidden="1" customWidth="1"/>
    <col min="14" max="14" width="11.5703125" hidden="1" customWidth="1"/>
    <col min="15" max="15" width="14.7109375" hidden="1" customWidth="1"/>
    <col min="16" max="16" width="2.5703125" hidden="1" customWidth="1"/>
    <col min="17" max="17" width="13.7109375" hidden="1" customWidth="1"/>
    <col min="18" max="18" width="11.28515625" hidden="1" customWidth="1"/>
  </cols>
  <sheetData>
    <row r="1" spans="3:18" ht="15.75" thickBot="1" x14ac:dyDescent="0.3">
      <c r="M1" s="294" t="s">
        <v>674</v>
      </c>
      <c r="N1" s="294" t="s">
        <v>675</v>
      </c>
      <c r="O1" s="294" t="s">
        <v>676</v>
      </c>
      <c r="P1" s="140"/>
      <c r="R1" s="438" t="s">
        <v>973</v>
      </c>
    </row>
    <row r="2" spans="3:18" s="5" customFormat="1" ht="22.5" customHeight="1" x14ac:dyDescent="0.25">
      <c r="C2" s="1157" t="s">
        <v>677</v>
      </c>
      <c r="D2" s="1158"/>
      <c r="E2" s="1158"/>
      <c r="F2" s="1158"/>
      <c r="G2" s="1158"/>
      <c r="H2" s="1158"/>
      <c r="I2" s="1158"/>
      <c r="J2" s="1158"/>
      <c r="K2" s="1159"/>
      <c r="M2" s="295" t="s">
        <v>678</v>
      </c>
      <c r="N2" s="295" t="s">
        <v>679</v>
      </c>
      <c r="O2" s="295" t="s">
        <v>499</v>
      </c>
      <c r="Q2" s="5" t="s">
        <v>974</v>
      </c>
      <c r="R2" s="5">
        <f>IF(Welcome!D14=R3,0,Welcome!D14)</f>
        <v>0</v>
      </c>
    </row>
    <row r="3" spans="3:18" x14ac:dyDescent="0.25">
      <c r="C3" s="673"/>
      <c r="D3" s="296"/>
      <c r="E3" s="296"/>
      <c r="F3" s="296"/>
      <c r="G3" s="296"/>
      <c r="H3" s="296"/>
      <c r="I3" s="296"/>
      <c r="J3" s="296"/>
      <c r="K3" s="674"/>
      <c r="M3" s="1" t="s">
        <v>680</v>
      </c>
      <c r="N3" s="1" t="s">
        <v>681</v>
      </c>
      <c r="O3" s="1" t="s">
        <v>498</v>
      </c>
      <c r="R3" t="s">
        <v>470</v>
      </c>
    </row>
    <row r="4" spans="3:18" x14ac:dyDescent="0.25">
      <c r="C4" s="143"/>
      <c r="E4" s="440" t="s">
        <v>920</v>
      </c>
      <c r="F4" s="1160"/>
      <c r="G4" s="1160"/>
      <c r="K4" s="675"/>
      <c r="O4" s="1" t="s">
        <v>497</v>
      </c>
    </row>
    <row r="5" spans="3:18" x14ac:dyDescent="0.25">
      <c r="C5" s="143"/>
      <c r="E5" s="440"/>
      <c r="K5" s="144"/>
    </row>
    <row r="6" spans="3:18" x14ac:dyDescent="0.25">
      <c r="C6" s="143"/>
      <c r="E6" s="142" t="s">
        <v>937</v>
      </c>
      <c r="F6" s="1160"/>
      <c r="G6" s="1160"/>
      <c r="K6" s="144"/>
    </row>
    <row r="7" spans="3:18" x14ac:dyDescent="0.25">
      <c r="C7" s="143"/>
      <c r="E7" s="142"/>
      <c r="K7" s="144"/>
    </row>
    <row r="8" spans="3:18" x14ac:dyDescent="0.25">
      <c r="C8" s="143"/>
      <c r="E8" s="142" t="s">
        <v>908</v>
      </c>
      <c r="F8" s="1160"/>
      <c r="G8" s="1160"/>
      <c r="K8" s="144"/>
    </row>
    <row r="9" spans="3:18" x14ac:dyDescent="0.25">
      <c r="C9" s="143"/>
      <c r="E9" s="142" t="s">
        <v>909</v>
      </c>
      <c r="F9" s="1160"/>
      <c r="G9" s="1160"/>
      <c r="K9" s="144"/>
    </row>
    <row r="10" spans="3:18" x14ac:dyDescent="0.25">
      <c r="C10" s="143"/>
      <c r="E10" s="142" t="s">
        <v>910</v>
      </c>
      <c r="F10" s="1160"/>
      <c r="G10" s="1160"/>
      <c r="K10" s="144"/>
    </row>
    <row r="11" spans="3:18" x14ac:dyDescent="0.25">
      <c r="C11" s="143"/>
      <c r="E11" s="142" t="s">
        <v>861</v>
      </c>
      <c r="F11" s="1160"/>
      <c r="G11" s="1160"/>
      <c r="K11" s="144"/>
    </row>
    <row r="12" spans="3:18" x14ac:dyDescent="0.25">
      <c r="C12" s="143"/>
      <c r="E12" s="142" t="s">
        <v>911</v>
      </c>
      <c r="F12" s="1160"/>
      <c r="G12" s="1160"/>
      <c r="K12" s="144"/>
    </row>
    <row r="13" spans="3:18" x14ac:dyDescent="0.25">
      <c r="C13" s="143"/>
      <c r="E13" s="142"/>
      <c r="F13" s="1162"/>
      <c r="G13" s="1162"/>
      <c r="K13" s="144"/>
    </row>
    <row r="14" spans="3:18" x14ac:dyDescent="0.25">
      <c r="C14" s="143"/>
      <c r="E14" s="142" t="s">
        <v>912</v>
      </c>
      <c r="F14" s="1161">
        <v>44332</v>
      </c>
      <c r="G14" s="1161"/>
      <c r="H14" s="688" t="s">
        <v>1053</v>
      </c>
      <c r="K14" s="144"/>
      <c r="L14" s="875">
        <f>WEEKDAY(F14,2)</f>
        <v>7</v>
      </c>
    </row>
    <row r="15" spans="3:18" ht="13.5" customHeight="1" x14ac:dyDescent="0.25">
      <c r="C15" s="143"/>
      <c r="K15" s="144"/>
    </row>
    <row r="16" spans="3:18" s="868" customFormat="1" ht="14.25" customHeight="1" x14ac:dyDescent="0.25">
      <c r="C16" s="143"/>
      <c r="E16" s="869" t="s">
        <v>1235</v>
      </c>
      <c r="F16" s="1155">
        <f>Welcome!D8</f>
        <v>0</v>
      </c>
      <c r="G16" s="1156"/>
      <c r="K16" s="144"/>
    </row>
    <row r="17" spans="1:12" s="868" customFormat="1" ht="26.45" customHeight="1" x14ac:dyDescent="0.25">
      <c r="C17" s="143"/>
      <c r="K17" s="144"/>
    </row>
    <row r="18" spans="1:12" ht="24.6" customHeight="1" x14ac:dyDescent="0.25">
      <c r="C18" s="143"/>
      <c r="E18" s="439" t="s">
        <v>1179</v>
      </c>
      <c r="K18" s="144"/>
    </row>
    <row r="19" spans="1:12" ht="15.75" thickBot="1" x14ac:dyDescent="0.3">
      <c r="C19" s="143"/>
      <c r="E19" s="441" t="s">
        <v>765</v>
      </c>
      <c r="F19" s="441" t="s">
        <v>766</v>
      </c>
      <c r="G19" s="441" t="s">
        <v>1180</v>
      </c>
      <c r="H19" s="441" t="s">
        <v>831</v>
      </c>
      <c r="I19" s="441" t="s">
        <v>1140</v>
      </c>
      <c r="J19" s="441" t="s">
        <v>209</v>
      </c>
      <c r="K19" s="144"/>
      <c r="L19" s="731"/>
    </row>
    <row r="20" spans="1:12" x14ac:dyDescent="0.25">
      <c r="A20">
        <v>1</v>
      </c>
      <c r="C20" s="143"/>
      <c r="D20" s="703" t="str">
        <f>IF($A20&lt;=$R$2,A20,"")</f>
        <v/>
      </c>
      <c r="E20" s="704">
        <f>'Customer Inputs'!G6</f>
        <v>0</v>
      </c>
      <c r="F20" s="797" t="str">
        <f>IFERROR(IFERROR(VLOOKUP(E20,'Customer Info'!A:B,2,0),VLOOKUP(""&amp;E20,'Customer Info'!A:B,2,0)),"")</f>
        <v/>
      </c>
      <c r="G20" s="798" t="str">
        <f>IFERROR(IFERROR(VLOOKUP(E20,'Customer Info'!A:C,3,0),VLOOKUP(""&amp;E20,'Customer Info'!A:C,3,0)),"")</f>
        <v/>
      </c>
      <c r="H20" s="798" t="str">
        <f>IFERROR(IFERROR(VLOOKUP(E20,'Customer Info'!A:D,4,0),VLOOKUP(""&amp;E20,'Customer Info'!A:D,4,0)),"")</f>
        <v/>
      </c>
      <c r="I20" s="799" t="str">
        <f>IFERROR(IFERROR(VLOOKUP(E20,'Customer Info'!A:E,5,0),VLOOKUP(""&amp;E20,'Customer Info'!A:E,5,0)),"")</f>
        <v/>
      </c>
      <c r="J20" s="799" t="str">
        <f>IFERROR(IFERROR(VLOOKUP(E20,'Customer Info'!A:F,6,0),VLOOKUP(""&amp;E20,'Customer Info'!A:F,6,0)),"")</f>
        <v/>
      </c>
      <c r="K20" s="144"/>
    </row>
    <row r="21" spans="1:12" x14ac:dyDescent="0.25">
      <c r="A21">
        <v>2</v>
      </c>
      <c r="C21" s="143"/>
      <c r="D21" s="703" t="str">
        <f t="shared" ref="D21:D29" si="0">IF($A21&lt;=$R$2,A21,"")</f>
        <v/>
      </c>
      <c r="E21" s="704">
        <f>'Customer Inputs'!G7</f>
        <v>0</v>
      </c>
      <c r="F21" s="797" t="str">
        <f>IFERROR(IFERROR(VLOOKUP(E21,'Customer Info'!A:B,2,0),VLOOKUP(""&amp;E21,'Customer Info'!A:B,2,0)),"")</f>
        <v/>
      </c>
      <c r="G21" s="798" t="str">
        <f>IFERROR(IFERROR(VLOOKUP(E21,'Customer Info'!A:C,3,0),VLOOKUP(""&amp;E21,'Customer Info'!A:C,3,0)),"")</f>
        <v/>
      </c>
      <c r="H21" s="798" t="str">
        <f>IFERROR(IFERROR(VLOOKUP(E21,'Customer Info'!A:D,4,0),VLOOKUP(""&amp;E21,'Customer Info'!A:D,4,0)),"")</f>
        <v/>
      </c>
      <c r="I21" s="799" t="str">
        <f>IFERROR(IFERROR(VLOOKUP(E21,'Customer Info'!A:E,5,0),VLOOKUP(""&amp;E21,'Customer Info'!A:E,5,0)),"")</f>
        <v/>
      </c>
      <c r="J21" s="799" t="str">
        <f>IFERROR(IFERROR(VLOOKUP(E21,'Customer Info'!A:F,6,0),VLOOKUP(""&amp;E21,'Customer Info'!A:F,6,0)),"")</f>
        <v/>
      </c>
      <c r="K21" s="144"/>
    </row>
    <row r="22" spans="1:12" x14ac:dyDescent="0.25">
      <c r="A22">
        <v>3</v>
      </c>
      <c r="C22" s="143"/>
      <c r="D22" s="703" t="str">
        <f t="shared" si="0"/>
        <v/>
      </c>
      <c r="E22" s="704">
        <f>'Customer Inputs'!G8</f>
        <v>0</v>
      </c>
      <c r="F22" s="797" t="str">
        <f>IFERROR(IFERROR(VLOOKUP(E22,'Customer Info'!A:B,2,0),VLOOKUP(""&amp;E22,'Customer Info'!A:B,2,0)),"")</f>
        <v/>
      </c>
      <c r="G22" s="798" t="str">
        <f>IFERROR(IFERROR(VLOOKUP(E22,'Customer Info'!A:C,3,0),VLOOKUP(""&amp;E22,'Customer Info'!A:C,3,0)),"")</f>
        <v/>
      </c>
      <c r="H22" s="798" t="str">
        <f>IFERROR(IFERROR(VLOOKUP(E22,'Customer Info'!A:D,4,0),VLOOKUP(""&amp;E22,'Customer Info'!A:D,4,0)),"")</f>
        <v/>
      </c>
      <c r="I22" s="799" t="str">
        <f>IFERROR(IFERROR(VLOOKUP(E22,'Customer Info'!A:E,5,0),VLOOKUP(""&amp;E22,'Customer Info'!A:E,5,0)),"")</f>
        <v/>
      </c>
      <c r="J22" s="799" t="str">
        <f>IFERROR(IFERROR(VLOOKUP(E22,'Customer Info'!A:F,6,0),VLOOKUP(""&amp;E22,'Customer Info'!A:F,6,0)),"")</f>
        <v/>
      </c>
      <c r="K22" s="144"/>
    </row>
    <row r="23" spans="1:12" x14ac:dyDescent="0.25">
      <c r="A23">
        <v>4</v>
      </c>
      <c r="C23" s="143"/>
      <c r="D23" s="703" t="str">
        <f t="shared" si="0"/>
        <v/>
      </c>
      <c r="E23" s="704">
        <f>'Customer Inputs'!G9</f>
        <v>0</v>
      </c>
      <c r="F23" s="797" t="str">
        <f>IFERROR(IFERROR(VLOOKUP(E23,'Customer Info'!A:B,2,0),VLOOKUP(""&amp;E23,'Customer Info'!A:B,2,0)),"")</f>
        <v/>
      </c>
      <c r="G23" s="798" t="str">
        <f>IFERROR(IFERROR(VLOOKUP(E23,'Customer Info'!A:C,3,0),VLOOKUP(""&amp;E23,'Customer Info'!A:C,3,0)),"")</f>
        <v/>
      </c>
      <c r="H23" s="798" t="str">
        <f>IFERROR(IFERROR(VLOOKUP(E23,'Customer Info'!A:D,4,0),VLOOKUP(""&amp;E23,'Customer Info'!A:D,4,0)),"")</f>
        <v/>
      </c>
      <c r="I23" s="799" t="str">
        <f>IFERROR(IFERROR(VLOOKUP(E23,'Customer Info'!A:E,5,0),VLOOKUP(""&amp;E23,'Customer Info'!A:E,5,0)),"")</f>
        <v/>
      </c>
      <c r="J23" s="799" t="str">
        <f>IFERROR(IFERROR(VLOOKUP(E23,'Customer Info'!A:F,6,0),VLOOKUP(""&amp;E23,'Customer Info'!A:F,6,0)),"")</f>
        <v/>
      </c>
      <c r="K23" s="144"/>
    </row>
    <row r="24" spans="1:12" x14ac:dyDescent="0.25">
      <c r="A24">
        <v>5</v>
      </c>
      <c r="C24" s="143"/>
      <c r="D24" s="703" t="str">
        <f t="shared" si="0"/>
        <v/>
      </c>
      <c r="E24" s="704">
        <f>'Customer Inputs'!G10</f>
        <v>0</v>
      </c>
      <c r="F24" s="797" t="str">
        <f>IFERROR(IFERROR(VLOOKUP(E24,'Customer Info'!A:B,2,0),VLOOKUP(""&amp;E24,'Customer Info'!A:B,2,0)),"")</f>
        <v/>
      </c>
      <c r="G24" s="798" t="str">
        <f>IFERROR(IFERROR(VLOOKUP(E24,'Customer Info'!A:C,3,0),VLOOKUP(""&amp;E24,'Customer Info'!A:C,3,0)),"")</f>
        <v/>
      </c>
      <c r="H24" s="798" t="str">
        <f>IFERROR(IFERROR(VLOOKUP(E24,'Customer Info'!A:D,4,0),VLOOKUP(""&amp;E24,'Customer Info'!A:D,4,0)),"")</f>
        <v/>
      </c>
      <c r="I24" s="799" t="str">
        <f>IFERROR(IFERROR(VLOOKUP(E24,'Customer Info'!A:E,5,0),VLOOKUP(""&amp;E24,'Customer Info'!A:E,5,0)),"")</f>
        <v/>
      </c>
      <c r="J24" s="799" t="str">
        <f>IFERROR(IFERROR(VLOOKUP(E24,'Customer Info'!A:F,6,0),VLOOKUP(""&amp;E24,'Customer Info'!A:F,6,0)),"")</f>
        <v/>
      </c>
      <c r="K24" s="144"/>
    </row>
    <row r="25" spans="1:12" x14ac:dyDescent="0.25">
      <c r="A25">
        <v>6</v>
      </c>
      <c r="C25" s="143"/>
      <c r="D25" s="703" t="str">
        <f t="shared" si="0"/>
        <v/>
      </c>
      <c r="E25" s="704">
        <f>'Customer Inputs'!G11</f>
        <v>0</v>
      </c>
      <c r="F25" s="797" t="str">
        <f>IFERROR(IFERROR(VLOOKUP(E25,'Customer Info'!A:B,2,0),VLOOKUP(""&amp;E25,'Customer Info'!A:B,2,0)),"")</f>
        <v/>
      </c>
      <c r="G25" s="798" t="str">
        <f>IFERROR(IFERROR(VLOOKUP(E25,'Customer Info'!A:C,3,0),VLOOKUP(""&amp;E25,'Customer Info'!A:C,3,0)),"")</f>
        <v/>
      </c>
      <c r="H25" s="798" t="str">
        <f>IFERROR(IFERROR(VLOOKUP(E25,'Customer Info'!A:D,4,0),VLOOKUP(""&amp;E25,'Customer Info'!A:D,4,0)),"")</f>
        <v/>
      </c>
      <c r="I25" s="799" t="str">
        <f>IFERROR(IFERROR(VLOOKUP(E25,'Customer Info'!A:E,5,0),VLOOKUP(""&amp;E25,'Customer Info'!A:E,5,0)),"")</f>
        <v/>
      </c>
      <c r="J25" s="799" t="str">
        <f>IFERROR(IFERROR(VLOOKUP(E25,'Customer Info'!A:F,6,0),VLOOKUP(""&amp;E25,'Customer Info'!A:F,6,0)),"")</f>
        <v/>
      </c>
      <c r="K25" s="144"/>
    </row>
    <row r="26" spans="1:12" x14ac:dyDescent="0.25">
      <c r="A26">
        <v>7</v>
      </c>
      <c r="C26" s="143"/>
      <c r="D26" s="703" t="str">
        <f t="shared" si="0"/>
        <v/>
      </c>
      <c r="E26" s="704">
        <f>'Customer Inputs'!G12</f>
        <v>0</v>
      </c>
      <c r="F26" s="797" t="str">
        <f>IFERROR(IFERROR(VLOOKUP(E26,'Customer Info'!A:B,2,0),VLOOKUP(""&amp;E26,'Customer Info'!A:B,2,0)),"")</f>
        <v/>
      </c>
      <c r="G26" s="798" t="str">
        <f>IFERROR(IFERROR(VLOOKUP(E26,'Customer Info'!A:C,3,0),VLOOKUP(""&amp;E26,'Customer Info'!A:C,3,0)),"")</f>
        <v/>
      </c>
      <c r="H26" s="798" t="str">
        <f>IFERROR(IFERROR(VLOOKUP(E26,'Customer Info'!A:D,4,0),VLOOKUP(""&amp;E26,'Customer Info'!A:D,4,0)),"")</f>
        <v/>
      </c>
      <c r="I26" s="799" t="str">
        <f>IFERROR(IFERROR(VLOOKUP(E26,'Customer Info'!A:E,5,0),VLOOKUP(""&amp;E26,'Customer Info'!A:E,5,0)),"")</f>
        <v/>
      </c>
      <c r="J26" s="799" t="str">
        <f>IFERROR(IFERROR(VLOOKUP(E26,'Customer Info'!A:F,6,0),VLOOKUP(""&amp;E26,'Customer Info'!A:F,6,0)),"")</f>
        <v/>
      </c>
      <c r="K26" s="144"/>
    </row>
    <row r="27" spans="1:12" x14ac:dyDescent="0.25">
      <c r="A27">
        <v>8</v>
      </c>
      <c r="C27" s="143"/>
      <c r="D27" s="703" t="str">
        <f t="shared" si="0"/>
        <v/>
      </c>
      <c r="E27" s="704">
        <f>'Customer Inputs'!G13</f>
        <v>0</v>
      </c>
      <c r="F27" s="797" t="str">
        <f>IFERROR(IFERROR(VLOOKUP(E27,'Customer Info'!A:B,2,0),VLOOKUP(""&amp;E27,'Customer Info'!A:B,2,0)),"")</f>
        <v/>
      </c>
      <c r="G27" s="798" t="str">
        <f>IFERROR(IFERROR(VLOOKUP(E27,'Customer Info'!A:C,3,0),VLOOKUP(""&amp;E27,'Customer Info'!A:C,3,0)),"")</f>
        <v/>
      </c>
      <c r="H27" s="798" t="str">
        <f>IFERROR(IFERROR(VLOOKUP(E27,'Customer Info'!A:D,4,0),VLOOKUP(""&amp;E27,'Customer Info'!A:D,4,0)),"")</f>
        <v/>
      </c>
      <c r="I27" s="799" t="str">
        <f>IFERROR(IFERROR(VLOOKUP(E27,'Customer Info'!A:E,5,0),VLOOKUP(""&amp;E27,'Customer Info'!A:E,5,0)),"")</f>
        <v/>
      </c>
      <c r="J27" s="799" t="str">
        <f>IFERROR(IFERROR(VLOOKUP(E27,'Customer Info'!A:F,6,0),VLOOKUP(""&amp;E27,'Customer Info'!A:F,6,0)),"")</f>
        <v/>
      </c>
      <c r="K27" s="144"/>
    </row>
    <row r="28" spans="1:12" x14ac:dyDescent="0.25">
      <c r="A28">
        <v>9</v>
      </c>
      <c r="C28" s="143"/>
      <c r="D28" s="703" t="str">
        <f t="shared" si="0"/>
        <v/>
      </c>
      <c r="E28" s="704">
        <f>'Customer Inputs'!G14</f>
        <v>0</v>
      </c>
      <c r="F28" s="797" t="str">
        <f>IFERROR(IFERROR(VLOOKUP(E28,'Customer Info'!A:B,2,0),VLOOKUP(""&amp;E28,'Customer Info'!A:B,2,0)),"")</f>
        <v/>
      </c>
      <c r="G28" s="798" t="str">
        <f>IFERROR(IFERROR(VLOOKUP(E28,'Customer Info'!A:C,3,0),VLOOKUP(""&amp;E28,'Customer Info'!A:C,3,0)),"")</f>
        <v/>
      </c>
      <c r="H28" s="798" t="str">
        <f>IFERROR(IFERROR(VLOOKUP(E28,'Customer Info'!A:D,4,0),VLOOKUP(""&amp;E28,'Customer Info'!A:D,4,0)),"")</f>
        <v/>
      </c>
      <c r="I28" s="799" t="str">
        <f>IFERROR(IFERROR(VLOOKUP(E28,'Customer Info'!A:E,5,0),VLOOKUP(""&amp;E28,'Customer Info'!A:E,5,0)),"")</f>
        <v/>
      </c>
      <c r="J28" s="799" t="str">
        <f>IFERROR(IFERROR(VLOOKUP(E28,'Customer Info'!A:F,6,0),VLOOKUP(""&amp;E28,'Customer Info'!A:F,6,0)),"")</f>
        <v/>
      </c>
      <c r="K28" s="144"/>
    </row>
    <row r="29" spans="1:12" x14ac:dyDescent="0.25">
      <c r="A29">
        <v>10</v>
      </c>
      <c r="C29" s="143"/>
      <c r="D29" s="703" t="str">
        <f t="shared" si="0"/>
        <v/>
      </c>
      <c r="E29" s="704">
        <f>'Customer Inputs'!G15</f>
        <v>0</v>
      </c>
      <c r="F29" s="797" t="str">
        <f>IFERROR(IFERROR(VLOOKUP(E29,'Customer Info'!A:B,2,0),VLOOKUP(""&amp;E29,'Customer Info'!A:B,2,0)),"")</f>
        <v/>
      </c>
      <c r="G29" s="798" t="str">
        <f>IFERROR(IFERROR(VLOOKUP(E29,'Customer Info'!A:C,3,0),VLOOKUP(""&amp;E29,'Customer Info'!A:C,3,0)),"")</f>
        <v/>
      </c>
      <c r="H29" s="798" t="str">
        <f>IFERROR(IFERROR(VLOOKUP(E29,'Customer Info'!A:D,4,0),VLOOKUP(""&amp;E29,'Customer Info'!A:D,4,0)),"")</f>
        <v/>
      </c>
      <c r="I29" s="799" t="str">
        <f>IFERROR(IFERROR(VLOOKUP(E29,'Customer Info'!A:E,5,0),VLOOKUP(""&amp;E29,'Customer Info'!A:E,5,0)),"")</f>
        <v/>
      </c>
      <c r="J29" s="799" t="str">
        <f>IFERROR(IFERROR(VLOOKUP(E29,'Customer Info'!A:F,6,0),VLOOKUP(""&amp;E29,'Customer Info'!A:F,6,0)),"")</f>
        <v/>
      </c>
      <c r="K29" s="144"/>
    </row>
    <row r="30" spans="1:12" ht="15.75" thickBot="1" x14ac:dyDescent="0.3">
      <c r="C30" s="291"/>
      <c r="D30" s="732"/>
      <c r="E30" s="733"/>
      <c r="F30" s="734"/>
      <c r="G30" s="735"/>
      <c r="H30" s="735"/>
      <c r="I30" s="735"/>
      <c r="J30" s="735"/>
      <c r="K30" s="684"/>
    </row>
    <row r="32" spans="1:12" ht="19.899999999999999" customHeight="1" x14ac:dyDescent="0.25"/>
  </sheetData>
  <sheetProtection algorithmName="SHA-512" hashValue="FLEDky/umYRY2Imw0XtS3Q6CAWyce3kyCACHKziL7v8phfDVwo1GlAMEwJb3QuT3z+77Hszt3EgkIV9xQlQ2Kw==" saltValue="Q+KS1gEvEMswIvYeS+BOIg==" spinCount="100000" sheet="1" selectLockedCells="1"/>
  <mergeCells count="11">
    <mergeCell ref="F16:G16"/>
    <mergeCell ref="C2:K2"/>
    <mergeCell ref="F4:G4"/>
    <mergeCell ref="F6:G6"/>
    <mergeCell ref="F14:G14"/>
    <mergeCell ref="F13:G13"/>
    <mergeCell ref="F12:G12"/>
    <mergeCell ref="F11:G11"/>
    <mergeCell ref="F10:G10"/>
    <mergeCell ref="F9:G9"/>
    <mergeCell ref="F8:G8"/>
  </mergeCells>
  <conditionalFormatting sqref="D20:J29">
    <cfRule type="expression" dxfId="92" priority="8">
      <formula>$A20&gt;$R$2</formula>
    </cfRule>
  </conditionalFormatting>
  <conditionalFormatting sqref="E20:J29">
    <cfRule type="expression" dxfId="91" priority="4">
      <formula>$D20=$R$2</formula>
    </cfRule>
  </conditionalFormatting>
  <conditionalFormatting sqref="E18:J19">
    <cfRule type="expression" dxfId="90" priority="5">
      <formula>$R$2=0</formula>
    </cfRule>
  </conditionalFormatting>
  <conditionalFormatting sqref="F20:J29">
    <cfRule type="containsBlanks" dxfId="89" priority="9" stopIfTrue="1">
      <formula>LEN(TRIM(F20))=0</formula>
    </cfRule>
    <cfRule type="notContainsBlanks" dxfId="88" priority="10">
      <formula>LEN(TRIM(F20))&gt;0</formula>
    </cfRule>
  </conditionalFormatting>
  <conditionalFormatting sqref="F14:G14">
    <cfRule type="expression" dxfId="87" priority="1">
      <formula>$F$14&lt;NOW()</formula>
    </cfRule>
    <cfRule type="expression" dxfId="86" priority="2">
      <formula>$L$14&lt;&gt;7</formula>
    </cfRule>
  </conditionalFormatting>
  <dataValidations count="1">
    <dataValidation type="date" operator="greaterThan" allowBlank="1" showInputMessage="1" showErrorMessage="1" errorTitle="Date Type Error!" error="Invalid Date Data Entry!_x000a_Please format as ..._x000a_M/D/YYYY" sqref="F14:G14" xr:uid="{553FE2E9-44E0-4610-9903-D7AD8B443BFD}">
      <formula1>33922</formula1>
    </dataValidation>
  </dataValidations>
  <printOptions horizontalCentered="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F20:J29" unlockedFormula="1"/>
  </ignoredErrors>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workbookViewId="0">
      <selection activeCell="C15" sqref="C15"/>
    </sheetView>
  </sheetViews>
  <sheetFormatPr defaultColWidth="8.85546875" defaultRowHeight="12.75" x14ac:dyDescent="0.2"/>
  <cols>
    <col min="1" max="1" width="18.140625" style="146" bestFit="1" customWidth="1"/>
    <col min="2" max="2" width="35.85546875" style="146" bestFit="1" customWidth="1"/>
    <col min="3" max="3" width="25.7109375" style="146" bestFit="1" customWidth="1"/>
    <col min="4" max="4" width="9.28515625" style="146" bestFit="1" customWidth="1"/>
    <col min="5" max="5" width="9.5703125" style="146" bestFit="1" customWidth="1"/>
    <col min="6" max="6" width="15.28515625" style="146" bestFit="1" customWidth="1"/>
    <col min="7" max="8" width="8.85546875" style="146"/>
    <col min="9" max="9" width="17.28515625" style="146" bestFit="1" customWidth="1"/>
    <col min="10" max="10" width="13.7109375" style="146" bestFit="1" customWidth="1"/>
    <col min="11" max="11" width="12.5703125" style="146" bestFit="1" customWidth="1"/>
    <col min="12" max="12" width="17.7109375" style="146" bestFit="1" customWidth="1"/>
    <col min="13" max="13" width="17.7109375" style="146" customWidth="1"/>
    <col min="14" max="16" width="14.7109375" style="146" bestFit="1" customWidth="1"/>
    <col min="17" max="17" width="12.42578125" style="146" bestFit="1" customWidth="1"/>
    <col min="18" max="18" width="10" style="146" bestFit="1" customWidth="1"/>
    <col min="19" max="19" width="14" style="146" customWidth="1"/>
    <col min="20" max="22" width="10.85546875" style="146" bestFit="1" customWidth="1"/>
    <col min="23" max="23" width="13.85546875" style="146" customWidth="1"/>
    <col min="24" max="24" width="13.140625" style="146" customWidth="1"/>
    <col min="25" max="25" width="15.7109375" style="146" customWidth="1"/>
    <col min="26" max="27" width="10.85546875" style="146" customWidth="1"/>
    <col min="28" max="28" width="12" style="146" bestFit="1" customWidth="1"/>
    <col min="29" max="29" width="11.42578125" style="146" customWidth="1"/>
    <col min="30" max="32" width="10.140625" style="146" customWidth="1"/>
    <col min="33" max="33" width="9.5703125" style="146" bestFit="1" customWidth="1"/>
    <col min="34" max="34" width="49.7109375" style="146" bestFit="1" customWidth="1"/>
    <col min="35" max="35" width="27.85546875" style="146" bestFit="1" customWidth="1"/>
    <col min="36" max="36" width="46.5703125" style="146" bestFit="1" customWidth="1"/>
    <col min="37" max="37" width="25" style="146" bestFit="1" customWidth="1"/>
    <col min="38" max="16384" width="8.85546875" style="146"/>
  </cols>
  <sheetData>
    <row r="1" spans="1:37" x14ac:dyDescent="0.2">
      <c r="AH1" s="146" t="s">
        <v>14</v>
      </c>
      <c r="AI1" s="146" t="s">
        <v>1</v>
      </c>
      <c r="AJ1" s="146" t="s">
        <v>14</v>
      </c>
      <c r="AK1" s="805" t="s">
        <v>113</v>
      </c>
    </row>
    <row r="2" spans="1:37" x14ac:dyDescent="0.2">
      <c r="I2" s="634"/>
      <c r="J2" s="1166"/>
      <c r="K2" s="1166"/>
      <c r="O2" s="634"/>
      <c r="P2" s="634"/>
      <c r="Q2" s="634"/>
      <c r="R2" s="634"/>
      <c r="S2" s="634"/>
      <c r="T2" s="634"/>
      <c r="U2" s="634"/>
      <c r="V2" s="634"/>
      <c r="W2" s="634"/>
      <c r="X2" s="634"/>
      <c r="Y2" s="634"/>
      <c r="Z2" s="634"/>
      <c r="AA2" s="634"/>
      <c r="AH2" s="146" t="s">
        <v>62</v>
      </c>
      <c r="AI2" s="146" t="s">
        <v>1</v>
      </c>
      <c r="AJ2" s="146" t="s">
        <v>62</v>
      </c>
      <c r="AK2" s="805" t="s">
        <v>113</v>
      </c>
    </row>
    <row r="3" spans="1:37" x14ac:dyDescent="0.2">
      <c r="I3" s="635" t="s">
        <v>962</v>
      </c>
      <c r="J3" s="1135" t="e">
        <f>VLOOKUP($J$4,'Market Geography'!$D:$G,4,FALSE)</f>
        <v>#N/A</v>
      </c>
      <c r="K3" s="1135"/>
      <c r="O3" s="634"/>
      <c r="P3" s="634"/>
      <c r="Q3" s="634"/>
      <c r="R3" s="634"/>
      <c r="S3" s="634"/>
      <c r="T3" s="634"/>
      <c r="U3" s="634"/>
      <c r="V3" s="634"/>
      <c r="W3" s="634"/>
      <c r="X3" s="634"/>
      <c r="Y3" s="634"/>
      <c r="Z3" s="634"/>
      <c r="AA3" s="634"/>
      <c r="AH3" s="146" t="s">
        <v>74</v>
      </c>
      <c r="AI3" s="146" t="s">
        <v>1</v>
      </c>
      <c r="AJ3" s="146" t="s">
        <v>74</v>
      </c>
      <c r="AK3" s="805" t="s">
        <v>113</v>
      </c>
    </row>
    <row r="4" spans="1:37" x14ac:dyDescent="0.2">
      <c r="I4" s="635" t="s">
        <v>963</v>
      </c>
      <c r="J4" s="1135">
        <f>Welcome!$D$4</f>
        <v>0</v>
      </c>
      <c r="K4" s="1135"/>
      <c r="L4" s="636"/>
      <c r="M4" s="636"/>
      <c r="O4" s="634"/>
      <c r="P4" s="634"/>
      <c r="Q4" s="634"/>
      <c r="R4" s="634"/>
      <c r="S4" s="634"/>
      <c r="T4" s="634"/>
      <c r="U4" s="634"/>
      <c r="V4" s="634"/>
      <c r="W4" s="634"/>
      <c r="X4" s="634"/>
      <c r="Y4" s="634"/>
      <c r="Z4" s="634"/>
      <c r="AA4" s="634"/>
      <c r="AC4" s="27"/>
      <c r="AH4" s="146" t="s">
        <v>34</v>
      </c>
      <c r="AI4" s="146" t="s">
        <v>1</v>
      </c>
      <c r="AJ4" s="146" t="s">
        <v>34</v>
      </c>
      <c r="AK4" s="805" t="s">
        <v>113</v>
      </c>
    </row>
    <row r="5" spans="1:37" x14ac:dyDescent="0.2">
      <c r="I5" s="635" t="s">
        <v>964</v>
      </c>
      <c r="J5" s="1167" t="e">
        <f>VLOOKUP($J$4,'Market Geography'!$D:$F,3,FALSE)</f>
        <v>#N/A</v>
      </c>
      <c r="K5" s="1167"/>
      <c r="O5" s="634"/>
      <c r="P5" s="634"/>
      <c r="Q5" s="634"/>
      <c r="R5" s="634"/>
      <c r="S5" s="634"/>
      <c r="T5" s="634"/>
      <c r="U5" s="634"/>
      <c r="V5" s="634"/>
      <c r="W5" s="634"/>
      <c r="X5" s="634"/>
      <c r="Y5" s="634"/>
      <c r="Z5" s="634"/>
      <c r="AA5" s="634"/>
      <c r="AH5" s="146" t="s">
        <v>0</v>
      </c>
      <c r="AI5" s="146" t="s">
        <v>1</v>
      </c>
      <c r="AJ5" s="146" t="s">
        <v>0</v>
      </c>
      <c r="AK5" s="805" t="s">
        <v>113</v>
      </c>
    </row>
    <row r="6" spans="1:37" x14ac:dyDescent="0.2">
      <c r="I6" s="637" t="s">
        <v>965</v>
      </c>
      <c r="J6" s="1135" t="s">
        <v>135</v>
      </c>
      <c r="K6" s="1135" t="s">
        <v>211</v>
      </c>
      <c r="O6" s="634"/>
      <c r="P6" s="634"/>
      <c r="Q6" s="634"/>
      <c r="R6" s="634"/>
      <c r="S6" s="634"/>
      <c r="T6" s="634"/>
      <c r="U6" s="634"/>
      <c r="V6" s="634"/>
      <c r="W6" s="634"/>
      <c r="X6" s="634"/>
      <c r="Y6" s="634"/>
      <c r="Z6" s="634"/>
      <c r="AA6" s="634"/>
      <c r="AH6" s="146" t="s">
        <v>69</v>
      </c>
      <c r="AI6" s="146" t="s">
        <v>1</v>
      </c>
      <c r="AJ6" s="146" t="s">
        <v>69</v>
      </c>
      <c r="AK6" s="805" t="s">
        <v>113</v>
      </c>
    </row>
    <row r="7" spans="1:37" x14ac:dyDescent="0.2">
      <c r="I7" s="637" t="s">
        <v>966</v>
      </c>
      <c r="J7" s="1135" t="str">
        <f>IF(Welcome!$D$8="MDA","C","N")</f>
        <v>N</v>
      </c>
      <c r="K7" s="1135" t="e">
        <f>IF(#REF!="MDA","C","N")</f>
        <v>#REF!</v>
      </c>
      <c r="O7" s="634"/>
      <c r="P7" s="634"/>
      <c r="Q7" s="634"/>
      <c r="R7" s="634"/>
      <c r="S7" s="634"/>
      <c r="T7" s="634"/>
      <c r="U7" s="634"/>
      <c r="V7" s="634"/>
      <c r="W7" s="634"/>
      <c r="X7" s="634"/>
      <c r="Y7" s="634"/>
      <c r="Z7" s="634"/>
      <c r="AA7" s="634"/>
      <c r="AB7" s="27"/>
      <c r="AC7" s="27"/>
      <c r="AH7" s="146" t="s">
        <v>4</v>
      </c>
      <c r="AI7" s="146" t="s">
        <v>1</v>
      </c>
      <c r="AJ7" s="146" t="s">
        <v>4</v>
      </c>
      <c r="AK7" s="805" t="s">
        <v>113</v>
      </c>
    </row>
    <row r="8" spans="1:37" x14ac:dyDescent="0.2">
      <c r="AH8" s="146" t="s">
        <v>35</v>
      </c>
      <c r="AI8" s="146" t="s">
        <v>1</v>
      </c>
      <c r="AJ8" s="146" t="s">
        <v>35</v>
      </c>
      <c r="AK8" s="805" t="s">
        <v>113</v>
      </c>
    </row>
    <row r="9" spans="1:37" x14ac:dyDescent="0.2">
      <c r="I9" s="638"/>
      <c r="AH9" s="146" t="s">
        <v>6</v>
      </c>
      <c r="AI9" s="146" t="s">
        <v>1</v>
      </c>
      <c r="AJ9" s="146" t="s">
        <v>6</v>
      </c>
      <c r="AK9" s="805" t="s">
        <v>113</v>
      </c>
    </row>
    <row r="10" spans="1:37" x14ac:dyDescent="0.2">
      <c r="I10" s="638"/>
      <c r="J10" s="638"/>
      <c r="N10" s="624"/>
      <c r="O10" s="624"/>
      <c r="P10" s="624"/>
      <c r="Q10" s="624"/>
      <c r="R10" s="624"/>
      <c r="S10" s="624"/>
      <c r="T10" s="624"/>
      <c r="U10" s="624"/>
      <c r="V10" s="624"/>
      <c r="W10" s="624"/>
      <c r="X10" s="624"/>
      <c r="Y10" s="624"/>
      <c r="Z10" s="624"/>
      <c r="AA10" s="624"/>
      <c r="AB10" s="624"/>
      <c r="AC10" s="639"/>
      <c r="AH10" s="146" t="s">
        <v>15</v>
      </c>
      <c r="AI10" s="146" t="s">
        <v>1</v>
      </c>
      <c r="AJ10" s="146" t="s">
        <v>15</v>
      </c>
      <c r="AK10" s="805" t="s">
        <v>113</v>
      </c>
    </row>
    <row r="11" spans="1:37" x14ac:dyDescent="0.2">
      <c r="I11" s="622"/>
      <c r="N11" s="624"/>
      <c r="O11" s="624"/>
      <c r="P11" s="624"/>
      <c r="Q11" s="624"/>
      <c r="R11" s="624"/>
      <c r="S11" s="624"/>
      <c r="T11" s="624"/>
      <c r="U11" s="624"/>
      <c r="V11" s="624"/>
      <c r="W11" s="624"/>
      <c r="X11" s="624"/>
      <c r="Y11" s="624"/>
      <c r="Z11" s="624"/>
      <c r="AA11" s="624"/>
      <c r="AB11" s="624"/>
      <c r="AC11" s="639"/>
      <c r="AH11" s="146" t="s">
        <v>45</v>
      </c>
      <c r="AI11" s="146" t="s">
        <v>1</v>
      </c>
      <c r="AJ11" s="146" t="s">
        <v>45</v>
      </c>
      <c r="AK11" s="805" t="s">
        <v>113</v>
      </c>
    </row>
    <row r="12" spans="1:37" x14ac:dyDescent="0.2">
      <c r="I12" s="622"/>
      <c r="N12" s="624"/>
      <c r="O12" s="624"/>
      <c r="P12" s="624"/>
      <c r="Q12" s="624"/>
      <c r="R12" s="624"/>
      <c r="S12" s="624"/>
      <c r="T12" s="624"/>
      <c r="U12" s="624"/>
      <c r="V12" s="624"/>
      <c r="W12" s="624"/>
      <c r="X12" s="624"/>
      <c r="Y12" s="624"/>
      <c r="Z12" s="624"/>
      <c r="AA12" s="624"/>
      <c r="AB12" s="624"/>
      <c r="AH12" s="146" t="s">
        <v>48</v>
      </c>
      <c r="AI12" s="146" t="s">
        <v>1</v>
      </c>
      <c r="AJ12" s="146" t="s">
        <v>48</v>
      </c>
      <c r="AK12" s="805" t="s">
        <v>113</v>
      </c>
    </row>
    <row r="13" spans="1:37" x14ac:dyDescent="0.2">
      <c r="J13" s="623"/>
      <c r="N13" s="624"/>
      <c r="AD13" s="1163" t="s">
        <v>1022</v>
      </c>
      <c r="AE13" s="1164"/>
      <c r="AF13" s="1165"/>
      <c r="AH13" s="146" t="s">
        <v>60</v>
      </c>
      <c r="AI13" s="146" t="s">
        <v>1</v>
      </c>
      <c r="AJ13" s="146" t="s">
        <v>60</v>
      </c>
      <c r="AK13" s="805" t="s">
        <v>113</v>
      </c>
    </row>
    <row r="14" spans="1:37" ht="38.25" x14ac:dyDescent="0.2">
      <c r="A14" s="146" t="s">
        <v>1087</v>
      </c>
      <c r="B14" s="629" t="s">
        <v>938</v>
      </c>
      <c r="C14" s="629" t="s">
        <v>961</v>
      </c>
      <c r="D14" s="630" t="s">
        <v>1013</v>
      </c>
      <c r="E14" s="630" t="s">
        <v>1021</v>
      </c>
      <c r="F14" s="632" t="s">
        <v>1028</v>
      </c>
      <c r="G14" s="631" t="s">
        <v>1023</v>
      </c>
      <c r="H14" s="631" t="s">
        <v>1024</v>
      </c>
      <c r="I14" s="631" t="s">
        <v>209</v>
      </c>
      <c r="J14" s="631" t="s">
        <v>408</v>
      </c>
      <c r="K14" s="631" t="s">
        <v>210</v>
      </c>
      <c r="L14" s="631" t="s">
        <v>1025</v>
      </c>
      <c r="M14" s="631" t="s">
        <v>1086</v>
      </c>
      <c r="N14" s="633" t="s">
        <v>1031</v>
      </c>
      <c r="O14" s="632" t="s">
        <v>1032</v>
      </c>
      <c r="P14" s="632" t="s">
        <v>1033</v>
      </c>
      <c r="Q14" s="630" t="s">
        <v>1026</v>
      </c>
      <c r="R14" s="630" t="s">
        <v>1027</v>
      </c>
      <c r="S14" s="630" t="s">
        <v>1036</v>
      </c>
      <c r="T14" s="630" t="s">
        <v>1014</v>
      </c>
      <c r="U14" s="630" t="s">
        <v>1015</v>
      </c>
      <c r="V14" s="630" t="s">
        <v>1016</v>
      </c>
      <c r="W14" s="641" t="s">
        <v>1034</v>
      </c>
      <c r="X14" s="641" t="s">
        <v>1035</v>
      </c>
      <c r="Y14" s="641" t="s">
        <v>1037</v>
      </c>
      <c r="Z14" s="631" t="s">
        <v>1029</v>
      </c>
      <c r="AA14" s="631" t="s">
        <v>1030</v>
      </c>
      <c r="AB14" s="631"/>
      <c r="AC14" s="643" t="s">
        <v>863</v>
      </c>
      <c r="AD14" s="644" t="s">
        <v>864</v>
      </c>
      <c r="AE14" s="644" t="s">
        <v>865</v>
      </c>
      <c r="AF14" s="644" t="s">
        <v>866</v>
      </c>
      <c r="AG14" s="644" t="s">
        <v>1061</v>
      </c>
      <c r="AH14" s="146" t="s">
        <v>20</v>
      </c>
      <c r="AI14" s="146" t="s">
        <v>1</v>
      </c>
      <c r="AJ14" s="146" t="s">
        <v>20</v>
      </c>
      <c r="AK14" s="805" t="s">
        <v>113</v>
      </c>
    </row>
    <row r="15" spans="1:37" x14ac:dyDescent="0.2">
      <c r="A15" s="146" t="str">
        <f>IF('Customer Inputs'!$P6="","",IF('Variable Costs (Back)'!$M15="Zip Code Not Serviced","Zip Code Not Serviced",""))</f>
        <v/>
      </c>
      <c r="B15" s="146" t="str">
        <f>'Customer Inputs'!T6</f>
        <v/>
      </c>
      <c r="C15" s="146" t="str">
        <f>IF(Welcome!$D$6="HOSPITALITY",IFERROR(VLOOKUP(B15,$AJ:$AK,2,FALSE),""),IFERROR(VLOOKUP(B15,$AH:$AI,2,FALSE),""))</f>
        <v/>
      </c>
      <c r="D15" s="622">
        <f>ROUND('Multi-Customer'!$AU$49,0)</f>
        <v>0</v>
      </c>
      <c r="E15" s="622">
        <f>ROUND('Multi-Customer'!$AU$50,0)</f>
        <v>0</v>
      </c>
      <c r="F15" s="622">
        <f>ROUND('Multi-Customer'!$AV$33,0)</f>
        <v>0</v>
      </c>
      <c r="G15" s="622" t="str">
        <f>LEFT($I15,3)</f>
        <v/>
      </c>
      <c r="H15" s="622" t="str">
        <f>LEFT($I15,4)</f>
        <v/>
      </c>
      <c r="I15" s="622" t="str">
        <f>IF('Customer Inputs'!U6="","",'Customer Inputs'!U6)</f>
        <v/>
      </c>
      <c r="J15" s="640" t="str">
        <f>IF('Customer Inputs'!$F6="","",'Customer Inputs'!$M6)</f>
        <v/>
      </c>
      <c r="K15" s="146" t="str">
        <f>'Customer Inputs'!S6</f>
        <v/>
      </c>
      <c r="L15" s="623">
        <f>IFERROR(IFERROR(IFERROR(VLOOKUP($J$5&amp;$I15,'5zip'!$A:$F,6,FALSE),VLOOKUP($J$5&amp;$H15,'4zip'!$A:$F,6,FALSE)),VLOOKUP($J$5&amp;$G15,'3zip'!$A:$F,6,FALSE)),0)</f>
        <v>0</v>
      </c>
      <c r="M15" s="623" t="str">
        <f>IFERROR(IFERROR(IFERROR(VLOOKUP($J$5&amp;$I15,'5zip'!$A:$F,6,FALSE),VLOOKUP($J$5&amp;$H15,'4zip'!$A:$F,6,FALSE)),VLOOKUP($J$5&amp;$G15,'3zip'!$A:$F,6,FALSE)),"Zip Code Not Serviced")</f>
        <v>Zip Code Not Serviced</v>
      </c>
      <c r="N15" s="624">
        <f>IFERROR(52*K15*L15,0)</f>
        <v>0</v>
      </c>
      <c r="O15" s="625">
        <f>IFERROR((VLOOKUP($J$4&amp;$C15&amp;$J$6&amp;$J$7,'Variable Selling'!$B:$O,11,FALSE))*F15,0)</f>
        <v>0</v>
      </c>
      <c r="P15" s="625">
        <f>IFERROR(VLOOKUP($J$4,'Variable Div Avgs'!$D:$I,6,FALSE)*'Variable Costs (Back)'!$F15,0)</f>
        <v>0</v>
      </c>
      <c r="Q15" s="625">
        <f t="shared" ref="Q15:Q24" si="0">IFERROR(T15/E15,0)</f>
        <v>0</v>
      </c>
      <c r="R15" s="625">
        <f t="shared" ref="R15:R24" si="1">IFERROR(U15/D15,0)</f>
        <v>0</v>
      </c>
      <c r="S15" s="625">
        <f>IFERROR(V15/D15,0)</f>
        <v>0</v>
      </c>
      <c r="T15" s="625">
        <f>IFERROR(VLOOKUP($AC15,'Existing Customer Variable Exp'!$B:$E,2,FALSE),0)</f>
        <v>0</v>
      </c>
      <c r="U15" s="625">
        <f>IFERROR(VLOOKUP($AC15,'Existing Customer Variable Exp'!$B:$E,3,FALSE),0)</f>
        <v>0</v>
      </c>
      <c r="V15" s="625">
        <f>IFERROR(VLOOKUP($AC15,'Existing Customer Variable Exp'!$B:$E,4,FALSE),0)</f>
        <v>0</v>
      </c>
      <c r="W15" s="624">
        <f>IFERROR(Q15*K15*52,0)</f>
        <v>0</v>
      </c>
      <c r="X15" s="625">
        <f>R15*F15</f>
        <v>0</v>
      </c>
      <c r="Y15" s="625">
        <f>S15*F15</f>
        <v>0</v>
      </c>
      <c r="Z15" s="625" t="str">
        <f t="shared" ref="Z15:Z24" si="2">IF(D15=F15,"BASE","MODELED")</f>
        <v>BASE</v>
      </c>
      <c r="AA15" s="625" t="str">
        <f>IF(SUMIF('Existing Customers'!$A:$A,'Variable Costs (Back)'!$AC15,'Existing Customers'!$Q:$Q)&gt;0,"Existing","New")</f>
        <v>New</v>
      </c>
      <c r="AB15" s="642" t="s">
        <v>843</v>
      </c>
      <c r="AC15" s="626" t="str">
        <f>IF('Customer Inputs'!$F6="","",'Customer Inputs'!$G6)</f>
        <v/>
      </c>
      <c r="AD15" s="645">
        <f>IF($AA15="Existing",IF($Z15="BASE",$T15,$W15),$N15)</f>
        <v>0</v>
      </c>
      <c r="AE15" s="645">
        <f>IF($AA15="Existing",IF($Z15="BASE",$U15,$X15),$O15)</f>
        <v>0</v>
      </c>
      <c r="AF15" s="645">
        <f>IF($AA15="Existing",IF($Z15="BASE",$V15,$Y15),$P15)</f>
        <v>0</v>
      </c>
      <c r="AG15" s="749">
        <f>SUM(AD15:AF15)</f>
        <v>0</v>
      </c>
      <c r="AH15" s="146" t="s">
        <v>36</v>
      </c>
      <c r="AI15" s="146" t="s">
        <v>1</v>
      </c>
      <c r="AJ15" s="146" t="s">
        <v>36</v>
      </c>
      <c r="AK15" s="805" t="s">
        <v>113</v>
      </c>
    </row>
    <row r="16" spans="1:37" x14ac:dyDescent="0.2">
      <c r="A16" s="146" t="str">
        <f>IF('Customer Inputs'!$P7="","",IF('Variable Costs (Back)'!$M16="Zip Code Not Serviced","Zip Code Not Serviced",""))</f>
        <v/>
      </c>
      <c r="B16" s="146" t="str">
        <f>'Customer Inputs'!T7</f>
        <v/>
      </c>
      <c r="C16" s="146" t="str">
        <f>IF(Welcome!$D$6="HOSPITALITY",IFERROR(VLOOKUP(B16,$AJ:$AK,2,FALSE),""),IFERROR(VLOOKUP(B16,$AH:$AI,2,FALSE),""))</f>
        <v/>
      </c>
      <c r="D16" s="622">
        <f>ROUND('Multi-Customer'!$BD$49,0)</f>
        <v>0</v>
      </c>
      <c r="E16" s="622">
        <f>ROUND('Multi-Customer'!$BD$50,0)</f>
        <v>0</v>
      </c>
      <c r="F16" s="622">
        <f>ROUND('Multi-Customer'!$BE$33,0)</f>
        <v>0</v>
      </c>
      <c r="G16" s="622" t="str">
        <f t="shared" ref="G16:G24" si="3">LEFT($I16,3)</f>
        <v/>
      </c>
      <c r="H16" s="622" t="str">
        <f t="shared" ref="H16:H24" si="4">LEFT($I16,4)</f>
        <v/>
      </c>
      <c r="I16" s="622" t="str">
        <f>IF('Customer Inputs'!U7="","",'Customer Inputs'!U7)</f>
        <v/>
      </c>
      <c r="J16" s="640" t="str">
        <f>IF('Customer Inputs'!$F7="","",'Customer Inputs'!$M7)</f>
        <v/>
      </c>
      <c r="K16" s="146" t="str">
        <f>'Customer Inputs'!S7</f>
        <v/>
      </c>
      <c r="L16" s="623">
        <f>IFERROR(IFERROR(IFERROR(VLOOKUP($J$5&amp;$I16,'5zip'!$A:$F,6,FALSE),VLOOKUP($J$5&amp;$H16,'4zip'!$A:$F,6,FALSE)),VLOOKUP($J$5&amp;$G16,'3zip'!$A:$F,6,FALSE)),0)</f>
        <v>0</v>
      </c>
      <c r="M16" s="623" t="str">
        <f>IFERROR(IFERROR(IFERROR(VLOOKUP($J$5&amp;$I16,'5zip'!$A:$F,6,FALSE),VLOOKUP($J$5&amp;$H16,'4zip'!$A:$F,6,FALSE)),VLOOKUP($J$5&amp;$G16,'3zip'!$A:$F,6,FALSE)),"Zip Code Not Serviced")</f>
        <v>Zip Code Not Serviced</v>
      </c>
      <c r="N16" s="624">
        <f t="shared" ref="N16:N24" si="5">IFERROR(52*K16*L16,0)</f>
        <v>0</v>
      </c>
      <c r="O16" s="625">
        <f>IFERROR((VLOOKUP($J$4&amp;$C16&amp;$J$6&amp;$J$7,'Variable Selling'!$B:$O,11,FALSE))*F16,0)</f>
        <v>0</v>
      </c>
      <c r="P16" s="625">
        <f>IFERROR(VLOOKUP($J$4,'Variable Div Avgs'!$D:$I,6,FALSE)*'Variable Costs (Back)'!$F16,0)</f>
        <v>0</v>
      </c>
      <c r="Q16" s="625">
        <f t="shared" si="0"/>
        <v>0</v>
      </c>
      <c r="R16" s="625">
        <f t="shared" si="1"/>
        <v>0</v>
      </c>
      <c r="S16" s="625">
        <f t="shared" ref="S16:S24" si="6">IFERROR(V16/D16,0)</f>
        <v>0</v>
      </c>
      <c r="T16" s="625">
        <f>IFERROR(VLOOKUP($AC16,'Existing Customer Variable Exp'!$B:$E,2,FALSE),0)</f>
        <v>0</v>
      </c>
      <c r="U16" s="625">
        <f>IFERROR(VLOOKUP($AC16,'Existing Customer Variable Exp'!$B:$E,3,FALSE),0)</f>
        <v>0</v>
      </c>
      <c r="V16" s="625">
        <f>IFERROR(VLOOKUP($AC16,'Existing Customer Variable Exp'!$B:$E,4,FALSE),0)</f>
        <v>0</v>
      </c>
      <c r="W16" s="624">
        <f t="shared" ref="W16:W24" si="7">IFERROR(Q16*K16*52,0)</f>
        <v>0</v>
      </c>
      <c r="X16" s="625">
        <f t="shared" ref="X16:X24" si="8">R16*F16</f>
        <v>0</v>
      </c>
      <c r="Y16" s="625">
        <f t="shared" ref="Y16:Y24" si="9">S16*F16</f>
        <v>0</v>
      </c>
      <c r="Z16" s="625" t="str">
        <f t="shared" si="2"/>
        <v>BASE</v>
      </c>
      <c r="AA16" s="625" t="str">
        <f>IF(SUMIF('Existing Customers'!$A:$A,'Variable Costs (Back)'!$AC16,'Existing Customers'!$Q:$Q)&gt;0,"Existing","New")</f>
        <v>New</v>
      </c>
      <c r="AB16" s="642" t="s">
        <v>844</v>
      </c>
      <c r="AC16" s="626" t="str">
        <f>IF('Customer Inputs'!$F7="","",'Customer Inputs'!$G7)</f>
        <v/>
      </c>
      <c r="AD16" s="645">
        <f t="shared" ref="AD16:AD22" si="10">IF($AA16="Existing",IF($Z16="BASE",$T16,$W16),$N16)</f>
        <v>0</v>
      </c>
      <c r="AE16" s="645">
        <f t="shared" ref="AE16:AE22" si="11">IF($AA16="Existing",IF($Z16="BASE",$U16,$X16),$O16)</f>
        <v>0</v>
      </c>
      <c r="AF16" s="645">
        <f t="shared" ref="AF16:AF24" si="12">IF($AA16="Existing",IF($Z16="BASE",$V16,$Y16),$P16)</f>
        <v>0</v>
      </c>
      <c r="AG16" s="749">
        <f t="shared" ref="AG16:AG24" si="13">SUM(AD16:AF16)</f>
        <v>0</v>
      </c>
      <c r="AH16" s="146" t="s">
        <v>71</v>
      </c>
      <c r="AI16" s="146" t="s">
        <v>1</v>
      </c>
      <c r="AJ16" s="146" t="s">
        <v>71</v>
      </c>
      <c r="AK16" s="805" t="s">
        <v>113</v>
      </c>
    </row>
    <row r="17" spans="1:37" x14ac:dyDescent="0.2">
      <c r="A17" s="146" t="str">
        <f>IF('Customer Inputs'!$P8="","",IF('Variable Costs (Back)'!$M17="Zip Code Not Serviced","Zip Code Not Serviced",""))</f>
        <v/>
      </c>
      <c r="B17" s="146" t="str">
        <f>'Customer Inputs'!T8</f>
        <v/>
      </c>
      <c r="C17" s="146" t="str">
        <f>IF(Welcome!$D$6="HOSPITALITY",IFERROR(VLOOKUP(B17,$AJ:$AK,2,FALSE),""),IFERROR(VLOOKUP(B17,$AH:$AI,2,FALSE),""))</f>
        <v/>
      </c>
      <c r="D17" s="622">
        <f>ROUND('Multi-Customer'!$BM$49,0)</f>
        <v>0</v>
      </c>
      <c r="E17" s="622">
        <f>ROUND('Multi-Customer'!$BM$50,0)</f>
        <v>0</v>
      </c>
      <c r="F17" s="622">
        <f>ROUND('Multi-Customer'!$BN$33,0)</f>
        <v>0</v>
      </c>
      <c r="G17" s="622" t="str">
        <f t="shared" si="3"/>
        <v/>
      </c>
      <c r="H17" s="622" t="str">
        <f t="shared" si="4"/>
        <v/>
      </c>
      <c r="I17" s="622" t="str">
        <f>IF('Customer Inputs'!U8="","",'Customer Inputs'!U8)</f>
        <v/>
      </c>
      <c r="J17" s="640" t="str">
        <f>IF('Customer Inputs'!$F8="","",'Customer Inputs'!$M8)</f>
        <v/>
      </c>
      <c r="K17" s="146" t="str">
        <f>'Customer Inputs'!S8</f>
        <v/>
      </c>
      <c r="L17" s="623">
        <f>IFERROR(IFERROR(IFERROR(VLOOKUP($J$5&amp;$I17,'5zip'!$A:$F,6,FALSE),VLOOKUP($J$5&amp;$H17,'4zip'!$A:$F,6,FALSE)),VLOOKUP($J$5&amp;$G17,'3zip'!$A:$F,6,FALSE)),0)</f>
        <v>0</v>
      </c>
      <c r="M17" s="623" t="str">
        <f>IFERROR(IFERROR(IFERROR(VLOOKUP($J$5&amp;$I17,'5zip'!$A:$F,6,FALSE),VLOOKUP($J$5&amp;$H17,'4zip'!$A:$F,6,FALSE)),VLOOKUP($J$5&amp;$G17,'3zip'!$A:$F,6,FALSE)),"Zip Code Not Serviced")</f>
        <v>Zip Code Not Serviced</v>
      </c>
      <c r="N17" s="624">
        <f t="shared" si="5"/>
        <v>0</v>
      </c>
      <c r="O17" s="625">
        <f>IFERROR((VLOOKUP($J$4&amp;$C17&amp;$J$6&amp;$J$7,'Variable Selling'!$B:$O,11,FALSE))*F17,0)</f>
        <v>0</v>
      </c>
      <c r="P17" s="625">
        <f>IFERROR(VLOOKUP($J$4,'Variable Div Avgs'!$D:$I,6,FALSE)*'Variable Costs (Back)'!$F17,0)</f>
        <v>0</v>
      </c>
      <c r="Q17" s="625">
        <f t="shared" si="0"/>
        <v>0</v>
      </c>
      <c r="R17" s="625">
        <f t="shared" si="1"/>
        <v>0</v>
      </c>
      <c r="S17" s="625">
        <f t="shared" si="6"/>
        <v>0</v>
      </c>
      <c r="T17" s="625">
        <f>IFERROR(VLOOKUP($AC17,'Existing Customer Variable Exp'!$B:$E,2,FALSE),0)</f>
        <v>0</v>
      </c>
      <c r="U17" s="625">
        <f>IFERROR(VLOOKUP($AC17,'Existing Customer Variable Exp'!$B:$E,3,FALSE),0)</f>
        <v>0</v>
      </c>
      <c r="V17" s="625">
        <f>IFERROR(VLOOKUP($AC17,'Existing Customer Variable Exp'!$B:$E,4,FALSE),0)</f>
        <v>0</v>
      </c>
      <c r="W17" s="624">
        <f t="shared" si="7"/>
        <v>0</v>
      </c>
      <c r="X17" s="625">
        <f t="shared" si="8"/>
        <v>0</v>
      </c>
      <c r="Y17" s="625">
        <f t="shared" si="9"/>
        <v>0</v>
      </c>
      <c r="Z17" s="625" t="str">
        <f t="shared" si="2"/>
        <v>BASE</v>
      </c>
      <c r="AA17" s="625" t="str">
        <f>IF(SUMIF('Existing Customers'!$A:$A,'Variable Costs (Back)'!$AC17,'Existing Customers'!$Q:$Q)&gt;0,"Existing","New")</f>
        <v>New</v>
      </c>
      <c r="AB17" s="642" t="s">
        <v>845</v>
      </c>
      <c r="AC17" s="626" t="str">
        <f>IF('Customer Inputs'!$F8="","",'Customer Inputs'!$G8)</f>
        <v/>
      </c>
      <c r="AD17" s="645">
        <f t="shared" si="10"/>
        <v>0</v>
      </c>
      <c r="AE17" s="645">
        <f t="shared" si="11"/>
        <v>0</v>
      </c>
      <c r="AF17" s="645">
        <f t="shared" si="12"/>
        <v>0</v>
      </c>
      <c r="AG17" s="749">
        <f t="shared" si="13"/>
        <v>0</v>
      </c>
      <c r="AH17" s="146" t="s">
        <v>11</v>
      </c>
      <c r="AI17" s="146" t="s">
        <v>1</v>
      </c>
      <c r="AJ17" s="146" t="s">
        <v>11</v>
      </c>
      <c r="AK17" s="805" t="s">
        <v>113</v>
      </c>
    </row>
    <row r="18" spans="1:37" x14ac:dyDescent="0.2">
      <c r="A18" s="146" t="str">
        <f>IF('Customer Inputs'!$P9="","",IF('Variable Costs (Back)'!$M18="Zip Code Not Serviced","Zip Code Not Serviced",""))</f>
        <v/>
      </c>
      <c r="B18" s="146" t="str">
        <f>'Customer Inputs'!T9</f>
        <v/>
      </c>
      <c r="C18" s="146" t="str">
        <f>IF(Welcome!$D$6="HOSPITALITY",IFERROR(VLOOKUP(B18,$AJ:$AK,2,FALSE),""),IFERROR(VLOOKUP(B18,$AH:$AI,2,FALSE),""))</f>
        <v/>
      </c>
      <c r="D18" s="622">
        <f>ROUND('Multi-Customer'!$BV$49,0)</f>
        <v>0</v>
      </c>
      <c r="E18" s="622">
        <f>ROUND('Multi-Customer'!$BV$50,0)</f>
        <v>0</v>
      </c>
      <c r="F18" s="622">
        <f>ROUND('Multi-Customer'!$BW$33,0)</f>
        <v>0</v>
      </c>
      <c r="G18" s="622" t="str">
        <f t="shared" si="3"/>
        <v/>
      </c>
      <c r="H18" s="622" t="str">
        <f t="shared" si="4"/>
        <v/>
      </c>
      <c r="I18" s="622" t="str">
        <f>IF('Customer Inputs'!U9="","",'Customer Inputs'!U9)</f>
        <v/>
      </c>
      <c r="J18" s="640" t="str">
        <f>IF('Customer Inputs'!$F9="","",'Customer Inputs'!$M9)</f>
        <v/>
      </c>
      <c r="K18" s="146" t="str">
        <f>'Customer Inputs'!S9</f>
        <v/>
      </c>
      <c r="L18" s="623">
        <f>IFERROR(IFERROR(IFERROR(VLOOKUP($J$5&amp;$I18,'5zip'!$A:$F,6,FALSE),VLOOKUP($J$5&amp;$H18,'4zip'!$A:$F,6,FALSE)),VLOOKUP($J$5&amp;$G18,'3zip'!$A:$F,6,FALSE)),0)</f>
        <v>0</v>
      </c>
      <c r="M18" s="623" t="str">
        <f>IFERROR(IFERROR(IFERROR(VLOOKUP($J$5&amp;$I18,'5zip'!$A:$F,6,FALSE),VLOOKUP($J$5&amp;$H18,'4zip'!$A:$F,6,FALSE)),VLOOKUP($J$5&amp;$G18,'3zip'!$A:$F,6,FALSE)),"Zip Code Not Serviced")</f>
        <v>Zip Code Not Serviced</v>
      </c>
      <c r="N18" s="624">
        <f t="shared" si="5"/>
        <v>0</v>
      </c>
      <c r="O18" s="625">
        <f>IFERROR((VLOOKUP($J$4&amp;$C18&amp;$J$6&amp;$J$7,'Variable Selling'!$B:$O,11,FALSE))*F18,0)</f>
        <v>0</v>
      </c>
      <c r="P18" s="625">
        <f>IFERROR(VLOOKUP($J$4,'Variable Div Avgs'!$D:$I,6,FALSE)*'Variable Costs (Back)'!$F18,0)</f>
        <v>0</v>
      </c>
      <c r="Q18" s="625">
        <f t="shared" si="0"/>
        <v>0</v>
      </c>
      <c r="R18" s="625">
        <f t="shared" si="1"/>
        <v>0</v>
      </c>
      <c r="S18" s="625">
        <f t="shared" si="6"/>
        <v>0</v>
      </c>
      <c r="T18" s="625">
        <f>IFERROR(VLOOKUP($AC18,'Existing Customer Variable Exp'!$B:$E,2,FALSE),0)</f>
        <v>0</v>
      </c>
      <c r="U18" s="625">
        <f>IFERROR(VLOOKUP($AC18,'Existing Customer Variable Exp'!$B:$E,3,FALSE),0)</f>
        <v>0</v>
      </c>
      <c r="V18" s="625">
        <f>IFERROR(VLOOKUP($AC18,'Existing Customer Variable Exp'!$B:$E,4,FALSE),0)</f>
        <v>0</v>
      </c>
      <c r="W18" s="624">
        <f t="shared" si="7"/>
        <v>0</v>
      </c>
      <c r="X18" s="625">
        <f t="shared" si="8"/>
        <v>0</v>
      </c>
      <c r="Y18" s="625">
        <f t="shared" si="9"/>
        <v>0</v>
      </c>
      <c r="Z18" s="625" t="str">
        <f t="shared" si="2"/>
        <v>BASE</v>
      </c>
      <c r="AA18" s="625" t="str">
        <f>IF(SUMIF('Existing Customers'!$A:$A,'Variable Costs (Back)'!$AC18,'Existing Customers'!$Q:$Q)&gt;0,"Existing","New")</f>
        <v>New</v>
      </c>
      <c r="AB18" s="642" t="s">
        <v>846</v>
      </c>
      <c r="AC18" s="626" t="str">
        <f>IF('Customer Inputs'!$F9="","",'Customer Inputs'!$G9)</f>
        <v/>
      </c>
      <c r="AD18" s="645">
        <f t="shared" si="10"/>
        <v>0</v>
      </c>
      <c r="AE18" s="645">
        <f t="shared" si="11"/>
        <v>0</v>
      </c>
      <c r="AF18" s="645">
        <f t="shared" si="12"/>
        <v>0</v>
      </c>
      <c r="AG18" s="749">
        <f t="shared" si="13"/>
        <v>0</v>
      </c>
      <c r="AH18" s="146" t="s">
        <v>9</v>
      </c>
      <c r="AI18" s="146" t="s">
        <v>1</v>
      </c>
      <c r="AJ18" s="146" t="s">
        <v>9</v>
      </c>
      <c r="AK18" s="805" t="s">
        <v>113</v>
      </c>
    </row>
    <row r="19" spans="1:37" x14ac:dyDescent="0.2">
      <c r="A19" s="146" t="str">
        <f>IF('Customer Inputs'!$P10="","",IF('Variable Costs (Back)'!$M19="Zip Code Not Serviced","Zip Code Not Serviced",""))</f>
        <v/>
      </c>
      <c r="B19" s="146" t="str">
        <f>'Customer Inputs'!T10</f>
        <v/>
      </c>
      <c r="C19" s="146" t="str">
        <f>IF(Welcome!$D$6="HOSPITALITY",IFERROR(VLOOKUP(B19,$AJ:$AK,2,FALSE),""),IFERROR(VLOOKUP(B19,$AH:$AI,2,FALSE),""))</f>
        <v/>
      </c>
      <c r="D19" s="622">
        <f>ROUND('Multi-Customer'!$CE$49,0)</f>
        <v>0</v>
      </c>
      <c r="E19" s="622">
        <f>ROUND('Multi-Customer'!$CE$50,0)</f>
        <v>0</v>
      </c>
      <c r="F19" s="622">
        <f>ROUND('Multi-Customer'!$CF$33,0)</f>
        <v>0</v>
      </c>
      <c r="G19" s="622" t="str">
        <f t="shared" si="3"/>
        <v/>
      </c>
      <c r="H19" s="622" t="str">
        <f t="shared" si="4"/>
        <v/>
      </c>
      <c r="I19" s="622" t="str">
        <f>IF('Customer Inputs'!U10="","",'Customer Inputs'!U10)</f>
        <v/>
      </c>
      <c r="J19" s="640" t="str">
        <f>IF('Customer Inputs'!$F10="","",'Customer Inputs'!$M10)</f>
        <v/>
      </c>
      <c r="K19" s="146" t="str">
        <f>'Customer Inputs'!S10</f>
        <v/>
      </c>
      <c r="L19" s="623">
        <f>IFERROR(IFERROR(IFERROR(VLOOKUP($J$5&amp;$I19,'5zip'!$A:$F,6,FALSE),VLOOKUP($J$5&amp;$H19,'4zip'!$A:$F,6,FALSE)),VLOOKUP($J$5&amp;$G19,'3zip'!$A:$F,6,FALSE)),0)</f>
        <v>0</v>
      </c>
      <c r="M19" s="623" t="str">
        <f>IFERROR(IFERROR(IFERROR(VLOOKUP($J$5&amp;$I19,'5zip'!$A:$F,6,FALSE),VLOOKUP($J$5&amp;$H19,'4zip'!$A:$F,6,FALSE)),VLOOKUP($J$5&amp;$G19,'3zip'!$A:$F,6,FALSE)),"Zip Code Not Serviced")</f>
        <v>Zip Code Not Serviced</v>
      </c>
      <c r="N19" s="624">
        <f t="shared" si="5"/>
        <v>0</v>
      </c>
      <c r="O19" s="625">
        <f>IFERROR((VLOOKUP($J$4&amp;$C19&amp;$J$6&amp;$J$7,'Variable Selling'!$B:$O,11,FALSE))*F19,0)</f>
        <v>0</v>
      </c>
      <c r="P19" s="625">
        <f>IFERROR(VLOOKUP($J$4,'Variable Div Avgs'!$D:$I,6,FALSE)*'Variable Costs (Back)'!$F19,0)</f>
        <v>0</v>
      </c>
      <c r="Q19" s="625">
        <f t="shared" si="0"/>
        <v>0</v>
      </c>
      <c r="R19" s="625">
        <f t="shared" si="1"/>
        <v>0</v>
      </c>
      <c r="S19" s="625">
        <f t="shared" si="6"/>
        <v>0</v>
      </c>
      <c r="T19" s="625">
        <f>IFERROR(VLOOKUP($AC19,'Existing Customer Variable Exp'!$B:$E,2,FALSE),0)</f>
        <v>0</v>
      </c>
      <c r="U19" s="625">
        <f>IFERROR(VLOOKUP($AC19,'Existing Customer Variable Exp'!$B:$E,3,FALSE),0)</f>
        <v>0</v>
      </c>
      <c r="V19" s="625">
        <f>IFERROR(VLOOKUP($AC19,'Existing Customer Variable Exp'!$B:$E,4,FALSE),0)</f>
        <v>0</v>
      </c>
      <c r="W19" s="624">
        <f t="shared" si="7"/>
        <v>0</v>
      </c>
      <c r="X19" s="625">
        <f t="shared" si="8"/>
        <v>0</v>
      </c>
      <c r="Y19" s="625">
        <f t="shared" si="9"/>
        <v>0</v>
      </c>
      <c r="Z19" s="625" t="str">
        <f t="shared" si="2"/>
        <v>BASE</v>
      </c>
      <c r="AA19" s="625" t="str">
        <f>IF(SUMIF('Existing Customers'!$A:$A,'Variable Costs (Back)'!$AC19,'Existing Customers'!$Q:$Q)&gt;0,"Existing","New")</f>
        <v>New</v>
      </c>
      <c r="AB19" s="642" t="s">
        <v>847</v>
      </c>
      <c r="AC19" s="626" t="str">
        <f>IF('Customer Inputs'!$F10="","",'Customer Inputs'!$G10)</f>
        <v/>
      </c>
      <c r="AD19" s="645">
        <f t="shared" si="10"/>
        <v>0</v>
      </c>
      <c r="AE19" s="645">
        <f t="shared" si="11"/>
        <v>0</v>
      </c>
      <c r="AF19" s="645">
        <f t="shared" si="12"/>
        <v>0</v>
      </c>
      <c r="AG19" s="749">
        <f t="shared" si="13"/>
        <v>0</v>
      </c>
      <c r="AH19" s="146" t="s">
        <v>38</v>
      </c>
      <c r="AI19" s="146" t="s">
        <v>1</v>
      </c>
      <c r="AJ19" s="146" t="s">
        <v>38</v>
      </c>
      <c r="AK19" s="805" t="s">
        <v>113</v>
      </c>
    </row>
    <row r="20" spans="1:37" x14ac:dyDescent="0.2">
      <c r="A20" s="146" t="str">
        <f>IF('Customer Inputs'!$P11="","",IF('Variable Costs (Back)'!$M20="Zip Code Not Serviced","Zip Code Not Serviced",""))</f>
        <v/>
      </c>
      <c r="B20" s="146" t="str">
        <f>'Customer Inputs'!T11</f>
        <v/>
      </c>
      <c r="C20" s="146" t="str">
        <f>IF(Welcome!$D$6="HOSPITALITY",IFERROR(VLOOKUP(B20,$AJ:$AK,2,FALSE),""),IFERROR(VLOOKUP(B20,$AH:$AI,2,FALSE),""))</f>
        <v/>
      </c>
      <c r="D20" s="622">
        <f>ROUND('Multi-Customer'!$CN$49,0)</f>
        <v>0</v>
      </c>
      <c r="E20" s="622">
        <f>ROUND('Multi-Customer'!$CN$50,0)</f>
        <v>0</v>
      </c>
      <c r="F20" s="622">
        <f>ROUND('Multi-Customer'!$CO$33,0)</f>
        <v>0</v>
      </c>
      <c r="G20" s="622" t="str">
        <f t="shared" si="3"/>
        <v/>
      </c>
      <c r="H20" s="622" t="str">
        <f t="shared" si="4"/>
        <v/>
      </c>
      <c r="I20" s="622" t="str">
        <f>IF('Customer Inputs'!U11="","",'Customer Inputs'!U11)</f>
        <v/>
      </c>
      <c r="J20" s="640" t="str">
        <f>IF('Customer Inputs'!$F11="","",'Customer Inputs'!$M11)</f>
        <v/>
      </c>
      <c r="K20" s="146" t="str">
        <f>'Customer Inputs'!S11</f>
        <v/>
      </c>
      <c r="L20" s="623">
        <f>IFERROR(IFERROR(IFERROR(VLOOKUP($J$5&amp;$I20,'5zip'!$A:$F,6,FALSE),VLOOKUP($J$5&amp;$H20,'4zip'!$A:$F,6,FALSE)),VLOOKUP($J$5&amp;$G20,'3zip'!$A:$F,6,FALSE)),0)</f>
        <v>0</v>
      </c>
      <c r="M20" s="623" t="str">
        <f>IFERROR(IFERROR(IFERROR(VLOOKUP($J$5&amp;$I20,'5zip'!$A:$F,6,FALSE),VLOOKUP($J$5&amp;$H20,'4zip'!$A:$F,6,FALSE)),VLOOKUP($J$5&amp;$G20,'3zip'!$A:$F,6,FALSE)),"Zip Code Not Serviced")</f>
        <v>Zip Code Not Serviced</v>
      </c>
      <c r="N20" s="624">
        <f t="shared" si="5"/>
        <v>0</v>
      </c>
      <c r="O20" s="625">
        <f>IFERROR((VLOOKUP($J$4&amp;$C20&amp;$J$6&amp;$J$7,'Variable Selling'!$B:$O,11,FALSE))*F20,0)</f>
        <v>0</v>
      </c>
      <c r="P20" s="625">
        <f>IFERROR(VLOOKUP($J$4,'Variable Div Avgs'!$D:$I,6,FALSE)*'Variable Costs (Back)'!$F20,0)</f>
        <v>0</v>
      </c>
      <c r="Q20" s="625">
        <f t="shared" si="0"/>
        <v>0</v>
      </c>
      <c r="R20" s="625">
        <f t="shared" si="1"/>
        <v>0</v>
      </c>
      <c r="S20" s="625">
        <f t="shared" si="6"/>
        <v>0</v>
      </c>
      <c r="T20" s="625">
        <f>IFERROR(VLOOKUP($AC20,'Existing Customer Variable Exp'!$B:$E,2,FALSE),0)</f>
        <v>0</v>
      </c>
      <c r="U20" s="625">
        <f>IFERROR(VLOOKUP($AC20,'Existing Customer Variable Exp'!$B:$E,3,FALSE),0)</f>
        <v>0</v>
      </c>
      <c r="V20" s="625">
        <f>IFERROR(VLOOKUP($AC20,'Existing Customer Variable Exp'!$B:$E,4,FALSE),0)</f>
        <v>0</v>
      </c>
      <c r="W20" s="624">
        <f t="shared" si="7"/>
        <v>0</v>
      </c>
      <c r="X20" s="625">
        <f t="shared" si="8"/>
        <v>0</v>
      </c>
      <c r="Y20" s="625">
        <f t="shared" si="9"/>
        <v>0</v>
      </c>
      <c r="Z20" s="625" t="str">
        <f t="shared" si="2"/>
        <v>BASE</v>
      </c>
      <c r="AA20" s="625" t="str">
        <f>IF(SUMIF('Existing Customers'!$A:$A,'Variable Costs (Back)'!$AC20,'Existing Customers'!$Q:$Q)&gt;0,"Existing","New")</f>
        <v>New</v>
      </c>
      <c r="AB20" s="642" t="s">
        <v>848</v>
      </c>
      <c r="AC20" s="626" t="str">
        <f>IF('Customer Inputs'!$F11="","",'Customer Inputs'!$G11)</f>
        <v/>
      </c>
      <c r="AD20" s="645">
        <f t="shared" si="10"/>
        <v>0</v>
      </c>
      <c r="AE20" s="645">
        <f t="shared" si="11"/>
        <v>0</v>
      </c>
      <c r="AF20" s="645">
        <f t="shared" si="12"/>
        <v>0</v>
      </c>
      <c r="AG20" s="749">
        <f t="shared" si="13"/>
        <v>0</v>
      </c>
      <c r="AH20" s="146" t="s">
        <v>268</v>
      </c>
      <c r="AI20" s="146" t="s">
        <v>1</v>
      </c>
      <c r="AJ20" s="146" t="s">
        <v>268</v>
      </c>
      <c r="AK20" s="805" t="s">
        <v>113</v>
      </c>
    </row>
    <row r="21" spans="1:37" x14ac:dyDescent="0.2">
      <c r="A21" s="146" t="str">
        <f>IF('Customer Inputs'!$P12="","",IF('Variable Costs (Back)'!$M21="Zip Code Not Serviced","Zip Code Not Serviced",""))</f>
        <v/>
      </c>
      <c r="B21" s="146" t="str">
        <f>'Customer Inputs'!T12</f>
        <v/>
      </c>
      <c r="C21" s="146" t="str">
        <f>IF(Welcome!$D$6="HOSPITALITY",IFERROR(VLOOKUP(B21,$AJ:$AK,2,FALSE),""),IFERROR(VLOOKUP(B21,$AH:$AI,2,FALSE),""))</f>
        <v/>
      </c>
      <c r="D21" s="622">
        <f>ROUND('Multi-Customer'!$CW$49,0)</f>
        <v>0</v>
      </c>
      <c r="E21" s="622">
        <f>ROUND('Multi-Customer'!$CW$50,0)</f>
        <v>0</v>
      </c>
      <c r="F21" s="622">
        <f>ROUND('Multi-Customer'!$CX$33,0)</f>
        <v>0</v>
      </c>
      <c r="G21" s="622" t="str">
        <f t="shared" si="3"/>
        <v/>
      </c>
      <c r="H21" s="622" t="str">
        <f t="shared" si="4"/>
        <v/>
      </c>
      <c r="I21" s="622" t="str">
        <f>IF('Customer Inputs'!U12="","",'Customer Inputs'!U12)</f>
        <v/>
      </c>
      <c r="J21" s="640" t="str">
        <f>IF('Customer Inputs'!$F12="","",'Customer Inputs'!$M12)</f>
        <v/>
      </c>
      <c r="K21" s="146" t="str">
        <f>'Customer Inputs'!S12</f>
        <v/>
      </c>
      <c r="L21" s="623">
        <f>IFERROR(IFERROR(IFERROR(VLOOKUP($J$5&amp;$I21,'5zip'!$A:$F,6,FALSE),VLOOKUP($J$5&amp;$H21,'4zip'!$A:$F,6,FALSE)),VLOOKUP($J$5&amp;$G21,'3zip'!$A:$F,6,FALSE)),0)</f>
        <v>0</v>
      </c>
      <c r="M21" s="623" t="str">
        <f>IFERROR(IFERROR(IFERROR(VLOOKUP($J$5&amp;$I21,'5zip'!$A:$F,6,FALSE),VLOOKUP($J$5&amp;$H21,'4zip'!$A:$F,6,FALSE)),VLOOKUP($J$5&amp;$G21,'3zip'!$A:$F,6,FALSE)),"Zip Code Not Serviced")</f>
        <v>Zip Code Not Serviced</v>
      </c>
      <c r="N21" s="624">
        <f t="shared" si="5"/>
        <v>0</v>
      </c>
      <c r="O21" s="625">
        <f>IFERROR((VLOOKUP($J$4&amp;$C21&amp;$J$6&amp;$J$7,'Variable Selling'!$B:$O,11,FALSE))*F21,0)</f>
        <v>0</v>
      </c>
      <c r="P21" s="625">
        <f>IFERROR(VLOOKUP($J$4,'Variable Div Avgs'!$D:$I,6,FALSE)*'Variable Costs (Back)'!$F21,0)</f>
        <v>0</v>
      </c>
      <c r="Q21" s="625">
        <f t="shared" si="0"/>
        <v>0</v>
      </c>
      <c r="R21" s="625">
        <f t="shared" si="1"/>
        <v>0</v>
      </c>
      <c r="S21" s="625">
        <f t="shared" si="6"/>
        <v>0</v>
      </c>
      <c r="T21" s="625">
        <f>IFERROR(VLOOKUP($AC21,'Existing Customer Variable Exp'!$B:$E,2,FALSE),0)</f>
        <v>0</v>
      </c>
      <c r="U21" s="625">
        <f>IFERROR(VLOOKUP($AC21,'Existing Customer Variable Exp'!$B:$E,3,FALSE),0)</f>
        <v>0</v>
      </c>
      <c r="V21" s="625">
        <f>IFERROR(VLOOKUP($AC21,'Existing Customer Variable Exp'!$B:$E,4,FALSE),0)</f>
        <v>0</v>
      </c>
      <c r="W21" s="624">
        <f t="shared" si="7"/>
        <v>0</v>
      </c>
      <c r="X21" s="625">
        <f t="shared" si="8"/>
        <v>0</v>
      </c>
      <c r="Y21" s="625">
        <f t="shared" si="9"/>
        <v>0</v>
      </c>
      <c r="Z21" s="625" t="str">
        <f t="shared" si="2"/>
        <v>BASE</v>
      </c>
      <c r="AA21" s="625" t="str">
        <f>IF(SUMIF('Existing Customers'!$A:$A,'Variable Costs (Back)'!$AC21,'Existing Customers'!$Q:$Q)&gt;0,"Existing","New")</f>
        <v>New</v>
      </c>
      <c r="AB21" s="642" t="s">
        <v>849</v>
      </c>
      <c r="AC21" s="626" t="str">
        <f>IF('Customer Inputs'!$F12="","",'Customer Inputs'!$G12)</f>
        <v/>
      </c>
      <c r="AD21" s="645">
        <f t="shared" si="10"/>
        <v>0</v>
      </c>
      <c r="AE21" s="645">
        <f t="shared" si="11"/>
        <v>0</v>
      </c>
      <c r="AF21" s="645">
        <f t="shared" si="12"/>
        <v>0</v>
      </c>
      <c r="AG21" s="749">
        <f t="shared" si="13"/>
        <v>0</v>
      </c>
      <c r="AH21" s="146" t="s">
        <v>264</v>
      </c>
      <c r="AI21" s="146" t="s">
        <v>114</v>
      </c>
      <c r="AJ21" s="146" t="s">
        <v>264</v>
      </c>
      <c r="AK21" s="146" t="s">
        <v>114</v>
      </c>
    </row>
    <row r="22" spans="1:37" x14ac:dyDescent="0.2">
      <c r="A22" s="146" t="str">
        <f>IF('Customer Inputs'!$P13="","",IF('Variable Costs (Back)'!$M22="Zip Code Not Serviced","Zip Code Not Serviced",""))</f>
        <v/>
      </c>
      <c r="B22" s="146" t="str">
        <f>'Customer Inputs'!T13</f>
        <v/>
      </c>
      <c r="C22" s="146" t="str">
        <f>IF(Welcome!$D$6="HOSPITALITY",IFERROR(VLOOKUP(B22,$AJ:$AK,2,FALSE),""),IFERROR(VLOOKUP(B22,$AH:$AI,2,FALSE),""))</f>
        <v/>
      </c>
      <c r="D22" s="622">
        <f>ROUND('Multi-Customer'!$DF$49,0)</f>
        <v>0</v>
      </c>
      <c r="E22" s="622">
        <f>ROUND('Multi-Customer'!$DF$50,0)</f>
        <v>0</v>
      </c>
      <c r="F22" s="622">
        <f>ROUND('Multi-Customer'!$DG$33,0)</f>
        <v>0</v>
      </c>
      <c r="G22" s="622" t="str">
        <f t="shared" si="3"/>
        <v/>
      </c>
      <c r="H22" s="622" t="str">
        <f t="shared" si="4"/>
        <v/>
      </c>
      <c r="I22" s="622" t="str">
        <f>IF('Customer Inputs'!U13="","",'Customer Inputs'!U13)</f>
        <v/>
      </c>
      <c r="J22" s="640" t="str">
        <f>IF('Customer Inputs'!$F13="","",'Customer Inputs'!$M13)</f>
        <v/>
      </c>
      <c r="K22" s="146" t="str">
        <f>'Customer Inputs'!S13</f>
        <v/>
      </c>
      <c r="L22" s="623">
        <f>IFERROR(IFERROR(IFERROR(VLOOKUP($J$5&amp;$I22,'5zip'!$A:$F,6,FALSE),VLOOKUP($J$5&amp;$H22,'4zip'!$A:$F,6,FALSE)),VLOOKUP($J$5&amp;$G22,'3zip'!$A:$F,6,FALSE)),0)</f>
        <v>0</v>
      </c>
      <c r="M22" s="623" t="str">
        <f>IFERROR(IFERROR(IFERROR(VLOOKUP($J$5&amp;$I22,'5zip'!$A:$F,6,FALSE),VLOOKUP($J$5&amp;$H22,'4zip'!$A:$F,6,FALSE)),VLOOKUP($J$5&amp;$G22,'3zip'!$A:$F,6,FALSE)),"Zip Code Not Serviced")</f>
        <v>Zip Code Not Serviced</v>
      </c>
      <c r="N22" s="624">
        <f t="shared" si="5"/>
        <v>0</v>
      </c>
      <c r="O22" s="625">
        <f>IFERROR((VLOOKUP($J$4&amp;$C22&amp;$J$6&amp;$J$7,'Variable Selling'!$B:$O,11,FALSE))*F22,0)</f>
        <v>0</v>
      </c>
      <c r="P22" s="625">
        <f>IFERROR(VLOOKUP($J$4,'Variable Div Avgs'!$D:$I,6,FALSE)*'Variable Costs (Back)'!$F22,0)</f>
        <v>0</v>
      </c>
      <c r="Q22" s="625">
        <f t="shared" si="0"/>
        <v>0</v>
      </c>
      <c r="R22" s="625">
        <f t="shared" si="1"/>
        <v>0</v>
      </c>
      <c r="S22" s="625">
        <f t="shared" si="6"/>
        <v>0</v>
      </c>
      <c r="T22" s="625">
        <f>IFERROR(VLOOKUP($AC22,'Existing Customer Variable Exp'!$B:$E,2,FALSE),0)</f>
        <v>0</v>
      </c>
      <c r="U22" s="625">
        <f>IFERROR(VLOOKUP($AC22,'Existing Customer Variable Exp'!$B:$E,3,FALSE),0)</f>
        <v>0</v>
      </c>
      <c r="V22" s="625">
        <f>IFERROR(VLOOKUP($AC22,'Existing Customer Variable Exp'!$B:$E,4,FALSE),0)</f>
        <v>0</v>
      </c>
      <c r="W22" s="624">
        <f t="shared" si="7"/>
        <v>0</v>
      </c>
      <c r="X22" s="625">
        <f t="shared" si="8"/>
        <v>0</v>
      </c>
      <c r="Y22" s="625">
        <f t="shared" si="9"/>
        <v>0</v>
      </c>
      <c r="Z22" s="625" t="str">
        <f t="shared" si="2"/>
        <v>BASE</v>
      </c>
      <c r="AA22" s="625" t="str">
        <f>IF(SUMIF('Existing Customers'!$A:$A,'Variable Costs (Back)'!$AC22,'Existing Customers'!$Q:$Q)&gt;0,"Existing","New")</f>
        <v>New</v>
      </c>
      <c r="AB22" s="642" t="s">
        <v>850</v>
      </c>
      <c r="AC22" s="626" t="str">
        <f>IF('Customer Inputs'!$F13="","",'Customer Inputs'!$G13)</f>
        <v/>
      </c>
      <c r="AD22" s="645">
        <f t="shared" si="10"/>
        <v>0</v>
      </c>
      <c r="AE22" s="645">
        <f t="shared" si="11"/>
        <v>0</v>
      </c>
      <c r="AF22" s="645">
        <f t="shared" si="12"/>
        <v>0</v>
      </c>
      <c r="AG22" s="749">
        <f t="shared" si="13"/>
        <v>0</v>
      </c>
      <c r="AH22" s="146" t="s">
        <v>265</v>
      </c>
      <c r="AI22" s="146" t="s">
        <v>116</v>
      </c>
      <c r="AJ22" s="146" t="s">
        <v>265</v>
      </c>
      <c r="AK22" s="146" t="s">
        <v>116</v>
      </c>
    </row>
    <row r="23" spans="1:37" x14ac:dyDescent="0.2">
      <c r="A23" s="146" t="str">
        <f>IF('Customer Inputs'!$P14="","",IF('Variable Costs (Back)'!$M23="Zip Code Not Serviced","Zip Code Not Serviced",""))</f>
        <v/>
      </c>
      <c r="B23" s="146" t="str">
        <f>'Customer Inputs'!T14</f>
        <v/>
      </c>
      <c r="C23" s="146" t="str">
        <f>IF(Welcome!$D$6="HOSPITALITY",IFERROR(VLOOKUP(B23,$AJ:$AK,2,FALSE),""),IFERROR(VLOOKUP(B23,$AH:$AI,2,FALSE),""))</f>
        <v/>
      </c>
      <c r="D23" s="622">
        <f>ROUND('Multi-Customer'!$DO$49,0)</f>
        <v>0</v>
      </c>
      <c r="E23" s="622">
        <f>ROUND('Multi-Customer'!$DO$50,0)</f>
        <v>0</v>
      </c>
      <c r="F23" s="622">
        <f>ROUND('Multi-Customer'!$DP$33,0)</f>
        <v>0</v>
      </c>
      <c r="G23" s="622" t="str">
        <f t="shared" si="3"/>
        <v/>
      </c>
      <c r="H23" s="622" t="str">
        <f t="shared" si="4"/>
        <v/>
      </c>
      <c r="I23" s="622" t="str">
        <f>IF('Customer Inputs'!U14="","",'Customer Inputs'!U14)</f>
        <v/>
      </c>
      <c r="J23" s="640" t="str">
        <f>IF('Customer Inputs'!$F14="","",'Customer Inputs'!$M14)</f>
        <v/>
      </c>
      <c r="K23" s="146" t="str">
        <f>'Customer Inputs'!S14</f>
        <v/>
      </c>
      <c r="L23" s="623">
        <f>IFERROR(IFERROR(IFERROR(VLOOKUP($J$5&amp;$I23,'5zip'!$A:$F,6,FALSE),VLOOKUP($J$5&amp;$H23,'4zip'!$A:$F,6,FALSE)),VLOOKUP($J$5&amp;$G23,'3zip'!$A:$F,6,FALSE)),0)</f>
        <v>0</v>
      </c>
      <c r="M23" s="623" t="str">
        <f>IFERROR(IFERROR(IFERROR(VLOOKUP($J$5&amp;$I23,'5zip'!$A:$F,6,FALSE),VLOOKUP($J$5&amp;$H23,'4zip'!$A:$F,6,FALSE)),VLOOKUP($J$5&amp;$G23,'3zip'!$A:$F,6,FALSE)),"Zip Code Not Serviced")</f>
        <v>Zip Code Not Serviced</v>
      </c>
      <c r="N23" s="624">
        <f t="shared" si="5"/>
        <v>0</v>
      </c>
      <c r="O23" s="625">
        <f>IFERROR((VLOOKUP($J$4&amp;$C23&amp;$J$6&amp;$J$7,'Variable Selling'!$B:$O,11,FALSE))*F23,0)</f>
        <v>0</v>
      </c>
      <c r="P23" s="625">
        <f>IFERROR(VLOOKUP($J$4,'Variable Div Avgs'!$D:$I,6,FALSE)*'Variable Costs (Back)'!$F23,0)</f>
        <v>0</v>
      </c>
      <c r="Q23" s="625">
        <f t="shared" si="0"/>
        <v>0</v>
      </c>
      <c r="R23" s="625">
        <f t="shared" si="1"/>
        <v>0</v>
      </c>
      <c r="S23" s="625">
        <f t="shared" si="6"/>
        <v>0</v>
      </c>
      <c r="T23" s="625">
        <f>IFERROR(VLOOKUP($AC23,'Existing Customer Variable Exp'!$B:$E,2,FALSE),0)</f>
        <v>0</v>
      </c>
      <c r="U23" s="625">
        <f>IFERROR(VLOOKUP($AC23,'Existing Customer Variable Exp'!$B:$E,3,FALSE),0)</f>
        <v>0</v>
      </c>
      <c r="V23" s="625">
        <f>IFERROR(VLOOKUP($AC23,'Existing Customer Variable Exp'!$B:$E,4,FALSE),0)</f>
        <v>0</v>
      </c>
      <c r="W23" s="624">
        <f t="shared" si="7"/>
        <v>0</v>
      </c>
      <c r="X23" s="625">
        <f t="shared" si="8"/>
        <v>0</v>
      </c>
      <c r="Y23" s="625">
        <f t="shared" si="9"/>
        <v>0</v>
      </c>
      <c r="Z23" s="625" t="str">
        <f t="shared" si="2"/>
        <v>BASE</v>
      </c>
      <c r="AA23" s="625" t="str">
        <f>IF(SUMIF('Existing Customers'!$A:$A,'Variable Costs (Back)'!$AC23,'Existing Customers'!$Q:$Q)&gt;0,"Existing","New")</f>
        <v>New</v>
      </c>
      <c r="AB23" s="642" t="s">
        <v>851</v>
      </c>
      <c r="AC23" s="626" t="str">
        <f>IF('Customer Inputs'!$F14="","",'Customer Inputs'!$G14)</f>
        <v/>
      </c>
      <c r="AD23" s="645">
        <f>IF($AA23="Existing",IF($Z23="BASE",$T23,$W23),$N23)</f>
        <v>0</v>
      </c>
      <c r="AE23" s="645">
        <f>IF($AA23="Existing",IF($Z23="BASE",$U23,$X23),$O23)</f>
        <v>0</v>
      </c>
      <c r="AF23" s="645">
        <f t="shared" si="12"/>
        <v>0</v>
      </c>
      <c r="AG23" s="749">
        <f t="shared" si="13"/>
        <v>0</v>
      </c>
      <c r="AH23" s="146" t="s">
        <v>266</v>
      </c>
      <c r="AI23" s="146" t="s">
        <v>112</v>
      </c>
      <c r="AJ23" s="146" t="s">
        <v>266</v>
      </c>
      <c r="AK23" s="146" t="s">
        <v>112</v>
      </c>
    </row>
    <row r="24" spans="1:37" ht="13.5" thickBot="1" x14ac:dyDescent="0.25">
      <c r="A24" s="146" t="str">
        <f>IF('Customer Inputs'!$P15="","",IF('Variable Costs (Back)'!$M24="Zip Code Not Serviced","Zip Code Not Serviced",""))</f>
        <v/>
      </c>
      <c r="B24" s="146" t="str">
        <f>'Customer Inputs'!T15</f>
        <v/>
      </c>
      <c r="C24" s="146" t="str">
        <f>IF(Welcome!$D$6="HOSPITALITY",IFERROR(VLOOKUP(B24,$AJ:$AK,2,FALSE),""),IFERROR(VLOOKUP(B24,$AH:$AI,2,FALSE),""))</f>
        <v/>
      </c>
      <c r="D24" s="622">
        <f>ROUND('Multi-Customer'!$DX$49,0)</f>
        <v>0</v>
      </c>
      <c r="E24" s="622">
        <f>ROUND('Multi-Customer'!$DX$50,0)</f>
        <v>0</v>
      </c>
      <c r="F24" s="622">
        <f>ROUND('Multi-Customer'!$DY$33,0)</f>
        <v>0</v>
      </c>
      <c r="G24" s="622" t="str">
        <f t="shared" si="3"/>
        <v/>
      </c>
      <c r="H24" s="622" t="str">
        <f t="shared" si="4"/>
        <v/>
      </c>
      <c r="I24" s="622" t="str">
        <f>IF('Customer Inputs'!U15="","",'Customer Inputs'!U15)</f>
        <v/>
      </c>
      <c r="J24" s="640" t="str">
        <f>IF('Customer Inputs'!$F15="","",'Customer Inputs'!$M15)</f>
        <v/>
      </c>
      <c r="K24" s="146" t="str">
        <f>'Customer Inputs'!S15</f>
        <v/>
      </c>
      <c r="L24" s="623">
        <f>IFERROR(IFERROR(IFERROR(VLOOKUP($J$5&amp;$I24,'5zip'!$A:$F,6,FALSE),VLOOKUP($J$5&amp;$H24,'4zip'!$A:$F,6,FALSE)),VLOOKUP($J$5&amp;$G24,'3zip'!$A:$F,6,FALSE)),0)</f>
        <v>0</v>
      </c>
      <c r="M24" s="623" t="str">
        <f>IFERROR(IFERROR(IFERROR(VLOOKUP($J$5&amp;$I24,'5zip'!$A:$F,6,FALSE),VLOOKUP($J$5&amp;$H24,'4zip'!$A:$F,6,FALSE)),VLOOKUP($J$5&amp;$G24,'3zip'!$A:$F,6,FALSE)),"Zip Code Not Serviced")</f>
        <v>Zip Code Not Serviced</v>
      </c>
      <c r="N24" s="624">
        <f t="shared" si="5"/>
        <v>0</v>
      </c>
      <c r="O24" s="625">
        <f>IFERROR((VLOOKUP($J$4&amp;$C24&amp;$J$6&amp;$J$7,'Variable Selling'!$B:$O,11,FALSE))*F24,0)</f>
        <v>0</v>
      </c>
      <c r="P24" s="625">
        <f>IFERROR(VLOOKUP($J$4,'Variable Div Avgs'!$D:$I,6,FALSE)*'Variable Costs (Back)'!$F24,0)</f>
        <v>0</v>
      </c>
      <c r="Q24" s="625">
        <f t="shared" si="0"/>
        <v>0</v>
      </c>
      <c r="R24" s="625">
        <f t="shared" si="1"/>
        <v>0</v>
      </c>
      <c r="S24" s="625">
        <f t="shared" si="6"/>
        <v>0</v>
      </c>
      <c r="T24" s="625">
        <f>IFERROR(VLOOKUP($AC24,'Existing Customer Variable Exp'!$B:$E,2,FALSE),0)</f>
        <v>0</v>
      </c>
      <c r="U24" s="625">
        <f>IFERROR(VLOOKUP($AC24,'Existing Customer Variable Exp'!$B:$E,3,FALSE),0)</f>
        <v>0</v>
      </c>
      <c r="V24" s="625">
        <f>IFERROR(VLOOKUP($AC24,'Existing Customer Variable Exp'!$B:$E,4,FALSE),0)</f>
        <v>0</v>
      </c>
      <c r="W24" s="624">
        <f t="shared" si="7"/>
        <v>0</v>
      </c>
      <c r="X24" s="625">
        <f t="shared" si="8"/>
        <v>0</v>
      </c>
      <c r="Y24" s="625">
        <f t="shared" si="9"/>
        <v>0</v>
      </c>
      <c r="Z24" s="625" t="str">
        <f t="shared" si="2"/>
        <v>BASE</v>
      </c>
      <c r="AA24" s="625" t="str">
        <f>IF(SUMIF('Existing Customers'!$A:$A,'Variable Costs (Back)'!$AC24,'Existing Customers'!$Q:$Q)&gt;0,"Existing","New")</f>
        <v>New</v>
      </c>
      <c r="AB24" s="642" t="s">
        <v>852</v>
      </c>
      <c r="AC24" s="649" t="str">
        <f>IF('Customer Inputs'!$F15="","",'Customer Inputs'!$G15)</f>
        <v/>
      </c>
      <c r="AD24" s="647">
        <f>IF($AA24="Existing",IF($Z24="BASE",$T24,$W24),$N24)</f>
        <v>0</v>
      </c>
      <c r="AE24" s="647">
        <f>IF($AA24="Existing",IF($Z24="BASE",$U24,$X24),$O24)</f>
        <v>0</v>
      </c>
      <c r="AF24" s="647">
        <f t="shared" si="12"/>
        <v>0</v>
      </c>
      <c r="AG24" s="750">
        <f t="shared" si="13"/>
        <v>0</v>
      </c>
      <c r="AH24" s="146" t="s">
        <v>267</v>
      </c>
      <c r="AI24" s="146" t="s">
        <v>113</v>
      </c>
      <c r="AJ24" s="146" t="s">
        <v>267</v>
      </c>
      <c r="AK24" s="146" t="s">
        <v>113</v>
      </c>
    </row>
    <row r="25" spans="1:37" ht="13.5" thickTop="1" x14ac:dyDescent="0.2">
      <c r="K25" s="627">
        <f>SUM(K15:K24)</f>
        <v>0</v>
      </c>
      <c r="W25" s="625"/>
      <c r="Y25" s="625"/>
      <c r="Z25" s="625"/>
      <c r="AA25" s="625"/>
      <c r="AC25" s="648" t="s">
        <v>994</v>
      </c>
      <c r="AD25" s="646">
        <f>SUM(AD15:AD24)</f>
        <v>0</v>
      </c>
      <c r="AE25" s="646">
        <f>SUM(AE15:AE24)</f>
        <v>0</v>
      </c>
      <c r="AF25" s="646">
        <f>SUM(AF15:AF24)</f>
        <v>0</v>
      </c>
      <c r="AG25" s="646">
        <f>SUM(AD25:AF25)</f>
        <v>0</v>
      </c>
      <c r="AH25" s="146" t="s">
        <v>269</v>
      </c>
      <c r="AI25" s="146" t="s">
        <v>111</v>
      </c>
      <c r="AJ25" s="146" t="s">
        <v>269</v>
      </c>
      <c r="AK25" s="146" t="s">
        <v>111</v>
      </c>
    </row>
    <row r="26" spans="1:37" x14ac:dyDescent="0.2">
      <c r="J26" s="628" t="s">
        <v>950</v>
      </c>
      <c r="K26" s="627">
        <f>IFERROR(SUM($K$15:$K$24)/COUNTIF($K$15:$K$24,"&gt;0"),0)</f>
        <v>0</v>
      </c>
      <c r="AB26" s="628"/>
      <c r="AH26" s="146" t="s">
        <v>270</v>
      </c>
      <c r="AI26" s="146" t="s">
        <v>118</v>
      </c>
      <c r="AJ26" s="146" t="s">
        <v>270</v>
      </c>
      <c r="AK26" s="146" t="s">
        <v>118</v>
      </c>
    </row>
    <row r="27" spans="1:37" x14ac:dyDescent="0.2">
      <c r="AB27" s="628"/>
      <c r="AH27" s="146" t="s">
        <v>271</v>
      </c>
      <c r="AI27" s="146" t="s">
        <v>115</v>
      </c>
      <c r="AJ27" s="146" t="s">
        <v>271</v>
      </c>
      <c r="AK27" s="146" t="s">
        <v>115</v>
      </c>
    </row>
    <row r="28" spans="1:37" x14ac:dyDescent="0.2">
      <c r="AH28" s="146" t="s">
        <v>272</v>
      </c>
      <c r="AI28" s="146" t="s">
        <v>117</v>
      </c>
      <c r="AJ28" s="146" t="s">
        <v>272</v>
      </c>
      <c r="AK28" s="146"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19" workbookViewId="0">
      <selection activeCell="H44" sqref="H44"/>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169" t="s">
        <v>1067</v>
      </c>
      <c r="F1" s="1170"/>
      <c r="G1" s="1170"/>
      <c r="H1" s="1170"/>
      <c r="I1" s="1170"/>
      <c r="J1" s="1171"/>
      <c r="L1" s="1169" t="s">
        <v>1066</v>
      </c>
      <c r="M1" s="1171"/>
      <c r="Q1" s="1" t="s">
        <v>561</v>
      </c>
      <c r="R1" s="1" t="s">
        <v>560</v>
      </c>
    </row>
    <row r="2" spans="1:18" x14ac:dyDescent="0.25">
      <c r="E2" s="1">
        <v>0.1</v>
      </c>
      <c r="F2" s="54">
        <v>1.0999999999999999E-2</v>
      </c>
      <c r="G2" s="54">
        <v>2.7E-2</v>
      </c>
      <c r="H2" s="54">
        <v>3.2000000000000001E-2</v>
      </c>
      <c r="I2" s="54">
        <v>4.9000000000000002E-2</v>
      </c>
      <c r="J2" s="54">
        <v>6.4000000000000001E-2</v>
      </c>
      <c r="L2" s="866" t="s">
        <v>1195</v>
      </c>
      <c r="M2" s="49">
        <v>5.0000000000000001E-4</v>
      </c>
      <c r="O2" s="1" t="s">
        <v>562</v>
      </c>
      <c r="P2" s="1" t="s">
        <v>218</v>
      </c>
      <c r="Q2" s="1" t="s">
        <v>14</v>
      </c>
      <c r="R2" s="54">
        <v>6.0999999999999999E-2</v>
      </c>
    </row>
    <row r="3" spans="1:18" x14ac:dyDescent="0.25">
      <c r="E3" s="1">
        <v>0.15</v>
      </c>
      <c r="F3" s="54">
        <v>5.0000000000000001E-3</v>
      </c>
      <c r="G3" s="54">
        <v>3.9E-2</v>
      </c>
      <c r="H3" s="54">
        <v>0.05</v>
      </c>
      <c r="I3" s="54">
        <v>6.5000000000000002E-2</v>
      </c>
      <c r="J3" s="54">
        <v>8.5999999999999993E-2</v>
      </c>
      <c r="L3" s="866" t="s">
        <v>1196</v>
      </c>
      <c r="M3" s="49">
        <v>1E-3</v>
      </c>
      <c r="O3" s="1" t="s">
        <v>563</v>
      </c>
      <c r="P3" s="1" t="s">
        <v>219</v>
      </c>
      <c r="Q3" s="1" t="s">
        <v>14</v>
      </c>
      <c r="R3" s="54">
        <v>9.8000000000000004E-2</v>
      </c>
    </row>
    <row r="4" spans="1:18" x14ac:dyDescent="0.25">
      <c r="B4" t="str">
        <f>'Multi-Customer'!$M$82</f>
        <v>Enter Customer(s)</v>
      </c>
      <c r="E4" s="1">
        <v>0.2</v>
      </c>
      <c r="F4" s="54">
        <v>3.2000000000000001E-2</v>
      </c>
      <c r="G4" s="54">
        <v>5.2999999999999999E-2</v>
      </c>
      <c r="H4" s="54">
        <v>6.5000000000000002E-2</v>
      </c>
      <c r="I4" s="54">
        <v>7.6999999999999999E-2</v>
      </c>
      <c r="J4" s="54">
        <v>0.11</v>
      </c>
      <c r="L4" s="866" t="s">
        <v>1197</v>
      </c>
      <c r="M4" s="49">
        <v>1.5E-3</v>
      </c>
      <c r="O4" s="1" t="s">
        <v>564</v>
      </c>
      <c r="P4" s="1" t="s">
        <v>220</v>
      </c>
      <c r="Q4" s="1" t="s">
        <v>14</v>
      </c>
      <c r="R4" s="54">
        <v>0.122</v>
      </c>
    </row>
    <row r="5" spans="1:18" x14ac:dyDescent="0.25">
      <c r="B5" t="str">
        <f>'Multi-Customer'!$M$82</f>
        <v>Enter Customer(s)</v>
      </c>
      <c r="E5" s="1">
        <v>0.25</v>
      </c>
      <c r="F5" s="54">
        <v>4.2000000000000003E-2</v>
      </c>
      <c r="G5" s="54">
        <v>5.8999999999999997E-2</v>
      </c>
      <c r="H5" s="54">
        <v>7.0999999999999994E-2</v>
      </c>
      <c r="I5" s="54">
        <v>9.2999999999999999E-2</v>
      </c>
      <c r="J5" s="54">
        <v>0.122</v>
      </c>
      <c r="L5" s="866" t="s">
        <v>1198</v>
      </c>
      <c r="M5" s="49">
        <v>2E-3</v>
      </c>
      <c r="O5" s="1" t="s">
        <v>565</v>
      </c>
      <c r="P5" s="1" t="s">
        <v>274</v>
      </c>
      <c r="Q5" s="1" t="s">
        <v>14</v>
      </c>
      <c r="R5" s="54">
        <v>0.14499999999999999</v>
      </c>
    </row>
    <row r="6" spans="1:18" x14ac:dyDescent="0.25">
      <c r="A6" s="88" t="s">
        <v>982</v>
      </c>
      <c r="B6" t="str">
        <f>IF(B7&lt;0.25,"Q1",IF(B7&lt;0.5,"Q2",IF(B7&lt;0.75,"Q3","Q4")))</f>
        <v>Q1</v>
      </c>
      <c r="E6" s="1">
        <v>0.3</v>
      </c>
      <c r="F6" s="54">
        <v>3.2000000000000001E-2</v>
      </c>
      <c r="G6" s="54">
        <v>6.5000000000000002E-2</v>
      </c>
      <c r="H6" s="54">
        <v>7.6999999999999999E-2</v>
      </c>
      <c r="I6" s="54">
        <v>9.5000000000000001E-2</v>
      </c>
      <c r="J6" s="54">
        <v>0.12</v>
      </c>
      <c r="L6" s="866" t="s">
        <v>1199</v>
      </c>
      <c r="M6" s="49">
        <v>2.5000000000000001E-3</v>
      </c>
      <c r="O6" s="1" t="s">
        <v>566</v>
      </c>
      <c r="P6" s="1" t="s">
        <v>218</v>
      </c>
      <c r="Q6" s="1" t="s">
        <v>62</v>
      </c>
      <c r="R6" s="54">
        <v>4.5999999999999999E-2</v>
      </c>
    </row>
    <row r="7" spans="1:18" x14ac:dyDescent="0.25">
      <c r="A7" s="88" t="s">
        <v>480</v>
      </c>
      <c r="B7">
        <f>'PIM Ranges'!$AU$3</f>
        <v>0</v>
      </c>
      <c r="E7" s="1">
        <v>0.35</v>
      </c>
      <c r="F7" s="54">
        <v>4.8000000000000001E-2</v>
      </c>
      <c r="G7" s="54">
        <v>7.9000000000000001E-2</v>
      </c>
      <c r="H7" s="54">
        <v>9.4E-2</v>
      </c>
      <c r="I7" s="54">
        <v>0.11</v>
      </c>
      <c r="J7" s="54">
        <v>0.14499999999999999</v>
      </c>
      <c r="L7" s="866" t="s">
        <v>1200</v>
      </c>
      <c r="M7" s="49">
        <v>3.0000000000000001E-3</v>
      </c>
      <c r="O7" s="1" t="s">
        <v>567</v>
      </c>
      <c r="P7" s="1" t="s">
        <v>219</v>
      </c>
      <c r="Q7" s="1" t="s">
        <v>62</v>
      </c>
      <c r="R7" s="54">
        <v>8.5000000000000006E-2</v>
      </c>
    </row>
    <row r="8" spans="1:18" x14ac:dyDescent="0.25">
      <c r="A8" s="88" t="s">
        <v>482</v>
      </c>
      <c r="B8">
        <f>IF($B$7&lt;$E$2,$G$2,IF($B$7&lt;$E$3,$G$3,IF($B$7&lt;$E$4,$G$4,IF($B$7&lt;$E$5,$G$5,IF($B$7&lt;$E$6,$G$6,IF($B$7&lt;$E$7,$G$7,IF($B$7&lt;$E$8,$G$8,IF($B$7&lt;$E$9,$G$9,IF($B$7&lt;$E$10,$G$10,IF($B$7&lt;$E$11,$G$11,IF($B$7&lt;$E$12,$G$12,IF($B$7&lt;$E$13,$G$13,IF($B$7&lt;$E$14,$G$14,IF($B$7&lt;$E$15,$G$15,IF($B$7&lt;$E$16,$G$16,$G$17)))))))))))))))</f>
        <v>2.7E-2</v>
      </c>
      <c r="E8" s="1">
        <v>0.4</v>
      </c>
      <c r="F8" s="54">
        <v>5.7000000000000002E-2</v>
      </c>
      <c r="G8" s="54">
        <v>8.5000000000000006E-2</v>
      </c>
      <c r="H8" s="54">
        <v>9.7000000000000003E-2</v>
      </c>
      <c r="I8" s="54">
        <v>0.109</v>
      </c>
      <c r="J8" s="54">
        <v>0.128</v>
      </c>
      <c r="L8" s="866" t="s">
        <v>1201</v>
      </c>
      <c r="M8" s="49">
        <v>3.5000000000000001E-3</v>
      </c>
      <c r="O8" s="1" t="s">
        <v>568</v>
      </c>
      <c r="P8" s="1" t="s">
        <v>220</v>
      </c>
      <c r="Q8" s="1" t="s">
        <v>62</v>
      </c>
      <c r="R8" s="54">
        <v>0.106</v>
      </c>
    </row>
    <row r="9" spans="1:18" x14ac:dyDescent="0.25">
      <c r="A9" s="88" t="s">
        <v>983</v>
      </c>
      <c r="B9" t="str">
        <f>IF($B$4="Multiple Menu Types",B6&amp;B5,B6&amp;B4)</f>
        <v>Q1Enter Customer(s)</v>
      </c>
      <c r="E9" s="1">
        <v>0.45</v>
      </c>
      <c r="F9" s="54">
        <v>5.6000000000000001E-2</v>
      </c>
      <c r="G9" s="54">
        <v>8.6999999999999994E-2</v>
      </c>
      <c r="H9" s="54">
        <v>0.10100000000000001</v>
      </c>
      <c r="I9" s="54">
        <v>0.12</v>
      </c>
      <c r="J9" s="54">
        <v>0.16700000000000001</v>
      </c>
      <c r="L9" s="866" t="s">
        <v>1202</v>
      </c>
      <c r="M9" s="49">
        <v>4.0000000000000001E-3</v>
      </c>
      <c r="O9" s="1" t="s">
        <v>569</v>
      </c>
      <c r="P9" s="1" t="s">
        <v>274</v>
      </c>
      <c r="Q9" s="1" t="s">
        <v>62</v>
      </c>
      <c r="R9" s="54">
        <v>0.106</v>
      </c>
    </row>
    <row r="10" spans="1:18" x14ac:dyDescent="0.25">
      <c r="A10" s="88"/>
      <c r="E10" s="1">
        <v>0.5</v>
      </c>
      <c r="F10" s="54">
        <v>0.05</v>
      </c>
      <c r="G10" s="54">
        <v>9.1999999999999998E-2</v>
      </c>
      <c r="H10" s="54">
        <v>0.108</v>
      </c>
      <c r="I10" s="54">
        <v>0.124</v>
      </c>
      <c r="J10" s="54">
        <v>0.16600000000000001</v>
      </c>
      <c r="L10" s="866" t="s">
        <v>1203</v>
      </c>
      <c r="M10" s="49">
        <v>4.4999999999999997E-3</v>
      </c>
      <c r="O10" s="1" t="s">
        <v>570</v>
      </c>
      <c r="P10" s="1" t="s">
        <v>218</v>
      </c>
      <c r="Q10" s="1" t="s">
        <v>74</v>
      </c>
      <c r="R10" s="54">
        <v>7.1999999999999995E-2</v>
      </c>
    </row>
    <row r="11" spans="1:18" x14ac:dyDescent="0.25">
      <c r="A11" s="88" t="s">
        <v>984</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4">
        <v>5.8000000000000003E-2</v>
      </c>
      <c r="G11" s="54">
        <v>9.7000000000000003E-2</v>
      </c>
      <c r="H11" s="54">
        <v>0.111</v>
      </c>
      <c r="I11" s="54">
        <v>0.124</v>
      </c>
      <c r="J11" s="54">
        <v>0.158</v>
      </c>
      <c r="L11" s="866" t="s">
        <v>1204</v>
      </c>
      <c r="M11" s="49">
        <v>5.0000000000000001E-3</v>
      </c>
      <c r="O11" s="1" t="s">
        <v>571</v>
      </c>
      <c r="P11" s="1" t="s">
        <v>219</v>
      </c>
      <c r="Q11" s="1" t="s">
        <v>74</v>
      </c>
      <c r="R11" s="54">
        <v>0.109</v>
      </c>
    </row>
    <row r="12" spans="1:18" x14ac:dyDescent="0.25">
      <c r="A12" s="88" t="s">
        <v>985</v>
      </c>
      <c r="B12">
        <f>IFERROR(VLOOKUP($B$9,$O:$R,4,FALSE),0)</f>
        <v>0</v>
      </c>
      <c r="E12" s="1">
        <v>0.6</v>
      </c>
      <c r="F12" s="54">
        <v>6.6000000000000003E-2</v>
      </c>
      <c r="G12" s="54">
        <v>0.10299999999999999</v>
      </c>
      <c r="H12" s="54">
        <v>0.11899999999999999</v>
      </c>
      <c r="I12" s="54">
        <v>0.13700000000000001</v>
      </c>
      <c r="J12" s="54">
        <v>0.184</v>
      </c>
      <c r="L12" s="866" t="s">
        <v>1205</v>
      </c>
      <c r="M12" s="49">
        <v>5.4999999999999997E-3</v>
      </c>
      <c r="O12" s="1" t="s">
        <v>572</v>
      </c>
      <c r="P12" s="1" t="s">
        <v>220</v>
      </c>
      <c r="Q12" s="1" t="s">
        <v>74</v>
      </c>
      <c r="R12" s="54">
        <v>0.14299999999999999</v>
      </c>
    </row>
    <row r="13" spans="1:18" x14ac:dyDescent="0.25">
      <c r="A13" s="88"/>
      <c r="E13" s="1">
        <v>0.65</v>
      </c>
      <c r="F13" s="54">
        <v>7.4999999999999997E-2</v>
      </c>
      <c r="G13" s="54">
        <v>0.111</v>
      </c>
      <c r="H13" s="54">
        <v>0.123</v>
      </c>
      <c r="I13" s="54">
        <v>0.13600000000000001</v>
      </c>
      <c r="J13" s="54">
        <v>0.17299999999999999</v>
      </c>
      <c r="L13" s="866" t="s">
        <v>1206</v>
      </c>
      <c r="M13" s="49">
        <v>6.0000000000000001E-3</v>
      </c>
      <c r="O13" s="1" t="s">
        <v>573</v>
      </c>
      <c r="P13" s="1" t="s">
        <v>274</v>
      </c>
      <c r="Q13" s="1" t="s">
        <v>74</v>
      </c>
      <c r="R13" s="54">
        <v>0.14299999999999999</v>
      </c>
    </row>
    <row r="14" spans="1:18" x14ac:dyDescent="0.25">
      <c r="A14" s="88" t="s">
        <v>939</v>
      </c>
      <c r="B14" s="41">
        <f>'PIM Model'!$G$31</f>
        <v>0</v>
      </c>
      <c r="E14" s="1">
        <v>0.7</v>
      </c>
      <c r="F14" s="54">
        <v>0.08</v>
      </c>
      <c r="G14" s="54">
        <v>0.113</v>
      </c>
      <c r="H14" s="54">
        <v>0.126</v>
      </c>
      <c r="I14" s="54">
        <v>0.15</v>
      </c>
      <c r="J14" s="54">
        <v>0.20200000000000001</v>
      </c>
      <c r="L14" s="866" t="s">
        <v>1207</v>
      </c>
      <c r="M14" s="49">
        <v>6.4999999999999997E-3</v>
      </c>
      <c r="O14" s="1" t="s">
        <v>574</v>
      </c>
      <c r="P14" s="1" t="s">
        <v>218</v>
      </c>
      <c r="Q14" s="1" t="s">
        <v>34</v>
      </c>
      <c r="R14" s="54">
        <v>6.2E-2</v>
      </c>
    </row>
    <row r="15" spans="1:18" x14ac:dyDescent="0.25">
      <c r="A15" s="88" t="s">
        <v>986</v>
      </c>
      <c r="B15" s="41">
        <f>B12*B14</f>
        <v>0</v>
      </c>
      <c r="E15" s="1">
        <v>0.75</v>
      </c>
      <c r="F15" s="54">
        <v>7.8E-2</v>
      </c>
      <c r="G15" s="54">
        <v>0.108</v>
      </c>
      <c r="H15" s="54">
        <v>0.128</v>
      </c>
      <c r="I15" s="54">
        <v>0.154</v>
      </c>
      <c r="J15" s="54">
        <v>0.21</v>
      </c>
      <c r="L15" s="866" t="s">
        <v>1208</v>
      </c>
      <c r="M15" s="49">
        <v>7.0000000000000001E-3</v>
      </c>
      <c r="O15" s="1" t="s">
        <v>575</v>
      </c>
      <c r="P15" s="1" t="s">
        <v>219</v>
      </c>
      <c r="Q15" s="1" t="s">
        <v>34</v>
      </c>
      <c r="R15" s="54">
        <v>0.10199999999999999</v>
      </c>
    </row>
    <row r="16" spans="1:18" x14ac:dyDescent="0.25">
      <c r="A16" s="88" t="s">
        <v>984</v>
      </c>
      <c r="B16">
        <f>B14*B11</f>
        <v>0</v>
      </c>
      <c r="E16" s="1">
        <v>0.8</v>
      </c>
      <c r="F16" s="54">
        <v>9.7000000000000003E-2</v>
      </c>
      <c r="G16" s="54">
        <v>0.13200000000000001</v>
      </c>
      <c r="H16" s="54">
        <v>0.129</v>
      </c>
      <c r="I16" s="54">
        <v>0.156</v>
      </c>
      <c r="J16" s="54">
        <v>0.17</v>
      </c>
      <c r="L16" s="866" t="s">
        <v>1209</v>
      </c>
      <c r="M16" s="49">
        <v>7.4999999999999997E-3</v>
      </c>
      <c r="O16" s="1" t="s">
        <v>576</v>
      </c>
      <c r="P16" s="1" t="s">
        <v>220</v>
      </c>
      <c r="Q16" s="1" t="s">
        <v>34</v>
      </c>
      <c r="R16" s="54">
        <v>0.11700000000000001</v>
      </c>
    </row>
    <row r="17" spans="2:18" x14ac:dyDescent="0.25">
      <c r="E17" s="1" t="s">
        <v>481</v>
      </c>
      <c r="F17" s="54">
        <v>9.9000000000000005E-2</v>
      </c>
      <c r="G17" s="54">
        <v>0.10800000000000001</v>
      </c>
      <c r="H17" s="54">
        <v>0.129</v>
      </c>
      <c r="I17" s="54">
        <v>0.151</v>
      </c>
      <c r="J17" s="54">
        <v>0.155</v>
      </c>
      <c r="L17" s="867" t="s">
        <v>1210</v>
      </c>
      <c r="M17" s="49">
        <v>8.0000000000000002E-3</v>
      </c>
      <c r="O17" s="1" t="s">
        <v>577</v>
      </c>
      <c r="P17" s="1" t="s">
        <v>274</v>
      </c>
      <c r="Q17" s="1" t="s">
        <v>34</v>
      </c>
      <c r="R17" s="54">
        <v>0.11700000000000001</v>
      </c>
    </row>
    <row r="18" spans="2:18" x14ac:dyDescent="0.25">
      <c r="L18" s="866" t="s">
        <v>1211</v>
      </c>
      <c r="M18" s="49">
        <v>8.5000000000000006E-3</v>
      </c>
      <c r="O18" s="1" t="s">
        <v>578</v>
      </c>
      <c r="P18" s="1" t="s">
        <v>218</v>
      </c>
      <c r="Q18" s="1" t="s">
        <v>0</v>
      </c>
      <c r="R18" s="54">
        <v>5.3999999999999999E-2</v>
      </c>
    </row>
    <row r="19" spans="2:18" x14ac:dyDescent="0.25">
      <c r="B19" t="s">
        <v>1073</v>
      </c>
      <c r="C19">
        <f>IF(Welcome!$D$14="Select # of Locations",0,Welcome!$D$14)</f>
        <v>0</v>
      </c>
      <c r="L19" s="866" t="s">
        <v>1212</v>
      </c>
      <c r="M19" s="49">
        <v>8.9999999999999993E-3</v>
      </c>
      <c r="O19" s="1" t="s">
        <v>579</v>
      </c>
      <c r="P19" s="1" t="s">
        <v>219</v>
      </c>
      <c r="Q19" s="1" t="s">
        <v>0</v>
      </c>
      <c r="R19" s="54">
        <v>8.7999999999999995E-2</v>
      </c>
    </row>
    <row r="20" spans="2:18" x14ac:dyDescent="0.25">
      <c r="B20">
        <f>'PIM Model'!$E$3</f>
        <v>0</v>
      </c>
      <c r="E20" s="1169" t="s">
        <v>1068</v>
      </c>
      <c r="F20" s="1170"/>
      <c r="G20" s="1171"/>
      <c r="L20" s="1"/>
      <c r="M20" s="49">
        <v>9.4999999999999998E-3</v>
      </c>
      <c r="O20" s="1" t="s">
        <v>580</v>
      </c>
      <c r="P20" s="1" t="s">
        <v>220</v>
      </c>
      <c r="Q20" s="1" t="s">
        <v>0</v>
      </c>
      <c r="R20" s="54">
        <v>0.112</v>
      </c>
    </row>
    <row r="21" spans="2:18" x14ac:dyDescent="0.25">
      <c r="B21" t="s">
        <v>502</v>
      </c>
      <c r="C21" s="41">
        <f>'PIM Model'!$G$31</f>
        <v>0</v>
      </c>
      <c r="E21" s="90" t="s">
        <v>1075</v>
      </c>
      <c r="F21" s="721">
        <v>2600</v>
      </c>
      <c r="G21" s="54">
        <v>5.6000000000000001E-2</v>
      </c>
      <c r="H21" s="24"/>
      <c r="O21" s="1" t="s">
        <v>581</v>
      </c>
      <c r="P21" s="1" t="s">
        <v>274</v>
      </c>
      <c r="Q21" s="1" t="s">
        <v>0</v>
      </c>
      <c r="R21" s="54">
        <v>0.112</v>
      </c>
    </row>
    <row r="22" spans="2:18" x14ac:dyDescent="0.25">
      <c r="B22" t="s">
        <v>503</v>
      </c>
      <c r="C22" s="41">
        <f>$C$21/52</f>
        <v>0</v>
      </c>
      <c r="D22" t="s">
        <v>1092</v>
      </c>
      <c r="E22" s="90" t="s">
        <v>1076</v>
      </c>
      <c r="F22" s="721">
        <v>4600</v>
      </c>
      <c r="G22" s="54">
        <v>6.3E-2</v>
      </c>
      <c r="H22" s="24"/>
      <c r="L22" s="1168" t="s">
        <v>113</v>
      </c>
      <c r="M22" s="1168"/>
      <c r="O22" s="1" t="s">
        <v>582</v>
      </c>
      <c r="P22" s="1" t="s">
        <v>218</v>
      </c>
      <c r="Q22" s="1" t="s">
        <v>69</v>
      </c>
      <c r="R22" s="54">
        <v>7.6999999999999999E-2</v>
      </c>
    </row>
    <row r="23" spans="2:18" x14ac:dyDescent="0.25">
      <c r="B23" t="s">
        <v>1074</v>
      </c>
      <c r="C23" s="41" t="e">
        <f>$C$22/C19</f>
        <v>#DIV/0!</v>
      </c>
      <c r="E23" s="90" t="s">
        <v>1077</v>
      </c>
      <c r="F23" s="721">
        <v>8300</v>
      </c>
      <c r="G23" s="54">
        <v>5.2999999999999999E-2</v>
      </c>
      <c r="H23" s="24"/>
      <c r="L23" s="1169" t="s">
        <v>1066</v>
      </c>
      <c r="M23" s="1171"/>
      <c r="O23" s="1" t="s">
        <v>583</v>
      </c>
      <c r="P23" s="1" t="s">
        <v>219</v>
      </c>
      <c r="Q23" s="1" t="s">
        <v>69</v>
      </c>
      <c r="R23" s="54">
        <v>0.122</v>
      </c>
    </row>
    <row r="24" spans="2:18" x14ac:dyDescent="0.25">
      <c r="B24" t="s">
        <v>1070</v>
      </c>
      <c r="C24" s="24">
        <v>0.08</v>
      </c>
      <c r="D24" s="24" t="e">
        <f>IF($C$23&lt;$F$21,$G$21,IF($C$23&lt;$F$22,$G$22,IF($C$23&lt;$F$23,$G$23,IF($C$23&lt;$F$24,$G$24,$G$25))))</f>
        <v>#DIV/0!</v>
      </c>
      <c r="E24" s="90" t="s">
        <v>1078</v>
      </c>
      <c r="F24" s="721">
        <v>17000</v>
      </c>
      <c r="G24" s="54">
        <v>7.2999999999999995E-2</v>
      </c>
      <c r="H24" s="24"/>
      <c r="L24" s="432" t="s">
        <v>1195</v>
      </c>
      <c r="M24" s="49">
        <f t="shared" ref="M24:M29" si="0">M25-0.0005</f>
        <v>4.9999999999999975E-3</v>
      </c>
      <c r="O24" s="1" t="s">
        <v>584</v>
      </c>
      <c r="P24" s="1" t="s">
        <v>220</v>
      </c>
      <c r="Q24" s="1" t="s">
        <v>69</v>
      </c>
      <c r="R24" s="54">
        <v>0.151</v>
      </c>
    </row>
    <row r="25" spans="2:18" x14ac:dyDescent="0.25">
      <c r="B25" t="s">
        <v>1071</v>
      </c>
      <c r="C25" s="24">
        <v>0.08</v>
      </c>
      <c r="D25" s="24" t="e">
        <f>IF($C$23&lt;$F$29,$G$29,IF($C$23&lt;$F$30,$G$30,IF($C$23&lt;$F$31,$G$31,IF($C$23&lt;$F$32,$G$32,$G$33))))</f>
        <v>#DIV/0!</v>
      </c>
      <c r="E25" s="90" t="s">
        <v>1079</v>
      </c>
      <c r="F25" s="721"/>
      <c r="G25" s="54">
        <v>6.0999999999999999E-2</v>
      </c>
      <c r="H25" s="24"/>
      <c r="K25" s="823"/>
      <c r="L25" s="432" t="s">
        <v>1196</v>
      </c>
      <c r="M25" s="49">
        <f t="shared" si="0"/>
        <v>5.4999999999999979E-3</v>
      </c>
      <c r="O25" s="1" t="s">
        <v>585</v>
      </c>
      <c r="P25" s="1" t="s">
        <v>274</v>
      </c>
      <c r="Q25" s="1" t="s">
        <v>69</v>
      </c>
      <c r="R25" s="54">
        <v>0.151</v>
      </c>
    </row>
    <row r="26" spans="2:18" x14ac:dyDescent="0.25">
      <c r="B26" t="s">
        <v>1072</v>
      </c>
      <c r="C26" s="24">
        <f>IF($B$20="MDA",$C$24,$C$25)</f>
        <v>0.08</v>
      </c>
      <c r="E26" s="88"/>
      <c r="G26" s="24"/>
      <c r="H26" s="24"/>
      <c r="K26" s="823"/>
      <c r="L26" s="432" t="s">
        <v>1197</v>
      </c>
      <c r="M26" s="49">
        <f t="shared" si="0"/>
        <v>5.9999999999999984E-3</v>
      </c>
      <c r="O26" s="1" t="s">
        <v>586</v>
      </c>
      <c r="P26" s="1" t="s">
        <v>218</v>
      </c>
      <c r="Q26" s="1" t="s">
        <v>4</v>
      </c>
      <c r="R26" s="54">
        <v>6.5000000000000002E-2</v>
      </c>
    </row>
    <row r="27" spans="2:18" x14ac:dyDescent="0.25">
      <c r="B27" t="s">
        <v>501</v>
      </c>
      <c r="C27" s="24">
        <f>'Tracking &amp; Profitability'!$I$34</f>
        <v>0</v>
      </c>
      <c r="E27" s="88"/>
      <c r="K27" s="823"/>
      <c r="L27" s="432" t="s">
        <v>1198</v>
      </c>
      <c r="M27" s="49">
        <f t="shared" si="0"/>
        <v>6.4999999999999988E-3</v>
      </c>
      <c r="O27" s="1" t="s">
        <v>587</v>
      </c>
      <c r="P27" s="1" t="s">
        <v>219</v>
      </c>
      <c r="Q27" s="1" t="s">
        <v>4</v>
      </c>
      <c r="R27" s="54">
        <v>9.2999999999999999E-2</v>
      </c>
    </row>
    <row r="28" spans="2:18" x14ac:dyDescent="0.25">
      <c r="C28" s="24">
        <f>IFERROR(IF($C$27&gt;$C$26,"Approved",C26-C27),0)</f>
        <v>0.08</v>
      </c>
      <c r="E28" s="1168" t="s">
        <v>1069</v>
      </c>
      <c r="F28" s="1168"/>
      <c r="G28" s="1168"/>
      <c r="K28" s="823"/>
      <c r="L28" s="432" t="s">
        <v>1199</v>
      </c>
      <c r="M28" s="49">
        <f t="shared" si="0"/>
        <v>6.9999999999999993E-3</v>
      </c>
      <c r="O28" s="1" t="s">
        <v>588</v>
      </c>
      <c r="P28" s="1" t="s">
        <v>220</v>
      </c>
      <c r="Q28" s="1" t="s">
        <v>4</v>
      </c>
      <c r="R28" s="54">
        <v>0.11600000000000001</v>
      </c>
    </row>
    <row r="29" spans="2:18" x14ac:dyDescent="0.25">
      <c r="E29" s="90" t="s">
        <v>1080</v>
      </c>
      <c r="F29" s="721">
        <v>1500</v>
      </c>
      <c r="G29" s="54">
        <v>8.3000000000000004E-2</v>
      </c>
      <c r="H29" s="24"/>
      <c r="K29" s="823"/>
      <c r="L29" s="432" t="s">
        <v>1200</v>
      </c>
      <c r="M29" s="49">
        <f t="shared" si="0"/>
        <v>7.4999999999999997E-3</v>
      </c>
      <c r="O29" s="1" t="s">
        <v>589</v>
      </c>
      <c r="P29" s="1" t="s">
        <v>274</v>
      </c>
      <c r="Q29" s="1" t="s">
        <v>4</v>
      </c>
      <c r="R29" s="54">
        <v>0.11600000000000001</v>
      </c>
    </row>
    <row r="30" spans="2:18" x14ac:dyDescent="0.25">
      <c r="E30" s="90" t="s">
        <v>1081</v>
      </c>
      <c r="F30" s="721">
        <v>2400</v>
      </c>
      <c r="G30" s="54">
        <v>8.3000000000000004E-2</v>
      </c>
      <c r="H30" s="24"/>
      <c r="K30" s="823"/>
      <c r="L30" s="841" t="s">
        <v>1201</v>
      </c>
      <c r="M30" s="842">
        <v>8.0000000000000002E-3</v>
      </c>
      <c r="O30" s="1" t="s">
        <v>590</v>
      </c>
      <c r="P30" s="1" t="s">
        <v>218</v>
      </c>
      <c r="Q30" s="1" t="s">
        <v>35</v>
      </c>
      <c r="R30" s="54">
        <v>8.6999999999999994E-2</v>
      </c>
    </row>
    <row r="31" spans="2:18" x14ac:dyDescent="0.25">
      <c r="E31" s="90" t="s">
        <v>1082</v>
      </c>
      <c r="F31" s="721">
        <v>4100</v>
      </c>
      <c r="G31" s="54">
        <v>8.3000000000000004E-2</v>
      </c>
      <c r="H31" s="24"/>
      <c r="K31" s="823"/>
      <c r="L31" s="432" t="s">
        <v>1202</v>
      </c>
      <c r="M31" s="49">
        <f>M30+0.0005</f>
        <v>8.5000000000000006E-3</v>
      </c>
      <c r="O31" s="1" t="s">
        <v>591</v>
      </c>
      <c r="P31" s="1" t="s">
        <v>219</v>
      </c>
      <c r="Q31" s="1" t="s">
        <v>35</v>
      </c>
      <c r="R31" s="54">
        <v>8.6999999999999994E-2</v>
      </c>
    </row>
    <row r="32" spans="2:18" x14ac:dyDescent="0.25">
      <c r="E32" s="90" t="s">
        <v>1083</v>
      </c>
      <c r="F32" s="721">
        <v>8000</v>
      </c>
      <c r="G32" s="54">
        <v>8.2000000000000003E-2</v>
      </c>
      <c r="H32" s="24"/>
      <c r="K32" s="823"/>
      <c r="L32" s="432" t="s">
        <v>1203</v>
      </c>
      <c r="M32" s="49">
        <f>M31+0.0005</f>
        <v>9.0000000000000011E-3</v>
      </c>
      <c r="O32" s="1" t="s">
        <v>592</v>
      </c>
      <c r="P32" s="1" t="s">
        <v>220</v>
      </c>
      <c r="Q32" s="1" t="s">
        <v>35</v>
      </c>
      <c r="R32" s="54">
        <v>0.11700000000000001</v>
      </c>
    </row>
    <row r="33" spans="1:18" x14ac:dyDescent="0.25">
      <c r="E33" s="90" t="s">
        <v>1084</v>
      </c>
      <c r="F33" s="721"/>
      <c r="G33" s="54">
        <v>7.9000000000000001E-2</v>
      </c>
      <c r="H33" s="24"/>
      <c r="K33" s="823"/>
      <c r="L33" s="432" t="s">
        <v>1204</v>
      </c>
      <c r="M33" s="49">
        <f t="shared" ref="M33:M42" si="1">M32+0.0005</f>
        <v>9.5000000000000015E-3</v>
      </c>
      <c r="O33" s="1" t="s">
        <v>593</v>
      </c>
      <c r="P33" s="1" t="s">
        <v>274</v>
      </c>
      <c r="Q33" s="1" t="s">
        <v>35</v>
      </c>
      <c r="R33" s="54">
        <v>0.11700000000000001</v>
      </c>
    </row>
    <row r="34" spans="1:18" ht="15.75" thickBot="1" x14ac:dyDescent="0.3">
      <c r="G34" s="24"/>
      <c r="H34" s="24"/>
      <c r="K34" s="823"/>
      <c r="L34" s="432" t="s">
        <v>1205</v>
      </c>
      <c r="M34" s="49">
        <f t="shared" si="1"/>
        <v>1.0000000000000002E-2</v>
      </c>
      <c r="O34" s="1" t="s">
        <v>594</v>
      </c>
      <c r="P34" s="1" t="s">
        <v>218</v>
      </c>
      <c r="Q34" s="1" t="s">
        <v>6</v>
      </c>
      <c r="R34" s="54">
        <v>0.06</v>
      </c>
    </row>
    <row r="35" spans="1:18" ht="15.75" thickBot="1" x14ac:dyDescent="0.3">
      <c r="A35" s="462" t="s">
        <v>989</v>
      </c>
      <c r="K35" s="823"/>
      <c r="L35" s="432" t="s">
        <v>1206</v>
      </c>
      <c r="M35" s="49">
        <f t="shared" si="1"/>
        <v>1.0500000000000002E-2</v>
      </c>
      <c r="O35" s="1" t="s">
        <v>595</v>
      </c>
      <c r="P35" s="1" t="s">
        <v>219</v>
      </c>
      <c r="Q35" s="1" t="s">
        <v>6</v>
      </c>
      <c r="R35" s="54">
        <v>0.106</v>
      </c>
    </row>
    <row r="36" spans="1:18" ht="15.75" thickBot="1" x14ac:dyDescent="0.3">
      <c r="A36" s="458" t="s">
        <v>977</v>
      </c>
      <c r="B36" s="455" t="s">
        <v>938</v>
      </c>
      <c r="C36" s="452" t="s">
        <v>473</v>
      </c>
      <c r="D36" s="452" t="s">
        <v>978</v>
      </c>
      <c r="E36" s="452" t="s">
        <v>981</v>
      </c>
      <c r="F36" s="452" t="s">
        <v>251</v>
      </c>
      <c r="G36" s="452" t="s">
        <v>980</v>
      </c>
      <c r="H36" s="453" t="s">
        <v>987</v>
      </c>
      <c r="I36" s="454" t="s">
        <v>979</v>
      </c>
      <c r="J36" s="453" t="s">
        <v>988</v>
      </c>
      <c r="K36" s="823"/>
      <c r="L36" s="432" t="s">
        <v>1207</v>
      </c>
      <c r="M36" s="49">
        <f t="shared" si="1"/>
        <v>1.1000000000000003E-2</v>
      </c>
      <c r="O36" s="1" t="s">
        <v>596</v>
      </c>
      <c r="P36" s="1" t="s">
        <v>220</v>
      </c>
      <c r="Q36" s="1" t="s">
        <v>6</v>
      </c>
      <c r="R36" s="54">
        <v>0.12</v>
      </c>
    </row>
    <row r="37" spans="1:18" x14ac:dyDescent="0.25">
      <c r="A37" s="459">
        <v>1</v>
      </c>
      <c r="B37" s="456" t="str">
        <f>'Customer Inputs'!T6</f>
        <v/>
      </c>
      <c r="C37" s="32">
        <f>'Customer Inputs'!M6</f>
        <v>0</v>
      </c>
      <c r="D37" s="448" t="str">
        <f>'Customer Inputs'!V6</f>
        <v/>
      </c>
      <c r="E37" s="32" t="str">
        <f t="shared" ref="E37:E46" si="2">IF($D37&lt;0.25,"Q1",IF($D37&lt;0.5,"Q2",IF($D37&lt;0.75,"Q3","Q4")))</f>
        <v>Q4</v>
      </c>
      <c r="F37" s="32" t="str">
        <f>E37&amp;B37</f>
        <v>Q4</v>
      </c>
      <c r="G37" s="32">
        <f t="shared" ref="G37:G46" si="3">IFERROR(VLOOKUP($F37,$O:$R,4,FALSE),0)</f>
        <v>0</v>
      </c>
      <c r="H37" s="449">
        <f>IF(Welcome!$D$6="HOSPITALITY",IFERROR(VLOOKUP("" &amp; CEILING(D37,0.05),$L$24:$M$42,2,0),$M$42),IFERROR(VLOOKUP(""&amp;CEILING(D37,0.05),$L$2:$M$20,2,0),$M$20))</f>
        <v>9.4999999999999998E-3</v>
      </c>
      <c r="I37" s="450">
        <f>G37*C37</f>
        <v>0</v>
      </c>
      <c r="J37" s="451">
        <f>H37*C37</f>
        <v>0</v>
      </c>
      <c r="K37" s="823"/>
      <c r="L37" s="432" t="s">
        <v>1208</v>
      </c>
      <c r="M37" s="49">
        <f t="shared" si="1"/>
        <v>1.1500000000000003E-2</v>
      </c>
      <c r="O37" s="1" t="s">
        <v>597</v>
      </c>
      <c r="P37" s="1" t="s">
        <v>274</v>
      </c>
      <c r="Q37" s="1" t="s">
        <v>6</v>
      </c>
      <c r="R37" s="54">
        <v>0.17</v>
      </c>
    </row>
    <row r="38" spans="1:18" x14ac:dyDescent="0.25">
      <c r="A38" s="460">
        <v>2</v>
      </c>
      <c r="B38" s="318" t="str">
        <f>'Customer Inputs'!T7</f>
        <v/>
      </c>
      <c r="C38" s="1">
        <f>'Customer Inputs'!M7</f>
        <v>0</v>
      </c>
      <c r="D38" s="443" t="str">
        <f>'Customer Inputs'!V7</f>
        <v/>
      </c>
      <c r="E38" s="1" t="str">
        <f t="shared" si="2"/>
        <v>Q4</v>
      </c>
      <c r="F38" s="1" t="str">
        <f t="shared" ref="F38:F46" si="4">E38&amp;B38</f>
        <v>Q4</v>
      </c>
      <c r="G38" s="1">
        <f t="shared" si="3"/>
        <v>0</v>
      </c>
      <c r="H38" s="449">
        <f>IF(Welcome!$D$6="HOSPITALITY",IFERROR(VLOOKUP("" &amp; CEILING(D38,0.05),$L$24:$M$42,2,0),$M$42),IFERROR(VLOOKUP(""&amp;CEILING(D38,0.05),$L$2:$M$20,2,0),$M$20))</f>
        <v>9.4999999999999998E-3</v>
      </c>
      <c r="I38" s="444">
        <f t="shared" ref="I38:I46" si="5">G38*C38</f>
        <v>0</v>
      </c>
      <c r="J38" s="445">
        <f t="shared" ref="J38:J46" si="6">H38*C38</f>
        <v>0</v>
      </c>
      <c r="K38" s="823"/>
      <c r="L38" s="432" t="s">
        <v>1209</v>
      </c>
      <c r="M38" s="49">
        <f t="shared" si="1"/>
        <v>1.2000000000000004E-2</v>
      </c>
      <c r="O38" s="1" t="s">
        <v>598</v>
      </c>
      <c r="P38" s="1" t="s">
        <v>218</v>
      </c>
      <c r="Q38" s="1" t="s">
        <v>264</v>
      </c>
      <c r="R38" s="54">
        <v>5.9000000000000004E-2</v>
      </c>
    </row>
    <row r="39" spans="1:18" x14ac:dyDescent="0.25">
      <c r="A39" s="460">
        <v>3</v>
      </c>
      <c r="B39" s="318" t="str">
        <f>'Customer Inputs'!T8</f>
        <v/>
      </c>
      <c r="C39" s="1">
        <f>'Customer Inputs'!M8</f>
        <v>0</v>
      </c>
      <c r="D39" s="443" t="str">
        <f>'Customer Inputs'!V8</f>
        <v/>
      </c>
      <c r="E39" s="1" t="str">
        <f t="shared" si="2"/>
        <v>Q4</v>
      </c>
      <c r="F39" s="1" t="str">
        <f t="shared" si="4"/>
        <v>Q4</v>
      </c>
      <c r="G39" s="1">
        <f t="shared" si="3"/>
        <v>0</v>
      </c>
      <c r="H39" s="449">
        <f>IF(Welcome!$D$6="HOSPITALITY",IFERROR(VLOOKUP("" &amp; CEILING(D39,0.05),$L$24:$M$42,2,0),$M$42),IFERROR(VLOOKUP(""&amp;CEILING(D39,0.05),$L$2:$M$20,2,0),$M$20))</f>
        <v>9.4999999999999998E-3</v>
      </c>
      <c r="I39" s="444">
        <f t="shared" si="5"/>
        <v>0</v>
      </c>
      <c r="J39" s="445">
        <f t="shared" si="6"/>
        <v>0</v>
      </c>
      <c r="K39" s="823"/>
      <c r="L39" s="433" t="s">
        <v>1210</v>
      </c>
      <c r="M39" s="49">
        <f t="shared" si="1"/>
        <v>1.2500000000000004E-2</v>
      </c>
      <c r="O39" s="1" t="s">
        <v>599</v>
      </c>
      <c r="P39" s="1" t="s">
        <v>219</v>
      </c>
      <c r="Q39" s="1" t="s">
        <v>264</v>
      </c>
      <c r="R39" s="54">
        <v>9.9000000000000005E-2</v>
      </c>
    </row>
    <row r="40" spans="1:18" x14ac:dyDescent="0.25">
      <c r="A40" s="460">
        <v>4</v>
      </c>
      <c r="B40" s="318" t="str">
        <f>'Customer Inputs'!T9</f>
        <v/>
      </c>
      <c r="C40" s="1">
        <f>'Customer Inputs'!M9</f>
        <v>0</v>
      </c>
      <c r="D40" s="443" t="str">
        <f>'Customer Inputs'!V9</f>
        <v/>
      </c>
      <c r="E40" s="1" t="str">
        <f t="shared" si="2"/>
        <v>Q4</v>
      </c>
      <c r="F40" s="1" t="str">
        <f t="shared" si="4"/>
        <v>Q4</v>
      </c>
      <c r="G40" s="1">
        <f t="shared" si="3"/>
        <v>0</v>
      </c>
      <c r="H40" s="449">
        <f>IF(Welcome!$D$6="HOSPITALITY",IFERROR(VLOOKUP("" &amp; CEILING(D40,0.05),$L$24:$M$42,2,0),$M$42),IFERROR(VLOOKUP(""&amp;CEILING(D40,0.05),$L$2:$M$20,2,0),$M$20))</f>
        <v>9.4999999999999998E-3</v>
      </c>
      <c r="I40" s="444">
        <f t="shared" si="5"/>
        <v>0</v>
      </c>
      <c r="J40" s="445">
        <f t="shared" si="6"/>
        <v>0</v>
      </c>
      <c r="K40" s="823"/>
      <c r="L40" s="432" t="s">
        <v>1211</v>
      </c>
      <c r="M40" s="49">
        <f t="shared" si="1"/>
        <v>1.3000000000000005E-2</v>
      </c>
      <c r="O40" s="1" t="s">
        <v>600</v>
      </c>
      <c r="P40" s="1" t="s">
        <v>220</v>
      </c>
      <c r="Q40" s="1" t="s">
        <v>264</v>
      </c>
      <c r="R40" s="54">
        <v>0.11900000000000001</v>
      </c>
    </row>
    <row r="41" spans="1:18" x14ac:dyDescent="0.25">
      <c r="A41" s="460">
        <v>5</v>
      </c>
      <c r="B41" s="318" t="str">
        <f>'Customer Inputs'!T10</f>
        <v/>
      </c>
      <c r="C41" s="1">
        <f>'Customer Inputs'!M10</f>
        <v>0</v>
      </c>
      <c r="D41" s="443" t="str">
        <f>'Customer Inputs'!V10</f>
        <v/>
      </c>
      <c r="E41" s="1" t="str">
        <f t="shared" si="2"/>
        <v>Q4</v>
      </c>
      <c r="F41" s="1" t="str">
        <f t="shared" si="4"/>
        <v>Q4</v>
      </c>
      <c r="G41" s="1">
        <f t="shared" si="3"/>
        <v>0</v>
      </c>
      <c r="H41" s="449">
        <f>IF(Welcome!$D$6="HOSPITALITY",IFERROR(VLOOKUP("" &amp; CEILING(D41,0.05),$L$24:$M$42,2,0),$M$42),IFERROR(VLOOKUP(""&amp;CEILING(D41,0.05),$L$2:$M$20,2,0),$M$20))</f>
        <v>9.4999999999999998E-3</v>
      </c>
      <c r="I41" s="444">
        <f t="shared" si="5"/>
        <v>0</v>
      </c>
      <c r="J41" s="445">
        <f t="shared" si="6"/>
        <v>0</v>
      </c>
      <c r="K41" s="823"/>
      <c r="L41" s="432" t="s">
        <v>1212</v>
      </c>
      <c r="M41" s="49">
        <f t="shared" si="1"/>
        <v>1.3500000000000005E-2</v>
      </c>
      <c r="O41" s="1" t="s">
        <v>601</v>
      </c>
      <c r="P41" s="1" t="s">
        <v>274</v>
      </c>
      <c r="Q41" s="1" t="s">
        <v>264</v>
      </c>
      <c r="R41" s="54">
        <v>0.15</v>
      </c>
    </row>
    <row r="42" spans="1:18" x14ac:dyDescent="0.25">
      <c r="A42" s="460">
        <v>6</v>
      </c>
      <c r="B42" s="318" t="str">
        <f>'Customer Inputs'!T11</f>
        <v/>
      </c>
      <c r="C42" s="1">
        <f>'Customer Inputs'!M11</f>
        <v>0</v>
      </c>
      <c r="D42" s="443" t="str">
        <f>'Customer Inputs'!V11</f>
        <v/>
      </c>
      <c r="E42" s="1" t="str">
        <f t="shared" si="2"/>
        <v>Q4</v>
      </c>
      <c r="F42" s="1" t="str">
        <f t="shared" si="4"/>
        <v>Q4</v>
      </c>
      <c r="G42" s="1">
        <f t="shared" si="3"/>
        <v>0</v>
      </c>
      <c r="H42" s="449">
        <f>IF(Welcome!$D$6="HOSPITALITY",IFERROR(VLOOKUP("" &amp; CEILING(D42,0.05),$L$24:$M$42,2,0),$M$42),IFERROR(VLOOKUP(""&amp;CEILING(D42,0.05),$L$2:$M$20,2,0),$M$20))</f>
        <v>9.4999999999999998E-3</v>
      </c>
      <c r="I42" s="444">
        <f t="shared" si="5"/>
        <v>0</v>
      </c>
      <c r="J42" s="445">
        <f t="shared" si="6"/>
        <v>0</v>
      </c>
      <c r="K42" s="823"/>
      <c r="L42" s="824" t="s">
        <v>1213</v>
      </c>
      <c r="M42" s="49">
        <f t="shared" si="1"/>
        <v>1.4000000000000005E-2</v>
      </c>
      <c r="O42" s="1" t="s">
        <v>602</v>
      </c>
      <c r="P42" s="1" t="s">
        <v>218</v>
      </c>
      <c r="Q42" s="1" t="s">
        <v>15</v>
      </c>
      <c r="R42" s="54">
        <v>4.5999999999999999E-2</v>
      </c>
    </row>
    <row r="43" spans="1:18" x14ac:dyDescent="0.25">
      <c r="A43" s="460">
        <v>7</v>
      </c>
      <c r="B43" s="318" t="str">
        <f>'Customer Inputs'!T12</f>
        <v/>
      </c>
      <c r="C43" s="1">
        <f>'Customer Inputs'!M12</f>
        <v>0</v>
      </c>
      <c r="D43" s="443" t="str">
        <f>'Customer Inputs'!V12</f>
        <v/>
      </c>
      <c r="E43" s="1" t="str">
        <f t="shared" si="2"/>
        <v>Q4</v>
      </c>
      <c r="F43" s="1" t="str">
        <f t="shared" si="4"/>
        <v>Q4</v>
      </c>
      <c r="G43" s="1">
        <f t="shared" si="3"/>
        <v>0</v>
      </c>
      <c r="H43" s="449">
        <f>IF(Welcome!$D$6="HOSPITALITY",IFERROR(VLOOKUP("" &amp; CEILING(D43,0.05),$L$24:$M$42,2,0),$M$42),IFERROR(VLOOKUP(""&amp;CEILING(D43,0.05),$L$2:$M$20,2,0),$M$20))</f>
        <v>9.4999999999999998E-3</v>
      </c>
      <c r="I43" s="444">
        <f t="shared" si="5"/>
        <v>0</v>
      </c>
      <c r="J43" s="445">
        <f t="shared" si="6"/>
        <v>0</v>
      </c>
      <c r="O43" s="1" t="s">
        <v>603</v>
      </c>
      <c r="P43" s="1" t="s">
        <v>219</v>
      </c>
      <c r="Q43" s="1" t="s">
        <v>15</v>
      </c>
      <c r="R43" s="54">
        <v>0.109</v>
      </c>
    </row>
    <row r="44" spans="1:18" x14ac:dyDescent="0.25">
      <c r="A44" s="460">
        <v>8</v>
      </c>
      <c r="B44" s="318" t="str">
        <f>'Customer Inputs'!T13</f>
        <v/>
      </c>
      <c r="C44" s="1">
        <f>'Customer Inputs'!M13</f>
        <v>0</v>
      </c>
      <c r="D44" s="443" t="str">
        <f>'Customer Inputs'!V13</f>
        <v/>
      </c>
      <c r="E44" s="1" t="str">
        <f t="shared" si="2"/>
        <v>Q4</v>
      </c>
      <c r="F44" s="1" t="str">
        <f t="shared" si="4"/>
        <v>Q4</v>
      </c>
      <c r="G44" s="1">
        <f t="shared" si="3"/>
        <v>0</v>
      </c>
      <c r="H44" s="449">
        <f>IF(Welcome!$D$6="HOSPITALITY",IFERROR(VLOOKUP("" &amp; CEILING(D44,0.05),$L$24:$M$42,2,0),$M$42),IFERROR(VLOOKUP(""&amp;CEILING(D44,0.05),$L$2:$M$20,2,0),$M$20))</f>
        <v>9.4999999999999998E-3</v>
      </c>
      <c r="I44" s="444">
        <f t="shared" si="5"/>
        <v>0</v>
      </c>
      <c r="J44" s="445">
        <f t="shared" si="6"/>
        <v>0</v>
      </c>
      <c r="O44" s="1" t="s">
        <v>604</v>
      </c>
      <c r="P44" s="1" t="s">
        <v>220</v>
      </c>
      <c r="Q44" s="1" t="s">
        <v>15</v>
      </c>
      <c r="R44" s="54">
        <v>0.11600000000000001</v>
      </c>
    </row>
    <row r="45" spans="1:18" x14ac:dyDescent="0.25">
      <c r="A45" s="460">
        <v>9</v>
      </c>
      <c r="B45" s="318" t="str">
        <f>'Customer Inputs'!T14</f>
        <v/>
      </c>
      <c r="C45" s="1">
        <f>'Customer Inputs'!M14</f>
        <v>0</v>
      </c>
      <c r="D45" s="443" t="str">
        <f>'Customer Inputs'!V14</f>
        <v/>
      </c>
      <c r="E45" s="1" t="str">
        <f t="shared" si="2"/>
        <v>Q4</v>
      </c>
      <c r="F45" s="1" t="str">
        <f t="shared" si="4"/>
        <v>Q4</v>
      </c>
      <c r="G45" s="1">
        <f t="shared" si="3"/>
        <v>0</v>
      </c>
      <c r="H45" s="449">
        <f>IF(Welcome!$D$6="HOSPITALITY",IFERROR(VLOOKUP("" &amp; CEILING(D45,0.05),$L$24:$M$42,2,0),$M$42),IFERROR(VLOOKUP(""&amp;CEILING(D45,0.05),$L$2:$M$20,2,0),$M$20))</f>
        <v>9.4999999999999998E-3</v>
      </c>
      <c r="I45" s="444">
        <f t="shared" si="5"/>
        <v>0</v>
      </c>
      <c r="J45" s="445">
        <f t="shared" si="6"/>
        <v>0</v>
      </c>
      <c r="O45" s="1" t="s">
        <v>605</v>
      </c>
      <c r="P45" s="1" t="s">
        <v>274</v>
      </c>
      <c r="Q45" s="1" t="s">
        <v>15</v>
      </c>
      <c r="R45" s="54">
        <v>0.11600000000000001</v>
      </c>
    </row>
    <row r="46" spans="1:18" ht="15.75" thickBot="1" x14ac:dyDescent="0.3">
      <c r="A46" s="461">
        <v>10</v>
      </c>
      <c r="B46" s="457" t="str">
        <f>'Customer Inputs'!T15</f>
        <v/>
      </c>
      <c r="C46" s="36">
        <f>'Customer Inputs'!M15</f>
        <v>0</v>
      </c>
      <c r="D46" s="356" t="str">
        <f>'Customer Inputs'!V15</f>
        <v/>
      </c>
      <c r="E46" s="36" t="str">
        <f t="shared" si="2"/>
        <v>Q4</v>
      </c>
      <c r="F46" s="36" t="str">
        <f t="shared" si="4"/>
        <v>Q4</v>
      </c>
      <c r="G46" s="36">
        <f t="shared" si="3"/>
        <v>0</v>
      </c>
      <c r="H46" s="449">
        <f>IF(Welcome!$D$6="HOSPITALITY",IFERROR(VLOOKUP("" &amp; CEILING(D46,0.05),$L$24:$M$42,2,0),$M$42),IFERROR(VLOOKUP(""&amp;CEILING(D46,0.05),$L$2:$M$20,2,0),$M$20))</f>
        <v>9.4999999999999998E-3</v>
      </c>
      <c r="I46" s="446">
        <f t="shared" si="5"/>
        <v>0</v>
      </c>
      <c r="J46" s="447">
        <f t="shared" si="6"/>
        <v>0</v>
      </c>
      <c r="O46" s="1" t="s">
        <v>606</v>
      </c>
      <c r="P46" s="1" t="s">
        <v>218</v>
      </c>
      <c r="Q46" s="1" t="s">
        <v>45</v>
      </c>
      <c r="R46" s="54">
        <v>5.1999999999999998E-2</v>
      </c>
    </row>
    <row r="47" spans="1:18" ht="15.75" thickBot="1" x14ac:dyDescent="0.3">
      <c r="I47" s="463">
        <f>SUM(I37:I46)</f>
        <v>0</v>
      </c>
      <c r="J47" s="464">
        <f>SUM(J37:J46)</f>
        <v>0</v>
      </c>
      <c r="O47" s="1" t="s">
        <v>607</v>
      </c>
      <c r="P47" s="1" t="s">
        <v>219</v>
      </c>
      <c r="Q47" s="1" t="s">
        <v>45</v>
      </c>
      <c r="R47" s="54">
        <v>6.3E-2</v>
      </c>
    </row>
    <row r="48" spans="1:18" x14ac:dyDescent="0.25">
      <c r="O48" s="1" t="s">
        <v>608</v>
      </c>
      <c r="P48" s="1" t="s">
        <v>220</v>
      </c>
      <c r="Q48" s="1" t="s">
        <v>45</v>
      </c>
      <c r="R48" s="54">
        <v>0.115</v>
      </c>
    </row>
    <row r="49" spans="4:18" x14ac:dyDescent="0.25">
      <c r="O49" s="1" t="s">
        <v>609</v>
      </c>
      <c r="P49" s="1" t="s">
        <v>274</v>
      </c>
      <c r="Q49" s="1" t="s">
        <v>45</v>
      </c>
      <c r="R49" s="54">
        <v>0.115</v>
      </c>
    </row>
    <row r="50" spans="4:18" x14ac:dyDescent="0.25">
      <c r="O50" s="1" t="s">
        <v>610</v>
      </c>
      <c r="P50" s="1" t="s">
        <v>218</v>
      </c>
      <c r="Q50" s="1" t="s">
        <v>265</v>
      </c>
      <c r="R50" s="54">
        <v>5.9000000000000004E-2</v>
      </c>
    </row>
    <row r="51" spans="4:18" x14ac:dyDescent="0.25">
      <c r="O51" s="1" t="s">
        <v>611</v>
      </c>
      <c r="P51" s="1" t="s">
        <v>219</v>
      </c>
      <c r="Q51" s="1" t="s">
        <v>265</v>
      </c>
      <c r="R51" s="54">
        <v>9.9000000000000005E-2</v>
      </c>
    </row>
    <row r="52" spans="4:18" x14ac:dyDescent="0.25">
      <c r="O52" s="1" t="s">
        <v>612</v>
      </c>
      <c r="P52" s="1" t="s">
        <v>220</v>
      </c>
      <c r="Q52" s="1" t="s">
        <v>265</v>
      </c>
      <c r="R52" s="54">
        <v>0.11900000000000001</v>
      </c>
    </row>
    <row r="53" spans="4:18" x14ac:dyDescent="0.25">
      <c r="O53" s="1" t="s">
        <v>613</v>
      </c>
      <c r="P53" s="1" t="s">
        <v>274</v>
      </c>
      <c r="Q53" s="1" t="s">
        <v>265</v>
      </c>
      <c r="R53" s="54">
        <v>0.15</v>
      </c>
    </row>
    <row r="54" spans="4:18" x14ac:dyDescent="0.25">
      <c r="D54" s="62"/>
      <c r="H54" s="840"/>
      <c r="O54" s="1" t="s">
        <v>614</v>
      </c>
      <c r="P54" s="1" t="s">
        <v>218</v>
      </c>
      <c r="Q54" s="1" t="s">
        <v>48</v>
      </c>
      <c r="R54" s="54">
        <v>5.8999999999999997E-2</v>
      </c>
    </row>
    <row r="55" spans="4:18" x14ac:dyDescent="0.25">
      <c r="E55" s="42"/>
      <c r="G55" s="62"/>
      <c r="O55" s="1" t="s">
        <v>615</v>
      </c>
      <c r="P55" s="1" t="s">
        <v>219</v>
      </c>
      <c r="Q55" s="1" t="s">
        <v>48</v>
      </c>
      <c r="R55" s="54">
        <v>9.9000000000000005E-2</v>
      </c>
    </row>
    <row r="56" spans="4:18" x14ac:dyDescent="0.25">
      <c r="D56" s="42"/>
      <c r="O56" s="1" t="s">
        <v>616</v>
      </c>
      <c r="P56" s="1" t="s">
        <v>220</v>
      </c>
      <c r="Q56" s="1" t="s">
        <v>48</v>
      </c>
      <c r="R56" s="54">
        <v>0.13900000000000001</v>
      </c>
    </row>
    <row r="57" spans="4:18" x14ac:dyDescent="0.25">
      <c r="O57" s="1" t="s">
        <v>617</v>
      </c>
      <c r="P57" s="1" t="s">
        <v>274</v>
      </c>
      <c r="Q57" s="1" t="s">
        <v>48</v>
      </c>
      <c r="R57" s="54">
        <v>0.13900000000000001</v>
      </c>
    </row>
    <row r="58" spans="4:18" x14ac:dyDescent="0.25">
      <c r="O58" s="1" t="s">
        <v>618</v>
      </c>
      <c r="P58" s="1" t="s">
        <v>218</v>
      </c>
      <c r="Q58" s="1" t="s">
        <v>266</v>
      </c>
      <c r="R58" s="54">
        <v>5.9000000000000004E-2</v>
      </c>
    </row>
    <row r="59" spans="4:18" x14ac:dyDescent="0.25">
      <c r="O59" s="1" t="s">
        <v>619</v>
      </c>
      <c r="P59" s="1" t="s">
        <v>219</v>
      </c>
      <c r="Q59" s="1" t="s">
        <v>266</v>
      </c>
      <c r="R59" s="54">
        <v>9.9000000000000005E-2</v>
      </c>
    </row>
    <row r="60" spans="4:18" x14ac:dyDescent="0.25">
      <c r="O60" s="1" t="s">
        <v>620</v>
      </c>
      <c r="P60" s="1" t="s">
        <v>220</v>
      </c>
      <c r="Q60" s="1" t="s">
        <v>266</v>
      </c>
      <c r="R60" s="54">
        <v>0.11900000000000001</v>
      </c>
    </row>
    <row r="61" spans="4:18" x14ac:dyDescent="0.25">
      <c r="O61" s="1" t="s">
        <v>621</v>
      </c>
      <c r="P61" s="1" t="s">
        <v>274</v>
      </c>
      <c r="Q61" s="1" t="s">
        <v>266</v>
      </c>
      <c r="R61" s="54">
        <v>0.15</v>
      </c>
    </row>
    <row r="62" spans="4:18" x14ac:dyDescent="0.25">
      <c r="O62" s="1" t="s">
        <v>622</v>
      </c>
      <c r="P62" s="1" t="s">
        <v>218</v>
      </c>
      <c r="Q62" s="1" t="s">
        <v>267</v>
      </c>
      <c r="R62" s="54">
        <v>5.9000000000000004E-2</v>
      </c>
    </row>
    <row r="63" spans="4:18" x14ac:dyDescent="0.25">
      <c r="O63" s="1" t="s">
        <v>623</v>
      </c>
      <c r="P63" s="1" t="s">
        <v>219</v>
      </c>
      <c r="Q63" s="1" t="s">
        <v>267</v>
      </c>
      <c r="R63" s="54">
        <v>9.9000000000000005E-2</v>
      </c>
    </row>
    <row r="64" spans="4:18" x14ac:dyDescent="0.25">
      <c r="O64" s="1" t="s">
        <v>624</v>
      </c>
      <c r="P64" s="1" t="s">
        <v>220</v>
      </c>
      <c r="Q64" s="1" t="s">
        <v>267</v>
      </c>
      <c r="R64" s="54">
        <v>0.11900000000000001</v>
      </c>
    </row>
    <row r="65" spans="15:18" x14ac:dyDescent="0.25">
      <c r="O65" s="1" t="s">
        <v>625</v>
      </c>
      <c r="P65" s="1" t="s">
        <v>274</v>
      </c>
      <c r="Q65" s="1" t="s">
        <v>267</v>
      </c>
      <c r="R65" s="54">
        <v>0.15</v>
      </c>
    </row>
    <row r="66" spans="15:18" x14ac:dyDescent="0.25">
      <c r="O66" s="1" t="s">
        <v>626</v>
      </c>
      <c r="P66" s="1" t="s">
        <v>218</v>
      </c>
      <c r="Q66" s="1" t="s">
        <v>268</v>
      </c>
      <c r="R66" s="54">
        <v>5.0999999999999997E-2</v>
      </c>
    </row>
    <row r="67" spans="15:18" x14ac:dyDescent="0.25">
      <c r="O67" s="1" t="s">
        <v>627</v>
      </c>
      <c r="P67" s="1" t="s">
        <v>219</v>
      </c>
      <c r="Q67" s="1" t="s">
        <v>268</v>
      </c>
      <c r="R67" s="54">
        <v>0.108</v>
      </c>
    </row>
    <row r="68" spans="15:18" x14ac:dyDescent="0.25">
      <c r="O68" s="1" t="s">
        <v>628</v>
      </c>
      <c r="P68" s="1" t="s">
        <v>220</v>
      </c>
      <c r="Q68" s="1" t="s">
        <v>268</v>
      </c>
      <c r="R68" s="54">
        <v>0.121</v>
      </c>
    </row>
    <row r="69" spans="15:18" x14ac:dyDescent="0.25">
      <c r="O69" s="1" t="s">
        <v>629</v>
      </c>
      <c r="P69" s="1" t="s">
        <v>274</v>
      </c>
      <c r="Q69" s="1" t="s">
        <v>268</v>
      </c>
      <c r="R69" s="54">
        <v>0.155</v>
      </c>
    </row>
    <row r="70" spans="15:18" x14ac:dyDescent="0.25">
      <c r="O70" s="1" t="s">
        <v>630</v>
      </c>
      <c r="P70" s="1" t="s">
        <v>218</v>
      </c>
      <c r="Q70" s="1" t="s">
        <v>60</v>
      </c>
      <c r="R70" s="54">
        <v>5.0999999999999997E-2</v>
      </c>
    </row>
    <row r="71" spans="15:18" x14ac:dyDescent="0.25">
      <c r="O71" s="1" t="s">
        <v>631</v>
      </c>
      <c r="P71" s="1" t="s">
        <v>219</v>
      </c>
      <c r="Q71" s="1" t="s">
        <v>60</v>
      </c>
      <c r="R71" s="54">
        <v>0.108</v>
      </c>
    </row>
    <row r="72" spans="15:18" x14ac:dyDescent="0.25">
      <c r="O72" s="1" t="s">
        <v>632</v>
      </c>
      <c r="P72" s="1" t="s">
        <v>220</v>
      </c>
      <c r="Q72" s="1" t="s">
        <v>60</v>
      </c>
      <c r="R72" s="54">
        <v>0.121</v>
      </c>
    </row>
    <row r="73" spans="15:18" x14ac:dyDescent="0.25">
      <c r="O73" s="1" t="s">
        <v>633</v>
      </c>
      <c r="P73" s="1" t="s">
        <v>274</v>
      </c>
      <c r="Q73" s="1" t="s">
        <v>60</v>
      </c>
      <c r="R73" s="54">
        <v>0.155</v>
      </c>
    </row>
    <row r="74" spans="15:18" x14ac:dyDescent="0.25">
      <c r="O74" s="1" t="s">
        <v>634</v>
      </c>
      <c r="P74" s="1" t="s">
        <v>218</v>
      </c>
      <c r="Q74" s="1" t="s">
        <v>20</v>
      </c>
      <c r="R74" s="54">
        <v>7.0999999999999994E-2</v>
      </c>
    </row>
    <row r="75" spans="15:18" x14ac:dyDescent="0.25">
      <c r="O75" s="1" t="s">
        <v>635</v>
      </c>
      <c r="P75" s="1" t="s">
        <v>219</v>
      </c>
      <c r="Q75" s="1" t="s">
        <v>20</v>
      </c>
      <c r="R75" s="54">
        <v>8.7999999999999995E-2</v>
      </c>
    </row>
    <row r="76" spans="15:18" x14ac:dyDescent="0.25">
      <c r="O76" s="1" t="s">
        <v>636</v>
      </c>
      <c r="P76" s="1" t="s">
        <v>220</v>
      </c>
      <c r="Q76" s="1" t="s">
        <v>20</v>
      </c>
      <c r="R76" s="54">
        <v>0.107</v>
      </c>
    </row>
    <row r="77" spans="15:18" x14ac:dyDescent="0.25">
      <c r="O77" s="1" t="s">
        <v>637</v>
      </c>
      <c r="P77" s="1" t="s">
        <v>274</v>
      </c>
      <c r="Q77" s="1" t="s">
        <v>20</v>
      </c>
      <c r="R77" s="54">
        <v>0.107</v>
      </c>
    </row>
    <row r="78" spans="15:18" x14ac:dyDescent="0.25">
      <c r="O78" s="1" t="s">
        <v>638</v>
      </c>
      <c r="P78" s="1" t="s">
        <v>218</v>
      </c>
      <c r="Q78" s="1" t="s">
        <v>269</v>
      </c>
      <c r="R78" s="54">
        <v>5.9000000000000004E-2</v>
      </c>
    </row>
    <row r="79" spans="15:18" x14ac:dyDescent="0.25">
      <c r="O79" s="1" t="s">
        <v>639</v>
      </c>
      <c r="P79" s="1" t="s">
        <v>219</v>
      </c>
      <c r="Q79" s="1" t="s">
        <v>269</v>
      </c>
      <c r="R79" s="54">
        <v>9.9000000000000005E-2</v>
      </c>
    </row>
    <row r="80" spans="15:18" x14ac:dyDescent="0.25">
      <c r="O80" s="1" t="s">
        <v>640</v>
      </c>
      <c r="P80" s="1" t="s">
        <v>220</v>
      </c>
      <c r="Q80" s="1" t="s">
        <v>269</v>
      </c>
      <c r="R80" s="54">
        <v>0.11900000000000001</v>
      </c>
    </row>
    <row r="81" spans="15:18" x14ac:dyDescent="0.25">
      <c r="O81" s="1" t="s">
        <v>641</v>
      </c>
      <c r="P81" s="1" t="s">
        <v>274</v>
      </c>
      <c r="Q81" s="1" t="s">
        <v>269</v>
      </c>
      <c r="R81" s="54">
        <v>0.15</v>
      </c>
    </row>
    <row r="82" spans="15:18" x14ac:dyDescent="0.25">
      <c r="O82" s="1" t="s">
        <v>642</v>
      </c>
      <c r="P82" s="1" t="s">
        <v>218</v>
      </c>
      <c r="Q82" s="1" t="s">
        <v>270</v>
      </c>
      <c r="R82" s="54">
        <v>5.9000000000000004E-2</v>
      </c>
    </row>
    <row r="83" spans="15:18" x14ac:dyDescent="0.25">
      <c r="O83" s="1" t="s">
        <v>643</v>
      </c>
      <c r="P83" s="1" t="s">
        <v>219</v>
      </c>
      <c r="Q83" s="1" t="s">
        <v>270</v>
      </c>
      <c r="R83" s="54">
        <v>9.9000000000000005E-2</v>
      </c>
    </row>
    <row r="84" spans="15:18" x14ac:dyDescent="0.25">
      <c r="O84" s="1" t="s">
        <v>644</v>
      </c>
      <c r="P84" s="1" t="s">
        <v>220</v>
      </c>
      <c r="Q84" s="1" t="s">
        <v>270</v>
      </c>
      <c r="R84" s="54">
        <v>0.11900000000000001</v>
      </c>
    </row>
    <row r="85" spans="15:18" x14ac:dyDescent="0.25">
      <c r="O85" s="1" t="s">
        <v>645</v>
      </c>
      <c r="P85" s="1" t="s">
        <v>274</v>
      </c>
      <c r="Q85" s="1" t="s">
        <v>270</v>
      </c>
      <c r="R85" s="54">
        <v>0.15</v>
      </c>
    </row>
    <row r="86" spans="15:18" x14ac:dyDescent="0.25">
      <c r="O86" s="1" t="s">
        <v>646</v>
      </c>
      <c r="P86" s="1" t="s">
        <v>218</v>
      </c>
      <c r="Q86" s="1" t="s">
        <v>36</v>
      </c>
      <c r="R86" s="54">
        <v>4.3999999999999997E-2</v>
      </c>
    </row>
    <row r="87" spans="15:18" x14ac:dyDescent="0.25">
      <c r="O87" s="1" t="s">
        <v>647</v>
      </c>
      <c r="P87" s="1" t="s">
        <v>219</v>
      </c>
      <c r="Q87" s="1" t="s">
        <v>36</v>
      </c>
      <c r="R87" s="54">
        <v>8.6999999999999994E-2</v>
      </c>
    </row>
    <row r="88" spans="15:18" x14ac:dyDescent="0.25">
      <c r="O88" s="1" t="s">
        <v>648</v>
      </c>
      <c r="P88" s="1" t="s">
        <v>220</v>
      </c>
      <c r="Q88" s="1" t="s">
        <v>36</v>
      </c>
      <c r="R88" s="54">
        <v>9.2999999999999999E-2</v>
      </c>
    </row>
    <row r="89" spans="15:18" x14ac:dyDescent="0.25">
      <c r="O89" s="1" t="s">
        <v>649</v>
      </c>
      <c r="P89" s="1" t="s">
        <v>274</v>
      </c>
      <c r="Q89" s="1" t="s">
        <v>36</v>
      </c>
      <c r="R89" s="54">
        <v>0.14899999999999999</v>
      </c>
    </row>
    <row r="90" spans="15:18" x14ac:dyDescent="0.25">
      <c r="O90" s="1" t="s">
        <v>650</v>
      </c>
      <c r="P90" s="1" t="s">
        <v>218</v>
      </c>
      <c r="Q90" s="1" t="s">
        <v>71</v>
      </c>
      <c r="R90" s="54">
        <v>5.9000000000000004E-2</v>
      </c>
    </row>
    <row r="91" spans="15:18" x14ac:dyDescent="0.25">
      <c r="O91" s="1" t="s">
        <v>651</v>
      </c>
      <c r="P91" s="1" t="s">
        <v>219</v>
      </c>
      <c r="Q91" s="1" t="s">
        <v>71</v>
      </c>
      <c r="R91" s="54">
        <v>9.9000000000000005E-2</v>
      </c>
    </row>
    <row r="92" spans="15:18" x14ac:dyDescent="0.25">
      <c r="O92" s="1" t="s">
        <v>652</v>
      </c>
      <c r="P92" s="1" t="s">
        <v>220</v>
      </c>
      <c r="Q92" s="1" t="s">
        <v>71</v>
      </c>
      <c r="R92" s="54">
        <v>0.11900000000000001</v>
      </c>
    </row>
    <row r="93" spans="15:18" x14ac:dyDescent="0.25">
      <c r="O93" s="1" t="s">
        <v>653</v>
      </c>
      <c r="P93" s="1" t="s">
        <v>274</v>
      </c>
      <c r="Q93" s="1" t="s">
        <v>71</v>
      </c>
      <c r="R93" s="54">
        <v>0.15</v>
      </c>
    </row>
    <row r="94" spans="15:18" x14ac:dyDescent="0.25">
      <c r="O94" s="1" t="s">
        <v>654</v>
      </c>
      <c r="P94" s="1" t="s">
        <v>218</v>
      </c>
      <c r="Q94" s="1" t="s">
        <v>11</v>
      </c>
      <c r="R94" s="54">
        <v>6.2E-2</v>
      </c>
    </row>
    <row r="95" spans="15:18" x14ac:dyDescent="0.25">
      <c r="O95" s="1" t="s">
        <v>655</v>
      </c>
      <c r="P95" s="1" t="s">
        <v>219</v>
      </c>
      <c r="Q95" s="1" t="s">
        <v>11</v>
      </c>
      <c r="R95" s="54">
        <v>9.4E-2</v>
      </c>
    </row>
    <row r="96" spans="15:18" x14ac:dyDescent="0.25">
      <c r="O96" s="1" t="s">
        <v>656</v>
      </c>
      <c r="P96" s="1" t="s">
        <v>220</v>
      </c>
      <c r="Q96" s="1" t="s">
        <v>11</v>
      </c>
      <c r="R96" s="54">
        <v>0.112</v>
      </c>
    </row>
    <row r="97" spans="15:18" x14ac:dyDescent="0.25">
      <c r="O97" s="1" t="s">
        <v>657</v>
      </c>
      <c r="P97" s="1" t="s">
        <v>274</v>
      </c>
      <c r="Q97" s="1" t="s">
        <v>11</v>
      </c>
      <c r="R97" s="54">
        <v>0.112</v>
      </c>
    </row>
    <row r="98" spans="15:18" x14ac:dyDescent="0.25">
      <c r="O98" s="1" t="s">
        <v>658</v>
      </c>
      <c r="P98" s="1" t="s">
        <v>218</v>
      </c>
      <c r="Q98" s="1" t="s">
        <v>271</v>
      </c>
      <c r="R98" s="54">
        <v>5.9000000000000004E-2</v>
      </c>
    </row>
    <row r="99" spans="15:18" x14ac:dyDescent="0.25">
      <c r="O99" s="1" t="s">
        <v>659</v>
      </c>
      <c r="P99" s="1" t="s">
        <v>219</v>
      </c>
      <c r="Q99" s="1" t="s">
        <v>271</v>
      </c>
      <c r="R99" s="54">
        <v>9.9000000000000005E-2</v>
      </c>
    </row>
    <row r="100" spans="15:18" x14ac:dyDescent="0.25">
      <c r="O100" s="1" t="s">
        <v>660</v>
      </c>
      <c r="P100" s="1" t="s">
        <v>220</v>
      </c>
      <c r="Q100" s="1" t="s">
        <v>271</v>
      </c>
      <c r="R100" s="54">
        <v>0.11900000000000001</v>
      </c>
    </row>
    <row r="101" spans="15:18" x14ac:dyDescent="0.25">
      <c r="O101" s="1" t="s">
        <v>661</v>
      </c>
      <c r="P101" s="1" t="s">
        <v>274</v>
      </c>
      <c r="Q101" s="1" t="s">
        <v>271</v>
      </c>
      <c r="R101" s="54">
        <v>0.15</v>
      </c>
    </row>
    <row r="102" spans="15:18" x14ac:dyDescent="0.25">
      <c r="O102" s="1" t="s">
        <v>662</v>
      </c>
      <c r="P102" s="1" t="s">
        <v>218</v>
      </c>
      <c r="Q102" s="1" t="s">
        <v>272</v>
      </c>
      <c r="R102" s="54">
        <v>5.9000000000000004E-2</v>
      </c>
    </row>
    <row r="103" spans="15:18" x14ac:dyDescent="0.25">
      <c r="O103" s="1" t="s">
        <v>663</v>
      </c>
      <c r="P103" s="1" t="s">
        <v>219</v>
      </c>
      <c r="Q103" s="1" t="s">
        <v>272</v>
      </c>
      <c r="R103" s="54">
        <v>9.9000000000000005E-2</v>
      </c>
    </row>
    <row r="104" spans="15:18" x14ac:dyDescent="0.25">
      <c r="O104" s="1" t="s">
        <v>664</v>
      </c>
      <c r="P104" s="1" t="s">
        <v>220</v>
      </c>
      <c r="Q104" s="1" t="s">
        <v>272</v>
      </c>
      <c r="R104" s="54">
        <v>0.11900000000000001</v>
      </c>
    </row>
    <row r="105" spans="15:18" x14ac:dyDescent="0.25">
      <c r="O105" s="1" t="s">
        <v>665</v>
      </c>
      <c r="P105" s="1" t="s">
        <v>274</v>
      </c>
      <c r="Q105" s="1" t="s">
        <v>272</v>
      </c>
      <c r="R105" s="54">
        <v>0.15</v>
      </c>
    </row>
    <row r="106" spans="15:18" x14ac:dyDescent="0.25">
      <c r="O106" s="1" t="s">
        <v>666</v>
      </c>
      <c r="P106" s="1" t="s">
        <v>218</v>
      </c>
      <c r="Q106" s="1" t="s">
        <v>9</v>
      </c>
      <c r="R106" s="54">
        <v>5.0999999999999997E-2</v>
      </c>
    </row>
    <row r="107" spans="15:18" x14ac:dyDescent="0.25">
      <c r="O107" s="1" t="s">
        <v>667</v>
      </c>
      <c r="P107" s="1" t="s">
        <v>219</v>
      </c>
      <c r="Q107" s="1" t="s">
        <v>9</v>
      </c>
      <c r="R107" s="54">
        <v>0.10100000000000001</v>
      </c>
    </row>
    <row r="108" spans="15:18" x14ac:dyDescent="0.25">
      <c r="O108" s="1" t="s">
        <v>668</v>
      </c>
      <c r="P108" s="1" t="s">
        <v>220</v>
      </c>
      <c r="Q108" s="1" t="s">
        <v>9</v>
      </c>
      <c r="R108" s="54">
        <v>0.14199999999999999</v>
      </c>
    </row>
    <row r="109" spans="15:18" x14ac:dyDescent="0.25">
      <c r="O109" s="1" t="s">
        <v>669</v>
      </c>
      <c r="P109" s="1" t="s">
        <v>274</v>
      </c>
      <c r="Q109" s="1" t="s">
        <v>9</v>
      </c>
      <c r="R109" s="54">
        <v>0.14199999999999999</v>
      </c>
    </row>
    <row r="110" spans="15:18" x14ac:dyDescent="0.25">
      <c r="O110" s="1" t="s">
        <v>670</v>
      </c>
      <c r="P110" s="1" t="s">
        <v>218</v>
      </c>
      <c r="Q110" s="1" t="s">
        <v>38</v>
      </c>
      <c r="R110" s="54">
        <v>6.5000000000000002E-2</v>
      </c>
    </row>
    <row r="111" spans="15:18" x14ac:dyDescent="0.25">
      <c r="O111" s="1" t="s">
        <v>671</v>
      </c>
      <c r="P111" s="1" t="s">
        <v>219</v>
      </c>
      <c r="Q111" s="1" t="s">
        <v>38</v>
      </c>
      <c r="R111" s="54">
        <v>0.09</v>
      </c>
    </row>
    <row r="112" spans="15:18" x14ac:dyDescent="0.25">
      <c r="O112" s="1" t="s">
        <v>672</v>
      </c>
      <c r="P112" s="1" t="s">
        <v>220</v>
      </c>
      <c r="Q112" s="1" t="s">
        <v>38</v>
      </c>
      <c r="R112" s="54">
        <v>0.09</v>
      </c>
    </row>
    <row r="113" spans="15:18" x14ac:dyDescent="0.25">
      <c r="O113" s="1" t="s">
        <v>673</v>
      </c>
      <c r="P113" s="1" t="s">
        <v>274</v>
      </c>
      <c r="Q113" s="1" t="s">
        <v>38</v>
      </c>
      <c r="R113" s="54">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ET85"/>
  <sheetViews>
    <sheetView topLeftCell="A25" workbookViewId="0">
      <selection activeCell="N37" sqref="N3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12" max="12" width="16.28515625" bestFit="1" customWidth="1"/>
    <col min="13" max="13" width="35.85546875" bestFit="1" customWidth="1"/>
    <col min="14" max="14" width="9.28515625" bestFit="1" customWidth="1"/>
    <col min="15" max="15" width="14.7109375" bestFit="1" customWidth="1"/>
    <col min="16" max="16" width="10" bestFit="1" customWidth="1"/>
    <col min="17" max="17" width="9" bestFit="1" customWidth="1"/>
    <col min="18" max="18" width="9.28515625" bestFit="1" customWidth="1"/>
    <col min="19" max="20" width="8.5703125" customWidth="1"/>
    <col min="21" max="21" width="28.28515625" bestFit="1" customWidth="1"/>
    <col min="22" max="22" width="9.28515625" bestFit="1" customWidth="1"/>
    <col min="23" max="23" width="9.140625" bestFit="1" customWidth="1"/>
    <col min="24" max="24" width="8.5703125" bestFit="1" customWidth="1"/>
    <col min="25" max="26" width="5.28515625" bestFit="1" customWidth="1"/>
    <col min="27" max="27" width="8.5703125" customWidth="1"/>
    <col min="28" max="28" width="28.28515625" bestFit="1" customWidth="1"/>
    <col min="29" max="33" width="8.5703125" customWidth="1"/>
    <col min="34" max="34" width="4.42578125" bestFit="1" customWidth="1"/>
    <col min="35" max="40" width="9.7109375" customWidth="1"/>
    <col min="41" max="43" width="8.5703125" customWidth="1"/>
    <col min="44" max="44" width="5.42578125" customWidth="1"/>
    <col min="45" max="45" width="14.7109375" customWidth="1"/>
    <col min="46" max="46" width="28.28515625" bestFit="1" customWidth="1"/>
    <col min="47" max="47" width="19.28515625" bestFit="1" customWidth="1"/>
    <col min="48" max="48" width="9.7109375" bestFit="1" customWidth="1"/>
    <col min="49" max="49" width="11.28515625" bestFit="1" customWidth="1"/>
    <col min="50" max="50" width="10.5703125" bestFit="1" customWidth="1"/>
    <col min="51" max="51" width="9.140625" bestFit="1" customWidth="1"/>
    <col min="52" max="52" width="8.5703125" bestFit="1" customWidth="1"/>
    <col min="55" max="55" width="28.28515625" bestFit="1" customWidth="1"/>
    <col min="56" max="56" width="17.5703125" bestFit="1" customWidth="1"/>
    <col min="64" max="64" width="28.28515625" bestFit="1" customWidth="1"/>
    <col min="65" max="65" width="17.5703125" bestFit="1" customWidth="1"/>
    <col min="73" max="73" width="28.28515625" bestFit="1" customWidth="1"/>
    <col min="74" max="74" width="17.5703125" bestFit="1" customWidth="1"/>
    <col min="82" max="82" width="28.28515625" bestFit="1" customWidth="1"/>
    <col min="83" max="83" width="17.5703125" bestFit="1" customWidth="1"/>
    <col min="91" max="91" width="28.28515625" bestFit="1" customWidth="1"/>
    <col min="92" max="92" width="17.5703125" bestFit="1" customWidth="1"/>
    <col min="100" max="100" width="28.28515625" bestFit="1" customWidth="1"/>
    <col min="101" max="101" width="17.5703125" bestFit="1" customWidth="1"/>
    <col min="109" max="109" width="28.28515625" bestFit="1" customWidth="1"/>
    <col min="110" max="110" width="17.5703125" bestFit="1" customWidth="1"/>
    <col min="118" max="118" width="28.28515625" bestFit="1" customWidth="1"/>
    <col min="119" max="119" width="17.5703125" bestFit="1" customWidth="1"/>
    <col min="126" max="126" width="15" customWidth="1"/>
    <col min="127" max="127" width="28.28515625" bestFit="1" customWidth="1"/>
    <col min="128" max="128" width="17.5703125" bestFit="1" customWidth="1"/>
    <col min="129" max="129" width="7.85546875" bestFit="1" customWidth="1"/>
    <col min="130" max="130" width="9.28515625" bestFit="1" customWidth="1"/>
    <col min="131" max="131" width="9" bestFit="1" customWidth="1"/>
    <col min="132" max="133" width="7.7109375" bestFit="1" customWidth="1"/>
    <col min="135" max="135" width="28.28515625" bestFit="1" customWidth="1"/>
    <col min="136" max="136" width="7.5703125" bestFit="1" customWidth="1"/>
    <col min="137" max="137" width="7.85546875" bestFit="1" customWidth="1"/>
    <col min="138" max="138" width="9.28515625" bestFit="1" customWidth="1"/>
    <col min="139" max="139" width="9" bestFit="1" customWidth="1"/>
    <col min="140" max="140" width="7.7109375" bestFit="1" customWidth="1"/>
    <col min="141" max="141" width="6.7109375" bestFit="1" customWidth="1"/>
    <col min="143" max="143" width="13" bestFit="1" customWidth="1"/>
    <col min="144" max="144" width="28.28515625" bestFit="1" customWidth="1"/>
    <col min="145" max="145" width="7.5703125" bestFit="1" customWidth="1"/>
    <col min="146" max="146" width="7.85546875" bestFit="1" customWidth="1"/>
    <col min="147" max="147" width="9.28515625" bestFit="1" customWidth="1"/>
    <col min="148" max="148" width="9" bestFit="1" customWidth="1"/>
    <col min="149" max="149" width="7.7109375" bestFit="1" customWidth="1"/>
    <col min="150" max="150" width="6.7109375" bestFit="1" customWidth="1"/>
  </cols>
  <sheetData>
    <row r="1" spans="2:150" x14ac:dyDescent="0.25">
      <c r="N1" s="1172" t="s">
        <v>870</v>
      </c>
      <c r="O1" s="1172"/>
      <c r="P1">
        <f>COUNTIF($AT$1:$DX$1,"New Location")</f>
        <v>0</v>
      </c>
      <c r="AT1" s="90" t="s">
        <v>833</v>
      </c>
      <c r="AU1" s="91">
        <f>'Customer Inputs'!$G$6</f>
        <v>0</v>
      </c>
      <c r="BC1" s="90" t="s">
        <v>834</v>
      </c>
      <c r="BD1" s="91">
        <f>'Customer Inputs'!$G$7</f>
        <v>0</v>
      </c>
      <c r="BL1" s="90" t="s">
        <v>835</v>
      </c>
      <c r="BM1" s="91">
        <f>'Customer Inputs'!$G$8</f>
        <v>0</v>
      </c>
      <c r="BU1" s="90" t="s">
        <v>836</v>
      </c>
      <c r="BV1" s="396">
        <f>'Customer Inputs'!$G$9</f>
        <v>0</v>
      </c>
      <c r="CD1" s="90" t="s">
        <v>837</v>
      </c>
      <c r="CE1" s="91">
        <f>'Customer Inputs'!$G$10</f>
        <v>0</v>
      </c>
      <c r="CM1" s="90" t="s">
        <v>838</v>
      </c>
      <c r="CN1" s="91">
        <f>'Customer Inputs'!$G$11</f>
        <v>0</v>
      </c>
      <c r="CV1" s="90" t="s">
        <v>839</v>
      </c>
      <c r="CW1" s="91">
        <f>'Customer Inputs'!$G$12</f>
        <v>0</v>
      </c>
      <c r="DE1" s="90" t="s">
        <v>840</v>
      </c>
      <c r="DF1" s="91">
        <f>'Customer Inputs'!$G$13</f>
        <v>0</v>
      </c>
      <c r="DN1" s="90" t="s">
        <v>841</v>
      </c>
      <c r="DO1" s="91">
        <f>'Customer Inputs'!$G$14</f>
        <v>0</v>
      </c>
      <c r="DW1" s="90" t="s">
        <v>842</v>
      </c>
      <c r="DX1" s="91">
        <f>'Customer Inputs'!$G$15</f>
        <v>0</v>
      </c>
    </row>
    <row r="2" spans="2:150" x14ac:dyDescent="0.25">
      <c r="N2" s="88"/>
      <c r="O2" s="88"/>
      <c r="AT2" s="88" t="s">
        <v>940</v>
      </c>
      <c r="AU2" s="91" t="str">
        <f>'Customer Inputs'!$H$6</f>
        <v/>
      </c>
      <c r="BC2" s="88" t="s">
        <v>940</v>
      </c>
      <c r="BD2" s="91" t="str">
        <f>'Customer Inputs'!$H$7</f>
        <v/>
      </c>
      <c r="BL2" s="88" t="s">
        <v>940</v>
      </c>
      <c r="BM2" s="91" t="str">
        <f>'Customer Inputs'!$H$8</f>
        <v/>
      </c>
      <c r="BU2" s="88" t="s">
        <v>940</v>
      </c>
      <c r="BV2" s="91" t="str">
        <f>'Customer Inputs'!$H$9</f>
        <v/>
      </c>
      <c r="CD2" s="88" t="s">
        <v>940</v>
      </c>
      <c r="CE2" s="91" t="str">
        <f>'Customer Inputs'!$H$10</f>
        <v/>
      </c>
      <c r="CM2" s="88" t="s">
        <v>940</v>
      </c>
      <c r="CN2" s="91" t="str">
        <f>'Customer Inputs'!$H$11</f>
        <v/>
      </c>
      <c r="CV2" s="88" t="s">
        <v>940</v>
      </c>
      <c r="CW2" s="91" t="str">
        <f>'Customer Inputs'!$H$12</f>
        <v/>
      </c>
      <c r="DE2" s="88" t="s">
        <v>940</v>
      </c>
      <c r="DF2" s="91" t="str">
        <f>'Customer Inputs'!$H$13</f>
        <v/>
      </c>
      <c r="DN2" s="88" t="s">
        <v>940</v>
      </c>
      <c r="DO2" s="91" t="str">
        <f>'Customer Inputs'!$H$14</f>
        <v/>
      </c>
      <c r="DW2" s="88" t="s">
        <v>940</v>
      </c>
      <c r="DX2" s="91" t="str">
        <f>'Customer Inputs'!$H$15</f>
        <v/>
      </c>
    </row>
    <row r="3" spans="2:150" x14ac:dyDescent="0.25">
      <c r="N3" s="88"/>
      <c r="O3" s="88"/>
      <c r="AT3" s="88" t="s">
        <v>941</v>
      </c>
      <c r="AU3" s="91">
        <f>'Customer Inputs'!$M$6</f>
        <v>0</v>
      </c>
      <c r="BC3" s="88" t="s">
        <v>941</v>
      </c>
      <c r="BD3" s="91">
        <f>'Customer Inputs'!$M$7</f>
        <v>0</v>
      </c>
      <c r="BL3" s="88" t="s">
        <v>941</v>
      </c>
      <c r="BM3" s="91">
        <f>'Customer Inputs'!$M$8</f>
        <v>0</v>
      </c>
      <c r="BU3" s="88" t="s">
        <v>941</v>
      </c>
      <c r="BV3" s="91">
        <f>'Customer Inputs'!$M$9</f>
        <v>0</v>
      </c>
      <c r="CD3" s="88" t="s">
        <v>941</v>
      </c>
      <c r="CE3" s="91">
        <f>'Customer Inputs'!$M$10</f>
        <v>0</v>
      </c>
      <c r="CM3" s="88" t="s">
        <v>941</v>
      </c>
      <c r="CN3" s="91">
        <f>'Customer Inputs'!$M$11</f>
        <v>0</v>
      </c>
      <c r="CV3" s="88" t="s">
        <v>941</v>
      </c>
      <c r="CW3" s="91">
        <f>'Customer Inputs'!$M$12</f>
        <v>0</v>
      </c>
      <c r="DE3" s="88" t="s">
        <v>941</v>
      </c>
      <c r="DF3" s="91">
        <f>'Customer Inputs'!$M$13</f>
        <v>0</v>
      </c>
      <c r="DN3" s="88" t="s">
        <v>941</v>
      </c>
      <c r="DO3" s="91">
        <f>'Customer Inputs'!$M$14</f>
        <v>0</v>
      </c>
      <c r="DW3" s="88" t="s">
        <v>941</v>
      </c>
      <c r="DX3" s="91">
        <f>'Customer Inputs'!$M$15</f>
        <v>0</v>
      </c>
    </row>
    <row r="4" spans="2:150" x14ac:dyDescent="0.25">
      <c r="N4" s="88"/>
      <c r="O4" s="88"/>
      <c r="AT4" s="88" t="s">
        <v>944</v>
      </c>
      <c r="AU4" s="397" t="e">
        <f>AU3/AU2</f>
        <v>#VALUE!</v>
      </c>
      <c r="BC4" s="88" t="s">
        <v>944</v>
      </c>
      <c r="BD4" s="397" t="e">
        <f>BD3/BD2</f>
        <v>#VALUE!</v>
      </c>
      <c r="BL4" s="88" t="s">
        <v>944</v>
      </c>
      <c r="BM4" s="397" t="e">
        <f>BM3/BM2</f>
        <v>#VALUE!</v>
      </c>
      <c r="BU4" s="88" t="s">
        <v>944</v>
      </c>
      <c r="BV4" s="397" t="e">
        <f>BV3/BV2</f>
        <v>#VALUE!</v>
      </c>
      <c r="CD4" s="88" t="s">
        <v>944</v>
      </c>
      <c r="CE4" s="397" t="e">
        <f>CE3/CE2</f>
        <v>#VALUE!</v>
      </c>
      <c r="CM4" s="88" t="s">
        <v>944</v>
      </c>
      <c r="CN4" s="397" t="e">
        <f>CN3/CN2</f>
        <v>#VALUE!</v>
      </c>
      <c r="CV4" s="88" t="s">
        <v>944</v>
      </c>
      <c r="CW4" s="397" t="e">
        <f>CW3/CW2</f>
        <v>#VALUE!</v>
      </c>
      <c r="DE4" s="88" t="s">
        <v>944</v>
      </c>
      <c r="DF4" s="397" t="e">
        <f>DF3/DF2</f>
        <v>#VALUE!</v>
      </c>
      <c r="DN4" s="88" t="s">
        <v>944</v>
      </c>
      <c r="DO4" s="397" t="e">
        <f>DO3/DO2</f>
        <v>#VALUE!</v>
      </c>
      <c r="DW4" s="88" t="s">
        <v>944</v>
      </c>
      <c r="DX4" s="397" t="e">
        <f>DX3/DX2</f>
        <v>#VALUE!</v>
      </c>
    </row>
    <row r="5" spans="2:150" x14ac:dyDescent="0.25">
      <c r="N5" s="1172" t="s">
        <v>871</v>
      </c>
      <c r="O5" s="1172"/>
      <c r="P5">
        <f>COUNT(AU1,BD1,BM1,BV1,CE1,CN1,CW1,DF1,DO1,DX1)</f>
        <v>10</v>
      </c>
      <c r="AT5" s="88" t="s">
        <v>976</v>
      </c>
      <c r="AU5">
        <f>IFERROR(VLOOKUP(AU$1,'Existing Customers'!$A:$F,6,FALSE),AU6)</f>
        <v>0</v>
      </c>
      <c r="BC5" s="88" t="s">
        <v>976</v>
      </c>
      <c r="BD5">
        <f>IFERROR(VLOOKUP(BD$1,'Existing Customers'!$A:$F,6,FALSE),BD6)</f>
        <v>0</v>
      </c>
      <c r="BL5" s="88" t="s">
        <v>976</v>
      </c>
      <c r="BM5">
        <f>IFERROR(VLOOKUP(BM$1,'Existing Customers'!$A:$F,6,FALSE),BM6)</f>
        <v>0</v>
      </c>
      <c r="BU5" s="88" t="s">
        <v>976</v>
      </c>
      <c r="BV5">
        <f>IFERROR(VLOOKUP(BV$1,'Existing Customers'!$A:$F,6,FALSE),BV6)</f>
        <v>0</v>
      </c>
      <c r="CD5" s="88" t="s">
        <v>976</v>
      </c>
      <c r="CE5">
        <f>IFERROR(VLOOKUP(CE$1,'Existing Customers'!$A:$F,6,FALSE),CE6)</f>
        <v>0</v>
      </c>
      <c r="CM5" s="88" t="s">
        <v>976</v>
      </c>
      <c r="CN5">
        <f>IFERROR(VLOOKUP(CN$1,'Existing Customers'!$A:$F,6,FALSE),CN6)</f>
        <v>0</v>
      </c>
      <c r="CV5" s="88" t="s">
        <v>976</v>
      </c>
      <c r="CW5">
        <f>IFERROR(VLOOKUP(CW$1,'Existing Customers'!$A:$F,6,FALSE),CW6)</f>
        <v>0</v>
      </c>
      <c r="DE5" s="88" t="s">
        <v>976</v>
      </c>
      <c r="DF5">
        <f>IFERROR(VLOOKUP(DF$1,'Existing Customers'!$A:$F,6,FALSE),DF6)</f>
        <v>0</v>
      </c>
      <c r="DN5" s="88" t="s">
        <v>976</v>
      </c>
      <c r="DO5">
        <f>IFERROR(VLOOKUP(DO$1,'Existing Customers'!$A:$F,6,FALSE),DO6)</f>
        <v>0</v>
      </c>
      <c r="DW5" s="88" t="s">
        <v>976</v>
      </c>
      <c r="DX5">
        <f>IFERROR(VLOOKUP(DX$1,'Existing Customers'!$A:$F,6,FALSE),DX6)</f>
        <v>0</v>
      </c>
    </row>
    <row r="6" spans="2:150" x14ac:dyDescent="0.25">
      <c r="N6" s="1172"/>
      <c r="O6" s="1172"/>
      <c r="AT6" s="88" t="s">
        <v>942</v>
      </c>
      <c r="AU6" s="442">
        <f>'Customer Inputs'!$O$6</f>
        <v>0</v>
      </c>
      <c r="BC6" s="88" t="s">
        <v>942</v>
      </c>
      <c r="BD6" s="91">
        <f>'Customer Inputs'!$O$7</f>
        <v>0</v>
      </c>
      <c r="BL6" s="88" t="s">
        <v>942</v>
      </c>
      <c r="BM6" s="91">
        <f>'Customer Inputs'!$O$8</f>
        <v>0</v>
      </c>
      <c r="BU6" s="88" t="s">
        <v>942</v>
      </c>
      <c r="BV6" s="91">
        <f>'Customer Inputs'!$O$9</f>
        <v>0</v>
      </c>
      <c r="CD6" s="88" t="s">
        <v>942</v>
      </c>
      <c r="CE6" s="91">
        <f>'Customer Inputs'!$O$10</f>
        <v>0</v>
      </c>
      <c r="CM6" s="88" t="s">
        <v>942</v>
      </c>
      <c r="CN6" s="91">
        <f>'Customer Inputs'!$O$11</f>
        <v>0</v>
      </c>
      <c r="CV6" s="88" t="s">
        <v>942</v>
      </c>
      <c r="CW6" s="91">
        <f>'Customer Inputs'!$O$12</f>
        <v>0</v>
      </c>
      <c r="DE6" s="88" t="s">
        <v>942</v>
      </c>
      <c r="DF6" s="91">
        <f>'Customer Inputs'!$O$13</f>
        <v>0</v>
      </c>
      <c r="DN6" s="88" t="s">
        <v>942</v>
      </c>
      <c r="DO6" s="91">
        <f>'Customer Inputs'!$O$14</f>
        <v>0</v>
      </c>
      <c r="DW6" s="88" t="s">
        <v>942</v>
      </c>
      <c r="DX6" s="91">
        <f>'Customer Inputs'!$O$15</f>
        <v>0</v>
      </c>
    </row>
    <row r="7" spans="2:150" x14ac:dyDescent="0.25">
      <c r="N7" s="88"/>
      <c r="O7" s="88"/>
      <c r="AT7" s="88" t="s">
        <v>953</v>
      </c>
      <c r="AU7" s="420">
        <f>IFERROR(SUMIFS('Existing Customers'!$O:$O,'Existing Customers'!$A:$A,'Multi-Customer'!AU$1)/SUMIFS('Existing Customers'!$N:$N,'Existing Customers'!$A:$A,'Multi-Customer'!AU$1),0)</f>
        <v>0</v>
      </c>
      <c r="BC7" s="88" t="s">
        <v>953</v>
      </c>
      <c r="BD7" s="420">
        <f>IFERROR(SUMIFS('Existing Customers'!$O:$O,'Existing Customers'!$A:$A,'Multi-Customer'!BD$1)/SUMIFS('Existing Customers'!$N:$N,'Existing Customers'!$A:$A,'Multi-Customer'!BD$1),0)</f>
        <v>0</v>
      </c>
      <c r="BL7" s="88" t="s">
        <v>953</v>
      </c>
      <c r="BM7" s="420">
        <f>IFERROR(SUMIFS('Existing Customers'!$O:$O,'Existing Customers'!$A:$A,'Multi-Customer'!BM$1)/SUMIFS('Existing Customers'!$N:$N,'Existing Customers'!$A:$A,'Multi-Customer'!BM$1),0)</f>
        <v>0</v>
      </c>
      <c r="BU7" s="88" t="s">
        <v>953</v>
      </c>
      <c r="BV7" s="420">
        <f>IFERROR(SUMIFS('Existing Customers'!$O:$O,'Existing Customers'!$A:$A,'Multi-Customer'!BV$1)/SUMIFS('Existing Customers'!$N:$N,'Existing Customers'!$A:$A,'Multi-Customer'!BV$1),0)</f>
        <v>0</v>
      </c>
      <c r="CD7" s="88" t="s">
        <v>953</v>
      </c>
      <c r="CE7" s="420">
        <f>IFERROR(SUMIFS('Existing Customers'!$O:$O,'Existing Customers'!$A:$A,'Multi-Customer'!CE$1)/SUMIFS('Existing Customers'!$N:$N,'Existing Customers'!$A:$A,'Multi-Customer'!CE$1),0)</f>
        <v>0</v>
      </c>
      <c r="CM7" s="88" t="s">
        <v>953</v>
      </c>
      <c r="CN7" s="420">
        <f>IFERROR(SUMIFS('Existing Customers'!$O:$O,'Existing Customers'!$A:$A,'Multi-Customer'!CN$1)/SUMIFS('Existing Customers'!$N:$N,'Existing Customers'!$A:$A,'Multi-Customer'!CN$1),0)</f>
        <v>0</v>
      </c>
      <c r="CV7" s="88" t="s">
        <v>953</v>
      </c>
      <c r="CW7" s="420">
        <f>IFERROR(SUMIFS('Existing Customers'!$O:$O,'Existing Customers'!$A:$A,'Multi-Customer'!CW$1)/SUMIFS('Existing Customers'!$N:$N,'Existing Customers'!$A:$A,'Multi-Customer'!CW$1),0)</f>
        <v>0</v>
      </c>
      <c r="DE7" s="88" t="s">
        <v>953</v>
      </c>
      <c r="DF7" s="420">
        <f>IFERROR(SUMIFS('Existing Customers'!$O:$O,'Existing Customers'!$A:$A,'Multi-Customer'!DF$1)/SUMIFS('Existing Customers'!$N:$N,'Existing Customers'!$A:$A,'Multi-Customer'!DF$1),0)</f>
        <v>0</v>
      </c>
      <c r="DN7" s="88" t="s">
        <v>953</v>
      </c>
      <c r="DO7" s="420">
        <f>IFERROR(SUMIFS('Existing Customers'!$O:$O,'Existing Customers'!$A:$A,'Multi-Customer'!DO$1)/SUMIFS('Existing Customers'!$N:$N,'Existing Customers'!$A:$A,'Multi-Customer'!DO$1),0)</f>
        <v>0</v>
      </c>
      <c r="DW7" s="88" t="s">
        <v>953</v>
      </c>
      <c r="DX7" s="420">
        <f>IFERROR(SUMIFS('Existing Customers'!$O:$O,'Existing Customers'!$A:$A,'Multi-Customer'!DX$1)/SUMIFS('Existing Customers'!$N:$N,'Existing Customers'!$A:$A,'Multi-Customer'!DX$1),0)</f>
        <v>0</v>
      </c>
    </row>
    <row r="8" spans="2:150" x14ac:dyDescent="0.25">
      <c r="AT8" s="88" t="s">
        <v>945</v>
      </c>
      <c r="AU8" s="399">
        <f>'Customer Inputs'!$Q$6</f>
        <v>0</v>
      </c>
      <c r="BC8" s="88" t="s">
        <v>945</v>
      </c>
      <c r="BD8" s="399">
        <f>'Customer Inputs'!$Q$7</f>
        <v>0</v>
      </c>
      <c r="BL8" s="88" t="s">
        <v>945</v>
      </c>
      <c r="BM8" s="399">
        <f>'Customer Inputs'!$Q$8</f>
        <v>0</v>
      </c>
      <c r="BU8" s="88" t="s">
        <v>945</v>
      </c>
      <c r="BV8" s="399">
        <f>'Customer Inputs'!$Q$9</f>
        <v>0</v>
      </c>
      <c r="CD8" s="88" t="s">
        <v>945</v>
      </c>
      <c r="CE8" s="399">
        <f>'Customer Inputs'!$Q$10</f>
        <v>0</v>
      </c>
      <c r="CM8" s="88" t="s">
        <v>945</v>
      </c>
      <c r="CN8" s="399">
        <f>'Customer Inputs'!$Q$11</f>
        <v>0</v>
      </c>
      <c r="CV8" s="88" t="s">
        <v>945</v>
      </c>
      <c r="CW8" s="399">
        <f>'Customer Inputs'!$Q$12</f>
        <v>0</v>
      </c>
      <c r="DE8" s="88" t="s">
        <v>945</v>
      </c>
      <c r="DF8" s="399">
        <f>'Customer Inputs'!$Q$13</f>
        <v>0</v>
      </c>
      <c r="DN8" s="88" t="s">
        <v>945</v>
      </c>
      <c r="DO8" s="399">
        <f>'Customer Inputs'!$Q$14</f>
        <v>0</v>
      </c>
      <c r="DW8" s="88" t="s">
        <v>945</v>
      </c>
      <c r="DX8" s="399">
        <f>'Customer Inputs'!$Q$15</f>
        <v>0</v>
      </c>
    </row>
    <row r="9" spans="2:150" ht="15.75" thickBot="1" x14ac:dyDescent="0.3">
      <c r="M9" s="88" t="s">
        <v>853</v>
      </c>
      <c r="O9" t="s">
        <v>992</v>
      </c>
      <c r="P9" s="24">
        <f>IFERROR(P33/O33,0)</f>
        <v>0</v>
      </c>
      <c r="W9" t="s">
        <v>995</v>
      </c>
      <c r="AB9" t="s">
        <v>1050</v>
      </c>
      <c r="AO9" s="1173" t="s">
        <v>1051</v>
      </c>
      <c r="EE9" t="s">
        <v>1047</v>
      </c>
      <c r="EN9" t="s">
        <v>1048</v>
      </c>
    </row>
    <row r="10" spans="2:150" ht="13.9" customHeight="1" thickBot="1" x14ac:dyDescent="0.3">
      <c r="C10" t="s">
        <v>996</v>
      </c>
      <c r="M10" s="88"/>
      <c r="V10" s="480" t="s">
        <v>947</v>
      </c>
      <c r="W10" s="481" t="s">
        <v>948</v>
      </c>
      <c r="X10" s="482" t="s">
        <v>949</v>
      </c>
      <c r="Y10" s="483"/>
      <c r="Z10" s="483"/>
      <c r="AC10" s="480" t="s">
        <v>1049</v>
      </c>
      <c r="AD10" s="483"/>
      <c r="AE10" s="483"/>
      <c r="AO10" s="1173"/>
      <c r="AT10" s="88"/>
      <c r="AU10" s="413" t="str">
        <f>IF(AU2="Enter Spend&gt;&gt;&gt;","Spec"&amp;"Sales","Exist"&amp;"Sales")</f>
        <v>ExistSales</v>
      </c>
      <c r="AV10" s="414" t="str">
        <f>IF(AU2="Enter Spend&gt;&gt;&gt;","Spec"&amp;"Cases","Exist"&amp;"Cases")</f>
        <v>ExistCases</v>
      </c>
      <c r="AW10" s="414" t="str">
        <f>IF(AU2="Enter Spend&gt;&gt;&gt;","Spec"&amp;"Ebcases","Exist"&amp;"Ebcases")</f>
        <v>ExistEbcases</v>
      </c>
      <c r="AX10" s="414" t="str">
        <f>IF(AU2="Enter Spend&gt;&gt;&gt;","Spec"&amp;"Weight","Exist"&amp;"Weight")</f>
        <v>ExistWeight</v>
      </c>
      <c r="AY10" s="414" t="str">
        <f>IF(AU2="Enter Spend&gt;&gt;&gt;","Spec"&amp;"TAGP","Exist"&amp;"TAGP")</f>
        <v>ExistTAGP</v>
      </c>
      <c r="AZ10" s="415" t="str">
        <f>IF(AU2="Enter Spend&gt;&gt;&gt;","Spec"&amp;"TGP","Exist"&amp;"TGP")</f>
        <v>ExistTGP</v>
      </c>
      <c r="BA10" s="408"/>
      <c r="BB10" s="408"/>
      <c r="BC10" s="408"/>
      <c r="BD10" s="413" t="str">
        <f>IF(BD2="Enter Spend&gt;&gt;&gt;","Spec"&amp;"Sales","Exist"&amp;"Sales")</f>
        <v>ExistSales</v>
      </c>
      <c r="BE10" s="414" t="str">
        <f>IF(BD2="Enter Spend&gt;&gt;&gt;","Spec"&amp;"Cases","Exist"&amp;"Cases")</f>
        <v>ExistCases</v>
      </c>
      <c r="BF10" s="414" t="str">
        <f>IF(BD2="Enter Spend&gt;&gt;&gt;","Spec"&amp;"Ebcases","Exist"&amp;"Ebcases")</f>
        <v>ExistEbcases</v>
      </c>
      <c r="BG10" s="414" t="str">
        <f>IF(BD2="Enter Spend&gt;&gt;&gt;","Spec"&amp;"Weight","Exist"&amp;"Weight")</f>
        <v>ExistWeight</v>
      </c>
      <c r="BH10" s="414" t="str">
        <f>IF(BD2="Enter Spend&gt;&gt;&gt;","Spec"&amp;"TAGP","Exist"&amp;"TAGP")</f>
        <v>ExistTAGP</v>
      </c>
      <c r="BI10" s="415" t="str">
        <f>IF(BD2="Enter Spend&gt;&gt;&gt;","Spec"&amp;"TGP","Exist"&amp;"TGP")</f>
        <v>ExistTGP</v>
      </c>
      <c r="BJ10" s="408"/>
      <c r="BK10" s="408"/>
      <c r="BL10" s="408"/>
      <c r="BM10" s="413" t="str">
        <f>IF(BM2="Enter Spend&gt;&gt;&gt;","Spec"&amp;"Sales","Exist"&amp;"Sales")</f>
        <v>ExistSales</v>
      </c>
      <c r="BN10" s="414" t="str">
        <f>IF(BM2="Enter Spend&gt;&gt;&gt;","Spec"&amp;"Cases","Exist"&amp;"Cases")</f>
        <v>ExistCases</v>
      </c>
      <c r="BO10" s="414" t="str">
        <f>IF(BM2="Enter Spend&gt;&gt;&gt;","Spec"&amp;"Ebcases","Exist"&amp;"Ebcases")</f>
        <v>ExistEbcases</v>
      </c>
      <c r="BP10" s="414" t="str">
        <f>IF(BM2="Enter Spend&gt;&gt;&gt;","Spec"&amp;"Weight","Exist"&amp;"Weight")</f>
        <v>ExistWeight</v>
      </c>
      <c r="BQ10" s="414" t="str">
        <f>IF(BM2="Enter Spend&gt;&gt;&gt;","Spec"&amp;"TAGP","Exist"&amp;"TAGP")</f>
        <v>ExistTAGP</v>
      </c>
      <c r="BR10" s="415" t="str">
        <f>IF(BM2="Enter Spend&gt;&gt;&gt;","Spec"&amp;"TGP","Exist"&amp;"TGP")</f>
        <v>ExistTGP</v>
      </c>
      <c r="BS10" s="408"/>
      <c r="BT10" s="408"/>
      <c r="BU10" s="408"/>
      <c r="BV10" s="413" t="str">
        <f>IF(BV2="Enter Spend&gt;&gt;&gt;","Spec"&amp;"Sales","Exist"&amp;"Sales")</f>
        <v>ExistSales</v>
      </c>
      <c r="BW10" s="414" t="str">
        <f>IF(BV2="Enter Spend&gt;&gt;&gt;","Spec"&amp;"Cases","Exist"&amp;"Cases")</f>
        <v>ExistCases</v>
      </c>
      <c r="BX10" s="414" t="str">
        <f>IF(BV2="Enter Spend&gt;&gt;&gt;","Spec"&amp;"Ebcases","Exist"&amp;"Ebcases")</f>
        <v>ExistEbcases</v>
      </c>
      <c r="BY10" s="414" t="str">
        <f>IF(BV2="Enter Spend&gt;&gt;&gt;","Spec"&amp;"Weight","Exist"&amp;"Weight")</f>
        <v>ExistWeight</v>
      </c>
      <c r="BZ10" s="414" t="str">
        <f>IF(BV2="Enter Spend&gt;&gt;&gt;","Spec"&amp;"TAGP","Exist"&amp;"TAGP")</f>
        <v>ExistTAGP</v>
      </c>
      <c r="CA10" s="415" t="str">
        <f>IF(BV2="Enter Spend&gt;&gt;&gt;","Spec"&amp;"TGP","Exist"&amp;"TGP")</f>
        <v>ExistTGP</v>
      </c>
      <c r="CB10" s="408"/>
      <c r="CC10" s="408"/>
      <c r="CD10" s="408"/>
      <c r="CE10" s="413" t="str">
        <f>IF(CE2="Enter Spend&gt;&gt;&gt;","Spec"&amp;"Sales","Exist"&amp;"Sales")</f>
        <v>ExistSales</v>
      </c>
      <c r="CF10" s="414" t="str">
        <f>IF(CE2="Enter Spend&gt;&gt;&gt;","Spec"&amp;"Cases","Exist"&amp;"Cases")</f>
        <v>ExistCases</v>
      </c>
      <c r="CG10" s="414" t="str">
        <f>IF(CE2="Enter Spend&gt;&gt;&gt;","Spec"&amp;"Ebcases","Exist"&amp;"Ebcases")</f>
        <v>ExistEbcases</v>
      </c>
      <c r="CH10" s="414" t="str">
        <f>IF(CE2="Enter Spend&gt;&gt;&gt;","Spec"&amp;"Weight","Exist"&amp;"Weight")</f>
        <v>ExistWeight</v>
      </c>
      <c r="CI10" s="414" t="str">
        <f>IF(CE2="Enter Spend&gt;&gt;&gt;","Spec"&amp;"TAGP","Exist"&amp;"TAGP")</f>
        <v>ExistTAGP</v>
      </c>
      <c r="CJ10" s="415" t="str">
        <f>IF(CE2="Enter Spend&gt;&gt;&gt;","Spec"&amp;"TGP","Exist"&amp;"TGP")</f>
        <v>ExistTGP</v>
      </c>
      <c r="CK10" s="408"/>
      <c r="CL10" s="408"/>
      <c r="CM10" s="408"/>
      <c r="CN10" s="413" t="str">
        <f>IF(CN2="Enter Spend&gt;&gt;&gt;","Spec"&amp;"Sales","Exist"&amp;"Sales")</f>
        <v>ExistSales</v>
      </c>
      <c r="CO10" s="414" t="str">
        <f>IF(CN2="Enter Spend&gt;&gt;&gt;","Spec"&amp;"Cases","Exist"&amp;"Cases")</f>
        <v>ExistCases</v>
      </c>
      <c r="CP10" s="414" t="str">
        <f>IF(CN2="Enter Spend&gt;&gt;&gt;","Spec"&amp;"Ebcases","Exist"&amp;"Ebcases")</f>
        <v>ExistEbcases</v>
      </c>
      <c r="CQ10" s="414" t="str">
        <f>IF(CN2="Enter Spend&gt;&gt;&gt;","Spec"&amp;"Weight","Exist"&amp;"Weight")</f>
        <v>ExistWeight</v>
      </c>
      <c r="CR10" s="414" t="str">
        <f>IF(CN2="Enter Spend&gt;&gt;&gt;","Spec"&amp;"TAGP","Exist"&amp;"TAGP")</f>
        <v>ExistTAGP</v>
      </c>
      <c r="CS10" s="415" t="str">
        <f>IF(CN2="Enter Spend&gt;&gt;&gt;","Spec"&amp;"TGP","Exist"&amp;"TGP")</f>
        <v>ExistTGP</v>
      </c>
      <c r="CT10" s="408"/>
      <c r="CU10" s="408"/>
      <c r="CV10" s="408"/>
      <c r="CW10" s="413" t="str">
        <f>IF(CW2="Enter Spend&gt;&gt;&gt;","Spec"&amp;"Sales","Exist"&amp;"Sales")</f>
        <v>ExistSales</v>
      </c>
      <c r="CX10" s="414" t="str">
        <f>IF(CW2="Enter Spend&gt;&gt;&gt;","Spec"&amp;"Cases","Exist"&amp;"Cases")</f>
        <v>ExistCases</v>
      </c>
      <c r="CY10" s="414" t="str">
        <f>IF(CW2="Enter Spend&gt;&gt;&gt;","Spec"&amp;"Ebcases","Exist"&amp;"Ebcases")</f>
        <v>ExistEbcases</v>
      </c>
      <c r="CZ10" s="414" t="str">
        <f>IF(CW2="Enter Spend&gt;&gt;&gt;","Spec"&amp;"Weight","Exist"&amp;"Weight")</f>
        <v>ExistWeight</v>
      </c>
      <c r="DA10" s="414" t="str">
        <f>IF(CW2="Enter Spend&gt;&gt;&gt;","Spec"&amp;"TAGP","Exist"&amp;"TAGP")</f>
        <v>ExistTAGP</v>
      </c>
      <c r="DB10" s="415" t="str">
        <f>IF(CW2="Enter Spend&gt;&gt;&gt;","Spec"&amp;"TGP","Exist"&amp;"TGP")</f>
        <v>ExistTGP</v>
      </c>
      <c r="DC10" s="408"/>
      <c r="DD10" s="408"/>
      <c r="DE10" s="408"/>
      <c r="DF10" s="413" t="str">
        <f>IF(DF2="Enter Spend&gt;&gt;&gt;","Spec"&amp;"Sales","Exist"&amp;"Sales")</f>
        <v>ExistSales</v>
      </c>
      <c r="DG10" s="414" t="str">
        <f>IF(DF2="Enter Spend&gt;&gt;&gt;","Spec"&amp;"Cases","Exist"&amp;"Cases")</f>
        <v>ExistCases</v>
      </c>
      <c r="DH10" s="414" t="str">
        <f>IF(DF2="Enter Spend&gt;&gt;&gt;","Spec"&amp;"Ebcases","Exist"&amp;"Ebcases")</f>
        <v>ExistEbcases</v>
      </c>
      <c r="DI10" s="414" t="str">
        <f>IF(DF2="Enter Spend&gt;&gt;&gt;","Spec"&amp;"Weight","Exist"&amp;"Weight")</f>
        <v>ExistWeight</v>
      </c>
      <c r="DJ10" s="414" t="str">
        <f>IF(DF2="Enter Spend&gt;&gt;&gt;","Spec"&amp;"TAGP","Exist"&amp;"TAGP")</f>
        <v>ExistTAGP</v>
      </c>
      <c r="DK10" s="415" t="str">
        <f>IF(DF2="Enter Spend&gt;&gt;&gt;","Spec"&amp;"TGP","Exist"&amp;"TGP")</f>
        <v>ExistTGP</v>
      </c>
      <c r="DL10" s="408"/>
      <c r="DM10" s="408"/>
      <c r="DN10" s="408"/>
      <c r="DO10" s="413" t="str">
        <f>IF(DO2="Enter Spend&gt;&gt;&gt;","Spec"&amp;"Sales","Exist"&amp;"Sales")</f>
        <v>ExistSales</v>
      </c>
      <c r="DP10" s="414" t="str">
        <f>IF(DO2="Enter Spend&gt;&gt;&gt;","Spec"&amp;"Cases","Exist"&amp;"Cases")</f>
        <v>ExistCases</v>
      </c>
      <c r="DQ10" s="414" t="str">
        <f>IF(DO2="Enter Spend&gt;&gt;&gt;","Spec"&amp;"Ebcases","Exist"&amp;"Ebcases")</f>
        <v>ExistEbcases</v>
      </c>
      <c r="DR10" s="414" t="str">
        <f>IF(DO2="Enter Spend&gt;&gt;&gt;","Spec"&amp;"Weight","Exist"&amp;"Weight")</f>
        <v>ExistWeight</v>
      </c>
      <c r="DS10" s="414" t="str">
        <f>IF(DO2="Enter Spend&gt;&gt;&gt;","Spec"&amp;"TAGP","Exist"&amp;"TAGP")</f>
        <v>ExistTAGP</v>
      </c>
      <c r="DT10" s="415" t="str">
        <f>IF(DO2="Enter Spend&gt;&gt;&gt;","Spec"&amp;"TGP","Exist"&amp;"TGP")</f>
        <v>ExistTGP</v>
      </c>
      <c r="DU10" s="408"/>
      <c r="DV10" s="408"/>
      <c r="DW10" s="408"/>
      <c r="DX10" s="413" t="str">
        <f>IF(DX2="Enter Spend&gt;&gt;&gt;","Spec"&amp;"Sales","Exist"&amp;"Sales")</f>
        <v>ExistSales</v>
      </c>
      <c r="DY10" s="414" t="str">
        <f>IF(DX2="Enter Spend&gt;&gt;&gt;","Spec"&amp;"Cases","Exist"&amp;"Cases")</f>
        <v>ExistCases</v>
      </c>
      <c r="DZ10" s="414" t="str">
        <f>IF(DX2="Enter Spend&gt;&gt;&gt;","Spec"&amp;"Ebcases","Exist"&amp;"Ebcases")</f>
        <v>ExistEbcases</v>
      </c>
      <c r="EA10" s="414" t="str">
        <f>IF(DX2="Enter Spend&gt;&gt;&gt;","Spec"&amp;"Weight","Exist"&amp;"Weight")</f>
        <v>ExistWeight</v>
      </c>
      <c r="EB10" s="414" t="str">
        <f>IF(DX2="Enter Spend&gt;&gt;&gt;","Spec"&amp;"TAGP","Exist"&amp;"TAGP")</f>
        <v>ExistTAGP</v>
      </c>
      <c r="EC10" s="415" t="str">
        <f>IF(DX2="Enter Spend&gt;&gt;&gt;","Spec"&amp;"TGP","Exist"&amp;"TGP")</f>
        <v>ExistTGP</v>
      </c>
      <c r="EE10" s="408"/>
      <c r="EF10" s="413" t="str">
        <f>IF(EF2="Enter Spend&gt;&gt;&gt;","Spec"&amp;"Sales","Exist"&amp;"Sales")</f>
        <v>ExistSales</v>
      </c>
      <c r="EG10" s="414" t="str">
        <f>IF(EF2="Enter Spend&gt;&gt;&gt;","Spec"&amp;"Cases","Exist"&amp;"Cases")</f>
        <v>ExistCases</v>
      </c>
      <c r="EH10" s="414" t="str">
        <f>IF(EF2="Enter Spend&gt;&gt;&gt;","Spec"&amp;"Ebcases","Exist"&amp;"Ebcases")</f>
        <v>ExistEbcases</v>
      </c>
      <c r="EI10" s="414" t="str">
        <f>IF(EF2="Enter Spend&gt;&gt;&gt;","Spec"&amp;"Weight","Exist"&amp;"Weight")</f>
        <v>ExistWeight</v>
      </c>
      <c r="EJ10" s="414" t="str">
        <f>IF(EF2="Enter Spend&gt;&gt;&gt;","Spec"&amp;"TAGP","Exist"&amp;"TAGP")</f>
        <v>ExistTAGP</v>
      </c>
      <c r="EK10" s="415" t="str">
        <f>IF(EF2="Enter Spend&gt;&gt;&gt;","Spec"&amp;"TGP","Exist"&amp;"TGP")</f>
        <v>ExistTGP</v>
      </c>
      <c r="EL10" s="408"/>
      <c r="EM10" s="408"/>
      <c r="EN10" s="408"/>
      <c r="EO10" s="413" t="str">
        <f>IF(EO2="Enter Spend&gt;&gt;&gt;","Spec"&amp;"Sales","Exist"&amp;"Sales")</f>
        <v>ExistSales</v>
      </c>
      <c r="EP10" s="414" t="str">
        <f>IF(EO2="Enter Spend&gt;&gt;&gt;","Spec"&amp;"Cases","Exist"&amp;"Cases")</f>
        <v>ExistCases</v>
      </c>
      <c r="EQ10" s="414" t="str">
        <f>IF(EO2="Enter Spend&gt;&gt;&gt;","Spec"&amp;"Ebcases","Exist"&amp;"Ebcases")</f>
        <v>ExistEbcases</v>
      </c>
      <c r="ER10" s="414" t="str">
        <f>IF(EO2="Enter Spend&gt;&gt;&gt;","Spec"&amp;"Weight","Exist"&amp;"Weight")</f>
        <v>ExistWeight</v>
      </c>
      <c r="ES10" s="414" t="str">
        <f>IF(EO2="Enter Spend&gt;&gt;&gt;","Spec"&amp;"TAGP","Exist"&amp;"TAGP")</f>
        <v>ExistTAGP</v>
      </c>
      <c r="ET10" s="415" t="str">
        <f>IF(EO2="Enter Spend&gt;&gt;&gt;","Spec"&amp;"TGP","Exist"&amp;"TGP")</f>
        <v>ExistTGP</v>
      </c>
    </row>
    <row r="11" spans="2:150" ht="15.75" thickBot="1" x14ac:dyDescent="0.3">
      <c r="B11" s="93" t="s">
        <v>108</v>
      </c>
      <c r="C11" s="484" t="s">
        <v>82</v>
      </c>
      <c r="D11" s="485" t="s">
        <v>83</v>
      </c>
      <c r="E11" s="485" t="s">
        <v>411</v>
      </c>
      <c r="F11" s="485" t="s">
        <v>518</v>
      </c>
      <c r="G11" s="486" t="s">
        <v>412</v>
      </c>
      <c r="H11" s="503" t="s">
        <v>545</v>
      </c>
      <c r="M11" s="93" t="s">
        <v>108</v>
      </c>
      <c r="N11" s="115" t="s">
        <v>82</v>
      </c>
      <c r="O11" s="95" t="s">
        <v>83</v>
      </c>
      <c r="P11" s="95" t="s">
        <v>411</v>
      </c>
      <c r="Q11" s="95" t="s">
        <v>518</v>
      </c>
      <c r="R11" s="96" t="s">
        <v>412</v>
      </c>
      <c r="S11" s="112" t="s">
        <v>545</v>
      </c>
      <c r="T11" s="398"/>
      <c r="U11" s="398"/>
      <c r="V11" s="484" t="s">
        <v>408</v>
      </c>
      <c r="W11" s="485" t="s">
        <v>412</v>
      </c>
      <c r="X11" s="485" t="s">
        <v>201</v>
      </c>
      <c r="Y11" s="485" t="s">
        <v>545</v>
      </c>
      <c r="Z11" s="486" t="s">
        <v>946</v>
      </c>
      <c r="AA11" s="398"/>
      <c r="AB11" s="398"/>
      <c r="AC11" s="484" t="s">
        <v>408</v>
      </c>
      <c r="AD11" s="485" t="s">
        <v>412</v>
      </c>
      <c r="AE11" s="486" t="s">
        <v>946</v>
      </c>
      <c r="AF11" s="398"/>
      <c r="AG11" s="398"/>
      <c r="AH11" s="398"/>
      <c r="AI11" s="398"/>
      <c r="AJ11" s="522" t="s">
        <v>1038</v>
      </c>
      <c r="AK11" s="522"/>
      <c r="AL11" s="522" t="s">
        <v>1091</v>
      </c>
      <c r="AM11" s="398"/>
      <c r="AN11" s="398"/>
      <c r="AO11" s="1173"/>
      <c r="AP11" s="398"/>
      <c r="AQ11" s="398"/>
      <c r="AR11" s="398"/>
      <c r="AS11" s="67" t="s">
        <v>943</v>
      </c>
      <c r="AT11" s="93" t="s">
        <v>108</v>
      </c>
      <c r="AU11" s="94" t="s">
        <v>82</v>
      </c>
      <c r="AV11" s="95" t="s">
        <v>83</v>
      </c>
      <c r="AW11" s="95" t="s">
        <v>411</v>
      </c>
      <c r="AX11" s="95" t="s">
        <v>518</v>
      </c>
      <c r="AY11" s="405" t="s">
        <v>412</v>
      </c>
      <c r="AZ11" s="96" t="s">
        <v>201</v>
      </c>
      <c r="BA11" s="398"/>
      <c r="BB11" s="67" t="s">
        <v>943</v>
      </c>
      <c r="BC11" s="93" t="s">
        <v>108</v>
      </c>
      <c r="BD11" s="94" t="s">
        <v>82</v>
      </c>
      <c r="BE11" s="95" t="s">
        <v>83</v>
      </c>
      <c r="BF11" s="95" t="s">
        <v>411</v>
      </c>
      <c r="BG11" s="95" t="s">
        <v>518</v>
      </c>
      <c r="BH11" s="96" t="s">
        <v>412</v>
      </c>
      <c r="BI11" s="96" t="s">
        <v>201</v>
      </c>
      <c r="BJ11" s="398"/>
      <c r="BK11" s="67" t="s">
        <v>943</v>
      </c>
      <c r="BL11" s="93" t="s">
        <v>108</v>
      </c>
      <c r="BM11" s="94" t="s">
        <v>82</v>
      </c>
      <c r="BN11" s="95" t="s">
        <v>83</v>
      </c>
      <c r="BO11" s="95" t="s">
        <v>411</v>
      </c>
      <c r="BP11" s="95" t="s">
        <v>518</v>
      </c>
      <c r="BQ11" s="96" t="s">
        <v>412</v>
      </c>
      <c r="BR11" s="96" t="s">
        <v>201</v>
      </c>
      <c r="BS11" s="398"/>
      <c r="BT11" s="67" t="s">
        <v>943</v>
      </c>
      <c r="BU11" s="93" t="s">
        <v>108</v>
      </c>
      <c r="BV11" s="94" t="s">
        <v>82</v>
      </c>
      <c r="BW11" s="95" t="s">
        <v>83</v>
      </c>
      <c r="BX11" s="95" t="s">
        <v>411</v>
      </c>
      <c r="BY11" s="95" t="s">
        <v>518</v>
      </c>
      <c r="BZ11" s="96" t="s">
        <v>412</v>
      </c>
      <c r="CA11" s="96" t="s">
        <v>201</v>
      </c>
      <c r="CB11" s="398"/>
      <c r="CC11" s="67" t="s">
        <v>943</v>
      </c>
      <c r="CD11" s="93" t="s">
        <v>108</v>
      </c>
      <c r="CE11" s="94" t="s">
        <v>82</v>
      </c>
      <c r="CF11" s="95" t="s">
        <v>83</v>
      </c>
      <c r="CG11" s="95" t="s">
        <v>411</v>
      </c>
      <c r="CH11" s="95" t="s">
        <v>518</v>
      </c>
      <c r="CI11" s="96" t="s">
        <v>412</v>
      </c>
      <c r="CJ11" s="96" t="s">
        <v>201</v>
      </c>
      <c r="CK11" s="398"/>
      <c r="CL11" s="67" t="s">
        <v>943</v>
      </c>
      <c r="CM11" s="93" t="s">
        <v>108</v>
      </c>
      <c r="CN11" s="94" t="s">
        <v>82</v>
      </c>
      <c r="CO11" s="95" t="s">
        <v>83</v>
      </c>
      <c r="CP11" s="95" t="s">
        <v>411</v>
      </c>
      <c r="CQ11" s="95" t="s">
        <v>518</v>
      </c>
      <c r="CR11" s="96" t="s">
        <v>412</v>
      </c>
      <c r="CS11" s="96" t="s">
        <v>201</v>
      </c>
      <c r="CT11" s="398"/>
      <c r="CU11" s="67" t="s">
        <v>943</v>
      </c>
      <c r="CV11" s="93" t="s">
        <v>108</v>
      </c>
      <c r="CW11" s="94" t="s">
        <v>82</v>
      </c>
      <c r="CX11" s="95" t="s">
        <v>83</v>
      </c>
      <c r="CY11" s="95" t="s">
        <v>411</v>
      </c>
      <c r="CZ11" s="95" t="s">
        <v>518</v>
      </c>
      <c r="DA11" s="96" t="s">
        <v>412</v>
      </c>
      <c r="DB11" s="96" t="s">
        <v>201</v>
      </c>
      <c r="DC11" s="398"/>
      <c r="DD11" s="67" t="s">
        <v>943</v>
      </c>
      <c r="DE11" s="93" t="s">
        <v>108</v>
      </c>
      <c r="DF11" s="94" t="s">
        <v>82</v>
      </c>
      <c r="DG11" s="95" t="s">
        <v>83</v>
      </c>
      <c r="DH11" s="95" t="s">
        <v>411</v>
      </c>
      <c r="DI11" s="95" t="s">
        <v>518</v>
      </c>
      <c r="DJ11" s="96" t="s">
        <v>412</v>
      </c>
      <c r="DK11" s="96" t="s">
        <v>201</v>
      </c>
      <c r="DL11" s="398"/>
      <c r="DM11" s="67" t="s">
        <v>943</v>
      </c>
      <c r="DN11" s="93" t="s">
        <v>108</v>
      </c>
      <c r="DO11" s="94" t="s">
        <v>82</v>
      </c>
      <c r="DP11" s="95" t="s">
        <v>83</v>
      </c>
      <c r="DQ11" s="95" t="s">
        <v>411</v>
      </c>
      <c r="DR11" s="95" t="s">
        <v>518</v>
      </c>
      <c r="DS11" s="405" t="s">
        <v>412</v>
      </c>
      <c r="DT11" s="96" t="s">
        <v>201</v>
      </c>
      <c r="DU11" s="398"/>
      <c r="DV11" s="67" t="s">
        <v>943</v>
      </c>
      <c r="DW11" s="93" t="s">
        <v>108</v>
      </c>
      <c r="DX11" s="409" t="s">
        <v>82</v>
      </c>
      <c r="DY11" s="410" t="s">
        <v>83</v>
      </c>
      <c r="DZ11" s="410" t="s">
        <v>411</v>
      </c>
      <c r="EA11" s="410" t="s">
        <v>518</v>
      </c>
      <c r="EB11" s="411" t="s">
        <v>412</v>
      </c>
      <c r="EC11" s="412" t="s">
        <v>201</v>
      </c>
      <c r="EE11" s="93" t="s">
        <v>108</v>
      </c>
      <c r="EF11" s="94" t="s">
        <v>82</v>
      </c>
      <c r="EG11" s="95" t="s">
        <v>83</v>
      </c>
      <c r="EH11" s="95" t="s">
        <v>411</v>
      </c>
      <c r="EI11" s="95" t="s">
        <v>518</v>
      </c>
      <c r="EJ11" s="405" t="s">
        <v>412</v>
      </c>
      <c r="EK11" s="96" t="s">
        <v>201</v>
      </c>
      <c r="EL11" s="398"/>
      <c r="EM11" s="67" t="s">
        <v>943</v>
      </c>
      <c r="EN11" s="93" t="s">
        <v>108</v>
      </c>
      <c r="EO11" s="409" t="s">
        <v>82</v>
      </c>
      <c r="EP11" s="410" t="s">
        <v>83</v>
      </c>
      <c r="EQ11" s="410" t="s">
        <v>411</v>
      </c>
      <c r="ER11" s="410" t="s">
        <v>518</v>
      </c>
      <c r="ES11" s="411" t="s">
        <v>412</v>
      </c>
      <c r="ET11" s="412" t="s">
        <v>201</v>
      </c>
    </row>
    <row r="12" spans="2:150" x14ac:dyDescent="0.25">
      <c r="B12" s="105" t="s">
        <v>99</v>
      </c>
      <c r="C12" s="487">
        <f>(AU12+BD12+BM12+BV12+CE12+CN12+CW12+DF12+DO12+DX12)</f>
        <v>0</v>
      </c>
      <c r="D12" s="504">
        <f>($AV12+$BE12+$BN12+$BW12+$CF12+$CO12+$CX12+$DG12+$DP12+$DY12)</f>
        <v>0</v>
      </c>
      <c r="E12" s="504">
        <f>($AW12+$BF12+$BO12+$BX12+$CG12+$CP12+$CY12+$DH12+$DQ12+$DZ12)</f>
        <v>0</v>
      </c>
      <c r="F12" s="504">
        <f>($AX12+$BG12+$BP12+$BY12+$CH12+$CQ12+$CZ12+$DI12+$DR12+$EA12)</f>
        <v>0</v>
      </c>
      <c r="G12" s="505">
        <f>($AY12+$BH12+$BQ12+$BZ12+$CI12+$CR12+$DA12+$DJ12+$DS12+$EB12)</f>
        <v>0</v>
      </c>
      <c r="H12" s="506">
        <f>IFERROR(G12/C12,0)</f>
        <v>0</v>
      </c>
      <c r="J12" t="str">
        <f>'PIM Model'!E10</f>
        <v>INCLUDE</v>
      </c>
      <c r="K12">
        <f>IFERROR(N12/$N$33,0)</f>
        <v>0</v>
      </c>
      <c r="L12">
        <f>IF(J12="Include",K12,0)</f>
        <v>0</v>
      </c>
      <c r="M12" s="105" t="s">
        <v>99</v>
      </c>
      <c r="N12" s="113">
        <f>($AU12+$BD12+$BM12+$BV12+$CE12+$CN12+$CW12+$DF12+$DO12+$DX12)*(1+($P$1/$P$5))</f>
        <v>0</v>
      </c>
      <c r="O12" s="114">
        <f t="shared" ref="O12:O32" si="0">(AV12+BE12+BN12+BW12+CF12+CO12+CX12+DG12+DP12+DY12)*(1+($P$1/$P$5))</f>
        <v>0</v>
      </c>
      <c r="P12" s="114">
        <f t="shared" ref="P12:P32" si="1">(AW12+BF12+BO12+BX12+CG12+CP12+CY12+DH12+DQ12+DZ12)*(1+($P$1/$P$5))</f>
        <v>0</v>
      </c>
      <c r="Q12" s="114">
        <f t="shared" ref="Q12:Q32" si="2">(AX12+BG12+BP12+BY12+CH12+CQ12+CZ12+DI12+DR12+EA12)*(1+($P$1/$P$5))</f>
        <v>0</v>
      </c>
      <c r="R12" s="116">
        <f t="shared" ref="R12:R32" si="3">(AY12+BH12+BQ12+BZ12+CI12+CR12+DA12+DJ12+DS12+EB12)*(1+($P$1/$P$5))</f>
        <v>0</v>
      </c>
      <c r="S12" s="119">
        <f>IFERROR(R12/N12,0)</f>
        <v>0</v>
      </c>
      <c r="T12" s="404"/>
      <c r="U12" s="105" t="s">
        <v>99</v>
      </c>
      <c r="V12" s="487">
        <f t="shared" ref="V12:X32" si="4">SUMIFS($AU12:$EC12,$AU$10:$EC$10,V$10)</f>
        <v>0</v>
      </c>
      <c r="W12" s="488">
        <f t="shared" si="4"/>
        <v>0</v>
      </c>
      <c r="X12" s="488">
        <f t="shared" si="4"/>
        <v>0</v>
      </c>
      <c r="Y12" s="489">
        <f>IFERROR(W12/V12,0)</f>
        <v>0</v>
      </c>
      <c r="Z12" s="490">
        <f>IFERROR(X12/V12,0)</f>
        <v>0</v>
      </c>
      <c r="AA12" s="404"/>
      <c r="AB12" s="105" t="s">
        <v>99</v>
      </c>
      <c r="AC12" s="487">
        <f t="shared" ref="AC12:AC32" si="5">SUMIFS($AU12:$EC12,$AU$10:$EC$10,AC$10)</f>
        <v>0</v>
      </c>
      <c r="AD12" s="488">
        <f>AH12*AC12</f>
        <v>0</v>
      </c>
      <c r="AE12" s="490"/>
      <c r="AF12" s="404"/>
      <c r="AG12" s="1" t="str">
        <f>IF('PIM Ranges'!$AK12='PIM Ranges'!$AW$11,IF($AC12&lt;'PIM Ranges'!$AX$11,"Q1",IF($AC12&lt;'PIM Ranges'!$AY$11,"Q2",IF($AC12&lt;'PIM Ranges'!$AZ$11,"Q3",IF($AC12&lt;'PIM Ranges'!$BA$11,"Q4","Q5")))),IF('PIM Ranges'!$AK12='PIM Ranges'!$AW$12,IF($AC12&lt;'PIM Ranges'!$AX$12,"Q1",IF($AC12&lt;'PIM Ranges'!$AY$12,"Q2",IF($AC12&lt;'PIM Ranges'!$AZ$12,"Q3",IF($AC12&lt;'PIM Ranges'!$BA$12,"Q4","Q5")))),IF('PIM Ranges'!$AK12='PIM Ranges'!$AW$13,IF($AC12&lt;'PIM Ranges'!$AX$13,"Q1",IF($AC12&lt;'PIM Ranges'!$AY$13,"Q2",IF($AC12&lt;'PIM Ranges'!$AZ$13,"Q3",IF($AC12&lt;'PIM Ranges'!$BA$13,"Q4","Q5")))),IF('PIM Ranges'!$AK12='PIM Ranges'!$AW$14,IF($AC12&lt;'PIM Ranges'!$AX$14,"Q1",IF($AC12&lt;'PIM Ranges'!$AY$14,"Q2",IF($AC12&lt;'PIM Ranges'!$AZ$14,"Q3",IF($AC12&lt;'PIM Ranges'!$BA$14,"Q4","Q5")))),IF('PIM Ranges'!$AK12='PIM Ranges'!$AW$15,IF($AC12&lt;'PIM Ranges'!$AX$15,"Q1",IF($AC12&lt;'PIM Ranges'!$AY$15,"Q2",IF($AC12&lt;'PIM Ranges'!$AZ$15,"Q3",IF($AC12&lt;'PIM Ranges'!$BA$15,"Q4","Q5")))),IF('PIM Ranges'!$AK12='PIM Ranges'!$AW$16,IF($AC12&lt;'PIM Ranges'!$AX$16,"Q1",IF($AC12&lt;'PIM Ranges'!$AY$16,"Q2",IF($AC12&lt;'PIM Ranges'!$AZ$16,"Q3",IF($AC12&lt;'PIM Ranges'!$BA$16,"Q4","Q5")))),IF('PIM Ranges'!$AK12='PIM Ranges'!$AW$17,IF($AC12&lt;'PIM Ranges'!$AX$17,"Q1",IF($AC12&lt;'PIM Ranges'!$AY$17,"Q2",IF($AC12&lt;'PIM Ranges'!$AZ$17,"Q3",IF($AC12&lt;'PIM Ranges'!$BA$17,"Q4","Q5")))),IF('PIM Ranges'!$AK12='PIM Ranges'!$AW$18,IF($AC12&lt;'PIM Ranges'!$AX$18,"Q1",IF($AC12&lt;'PIM Ranges'!$AY$18,"Q2",IF($AC12&lt;'PIM Ranges'!$AZ$18,"Q3",IF($AC12&lt;'PIM Ranges'!$BA$18,"Q4","Q5")))),IF('PIM Ranges'!$AK12='PIM Ranges'!$AW$19,IF($AC12&lt;'PIM Ranges'!$AX$19,"Q1",IF($AC12&lt;'PIM Ranges'!$AY$19,"Q2",IF($AC12&lt;'PIM Ranges'!$AZ$19,"Q3",IF($AC12&lt;'PIM Ranges'!$BA$19,"Q4","Q5")))),IF('PIM Ranges'!$AK12='PIM Ranges'!$AW$20,IF($AC12&lt;'PIM Ranges'!$AX$20,"Q1",IF($AC12&lt;'PIM Ranges'!$AY$20,"Q2",IF($AC12&lt;'PIM Ranges'!$AZ$20,"Q3",IF($AC12&lt;'PIM Ranges'!$BA$20,"Q4","Q5")))),IF('PIM Ranges'!$AK12='PIM Ranges'!$AW$21,IF($AC12&lt;'PIM Ranges'!$AX$21,"Q1",IF($AC12&lt;'PIM Ranges'!$AY$21,"Q2",IF($AC12&lt;'PIM Ranges'!$AZ$21,"Q3",IF($AC12&lt;'PIM Ranges'!$BA$21,"Q4","Q5")))),IF('PIM Ranges'!$AK12='PIM Ranges'!$AW$22,IF($AC12&lt;'PIM Ranges'!$AX$22,"Q1",IF($AC12&lt;'PIM Ranges'!$AY$22,"Q2",IF($AC12&lt;'PIM Ranges'!$AZ$22,"Q3",IF($AC12&lt;'PIM Ranges'!$BA$22,"Q4","Q5")))),IF('PIM Ranges'!$AK12='PIM Ranges'!$AW$23,IF($AC12&lt;'PIM Ranges'!$AX$23,"Q1",IF($AC12&lt;'PIM Ranges'!$AY$23,"Q2",IF($AC12&lt;'PIM Ranges'!$AZ$23,"Q3",IF($AC12&lt;'PIM Ranges'!$BA$23,"Q4","Q5")))),IF('PIM Ranges'!$AK12='PIM Ranges'!$AW$24,IF($AC12&lt;'PIM Ranges'!$AX$24,"Q1",IF($AC12&lt;'PIM Ranges'!$AY$24,"Q2",IF($AC12&lt;'PIM Ranges'!$AZ$24,"Q3",IF($AC12&lt;'PIM Ranges'!$BA$24,"Q4","Q5")))),IF('PIM Ranges'!$AK12='PIM Ranges'!$AW$25,IF($AC12&lt;'PIM Ranges'!$AX$25,"Q1",IF($AC12&lt;'PIM Ranges'!$AY$25,"Q2",IF($AC12&lt;'PIM Ranges'!$AZ$25,"Q3",IF($AC12&lt;'PIM Ranges'!$BA$25,"Q4","Q5")))),IF('PIM Ranges'!$AK12='PIM Ranges'!$AW$26,IF($AC12&lt;'PIM Ranges'!$AX$26,"Q1",IF($AC12&lt;'PIM Ranges'!$AY$26,"Q2",IF($AC12&lt;'PIM Ranges'!$AZ$26,"Q3",IF($AC12&lt;'PIM Ranges'!$BA$26,"Q4","Q5")))),IF('PIM Ranges'!$AK12='PIM Ranges'!$AW$27,IF($AC12&lt;'PIM Ranges'!$AX$27,"Q1",IF($AC12&lt;'PIM Ranges'!$AY$27,"Q2",IF($AC12&lt;'PIM Ranges'!$AZ$27,"Q3",IF($AC12&lt;'PIM Ranges'!$BA$27,"Q4","Q5")))),IF('PIM Ranges'!$AK12='PIM Ranges'!$AW$28,IF($AC12&lt;'PIM Ranges'!$AX$28,"Q1",IF($AC12&lt;'PIM Ranges'!$AY$28,"Q2",IF($AC12&lt;'PIM Ranges'!$AZ$28,"Q3",IF($AC12&lt;'PIM Ranges'!$BA$28,"Q4","Q5")))),IF('PIM Ranges'!$AK12='PIM Ranges'!$AW$29,IF($AC12&lt;'PIM Ranges'!$AX$29,"Q1",IF($AC12&lt;'PIM Ranges'!$AY$29,"Q2",IF($AC12&lt;'PIM Ranges'!$AZ$29,"Q3",IF($AC12&lt;'PIM Ranges'!$BA$29,"Q4","Q5")))),IF('PIM Ranges'!$AK12='PIM Ranges'!$AW$30,IF($AC12&lt;'PIM Ranges'!$AX$30,"Q1",IF($AC12&lt;'PIM Ranges'!$AY$30,"Q2",IF($AC12&lt;'PIM Ranges'!$AZ$30,"Q3",IF($AC12&lt;'PIM Ranges'!$BA$30,"Q4","Q5")))),IF('PIM Ranges'!$AK12='PIM Ranges'!$AW$31,IF($AC12&lt;'PIM Ranges'!$AX$31,"Q1",IF($AC12&lt;'PIM Ranges'!$AY$31,"Q2",IF($AC12&lt;'PIM Ranges'!$AZ$31,"Q3",IF($AC12&lt;'PIM Ranges'!$BA$31,"Q4","Q5")))),IF('PIM Ranges'!$AK12='PIM Ranges'!$AW$32,IF($AC12&lt;'PIM Ranges'!$AX$32,"Q1",IF($AC12&lt;'PIM Ranges'!$AY$32,"Q2",IF($AC12&lt;'PIM Ranges'!$AZ$32,"Q3",IF($AC12&lt;'PIM Ranges'!$BA$32,"Q4","Q5"))))))))))))))))))))))))))</f>
        <v>Q1</v>
      </c>
      <c r="AH12" s="404">
        <f>VLOOKUP($AB12&amp;$AG12,'IMargin Quartiles'!$A:$F,6,FALSE)</f>
        <v>0.14000000000000001</v>
      </c>
      <c r="AI12" s="404"/>
      <c r="AJ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K12" s="404" t="e">
        <f>VLOOKUP($AB12&amp;$AJ12,'IMargin Quartiles'!$A:$F,6,FALSE)</f>
        <v>#DIV/0!</v>
      </c>
      <c r="AL12">
        <f>'PIM Model'!C10</f>
        <v>0</v>
      </c>
      <c r="AM12" s="404"/>
      <c r="AN12" s="404"/>
      <c r="AO12" s="404" t="e">
        <f>IF($AL12="AVG",IFERROR((W12+AD12)/(V12+AC12),AK12),(W12+AD12)/(V12+AC12))</f>
        <v>#DIV/0!</v>
      </c>
      <c r="AP12" s="404"/>
      <c r="AQ12" s="404"/>
      <c r="AR12" s="111">
        <v>3</v>
      </c>
      <c r="AS12">
        <f>IFERROR(VLOOKUP(AU$5,'Basket Composition'!$A$3:$W$30,'Multi-Customer'!$AR12,FALSE),0)</f>
        <v>0</v>
      </c>
      <c r="AT12" s="105" t="s">
        <v>99</v>
      </c>
      <c r="AU12" s="97">
        <f>IFERROR(IF($AU$2="Enter Spend&gt;&gt;&gt;",$AU$3*AS12,SUMIFS('Existing Customers'!$Q:$Q,'Existing Customers'!$H:$H,'Multi-Customer'!$AT12,'Existing Customers'!$A:$A,'Multi-Customer'!$AU$1)*$AU$4),0)</f>
        <v>0</v>
      </c>
      <c r="AV12" s="92">
        <f>IFERROR(IF($AU$2="Enter Spend&gt;&gt;&gt;",'Multi-Customer'!AU12/VLOOKUP($AU$5,'Basket Composition'!$A$34:$W$61,'Multi-Customer'!$AR12,FALSE),SUMIFS('Existing Customers'!$N:$N,'Existing Customers'!$H:$H,'Multi-Customer'!$AT12,'Existing Customers'!$A:$A,'Multi-Customer'!$AU$1)*$AU$4),0)</f>
        <v>0</v>
      </c>
      <c r="AW12" s="98">
        <f>IFERROR(IF($AU$2="Enter Spend&gt;&gt;&gt;",AV12*$AU$8,SUMIFS('Existing Customers'!$O:$O,'Existing Customers'!$H:$H,'Multi-Customer'!$AT12,'Existing Customers'!$A:$A,'Multi-Customer'!AU$1)*$AU$4),0)</f>
        <v>0</v>
      </c>
      <c r="AX12" s="98">
        <f>IFERROR(IF($AU$2="Enter Spend&gt;&gt;&gt;",'Multi-Customer'!AU12/VLOOKUP($AU$5,'Basket Composition'!$A$65:$W$92,'Multi-Customer'!$AR12,FALSE),SUMIFS('Existing Customers'!$P:$P,'Existing Customers'!$H:$H,'Multi-Customer'!$AT12,'Existing Customers'!$A:$A,'Multi-Customer'!$AU$1)*$AU$4),0)</f>
        <v>0</v>
      </c>
      <c r="AY12" s="406">
        <f>IFERROR(IF($AU$2="Enter Spend&gt;&gt;&gt;","N/A",SUMIFS('Existing Customers'!$V:$V,'Existing Customers'!$H:$H,'Multi-Customer'!$AT12,'Existing Customers'!$A:$A,'Multi-Customer'!AU$1)*$AU$4),0)</f>
        <v>0</v>
      </c>
      <c r="AZ12" s="99">
        <f>IFERROR(IF($AU$2="Enter Spend&gt;&gt;&gt;","N/A",SUMIFS('Existing Customers'!$R:$R,'Existing Customers'!$H:$H,'Multi-Customer'!$AT12,'Existing Customers'!$A:$A,'Multi-Customer'!AU$1)*$AU$4),0)</f>
        <v>0</v>
      </c>
      <c r="BA12" s="132"/>
      <c r="BB12">
        <f>IFERROR(VLOOKUP(BD$5,'Basket Composition'!$A$3:$W$30,'Multi-Customer'!$AR12,FALSE),0)</f>
        <v>0</v>
      </c>
      <c r="BC12" s="105" t="s">
        <v>99</v>
      </c>
      <c r="BD12" s="97">
        <f>IFERROR(IF($BD$2="Enter Spend&gt;&gt;&gt;",$BD$3*BB12,SUMIFS('Existing Customers'!$Q:$Q,'Existing Customers'!$H:$H,'Multi-Customer'!$AT12,'Existing Customers'!$A:$A,'Multi-Customer'!$BD$1)*$BD$4),0)</f>
        <v>0</v>
      </c>
      <c r="BE12" s="92">
        <f>IFERROR(IF($BD$2="Enter Spend&gt;&gt;&gt;",'Multi-Customer'!BD12/VLOOKUP($BD$5,'Basket Composition'!$A$34:$W$61,'Multi-Customer'!$AR12,FALSE),SUMIFS('Existing Customers'!$N:$N,'Existing Customers'!$H:$H,'Multi-Customer'!$AT12,'Existing Customers'!$A:$A,'Multi-Customer'!$BD$1)*$BD$4),0)</f>
        <v>0</v>
      </c>
      <c r="BF12" s="98">
        <f>IFERROR(IF($BD$2="Enter Spend&gt;&gt;&gt;",BE12*$BD$8,SUMIFS('Existing Customers'!$O:$O,'Existing Customers'!$H:$H,'Multi-Customer'!$AT12,'Existing Customers'!$A:$A,'Multi-Customer'!BD$1)*$BD$4),0)</f>
        <v>0</v>
      </c>
      <c r="BG12" s="98">
        <f>IFERROR(IF($BD$2="Enter Spend&gt;&gt;&gt;",'Multi-Customer'!BD12/VLOOKUP($BD$5,'Basket Composition'!$A$65:$W$92,'Multi-Customer'!$AR12,FALSE),SUMIFS('Existing Customers'!$P:$P,'Existing Customers'!$H:$H,'Multi-Customer'!$AT12,'Existing Customers'!$A:$A,'Multi-Customer'!$BD$1)*$BD$4),0)</f>
        <v>0</v>
      </c>
      <c r="BH12" s="99">
        <f>IFERROR(IF($BD$2="Enter Spend&gt;&gt;&gt;","N/A",SUMIFS('Existing Customers'!$V:$V,'Existing Customers'!$H:$H,'Multi-Customer'!$AT12,'Existing Customers'!$A:$A,'Multi-Customer'!BD$1)*$BD$4),0)</f>
        <v>0</v>
      </c>
      <c r="BI12" s="99">
        <f>IFERROR(IF($BD$2="Enter Spend&gt;&gt;&gt;","N/A",SUMIFS('Existing Customers'!$R:$R,'Existing Customers'!$H:$H,'Multi-Customer'!$AT12,'Existing Customers'!$A:$A,'Multi-Customer'!BD$1)*$BD$4),0)</f>
        <v>0</v>
      </c>
      <c r="BJ12" s="132"/>
      <c r="BK12">
        <f>IFERROR(VLOOKUP(BM$5,'Basket Composition'!$A$3:$W$30,'Multi-Customer'!$AR12,FALSE),0)</f>
        <v>0</v>
      </c>
      <c r="BL12" s="105" t="s">
        <v>99</v>
      </c>
      <c r="BM12" s="97">
        <f>IFERROR(IF($BM$2="Enter Spend&gt;&gt;&gt;",$BM$3*BK12,SUMIFS('Existing Customers'!$Q:$Q,'Existing Customers'!$H:$H,'Multi-Customer'!$AT12,'Existing Customers'!$A:$A,'Multi-Customer'!$BM$1)*$BM$4),0)</f>
        <v>0</v>
      </c>
      <c r="BN12" s="92">
        <f>IFERROR(IF($BM$2="Enter Spend&gt;&gt;&gt;",'Multi-Customer'!BM12/VLOOKUP($BM$5,'Basket Composition'!$A$34:$W$61,'Multi-Customer'!$AR12,FALSE),SUMIFS('Existing Customers'!$N:$N,'Existing Customers'!$H:$H,'Multi-Customer'!$AT12,'Existing Customers'!$A:$A,'Multi-Customer'!$BM$1)*$BM$4),0)</f>
        <v>0</v>
      </c>
      <c r="BO12" s="98">
        <f>IFERROR(IF($BM$2="Enter Spend&gt;&gt;&gt;",BN12*$BM$8,SUMIFS('Existing Customers'!$O:$O,'Existing Customers'!$H:$H,'Multi-Customer'!$AT12,'Existing Customers'!$A:$A,'Multi-Customer'!BM$1)*$BM$4),0)</f>
        <v>0</v>
      </c>
      <c r="BP12" s="98">
        <f>IFERROR(IF($BM$2="Enter Spend&gt;&gt;&gt;",'Multi-Customer'!BM12/VLOOKUP($BM$5,'Basket Composition'!$A$65:$W$92,'Multi-Customer'!$AR12,FALSE),SUMIFS('Existing Customers'!$P:$P,'Existing Customers'!$H:$H,'Multi-Customer'!$AT12,'Existing Customers'!$A:$A,'Multi-Customer'!$BM$1)*$BM$4),0)</f>
        <v>0</v>
      </c>
      <c r="BQ12" s="99">
        <f>IFERROR(IF($BM$2="Enter Spend&gt;&gt;&gt;","N/A",SUMIFS('Existing Customers'!$V:$V,'Existing Customers'!$H:$H,'Multi-Customer'!$AT12,'Existing Customers'!$A:$A,'Multi-Customer'!BM$1)*$BM$4),0)</f>
        <v>0</v>
      </c>
      <c r="BR12" s="99">
        <f>IFERROR(IF($BM$2="Enter Spend&gt;&gt;&gt;","N/A",SUMIFS('Existing Customers'!$R:$R,'Existing Customers'!$H:$H,'Multi-Customer'!$AT12,'Existing Customers'!$A:$A,'Multi-Customer'!BM$1)*$BM$4),0)</f>
        <v>0</v>
      </c>
      <c r="BS12" s="132"/>
      <c r="BT12">
        <f>IFERROR(VLOOKUP(BV$5,'Basket Composition'!$A$3:$W$30,'Multi-Customer'!$AR12,FALSE),0)</f>
        <v>0</v>
      </c>
      <c r="BU12" s="105" t="s">
        <v>99</v>
      </c>
      <c r="BV12" s="97">
        <f>IFERROR(IF($BV$2="Enter Spend&gt;&gt;&gt;",$BV$3*BT12,SUMIFS('Existing Customers'!$Q:$Q,'Existing Customers'!$H:$H,'Multi-Customer'!$AT12,'Existing Customers'!$A:$A,'Multi-Customer'!$BV$1)*$BV$4),0)</f>
        <v>0</v>
      </c>
      <c r="BW12" s="92">
        <f>IFERROR(IF($BV$2="Enter Spend&gt;&gt;&gt;",'Multi-Customer'!BV12/VLOOKUP($BV$5,'Basket Composition'!$A$34:$W$61,'Multi-Customer'!$AR12,FALSE),SUMIFS('Existing Customers'!$N:$N,'Existing Customers'!$H:$H,'Multi-Customer'!$AT12,'Existing Customers'!$A:$A,'Multi-Customer'!$BV$1)*$BV$4),0)</f>
        <v>0</v>
      </c>
      <c r="BX12" s="98">
        <f>IFERROR(IF($BV$2="Enter Spend&gt;&gt;&gt;",BW12*$BV$8,SUMIFS('Existing Customers'!$O:$O,'Existing Customers'!$H:$H,'Multi-Customer'!$AT12,'Existing Customers'!$A:$A,'Multi-Customer'!BV$1)*$BV$4),0)</f>
        <v>0</v>
      </c>
      <c r="BY12" s="98">
        <f>IFERROR(IF($BV$2="Enter Spend&gt;&gt;&gt;",'Multi-Customer'!BV12/VLOOKUP($BV$5,'Basket Composition'!$A$65:$W$92,'Multi-Customer'!$AR12,FALSE),SUMIFS('Existing Customers'!$P:$P,'Existing Customers'!$H:$H,'Multi-Customer'!$AT12,'Existing Customers'!$A:$A,'Multi-Customer'!$BV$1)*$BV$4),0)</f>
        <v>0</v>
      </c>
      <c r="BZ12" s="99">
        <f>IFERROR(IF($BV$2="Enter Spend&gt;&gt;&gt;","N/A",SUMIFS('Existing Customers'!$V:$V,'Existing Customers'!$H:$H,'Multi-Customer'!$AT12,'Existing Customers'!$A:$A,'Multi-Customer'!BV$1)*$BV$4),0)</f>
        <v>0</v>
      </c>
      <c r="CA12" s="99">
        <f>IFERROR(IF($BV$2="Enter Spend&gt;&gt;&gt;","N/A",SUMIFS('Existing Customers'!$R:$R,'Existing Customers'!$H:$H,'Multi-Customer'!$AT12,'Existing Customers'!$A:$A,'Multi-Customer'!BV$1)*$BV$4),0)</f>
        <v>0</v>
      </c>
      <c r="CB12" s="132"/>
      <c r="CC12">
        <f>IFERROR(VLOOKUP(CE$5,'Basket Composition'!$A$3:$W$30,'Multi-Customer'!$AR12,FALSE),0)</f>
        <v>0</v>
      </c>
      <c r="CD12" s="105" t="s">
        <v>99</v>
      </c>
      <c r="CE12" s="97">
        <f>IFERROR(IF($CE$2="Enter Spend&gt;&gt;&gt;",$CE$3*CC12,SUMIFS('Existing Customers'!$Q:$Q,'Existing Customers'!$H:$H,'Multi-Customer'!$AT12,'Existing Customers'!$A:$A,'Multi-Customer'!$CE$1)*$CE$4),0)</f>
        <v>0</v>
      </c>
      <c r="CF12" s="92">
        <f>IFERROR(IF($CE$2="Enter Spend&gt;&gt;&gt;",'Multi-Customer'!CE12/VLOOKUP($CE$5,'Basket Composition'!$A$34:$W$61,'Multi-Customer'!$AR12,FALSE),SUMIFS('Existing Customers'!$N:$N,'Existing Customers'!$H:$H,'Multi-Customer'!$AT12,'Existing Customers'!$A:$A,'Multi-Customer'!$CE$1)*$CE$4),0)</f>
        <v>0</v>
      </c>
      <c r="CG12" s="98">
        <f>IFERROR(IF($CE$2="Enter Spend&gt;&gt;&gt;",CF12*$CE$8,SUMIFS('Existing Customers'!$O:$O,'Existing Customers'!$H:$H,'Multi-Customer'!$AT12,'Existing Customers'!$A:$A,'Multi-Customer'!CE$1)*$CE$4),0)</f>
        <v>0</v>
      </c>
      <c r="CH12" s="98">
        <f>IFERROR(IF($CE$2="Enter Spend&gt;&gt;&gt;",'Multi-Customer'!CE12/VLOOKUP($CE$5,'Basket Composition'!$A$65:$W$92,'Multi-Customer'!$AR12,FALSE),SUMIFS('Existing Customers'!$P:$P,'Existing Customers'!$H:$H,'Multi-Customer'!$AT12,'Existing Customers'!$A:$A,'Multi-Customer'!$CE$1)*$CE$4),0)</f>
        <v>0</v>
      </c>
      <c r="CI12" s="99">
        <f>IFERROR(IF($CE$2="Enter Spend&gt;&gt;&gt;","N/A",SUMIFS('Existing Customers'!$V:$V,'Existing Customers'!$H:$H,'Multi-Customer'!$AT12,'Existing Customers'!$A:$A,'Multi-Customer'!CE$1)*$CE$4),0)</f>
        <v>0</v>
      </c>
      <c r="CJ12" s="99">
        <f>IFERROR(IF($CE$2="Enter Spend&gt;&gt;&gt;","N/A",SUMIFS('Existing Customers'!$R:$R,'Existing Customers'!$H:$H,'Multi-Customer'!$AT12,'Existing Customers'!$A:$A,'Multi-Customer'!CE$1)*$CE$4),0)</f>
        <v>0</v>
      </c>
      <c r="CK12" s="132"/>
      <c r="CL12">
        <f>IFERROR(VLOOKUP(CN$5,'Basket Composition'!$A$3:$W$30,'Multi-Customer'!$AR12,FALSE),0)</f>
        <v>0</v>
      </c>
      <c r="CM12" s="105" t="s">
        <v>99</v>
      </c>
      <c r="CN12" s="97">
        <f>IFERROR(IF($CN$2="Enter Spend&gt;&gt;&gt;",$CN$3*CL12,SUMIFS('Existing Customers'!$Q:$Q,'Existing Customers'!$H:$H,'Multi-Customer'!$AT12,'Existing Customers'!$A:$A,'Multi-Customer'!$CN$1)*$CN$4),0)</f>
        <v>0</v>
      </c>
      <c r="CO12" s="92">
        <f>IFERROR(IF($CN$2="Enter Spend&gt;&gt;&gt;",'Multi-Customer'!CN12/VLOOKUP($CN$5,'Basket Composition'!$A$34:$W$61,'Multi-Customer'!$AR12,FALSE),SUMIFS('Existing Customers'!$N:$N,'Existing Customers'!$H:$H,'Multi-Customer'!$AT12,'Existing Customers'!$A:$A,'Multi-Customer'!$CN$1)*$CN$4),0)</f>
        <v>0</v>
      </c>
      <c r="CP12" s="98">
        <f>IFERROR(IF($CN$2="Enter Spend&gt;&gt;&gt;",CO12*$CN$8,SUMIFS('Existing Customers'!$O:$O,'Existing Customers'!$H:$H,'Multi-Customer'!$AT12,'Existing Customers'!$A:$A,'Multi-Customer'!CN$1)*$CN$4),0)</f>
        <v>0</v>
      </c>
      <c r="CQ12" s="98">
        <f>IFERROR(IF($CN$2="Enter Spend&gt;&gt;&gt;",'Multi-Customer'!CN12/VLOOKUP($CN$5,'Basket Composition'!$A$65:$W$92,'Multi-Customer'!$AR12,FALSE),SUMIFS('Existing Customers'!$P:$P,'Existing Customers'!$H:$H,'Multi-Customer'!$AT12,'Existing Customers'!$A:$A,'Multi-Customer'!$CN$1)*$CN$4),0)</f>
        <v>0</v>
      </c>
      <c r="CR12" s="99">
        <f>IFERROR(IF($CN$2="Enter Spend&gt;&gt;&gt;","N/A",SUMIFS('Existing Customers'!$V:$V,'Existing Customers'!$H:$H,'Multi-Customer'!$AT12,'Existing Customers'!$A:$A,'Multi-Customer'!CN$1)*$CN$4),0)</f>
        <v>0</v>
      </c>
      <c r="CS12" s="99">
        <f>IFERROR(IF($CN$2="Enter Spend&gt;&gt;&gt;","N/A",SUMIFS('Existing Customers'!$R:$R,'Existing Customers'!$H:$H,'Multi-Customer'!$AT12,'Existing Customers'!$A:$A,'Multi-Customer'!CN$1)*$CN$4),0)</f>
        <v>0</v>
      </c>
      <c r="CT12" s="132"/>
      <c r="CU12">
        <f>IFERROR(VLOOKUP(CW$5,'Basket Composition'!$A$3:$W$30,'Multi-Customer'!$AR12,FALSE),0)</f>
        <v>0</v>
      </c>
      <c r="CV12" s="105" t="s">
        <v>99</v>
      </c>
      <c r="CW12" s="97">
        <f>IFERROR(IF($CW$2="Enter Spend&gt;&gt;&gt;",$CW$3*CU12,SUMIFS('Existing Customers'!$Q:$Q,'Existing Customers'!$H:$H,'Multi-Customer'!$AT12,'Existing Customers'!$A:$A,'Multi-Customer'!$CW$1)*$CW$4),0)</f>
        <v>0</v>
      </c>
      <c r="CX12" s="92">
        <f>IFERROR(IF($CW$2="Enter Spend&gt;&gt;&gt;",'Multi-Customer'!CW12/VLOOKUP($CW$5,'Basket Composition'!$A$34:$W$61,'Multi-Customer'!$AR12,FALSE),SUMIFS('Existing Customers'!$N:$N,'Existing Customers'!$H:$H,'Multi-Customer'!$AT12,'Existing Customers'!$A:$A,'Multi-Customer'!$CW$1)*$CW$4),0)</f>
        <v>0</v>
      </c>
      <c r="CY12" s="98">
        <f>IFERROR(IF($CW$2="Enter Spend&gt;&gt;&gt;",CX12*$CW$8,SUMIFS('Existing Customers'!$O:$O,'Existing Customers'!$H:$H,'Multi-Customer'!$AT12,'Existing Customers'!$A:$A,'Multi-Customer'!CW$1)*$CW$4),0)</f>
        <v>0</v>
      </c>
      <c r="CZ12" s="98">
        <f>IFERROR(IF($CW$2="Enter Spend&gt;&gt;&gt;",'Multi-Customer'!CW12/VLOOKUP($CW$5,'Basket Composition'!$A$65:$W$92,'Multi-Customer'!$AR12,FALSE),SUMIFS('Existing Customers'!$P:$P,'Existing Customers'!$H:$H,'Multi-Customer'!$AT12,'Existing Customers'!$A:$A,'Multi-Customer'!$CW$1)*$CW$4),0)</f>
        <v>0</v>
      </c>
      <c r="DA12" s="99">
        <f>IFERROR(IF($CW$2="Enter Spend&gt;&gt;&gt;","N/A",SUMIFS('Existing Customers'!$V:$V,'Existing Customers'!$H:$H,'Multi-Customer'!$AT12,'Existing Customers'!$A:$A,'Multi-Customer'!CW$1)*$CW$4),0)</f>
        <v>0</v>
      </c>
      <c r="DB12" s="99">
        <f>IFERROR(IF($CW$2="Enter Spend&gt;&gt;&gt;","N/A",SUMIFS('Existing Customers'!$R:$R,'Existing Customers'!$H:$H,'Multi-Customer'!$AT12,'Existing Customers'!$A:$A,'Multi-Customer'!CW$1)*$CW$4),0)</f>
        <v>0</v>
      </c>
      <c r="DC12" s="132"/>
      <c r="DD12">
        <f>IFERROR(VLOOKUP(DF$5,'Basket Composition'!$A$3:$W$30,'Multi-Customer'!$AR12,FALSE),0)</f>
        <v>0</v>
      </c>
      <c r="DE12" s="105" t="s">
        <v>99</v>
      </c>
      <c r="DF12" s="97">
        <f>IFERROR(IF($DF$2="Enter Spend&gt;&gt;&gt;",$DF$3*DD12,SUMIFS('Existing Customers'!$Q:$Q,'Existing Customers'!$H:$H,'Multi-Customer'!$AT12,'Existing Customers'!$A:$A,'Multi-Customer'!$DF$1)*$DF$4),0)</f>
        <v>0</v>
      </c>
      <c r="DG12" s="92">
        <f>IFERROR(IF($DF$2="Enter Spend&gt;&gt;&gt;",'Multi-Customer'!DF12/VLOOKUP($DF$5,'Basket Composition'!$A$34:$W$61,'Multi-Customer'!$AR12,FALSE),SUMIFS('Existing Customers'!$N:$N,'Existing Customers'!$H:$H,'Multi-Customer'!$AT12,'Existing Customers'!$A:$A,'Multi-Customer'!$DF$1)*$DF$4),0)</f>
        <v>0</v>
      </c>
      <c r="DH12" s="98">
        <f>IFERROR(IF($DF$2="Enter Spend&gt;&gt;&gt;",DG12*$DF$8,SUMIFS('Existing Customers'!$O:$O,'Existing Customers'!$H:$H,'Multi-Customer'!$AT12,'Existing Customers'!$A:$A,'Multi-Customer'!DF$1)*$DF$4),0)</f>
        <v>0</v>
      </c>
      <c r="DI12" s="98">
        <f>IFERROR(IF($DF$2="Enter Spend&gt;&gt;&gt;",'Multi-Customer'!DF12/VLOOKUP($DF$5,'Basket Composition'!$A$65:$W$92,'Multi-Customer'!$AR12,FALSE),SUMIFS('Existing Customers'!$P:$P,'Existing Customers'!$H:$H,'Multi-Customer'!$AT12,'Existing Customers'!$A:$A,'Multi-Customer'!$DF$1)*$DF$4),0)</f>
        <v>0</v>
      </c>
      <c r="DJ12" s="99">
        <f>IFERROR(IF($DF$2="Enter Spend&gt;&gt;&gt;","N/A",SUMIFS('Existing Customers'!$V:$V,'Existing Customers'!$H:$H,'Multi-Customer'!$AT12,'Existing Customers'!$A:$A,'Multi-Customer'!DF$1)*$DF$4),0)</f>
        <v>0</v>
      </c>
      <c r="DK12" s="99">
        <f>IFERROR(IF($DF$2="Enter Spend&gt;&gt;&gt;","N/A",SUMIFS('Existing Customers'!$R:$R,'Existing Customers'!$H:$H,'Multi-Customer'!$AT12,'Existing Customers'!$A:$A,'Multi-Customer'!DF$1)*$DF$4),0)</f>
        <v>0</v>
      </c>
      <c r="DL12" s="132"/>
      <c r="DM12">
        <f>IFERROR(VLOOKUP(DO$5,'Basket Composition'!$A$3:$W$30,'Multi-Customer'!$AR12,FALSE),0)</f>
        <v>0</v>
      </c>
      <c r="DN12" s="105" t="s">
        <v>99</v>
      </c>
      <c r="DO12" s="97">
        <f>IFERROR(IF($DO$2="Enter Spend&gt;&gt;&gt;",$DO$3*DM12,SUMIFS('Existing Customers'!$Q:$Q,'Existing Customers'!$H:$H,'Multi-Customer'!$AT12,'Existing Customers'!$A:$A,'Multi-Customer'!$DO$1)*$DO$4),0)</f>
        <v>0</v>
      </c>
      <c r="DP12" s="92">
        <f>IFERROR(IF($DO$2="Enter Spend&gt;&gt;&gt;",'Multi-Customer'!DO12/VLOOKUP($DO$5,'Basket Composition'!$A$34:$W$61,'Multi-Customer'!$AR12,FALSE),SUMIFS('Existing Customers'!$N:$N,'Existing Customers'!$H:$H,'Multi-Customer'!$AT12,'Existing Customers'!$A:$A,'Multi-Customer'!$DO$1)*$DO$4),0)</f>
        <v>0</v>
      </c>
      <c r="DQ12" s="98">
        <f>IFERROR(IF($DO$2="Enter Spend&gt;&gt;&gt;",DP12*$DO$8,SUMIFS('Existing Customers'!$O:$O,'Existing Customers'!$H:$H,'Multi-Customer'!$AT12,'Existing Customers'!$A:$A,'Multi-Customer'!DO$1)*$DO$4),0)</f>
        <v>0</v>
      </c>
      <c r="DR12" s="98">
        <f>IFERROR(IF($DO$2="Enter Spend&gt;&gt;&gt;",'Multi-Customer'!DO12/VLOOKUP($DO$5,'Basket Composition'!$A$65:$W$92,'Multi-Customer'!$AR12,FALSE),SUMIFS('Existing Customers'!$P:$P,'Existing Customers'!$H:$H,'Multi-Customer'!$AT12,'Existing Customers'!$A:$A,'Multi-Customer'!$DO$1)*$DO$4),0)</f>
        <v>0</v>
      </c>
      <c r="DS12" s="406">
        <f>IFERROR(IF($DO$2="Enter Spend&gt;&gt;&gt;","N/A",SUMIFS('Existing Customers'!$V:$V,'Existing Customers'!$H:$H,'Multi-Customer'!$AT12,'Existing Customers'!$A:$A,'Multi-Customer'!DO$1)*$DO$4),0)</f>
        <v>0</v>
      </c>
      <c r="DT12" s="99">
        <f>IFERROR(IF($DO$2="Enter Spend&gt;&gt;&gt;","N/A",SUMIFS('Existing Customers'!$R:$R,'Existing Customers'!$H:$H,'Multi-Customer'!$AT12,'Existing Customers'!$A:$A,'Multi-Customer'!DO$1)*$DO$4),0)</f>
        <v>0</v>
      </c>
      <c r="DU12" s="132"/>
      <c r="DV12">
        <f>IFERROR(VLOOKUP(DX$5,'Basket Composition'!$A$3:$W$30,'Multi-Customer'!$AR12,FALSE),0)</f>
        <v>0</v>
      </c>
      <c r="DW12" s="105" t="s">
        <v>99</v>
      </c>
      <c r="DX12" s="97">
        <f>IFERROR(IF($DX$2="Enter Spend&gt;&gt;&gt;",$DX$3*DV12,SUMIFS('Existing Customers'!$Q:$Q,'Existing Customers'!$H:$H,'Multi-Customer'!$AT12,'Existing Customers'!$A:$A,'Multi-Customer'!$DX$1)*$DX$4),0)</f>
        <v>0</v>
      </c>
      <c r="DY12" s="92">
        <f>IFERROR(IF($DX$2="Enter Spend&gt;&gt;&gt;",'Multi-Customer'!DX12/VLOOKUP($DX$5,'Basket Composition'!$A$34:$W$61,'Multi-Customer'!$AR12,FALSE),SUMIFS('Existing Customers'!$N:$N,'Existing Customers'!$H:$H,'Multi-Customer'!$AT12,'Existing Customers'!$A:$A,'Multi-Customer'!$DX$1)*$DX$4),0)</f>
        <v>0</v>
      </c>
      <c r="DZ12" s="98">
        <f>IFERROR(IF($DX$2="Enter Spend&gt;&gt;&gt;",DY12*$DX$8,SUMIFS('Existing Customers'!$O:$O,'Existing Customers'!$H:$H,'Multi-Customer'!$AT12,'Existing Customers'!$A:$A,'Multi-Customer'!DX$1)*$DX$4),0)</f>
        <v>0</v>
      </c>
      <c r="EA12" s="98">
        <f>IFERROR(IF($DX$2="Enter Spend&gt;&gt;&gt;",'Multi-Customer'!DX12/VLOOKUP($DX$5,'Basket Composition'!$A$65:$W$92,'Multi-Customer'!$AR12,FALSE),SUMIFS('Existing Customers'!$P:$P,'Existing Customers'!$H:$H,'Multi-Customer'!$AT12,'Existing Customers'!$A:$A,'Multi-Customer'!$DX$1)*$DX$4),0)</f>
        <v>0</v>
      </c>
      <c r="EB12" s="406">
        <f>IFERROR(IF($DX$2="Enter Spend&gt;&gt;&gt;","N/A",SUMIFS('Existing Customers'!$V:$V,'Existing Customers'!$H:$H,'Multi-Customer'!$AT12,'Existing Customers'!$A:$A,'Multi-Customer'!DX$1)*$DX$4),0)</f>
        <v>0</v>
      </c>
      <c r="EC12" s="99">
        <f>IFERROR(IF($DX$2="Enter Spend&gt;&gt;&gt;","N/A",SUMIFS('Existing Customers'!$R:$R,'Existing Customers'!$H:$H,'Multi-Customer'!$AT12,'Existing Customers'!$A:$A,'Multi-Customer'!DX$1)*$DX$4),0)</f>
        <v>0</v>
      </c>
      <c r="EE12" s="105" t="s">
        <v>99</v>
      </c>
      <c r="EF12" s="97"/>
      <c r="EG12" s="92"/>
      <c r="EH12" s="98"/>
      <c r="EI12" s="98"/>
      <c r="EJ12" s="406"/>
      <c r="EK12" s="99"/>
      <c r="EL12" s="132"/>
      <c r="EN12" s="105" t="s">
        <v>99</v>
      </c>
      <c r="EO12" s="97"/>
      <c r="EP12" s="92"/>
      <c r="EQ12" s="98"/>
      <c r="ER12" s="98"/>
      <c r="ES12" s="406"/>
      <c r="ET12" s="99"/>
    </row>
    <row r="13" spans="2:150" x14ac:dyDescent="0.25">
      <c r="B13" s="105" t="s">
        <v>529</v>
      </c>
      <c r="C13" s="487">
        <f t="shared" ref="C13:C32" si="6">($AU13+$BD13+$BM13+$BV13+$CE13+$CN13+$CW13+$DF13+$DO13+$DX13)</f>
        <v>0</v>
      </c>
      <c r="D13" s="504">
        <f t="shared" ref="D13:D32" si="7">($AV13+$BE13+$BN13+$BW13+$CF13+$CO13+$CX13+$DG13+$DP13+$DY13)</f>
        <v>0</v>
      </c>
      <c r="E13" s="504">
        <f t="shared" ref="E13:E32" si="8">($AW13+$BF13+$BO13+$BX13+$CG13+$CP13+$CY13+$DH13+$DQ13+$DZ13)</f>
        <v>0</v>
      </c>
      <c r="F13" s="504">
        <f t="shared" ref="F13:F32" si="9">($AX13+$BG13+$BP13+$BY13+$CH13+$CQ13+$CZ13+$DI13+$DR13+$EA13)</f>
        <v>0</v>
      </c>
      <c r="G13" s="505">
        <f t="shared" ref="G13:G32" si="10">($AY13+$BH13+$BQ13+$BZ13+$CI13+$CR13+$DA13+$DJ13+$DS13+$EB13)</f>
        <v>0</v>
      </c>
      <c r="H13" s="507">
        <f t="shared" ref="H13:H32" si="11">IFERROR(G13/C13,0)</f>
        <v>0</v>
      </c>
      <c r="J13" t="str">
        <f>'PIM Model'!E11</f>
        <v>INCLUDE</v>
      </c>
      <c r="K13">
        <f t="shared" ref="K13:K32" si="12">IFERROR(N13/$N$33,0)</f>
        <v>0</v>
      </c>
      <c r="L13">
        <f t="shared" ref="L13:L32" si="13">IF(J13="Include",K13,0)</f>
        <v>0</v>
      </c>
      <c r="M13" s="105" t="s">
        <v>529</v>
      </c>
      <c r="N13" s="100">
        <f t="shared" ref="N13:N32" si="14">(AU13+BD13+BM13+BV13+CE13+CN13+CW13+DF13+DO13+DX13)*(1+($P$1/$P$5))</f>
        <v>0</v>
      </c>
      <c r="O13" s="92">
        <f t="shared" si="0"/>
        <v>0</v>
      </c>
      <c r="P13" s="92">
        <f t="shared" si="1"/>
        <v>0</v>
      </c>
      <c r="Q13" s="92">
        <f t="shared" si="2"/>
        <v>0</v>
      </c>
      <c r="R13" s="117">
        <f t="shared" si="3"/>
        <v>0</v>
      </c>
      <c r="S13" s="120">
        <f t="shared" ref="S13:S32" si="15">IFERROR(R13/N13,0)</f>
        <v>0</v>
      </c>
      <c r="T13" s="404"/>
      <c r="U13" s="105" t="s">
        <v>529</v>
      </c>
      <c r="V13" s="491">
        <f t="shared" si="4"/>
        <v>0</v>
      </c>
      <c r="W13" s="492">
        <f t="shared" si="4"/>
        <v>0</v>
      </c>
      <c r="X13" s="492">
        <f t="shared" si="4"/>
        <v>0</v>
      </c>
      <c r="Y13" s="493">
        <f t="shared" ref="Y13:Y32" si="16">IFERROR(W13/V13,0)</f>
        <v>0</v>
      </c>
      <c r="Z13" s="494">
        <f t="shared" ref="Z13:Z32" si="17">IFERROR(X13/V13,0)</f>
        <v>0</v>
      </c>
      <c r="AA13" s="404"/>
      <c r="AB13" s="105" t="s">
        <v>529</v>
      </c>
      <c r="AC13" s="491">
        <f t="shared" si="5"/>
        <v>0</v>
      </c>
      <c r="AD13" s="488">
        <f t="shared" ref="AD13:AD32" si="18">AH13*AC13</f>
        <v>0</v>
      </c>
      <c r="AE13" s="494"/>
      <c r="AF13" s="404"/>
      <c r="AG13" s="1" t="str">
        <f>IF('PIM Ranges'!$AK13='PIM Ranges'!$AW$11,IF($AC13&lt;'PIM Ranges'!$AX$11,"Q1",IF($AC13&lt;'PIM Ranges'!$AY$11,"Q2",IF($AC13&lt;'PIM Ranges'!$AZ$11,"Q3",IF($AC13&lt;'PIM Ranges'!$BA$11,"Q4","Q5")))),IF('PIM Ranges'!$AK13='PIM Ranges'!$AW$12,IF($AC13&lt;'PIM Ranges'!$AX$12,"Q1",IF($AC13&lt;'PIM Ranges'!$AY$12,"Q2",IF($AC13&lt;'PIM Ranges'!$AZ$12,"Q3",IF($AC13&lt;'PIM Ranges'!$BA$12,"Q4","Q5")))),IF('PIM Ranges'!$AK13='PIM Ranges'!$AW$13,IF($AC13&lt;'PIM Ranges'!$AX$13,"Q1",IF($AC13&lt;'PIM Ranges'!$AY$13,"Q2",IF($AC13&lt;'PIM Ranges'!$AZ$13,"Q3",IF($AC13&lt;'PIM Ranges'!$BA$13,"Q4","Q5")))),IF('PIM Ranges'!$AK13='PIM Ranges'!$AW$14,IF($AC13&lt;'PIM Ranges'!$AX$14,"Q1",IF($AC13&lt;'PIM Ranges'!$AY$14,"Q2",IF($AC13&lt;'PIM Ranges'!$AZ$14,"Q3",IF($AC13&lt;'PIM Ranges'!$BA$14,"Q4","Q5")))),IF('PIM Ranges'!$AK13='PIM Ranges'!$AW$15,IF($AC13&lt;'PIM Ranges'!$AX$15,"Q1",IF($AC13&lt;'PIM Ranges'!$AY$15,"Q2",IF($AC13&lt;'PIM Ranges'!$AZ$15,"Q3",IF($AC13&lt;'PIM Ranges'!$BA$15,"Q4","Q5")))),IF('PIM Ranges'!$AK13='PIM Ranges'!$AW$16,IF($AC13&lt;'PIM Ranges'!$AX$16,"Q1",IF($AC13&lt;'PIM Ranges'!$AY$16,"Q2",IF($AC13&lt;'PIM Ranges'!$AZ$16,"Q3",IF($AC13&lt;'PIM Ranges'!$BA$16,"Q4","Q5")))),IF('PIM Ranges'!$AK13='PIM Ranges'!$AW$17,IF($AC13&lt;'PIM Ranges'!$AX$17,"Q1",IF($AC13&lt;'PIM Ranges'!$AY$17,"Q2",IF($AC13&lt;'PIM Ranges'!$AZ$17,"Q3",IF($AC13&lt;'PIM Ranges'!$BA$17,"Q4","Q5")))),IF('PIM Ranges'!$AK13='PIM Ranges'!$AW$18,IF($AC13&lt;'PIM Ranges'!$AX$18,"Q1",IF($AC13&lt;'PIM Ranges'!$AY$18,"Q2",IF($AC13&lt;'PIM Ranges'!$AZ$18,"Q3",IF($AC13&lt;'PIM Ranges'!$BA$18,"Q4","Q5")))),IF('PIM Ranges'!$AK13='PIM Ranges'!$AW$19,IF($AC13&lt;'PIM Ranges'!$AX$19,"Q1",IF($AC13&lt;'PIM Ranges'!$AY$19,"Q2",IF($AC13&lt;'PIM Ranges'!$AZ$19,"Q3",IF($AC13&lt;'PIM Ranges'!$BA$19,"Q4","Q5")))),IF('PIM Ranges'!$AK13='PIM Ranges'!$AW$20,IF($AC13&lt;'PIM Ranges'!$AX$20,"Q1",IF($AC13&lt;'PIM Ranges'!$AY$20,"Q2",IF($AC13&lt;'PIM Ranges'!$AZ$20,"Q3",IF($AC13&lt;'PIM Ranges'!$BA$20,"Q4","Q5")))),IF('PIM Ranges'!$AK13='PIM Ranges'!$AW$21,IF($AC13&lt;'PIM Ranges'!$AX$21,"Q1",IF($AC13&lt;'PIM Ranges'!$AY$21,"Q2",IF($AC13&lt;'PIM Ranges'!$AZ$21,"Q3",IF($AC13&lt;'PIM Ranges'!$BA$21,"Q4","Q5")))),IF('PIM Ranges'!$AK13='PIM Ranges'!$AW$22,IF($AC13&lt;'PIM Ranges'!$AX$22,"Q1",IF($AC13&lt;'PIM Ranges'!$AY$22,"Q2",IF($AC13&lt;'PIM Ranges'!$AZ$22,"Q3",IF($AC13&lt;'PIM Ranges'!$BA$22,"Q4","Q5")))),IF('PIM Ranges'!$AK13='PIM Ranges'!$AW$23,IF($AC13&lt;'PIM Ranges'!$AX$23,"Q1",IF($AC13&lt;'PIM Ranges'!$AY$23,"Q2",IF($AC13&lt;'PIM Ranges'!$AZ$23,"Q3",IF($AC13&lt;'PIM Ranges'!$BA$23,"Q4","Q5")))),IF('PIM Ranges'!$AK13='PIM Ranges'!$AW$24,IF($AC13&lt;'PIM Ranges'!$AX$24,"Q1",IF($AC13&lt;'PIM Ranges'!$AY$24,"Q2",IF($AC13&lt;'PIM Ranges'!$AZ$24,"Q3",IF($AC13&lt;'PIM Ranges'!$BA$24,"Q4","Q5")))),IF('PIM Ranges'!$AK13='PIM Ranges'!$AW$25,IF($AC13&lt;'PIM Ranges'!$AX$25,"Q1",IF($AC13&lt;'PIM Ranges'!$AY$25,"Q2",IF($AC13&lt;'PIM Ranges'!$AZ$25,"Q3",IF($AC13&lt;'PIM Ranges'!$BA$25,"Q4","Q5")))),IF('PIM Ranges'!$AK13='PIM Ranges'!$AW$26,IF($AC13&lt;'PIM Ranges'!$AX$26,"Q1",IF($AC13&lt;'PIM Ranges'!$AY$26,"Q2",IF($AC13&lt;'PIM Ranges'!$AZ$26,"Q3",IF($AC13&lt;'PIM Ranges'!$BA$26,"Q4","Q5")))),IF('PIM Ranges'!$AK13='PIM Ranges'!$AW$27,IF($AC13&lt;'PIM Ranges'!$AX$27,"Q1",IF($AC13&lt;'PIM Ranges'!$AY$27,"Q2",IF($AC13&lt;'PIM Ranges'!$AZ$27,"Q3",IF($AC13&lt;'PIM Ranges'!$BA$27,"Q4","Q5")))),IF('PIM Ranges'!$AK13='PIM Ranges'!$AW$28,IF($AC13&lt;'PIM Ranges'!$AX$28,"Q1",IF($AC13&lt;'PIM Ranges'!$AY$28,"Q2",IF($AC13&lt;'PIM Ranges'!$AZ$28,"Q3",IF($AC13&lt;'PIM Ranges'!$BA$28,"Q4","Q5")))),IF('PIM Ranges'!$AK13='PIM Ranges'!$AW$29,IF($AC13&lt;'PIM Ranges'!$AX$29,"Q1",IF($AC13&lt;'PIM Ranges'!$AY$29,"Q2",IF($AC13&lt;'PIM Ranges'!$AZ$29,"Q3",IF($AC13&lt;'PIM Ranges'!$BA$29,"Q4","Q5")))),IF('PIM Ranges'!$AK13='PIM Ranges'!$AW$30,IF($AC13&lt;'PIM Ranges'!$AX$30,"Q1",IF($AC13&lt;'PIM Ranges'!$AY$30,"Q2",IF($AC13&lt;'PIM Ranges'!$AZ$30,"Q3",IF($AC13&lt;'PIM Ranges'!$BA$30,"Q4","Q5")))),IF('PIM Ranges'!$AK13='PIM Ranges'!$AW$31,IF($AC13&lt;'PIM Ranges'!$AX$31,"Q1",IF($AC13&lt;'PIM Ranges'!$AY$31,"Q2",IF($AC13&lt;'PIM Ranges'!$AZ$31,"Q3",IF($AC13&lt;'PIM Ranges'!$BA$31,"Q4","Q5")))),IF('PIM Ranges'!$AK13='PIM Ranges'!$AW$32,IF($AC13&lt;'PIM Ranges'!$AX$32,"Q1",IF($AC13&lt;'PIM Ranges'!$AY$32,"Q2",IF($AC13&lt;'PIM Ranges'!$AZ$32,"Q3",IF($AC13&lt;'PIM Ranges'!$BA$32,"Q4","Q5"))))))))))))))))))))))))))</f>
        <v>Q1</v>
      </c>
      <c r="AH13" s="404">
        <f>VLOOKUP($AB13&amp;$AG13,'IMargin Quartiles'!$A:$F,6,FALSE)</f>
        <v>0.1</v>
      </c>
      <c r="AI13" s="404"/>
      <c r="AJ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K13" s="404" t="e">
        <f>VLOOKUP($AB13&amp;$AJ13,'IMargin Quartiles'!$A:$F,6,FALSE)</f>
        <v>#DIV/0!</v>
      </c>
      <c r="AL13">
        <f>'PIM Model'!C11</f>
        <v>0</v>
      </c>
      <c r="AM13" s="404"/>
      <c r="AN13" s="404"/>
      <c r="AO13" s="404" t="e">
        <f>IF($AL13="AVG",IFERROR((W13+AD13)/(V13+AC13),AK13),(W13+AD13)/(V13+AC13))</f>
        <v>#DIV/0!</v>
      </c>
      <c r="AP13" s="404"/>
      <c r="AQ13" s="404"/>
      <c r="AR13" s="111">
        <v>4</v>
      </c>
      <c r="AS13">
        <f>IFERROR(VLOOKUP(AU$5,'Basket Composition'!$A$3:$W$30,'Multi-Customer'!$AR13,FALSE),0)</f>
        <v>0</v>
      </c>
      <c r="AT13" s="105" t="s">
        <v>529</v>
      </c>
      <c r="AU13" s="100">
        <f>IFERROR(IF($AU$2="Enter Spend&gt;&gt;&gt;",$AU$3*AS13,SUMIFS('Existing Customers'!$Q:$Q,'Existing Customers'!$H:$H,'Multi-Customer'!$AT13,'Existing Customers'!$A:$A,'Multi-Customer'!$AU$1)*$AU$4),0)</f>
        <v>0</v>
      </c>
      <c r="AV13" s="92">
        <f>IFERROR(IF($AU$2="Enter Spend&gt;&gt;&gt;",'Multi-Customer'!AU13/VLOOKUP($AU$5,'Basket Composition'!$A$34:$W$61,'Multi-Customer'!$AR13,FALSE),SUMIFS('Existing Customers'!$N:$N,'Existing Customers'!$H:$H,'Multi-Customer'!$AT13,'Existing Customers'!$A:$A,'Multi-Customer'!$AU$1)*$AU$4),0)</f>
        <v>0</v>
      </c>
      <c r="AW13" s="92">
        <f>IFERROR(IF($AU$2="Enter Spend&gt;&gt;&gt;",AV13*$AU$8,SUMIFS('Existing Customers'!$O:$O,'Existing Customers'!$H:$H,'Multi-Customer'!$AT13,'Existing Customers'!$A:$A,'Multi-Customer'!AU$1)*$AU$4),0)</f>
        <v>0</v>
      </c>
      <c r="AX13" s="92">
        <f>IFERROR(IF($AU$2="Enter Spend&gt;&gt;&gt;",'Multi-Customer'!AU13/VLOOKUP($AU$5,'Basket Composition'!$A$65:$W$92,'Multi-Customer'!$AR13,FALSE),SUMIFS('Existing Customers'!$P:$P,'Existing Customers'!$H:$H,'Multi-Customer'!$AT13,'Existing Customers'!$A:$A,'Multi-Customer'!$AU$1)*$AU$4),0)</f>
        <v>0</v>
      </c>
      <c r="AY13" s="117">
        <f>IFERROR(IF($AU$2="Enter Spend&gt;&gt;&gt;","N/A",SUMIFS('Existing Customers'!$V:$V,'Existing Customers'!$H:$H,'Multi-Customer'!$AT13,'Existing Customers'!$A:$A,'Multi-Customer'!AU$1)*$AU$4),0)</f>
        <v>0</v>
      </c>
      <c r="AZ13" s="101">
        <f>IFERROR(IF($AU$2="Enter Spend&gt;&gt;&gt;","N/A",SUMIFS('Existing Customers'!$R:$R,'Existing Customers'!$H:$H,'Multi-Customer'!$AT13,'Existing Customers'!$A:$A,'Multi-Customer'!AU$1)*$AU$4),0)</f>
        <v>0</v>
      </c>
      <c r="BA13" s="132"/>
      <c r="BB13">
        <f>IFERROR(VLOOKUP(BD$5,'Basket Composition'!$A$3:$W$30,'Multi-Customer'!$AR13,FALSE),0)</f>
        <v>0</v>
      </c>
      <c r="BC13" s="105" t="s">
        <v>529</v>
      </c>
      <c r="BD13" s="100">
        <f>IFERROR(IF($BD$2="Enter Spend&gt;&gt;&gt;",$BD$3*BB13,SUMIFS('Existing Customers'!$Q:$Q,'Existing Customers'!$H:$H,'Multi-Customer'!$AT13,'Existing Customers'!$A:$A,'Multi-Customer'!$BD$1)*$BD$4),0)</f>
        <v>0</v>
      </c>
      <c r="BE13" s="92">
        <f>IFERROR(IF($BD$2="Enter Spend&gt;&gt;&gt;",'Multi-Customer'!BD13/VLOOKUP($BD$5,'Basket Composition'!$A$34:$W$61,'Multi-Customer'!$AR13,FALSE),SUMIFS('Existing Customers'!$N:$N,'Existing Customers'!$H:$H,'Multi-Customer'!$AT13,'Existing Customers'!$A:$A,'Multi-Customer'!$BD$1)*$BD$4),0)</f>
        <v>0</v>
      </c>
      <c r="BF13" s="92">
        <f>IFERROR(IF($BD$2="Enter Spend&gt;&gt;&gt;",BE13*$BD$8,SUMIFS('Existing Customers'!$O:$O,'Existing Customers'!$H:$H,'Multi-Customer'!$AT13,'Existing Customers'!$A:$A,'Multi-Customer'!BD$1)*$BD$4),0)</f>
        <v>0</v>
      </c>
      <c r="BG13" s="92">
        <f>IFERROR(IF($BD$2="Enter Spend&gt;&gt;&gt;",'Multi-Customer'!BD13/VLOOKUP($BD$5,'Basket Composition'!$A$65:$W$92,'Multi-Customer'!$AR13,FALSE),SUMIFS('Existing Customers'!$P:$P,'Existing Customers'!$H:$H,'Multi-Customer'!$AT13,'Existing Customers'!$A:$A,'Multi-Customer'!$BD$1)*$BD$4),0)</f>
        <v>0</v>
      </c>
      <c r="BH13" s="101">
        <f>IFERROR(IF($BD$2="Enter Spend&gt;&gt;&gt;","N/A",SUMIFS('Existing Customers'!$V:$V,'Existing Customers'!$H:$H,'Multi-Customer'!$AT13,'Existing Customers'!$A:$A,'Multi-Customer'!BD$1)*$BD$4),0)</f>
        <v>0</v>
      </c>
      <c r="BI13" s="101">
        <f>IFERROR(IF($BD$2="Enter Spend&gt;&gt;&gt;","N/A",SUMIFS('Existing Customers'!$R:$R,'Existing Customers'!$H:$H,'Multi-Customer'!$AT13,'Existing Customers'!$A:$A,'Multi-Customer'!BD$1)*$BD$4),0)</f>
        <v>0</v>
      </c>
      <c r="BJ13" s="132"/>
      <c r="BK13">
        <f>IFERROR(VLOOKUP(BM$5,'Basket Composition'!$A$3:$W$30,'Multi-Customer'!$AR13,FALSE),0)</f>
        <v>0</v>
      </c>
      <c r="BL13" s="105" t="s">
        <v>529</v>
      </c>
      <c r="BM13" s="100">
        <f>IFERROR(IF($BM$2="Enter Spend&gt;&gt;&gt;",$BM$3*BK13,SUMIFS('Existing Customers'!$Q:$Q,'Existing Customers'!$H:$H,'Multi-Customer'!$AT13,'Existing Customers'!$A:$A,'Multi-Customer'!$BM$1)*$BM$4),0)</f>
        <v>0</v>
      </c>
      <c r="BN13" s="92">
        <f>IFERROR(IF($BM$2="Enter Spend&gt;&gt;&gt;",'Multi-Customer'!BM13/VLOOKUP($BM$5,'Basket Composition'!$A$34:$W$61,'Multi-Customer'!$AR13,FALSE),SUMIFS('Existing Customers'!$N:$N,'Existing Customers'!$H:$H,'Multi-Customer'!$AT13,'Existing Customers'!$A:$A,'Multi-Customer'!$BM$1)*$BM$4),0)</f>
        <v>0</v>
      </c>
      <c r="BO13" s="92">
        <f>IFERROR(IF($BM$2="Enter Spend&gt;&gt;&gt;",BN13*$BM$8,SUMIFS('Existing Customers'!$O:$O,'Existing Customers'!$H:$H,'Multi-Customer'!$AT13,'Existing Customers'!$A:$A,'Multi-Customer'!BM$1)*$BM$4),0)</f>
        <v>0</v>
      </c>
      <c r="BP13" s="92">
        <f>IFERROR(IF($BM$2="Enter Spend&gt;&gt;&gt;",'Multi-Customer'!BM13/VLOOKUP($BM$5,'Basket Composition'!$A$65:$W$92,'Multi-Customer'!$AR13,FALSE),SUMIFS('Existing Customers'!$P:$P,'Existing Customers'!$H:$H,'Multi-Customer'!$AT13,'Existing Customers'!$A:$A,'Multi-Customer'!$BM$1)*$BM$4),0)</f>
        <v>0</v>
      </c>
      <c r="BQ13" s="101">
        <f>IFERROR(IF($BM$2="Enter Spend&gt;&gt;&gt;","N/A",SUMIFS('Existing Customers'!$V:$V,'Existing Customers'!$H:$H,'Multi-Customer'!$AT13,'Existing Customers'!$A:$A,'Multi-Customer'!BM$1)*$BM$4),0)</f>
        <v>0</v>
      </c>
      <c r="BR13" s="101">
        <f>IFERROR(IF($BM$2="Enter Spend&gt;&gt;&gt;","N/A",SUMIFS('Existing Customers'!$R:$R,'Existing Customers'!$H:$H,'Multi-Customer'!$AT13,'Existing Customers'!$A:$A,'Multi-Customer'!BM$1)*$BM$4),0)</f>
        <v>0</v>
      </c>
      <c r="BS13" s="132"/>
      <c r="BT13">
        <f>IFERROR(VLOOKUP(BV$5,'Basket Composition'!$A$3:$W$30,'Multi-Customer'!$AR13,FALSE),0)</f>
        <v>0</v>
      </c>
      <c r="BU13" s="105" t="s">
        <v>529</v>
      </c>
      <c r="BV13" s="100">
        <f>IFERROR(IF($BV$2="Enter Spend&gt;&gt;&gt;",$BV$3*BT13,SUMIFS('Existing Customers'!$Q:$Q,'Existing Customers'!$H:$H,'Multi-Customer'!$AT13,'Existing Customers'!$A:$A,'Multi-Customer'!$BV$1)*$BV$4),0)</f>
        <v>0</v>
      </c>
      <c r="BW13" s="92">
        <f>IFERROR(IF($BV$2="Enter Spend&gt;&gt;&gt;",'Multi-Customer'!BV13/VLOOKUP($BV$5,'Basket Composition'!$A$34:$W$61,'Multi-Customer'!$AR13,FALSE),SUMIFS('Existing Customers'!$N:$N,'Existing Customers'!$H:$H,'Multi-Customer'!$AT13,'Existing Customers'!$A:$A,'Multi-Customer'!$BV$1)*$BV$4),0)</f>
        <v>0</v>
      </c>
      <c r="BX13" s="92">
        <f>IFERROR(IF($BV$2="Enter Spend&gt;&gt;&gt;",BW13*$BV$8,SUMIFS('Existing Customers'!$O:$O,'Existing Customers'!$H:$H,'Multi-Customer'!$AT13,'Existing Customers'!$A:$A,'Multi-Customer'!BV$1)*$BV$4),0)</f>
        <v>0</v>
      </c>
      <c r="BY13" s="92">
        <f>IFERROR(IF($BV$2="Enter Spend&gt;&gt;&gt;",'Multi-Customer'!BV13/VLOOKUP($BV$5,'Basket Composition'!$A$65:$W$92,'Multi-Customer'!$AR13,FALSE),SUMIFS('Existing Customers'!$P:$P,'Existing Customers'!$H:$H,'Multi-Customer'!$AT13,'Existing Customers'!$A:$A,'Multi-Customer'!$BV$1)*$BV$4),0)</f>
        <v>0</v>
      </c>
      <c r="BZ13" s="101">
        <f>IFERROR(IF($BV$2="Enter Spend&gt;&gt;&gt;","N/A",SUMIFS('Existing Customers'!$V:$V,'Existing Customers'!$H:$H,'Multi-Customer'!$AT13,'Existing Customers'!$A:$A,'Multi-Customer'!BV$1)*$BV$4),0)</f>
        <v>0</v>
      </c>
      <c r="CA13" s="101">
        <f>IFERROR(IF($BV$2="Enter Spend&gt;&gt;&gt;","N/A",SUMIFS('Existing Customers'!$R:$R,'Existing Customers'!$H:$H,'Multi-Customer'!$AT13,'Existing Customers'!$A:$A,'Multi-Customer'!BV$1)*$BV$4),0)</f>
        <v>0</v>
      </c>
      <c r="CB13" s="132"/>
      <c r="CC13">
        <f>IFERROR(VLOOKUP(CE$5,'Basket Composition'!$A$3:$W$30,'Multi-Customer'!$AR13,FALSE),0)</f>
        <v>0</v>
      </c>
      <c r="CD13" s="105" t="s">
        <v>529</v>
      </c>
      <c r="CE13" s="100">
        <f>IFERROR(IF($CE$2="Enter Spend&gt;&gt;&gt;",$CE$3*CC13,SUMIFS('Existing Customers'!$Q:$Q,'Existing Customers'!$H:$H,'Multi-Customer'!$AT13,'Existing Customers'!$A:$A,'Multi-Customer'!$CE$1)*$CE$4),0)</f>
        <v>0</v>
      </c>
      <c r="CF13" s="92">
        <f>IFERROR(IF($CE$2="Enter Spend&gt;&gt;&gt;",'Multi-Customer'!CE13/VLOOKUP($CE$5,'Basket Composition'!$A$34:$W$61,'Multi-Customer'!$AR13,FALSE),SUMIFS('Existing Customers'!$N:$N,'Existing Customers'!$H:$H,'Multi-Customer'!$AT13,'Existing Customers'!$A:$A,'Multi-Customer'!$CE$1)*$CE$4),0)</f>
        <v>0</v>
      </c>
      <c r="CG13" s="92">
        <f>IFERROR(IF($CE$2="Enter Spend&gt;&gt;&gt;",CF13*$CE$8,SUMIFS('Existing Customers'!$O:$O,'Existing Customers'!$H:$H,'Multi-Customer'!$AT13,'Existing Customers'!$A:$A,'Multi-Customer'!CE$1)*$CE$4),0)</f>
        <v>0</v>
      </c>
      <c r="CH13" s="92">
        <f>IFERROR(IF($CE$2="Enter Spend&gt;&gt;&gt;",'Multi-Customer'!CE13/VLOOKUP($CE$5,'Basket Composition'!$A$65:$W$92,'Multi-Customer'!$AR13,FALSE),SUMIFS('Existing Customers'!$P:$P,'Existing Customers'!$H:$H,'Multi-Customer'!$AT13,'Existing Customers'!$A:$A,'Multi-Customer'!$CE$1)*$CE$4),0)</f>
        <v>0</v>
      </c>
      <c r="CI13" s="101">
        <f>IFERROR(IF($CE$2="Enter Spend&gt;&gt;&gt;","N/A",SUMIFS('Existing Customers'!$V:$V,'Existing Customers'!$H:$H,'Multi-Customer'!$AT13,'Existing Customers'!$A:$A,'Multi-Customer'!CE$1)*$CE$4),0)</f>
        <v>0</v>
      </c>
      <c r="CJ13" s="101">
        <f>IFERROR(IF($CE$2="Enter Spend&gt;&gt;&gt;","N/A",SUMIFS('Existing Customers'!$R:$R,'Existing Customers'!$H:$H,'Multi-Customer'!$AT13,'Existing Customers'!$A:$A,'Multi-Customer'!CE$1)*$CE$4),0)</f>
        <v>0</v>
      </c>
      <c r="CK13" s="132"/>
      <c r="CL13">
        <f>IFERROR(VLOOKUP(CN$5,'Basket Composition'!$A$3:$W$30,'Multi-Customer'!$AR13,FALSE),0)</f>
        <v>0</v>
      </c>
      <c r="CM13" s="105" t="s">
        <v>529</v>
      </c>
      <c r="CN13" s="100">
        <f>IFERROR(IF($CN$2="Enter Spend&gt;&gt;&gt;",$CN$3*CL13,SUMIFS('Existing Customers'!$Q:$Q,'Existing Customers'!$H:$H,'Multi-Customer'!$AT13,'Existing Customers'!$A:$A,'Multi-Customer'!$CN$1)*$CN$4),0)</f>
        <v>0</v>
      </c>
      <c r="CO13" s="92">
        <f>IFERROR(IF($CN$2="Enter Spend&gt;&gt;&gt;",'Multi-Customer'!CN13/VLOOKUP($CN$5,'Basket Composition'!$A$34:$W$61,'Multi-Customer'!$AR13,FALSE),SUMIFS('Existing Customers'!$N:$N,'Existing Customers'!$H:$H,'Multi-Customer'!$AT13,'Existing Customers'!$A:$A,'Multi-Customer'!$CN$1)*$CN$4),0)</f>
        <v>0</v>
      </c>
      <c r="CP13" s="92">
        <f>IFERROR(IF($CN$2="Enter Spend&gt;&gt;&gt;",CO13*$CN$8,SUMIFS('Existing Customers'!$O:$O,'Existing Customers'!$H:$H,'Multi-Customer'!$AT13,'Existing Customers'!$A:$A,'Multi-Customer'!CN$1)*$CN$4),0)</f>
        <v>0</v>
      </c>
      <c r="CQ13" s="92">
        <f>IFERROR(IF($CN$2="Enter Spend&gt;&gt;&gt;",'Multi-Customer'!CN13/VLOOKUP($CN$5,'Basket Composition'!$A$65:$W$92,'Multi-Customer'!$AR13,FALSE),SUMIFS('Existing Customers'!$P:$P,'Existing Customers'!$H:$H,'Multi-Customer'!$AT13,'Existing Customers'!$A:$A,'Multi-Customer'!$CN$1)*$CN$4),0)</f>
        <v>0</v>
      </c>
      <c r="CR13" s="101">
        <f>IFERROR(IF($CN$2="Enter Spend&gt;&gt;&gt;","N/A",SUMIFS('Existing Customers'!$V:$V,'Existing Customers'!$H:$H,'Multi-Customer'!$AT13,'Existing Customers'!$A:$A,'Multi-Customer'!CN$1)*$CN$4),0)</f>
        <v>0</v>
      </c>
      <c r="CS13" s="101">
        <f>IFERROR(IF($CN$2="Enter Spend&gt;&gt;&gt;","N/A",SUMIFS('Existing Customers'!$R:$R,'Existing Customers'!$H:$H,'Multi-Customer'!$AT13,'Existing Customers'!$A:$A,'Multi-Customer'!CN$1)*$CN$4),0)</f>
        <v>0</v>
      </c>
      <c r="CT13" s="132"/>
      <c r="CU13">
        <f>IFERROR(VLOOKUP(CW$5,'Basket Composition'!$A$3:$W$30,'Multi-Customer'!$AR13,FALSE),0)</f>
        <v>0</v>
      </c>
      <c r="CV13" s="105" t="s">
        <v>529</v>
      </c>
      <c r="CW13" s="100">
        <f>IFERROR(IF($CW$2="Enter Spend&gt;&gt;&gt;",$CW$3*CU13,SUMIFS('Existing Customers'!$Q:$Q,'Existing Customers'!$H:$H,'Multi-Customer'!$AT13,'Existing Customers'!$A:$A,'Multi-Customer'!$CW$1)*$CW$4),0)</f>
        <v>0</v>
      </c>
      <c r="CX13" s="92">
        <f>IFERROR(IF($CW$2="Enter Spend&gt;&gt;&gt;",'Multi-Customer'!CW13/VLOOKUP($CW$5,'Basket Composition'!$A$34:$W$61,'Multi-Customer'!$AR13,FALSE),SUMIFS('Existing Customers'!$N:$N,'Existing Customers'!$H:$H,'Multi-Customer'!$AT13,'Existing Customers'!$A:$A,'Multi-Customer'!$CW$1)*$CW$4),0)</f>
        <v>0</v>
      </c>
      <c r="CY13" s="92">
        <f>IFERROR(IF($CW$2="Enter Spend&gt;&gt;&gt;",CX13*$CW$8,SUMIFS('Existing Customers'!$O:$O,'Existing Customers'!$H:$H,'Multi-Customer'!$AT13,'Existing Customers'!$A:$A,'Multi-Customer'!CW$1)*$CW$4),0)</f>
        <v>0</v>
      </c>
      <c r="CZ13" s="92">
        <f>IFERROR(IF($CW$2="Enter Spend&gt;&gt;&gt;",'Multi-Customer'!CW13/VLOOKUP($CW$5,'Basket Composition'!$A$65:$W$92,'Multi-Customer'!$AR13,FALSE),SUMIFS('Existing Customers'!$P:$P,'Existing Customers'!$H:$H,'Multi-Customer'!$AT13,'Existing Customers'!$A:$A,'Multi-Customer'!$CW$1)*$CW$4),0)</f>
        <v>0</v>
      </c>
      <c r="DA13" s="101">
        <f>IFERROR(IF($CW$2="Enter Spend&gt;&gt;&gt;","N/A",SUMIFS('Existing Customers'!$V:$V,'Existing Customers'!$H:$H,'Multi-Customer'!$AT13,'Existing Customers'!$A:$A,'Multi-Customer'!CW$1)*$CW$4),0)</f>
        <v>0</v>
      </c>
      <c r="DB13" s="101">
        <f>IFERROR(IF($CW$2="Enter Spend&gt;&gt;&gt;","N/A",SUMIFS('Existing Customers'!$R:$R,'Existing Customers'!$H:$H,'Multi-Customer'!$AT13,'Existing Customers'!$A:$A,'Multi-Customer'!CW$1)*$CW$4),0)</f>
        <v>0</v>
      </c>
      <c r="DC13" s="132"/>
      <c r="DD13">
        <f>IFERROR(VLOOKUP(DF$5,'Basket Composition'!$A$3:$W$30,'Multi-Customer'!$AR13,FALSE),0)</f>
        <v>0</v>
      </c>
      <c r="DE13" s="105" t="s">
        <v>529</v>
      </c>
      <c r="DF13" s="100">
        <f>IFERROR(IF($DF$2="Enter Spend&gt;&gt;&gt;",$DF$3*DD13,SUMIFS('Existing Customers'!$Q:$Q,'Existing Customers'!$H:$H,'Multi-Customer'!$AT13,'Existing Customers'!$A:$A,'Multi-Customer'!$DF$1)*$DF$4),0)</f>
        <v>0</v>
      </c>
      <c r="DG13" s="92">
        <f>IFERROR(IF($DF$2="Enter Spend&gt;&gt;&gt;",'Multi-Customer'!DF13/VLOOKUP($DF$5,'Basket Composition'!$A$34:$W$61,'Multi-Customer'!$AR13,FALSE),SUMIFS('Existing Customers'!$N:$N,'Existing Customers'!$H:$H,'Multi-Customer'!$AT13,'Existing Customers'!$A:$A,'Multi-Customer'!$DF$1)*$DF$4),0)</f>
        <v>0</v>
      </c>
      <c r="DH13" s="92">
        <f>IFERROR(IF($DF$2="Enter Spend&gt;&gt;&gt;",DG13*$DF$8,SUMIFS('Existing Customers'!$O:$O,'Existing Customers'!$H:$H,'Multi-Customer'!$AT13,'Existing Customers'!$A:$A,'Multi-Customer'!DF$1)*$DF$4),0)</f>
        <v>0</v>
      </c>
      <c r="DI13" s="92">
        <f>IFERROR(IF($DF$2="Enter Spend&gt;&gt;&gt;",'Multi-Customer'!DF13/VLOOKUP($DF$5,'Basket Composition'!$A$65:$W$92,'Multi-Customer'!$AR13,FALSE),SUMIFS('Existing Customers'!$P:$P,'Existing Customers'!$H:$H,'Multi-Customer'!$AT13,'Existing Customers'!$A:$A,'Multi-Customer'!$DF$1)*$DF$4),0)</f>
        <v>0</v>
      </c>
      <c r="DJ13" s="101">
        <f>IFERROR(IF($DF$2="Enter Spend&gt;&gt;&gt;","N/A",SUMIFS('Existing Customers'!$V:$V,'Existing Customers'!$H:$H,'Multi-Customer'!$AT13,'Existing Customers'!$A:$A,'Multi-Customer'!DF$1)*$DF$4),0)</f>
        <v>0</v>
      </c>
      <c r="DK13" s="101">
        <f>IFERROR(IF($DF$2="Enter Spend&gt;&gt;&gt;","N/A",SUMIFS('Existing Customers'!$R:$R,'Existing Customers'!$H:$H,'Multi-Customer'!$AT13,'Existing Customers'!$A:$A,'Multi-Customer'!DF$1)*$DF$4),0)</f>
        <v>0</v>
      </c>
      <c r="DL13" s="132"/>
      <c r="DM13">
        <f>IFERROR(VLOOKUP(DO$5,'Basket Composition'!$A$3:$W$30,'Multi-Customer'!$AR13,FALSE),0)</f>
        <v>0</v>
      </c>
      <c r="DN13" s="105" t="s">
        <v>529</v>
      </c>
      <c r="DO13" s="100">
        <f>IFERROR(IF($DO$2="Enter Spend&gt;&gt;&gt;",$DO$3*DM13,SUMIFS('Existing Customers'!$Q:$Q,'Existing Customers'!$H:$H,'Multi-Customer'!$AT13,'Existing Customers'!$A:$A,'Multi-Customer'!$DO$1)*$DO$4),0)</f>
        <v>0</v>
      </c>
      <c r="DP13" s="92">
        <f>IFERROR(IF($DO$2="Enter Spend&gt;&gt;&gt;",'Multi-Customer'!DO13/VLOOKUP($DO$5,'Basket Composition'!$A$34:$W$61,'Multi-Customer'!$AR13,FALSE),SUMIFS('Existing Customers'!$N:$N,'Existing Customers'!$H:$H,'Multi-Customer'!$AT13,'Existing Customers'!$A:$A,'Multi-Customer'!$DO$1)*$DO$4),0)</f>
        <v>0</v>
      </c>
      <c r="DQ13" s="92">
        <f>IFERROR(IF($DO$2="Enter Spend&gt;&gt;&gt;",DP13*$DO$8,SUMIFS('Existing Customers'!$O:$O,'Existing Customers'!$H:$H,'Multi-Customer'!$AT13,'Existing Customers'!$A:$A,'Multi-Customer'!DO$1)*$DO$4),0)</f>
        <v>0</v>
      </c>
      <c r="DR13" s="92">
        <f>IFERROR(IF($DO$2="Enter Spend&gt;&gt;&gt;",'Multi-Customer'!DO13/VLOOKUP($DO$5,'Basket Composition'!$A$65:$W$92,'Multi-Customer'!$AR13,FALSE),SUMIFS('Existing Customers'!$P:$P,'Existing Customers'!$H:$H,'Multi-Customer'!$AT13,'Existing Customers'!$A:$A,'Multi-Customer'!$DO$1)*$DO$4),0)</f>
        <v>0</v>
      </c>
      <c r="DS13" s="117">
        <f>IFERROR(IF($DO$2="Enter Spend&gt;&gt;&gt;","N/A",SUMIFS('Existing Customers'!$V:$V,'Existing Customers'!$H:$H,'Multi-Customer'!$AT13,'Existing Customers'!$A:$A,'Multi-Customer'!DO$1)*$DO$4),0)</f>
        <v>0</v>
      </c>
      <c r="DT13" s="101">
        <f>IFERROR(IF($DO$2="Enter Spend&gt;&gt;&gt;","N/A",SUMIFS('Existing Customers'!$R:$R,'Existing Customers'!$H:$H,'Multi-Customer'!$AT13,'Existing Customers'!$A:$A,'Multi-Customer'!DO$1)*$DO$4),0)</f>
        <v>0</v>
      </c>
      <c r="DU13" s="132"/>
      <c r="DV13">
        <f>IFERROR(VLOOKUP(DX$5,'Basket Composition'!$A$3:$W$30,'Multi-Customer'!$AR13,FALSE),0)</f>
        <v>0</v>
      </c>
      <c r="DW13" s="105" t="s">
        <v>529</v>
      </c>
      <c r="DX13" s="100">
        <f>IFERROR(IF($DX$2="Enter Spend&gt;&gt;&gt;",$DX$3*DV13,SUMIFS('Existing Customers'!$Q:$Q,'Existing Customers'!$H:$H,'Multi-Customer'!$AT13,'Existing Customers'!$A:$A,'Multi-Customer'!$DX$1)*$DX$4),0)</f>
        <v>0</v>
      </c>
      <c r="DY13" s="92">
        <f>IFERROR(IF($DX$2="Enter Spend&gt;&gt;&gt;",'Multi-Customer'!DX13/VLOOKUP($DX$5,'Basket Composition'!$A$34:$W$61,'Multi-Customer'!$AR13,FALSE),SUMIFS('Existing Customers'!$N:$N,'Existing Customers'!$H:$H,'Multi-Customer'!$AT13,'Existing Customers'!$A:$A,'Multi-Customer'!$DX$1)*$DX$4),0)</f>
        <v>0</v>
      </c>
      <c r="DZ13" s="92">
        <f>IFERROR(IF($DX$2="Enter Spend&gt;&gt;&gt;",DY13*$DX$8,SUMIFS('Existing Customers'!$O:$O,'Existing Customers'!$H:$H,'Multi-Customer'!$AT13,'Existing Customers'!$A:$A,'Multi-Customer'!DX$1)*$DX$4),0)</f>
        <v>0</v>
      </c>
      <c r="EA13" s="92">
        <f>IFERROR(IF($DX$2="Enter Spend&gt;&gt;&gt;",'Multi-Customer'!DX13/VLOOKUP($DX$5,'Basket Composition'!$A$65:$W$92,'Multi-Customer'!$AR13,FALSE),SUMIFS('Existing Customers'!$P:$P,'Existing Customers'!$H:$H,'Multi-Customer'!$AT13,'Existing Customers'!$A:$A,'Multi-Customer'!$DX$1)*$DX$4),0)</f>
        <v>0</v>
      </c>
      <c r="EB13" s="117">
        <f>IFERROR(IF($DX$2="Enter Spend&gt;&gt;&gt;","N/A",SUMIFS('Existing Customers'!$V:$V,'Existing Customers'!$H:$H,'Multi-Customer'!$AT13,'Existing Customers'!$A:$A,'Multi-Customer'!DX$1)*$DX$4),0)</f>
        <v>0</v>
      </c>
      <c r="EC13" s="101">
        <f>IFERROR(IF($DX$2="Enter Spend&gt;&gt;&gt;","N/A",SUMIFS('Existing Customers'!$R:$R,'Existing Customers'!$H:$H,'Multi-Customer'!$AT13,'Existing Customers'!$A:$A,'Multi-Customer'!DX$1)*$DX$4),0)</f>
        <v>0</v>
      </c>
      <c r="EE13" s="105" t="s">
        <v>529</v>
      </c>
      <c r="EF13" s="100"/>
      <c r="EG13" s="92"/>
      <c r="EH13" s="92"/>
      <c r="EI13" s="92"/>
      <c r="EJ13" s="117"/>
      <c r="EK13" s="101"/>
      <c r="EL13" s="132"/>
      <c r="EN13" s="105" t="s">
        <v>529</v>
      </c>
      <c r="EO13" s="100"/>
      <c r="EP13" s="92"/>
      <c r="EQ13" s="92"/>
      <c r="ER13" s="92"/>
      <c r="ES13" s="117"/>
      <c r="ET13" s="101"/>
    </row>
    <row r="14" spans="2:150" x14ac:dyDescent="0.25">
      <c r="B14" s="105" t="s">
        <v>530</v>
      </c>
      <c r="C14" s="487">
        <f t="shared" si="6"/>
        <v>0</v>
      </c>
      <c r="D14" s="504">
        <f t="shared" si="7"/>
        <v>0</v>
      </c>
      <c r="E14" s="504">
        <f t="shared" si="8"/>
        <v>0</v>
      </c>
      <c r="F14" s="504">
        <f t="shared" si="9"/>
        <v>0</v>
      </c>
      <c r="G14" s="505">
        <f t="shared" si="10"/>
        <v>0</v>
      </c>
      <c r="H14" s="507">
        <f t="shared" si="11"/>
        <v>0</v>
      </c>
      <c r="J14" t="str">
        <f>'PIM Model'!E12</f>
        <v>INCLUDE</v>
      </c>
      <c r="K14">
        <f t="shared" si="12"/>
        <v>0</v>
      </c>
      <c r="L14">
        <f t="shared" si="13"/>
        <v>0</v>
      </c>
      <c r="M14" s="105" t="s">
        <v>530</v>
      </c>
      <c r="N14" s="100">
        <f t="shared" si="14"/>
        <v>0</v>
      </c>
      <c r="O14" s="92">
        <f t="shared" si="0"/>
        <v>0</v>
      </c>
      <c r="P14" s="92">
        <f t="shared" si="1"/>
        <v>0</v>
      </c>
      <c r="Q14" s="92">
        <f t="shared" si="2"/>
        <v>0</v>
      </c>
      <c r="R14" s="117">
        <f t="shared" si="3"/>
        <v>0</v>
      </c>
      <c r="S14" s="120">
        <f t="shared" si="15"/>
        <v>0</v>
      </c>
      <c r="T14" s="404"/>
      <c r="U14" s="105" t="s">
        <v>530</v>
      </c>
      <c r="V14" s="491">
        <f t="shared" si="4"/>
        <v>0</v>
      </c>
      <c r="W14" s="492">
        <f t="shared" si="4"/>
        <v>0</v>
      </c>
      <c r="X14" s="492">
        <f t="shared" si="4"/>
        <v>0</v>
      </c>
      <c r="Y14" s="493">
        <f t="shared" si="16"/>
        <v>0</v>
      </c>
      <c r="Z14" s="494">
        <f t="shared" si="17"/>
        <v>0</v>
      </c>
      <c r="AA14" s="404"/>
      <c r="AB14" s="105" t="s">
        <v>530</v>
      </c>
      <c r="AC14" s="491">
        <f t="shared" si="5"/>
        <v>0</v>
      </c>
      <c r="AD14" s="488">
        <f t="shared" si="18"/>
        <v>0</v>
      </c>
      <c r="AE14" s="494"/>
      <c r="AF14" s="404"/>
      <c r="AG14" s="1" t="str">
        <f>IF('PIM Ranges'!$AK14='PIM Ranges'!$AW$11,IF($AC14&lt;'PIM Ranges'!$AX$11,"Q1",IF($AC14&lt;'PIM Ranges'!$AY$11,"Q2",IF($AC14&lt;'PIM Ranges'!$AZ$11,"Q3",IF($AC14&lt;'PIM Ranges'!$BA$11,"Q4","Q5")))),IF('PIM Ranges'!$AK14='PIM Ranges'!$AW$12,IF($AC14&lt;'PIM Ranges'!$AX$12,"Q1",IF($AC14&lt;'PIM Ranges'!$AY$12,"Q2",IF($AC14&lt;'PIM Ranges'!$AZ$12,"Q3",IF($AC14&lt;'PIM Ranges'!$BA$12,"Q4","Q5")))),IF('PIM Ranges'!$AK14='PIM Ranges'!$AW$13,IF($AC14&lt;'PIM Ranges'!$AX$13,"Q1",IF($AC14&lt;'PIM Ranges'!$AY$13,"Q2",IF($AC14&lt;'PIM Ranges'!$AZ$13,"Q3",IF($AC14&lt;'PIM Ranges'!$BA$13,"Q4","Q5")))),IF('PIM Ranges'!$AK14='PIM Ranges'!$AW$14,IF($AC14&lt;'PIM Ranges'!$AX$14,"Q1",IF($AC14&lt;'PIM Ranges'!$AY$14,"Q2",IF($AC14&lt;'PIM Ranges'!$AZ$14,"Q3",IF($AC14&lt;'PIM Ranges'!$BA$14,"Q4","Q5")))),IF('PIM Ranges'!$AK14='PIM Ranges'!$AW$15,IF($AC14&lt;'PIM Ranges'!$AX$15,"Q1",IF($AC14&lt;'PIM Ranges'!$AY$15,"Q2",IF($AC14&lt;'PIM Ranges'!$AZ$15,"Q3",IF($AC14&lt;'PIM Ranges'!$BA$15,"Q4","Q5")))),IF('PIM Ranges'!$AK14='PIM Ranges'!$AW$16,IF($AC14&lt;'PIM Ranges'!$AX$16,"Q1",IF($AC14&lt;'PIM Ranges'!$AY$16,"Q2",IF($AC14&lt;'PIM Ranges'!$AZ$16,"Q3",IF($AC14&lt;'PIM Ranges'!$BA$16,"Q4","Q5")))),IF('PIM Ranges'!$AK14='PIM Ranges'!$AW$17,IF($AC14&lt;'PIM Ranges'!$AX$17,"Q1",IF($AC14&lt;'PIM Ranges'!$AY$17,"Q2",IF($AC14&lt;'PIM Ranges'!$AZ$17,"Q3",IF($AC14&lt;'PIM Ranges'!$BA$17,"Q4","Q5")))),IF('PIM Ranges'!$AK14='PIM Ranges'!$AW$18,IF($AC14&lt;'PIM Ranges'!$AX$18,"Q1",IF($AC14&lt;'PIM Ranges'!$AY$18,"Q2",IF($AC14&lt;'PIM Ranges'!$AZ$18,"Q3",IF($AC14&lt;'PIM Ranges'!$BA$18,"Q4","Q5")))),IF('PIM Ranges'!$AK14='PIM Ranges'!$AW$19,IF($AC14&lt;'PIM Ranges'!$AX$19,"Q1",IF($AC14&lt;'PIM Ranges'!$AY$19,"Q2",IF($AC14&lt;'PIM Ranges'!$AZ$19,"Q3",IF($AC14&lt;'PIM Ranges'!$BA$19,"Q4","Q5")))),IF('PIM Ranges'!$AK14='PIM Ranges'!$AW$20,IF($AC14&lt;'PIM Ranges'!$AX$20,"Q1",IF($AC14&lt;'PIM Ranges'!$AY$20,"Q2",IF($AC14&lt;'PIM Ranges'!$AZ$20,"Q3",IF($AC14&lt;'PIM Ranges'!$BA$20,"Q4","Q5")))),IF('PIM Ranges'!$AK14='PIM Ranges'!$AW$21,IF($AC14&lt;'PIM Ranges'!$AX$21,"Q1",IF($AC14&lt;'PIM Ranges'!$AY$21,"Q2",IF($AC14&lt;'PIM Ranges'!$AZ$21,"Q3",IF($AC14&lt;'PIM Ranges'!$BA$21,"Q4","Q5")))),IF('PIM Ranges'!$AK14='PIM Ranges'!$AW$22,IF($AC14&lt;'PIM Ranges'!$AX$22,"Q1",IF($AC14&lt;'PIM Ranges'!$AY$22,"Q2",IF($AC14&lt;'PIM Ranges'!$AZ$22,"Q3",IF($AC14&lt;'PIM Ranges'!$BA$22,"Q4","Q5")))),IF('PIM Ranges'!$AK14='PIM Ranges'!$AW$23,IF($AC14&lt;'PIM Ranges'!$AX$23,"Q1",IF($AC14&lt;'PIM Ranges'!$AY$23,"Q2",IF($AC14&lt;'PIM Ranges'!$AZ$23,"Q3",IF($AC14&lt;'PIM Ranges'!$BA$23,"Q4","Q5")))),IF('PIM Ranges'!$AK14='PIM Ranges'!$AW$24,IF($AC14&lt;'PIM Ranges'!$AX$24,"Q1",IF($AC14&lt;'PIM Ranges'!$AY$24,"Q2",IF($AC14&lt;'PIM Ranges'!$AZ$24,"Q3",IF($AC14&lt;'PIM Ranges'!$BA$24,"Q4","Q5")))),IF('PIM Ranges'!$AK14='PIM Ranges'!$AW$25,IF($AC14&lt;'PIM Ranges'!$AX$25,"Q1",IF($AC14&lt;'PIM Ranges'!$AY$25,"Q2",IF($AC14&lt;'PIM Ranges'!$AZ$25,"Q3",IF($AC14&lt;'PIM Ranges'!$BA$25,"Q4","Q5")))),IF('PIM Ranges'!$AK14='PIM Ranges'!$AW$26,IF($AC14&lt;'PIM Ranges'!$AX$26,"Q1",IF($AC14&lt;'PIM Ranges'!$AY$26,"Q2",IF($AC14&lt;'PIM Ranges'!$AZ$26,"Q3",IF($AC14&lt;'PIM Ranges'!$BA$26,"Q4","Q5")))),IF('PIM Ranges'!$AK14='PIM Ranges'!$AW$27,IF($AC14&lt;'PIM Ranges'!$AX$27,"Q1",IF($AC14&lt;'PIM Ranges'!$AY$27,"Q2",IF($AC14&lt;'PIM Ranges'!$AZ$27,"Q3",IF($AC14&lt;'PIM Ranges'!$BA$27,"Q4","Q5")))),IF('PIM Ranges'!$AK14='PIM Ranges'!$AW$28,IF($AC14&lt;'PIM Ranges'!$AX$28,"Q1",IF($AC14&lt;'PIM Ranges'!$AY$28,"Q2",IF($AC14&lt;'PIM Ranges'!$AZ$28,"Q3",IF($AC14&lt;'PIM Ranges'!$BA$28,"Q4","Q5")))),IF('PIM Ranges'!$AK14='PIM Ranges'!$AW$29,IF($AC14&lt;'PIM Ranges'!$AX$29,"Q1",IF($AC14&lt;'PIM Ranges'!$AY$29,"Q2",IF($AC14&lt;'PIM Ranges'!$AZ$29,"Q3",IF($AC14&lt;'PIM Ranges'!$BA$29,"Q4","Q5")))),IF('PIM Ranges'!$AK14='PIM Ranges'!$AW$30,IF($AC14&lt;'PIM Ranges'!$AX$30,"Q1",IF($AC14&lt;'PIM Ranges'!$AY$30,"Q2",IF($AC14&lt;'PIM Ranges'!$AZ$30,"Q3",IF($AC14&lt;'PIM Ranges'!$BA$30,"Q4","Q5")))),IF('PIM Ranges'!$AK14='PIM Ranges'!$AW$31,IF($AC14&lt;'PIM Ranges'!$AX$31,"Q1",IF($AC14&lt;'PIM Ranges'!$AY$31,"Q2",IF($AC14&lt;'PIM Ranges'!$AZ$31,"Q3",IF($AC14&lt;'PIM Ranges'!$BA$31,"Q4","Q5")))),IF('PIM Ranges'!$AK14='PIM Ranges'!$AW$32,IF($AC14&lt;'PIM Ranges'!$AX$32,"Q1",IF($AC14&lt;'PIM Ranges'!$AY$32,"Q2",IF($AC14&lt;'PIM Ranges'!$AZ$32,"Q3",IF($AC14&lt;'PIM Ranges'!$BA$32,"Q4","Q5"))))))))))))))))))))))))))</f>
        <v>Q1</v>
      </c>
      <c r="AH14" s="404">
        <f>VLOOKUP($AB14&amp;$AG14,'IMargin Quartiles'!$A:$F,6,FALSE)</f>
        <v>0.09</v>
      </c>
      <c r="AI14" s="404"/>
      <c r="AJ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K14" s="404" t="e">
        <f>VLOOKUP($AB14&amp;$AJ14,'IMargin Quartiles'!$A:$F,6,FALSE)</f>
        <v>#DIV/0!</v>
      </c>
      <c r="AL14">
        <f>'PIM Model'!C12</f>
        <v>0</v>
      </c>
      <c r="AM14" s="404"/>
      <c r="AN14" s="404"/>
      <c r="AO14" s="404" t="e">
        <f t="shared" ref="AO14:AO32" si="19">IF($AL14="AVG",IFERROR((W14+AD14)/(V14+AC14),AK14),(W14+AD14)/(V14+AC14))</f>
        <v>#DIV/0!</v>
      </c>
      <c r="AP14" s="404"/>
      <c r="AQ14" s="404"/>
      <c r="AR14" s="111">
        <v>5</v>
      </c>
      <c r="AS14">
        <f>IFERROR(VLOOKUP(AU$5,'Basket Composition'!$A$3:$W$30,'Multi-Customer'!$AR14,FALSE),0)</f>
        <v>0</v>
      </c>
      <c r="AT14" s="105" t="s">
        <v>530</v>
      </c>
      <c r="AU14" s="100">
        <f>IFERROR(IF($AU$2="Enter Spend&gt;&gt;&gt;",$AU$3*AS14,SUMIFS('Existing Customers'!$Q:$Q,'Existing Customers'!$H:$H,'Multi-Customer'!$AT14,'Existing Customers'!$A:$A,'Multi-Customer'!$AU$1)*$AU$4),0)</f>
        <v>0</v>
      </c>
      <c r="AV14" s="92">
        <f>IFERROR(IF($AU$2="Enter Spend&gt;&gt;&gt;",'Multi-Customer'!AU14/VLOOKUP($AU$5,'Basket Composition'!$A$34:$W$61,'Multi-Customer'!$AR14,FALSE),SUMIFS('Existing Customers'!$N:$N,'Existing Customers'!$H:$H,'Multi-Customer'!$AT14,'Existing Customers'!$A:$A,'Multi-Customer'!$AU$1)*$AU$4),0)</f>
        <v>0</v>
      </c>
      <c r="AW14" s="92">
        <f>IFERROR(IF($AU$2="Enter Spend&gt;&gt;&gt;",AV14*$AU$8,SUMIFS('Existing Customers'!$O:$O,'Existing Customers'!$H:$H,'Multi-Customer'!$AT14,'Existing Customers'!$A:$A,'Multi-Customer'!AU$1)*$AU$4),0)</f>
        <v>0</v>
      </c>
      <c r="AX14" s="92">
        <f>IFERROR(IF($AU$2="Enter Spend&gt;&gt;&gt;",'Multi-Customer'!AU14/VLOOKUP($AU$5,'Basket Composition'!$A$65:$W$92,'Multi-Customer'!$AR14,FALSE),SUMIFS('Existing Customers'!$P:$P,'Existing Customers'!$H:$H,'Multi-Customer'!$AT14,'Existing Customers'!$A:$A,'Multi-Customer'!$AU$1)*$AU$4),0)</f>
        <v>0</v>
      </c>
      <c r="AY14" s="117">
        <f>IFERROR(IF($AU$2="Enter Spend&gt;&gt;&gt;","N/A",SUMIFS('Existing Customers'!$V:$V,'Existing Customers'!$H:$H,'Multi-Customer'!$AT14,'Existing Customers'!$A:$A,'Multi-Customer'!AU$1)*$AU$4),0)</f>
        <v>0</v>
      </c>
      <c r="AZ14" s="101">
        <f>IFERROR(IF($AU$2="Enter Spend&gt;&gt;&gt;","N/A",SUMIFS('Existing Customers'!$R:$R,'Existing Customers'!$H:$H,'Multi-Customer'!$AT14,'Existing Customers'!$A:$A,'Multi-Customer'!AU$1)*$AU$4),0)</f>
        <v>0</v>
      </c>
      <c r="BA14" s="132"/>
      <c r="BB14">
        <f>IFERROR(VLOOKUP(BD$5,'Basket Composition'!$A$3:$W$30,'Multi-Customer'!$AR14,FALSE),0)</f>
        <v>0</v>
      </c>
      <c r="BC14" s="105" t="s">
        <v>530</v>
      </c>
      <c r="BD14" s="100">
        <f>IFERROR(IF($BD$2="Enter Spend&gt;&gt;&gt;",$BD$3*BB14,SUMIFS('Existing Customers'!$Q:$Q,'Existing Customers'!$H:$H,'Multi-Customer'!$AT14,'Existing Customers'!$A:$A,'Multi-Customer'!$BD$1)*$BD$4),0)</f>
        <v>0</v>
      </c>
      <c r="BE14" s="92">
        <f>IFERROR(IF($BD$2="Enter Spend&gt;&gt;&gt;",'Multi-Customer'!BD14/VLOOKUP($BD$5,'Basket Composition'!$A$34:$W$61,'Multi-Customer'!$AR14,FALSE),SUMIFS('Existing Customers'!$N:$N,'Existing Customers'!$H:$H,'Multi-Customer'!$AT14,'Existing Customers'!$A:$A,'Multi-Customer'!$BD$1)*$BD$4),0)</f>
        <v>0</v>
      </c>
      <c r="BF14" s="92">
        <f>IFERROR(IF($BD$2="Enter Spend&gt;&gt;&gt;",BE14*$BD$8,SUMIFS('Existing Customers'!$O:$O,'Existing Customers'!$H:$H,'Multi-Customer'!$AT14,'Existing Customers'!$A:$A,'Multi-Customer'!BD$1)*$BD$4),0)</f>
        <v>0</v>
      </c>
      <c r="BG14" s="92">
        <f>IFERROR(IF($BD$2="Enter Spend&gt;&gt;&gt;",'Multi-Customer'!BD14/VLOOKUP($BD$5,'Basket Composition'!$A$65:$W$92,'Multi-Customer'!$AR14,FALSE),SUMIFS('Existing Customers'!$P:$P,'Existing Customers'!$H:$H,'Multi-Customer'!$AT14,'Existing Customers'!$A:$A,'Multi-Customer'!$BD$1)*$BD$4),0)</f>
        <v>0</v>
      </c>
      <c r="BH14" s="101">
        <f>IFERROR(IF($BD$2="Enter Spend&gt;&gt;&gt;","N/A",SUMIFS('Existing Customers'!$V:$V,'Existing Customers'!$H:$H,'Multi-Customer'!$AT14,'Existing Customers'!$A:$A,'Multi-Customer'!BD$1)*$BD$4),0)</f>
        <v>0</v>
      </c>
      <c r="BI14" s="101">
        <f>IFERROR(IF($BD$2="Enter Spend&gt;&gt;&gt;","N/A",SUMIFS('Existing Customers'!$R:$R,'Existing Customers'!$H:$H,'Multi-Customer'!$AT14,'Existing Customers'!$A:$A,'Multi-Customer'!BD$1)*$BD$4),0)</f>
        <v>0</v>
      </c>
      <c r="BJ14" s="132"/>
      <c r="BK14">
        <f>IFERROR(VLOOKUP(BM$5,'Basket Composition'!$A$3:$W$30,'Multi-Customer'!$AR14,FALSE),0)</f>
        <v>0</v>
      </c>
      <c r="BL14" s="105" t="s">
        <v>530</v>
      </c>
      <c r="BM14" s="100">
        <f>IFERROR(IF($BM$2="Enter Spend&gt;&gt;&gt;",$BM$3*BK14,SUMIFS('Existing Customers'!$Q:$Q,'Existing Customers'!$H:$H,'Multi-Customer'!$AT14,'Existing Customers'!$A:$A,'Multi-Customer'!$BM$1)*$BM$4),0)</f>
        <v>0</v>
      </c>
      <c r="BN14" s="92">
        <f>IFERROR(IF($BM$2="Enter Spend&gt;&gt;&gt;",'Multi-Customer'!BM14/VLOOKUP($BM$5,'Basket Composition'!$A$34:$W$61,'Multi-Customer'!$AR14,FALSE),SUMIFS('Existing Customers'!$N:$N,'Existing Customers'!$H:$H,'Multi-Customer'!$AT14,'Existing Customers'!$A:$A,'Multi-Customer'!$BM$1)*$BM$4),0)</f>
        <v>0</v>
      </c>
      <c r="BO14" s="92">
        <f>IFERROR(IF($BM$2="Enter Spend&gt;&gt;&gt;",BN14*$BM$8,SUMIFS('Existing Customers'!$O:$O,'Existing Customers'!$H:$H,'Multi-Customer'!$AT14,'Existing Customers'!$A:$A,'Multi-Customer'!BM$1)*$BM$4),0)</f>
        <v>0</v>
      </c>
      <c r="BP14" s="92">
        <f>IFERROR(IF($BM$2="Enter Spend&gt;&gt;&gt;",'Multi-Customer'!BM14/VLOOKUP($BM$5,'Basket Composition'!$A$65:$W$92,'Multi-Customer'!$AR14,FALSE),SUMIFS('Existing Customers'!$P:$P,'Existing Customers'!$H:$H,'Multi-Customer'!$AT14,'Existing Customers'!$A:$A,'Multi-Customer'!$BM$1)*$BM$4),0)</f>
        <v>0</v>
      </c>
      <c r="BQ14" s="101">
        <f>IFERROR(IF($BM$2="Enter Spend&gt;&gt;&gt;","N/A",SUMIFS('Existing Customers'!$V:$V,'Existing Customers'!$H:$H,'Multi-Customer'!$AT14,'Existing Customers'!$A:$A,'Multi-Customer'!BM$1)*$BM$4),0)</f>
        <v>0</v>
      </c>
      <c r="BR14" s="101">
        <f>IFERROR(IF($BM$2="Enter Spend&gt;&gt;&gt;","N/A",SUMIFS('Existing Customers'!$R:$R,'Existing Customers'!$H:$H,'Multi-Customer'!$AT14,'Existing Customers'!$A:$A,'Multi-Customer'!BM$1)*$BM$4),0)</f>
        <v>0</v>
      </c>
      <c r="BS14" s="132"/>
      <c r="BT14">
        <f>IFERROR(VLOOKUP(BV$5,'Basket Composition'!$A$3:$W$30,'Multi-Customer'!$AR14,FALSE),0)</f>
        <v>0</v>
      </c>
      <c r="BU14" s="105" t="s">
        <v>530</v>
      </c>
      <c r="BV14" s="100">
        <f>IFERROR(IF($BV$2="Enter Spend&gt;&gt;&gt;",$BV$3*BT14,SUMIFS('Existing Customers'!$Q:$Q,'Existing Customers'!$H:$H,'Multi-Customer'!$AT14,'Existing Customers'!$A:$A,'Multi-Customer'!$BV$1)*$BV$4),0)</f>
        <v>0</v>
      </c>
      <c r="BW14" s="92">
        <f>IFERROR(IF($BV$2="Enter Spend&gt;&gt;&gt;",'Multi-Customer'!BV14/VLOOKUP($BV$5,'Basket Composition'!$A$34:$W$61,'Multi-Customer'!$AR14,FALSE),SUMIFS('Existing Customers'!$N:$N,'Existing Customers'!$H:$H,'Multi-Customer'!$AT14,'Existing Customers'!$A:$A,'Multi-Customer'!$BV$1)*$BV$4),0)</f>
        <v>0</v>
      </c>
      <c r="BX14" s="92">
        <f>IFERROR(IF($BV$2="Enter Spend&gt;&gt;&gt;",BW14*$BV$8,SUMIFS('Existing Customers'!$O:$O,'Existing Customers'!$H:$H,'Multi-Customer'!$AT14,'Existing Customers'!$A:$A,'Multi-Customer'!BV$1)*$BV$4),0)</f>
        <v>0</v>
      </c>
      <c r="BY14" s="92">
        <f>IFERROR(IF($BV$2="Enter Spend&gt;&gt;&gt;",'Multi-Customer'!BV14/VLOOKUP($BV$5,'Basket Composition'!$A$65:$W$92,'Multi-Customer'!$AR14,FALSE),SUMIFS('Existing Customers'!$P:$P,'Existing Customers'!$H:$H,'Multi-Customer'!$AT14,'Existing Customers'!$A:$A,'Multi-Customer'!$BV$1)*$BV$4),0)</f>
        <v>0</v>
      </c>
      <c r="BZ14" s="101">
        <f>IFERROR(IF($BV$2="Enter Spend&gt;&gt;&gt;","N/A",SUMIFS('Existing Customers'!$V:$V,'Existing Customers'!$H:$H,'Multi-Customer'!$AT14,'Existing Customers'!$A:$A,'Multi-Customer'!BV$1)*$BV$4),0)</f>
        <v>0</v>
      </c>
      <c r="CA14" s="101">
        <f>IFERROR(IF($BV$2="Enter Spend&gt;&gt;&gt;","N/A",SUMIFS('Existing Customers'!$R:$R,'Existing Customers'!$H:$H,'Multi-Customer'!$AT14,'Existing Customers'!$A:$A,'Multi-Customer'!BV$1)*$BV$4),0)</f>
        <v>0</v>
      </c>
      <c r="CB14" s="132"/>
      <c r="CC14">
        <f>IFERROR(VLOOKUP(CE$5,'Basket Composition'!$A$3:$W$30,'Multi-Customer'!$AR14,FALSE),0)</f>
        <v>0</v>
      </c>
      <c r="CD14" s="105" t="s">
        <v>530</v>
      </c>
      <c r="CE14" s="100">
        <f>IFERROR(IF($CE$2="Enter Spend&gt;&gt;&gt;",$CE$3*CC14,SUMIFS('Existing Customers'!$Q:$Q,'Existing Customers'!$H:$H,'Multi-Customer'!$AT14,'Existing Customers'!$A:$A,'Multi-Customer'!$CE$1)*$CE$4),0)</f>
        <v>0</v>
      </c>
      <c r="CF14" s="92">
        <f>IFERROR(IF($CE$2="Enter Spend&gt;&gt;&gt;",'Multi-Customer'!CE14/VLOOKUP($CE$5,'Basket Composition'!$A$34:$W$61,'Multi-Customer'!$AR14,FALSE),SUMIFS('Existing Customers'!$N:$N,'Existing Customers'!$H:$H,'Multi-Customer'!$AT14,'Existing Customers'!$A:$A,'Multi-Customer'!$CE$1)*$CE$4),0)</f>
        <v>0</v>
      </c>
      <c r="CG14" s="92">
        <f>IFERROR(IF($CE$2="Enter Spend&gt;&gt;&gt;",CF14*$CE$8,SUMIFS('Existing Customers'!$O:$O,'Existing Customers'!$H:$H,'Multi-Customer'!$AT14,'Existing Customers'!$A:$A,'Multi-Customer'!CE$1)*$CE$4),0)</f>
        <v>0</v>
      </c>
      <c r="CH14" s="92">
        <f>IFERROR(IF($CE$2="Enter Spend&gt;&gt;&gt;",'Multi-Customer'!CE14/VLOOKUP($CE$5,'Basket Composition'!$A$65:$W$92,'Multi-Customer'!$AR14,FALSE),SUMIFS('Existing Customers'!$P:$P,'Existing Customers'!$H:$H,'Multi-Customer'!$AT14,'Existing Customers'!$A:$A,'Multi-Customer'!$CE$1)*$CE$4),0)</f>
        <v>0</v>
      </c>
      <c r="CI14" s="101">
        <f>IFERROR(IF($CE$2="Enter Spend&gt;&gt;&gt;","N/A",SUMIFS('Existing Customers'!$V:$V,'Existing Customers'!$H:$H,'Multi-Customer'!$AT14,'Existing Customers'!$A:$A,'Multi-Customer'!CE$1)*$CE$4),0)</f>
        <v>0</v>
      </c>
      <c r="CJ14" s="101">
        <f>IFERROR(IF($CE$2="Enter Spend&gt;&gt;&gt;","N/A",SUMIFS('Existing Customers'!$R:$R,'Existing Customers'!$H:$H,'Multi-Customer'!$AT14,'Existing Customers'!$A:$A,'Multi-Customer'!CE$1)*$CE$4),0)</f>
        <v>0</v>
      </c>
      <c r="CK14" s="132"/>
      <c r="CL14">
        <f>IFERROR(VLOOKUP(CN$5,'Basket Composition'!$A$3:$W$30,'Multi-Customer'!$AR14,FALSE),0)</f>
        <v>0</v>
      </c>
      <c r="CM14" s="105" t="s">
        <v>530</v>
      </c>
      <c r="CN14" s="100">
        <f>IFERROR(IF($CN$2="Enter Spend&gt;&gt;&gt;",$CN$3*CL14,SUMIFS('Existing Customers'!$Q:$Q,'Existing Customers'!$H:$H,'Multi-Customer'!$AT14,'Existing Customers'!$A:$A,'Multi-Customer'!$CN$1)*$CN$4),0)</f>
        <v>0</v>
      </c>
      <c r="CO14" s="92">
        <f>IFERROR(IF($CN$2="Enter Spend&gt;&gt;&gt;",'Multi-Customer'!CN14/VLOOKUP($CN$5,'Basket Composition'!$A$34:$W$61,'Multi-Customer'!$AR14,FALSE),SUMIFS('Existing Customers'!$N:$N,'Existing Customers'!$H:$H,'Multi-Customer'!$AT14,'Existing Customers'!$A:$A,'Multi-Customer'!$CN$1)*$CN$4),0)</f>
        <v>0</v>
      </c>
      <c r="CP14" s="92">
        <f>IFERROR(IF($CN$2="Enter Spend&gt;&gt;&gt;",CO14*$CN$8,SUMIFS('Existing Customers'!$O:$O,'Existing Customers'!$H:$H,'Multi-Customer'!$AT14,'Existing Customers'!$A:$A,'Multi-Customer'!CN$1)*$CN$4),0)</f>
        <v>0</v>
      </c>
      <c r="CQ14" s="92">
        <f>IFERROR(IF($CN$2="Enter Spend&gt;&gt;&gt;",'Multi-Customer'!CN14/VLOOKUP($CN$5,'Basket Composition'!$A$65:$W$92,'Multi-Customer'!$AR14,FALSE),SUMIFS('Existing Customers'!$P:$P,'Existing Customers'!$H:$H,'Multi-Customer'!$AT14,'Existing Customers'!$A:$A,'Multi-Customer'!$CN$1)*$CN$4),0)</f>
        <v>0</v>
      </c>
      <c r="CR14" s="101">
        <f>IFERROR(IF($CN$2="Enter Spend&gt;&gt;&gt;","N/A",SUMIFS('Existing Customers'!$V:$V,'Existing Customers'!$H:$H,'Multi-Customer'!$AT14,'Existing Customers'!$A:$A,'Multi-Customer'!CN$1)*$CN$4),0)</f>
        <v>0</v>
      </c>
      <c r="CS14" s="101">
        <f>IFERROR(IF($CN$2="Enter Spend&gt;&gt;&gt;","N/A",SUMIFS('Existing Customers'!$R:$R,'Existing Customers'!$H:$H,'Multi-Customer'!$AT14,'Existing Customers'!$A:$A,'Multi-Customer'!CN$1)*$CN$4),0)</f>
        <v>0</v>
      </c>
      <c r="CT14" s="132"/>
      <c r="CU14">
        <f>IFERROR(VLOOKUP(CW$5,'Basket Composition'!$A$3:$W$30,'Multi-Customer'!$AR14,FALSE),0)</f>
        <v>0</v>
      </c>
      <c r="CV14" s="105" t="s">
        <v>530</v>
      </c>
      <c r="CW14" s="100">
        <f>IFERROR(IF($CW$2="Enter Spend&gt;&gt;&gt;",$CW$3*CU14,SUMIFS('Existing Customers'!$Q:$Q,'Existing Customers'!$H:$H,'Multi-Customer'!$AT14,'Existing Customers'!$A:$A,'Multi-Customer'!$CW$1)*$CW$4),0)</f>
        <v>0</v>
      </c>
      <c r="CX14" s="92">
        <f>IFERROR(IF($CW$2="Enter Spend&gt;&gt;&gt;",'Multi-Customer'!CW14/VLOOKUP($CW$5,'Basket Composition'!$A$34:$W$61,'Multi-Customer'!$AR14,FALSE),SUMIFS('Existing Customers'!$N:$N,'Existing Customers'!$H:$H,'Multi-Customer'!$AT14,'Existing Customers'!$A:$A,'Multi-Customer'!$CW$1)*$CW$4),0)</f>
        <v>0</v>
      </c>
      <c r="CY14" s="92">
        <f>IFERROR(IF($CW$2="Enter Spend&gt;&gt;&gt;",CX14*$CW$8,SUMIFS('Existing Customers'!$O:$O,'Existing Customers'!$H:$H,'Multi-Customer'!$AT14,'Existing Customers'!$A:$A,'Multi-Customer'!CW$1)*$CW$4),0)</f>
        <v>0</v>
      </c>
      <c r="CZ14" s="92">
        <f>IFERROR(IF($CW$2="Enter Spend&gt;&gt;&gt;",'Multi-Customer'!CW14/VLOOKUP($CW$5,'Basket Composition'!$A$65:$W$92,'Multi-Customer'!$AR14,FALSE),SUMIFS('Existing Customers'!$P:$P,'Existing Customers'!$H:$H,'Multi-Customer'!$AT14,'Existing Customers'!$A:$A,'Multi-Customer'!$CW$1)*$CW$4),0)</f>
        <v>0</v>
      </c>
      <c r="DA14" s="101">
        <f>IFERROR(IF($CW$2="Enter Spend&gt;&gt;&gt;","N/A",SUMIFS('Existing Customers'!$V:$V,'Existing Customers'!$H:$H,'Multi-Customer'!$AT14,'Existing Customers'!$A:$A,'Multi-Customer'!CW$1)*$CW$4),0)</f>
        <v>0</v>
      </c>
      <c r="DB14" s="101">
        <f>IFERROR(IF($CW$2="Enter Spend&gt;&gt;&gt;","N/A",SUMIFS('Existing Customers'!$R:$R,'Existing Customers'!$H:$H,'Multi-Customer'!$AT14,'Existing Customers'!$A:$A,'Multi-Customer'!CW$1)*$CW$4),0)</f>
        <v>0</v>
      </c>
      <c r="DC14" s="132"/>
      <c r="DD14">
        <f>IFERROR(VLOOKUP(DF$5,'Basket Composition'!$A$3:$W$30,'Multi-Customer'!$AR14,FALSE),0)</f>
        <v>0</v>
      </c>
      <c r="DE14" s="105" t="s">
        <v>530</v>
      </c>
      <c r="DF14" s="100">
        <f>IFERROR(IF($DF$2="Enter Spend&gt;&gt;&gt;",$DF$3*DD14,SUMIFS('Existing Customers'!$Q:$Q,'Existing Customers'!$H:$H,'Multi-Customer'!$AT14,'Existing Customers'!$A:$A,'Multi-Customer'!$DF$1)*$DF$4),0)</f>
        <v>0</v>
      </c>
      <c r="DG14" s="92">
        <f>IFERROR(IF($DF$2="Enter Spend&gt;&gt;&gt;",'Multi-Customer'!DF14/VLOOKUP($DF$5,'Basket Composition'!$A$34:$W$61,'Multi-Customer'!$AR14,FALSE),SUMIFS('Existing Customers'!$N:$N,'Existing Customers'!$H:$H,'Multi-Customer'!$AT14,'Existing Customers'!$A:$A,'Multi-Customer'!$DF$1)*$DF$4),0)</f>
        <v>0</v>
      </c>
      <c r="DH14" s="92">
        <f>IFERROR(IF($DF$2="Enter Spend&gt;&gt;&gt;",DG14*$DF$8,SUMIFS('Existing Customers'!$O:$O,'Existing Customers'!$H:$H,'Multi-Customer'!$AT14,'Existing Customers'!$A:$A,'Multi-Customer'!DF$1)*$DF$4),0)</f>
        <v>0</v>
      </c>
      <c r="DI14" s="92">
        <f>IFERROR(IF($DF$2="Enter Spend&gt;&gt;&gt;",'Multi-Customer'!DF14/VLOOKUP($DF$5,'Basket Composition'!$A$65:$W$92,'Multi-Customer'!$AR14,FALSE),SUMIFS('Existing Customers'!$P:$P,'Existing Customers'!$H:$H,'Multi-Customer'!$AT14,'Existing Customers'!$A:$A,'Multi-Customer'!$DF$1)*$DF$4),0)</f>
        <v>0</v>
      </c>
      <c r="DJ14" s="101">
        <f>IFERROR(IF($DF$2="Enter Spend&gt;&gt;&gt;","N/A",SUMIFS('Existing Customers'!$V:$V,'Existing Customers'!$H:$H,'Multi-Customer'!$AT14,'Existing Customers'!$A:$A,'Multi-Customer'!DF$1)*$DF$4),0)</f>
        <v>0</v>
      </c>
      <c r="DK14" s="101">
        <f>IFERROR(IF($DF$2="Enter Spend&gt;&gt;&gt;","N/A",SUMIFS('Existing Customers'!$R:$R,'Existing Customers'!$H:$H,'Multi-Customer'!$AT14,'Existing Customers'!$A:$A,'Multi-Customer'!DF$1)*$DF$4),0)</f>
        <v>0</v>
      </c>
      <c r="DL14" s="132"/>
      <c r="DM14">
        <f>IFERROR(VLOOKUP(DO$5,'Basket Composition'!$A$3:$W$30,'Multi-Customer'!$AR14,FALSE),0)</f>
        <v>0</v>
      </c>
      <c r="DN14" s="105" t="s">
        <v>530</v>
      </c>
      <c r="DO14" s="100">
        <f>IFERROR(IF($DO$2="Enter Spend&gt;&gt;&gt;",$DO$3*DM14,SUMIFS('Existing Customers'!$Q:$Q,'Existing Customers'!$H:$H,'Multi-Customer'!$AT14,'Existing Customers'!$A:$A,'Multi-Customer'!$DO$1)*$DO$4),0)</f>
        <v>0</v>
      </c>
      <c r="DP14" s="92">
        <f>IFERROR(IF($DO$2="Enter Spend&gt;&gt;&gt;",'Multi-Customer'!DO14/VLOOKUP($DO$5,'Basket Composition'!$A$34:$W$61,'Multi-Customer'!$AR14,FALSE),SUMIFS('Existing Customers'!$N:$N,'Existing Customers'!$H:$H,'Multi-Customer'!$AT14,'Existing Customers'!$A:$A,'Multi-Customer'!$DO$1)*$DO$4),0)</f>
        <v>0</v>
      </c>
      <c r="DQ14" s="92">
        <f>IFERROR(IF($DO$2="Enter Spend&gt;&gt;&gt;",DP14*$DO$8,SUMIFS('Existing Customers'!$O:$O,'Existing Customers'!$H:$H,'Multi-Customer'!$AT14,'Existing Customers'!$A:$A,'Multi-Customer'!DO$1)*$DO$4),0)</f>
        <v>0</v>
      </c>
      <c r="DR14" s="92">
        <f>IFERROR(IF($DO$2="Enter Spend&gt;&gt;&gt;",'Multi-Customer'!DO14/VLOOKUP($DO$5,'Basket Composition'!$A$65:$W$92,'Multi-Customer'!$AR14,FALSE),SUMIFS('Existing Customers'!$P:$P,'Existing Customers'!$H:$H,'Multi-Customer'!$AT14,'Existing Customers'!$A:$A,'Multi-Customer'!$DO$1)*$DO$4),0)</f>
        <v>0</v>
      </c>
      <c r="DS14" s="117">
        <f>IFERROR(IF($DO$2="Enter Spend&gt;&gt;&gt;","N/A",SUMIFS('Existing Customers'!$V:$V,'Existing Customers'!$H:$H,'Multi-Customer'!$AT14,'Existing Customers'!$A:$A,'Multi-Customer'!DO$1)*$DO$4),0)</f>
        <v>0</v>
      </c>
      <c r="DT14" s="101">
        <f>IFERROR(IF($DO$2="Enter Spend&gt;&gt;&gt;","N/A",SUMIFS('Existing Customers'!$R:$R,'Existing Customers'!$H:$H,'Multi-Customer'!$AT14,'Existing Customers'!$A:$A,'Multi-Customer'!DO$1)*$DO$4),0)</f>
        <v>0</v>
      </c>
      <c r="DU14" s="132"/>
      <c r="DV14">
        <f>IFERROR(VLOOKUP(DX$5,'Basket Composition'!$A$3:$W$30,'Multi-Customer'!$AR14,FALSE),0)</f>
        <v>0</v>
      </c>
      <c r="DW14" s="105" t="s">
        <v>530</v>
      </c>
      <c r="DX14" s="100">
        <f>IFERROR(IF($DX$2="Enter Spend&gt;&gt;&gt;",$DX$3*DV14,SUMIFS('Existing Customers'!$Q:$Q,'Existing Customers'!$H:$H,'Multi-Customer'!$AT14,'Existing Customers'!$A:$A,'Multi-Customer'!$DX$1)*$DX$4),0)</f>
        <v>0</v>
      </c>
      <c r="DY14" s="92">
        <f>IFERROR(IF($DX$2="Enter Spend&gt;&gt;&gt;",'Multi-Customer'!DX14/VLOOKUP($DX$5,'Basket Composition'!$A$34:$W$61,'Multi-Customer'!$AR14,FALSE),SUMIFS('Existing Customers'!$N:$N,'Existing Customers'!$H:$H,'Multi-Customer'!$AT14,'Existing Customers'!$A:$A,'Multi-Customer'!$DX$1)*$DX$4),0)</f>
        <v>0</v>
      </c>
      <c r="DZ14" s="92">
        <f>IFERROR(IF($DX$2="Enter Spend&gt;&gt;&gt;",DY14*$DX$8,SUMIFS('Existing Customers'!$O:$O,'Existing Customers'!$H:$H,'Multi-Customer'!$AT14,'Existing Customers'!$A:$A,'Multi-Customer'!DX$1)*$DX$4),0)</f>
        <v>0</v>
      </c>
      <c r="EA14" s="92">
        <f>IFERROR(IF($DX$2="Enter Spend&gt;&gt;&gt;",'Multi-Customer'!DX14/VLOOKUP($DX$5,'Basket Composition'!$A$65:$W$92,'Multi-Customer'!$AR14,FALSE),SUMIFS('Existing Customers'!$P:$P,'Existing Customers'!$H:$H,'Multi-Customer'!$AT14,'Existing Customers'!$A:$A,'Multi-Customer'!$DX$1)*$DX$4),0)</f>
        <v>0</v>
      </c>
      <c r="EB14" s="117">
        <f>IFERROR(IF($DX$2="Enter Spend&gt;&gt;&gt;","N/A",SUMIFS('Existing Customers'!$V:$V,'Existing Customers'!$H:$H,'Multi-Customer'!$AT14,'Existing Customers'!$A:$A,'Multi-Customer'!DX$1)*$DX$4),0)</f>
        <v>0</v>
      </c>
      <c r="EC14" s="101">
        <f>IFERROR(IF($DX$2="Enter Spend&gt;&gt;&gt;","N/A",SUMIFS('Existing Customers'!$R:$R,'Existing Customers'!$H:$H,'Multi-Customer'!$AT14,'Existing Customers'!$A:$A,'Multi-Customer'!DX$1)*$DX$4),0)</f>
        <v>0</v>
      </c>
      <c r="EE14" s="105" t="s">
        <v>530</v>
      </c>
      <c r="EF14" s="100"/>
      <c r="EG14" s="92"/>
      <c r="EH14" s="92"/>
      <c r="EI14" s="92"/>
      <c r="EJ14" s="117"/>
      <c r="EK14" s="101"/>
      <c r="EL14" s="132"/>
      <c r="EN14" s="105" t="s">
        <v>530</v>
      </c>
      <c r="EO14" s="100"/>
      <c r="EP14" s="92"/>
      <c r="EQ14" s="92"/>
      <c r="ER14" s="92"/>
      <c r="ES14" s="117"/>
      <c r="ET14" s="101"/>
    </row>
    <row r="15" spans="2:150" x14ac:dyDescent="0.25">
      <c r="B15" s="105" t="s">
        <v>102</v>
      </c>
      <c r="C15" s="487">
        <f t="shared" si="6"/>
        <v>0</v>
      </c>
      <c r="D15" s="504">
        <f t="shared" si="7"/>
        <v>0</v>
      </c>
      <c r="E15" s="504">
        <f t="shared" si="8"/>
        <v>0</v>
      </c>
      <c r="F15" s="504">
        <f t="shared" si="9"/>
        <v>0</v>
      </c>
      <c r="G15" s="505">
        <f t="shared" si="10"/>
        <v>0</v>
      </c>
      <c r="H15" s="507">
        <f t="shared" si="11"/>
        <v>0</v>
      </c>
      <c r="J15" t="str">
        <f>'PIM Model'!E13</f>
        <v>INCLUDE</v>
      </c>
      <c r="K15">
        <f t="shared" si="12"/>
        <v>0</v>
      </c>
      <c r="L15">
        <f t="shared" si="13"/>
        <v>0</v>
      </c>
      <c r="M15" s="105" t="s">
        <v>102</v>
      </c>
      <c r="N15" s="100">
        <f t="shared" si="14"/>
        <v>0</v>
      </c>
      <c r="O15" s="92">
        <f t="shared" si="0"/>
        <v>0</v>
      </c>
      <c r="P15" s="92">
        <f t="shared" si="1"/>
        <v>0</v>
      </c>
      <c r="Q15" s="92">
        <f t="shared" si="2"/>
        <v>0</v>
      </c>
      <c r="R15" s="117">
        <f t="shared" si="3"/>
        <v>0</v>
      </c>
      <c r="S15" s="120">
        <f t="shared" si="15"/>
        <v>0</v>
      </c>
      <c r="T15" s="404"/>
      <c r="U15" s="105" t="s">
        <v>102</v>
      </c>
      <c r="V15" s="491">
        <f t="shared" si="4"/>
        <v>0</v>
      </c>
      <c r="W15" s="492">
        <f t="shared" si="4"/>
        <v>0</v>
      </c>
      <c r="X15" s="492">
        <f t="shared" si="4"/>
        <v>0</v>
      </c>
      <c r="Y15" s="493">
        <f t="shared" si="16"/>
        <v>0</v>
      </c>
      <c r="Z15" s="494">
        <f t="shared" si="17"/>
        <v>0</v>
      </c>
      <c r="AA15" s="404"/>
      <c r="AB15" s="105" t="s">
        <v>102</v>
      </c>
      <c r="AC15" s="491">
        <f t="shared" si="5"/>
        <v>0</v>
      </c>
      <c r="AD15" s="488">
        <f t="shared" si="18"/>
        <v>0</v>
      </c>
      <c r="AE15" s="494"/>
      <c r="AF15" s="404"/>
      <c r="AG15" s="1" t="str">
        <f>IF('PIM Ranges'!$AK15='PIM Ranges'!$AW$11,IF($AC15&lt;'PIM Ranges'!$AX$11,"Q1",IF($AC15&lt;'PIM Ranges'!$AY$11,"Q2",IF($AC15&lt;'PIM Ranges'!$AZ$11,"Q3",IF($AC15&lt;'PIM Ranges'!$BA$11,"Q4","Q5")))),IF('PIM Ranges'!$AK15='PIM Ranges'!$AW$12,IF($AC15&lt;'PIM Ranges'!$AX$12,"Q1",IF($AC15&lt;'PIM Ranges'!$AY$12,"Q2",IF($AC15&lt;'PIM Ranges'!$AZ$12,"Q3",IF($AC15&lt;'PIM Ranges'!$BA$12,"Q4","Q5")))),IF('PIM Ranges'!$AK15='PIM Ranges'!$AW$13,IF($AC15&lt;'PIM Ranges'!$AX$13,"Q1",IF($AC15&lt;'PIM Ranges'!$AY$13,"Q2",IF($AC15&lt;'PIM Ranges'!$AZ$13,"Q3",IF($AC15&lt;'PIM Ranges'!$BA$13,"Q4","Q5")))),IF('PIM Ranges'!$AK15='PIM Ranges'!$AW$14,IF($AC15&lt;'PIM Ranges'!$AX$14,"Q1",IF($AC15&lt;'PIM Ranges'!$AY$14,"Q2",IF($AC15&lt;'PIM Ranges'!$AZ$14,"Q3",IF($AC15&lt;'PIM Ranges'!$BA$14,"Q4","Q5")))),IF('PIM Ranges'!$AK15='PIM Ranges'!$AW$15,IF($AC15&lt;'PIM Ranges'!$AX$15,"Q1",IF($AC15&lt;'PIM Ranges'!$AY$15,"Q2",IF($AC15&lt;'PIM Ranges'!$AZ$15,"Q3",IF($AC15&lt;'PIM Ranges'!$BA$15,"Q4","Q5")))),IF('PIM Ranges'!$AK15='PIM Ranges'!$AW$16,IF($AC15&lt;'PIM Ranges'!$AX$16,"Q1",IF($AC15&lt;'PIM Ranges'!$AY$16,"Q2",IF($AC15&lt;'PIM Ranges'!$AZ$16,"Q3",IF($AC15&lt;'PIM Ranges'!$BA$16,"Q4","Q5")))),IF('PIM Ranges'!$AK15='PIM Ranges'!$AW$17,IF($AC15&lt;'PIM Ranges'!$AX$17,"Q1",IF($AC15&lt;'PIM Ranges'!$AY$17,"Q2",IF($AC15&lt;'PIM Ranges'!$AZ$17,"Q3",IF($AC15&lt;'PIM Ranges'!$BA$17,"Q4","Q5")))),IF('PIM Ranges'!$AK15='PIM Ranges'!$AW$18,IF($AC15&lt;'PIM Ranges'!$AX$18,"Q1",IF($AC15&lt;'PIM Ranges'!$AY$18,"Q2",IF($AC15&lt;'PIM Ranges'!$AZ$18,"Q3",IF($AC15&lt;'PIM Ranges'!$BA$18,"Q4","Q5")))),IF('PIM Ranges'!$AK15='PIM Ranges'!$AW$19,IF($AC15&lt;'PIM Ranges'!$AX$19,"Q1",IF($AC15&lt;'PIM Ranges'!$AY$19,"Q2",IF($AC15&lt;'PIM Ranges'!$AZ$19,"Q3",IF($AC15&lt;'PIM Ranges'!$BA$19,"Q4","Q5")))),IF('PIM Ranges'!$AK15='PIM Ranges'!$AW$20,IF($AC15&lt;'PIM Ranges'!$AX$20,"Q1",IF($AC15&lt;'PIM Ranges'!$AY$20,"Q2",IF($AC15&lt;'PIM Ranges'!$AZ$20,"Q3",IF($AC15&lt;'PIM Ranges'!$BA$20,"Q4","Q5")))),IF('PIM Ranges'!$AK15='PIM Ranges'!$AW$21,IF($AC15&lt;'PIM Ranges'!$AX$21,"Q1",IF($AC15&lt;'PIM Ranges'!$AY$21,"Q2",IF($AC15&lt;'PIM Ranges'!$AZ$21,"Q3",IF($AC15&lt;'PIM Ranges'!$BA$21,"Q4","Q5")))),IF('PIM Ranges'!$AK15='PIM Ranges'!$AW$22,IF($AC15&lt;'PIM Ranges'!$AX$22,"Q1",IF($AC15&lt;'PIM Ranges'!$AY$22,"Q2",IF($AC15&lt;'PIM Ranges'!$AZ$22,"Q3",IF($AC15&lt;'PIM Ranges'!$BA$22,"Q4","Q5")))),IF('PIM Ranges'!$AK15='PIM Ranges'!$AW$23,IF($AC15&lt;'PIM Ranges'!$AX$23,"Q1",IF($AC15&lt;'PIM Ranges'!$AY$23,"Q2",IF($AC15&lt;'PIM Ranges'!$AZ$23,"Q3",IF($AC15&lt;'PIM Ranges'!$BA$23,"Q4","Q5")))),IF('PIM Ranges'!$AK15='PIM Ranges'!$AW$24,IF($AC15&lt;'PIM Ranges'!$AX$24,"Q1",IF($AC15&lt;'PIM Ranges'!$AY$24,"Q2",IF($AC15&lt;'PIM Ranges'!$AZ$24,"Q3",IF($AC15&lt;'PIM Ranges'!$BA$24,"Q4","Q5")))),IF('PIM Ranges'!$AK15='PIM Ranges'!$AW$25,IF($AC15&lt;'PIM Ranges'!$AX$25,"Q1",IF($AC15&lt;'PIM Ranges'!$AY$25,"Q2",IF($AC15&lt;'PIM Ranges'!$AZ$25,"Q3",IF($AC15&lt;'PIM Ranges'!$BA$25,"Q4","Q5")))),IF('PIM Ranges'!$AK15='PIM Ranges'!$AW$26,IF($AC15&lt;'PIM Ranges'!$AX$26,"Q1",IF($AC15&lt;'PIM Ranges'!$AY$26,"Q2",IF($AC15&lt;'PIM Ranges'!$AZ$26,"Q3",IF($AC15&lt;'PIM Ranges'!$BA$26,"Q4","Q5")))),IF('PIM Ranges'!$AK15='PIM Ranges'!$AW$27,IF($AC15&lt;'PIM Ranges'!$AX$27,"Q1",IF($AC15&lt;'PIM Ranges'!$AY$27,"Q2",IF($AC15&lt;'PIM Ranges'!$AZ$27,"Q3",IF($AC15&lt;'PIM Ranges'!$BA$27,"Q4","Q5")))),IF('PIM Ranges'!$AK15='PIM Ranges'!$AW$28,IF($AC15&lt;'PIM Ranges'!$AX$28,"Q1",IF($AC15&lt;'PIM Ranges'!$AY$28,"Q2",IF($AC15&lt;'PIM Ranges'!$AZ$28,"Q3",IF($AC15&lt;'PIM Ranges'!$BA$28,"Q4","Q5")))),IF('PIM Ranges'!$AK15='PIM Ranges'!$AW$29,IF($AC15&lt;'PIM Ranges'!$AX$29,"Q1",IF($AC15&lt;'PIM Ranges'!$AY$29,"Q2",IF($AC15&lt;'PIM Ranges'!$AZ$29,"Q3",IF($AC15&lt;'PIM Ranges'!$BA$29,"Q4","Q5")))),IF('PIM Ranges'!$AK15='PIM Ranges'!$AW$30,IF($AC15&lt;'PIM Ranges'!$AX$30,"Q1",IF($AC15&lt;'PIM Ranges'!$AY$30,"Q2",IF($AC15&lt;'PIM Ranges'!$AZ$30,"Q3",IF($AC15&lt;'PIM Ranges'!$BA$30,"Q4","Q5")))),IF('PIM Ranges'!$AK15='PIM Ranges'!$AW$31,IF($AC15&lt;'PIM Ranges'!$AX$31,"Q1",IF($AC15&lt;'PIM Ranges'!$AY$31,"Q2",IF($AC15&lt;'PIM Ranges'!$AZ$31,"Q3",IF($AC15&lt;'PIM Ranges'!$BA$31,"Q4","Q5")))),IF('PIM Ranges'!$AK15='PIM Ranges'!$AW$32,IF($AC15&lt;'PIM Ranges'!$AX$32,"Q1",IF($AC15&lt;'PIM Ranges'!$AY$32,"Q2",IF($AC15&lt;'PIM Ranges'!$AZ$32,"Q3",IF($AC15&lt;'PIM Ranges'!$BA$32,"Q4","Q5"))))))))))))))))))))))))))</f>
        <v>Q1</v>
      </c>
      <c r="AH15" s="404">
        <f>VLOOKUP($AB15&amp;$AG15,'IMargin Quartiles'!$A:$F,6,FALSE)</f>
        <v>0.18</v>
      </c>
      <c r="AI15" s="404"/>
      <c r="AJ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K15" s="404" t="e">
        <f>VLOOKUP($AB15&amp;$AJ15,'IMargin Quartiles'!$A:$F,6,FALSE)</f>
        <v>#DIV/0!</v>
      </c>
      <c r="AL15">
        <f>'PIM Model'!C13</f>
        <v>0</v>
      </c>
      <c r="AM15" s="404"/>
      <c r="AN15" s="404"/>
      <c r="AO15" s="404" t="e">
        <f t="shared" si="19"/>
        <v>#DIV/0!</v>
      </c>
      <c r="AP15" s="404"/>
      <c r="AQ15" s="404"/>
      <c r="AR15" s="111">
        <v>6</v>
      </c>
      <c r="AS15">
        <f>IFERROR(VLOOKUP(AU$5,'Basket Composition'!$A$3:$W$30,'Multi-Customer'!$AR15,FALSE),0)</f>
        <v>0</v>
      </c>
      <c r="AT15" s="105" t="s">
        <v>102</v>
      </c>
      <c r="AU15" s="100">
        <f>IFERROR(IF($AU$2="Enter Spend&gt;&gt;&gt;",$AU$3*AS15,SUMIFS('Existing Customers'!$Q:$Q,'Existing Customers'!$H:$H,'Multi-Customer'!$AT15,'Existing Customers'!$A:$A,'Multi-Customer'!$AU$1)*$AU$4),0)</f>
        <v>0</v>
      </c>
      <c r="AV15" s="92">
        <f>IFERROR(IF($AU$2="Enter Spend&gt;&gt;&gt;",'Multi-Customer'!AU15/VLOOKUP($AU$5,'Basket Composition'!$A$34:$W$61,'Multi-Customer'!$AR15,FALSE),SUMIFS('Existing Customers'!$N:$N,'Existing Customers'!$H:$H,'Multi-Customer'!$AT15,'Existing Customers'!$A:$A,'Multi-Customer'!$AU$1)*$AU$4),0)</f>
        <v>0</v>
      </c>
      <c r="AW15" s="92">
        <f>IFERROR(IF($AU$2="Enter Spend&gt;&gt;&gt;",AV15*$AU$8,SUMIFS('Existing Customers'!$O:$O,'Existing Customers'!$H:$H,'Multi-Customer'!$AT15,'Existing Customers'!$A:$A,'Multi-Customer'!AU$1)*$AU$4),0)</f>
        <v>0</v>
      </c>
      <c r="AX15" s="92">
        <f>IFERROR(IF($AU$2="Enter Spend&gt;&gt;&gt;",'Multi-Customer'!AU15/VLOOKUP($AU$5,'Basket Composition'!$A$65:$W$92,'Multi-Customer'!$AR15,FALSE),SUMIFS('Existing Customers'!$P:$P,'Existing Customers'!$H:$H,'Multi-Customer'!$AT15,'Existing Customers'!$A:$A,'Multi-Customer'!$AU$1)*$AU$4),0)</f>
        <v>0</v>
      </c>
      <c r="AY15" s="117">
        <f>IFERROR(IF($AU$2="Enter Spend&gt;&gt;&gt;","N/A",SUMIFS('Existing Customers'!$V:$V,'Existing Customers'!$H:$H,'Multi-Customer'!$AT15,'Existing Customers'!$A:$A,'Multi-Customer'!AU$1)*$AU$4),0)</f>
        <v>0</v>
      </c>
      <c r="AZ15" s="101">
        <f>IFERROR(IF($AU$2="Enter Spend&gt;&gt;&gt;","N/A",SUMIFS('Existing Customers'!$R:$R,'Existing Customers'!$H:$H,'Multi-Customer'!$AT15,'Existing Customers'!$A:$A,'Multi-Customer'!AU$1)*$AU$4),0)</f>
        <v>0</v>
      </c>
      <c r="BA15" s="132"/>
      <c r="BB15">
        <f>IFERROR(VLOOKUP(BD$5,'Basket Composition'!$A$3:$W$30,'Multi-Customer'!$AR15,FALSE),0)</f>
        <v>0</v>
      </c>
      <c r="BC15" s="105" t="s">
        <v>102</v>
      </c>
      <c r="BD15" s="100">
        <f>IFERROR(IF($BD$2="Enter Spend&gt;&gt;&gt;",$BD$3*BB15,SUMIFS('Existing Customers'!$Q:$Q,'Existing Customers'!$H:$H,'Multi-Customer'!$AT15,'Existing Customers'!$A:$A,'Multi-Customer'!$BD$1)*$BD$4),0)</f>
        <v>0</v>
      </c>
      <c r="BE15" s="92">
        <f>IFERROR(IF($BD$2="Enter Spend&gt;&gt;&gt;",'Multi-Customer'!BD15/VLOOKUP($BD$5,'Basket Composition'!$A$34:$W$61,'Multi-Customer'!$AR15,FALSE),SUMIFS('Existing Customers'!$N:$N,'Existing Customers'!$H:$H,'Multi-Customer'!$AT15,'Existing Customers'!$A:$A,'Multi-Customer'!$BD$1)*$BD$4),0)</f>
        <v>0</v>
      </c>
      <c r="BF15" s="92">
        <f>IFERROR(IF($BD$2="Enter Spend&gt;&gt;&gt;",BE15*$BD$8,SUMIFS('Existing Customers'!$O:$O,'Existing Customers'!$H:$H,'Multi-Customer'!$AT15,'Existing Customers'!$A:$A,'Multi-Customer'!BD$1)*$BD$4),0)</f>
        <v>0</v>
      </c>
      <c r="BG15" s="92">
        <f>IFERROR(IF($BD$2="Enter Spend&gt;&gt;&gt;",'Multi-Customer'!BD15/VLOOKUP($BD$5,'Basket Composition'!$A$65:$W$92,'Multi-Customer'!$AR15,FALSE),SUMIFS('Existing Customers'!$P:$P,'Existing Customers'!$H:$H,'Multi-Customer'!$AT15,'Existing Customers'!$A:$A,'Multi-Customer'!$BD$1)*$BD$4),0)</f>
        <v>0</v>
      </c>
      <c r="BH15" s="101">
        <f>IFERROR(IF($BD$2="Enter Spend&gt;&gt;&gt;","N/A",SUMIFS('Existing Customers'!$V:$V,'Existing Customers'!$H:$H,'Multi-Customer'!$AT15,'Existing Customers'!$A:$A,'Multi-Customer'!BD$1)*$BD$4),0)</f>
        <v>0</v>
      </c>
      <c r="BI15" s="101">
        <f>IFERROR(IF($BD$2="Enter Spend&gt;&gt;&gt;","N/A",SUMIFS('Existing Customers'!$R:$R,'Existing Customers'!$H:$H,'Multi-Customer'!$AT15,'Existing Customers'!$A:$A,'Multi-Customer'!BD$1)*$BD$4),0)</f>
        <v>0</v>
      </c>
      <c r="BJ15" s="132"/>
      <c r="BK15">
        <f>IFERROR(VLOOKUP(BM$5,'Basket Composition'!$A$3:$W$30,'Multi-Customer'!$AR15,FALSE),0)</f>
        <v>0</v>
      </c>
      <c r="BL15" s="105" t="s">
        <v>102</v>
      </c>
      <c r="BM15" s="100">
        <f>IFERROR(IF($BM$2="Enter Spend&gt;&gt;&gt;",$BM$3*BK15,SUMIFS('Existing Customers'!$Q:$Q,'Existing Customers'!$H:$H,'Multi-Customer'!$AT15,'Existing Customers'!$A:$A,'Multi-Customer'!$BM$1)*$BM$4),0)</f>
        <v>0</v>
      </c>
      <c r="BN15" s="92">
        <f>IFERROR(IF($BM$2="Enter Spend&gt;&gt;&gt;",'Multi-Customer'!BM15/VLOOKUP($BM$5,'Basket Composition'!$A$34:$W$61,'Multi-Customer'!$AR15,FALSE),SUMIFS('Existing Customers'!$N:$N,'Existing Customers'!$H:$H,'Multi-Customer'!$AT15,'Existing Customers'!$A:$A,'Multi-Customer'!$BM$1)*$BM$4),0)</f>
        <v>0</v>
      </c>
      <c r="BO15" s="92">
        <f>IFERROR(IF($BM$2="Enter Spend&gt;&gt;&gt;",BN15*$BM$8,SUMIFS('Existing Customers'!$O:$O,'Existing Customers'!$H:$H,'Multi-Customer'!$AT15,'Existing Customers'!$A:$A,'Multi-Customer'!BM$1)*$BM$4),0)</f>
        <v>0</v>
      </c>
      <c r="BP15" s="92">
        <f>IFERROR(IF($BM$2="Enter Spend&gt;&gt;&gt;",'Multi-Customer'!BM15/VLOOKUP($BM$5,'Basket Composition'!$A$65:$W$92,'Multi-Customer'!$AR15,FALSE),SUMIFS('Existing Customers'!$P:$P,'Existing Customers'!$H:$H,'Multi-Customer'!$AT15,'Existing Customers'!$A:$A,'Multi-Customer'!$BM$1)*$BM$4),0)</f>
        <v>0</v>
      </c>
      <c r="BQ15" s="101">
        <f>IFERROR(IF($BM$2="Enter Spend&gt;&gt;&gt;","N/A",SUMIFS('Existing Customers'!$V:$V,'Existing Customers'!$H:$H,'Multi-Customer'!$AT15,'Existing Customers'!$A:$A,'Multi-Customer'!BM$1)*$BM$4),0)</f>
        <v>0</v>
      </c>
      <c r="BR15" s="101">
        <f>IFERROR(IF($BM$2="Enter Spend&gt;&gt;&gt;","N/A",SUMIFS('Existing Customers'!$R:$R,'Existing Customers'!$H:$H,'Multi-Customer'!$AT15,'Existing Customers'!$A:$A,'Multi-Customer'!BM$1)*$BM$4),0)</f>
        <v>0</v>
      </c>
      <c r="BS15" s="132"/>
      <c r="BT15">
        <f>IFERROR(VLOOKUP(BV$5,'Basket Composition'!$A$3:$W$30,'Multi-Customer'!$AR15,FALSE),0)</f>
        <v>0</v>
      </c>
      <c r="BU15" s="105" t="s">
        <v>102</v>
      </c>
      <c r="BV15" s="100">
        <f>IFERROR(IF($BV$2="Enter Spend&gt;&gt;&gt;",$BV$3*BT15,SUMIFS('Existing Customers'!$Q:$Q,'Existing Customers'!$H:$H,'Multi-Customer'!$AT15,'Existing Customers'!$A:$A,'Multi-Customer'!$BV$1)*$BV$4),0)</f>
        <v>0</v>
      </c>
      <c r="BW15" s="92">
        <f>IFERROR(IF($BV$2="Enter Spend&gt;&gt;&gt;",'Multi-Customer'!BV15/VLOOKUP($BV$5,'Basket Composition'!$A$34:$W$61,'Multi-Customer'!$AR15,FALSE),SUMIFS('Existing Customers'!$N:$N,'Existing Customers'!$H:$H,'Multi-Customer'!$AT15,'Existing Customers'!$A:$A,'Multi-Customer'!$BV$1)*$BV$4),0)</f>
        <v>0</v>
      </c>
      <c r="BX15" s="92">
        <f>IFERROR(IF($BV$2="Enter Spend&gt;&gt;&gt;",BW15*$BV$8,SUMIFS('Existing Customers'!$O:$O,'Existing Customers'!$H:$H,'Multi-Customer'!$AT15,'Existing Customers'!$A:$A,'Multi-Customer'!BV$1)*$BV$4),0)</f>
        <v>0</v>
      </c>
      <c r="BY15" s="92">
        <f>IFERROR(IF($BV$2="Enter Spend&gt;&gt;&gt;",'Multi-Customer'!BV15/VLOOKUP($BV$5,'Basket Composition'!$A$65:$W$92,'Multi-Customer'!$AR15,FALSE),SUMIFS('Existing Customers'!$P:$P,'Existing Customers'!$H:$H,'Multi-Customer'!$AT15,'Existing Customers'!$A:$A,'Multi-Customer'!$BV$1)*$BV$4),0)</f>
        <v>0</v>
      </c>
      <c r="BZ15" s="101">
        <f>IFERROR(IF($BV$2="Enter Spend&gt;&gt;&gt;","N/A",SUMIFS('Existing Customers'!$V:$V,'Existing Customers'!$H:$H,'Multi-Customer'!$AT15,'Existing Customers'!$A:$A,'Multi-Customer'!BV$1)*$BV$4),0)</f>
        <v>0</v>
      </c>
      <c r="CA15" s="101">
        <f>IFERROR(IF($BV$2="Enter Spend&gt;&gt;&gt;","N/A",SUMIFS('Existing Customers'!$R:$R,'Existing Customers'!$H:$H,'Multi-Customer'!$AT15,'Existing Customers'!$A:$A,'Multi-Customer'!BV$1)*$BV$4),0)</f>
        <v>0</v>
      </c>
      <c r="CB15" s="132"/>
      <c r="CC15">
        <f>IFERROR(VLOOKUP(CE$5,'Basket Composition'!$A$3:$W$30,'Multi-Customer'!$AR15,FALSE),0)</f>
        <v>0</v>
      </c>
      <c r="CD15" s="105" t="s">
        <v>102</v>
      </c>
      <c r="CE15" s="100">
        <f>IFERROR(IF($CE$2="Enter Spend&gt;&gt;&gt;",$CE$3*CC15,SUMIFS('Existing Customers'!$Q:$Q,'Existing Customers'!$H:$H,'Multi-Customer'!$AT15,'Existing Customers'!$A:$A,'Multi-Customer'!$CE$1)*$CE$4),0)</f>
        <v>0</v>
      </c>
      <c r="CF15" s="92">
        <f>IFERROR(IF($CE$2="Enter Spend&gt;&gt;&gt;",'Multi-Customer'!CE15/VLOOKUP($CE$5,'Basket Composition'!$A$34:$W$61,'Multi-Customer'!$AR15,FALSE),SUMIFS('Existing Customers'!$N:$N,'Existing Customers'!$H:$H,'Multi-Customer'!$AT15,'Existing Customers'!$A:$A,'Multi-Customer'!$CE$1)*$CE$4),0)</f>
        <v>0</v>
      </c>
      <c r="CG15" s="92">
        <f>IFERROR(IF($CE$2="Enter Spend&gt;&gt;&gt;",CF15*$CE$8,SUMIFS('Existing Customers'!$O:$O,'Existing Customers'!$H:$H,'Multi-Customer'!$AT15,'Existing Customers'!$A:$A,'Multi-Customer'!CE$1)*$CE$4),0)</f>
        <v>0</v>
      </c>
      <c r="CH15" s="92">
        <f>IFERROR(IF($CE$2="Enter Spend&gt;&gt;&gt;",'Multi-Customer'!CE15/VLOOKUP($CE$5,'Basket Composition'!$A$65:$W$92,'Multi-Customer'!$AR15,FALSE),SUMIFS('Existing Customers'!$P:$P,'Existing Customers'!$H:$H,'Multi-Customer'!$AT15,'Existing Customers'!$A:$A,'Multi-Customer'!$CE$1)*$CE$4),0)</f>
        <v>0</v>
      </c>
      <c r="CI15" s="101">
        <f>IFERROR(IF($CE$2="Enter Spend&gt;&gt;&gt;","N/A",SUMIFS('Existing Customers'!$V:$V,'Existing Customers'!$H:$H,'Multi-Customer'!$AT15,'Existing Customers'!$A:$A,'Multi-Customer'!CE$1)*$CE$4),0)</f>
        <v>0</v>
      </c>
      <c r="CJ15" s="101">
        <f>IFERROR(IF($CE$2="Enter Spend&gt;&gt;&gt;","N/A",SUMIFS('Existing Customers'!$R:$R,'Existing Customers'!$H:$H,'Multi-Customer'!$AT15,'Existing Customers'!$A:$A,'Multi-Customer'!CE$1)*$CE$4),0)</f>
        <v>0</v>
      </c>
      <c r="CK15" s="132"/>
      <c r="CL15">
        <f>IFERROR(VLOOKUP(CN$5,'Basket Composition'!$A$3:$W$30,'Multi-Customer'!$AR15,FALSE),0)</f>
        <v>0</v>
      </c>
      <c r="CM15" s="105" t="s">
        <v>102</v>
      </c>
      <c r="CN15" s="100">
        <f>IFERROR(IF($CN$2="Enter Spend&gt;&gt;&gt;",$CN$3*CL15,SUMIFS('Existing Customers'!$Q:$Q,'Existing Customers'!$H:$H,'Multi-Customer'!$AT15,'Existing Customers'!$A:$A,'Multi-Customer'!$CN$1)*$CN$4),0)</f>
        <v>0</v>
      </c>
      <c r="CO15" s="92">
        <f>IFERROR(IF($CN$2="Enter Spend&gt;&gt;&gt;",'Multi-Customer'!CN15/VLOOKUP($CN$5,'Basket Composition'!$A$34:$W$61,'Multi-Customer'!$AR15,FALSE),SUMIFS('Existing Customers'!$N:$N,'Existing Customers'!$H:$H,'Multi-Customer'!$AT15,'Existing Customers'!$A:$A,'Multi-Customer'!$CN$1)*$CN$4),0)</f>
        <v>0</v>
      </c>
      <c r="CP15" s="92">
        <f>IFERROR(IF($CN$2="Enter Spend&gt;&gt;&gt;",CO15*$CN$8,SUMIFS('Existing Customers'!$O:$O,'Existing Customers'!$H:$H,'Multi-Customer'!$AT15,'Existing Customers'!$A:$A,'Multi-Customer'!CN$1)*$CN$4),0)</f>
        <v>0</v>
      </c>
      <c r="CQ15" s="92">
        <f>IFERROR(IF($CN$2="Enter Spend&gt;&gt;&gt;",'Multi-Customer'!CN15/VLOOKUP($CN$5,'Basket Composition'!$A$65:$W$92,'Multi-Customer'!$AR15,FALSE),SUMIFS('Existing Customers'!$P:$P,'Existing Customers'!$H:$H,'Multi-Customer'!$AT15,'Existing Customers'!$A:$A,'Multi-Customer'!$CN$1)*$CN$4),0)</f>
        <v>0</v>
      </c>
      <c r="CR15" s="101">
        <f>IFERROR(IF($CN$2="Enter Spend&gt;&gt;&gt;","N/A",SUMIFS('Existing Customers'!$V:$V,'Existing Customers'!$H:$H,'Multi-Customer'!$AT15,'Existing Customers'!$A:$A,'Multi-Customer'!CN$1)*$CN$4),0)</f>
        <v>0</v>
      </c>
      <c r="CS15" s="101">
        <f>IFERROR(IF($CN$2="Enter Spend&gt;&gt;&gt;","N/A",SUMIFS('Existing Customers'!$R:$R,'Existing Customers'!$H:$H,'Multi-Customer'!$AT15,'Existing Customers'!$A:$A,'Multi-Customer'!CN$1)*$CN$4),0)</f>
        <v>0</v>
      </c>
      <c r="CT15" s="132"/>
      <c r="CU15">
        <f>IFERROR(VLOOKUP(CW$5,'Basket Composition'!$A$3:$W$30,'Multi-Customer'!$AR15,FALSE),0)</f>
        <v>0</v>
      </c>
      <c r="CV15" s="105" t="s">
        <v>102</v>
      </c>
      <c r="CW15" s="100">
        <f>IFERROR(IF($CW$2="Enter Spend&gt;&gt;&gt;",$CW$3*CU15,SUMIFS('Existing Customers'!$Q:$Q,'Existing Customers'!$H:$H,'Multi-Customer'!$AT15,'Existing Customers'!$A:$A,'Multi-Customer'!$CW$1)*$CW$4),0)</f>
        <v>0</v>
      </c>
      <c r="CX15" s="92">
        <f>IFERROR(IF($CW$2="Enter Spend&gt;&gt;&gt;",'Multi-Customer'!CW15/VLOOKUP($CW$5,'Basket Composition'!$A$34:$W$61,'Multi-Customer'!$AR15,FALSE),SUMIFS('Existing Customers'!$N:$N,'Existing Customers'!$H:$H,'Multi-Customer'!$AT15,'Existing Customers'!$A:$A,'Multi-Customer'!$CW$1)*$CW$4),0)</f>
        <v>0</v>
      </c>
      <c r="CY15" s="92">
        <f>IFERROR(IF($CW$2="Enter Spend&gt;&gt;&gt;",CX15*$CW$8,SUMIFS('Existing Customers'!$O:$O,'Existing Customers'!$H:$H,'Multi-Customer'!$AT15,'Existing Customers'!$A:$A,'Multi-Customer'!CW$1)*$CW$4),0)</f>
        <v>0</v>
      </c>
      <c r="CZ15" s="92">
        <f>IFERROR(IF($CW$2="Enter Spend&gt;&gt;&gt;",'Multi-Customer'!CW15/VLOOKUP($CW$5,'Basket Composition'!$A$65:$W$92,'Multi-Customer'!$AR15,FALSE),SUMIFS('Existing Customers'!$P:$P,'Existing Customers'!$H:$H,'Multi-Customer'!$AT15,'Existing Customers'!$A:$A,'Multi-Customer'!$CW$1)*$CW$4),0)</f>
        <v>0</v>
      </c>
      <c r="DA15" s="101">
        <f>IFERROR(IF($CW$2="Enter Spend&gt;&gt;&gt;","N/A",SUMIFS('Existing Customers'!$V:$V,'Existing Customers'!$H:$H,'Multi-Customer'!$AT15,'Existing Customers'!$A:$A,'Multi-Customer'!CW$1)*$CW$4),0)</f>
        <v>0</v>
      </c>
      <c r="DB15" s="101">
        <f>IFERROR(IF($CW$2="Enter Spend&gt;&gt;&gt;","N/A",SUMIFS('Existing Customers'!$R:$R,'Existing Customers'!$H:$H,'Multi-Customer'!$AT15,'Existing Customers'!$A:$A,'Multi-Customer'!CW$1)*$CW$4),0)</f>
        <v>0</v>
      </c>
      <c r="DC15" s="132"/>
      <c r="DD15">
        <f>IFERROR(VLOOKUP(DF$5,'Basket Composition'!$A$3:$W$30,'Multi-Customer'!$AR15,FALSE),0)</f>
        <v>0</v>
      </c>
      <c r="DE15" s="105" t="s">
        <v>102</v>
      </c>
      <c r="DF15" s="100">
        <f>IFERROR(IF($DF$2="Enter Spend&gt;&gt;&gt;",$DF$3*DD15,SUMIFS('Existing Customers'!$Q:$Q,'Existing Customers'!$H:$H,'Multi-Customer'!$AT15,'Existing Customers'!$A:$A,'Multi-Customer'!$DF$1)*$DF$4),0)</f>
        <v>0</v>
      </c>
      <c r="DG15" s="92">
        <f>IFERROR(IF($DF$2="Enter Spend&gt;&gt;&gt;",'Multi-Customer'!DF15/VLOOKUP($DF$5,'Basket Composition'!$A$34:$W$61,'Multi-Customer'!$AR15,FALSE),SUMIFS('Existing Customers'!$N:$N,'Existing Customers'!$H:$H,'Multi-Customer'!$AT15,'Existing Customers'!$A:$A,'Multi-Customer'!$DF$1)*$DF$4),0)</f>
        <v>0</v>
      </c>
      <c r="DH15" s="92">
        <f>IFERROR(IF($DF$2="Enter Spend&gt;&gt;&gt;",DG15*$DF$8,SUMIFS('Existing Customers'!$O:$O,'Existing Customers'!$H:$H,'Multi-Customer'!$AT15,'Existing Customers'!$A:$A,'Multi-Customer'!DF$1)*$DF$4),0)</f>
        <v>0</v>
      </c>
      <c r="DI15" s="92">
        <f>IFERROR(IF($DF$2="Enter Spend&gt;&gt;&gt;",'Multi-Customer'!DF15/VLOOKUP($DF$5,'Basket Composition'!$A$65:$W$92,'Multi-Customer'!$AR15,FALSE),SUMIFS('Existing Customers'!$P:$P,'Existing Customers'!$H:$H,'Multi-Customer'!$AT15,'Existing Customers'!$A:$A,'Multi-Customer'!$DF$1)*$DF$4),0)</f>
        <v>0</v>
      </c>
      <c r="DJ15" s="101">
        <f>IFERROR(IF($DF$2="Enter Spend&gt;&gt;&gt;","N/A",SUMIFS('Existing Customers'!$V:$V,'Existing Customers'!$H:$H,'Multi-Customer'!$AT15,'Existing Customers'!$A:$A,'Multi-Customer'!DF$1)*$DF$4),0)</f>
        <v>0</v>
      </c>
      <c r="DK15" s="101">
        <f>IFERROR(IF($DF$2="Enter Spend&gt;&gt;&gt;","N/A",SUMIFS('Existing Customers'!$R:$R,'Existing Customers'!$H:$H,'Multi-Customer'!$AT15,'Existing Customers'!$A:$A,'Multi-Customer'!DF$1)*$DF$4),0)</f>
        <v>0</v>
      </c>
      <c r="DL15" s="132"/>
      <c r="DM15">
        <f>IFERROR(VLOOKUP(DO$5,'Basket Composition'!$A$3:$W$30,'Multi-Customer'!$AR15,FALSE),0)</f>
        <v>0</v>
      </c>
      <c r="DN15" s="105" t="s">
        <v>102</v>
      </c>
      <c r="DO15" s="100">
        <f>IFERROR(IF($DO$2="Enter Spend&gt;&gt;&gt;",$DO$3*DM15,SUMIFS('Existing Customers'!$Q:$Q,'Existing Customers'!$H:$H,'Multi-Customer'!$AT15,'Existing Customers'!$A:$A,'Multi-Customer'!$DO$1)*$DO$4),0)</f>
        <v>0</v>
      </c>
      <c r="DP15" s="92">
        <f>IFERROR(IF($DO$2="Enter Spend&gt;&gt;&gt;",'Multi-Customer'!DO15/VLOOKUP($DO$5,'Basket Composition'!$A$34:$W$61,'Multi-Customer'!$AR15,FALSE),SUMIFS('Existing Customers'!$N:$N,'Existing Customers'!$H:$H,'Multi-Customer'!$AT15,'Existing Customers'!$A:$A,'Multi-Customer'!$DO$1)*$DO$4),0)</f>
        <v>0</v>
      </c>
      <c r="DQ15" s="92">
        <f>IFERROR(IF($DO$2="Enter Spend&gt;&gt;&gt;",DP15*$DO$8,SUMIFS('Existing Customers'!$O:$O,'Existing Customers'!$H:$H,'Multi-Customer'!$AT15,'Existing Customers'!$A:$A,'Multi-Customer'!DO$1)*$DO$4),0)</f>
        <v>0</v>
      </c>
      <c r="DR15" s="92">
        <f>IFERROR(IF($DO$2="Enter Spend&gt;&gt;&gt;",'Multi-Customer'!DO15/VLOOKUP($DO$5,'Basket Composition'!$A$65:$W$92,'Multi-Customer'!$AR15,FALSE),SUMIFS('Existing Customers'!$P:$P,'Existing Customers'!$H:$H,'Multi-Customer'!$AT15,'Existing Customers'!$A:$A,'Multi-Customer'!$DO$1)*$DO$4),0)</f>
        <v>0</v>
      </c>
      <c r="DS15" s="117">
        <f>IFERROR(IF($DO$2="Enter Spend&gt;&gt;&gt;","N/A",SUMIFS('Existing Customers'!$V:$V,'Existing Customers'!$H:$H,'Multi-Customer'!$AT15,'Existing Customers'!$A:$A,'Multi-Customer'!DO$1)*$DO$4),0)</f>
        <v>0</v>
      </c>
      <c r="DT15" s="101">
        <f>IFERROR(IF($DO$2="Enter Spend&gt;&gt;&gt;","N/A",SUMIFS('Existing Customers'!$R:$R,'Existing Customers'!$H:$H,'Multi-Customer'!$AT15,'Existing Customers'!$A:$A,'Multi-Customer'!DO$1)*$DO$4),0)</f>
        <v>0</v>
      </c>
      <c r="DU15" s="132"/>
      <c r="DV15">
        <f>IFERROR(VLOOKUP(DX$5,'Basket Composition'!$A$3:$W$30,'Multi-Customer'!$AR15,FALSE),0)</f>
        <v>0</v>
      </c>
      <c r="DW15" s="105" t="s">
        <v>102</v>
      </c>
      <c r="DX15" s="100">
        <f>IFERROR(IF($DX$2="Enter Spend&gt;&gt;&gt;",$DX$3*DV15,SUMIFS('Existing Customers'!$Q:$Q,'Existing Customers'!$H:$H,'Multi-Customer'!$AT15,'Existing Customers'!$A:$A,'Multi-Customer'!$DX$1)*$DX$4),0)</f>
        <v>0</v>
      </c>
      <c r="DY15" s="92">
        <f>IFERROR(IF($DX$2="Enter Spend&gt;&gt;&gt;",'Multi-Customer'!DX15/VLOOKUP($DX$5,'Basket Composition'!$A$34:$W$61,'Multi-Customer'!$AR15,FALSE),SUMIFS('Existing Customers'!$N:$N,'Existing Customers'!$H:$H,'Multi-Customer'!$AT15,'Existing Customers'!$A:$A,'Multi-Customer'!$DX$1)*$DX$4),0)</f>
        <v>0</v>
      </c>
      <c r="DZ15" s="92">
        <f>IFERROR(IF($DX$2="Enter Spend&gt;&gt;&gt;",DY15*$DX$8,SUMIFS('Existing Customers'!$O:$O,'Existing Customers'!$H:$H,'Multi-Customer'!$AT15,'Existing Customers'!$A:$A,'Multi-Customer'!DX$1)*$DX$4),0)</f>
        <v>0</v>
      </c>
      <c r="EA15" s="92">
        <f>IFERROR(IF($DX$2="Enter Spend&gt;&gt;&gt;",'Multi-Customer'!DX15/VLOOKUP($DX$5,'Basket Composition'!$A$65:$W$92,'Multi-Customer'!$AR15,FALSE),SUMIFS('Existing Customers'!$P:$P,'Existing Customers'!$H:$H,'Multi-Customer'!$AT15,'Existing Customers'!$A:$A,'Multi-Customer'!$DX$1)*$DX$4),0)</f>
        <v>0</v>
      </c>
      <c r="EB15" s="117">
        <f>IFERROR(IF($DX$2="Enter Spend&gt;&gt;&gt;","N/A",SUMIFS('Existing Customers'!$V:$V,'Existing Customers'!$H:$H,'Multi-Customer'!$AT15,'Existing Customers'!$A:$A,'Multi-Customer'!DX$1)*$DX$4),0)</f>
        <v>0</v>
      </c>
      <c r="EC15" s="101">
        <f>IFERROR(IF($DX$2="Enter Spend&gt;&gt;&gt;","N/A",SUMIFS('Existing Customers'!$R:$R,'Existing Customers'!$H:$H,'Multi-Customer'!$AT15,'Existing Customers'!$A:$A,'Multi-Customer'!DX$1)*$DX$4),0)</f>
        <v>0</v>
      </c>
      <c r="EE15" s="105" t="s">
        <v>102</v>
      </c>
      <c r="EF15" s="100"/>
      <c r="EG15" s="92"/>
      <c r="EH15" s="92"/>
      <c r="EI15" s="92"/>
      <c r="EJ15" s="117"/>
      <c r="EK15" s="101"/>
      <c r="EL15" s="132"/>
      <c r="EN15" s="105" t="s">
        <v>102</v>
      </c>
      <c r="EO15" s="100"/>
      <c r="EP15" s="92"/>
      <c r="EQ15" s="92"/>
      <c r="ER15" s="92"/>
      <c r="ES15" s="117"/>
      <c r="ET15" s="101"/>
    </row>
    <row r="16" spans="2:150" x14ac:dyDescent="0.25">
      <c r="B16" s="105" t="s">
        <v>100</v>
      </c>
      <c r="C16" s="487">
        <f t="shared" si="6"/>
        <v>0</v>
      </c>
      <c r="D16" s="504">
        <f t="shared" si="7"/>
        <v>0</v>
      </c>
      <c r="E16" s="504">
        <f t="shared" si="8"/>
        <v>0</v>
      </c>
      <c r="F16" s="504">
        <f t="shared" si="9"/>
        <v>0</v>
      </c>
      <c r="G16" s="505">
        <f t="shared" si="10"/>
        <v>0</v>
      </c>
      <c r="H16" s="507">
        <f t="shared" si="11"/>
        <v>0</v>
      </c>
      <c r="J16" t="str">
        <f>'PIM Model'!E14</f>
        <v>INCLUDE</v>
      </c>
      <c r="K16">
        <f t="shared" si="12"/>
        <v>0</v>
      </c>
      <c r="L16">
        <f t="shared" si="13"/>
        <v>0</v>
      </c>
      <c r="M16" s="105" t="s">
        <v>100</v>
      </c>
      <c r="N16" s="100">
        <f t="shared" si="14"/>
        <v>0</v>
      </c>
      <c r="O16" s="92">
        <f t="shared" si="0"/>
        <v>0</v>
      </c>
      <c r="P16" s="92">
        <f t="shared" si="1"/>
        <v>0</v>
      </c>
      <c r="Q16" s="92">
        <f t="shared" si="2"/>
        <v>0</v>
      </c>
      <c r="R16" s="117">
        <f t="shared" si="3"/>
        <v>0</v>
      </c>
      <c r="S16" s="120">
        <f t="shared" si="15"/>
        <v>0</v>
      </c>
      <c r="T16" s="404"/>
      <c r="U16" s="105" t="s">
        <v>100</v>
      </c>
      <c r="V16" s="491">
        <f t="shared" si="4"/>
        <v>0</v>
      </c>
      <c r="W16" s="492">
        <f t="shared" si="4"/>
        <v>0</v>
      </c>
      <c r="X16" s="492">
        <f t="shared" si="4"/>
        <v>0</v>
      </c>
      <c r="Y16" s="493">
        <f t="shared" si="16"/>
        <v>0</v>
      </c>
      <c r="Z16" s="494">
        <f t="shared" si="17"/>
        <v>0</v>
      </c>
      <c r="AA16" s="404"/>
      <c r="AB16" s="105" t="s">
        <v>100</v>
      </c>
      <c r="AC16" s="491">
        <f t="shared" si="5"/>
        <v>0</v>
      </c>
      <c r="AD16" s="488">
        <f t="shared" si="18"/>
        <v>0</v>
      </c>
      <c r="AE16" s="494"/>
      <c r="AF16" s="404"/>
      <c r="AG16" s="1" t="str">
        <f>IF('PIM Ranges'!$AK16='PIM Ranges'!$AW$11,IF($AC16&lt;'PIM Ranges'!$AX$11,"Q1",IF($AC16&lt;'PIM Ranges'!$AY$11,"Q2",IF($AC16&lt;'PIM Ranges'!$AZ$11,"Q3",IF($AC16&lt;'PIM Ranges'!$BA$11,"Q4","Q5")))),IF('PIM Ranges'!$AK16='PIM Ranges'!$AW$12,IF($AC16&lt;'PIM Ranges'!$AX$12,"Q1",IF($AC16&lt;'PIM Ranges'!$AY$12,"Q2",IF($AC16&lt;'PIM Ranges'!$AZ$12,"Q3",IF($AC16&lt;'PIM Ranges'!$BA$12,"Q4","Q5")))),IF('PIM Ranges'!$AK16='PIM Ranges'!$AW$13,IF($AC16&lt;'PIM Ranges'!$AX$13,"Q1",IF($AC16&lt;'PIM Ranges'!$AY$13,"Q2",IF($AC16&lt;'PIM Ranges'!$AZ$13,"Q3",IF($AC16&lt;'PIM Ranges'!$BA$13,"Q4","Q5")))),IF('PIM Ranges'!$AK16='PIM Ranges'!$AW$14,IF($AC16&lt;'PIM Ranges'!$AX$14,"Q1",IF($AC16&lt;'PIM Ranges'!$AY$14,"Q2",IF($AC16&lt;'PIM Ranges'!$AZ$14,"Q3",IF($AC16&lt;'PIM Ranges'!$BA$14,"Q4","Q5")))),IF('PIM Ranges'!$AK16='PIM Ranges'!$AW$15,IF($AC16&lt;'PIM Ranges'!$AX$15,"Q1",IF($AC16&lt;'PIM Ranges'!$AY$15,"Q2",IF($AC16&lt;'PIM Ranges'!$AZ$15,"Q3",IF($AC16&lt;'PIM Ranges'!$BA$15,"Q4","Q5")))),IF('PIM Ranges'!$AK16='PIM Ranges'!$AW$16,IF($AC16&lt;'PIM Ranges'!$AX$16,"Q1",IF($AC16&lt;'PIM Ranges'!$AY$16,"Q2",IF($AC16&lt;'PIM Ranges'!$AZ$16,"Q3",IF($AC16&lt;'PIM Ranges'!$BA$16,"Q4","Q5")))),IF('PIM Ranges'!$AK16='PIM Ranges'!$AW$17,IF($AC16&lt;'PIM Ranges'!$AX$17,"Q1",IF($AC16&lt;'PIM Ranges'!$AY$17,"Q2",IF($AC16&lt;'PIM Ranges'!$AZ$17,"Q3",IF($AC16&lt;'PIM Ranges'!$BA$17,"Q4","Q5")))),IF('PIM Ranges'!$AK16='PIM Ranges'!$AW$18,IF($AC16&lt;'PIM Ranges'!$AX$18,"Q1",IF($AC16&lt;'PIM Ranges'!$AY$18,"Q2",IF($AC16&lt;'PIM Ranges'!$AZ$18,"Q3",IF($AC16&lt;'PIM Ranges'!$BA$18,"Q4","Q5")))),IF('PIM Ranges'!$AK16='PIM Ranges'!$AW$19,IF($AC16&lt;'PIM Ranges'!$AX$19,"Q1",IF($AC16&lt;'PIM Ranges'!$AY$19,"Q2",IF($AC16&lt;'PIM Ranges'!$AZ$19,"Q3",IF($AC16&lt;'PIM Ranges'!$BA$19,"Q4","Q5")))),IF('PIM Ranges'!$AK16='PIM Ranges'!$AW$20,IF($AC16&lt;'PIM Ranges'!$AX$20,"Q1",IF($AC16&lt;'PIM Ranges'!$AY$20,"Q2",IF($AC16&lt;'PIM Ranges'!$AZ$20,"Q3",IF($AC16&lt;'PIM Ranges'!$BA$20,"Q4","Q5")))),IF('PIM Ranges'!$AK16='PIM Ranges'!$AW$21,IF($AC16&lt;'PIM Ranges'!$AX$21,"Q1",IF($AC16&lt;'PIM Ranges'!$AY$21,"Q2",IF($AC16&lt;'PIM Ranges'!$AZ$21,"Q3",IF($AC16&lt;'PIM Ranges'!$BA$21,"Q4","Q5")))),IF('PIM Ranges'!$AK16='PIM Ranges'!$AW$22,IF($AC16&lt;'PIM Ranges'!$AX$22,"Q1",IF($AC16&lt;'PIM Ranges'!$AY$22,"Q2",IF($AC16&lt;'PIM Ranges'!$AZ$22,"Q3",IF($AC16&lt;'PIM Ranges'!$BA$22,"Q4","Q5")))),IF('PIM Ranges'!$AK16='PIM Ranges'!$AW$23,IF($AC16&lt;'PIM Ranges'!$AX$23,"Q1",IF($AC16&lt;'PIM Ranges'!$AY$23,"Q2",IF($AC16&lt;'PIM Ranges'!$AZ$23,"Q3",IF($AC16&lt;'PIM Ranges'!$BA$23,"Q4","Q5")))),IF('PIM Ranges'!$AK16='PIM Ranges'!$AW$24,IF($AC16&lt;'PIM Ranges'!$AX$24,"Q1",IF($AC16&lt;'PIM Ranges'!$AY$24,"Q2",IF($AC16&lt;'PIM Ranges'!$AZ$24,"Q3",IF($AC16&lt;'PIM Ranges'!$BA$24,"Q4","Q5")))),IF('PIM Ranges'!$AK16='PIM Ranges'!$AW$25,IF($AC16&lt;'PIM Ranges'!$AX$25,"Q1",IF($AC16&lt;'PIM Ranges'!$AY$25,"Q2",IF($AC16&lt;'PIM Ranges'!$AZ$25,"Q3",IF($AC16&lt;'PIM Ranges'!$BA$25,"Q4","Q5")))),IF('PIM Ranges'!$AK16='PIM Ranges'!$AW$26,IF($AC16&lt;'PIM Ranges'!$AX$26,"Q1",IF($AC16&lt;'PIM Ranges'!$AY$26,"Q2",IF($AC16&lt;'PIM Ranges'!$AZ$26,"Q3",IF($AC16&lt;'PIM Ranges'!$BA$26,"Q4","Q5")))),IF('PIM Ranges'!$AK16='PIM Ranges'!$AW$27,IF($AC16&lt;'PIM Ranges'!$AX$27,"Q1",IF($AC16&lt;'PIM Ranges'!$AY$27,"Q2",IF($AC16&lt;'PIM Ranges'!$AZ$27,"Q3",IF($AC16&lt;'PIM Ranges'!$BA$27,"Q4","Q5")))),IF('PIM Ranges'!$AK16='PIM Ranges'!$AW$28,IF($AC16&lt;'PIM Ranges'!$AX$28,"Q1",IF($AC16&lt;'PIM Ranges'!$AY$28,"Q2",IF($AC16&lt;'PIM Ranges'!$AZ$28,"Q3",IF($AC16&lt;'PIM Ranges'!$BA$28,"Q4","Q5")))),IF('PIM Ranges'!$AK16='PIM Ranges'!$AW$29,IF($AC16&lt;'PIM Ranges'!$AX$29,"Q1",IF($AC16&lt;'PIM Ranges'!$AY$29,"Q2",IF($AC16&lt;'PIM Ranges'!$AZ$29,"Q3",IF($AC16&lt;'PIM Ranges'!$BA$29,"Q4","Q5")))),IF('PIM Ranges'!$AK16='PIM Ranges'!$AW$30,IF($AC16&lt;'PIM Ranges'!$AX$30,"Q1",IF($AC16&lt;'PIM Ranges'!$AY$30,"Q2",IF($AC16&lt;'PIM Ranges'!$AZ$30,"Q3",IF($AC16&lt;'PIM Ranges'!$BA$30,"Q4","Q5")))),IF('PIM Ranges'!$AK16='PIM Ranges'!$AW$31,IF($AC16&lt;'PIM Ranges'!$AX$31,"Q1",IF($AC16&lt;'PIM Ranges'!$AY$31,"Q2",IF($AC16&lt;'PIM Ranges'!$AZ$31,"Q3",IF($AC16&lt;'PIM Ranges'!$BA$31,"Q4","Q5")))),IF('PIM Ranges'!$AK16='PIM Ranges'!$AW$32,IF($AC16&lt;'PIM Ranges'!$AX$32,"Q1",IF($AC16&lt;'PIM Ranges'!$AY$32,"Q2",IF($AC16&lt;'PIM Ranges'!$AZ$32,"Q3",IF($AC16&lt;'PIM Ranges'!$BA$32,"Q4","Q5"))))))))))))))))))))))))))</f>
        <v>Q1</v>
      </c>
      <c r="AH16" s="404">
        <f>VLOOKUP($AB16&amp;$AG16,'IMargin Quartiles'!$A:$F,6,FALSE)</f>
        <v>0.18</v>
      </c>
      <c r="AI16" s="404"/>
      <c r="AJ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K16" s="404" t="e">
        <f>VLOOKUP($AB16&amp;$AJ16,'IMargin Quartiles'!$A:$F,6,FALSE)</f>
        <v>#DIV/0!</v>
      </c>
      <c r="AL16">
        <f>'PIM Model'!C14</f>
        <v>0</v>
      </c>
      <c r="AM16" s="404"/>
      <c r="AN16" s="404"/>
      <c r="AO16" s="404" t="e">
        <f t="shared" si="19"/>
        <v>#DIV/0!</v>
      </c>
      <c r="AP16" s="404"/>
      <c r="AQ16" s="404"/>
      <c r="AR16" s="111">
        <v>7</v>
      </c>
      <c r="AS16">
        <f>IFERROR(VLOOKUP(AU$5,'Basket Composition'!$A$3:$W$30,'Multi-Customer'!$AR16,FALSE),0)</f>
        <v>0</v>
      </c>
      <c r="AT16" s="105" t="s">
        <v>100</v>
      </c>
      <c r="AU16" s="100">
        <f>IFERROR(IF($AU$2="Enter Spend&gt;&gt;&gt;",$AU$3*AS16,SUMIFS('Existing Customers'!$Q:$Q,'Existing Customers'!$H:$H,'Multi-Customer'!$AT16,'Existing Customers'!$A:$A,'Multi-Customer'!$AU$1)*$AU$4),0)</f>
        <v>0</v>
      </c>
      <c r="AV16" s="92">
        <f>IFERROR(IF($AU$2="Enter Spend&gt;&gt;&gt;",'Multi-Customer'!AU16/VLOOKUP($AU$5,'Basket Composition'!$A$34:$W$61,'Multi-Customer'!$AR16,FALSE),SUMIFS('Existing Customers'!$N:$N,'Existing Customers'!$H:$H,'Multi-Customer'!$AT16,'Existing Customers'!$A:$A,'Multi-Customer'!$AU$1)*$AU$4),0)</f>
        <v>0</v>
      </c>
      <c r="AW16" s="92">
        <f>IFERROR(IF($AU$2="Enter Spend&gt;&gt;&gt;",AV16*$AU$8,SUMIFS('Existing Customers'!$O:$O,'Existing Customers'!$H:$H,'Multi-Customer'!$AT16,'Existing Customers'!$A:$A,'Multi-Customer'!AU$1)*$AU$4),0)</f>
        <v>0</v>
      </c>
      <c r="AX16" s="92">
        <f>IFERROR(IF($AU$2="Enter Spend&gt;&gt;&gt;",'Multi-Customer'!AU16/VLOOKUP($AU$5,'Basket Composition'!$A$65:$W$92,'Multi-Customer'!$AR16,FALSE),SUMIFS('Existing Customers'!$P:$P,'Existing Customers'!$H:$H,'Multi-Customer'!$AT16,'Existing Customers'!$A:$A,'Multi-Customer'!$AU$1)*$AU$4),0)</f>
        <v>0</v>
      </c>
      <c r="AY16" s="117">
        <f>IFERROR(IF($AU$2="Enter Spend&gt;&gt;&gt;","N/A",SUMIFS('Existing Customers'!$V:$V,'Existing Customers'!$H:$H,'Multi-Customer'!$AT16,'Existing Customers'!$A:$A,'Multi-Customer'!AU$1)*$AU$4),0)</f>
        <v>0</v>
      </c>
      <c r="AZ16" s="101">
        <f>IFERROR(IF($AU$2="Enter Spend&gt;&gt;&gt;","N/A",SUMIFS('Existing Customers'!$R:$R,'Existing Customers'!$H:$H,'Multi-Customer'!$AT16,'Existing Customers'!$A:$A,'Multi-Customer'!AU$1)*$AU$4),0)</f>
        <v>0</v>
      </c>
      <c r="BA16" s="132"/>
      <c r="BB16">
        <f>IFERROR(VLOOKUP(BD$5,'Basket Composition'!$A$3:$W$30,'Multi-Customer'!$AR16,FALSE),0)</f>
        <v>0</v>
      </c>
      <c r="BC16" s="105" t="s">
        <v>100</v>
      </c>
      <c r="BD16" s="100">
        <f>IFERROR(IF($BD$2="Enter Spend&gt;&gt;&gt;",$BD$3*BB16,SUMIFS('Existing Customers'!$Q:$Q,'Existing Customers'!$H:$H,'Multi-Customer'!$AT16,'Existing Customers'!$A:$A,'Multi-Customer'!$BD$1)*$BD$4),0)</f>
        <v>0</v>
      </c>
      <c r="BE16" s="92">
        <f>IFERROR(IF($BD$2="Enter Spend&gt;&gt;&gt;",'Multi-Customer'!BD16/VLOOKUP($BD$5,'Basket Composition'!$A$34:$W$61,'Multi-Customer'!$AR16,FALSE),SUMIFS('Existing Customers'!$N:$N,'Existing Customers'!$H:$H,'Multi-Customer'!$AT16,'Existing Customers'!$A:$A,'Multi-Customer'!$BD$1)*$BD$4),0)</f>
        <v>0</v>
      </c>
      <c r="BF16" s="92">
        <f>IFERROR(IF($BD$2="Enter Spend&gt;&gt;&gt;",BE16*$BD$8,SUMIFS('Existing Customers'!$O:$O,'Existing Customers'!$H:$H,'Multi-Customer'!$AT16,'Existing Customers'!$A:$A,'Multi-Customer'!BD$1)*$BD$4),0)</f>
        <v>0</v>
      </c>
      <c r="BG16" s="92">
        <f>IFERROR(IF($BD$2="Enter Spend&gt;&gt;&gt;",'Multi-Customer'!BD16/VLOOKUP($BD$5,'Basket Composition'!$A$65:$W$92,'Multi-Customer'!$AR16,FALSE),SUMIFS('Existing Customers'!$P:$P,'Existing Customers'!$H:$H,'Multi-Customer'!$AT16,'Existing Customers'!$A:$A,'Multi-Customer'!$BD$1)*$BD$4),0)</f>
        <v>0</v>
      </c>
      <c r="BH16" s="101">
        <f>IFERROR(IF($BD$2="Enter Spend&gt;&gt;&gt;","N/A",SUMIFS('Existing Customers'!$V:$V,'Existing Customers'!$H:$H,'Multi-Customer'!$AT16,'Existing Customers'!$A:$A,'Multi-Customer'!BD$1)*$BD$4),0)</f>
        <v>0</v>
      </c>
      <c r="BI16" s="101">
        <f>IFERROR(IF($BD$2="Enter Spend&gt;&gt;&gt;","N/A",SUMIFS('Existing Customers'!$R:$R,'Existing Customers'!$H:$H,'Multi-Customer'!$AT16,'Existing Customers'!$A:$A,'Multi-Customer'!BD$1)*$BD$4),0)</f>
        <v>0</v>
      </c>
      <c r="BJ16" s="132"/>
      <c r="BK16">
        <f>IFERROR(VLOOKUP(BM$5,'Basket Composition'!$A$3:$W$30,'Multi-Customer'!$AR16,FALSE),0)</f>
        <v>0</v>
      </c>
      <c r="BL16" s="105" t="s">
        <v>100</v>
      </c>
      <c r="BM16" s="100">
        <f>IFERROR(IF($BM$2="Enter Spend&gt;&gt;&gt;",$BM$3*BK16,SUMIFS('Existing Customers'!$Q:$Q,'Existing Customers'!$H:$H,'Multi-Customer'!$AT16,'Existing Customers'!$A:$A,'Multi-Customer'!$BM$1)*$BM$4),0)</f>
        <v>0</v>
      </c>
      <c r="BN16" s="92">
        <f>IFERROR(IF($BM$2="Enter Spend&gt;&gt;&gt;",'Multi-Customer'!BM16/VLOOKUP($BM$5,'Basket Composition'!$A$34:$W$61,'Multi-Customer'!$AR16,FALSE),SUMIFS('Existing Customers'!$N:$N,'Existing Customers'!$H:$H,'Multi-Customer'!$AT16,'Existing Customers'!$A:$A,'Multi-Customer'!$BM$1)*$BM$4),0)</f>
        <v>0</v>
      </c>
      <c r="BO16" s="92">
        <f>IFERROR(IF($BM$2="Enter Spend&gt;&gt;&gt;",BN16*$BM$8,SUMIFS('Existing Customers'!$O:$O,'Existing Customers'!$H:$H,'Multi-Customer'!$AT16,'Existing Customers'!$A:$A,'Multi-Customer'!BM$1)*$BM$4),0)</f>
        <v>0</v>
      </c>
      <c r="BP16" s="92">
        <f>IFERROR(IF($BM$2="Enter Spend&gt;&gt;&gt;",'Multi-Customer'!BM16/VLOOKUP($BM$5,'Basket Composition'!$A$65:$W$92,'Multi-Customer'!$AR16,FALSE),SUMIFS('Existing Customers'!$P:$P,'Existing Customers'!$H:$H,'Multi-Customer'!$AT16,'Existing Customers'!$A:$A,'Multi-Customer'!$BM$1)*$BM$4),0)</f>
        <v>0</v>
      </c>
      <c r="BQ16" s="101">
        <f>IFERROR(IF($BM$2="Enter Spend&gt;&gt;&gt;","N/A",SUMIFS('Existing Customers'!$V:$V,'Existing Customers'!$H:$H,'Multi-Customer'!$AT16,'Existing Customers'!$A:$A,'Multi-Customer'!BM$1)*$BM$4),0)</f>
        <v>0</v>
      </c>
      <c r="BR16" s="101">
        <f>IFERROR(IF($BM$2="Enter Spend&gt;&gt;&gt;","N/A",SUMIFS('Existing Customers'!$R:$R,'Existing Customers'!$H:$H,'Multi-Customer'!$AT16,'Existing Customers'!$A:$A,'Multi-Customer'!BM$1)*$BM$4),0)</f>
        <v>0</v>
      </c>
      <c r="BS16" s="132"/>
      <c r="BT16">
        <f>IFERROR(VLOOKUP(BV$5,'Basket Composition'!$A$3:$W$30,'Multi-Customer'!$AR16,FALSE),0)</f>
        <v>0</v>
      </c>
      <c r="BU16" s="105" t="s">
        <v>100</v>
      </c>
      <c r="BV16" s="100">
        <f>IFERROR(IF($BV$2="Enter Spend&gt;&gt;&gt;",$BV$3*BT16,SUMIFS('Existing Customers'!$Q:$Q,'Existing Customers'!$H:$H,'Multi-Customer'!$AT16,'Existing Customers'!$A:$A,'Multi-Customer'!$BV$1)*$BV$4),0)</f>
        <v>0</v>
      </c>
      <c r="BW16" s="92">
        <f>IFERROR(IF($BV$2="Enter Spend&gt;&gt;&gt;",'Multi-Customer'!BV16/VLOOKUP($BV$5,'Basket Composition'!$A$34:$W$61,'Multi-Customer'!$AR16,FALSE),SUMIFS('Existing Customers'!$N:$N,'Existing Customers'!$H:$H,'Multi-Customer'!$AT16,'Existing Customers'!$A:$A,'Multi-Customer'!$BV$1)*$BV$4),0)</f>
        <v>0</v>
      </c>
      <c r="BX16" s="92">
        <f>IFERROR(IF($BV$2="Enter Spend&gt;&gt;&gt;",BW16*$BV$8,SUMIFS('Existing Customers'!$O:$O,'Existing Customers'!$H:$H,'Multi-Customer'!$AT16,'Existing Customers'!$A:$A,'Multi-Customer'!BV$1)*$BV$4),0)</f>
        <v>0</v>
      </c>
      <c r="BY16" s="92">
        <f>IFERROR(IF($BV$2="Enter Spend&gt;&gt;&gt;",'Multi-Customer'!BV16/VLOOKUP($BV$5,'Basket Composition'!$A$65:$W$92,'Multi-Customer'!$AR16,FALSE),SUMIFS('Existing Customers'!$P:$P,'Existing Customers'!$H:$H,'Multi-Customer'!$AT16,'Existing Customers'!$A:$A,'Multi-Customer'!$BV$1)*$BV$4),0)</f>
        <v>0</v>
      </c>
      <c r="BZ16" s="101">
        <f>IFERROR(IF($BV$2="Enter Spend&gt;&gt;&gt;","N/A",SUMIFS('Existing Customers'!$V:$V,'Existing Customers'!$H:$H,'Multi-Customer'!$AT16,'Existing Customers'!$A:$A,'Multi-Customer'!BV$1)*$BV$4),0)</f>
        <v>0</v>
      </c>
      <c r="CA16" s="101">
        <f>IFERROR(IF($BV$2="Enter Spend&gt;&gt;&gt;","N/A",SUMIFS('Existing Customers'!$R:$R,'Existing Customers'!$H:$H,'Multi-Customer'!$AT16,'Existing Customers'!$A:$A,'Multi-Customer'!BV$1)*$BV$4),0)</f>
        <v>0</v>
      </c>
      <c r="CB16" s="132"/>
      <c r="CC16">
        <f>IFERROR(VLOOKUP(CE$5,'Basket Composition'!$A$3:$W$30,'Multi-Customer'!$AR16,FALSE),0)</f>
        <v>0</v>
      </c>
      <c r="CD16" s="105" t="s">
        <v>100</v>
      </c>
      <c r="CE16" s="100">
        <f>IFERROR(IF($CE$2="Enter Spend&gt;&gt;&gt;",$CE$3*CC16,SUMIFS('Existing Customers'!$Q:$Q,'Existing Customers'!$H:$H,'Multi-Customer'!$AT16,'Existing Customers'!$A:$A,'Multi-Customer'!$CE$1)*$CE$4),0)</f>
        <v>0</v>
      </c>
      <c r="CF16" s="92">
        <f>IFERROR(IF($CE$2="Enter Spend&gt;&gt;&gt;",'Multi-Customer'!CE16/VLOOKUP($CE$5,'Basket Composition'!$A$34:$W$61,'Multi-Customer'!$AR16,FALSE),SUMIFS('Existing Customers'!$N:$N,'Existing Customers'!$H:$H,'Multi-Customer'!$AT16,'Existing Customers'!$A:$A,'Multi-Customer'!$CE$1)*$CE$4),0)</f>
        <v>0</v>
      </c>
      <c r="CG16" s="92">
        <f>IFERROR(IF($CE$2="Enter Spend&gt;&gt;&gt;",CF16*$CE$8,SUMIFS('Existing Customers'!$O:$O,'Existing Customers'!$H:$H,'Multi-Customer'!$AT16,'Existing Customers'!$A:$A,'Multi-Customer'!CE$1)*$CE$4),0)</f>
        <v>0</v>
      </c>
      <c r="CH16" s="92">
        <f>IFERROR(IF($CE$2="Enter Spend&gt;&gt;&gt;",'Multi-Customer'!CE16/VLOOKUP($CE$5,'Basket Composition'!$A$65:$W$92,'Multi-Customer'!$AR16,FALSE),SUMIFS('Existing Customers'!$P:$P,'Existing Customers'!$H:$H,'Multi-Customer'!$AT16,'Existing Customers'!$A:$A,'Multi-Customer'!$CE$1)*$CE$4),0)</f>
        <v>0</v>
      </c>
      <c r="CI16" s="101">
        <f>IFERROR(IF($CE$2="Enter Spend&gt;&gt;&gt;","N/A",SUMIFS('Existing Customers'!$V:$V,'Existing Customers'!$H:$H,'Multi-Customer'!$AT16,'Existing Customers'!$A:$A,'Multi-Customer'!CE$1)*$CE$4),0)</f>
        <v>0</v>
      </c>
      <c r="CJ16" s="101">
        <f>IFERROR(IF($CE$2="Enter Spend&gt;&gt;&gt;","N/A",SUMIFS('Existing Customers'!$R:$R,'Existing Customers'!$H:$H,'Multi-Customer'!$AT16,'Existing Customers'!$A:$A,'Multi-Customer'!CE$1)*$CE$4),0)</f>
        <v>0</v>
      </c>
      <c r="CK16" s="132"/>
      <c r="CL16">
        <f>IFERROR(VLOOKUP(CN$5,'Basket Composition'!$A$3:$W$30,'Multi-Customer'!$AR16,FALSE),0)</f>
        <v>0</v>
      </c>
      <c r="CM16" s="105" t="s">
        <v>100</v>
      </c>
      <c r="CN16" s="100">
        <f>IFERROR(IF($CN$2="Enter Spend&gt;&gt;&gt;",$CN$3*CL16,SUMIFS('Existing Customers'!$Q:$Q,'Existing Customers'!$H:$H,'Multi-Customer'!$AT16,'Existing Customers'!$A:$A,'Multi-Customer'!$CN$1)*$CN$4),0)</f>
        <v>0</v>
      </c>
      <c r="CO16" s="92">
        <f>IFERROR(IF($CN$2="Enter Spend&gt;&gt;&gt;",'Multi-Customer'!CN16/VLOOKUP($CN$5,'Basket Composition'!$A$34:$W$61,'Multi-Customer'!$AR16,FALSE),SUMIFS('Existing Customers'!$N:$N,'Existing Customers'!$H:$H,'Multi-Customer'!$AT16,'Existing Customers'!$A:$A,'Multi-Customer'!$CN$1)*$CN$4),0)</f>
        <v>0</v>
      </c>
      <c r="CP16" s="92">
        <f>IFERROR(IF($CN$2="Enter Spend&gt;&gt;&gt;",CO16*$CN$8,SUMIFS('Existing Customers'!$O:$O,'Existing Customers'!$H:$H,'Multi-Customer'!$AT16,'Existing Customers'!$A:$A,'Multi-Customer'!CN$1)*$CN$4),0)</f>
        <v>0</v>
      </c>
      <c r="CQ16" s="92">
        <f>IFERROR(IF($CN$2="Enter Spend&gt;&gt;&gt;",'Multi-Customer'!CN16/VLOOKUP($CN$5,'Basket Composition'!$A$65:$W$92,'Multi-Customer'!$AR16,FALSE),SUMIFS('Existing Customers'!$P:$P,'Existing Customers'!$H:$H,'Multi-Customer'!$AT16,'Existing Customers'!$A:$A,'Multi-Customer'!$CN$1)*$CN$4),0)</f>
        <v>0</v>
      </c>
      <c r="CR16" s="101">
        <f>IFERROR(IF($CN$2="Enter Spend&gt;&gt;&gt;","N/A",SUMIFS('Existing Customers'!$V:$V,'Existing Customers'!$H:$H,'Multi-Customer'!$AT16,'Existing Customers'!$A:$A,'Multi-Customer'!CN$1)*$CN$4),0)</f>
        <v>0</v>
      </c>
      <c r="CS16" s="101">
        <f>IFERROR(IF($CN$2="Enter Spend&gt;&gt;&gt;","N/A",SUMIFS('Existing Customers'!$R:$R,'Existing Customers'!$H:$H,'Multi-Customer'!$AT16,'Existing Customers'!$A:$A,'Multi-Customer'!CN$1)*$CN$4),0)</f>
        <v>0</v>
      </c>
      <c r="CT16" s="132"/>
      <c r="CU16">
        <f>IFERROR(VLOOKUP(CW$5,'Basket Composition'!$A$3:$W$30,'Multi-Customer'!$AR16,FALSE),0)</f>
        <v>0</v>
      </c>
      <c r="CV16" s="105" t="s">
        <v>100</v>
      </c>
      <c r="CW16" s="100">
        <f>IFERROR(IF($CW$2="Enter Spend&gt;&gt;&gt;",$CW$3*CU16,SUMIFS('Existing Customers'!$Q:$Q,'Existing Customers'!$H:$H,'Multi-Customer'!$AT16,'Existing Customers'!$A:$A,'Multi-Customer'!$CW$1)*$CW$4),0)</f>
        <v>0</v>
      </c>
      <c r="CX16" s="92">
        <f>IFERROR(IF($CW$2="Enter Spend&gt;&gt;&gt;",'Multi-Customer'!CW16/VLOOKUP($CW$5,'Basket Composition'!$A$34:$W$61,'Multi-Customer'!$AR16,FALSE),SUMIFS('Existing Customers'!$N:$N,'Existing Customers'!$H:$H,'Multi-Customer'!$AT16,'Existing Customers'!$A:$A,'Multi-Customer'!$CW$1)*$CW$4),0)</f>
        <v>0</v>
      </c>
      <c r="CY16" s="92">
        <f>IFERROR(IF($CW$2="Enter Spend&gt;&gt;&gt;",CX16*$CW$8,SUMIFS('Existing Customers'!$O:$O,'Existing Customers'!$H:$H,'Multi-Customer'!$AT16,'Existing Customers'!$A:$A,'Multi-Customer'!CW$1)*$CW$4),0)</f>
        <v>0</v>
      </c>
      <c r="CZ16" s="92">
        <f>IFERROR(IF($CW$2="Enter Spend&gt;&gt;&gt;",'Multi-Customer'!CW16/VLOOKUP($CW$5,'Basket Composition'!$A$65:$W$92,'Multi-Customer'!$AR16,FALSE),SUMIFS('Existing Customers'!$P:$P,'Existing Customers'!$H:$H,'Multi-Customer'!$AT16,'Existing Customers'!$A:$A,'Multi-Customer'!$CW$1)*$CW$4),0)</f>
        <v>0</v>
      </c>
      <c r="DA16" s="101">
        <f>IFERROR(IF($CW$2="Enter Spend&gt;&gt;&gt;","N/A",SUMIFS('Existing Customers'!$V:$V,'Existing Customers'!$H:$H,'Multi-Customer'!$AT16,'Existing Customers'!$A:$A,'Multi-Customer'!CW$1)*$CW$4),0)</f>
        <v>0</v>
      </c>
      <c r="DB16" s="101">
        <f>IFERROR(IF($CW$2="Enter Spend&gt;&gt;&gt;","N/A",SUMIFS('Existing Customers'!$R:$R,'Existing Customers'!$H:$H,'Multi-Customer'!$AT16,'Existing Customers'!$A:$A,'Multi-Customer'!CW$1)*$CW$4),0)</f>
        <v>0</v>
      </c>
      <c r="DC16" s="132"/>
      <c r="DD16">
        <f>IFERROR(VLOOKUP(DF$5,'Basket Composition'!$A$3:$W$30,'Multi-Customer'!$AR16,FALSE),0)</f>
        <v>0</v>
      </c>
      <c r="DE16" s="105" t="s">
        <v>100</v>
      </c>
      <c r="DF16" s="100">
        <f>IFERROR(IF($DF$2="Enter Spend&gt;&gt;&gt;",$DF$3*DD16,SUMIFS('Existing Customers'!$Q:$Q,'Existing Customers'!$H:$H,'Multi-Customer'!$AT16,'Existing Customers'!$A:$A,'Multi-Customer'!$DF$1)*$DF$4),0)</f>
        <v>0</v>
      </c>
      <c r="DG16" s="92">
        <f>IFERROR(IF($DF$2="Enter Spend&gt;&gt;&gt;",'Multi-Customer'!DF16/VLOOKUP($DF$5,'Basket Composition'!$A$34:$W$61,'Multi-Customer'!$AR16,FALSE),SUMIFS('Existing Customers'!$N:$N,'Existing Customers'!$H:$H,'Multi-Customer'!$AT16,'Existing Customers'!$A:$A,'Multi-Customer'!$DF$1)*$DF$4),0)</f>
        <v>0</v>
      </c>
      <c r="DH16" s="92">
        <f>IFERROR(IF($DF$2="Enter Spend&gt;&gt;&gt;",DG16*$DF$8,SUMIFS('Existing Customers'!$O:$O,'Existing Customers'!$H:$H,'Multi-Customer'!$AT16,'Existing Customers'!$A:$A,'Multi-Customer'!DF$1)*$DF$4),0)</f>
        <v>0</v>
      </c>
      <c r="DI16" s="92">
        <f>IFERROR(IF($DF$2="Enter Spend&gt;&gt;&gt;",'Multi-Customer'!DF16/VLOOKUP($DF$5,'Basket Composition'!$A$65:$W$92,'Multi-Customer'!$AR16,FALSE),SUMIFS('Existing Customers'!$P:$P,'Existing Customers'!$H:$H,'Multi-Customer'!$AT16,'Existing Customers'!$A:$A,'Multi-Customer'!$DF$1)*$DF$4),0)</f>
        <v>0</v>
      </c>
      <c r="DJ16" s="101">
        <f>IFERROR(IF($DF$2="Enter Spend&gt;&gt;&gt;","N/A",SUMIFS('Existing Customers'!$V:$V,'Existing Customers'!$H:$H,'Multi-Customer'!$AT16,'Existing Customers'!$A:$A,'Multi-Customer'!DF$1)*$DF$4),0)</f>
        <v>0</v>
      </c>
      <c r="DK16" s="101">
        <f>IFERROR(IF($DF$2="Enter Spend&gt;&gt;&gt;","N/A",SUMIFS('Existing Customers'!$R:$R,'Existing Customers'!$H:$H,'Multi-Customer'!$AT16,'Existing Customers'!$A:$A,'Multi-Customer'!DF$1)*$DF$4),0)</f>
        <v>0</v>
      </c>
      <c r="DL16" s="132"/>
      <c r="DM16">
        <f>IFERROR(VLOOKUP(DO$5,'Basket Composition'!$A$3:$W$30,'Multi-Customer'!$AR16,FALSE),0)</f>
        <v>0</v>
      </c>
      <c r="DN16" s="105" t="s">
        <v>100</v>
      </c>
      <c r="DO16" s="100">
        <f>IFERROR(IF($DO$2="Enter Spend&gt;&gt;&gt;",$DO$3*DM16,SUMIFS('Existing Customers'!$Q:$Q,'Existing Customers'!$H:$H,'Multi-Customer'!$AT16,'Existing Customers'!$A:$A,'Multi-Customer'!$DO$1)*$DO$4),0)</f>
        <v>0</v>
      </c>
      <c r="DP16" s="92">
        <f>IFERROR(IF($DO$2="Enter Spend&gt;&gt;&gt;",'Multi-Customer'!DO16/VLOOKUP($DO$5,'Basket Composition'!$A$34:$W$61,'Multi-Customer'!$AR16,FALSE),SUMIFS('Existing Customers'!$N:$N,'Existing Customers'!$H:$H,'Multi-Customer'!$AT16,'Existing Customers'!$A:$A,'Multi-Customer'!$DO$1)*$DO$4),0)</f>
        <v>0</v>
      </c>
      <c r="DQ16" s="92">
        <f>IFERROR(IF($DO$2="Enter Spend&gt;&gt;&gt;",DP16*$DO$8,SUMIFS('Existing Customers'!$O:$O,'Existing Customers'!$H:$H,'Multi-Customer'!$AT16,'Existing Customers'!$A:$A,'Multi-Customer'!DO$1)*$DO$4),0)</f>
        <v>0</v>
      </c>
      <c r="DR16" s="92">
        <f>IFERROR(IF($DO$2="Enter Spend&gt;&gt;&gt;",'Multi-Customer'!DO16/VLOOKUP($DO$5,'Basket Composition'!$A$65:$W$92,'Multi-Customer'!$AR16,FALSE),SUMIFS('Existing Customers'!$P:$P,'Existing Customers'!$H:$H,'Multi-Customer'!$AT16,'Existing Customers'!$A:$A,'Multi-Customer'!$DO$1)*$DO$4),0)</f>
        <v>0</v>
      </c>
      <c r="DS16" s="117">
        <f>IFERROR(IF($DO$2="Enter Spend&gt;&gt;&gt;","N/A",SUMIFS('Existing Customers'!$V:$V,'Existing Customers'!$H:$H,'Multi-Customer'!$AT16,'Existing Customers'!$A:$A,'Multi-Customer'!DO$1)*$DO$4),0)</f>
        <v>0</v>
      </c>
      <c r="DT16" s="101">
        <f>IFERROR(IF($DO$2="Enter Spend&gt;&gt;&gt;","N/A",SUMIFS('Existing Customers'!$R:$R,'Existing Customers'!$H:$H,'Multi-Customer'!$AT16,'Existing Customers'!$A:$A,'Multi-Customer'!DO$1)*$DO$4),0)</f>
        <v>0</v>
      </c>
      <c r="DU16" s="132"/>
      <c r="DV16">
        <f>IFERROR(VLOOKUP(DX$5,'Basket Composition'!$A$3:$W$30,'Multi-Customer'!$AR16,FALSE),0)</f>
        <v>0</v>
      </c>
      <c r="DW16" s="105" t="s">
        <v>100</v>
      </c>
      <c r="DX16" s="100">
        <f>IFERROR(IF($DX$2="Enter Spend&gt;&gt;&gt;",$DX$3*DV16,SUMIFS('Existing Customers'!$Q:$Q,'Existing Customers'!$H:$H,'Multi-Customer'!$AT16,'Existing Customers'!$A:$A,'Multi-Customer'!$DX$1)*$DX$4),0)</f>
        <v>0</v>
      </c>
      <c r="DY16" s="92">
        <f>IFERROR(IF($DX$2="Enter Spend&gt;&gt;&gt;",'Multi-Customer'!DX16/VLOOKUP($DX$5,'Basket Composition'!$A$34:$W$61,'Multi-Customer'!$AR16,FALSE),SUMIFS('Existing Customers'!$N:$N,'Existing Customers'!$H:$H,'Multi-Customer'!$AT16,'Existing Customers'!$A:$A,'Multi-Customer'!$DX$1)*$DX$4),0)</f>
        <v>0</v>
      </c>
      <c r="DZ16" s="92">
        <f>IFERROR(IF($DX$2="Enter Spend&gt;&gt;&gt;",DY16*$DX$8,SUMIFS('Existing Customers'!$O:$O,'Existing Customers'!$H:$H,'Multi-Customer'!$AT16,'Existing Customers'!$A:$A,'Multi-Customer'!DX$1)*$DX$4),0)</f>
        <v>0</v>
      </c>
      <c r="EA16" s="92">
        <f>IFERROR(IF($DX$2="Enter Spend&gt;&gt;&gt;",'Multi-Customer'!DX16/VLOOKUP($DX$5,'Basket Composition'!$A$65:$W$92,'Multi-Customer'!$AR16,FALSE),SUMIFS('Existing Customers'!$P:$P,'Existing Customers'!$H:$H,'Multi-Customer'!$AT16,'Existing Customers'!$A:$A,'Multi-Customer'!$DX$1)*$DX$4),0)</f>
        <v>0</v>
      </c>
      <c r="EB16" s="117">
        <f>IFERROR(IF($DX$2="Enter Spend&gt;&gt;&gt;","N/A",SUMIFS('Existing Customers'!$V:$V,'Existing Customers'!$H:$H,'Multi-Customer'!$AT16,'Existing Customers'!$A:$A,'Multi-Customer'!DX$1)*$DX$4),0)</f>
        <v>0</v>
      </c>
      <c r="EC16" s="101">
        <f>IFERROR(IF($DX$2="Enter Spend&gt;&gt;&gt;","N/A",SUMIFS('Existing Customers'!$R:$R,'Existing Customers'!$H:$H,'Multi-Customer'!$AT16,'Existing Customers'!$A:$A,'Multi-Customer'!DX$1)*$DX$4),0)</f>
        <v>0</v>
      </c>
      <c r="EE16" s="105" t="s">
        <v>100</v>
      </c>
      <c r="EF16" s="100"/>
      <c r="EG16" s="92"/>
      <c r="EH16" s="92"/>
      <c r="EI16" s="92"/>
      <c r="EJ16" s="117"/>
      <c r="EK16" s="101"/>
      <c r="EL16" s="132"/>
      <c r="EN16" s="105" t="s">
        <v>100</v>
      </c>
      <c r="EO16" s="100"/>
      <c r="EP16" s="92"/>
      <c r="EQ16" s="92"/>
      <c r="ER16" s="92"/>
      <c r="ES16" s="117"/>
      <c r="ET16" s="101"/>
    </row>
    <row r="17" spans="2:150" x14ac:dyDescent="0.25">
      <c r="B17" s="105" t="s">
        <v>104</v>
      </c>
      <c r="C17" s="487">
        <f t="shared" si="6"/>
        <v>0</v>
      </c>
      <c r="D17" s="504">
        <f t="shared" si="7"/>
        <v>0</v>
      </c>
      <c r="E17" s="504">
        <f t="shared" si="8"/>
        <v>0</v>
      </c>
      <c r="F17" s="504">
        <f t="shared" si="9"/>
        <v>0</v>
      </c>
      <c r="G17" s="505">
        <f t="shared" si="10"/>
        <v>0</v>
      </c>
      <c r="H17" s="507">
        <f t="shared" si="11"/>
        <v>0</v>
      </c>
      <c r="J17" t="str">
        <f>'PIM Model'!E15</f>
        <v>INCLUDE</v>
      </c>
      <c r="K17">
        <f t="shared" si="12"/>
        <v>0</v>
      </c>
      <c r="L17">
        <f t="shared" si="13"/>
        <v>0</v>
      </c>
      <c r="M17" s="105" t="s">
        <v>104</v>
      </c>
      <c r="N17" s="100">
        <f t="shared" si="14"/>
        <v>0</v>
      </c>
      <c r="O17" s="92">
        <f t="shared" si="0"/>
        <v>0</v>
      </c>
      <c r="P17" s="92">
        <f t="shared" si="1"/>
        <v>0</v>
      </c>
      <c r="Q17" s="92">
        <f t="shared" si="2"/>
        <v>0</v>
      </c>
      <c r="R17" s="117">
        <f t="shared" si="3"/>
        <v>0</v>
      </c>
      <c r="S17" s="120">
        <f t="shared" si="15"/>
        <v>0</v>
      </c>
      <c r="T17" s="404"/>
      <c r="U17" s="105" t="s">
        <v>104</v>
      </c>
      <c r="V17" s="491">
        <f t="shared" si="4"/>
        <v>0</v>
      </c>
      <c r="W17" s="492">
        <f t="shared" si="4"/>
        <v>0</v>
      </c>
      <c r="X17" s="492">
        <f t="shared" si="4"/>
        <v>0</v>
      </c>
      <c r="Y17" s="493">
        <f t="shared" si="16"/>
        <v>0</v>
      </c>
      <c r="Z17" s="494">
        <f t="shared" si="17"/>
        <v>0</v>
      </c>
      <c r="AA17" s="404"/>
      <c r="AB17" s="105" t="s">
        <v>104</v>
      </c>
      <c r="AC17" s="491">
        <f t="shared" si="5"/>
        <v>0</v>
      </c>
      <c r="AD17" s="488">
        <f t="shared" si="18"/>
        <v>0</v>
      </c>
      <c r="AE17" s="494"/>
      <c r="AF17" s="404"/>
      <c r="AG17" s="1" t="str">
        <f>IF('PIM Ranges'!$AK17='PIM Ranges'!$AW$11,IF($AC17&lt;'PIM Ranges'!$AX$11,"Q1",IF($AC17&lt;'PIM Ranges'!$AY$11,"Q2",IF($AC17&lt;'PIM Ranges'!$AZ$11,"Q3",IF($AC17&lt;'PIM Ranges'!$BA$11,"Q4","Q5")))),IF('PIM Ranges'!$AK17='PIM Ranges'!$AW$12,IF($AC17&lt;'PIM Ranges'!$AX$12,"Q1",IF($AC17&lt;'PIM Ranges'!$AY$12,"Q2",IF($AC17&lt;'PIM Ranges'!$AZ$12,"Q3",IF($AC17&lt;'PIM Ranges'!$BA$12,"Q4","Q5")))),IF('PIM Ranges'!$AK17='PIM Ranges'!$AW$13,IF($AC17&lt;'PIM Ranges'!$AX$13,"Q1",IF($AC17&lt;'PIM Ranges'!$AY$13,"Q2",IF($AC17&lt;'PIM Ranges'!$AZ$13,"Q3",IF($AC17&lt;'PIM Ranges'!$BA$13,"Q4","Q5")))),IF('PIM Ranges'!$AK17='PIM Ranges'!$AW$14,IF($AC17&lt;'PIM Ranges'!$AX$14,"Q1",IF($AC17&lt;'PIM Ranges'!$AY$14,"Q2",IF($AC17&lt;'PIM Ranges'!$AZ$14,"Q3",IF($AC17&lt;'PIM Ranges'!$BA$14,"Q4","Q5")))),IF('PIM Ranges'!$AK17='PIM Ranges'!$AW$15,IF($AC17&lt;'PIM Ranges'!$AX$15,"Q1",IF($AC17&lt;'PIM Ranges'!$AY$15,"Q2",IF($AC17&lt;'PIM Ranges'!$AZ$15,"Q3",IF($AC17&lt;'PIM Ranges'!$BA$15,"Q4","Q5")))),IF('PIM Ranges'!$AK17='PIM Ranges'!$AW$16,IF($AC17&lt;'PIM Ranges'!$AX$16,"Q1",IF($AC17&lt;'PIM Ranges'!$AY$16,"Q2",IF($AC17&lt;'PIM Ranges'!$AZ$16,"Q3",IF($AC17&lt;'PIM Ranges'!$BA$16,"Q4","Q5")))),IF('PIM Ranges'!$AK17='PIM Ranges'!$AW$17,IF($AC17&lt;'PIM Ranges'!$AX$17,"Q1",IF($AC17&lt;'PIM Ranges'!$AY$17,"Q2",IF($AC17&lt;'PIM Ranges'!$AZ$17,"Q3",IF($AC17&lt;'PIM Ranges'!$BA$17,"Q4","Q5")))),IF('PIM Ranges'!$AK17='PIM Ranges'!$AW$18,IF($AC17&lt;'PIM Ranges'!$AX$18,"Q1",IF($AC17&lt;'PIM Ranges'!$AY$18,"Q2",IF($AC17&lt;'PIM Ranges'!$AZ$18,"Q3",IF($AC17&lt;'PIM Ranges'!$BA$18,"Q4","Q5")))),IF('PIM Ranges'!$AK17='PIM Ranges'!$AW$19,IF($AC17&lt;'PIM Ranges'!$AX$19,"Q1",IF($AC17&lt;'PIM Ranges'!$AY$19,"Q2",IF($AC17&lt;'PIM Ranges'!$AZ$19,"Q3",IF($AC17&lt;'PIM Ranges'!$BA$19,"Q4","Q5")))),IF('PIM Ranges'!$AK17='PIM Ranges'!$AW$20,IF($AC17&lt;'PIM Ranges'!$AX$20,"Q1",IF($AC17&lt;'PIM Ranges'!$AY$20,"Q2",IF($AC17&lt;'PIM Ranges'!$AZ$20,"Q3",IF($AC17&lt;'PIM Ranges'!$BA$20,"Q4","Q5")))),IF('PIM Ranges'!$AK17='PIM Ranges'!$AW$21,IF($AC17&lt;'PIM Ranges'!$AX$21,"Q1",IF($AC17&lt;'PIM Ranges'!$AY$21,"Q2",IF($AC17&lt;'PIM Ranges'!$AZ$21,"Q3",IF($AC17&lt;'PIM Ranges'!$BA$21,"Q4","Q5")))),IF('PIM Ranges'!$AK17='PIM Ranges'!$AW$22,IF($AC17&lt;'PIM Ranges'!$AX$22,"Q1",IF($AC17&lt;'PIM Ranges'!$AY$22,"Q2",IF($AC17&lt;'PIM Ranges'!$AZ$22,"Q3",IF($AC17&lt;'PIM Ranges'!$BA$22,"Q4","Q5")))),IF('PIM Ranges'!$AK17='PIM Ranges'!$AW$23,IF($AC17&lt;'PIM Ranges'!$AX$23,"Q1",IF($AC17&lt;'PIM Ranges'!$AY$23,"Q2",IF($AC17&lt;'PIM Ranges'!$AZ$23,"Q3",IF($AC17&lt;'PIM Ranges'!$BA$23,"Q4","Q5")))),IF('PIM Ranges'!$AK17='PIM Ranges'!$AW$24,IF($AC17&lt;'PIM Ranges'!$AX$24,"Q1",IF($AC17&lt;'PIM Ranges'!$AY$24,"Q2",IF($AC17&lt;'PIM Ranges'!$AZ$24,"Q3",IF($AC17&lt;'PIM Ranges'!$BA$24,"Q4","Q5")))),IF('PIM Ranges'!$AK17='PIM Ranges'!$AW$25,IF($AC17&lt;'PIM Ranges'!$AX$25,"Q1",IF($AC17&lt;'PIM Ranges'!$AY$25,"Q2",IF($AC17&lt;'PIM Ranges'!$AZ$25,"Q3",IF($AC17&lt;'PIM Ranges'!$BA$25,"Q4","Q5")))),IF('PIM Ranges'!$AK17='PIM Ranges'!$AW$26,IF($AC17&lt;'PIM Ranges'!$AX$26,"Q1",IF($AC17&lt;'PIM Ranges'!$AY$26,"Q2",IF($AC17&lt;'PIM Ranges'!$AZ$26,"Q3",IF($AC17&lt;'PIM Ranges'!$BA$26,"Q4","Q5")))),IF('PIM Ranges'!$AK17='PIM Ranges'!$AW$27,IF($AC17&lt;'PIM Ranges'!$AX$27,"Q1",IF($AC17&lt;'PIM Ranges'!$AY$27,"Q2",IF($AC17&lt;'PIM Ranges'!$AZ$27,"Q3",IF($AC17&lt;'PIM Ranges'!$BA$27,"Q4","Q5")))),IF('PIM Ranges'!$AK17='PIM Ranges'!$AW$28,IF($AC17&lt;'PIM Ranges'!$AX$28,"Q1",IF($AC17&lt;'PIM Ranges'!$AY$28,"Q2",IF($AC17&lt;'PIM Ranges'!$AZ$28,"Q3",IF($AC17&lt;'PIM Ranges'!$BA$28,"Q4","Q5")))),IF('PIM Ranges'!$AK17='PIM Ranges'!$AW$29,IF($AC17&lt;'PIM Ranges'!$AX$29,"Q1",IF($AC17&lt;'PIM Ranges'!$AY$29,"Q2",IF($AC17&lt;'PIM Ranges'!$AZ$29,"Q3",IF($AC17&lt;'PIM Ranges'!$BA$29,"Q4","Q5")))),IF('PIM Ranges'!$AK17='PIM Ranges'!$AW$30,IF($AC17&lt;'PIM Ranges'!$AX$30,"Q1",IF($AC17&lt;'PIM Ranges'!$AY$30,"Q2",IF($AC17&lt;'PIM Ranges'!$AZ$30,"Q3",IF($AC17&lt;'PIM Ranges'!$BA$30,"Q4","Q5")))),IF('PIM Ranges'!$AK17='PIM Ranges'!$AW$31,IF($AC17&lt;'PIM Ranges'!$AX$31,"Q1",IF($AC17&lt;'PIM Ranges'!$AY$31,"Q2",IF($AC17&lt;'PIM Ranges'!$AZ$31,"Q3",IF($AC17&lt;'PIM Ranges'!$BA$31,"Q4","Q5")))),IF('PIM Ranges'!$AK17='PIM Ranges'!$AW$32,IF($AC17&lt;'PIM Ranges'!$AX$32,"Q1",IF($AC17&lt;'PIM Ranges'!$AY$32,"Q2",IF($AC17&lt;'PIM Ranges'!$AZ$32,"Q3",IF($AC17&lt;'PIM Ranges'!$BA$32,"Q4","Q5"))))))))))))))))))))))))))</f>
        <v>Q1</v>
      </c>
      <c r="AH17" s="404">
        <f>VLOOKUP($AB17&amp;$AG17,'IMargin Quartiles'!$A:$F,6,FALSE)</f>
        <v>0.18</v>
      </c>
      <c r="AI17" s="404"/>
      <c r="AJ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K17" s="404" t="e">
        <f>VLOOKUP($AB17&amp;$AJ17,'IMargin Quartiles'!$A:$F,6,FALSE)</f>
        <v>#DIV/0!</v>
      </c>
      <c r="AL17">
        <f>'PIM Model'!C15</f>
        <v>0</v>
      </c>
      <c r="AM17" s="404"/>
      <c r="AN17" s="404"/>
      <c r="AO17" s="404" t="e">
        <f t="shared" si="19"/>
        <v>#DIV/0!</v>
      </c>
      <c r="AP17" s="404"/>
      <c r="AQ17" s="404"/>
      <c r="AR17" s="111">
        <v>8</v>
      </c>
      <c r="AS17">
        <f>IFERROR(VLOOKUP(AU$5,'Basket Composition'!$A$3:$W$30,'Multi-Customer'!$AR17,FALSE),0)</f>
        <v>0</v>
      </c>
      <c r="AT17" s="105" t="s">
        <v>104</v>
      </c>
      <c r="AU17" s="100">
        <f>IFERROR(IF($AU$2="Enter Spend&gt;&gt;&gt;",$AU$3*AS17,SUMIFS('Existing Customers'!$Q:$Q,'Existing Customers'!$H:$H,'Multi-Customer'!$AT17,'Existing Customers'!$A:$A,'Multi-Customer'!$AU$1)*$AU$4),0)</f>
        <v>0</v>
      </c>
      <c r="AV17" s="92">
        <f>IFERROR(IF($AU$2="Enter Spend&gt;&gt;&gt;",'Multi-Customer'!AU17/VLOOKUP($AU$5,'Basket Composition'!$A$34:$W$61,'Multi-Customer'!$AR17,FALSE),SUMIFS('Existing Customers'!$N:$N,'Existing Customers'!$H:$H,'Multi-Customer'!$AT17,'Existing Customers'!$A:$A,'Multi-Customer'!$AU$1)*$AU$4),0)</f>
        <v>0</v>
      </c>
      <c r="AW17" s="92">
        <f>IFERROR(IF($AU$2="Enter Spend&gt;&gt;&gt;",AV17*$AU$8,SUMIFS('Existing Customers'!$O:$O,'Existing Customers'!$H:$H,'Multi-Customer'!$AT17,'Existing Customers'!$A:$A,'Multi-Customer'!AU$1)*$AU$4),0)</f>
        <v>0</v>
      </c>
      <c r="AX17" s="92">
        <f>IFERROR(IF($AU$2="Enter Spend&gt;&gt;&gt;",'Multi-Customer'!AU17/VLOOKUP($AU$5,'Basket Composition'!$A$65:$W$92,'Multi-Customer'!$AR17,FALSE),SUMIFS('Existing Customers'!$P:$P,'Existing Customers'!$H:$H,'Multi-Customer'!$AT17,'Existing Customers'!$A:$A,'Multi-Customer'!$AU$1)*$AU$4),0)</f>
        <v>0</v>
      </c>
      <c r="AY17" s="117">
        <f>IFERROR(IF($AU$2="Enter Spend&gt;&gt;&gt;","N/A",SUMIFS('Existing Customers'!$V:$V,'Existing Customers'!$H:$H,'Multi-Customer'!$AT17,'Existing Customers'!$A:$A,'Multi-Customer'!AU$1)*$AU$4),0)</f>
        <v>0</v>
      </c>
      <c r="AZ17" s="101">
        <f>IFERROR(IF($AU$2="Enter Spend&gt;&gt;&gt;","N/A",SUMIFS('Existing Customers'!$R:$R,'Existing Customers'!$H:$H,'Multi-Customer'!$AT17,'Existing Customers'!$A:$A,'Multi-Customer'!AU$1)*$AU$4),0)</f>
        <v>0</v>
      </c>
      <c r="BA17" s="132"/>
      <c r="BB17">
        <f>IFERROR(VLOOKUP(BD$5,'Basket Composition'!$A$3:$W$30,'Multi-Customer'!$AR17,FALSE),0)</f>
        <v>0</v>
      </c>
      <c r="BC17" s="105" t="s">
        <v>104</v>
      </c>
      <c r="BD17" s="100">
        <f>IFERROR(IF($BD$2="Enter Spend&gt;&gt;&gt;",$BD$3*BB17,SUMIFS('Existing Customers'!$Q:$Q,'Existing Customers'!$H:$H,'Multi-Customer'!$AT17,'Existing Customers'!$A:$A,'Multi-Customer'!$BD$1)*$BD$4),0)</f>
        <v>0</v>
      </c>
      <c r="BE17" s="92">
        <f>IFERROR(IF($BD$2="Enter Spend&gt;&gt;&gt;",'Multi-Customer'!BD17/VLOOKUP($BD$5,'Basket Composition'!$A$34:$W$61,'Multi-Customer'!$AR17,FALSE),SUMIFS('Existing Customers'!$N:$N,'Existing Customers'!$H:$H,'Multi-Customer'!$AT17,'Existing Customers'!$A:$A,'Multi-Customer'!$BD$1)*$BD$4),0)</f>
        <v>0</v>
      </c>
      <c r="BF17" s="92">
        <f>IFERROR(IF($BD$2="Enter Spend&gt;&gt;&gt;",BE17*$BD$8,SUMIFS('Existing Customers'!$O:$O,'Existing Customers'!$H:$H,'Multi-Customer'!$AT17,'Existing Customers'!$A:$A,'Multi-Customer'!BD$1)*$BD$4),0)</f>
        <v>0</v>
      </c>
      <c r="BG17" s="92">
        <f>IFERROR(IF($BD$2="Enter Spend&gt;&gt;&gt;",'Multi-Customer'!BD17/VLOOKUP($BD$5,'Basket Composition'!$A$65:$W$92,'Multi-Customer'!$AR17,FALSE),SUMIFS('Existing Customers'!$P:$P,'Existing Customers'!$H:$H,'Multi-Customer'!$AT17,'Existing Customers'!$A:$A,'Multi-Customer'!$BD$1)*$BD$4),0)</f>
        <v>0</v>
      </c>
      <c r="BH17" s="101">
        <f>IFERROR(IF($BD$2="Enter Spend&gt;&gt;&gt;","N/A",SUMIFS('Existing Customers'!$V:$V,'Existing Customers'!$H:$H,'Multi-Customer'!$AT17,'Existing Customers'!$A:$A,'Multi-Customer'!BD$1)*$BD$4),0)</f>
        <v>0</v>
      </c>
      <c r="BI17" s="101">
        <f>IFERROR(IF($BD$2="Enter Spend&gt;&gt;&gt;","N/A",SUMIFS('Existing Customers'!$R:$R,'Existing Customers'!$H:$H,'Multi-Customer'!$AT17,'Existing Customers'!$A:$A,'Multi-Customer'!BD$1)*$BD$4),0)</f>
        <v>0</v>
      </c>
      <c r="BJ17" s="132"/>
      <c r="BK17">
        <f>IFERROR(VLOOKUP(BM$5,'Basket Composition'!$A$3:$W$30,'Multi-Customer'!$AR17,FALSE),0)</f>
        <v>0</v>
      </c>
      <c r="BL17" s="105" t="s">
        <v>104</v>
      </c>
      <c r="BM17" s="100">
        <f>IFERROR(IF($BM$2="Enter Spend&gt;&gt;&gt;",$BM$3*BK17,SUMIFS('Existing Customers'!$Q:$Q,'Existing Customers'!$H:$H,'Multi-Customer'!$AT17,'Existing Customers'!$A:$A,'Multi-Customer'!$BM$1)*$BM$4),0)</f>
        <v>0</v>
      </c>
      <c r="BN17" s="92">
        <f>IFERROR(IF($BM$2="Enter Spend&gt;&gt;&gt;",'Multi-Customer'!BM17/VLOOKUP($BM$5,'Basket Composition'!$A$34:$W$61,'Multi-Customer'!$AR17,FALSE),SUMIFS('Existing Customers'!$N:$N,'Existing Customers'!$H:$H,'Multi-Customer'!$AT17,'Existing Customers'!$A:$A,'Multi-Customer'!$BM$1)*$BM$4),0)</f>
        <v>0</v>
      </c>
      <c r="BO17" s="92">
        <f>IFERROR(IF($BM$2="Enter Spend&gt;&gt;&gt;",BN17*$BM$8,SUMIFS('Existing Customers'!$O:$O,'Existing Customers'!$H:$H,'Multi-Customer'!$AT17,'Existing Customers'!$A:$A,'Multi-Customer'!BM$1)*$BM$4),0)</f>
        <v>0</v>
      </c>
      <c r="BP17" s="92">
        <f>IFERROR(IF($BM$2="Enter Spend&gt;&gt;&gt;",'Multi-Customer'!BM17/VLOOKUP($BM$5,'Basket Composition'!$A$65:$W$92,'Multi-Customer'!$AR17,FALSE),SUMIFS('Existing Customers'!$P:$P,'Existing Customers'!$H:$H,'Multi-Customer'!$AT17,'Existing Customers'!$A:$A,'Multi-Customer'!$BM$1)*$BM$4),0)</f>
        <v>0</v>
      </c>
      <c r="BQ17" s="101">
        <f>IFERROR(IF($BM$2="Enter Spend&gt;&gt;&gt;","N/A",SUMIFS('Existing Customers'!$V:$V,'Existing Customers'!$H:$H,'Multi-Customer'!$AT17,'Existing Customers'!$A:$A,'Multi-Customer'!BM$1)*$BM$4),0)</f>
        <v>0</v>
      </c>
      <c r="BR17" s="101">
        <f>IFERROR(IF($BM$2="Enter Spend&gt;&gt;&gt;","N/A",SUMIFS('Existing Customers'!$R:$R,'Existing Customers'!$H:$H,'Multi-Customer'!$AT17,'Existing Customers'!$A:$A,'Multi-Customer'!BM$1)*$BM$4),0)</f>
        <v>0</v>
      </c>
      <c r="BS17" s="132"/>
      <c r="BT17">
        <f>IFERROR(VLOOKUP(BV$5,'Basket Composition'!$A$3:$W$30,'Multi-Customer'!$AR17,FALSE),0)</f>
        <v>0</v>
      </c>
      <c r="BU17" s="105" t="s">
        <v>104</v>
      </c>
      <c r="BV17" s="100">
        <f>IFERROR(IF($BV$2="Enter Spend&gt;&gt;&gt;",$BV$3*BT17,SUMIFS('Existing Customers'!$Q:$Q,'Existing Customers'!$H:$H,'Multi-Customer'!$AT17,'Existing Customers'!$A:$A,'Multi-Customer'!$BV$1)*$BV$4),0)</f>
        <v>0</v>
      </c>
      <c r="BW17" s="92">
        <f>IFERROR(IF($BV$2="Enter Spend&gt;&gt;&gt;",'Multi-Customer'!BV17/VLOOKUP($BV$5,'Basket Composition'!$A$34:$W$61,'Multi-Customer'!$AR17,FALSE),SUMIFS('Existing Customers'!$N:$N,'Existing Customers'!$H:$H,'Multi-Customer'!$AT17,'Existing Customers'!$A:$A,'Multi-Customer'!$BV$1)*$BV$4),0)</f>
        <v>0</v>
      </c>
      <c r="BX17" s="92">
        <f>IFERROR(IF($BV$2="Enter Spend&gt;&gt;&gt;",BW17*$BV$8,SUMIFS('Existing Customers'!$O:$O,'Existing Customers'!$H:$H,'Multi-Customer'!$AT17,'Existing Customers'!$A:$A,'Multi-Customer'!BV$1)*$BV$4),0)</f>
        <v>0</v>
      </c>
      <c r="BY17" s="92">
        <f>IFERROR(IF($BV$2="Enter Spend&gt;&gt;&gt;",'Multi-Customer'!BV17/VLOOKUP($BV$5,'Basket Composition'!$A$65:$W$92,'Multi-Customer'!$AR17,FALSE),SUMIFS('Existing Customers'!$P:$P,'Existing Customers'!$H:$H,'Multi-Customer'!$AT17,'Existing Customers'!$A:$A,'Multi-Customer'!$BV$1)*$BV$4),0)</f>
        <v>0</v>
      </c>
      <c r="BZ17" s="101">
        <f>IFERROR(IF($BV$2="Enter Spend&gt;&gt;&gt;","N/A",SUMIFS('Existing Customers'!$V:$V,'Existing Customers'!$H:$H,'Multi-Customer'!$AT17,'Existing Customers'!$A:$A,'Multi-Customer'!BV$1)*$BV$4),0)</f>
        <v>0</v>
      </c>
      <c r="CA17" s="101">
        <f>IFERROR(IF($BV$2="Enter Spend&gt;&gt;&gt;","N/A",SUMIFS('Existing Customers'!$R:$R,'Existing Customers'!$H:$H,'Multi-Customer'!$AT17,'Existing Customers'!$A:$A,'Multi-Customer'!BV$1)*$BV$4),0)</f>
        <v>0</v>
      </c>
      <c r="CB17" s="132"/>
      <c r="CC17">
        <f>IFERROR(VLOOKUP(CE$5,'Basket Composition'!$A$3:$W$30,'Multi-Customer'!$AR17,FALSE),0)</f>
        <v>0</v>
      </c>
      <c r="CD17" s="105" t="s">
        <v>104</v>
      </c>
      <c r="CE17" s="100">
        <f>IFERROR(IF($CE$2="Enter Spend&gt;&gt;&gt;",$CE$3*CC17,SUMIFS('Existing Customers'!$Q:$Q,'Existing Customers'!$H:$H,'Multi-Customer'!$AT17,'Existing Customers'!$A:$A,'Multi-Customer'!$CE$1)*$CE$4),0)</f>
        <v>0</v>
      </c>
      <c r="CF17" s="92">
        <f>IFERROR(IF($CE$2="Enter Spend&gt;&gt;&gt;",'Multi-Customer'!CE17/VLOOKUP($CE$5,'Basket Composition'!$A$34:$W$61,'Multi-Customer'!$AR17,FALSE),SUMIFS('Existing Customers'!$N:$N,'Existing Customers'!$H:$H,'Multi-Customer'!$AT17,'Existing Customers'!$A:$A,'Multi-Customer'!$CE$1)*$CE$4),0)</f>
        <v>0</v>
      </c>
      <c r="CG17" s="92">
        <f>IFERROR(IF($CE$2="Enter Spend&gt;&gt;&gt;",CF17*$CE$8,SUMIFS('Existing Customers'!$O:$O,'Existing Customers'!$H:$H,'Multi-Customer'!$AT17,'Existing Customers'!$A:$A,'Multi-Customer'!CE$1)*$CE$4),0)</f>
        <v>0</v>
      </c>
      <c r="CH17" s="92">
        <f>IFERROR(IF($CE$2="Enter Spend&gt;&gt;&gt;",'Multi-Customer'!CE17/VLOOKUP($CE$5,'Basket Composition'!$A$65:$W$92,'Multi-Customer'!$AR17,FALSE),SUMIFS('Existing Customers'!$P:$P,'Existing Customers'!$H:$H,'Multi-Customer'!$AT17,'Existing Customers'!$A:$A,'Multi-Customer'!$CE$1)*$CE$4),0)</f>
        <v>0</v>
      </c>
      <c r="CI17" s="101">
        <f>IFERROR(IF($CE$2="Enter Spend&gt;&gt;&gt;","N/A",SUMIFS('Existing Customers'!$V:$V,'Existing Customers'!$H:$H,'Multi-Customer'!$AT17,'Existing Customers'!$A:$A,'Multi-Customer'!CE$1)*$CE$4),0)</f>
        <v>0</v>
      </c>
      <c r="CJ17" s="101">
        <f>IFERROR(IF($CE$2="Enter Spend&gt;&gt;&gt;","N/A",SUMIFS('Existing Customers'!$R:$R,'Existing Customers'!$H:$H,'Multi-Customer'!$AT17,'Existing Customers'!$A:$A,'Multi-Customer'!CE$1)*$CE$4),0)</f>
        <v>0</v>
      </c>
      <c r="CK17" s="132"/>
      <c r="CL17">
        <f>IFERROR(VLOOKUP(CN$5,'Basket Composition'!$A$3:$W$30,'Multi-Customer'!$AR17,FALSE),0)</f>
        <v>0</v>
      </c>
      <c r="CM17" s="105" t="s">
        <v>104</v>
      </c>
      <c r="CN17" s="100">
        <f>IFERROR(IF($CN$2="Enter Spend&gt;&gt;&gt;",$CN$3*CL17,SUMIFS('Existing Customers'!$Q:$Q,'Existing Customers'!$H:$H,'Multi-Customer'!$AT17,'Existing Customers'!$A:$A,'Multi-Customer'!$CN$1)*$CN$4),0)</f>
        <v>0</v>
      </c>
      <c r="CO17" s="92">
        <f>IFERROR(IF($CN$2="Enter Spend&gt;&gt;&gt;",'Multi-Customer'!CN17/VLOOKUP($CN$5,'Basket Composition'!$A$34:$W$61,'Multi-Customer'!$AR17,FALSE),SUMIFS('Existing Customers'!$N:$N,'Existing Customers'!$H:$H,'Multi-Customer'!$AT17,'Existing Customers'!$A:$A,'Multi-Customer'!$CN$1)*$CN$4),0)</f>
        <v>0</v>
      </c>
      <c r="CP17" s="92">
        <f>IFERROR(IF($CN$2="Enter Spend&gt;&gt;&gt;",CO17*$CN$8,SUMIFS('Existing Customers'!$O:$O,'Existing Customers'!$H:$H,'Multi-Customer'!$AT17,'Existing Customers'!$A:$A,'Multi-Customer'!CN$1)*$CN$4),0)</f>
        <v>0</v>
      </c>
      <c r="CQ17" s="92">
        <f>IFERROR(IF($CN$2="Enter Spend&gt;&gt;&gt;",'Multi-Customer'!CN17/VLOOKUP($CN$5,'Basket Composition'!$A$65:$W$92,'Multi-Customer'!$AR17,FALSE),SUMIFS('Existing Customers'!$P:$P,'Existing Customers'!$H:$H,'Multi-Customer'!$AT17,'Existing Customers'!$A:$A,'Multi-Customer'!$CN$1)*$CN$4),0)</f>
        <v>0</v>
      </c>
      <c r="CR17" s="101">
        <f>IFERROR(IF($CN$2="Enter Spend&gt;&gt;&gt;","N/A",SUMIFS('Existing Customers'!$V:$V,'Existing Customers'!$H:$H,'Multi-Customer'!$AT17,'Existing Customers'!$A:$A,'Multi-Customer'!CN$1)*$CN$4),0)</f>
        <v>0</v>
      </c>
      <c r="CS17" s="101">
        <f>IFERROR(IF($CN$2="Enter Spend&gt;&gt;&gt;","N/A",SUMIFS('Existing Customers'!$R:$R,'Existing Customers'!$H:$H,'Multi-Customer'!$AT17,'Existing Customers'!$A:$A,'Multi-Customer'!CN$1)*$CN$4),0)</f>
        <v>0</v>
      </c>
      <c r="CT17" s="132"/>
      <c r="CU17">
        <f>IFERROR(VLOOKUP(CW$5,'Basket Composition'!$A$3:$W$30,'Multi-Customer'!$AR17,FALSE),0)</f>
        <v>0</v>
      </c>
      <c r="CV17" s="105" t="s">
        <v>104</v>
      </c>
      <c r="CW17" s="100">
        <f>IFERROR(IF($CW$2="Enter Spend&gt;&gt;&gt;",$CW$3*CU17,SUMIFS('Existing Customers'!$Q:$Q,'Existing Customers'!$H:$H,'Multi-Customer'!$AT17,'Existing Customers'!$A:$A,'Multi-Customer'!$CW$1)*$CW$4),0)</f>
        <v>0</v>
      </c>
      <c r="CX17" s="92">
        <f>IFERROR(IF($CW$2="Enter Spend&gt;&gt;&gt;",'Multi-Customer'!CW17/VLOOKUP($CW$5,'Basket Composition'!$A$34:$W$61,'Multi-Customer'!$AR17,FALSE),SUMIFS('Existing Customers'!$N:$N,'Existing Customers'!$H:$H,'Multi-Customer'!$AT17,'Existing Customers'!$A:$A,'Multi-Customer'!$CW$1)*$CW$4),0)</f>
        <v>0</v>
      </c>
      <c r="CY17" s="92">
        <f>IFERROR(IF($CW$2="Enter Spend&gt;&gt;&gt;",CX17*$CW$8,SUMIFS('Existing Customers'!$O:$O,'Existing Customers'!$H:$H,'Multi-Customer'!$AT17,'Existing Customers'!$A:$A,'Multi-Customer'!CW$1)*$CW$4),0)</f>
        <v>0</v>
      </c>
      <c r="CZ17" s="92">
        <f>IFERROR(IF($CW$2="Enter Spend&gt;&gt;&gt;",'Multi-Customer'!CW17/VLOOKUP($CW$5,'Basket Composition'!$A$65:$W$92,'Multi-Customer'!$AR17,FALSE),SUMIFS('Existing Customers'!$P:$P,'Existing Customers'!$H:$H,'Multi-Customer'!$AT17,'Existing Customers'!$A:$A,'Multi-Customer'!$CW$1)*$CW$4),0)</f>
        <v>0</v>
      </c>
      <c r="DA17" s="101">
        <f>IFERROR(IF($CW$2="Enter Spend&gt;&gt;&gt;","N/A",SUMIFS('Existing Customers'!$V:$V,'Existing Customers'!$H:$H,'Multi-Customer'!$AT17,'Existing Customers'!$A:$A,'Multi-Customer'!CW$1)*$CW$4),0)</f>
        <v>0</v>
      </c>
      <c r="DB17" s="101">
        <f>IFERROR(IF($CW$2="Enter Spend&gt;&gt;&gt;","N/A",SUMIFS('Existing Customers'!$R:$R,'Existing Customers'!$H:$H,'Multi-Customer'!$AT17,'Existing Customers'!$A:$A,'Multi-Customer'!CW$1)*$CW$4),0)</f>
        <v>0</v>
      </c>
      <c r="DC17" s="132"/>
      <c r="DD17">
        <f>IFERROR(VLOOKUP(DF$5,'Basket Composition'!$A$3:$W$30,'Multi-Customer'!$AR17,FALSE),0)</f>
        <v>0</v>
      </c>
      <c r="DE17" s="105" t="s">
        <v>104</v>
      </c>
      <c r="DF17" s="100">
        <f>IFERROR(IF($DF$2="Enter Spend&gt;&gt;&gt;",$DF$3*DD17,SUMIFS('Existing Customers'!$Q:$Q,'Existing Customers'!$H:$H,'Multi-Customer'!$AT17,'Existing Customers'!$A:$A,'Multi-Customer'!$DF$1)*$DF$4),0)</f>
        <v>0</v>
      </c>
      <c r="DG17" s="92">
        <f>IFERROR(IF($DF$2="Enter Spend&gt;&gt;&gt;",'Multi-Customer'!DF17/VLOOKUP($DF$5,'Basket Composition'!$A$34:$W$61,'Multi-Customer'!$AR17,FALSE),SUMIFS('Existing Customers'!$N:$N,'Existing Customers'!$H:$H,'Multi-Customer'!$AT17,'Existing Customers'!$A:$A,'Multi-Customer'!$DF$1)*$DF$4),0)</f>
        <v>0</v>
      </c>
      <c r="DH17" s="92">
        <f>IFERROR(IF($DF$2="Enter Spend&gt;&gt;&gt;",DG17*$DF$8,SUMIFS('Existing Customers'!$O:$O,'Existing Customers'!$H:$H,'Multi-Customer'!$AT17,'Existing Customers'!$A:$A,'Multi-Customer'!DF$1)*$DF$4),0)</f>
        <v>0</v>
      </c>
      <c r="DI17" s="92">
        <f>IFERROR(IF($DF$2="Enter Spend&gt;&gt;&gt;",'Multi-Customer'!DF17/VLOOKUP($DF$5,'Basket Composition'!$A$65:$W$92,'Multi-Customer'!$AR17,FALSE),SUMIFS('Existing Customers'!$P:$P,'Existing Customers'!$H:$H,'Multi-Customer'!$AT17,'Existing Customers'!$A:$A,'Multi-Customer'!$DF$1)*$DF$4),0)</f>
        <v>0</v>
      </c>
      <c r="DJ17" s="101">
        <f>IFERROR(IF($DF$2="Enter Spend&gt;&gt;&gt;","N/A",SUMIFS('Existing Customers'!$V:$V,'Existing Customers'!$H:$H,'Multi-Customer'!$AT17,'Existing Customers'!$A:$A,'Multi-Customer'!DF$1)*$DF$4),0)</f>
        <v>0</v>
      </c>
      <c r="DK17" s="101">
        <f>IFERROR(IF($DF$2="Enter Spend&gt;&gt;&gt;","N/A",SUMIFS('Existing Customers'!$R:$R,'Existing Customers'!$H:$H,'Multi-Customer'!$AT17,'Existing Customers'!$A:$A,'Multi-Customer'!DF$1)*$DF$4),0)</f>
        <v>0</v>
      </c>
      <c r="DL17" s="132"/>
      <c r="DM17">
        <f>IFERROR(VLOOKUP(DO$5,'Basket Composition'!$A$3:$W$30,'Multi-Customer'!$AR17,FALSE),0)</f>
        <v>0</v>
      </c>
      <c r="DN17" s="105" t="s">
        <v>104</v>
      </c>
      <c r="DO17" s="100">
        <f>IFERROR(IF($DO$2="Enter Spend&gt;&gt;&gt;",$DO$3*DM17,SUMIFS('Existing Customers'!$Q:$Q,'Existing Customers'!$H:$H,'Multi-Customer'!$AT17,'Existing Customers'!$A:$A,'Multi-Customer'!$DO$1)*$DO$4),0)</f>
        <v>0</v>
      </c>
      <c r="DP17" s="92">
        <f>IFERROR(IF($DO$2="Enter Spend&gt;&gt;&gt;",'Multi-Customer'!DO17/VLOOKUP($DO$5,'Basket Composition'!$A$34:$W$61,'Multi-Customer'!$AR17,FALSE),SUMIFS('Existing Customers'!$N:$N,'Existing Customers'!$H:$H,'Multi-Customer'!$AT17,'Existing Customers'!$A:$A,'Multi-Customer'!$DO$1)*$DO$4),0)</f>
        <v>0</v>
      </c>
      <c r="DQ17" s="92">
        <f>IFERROR(IF($DO$2="Enter Spend&gt;&gt;&gt;",DP17*$DO$8,SUMIFS('Existing Customers'!$O:$O,'Existing Customers'!$H:$H,'Multi-Customer'!$AT17,'Existing Customers'!$A:$A,'Multi-Customer'!DO$1)*$DO$4),0)</f>
        <v>0</v>
      </c>
      <c r="DR17" s="92">
        <f>IFERROR(IF($DO$2="Enter Spend&gt;&gt;&gt;",'Multi-Customer'!DO17/VLOOKUP($DO$5,'Basket Composition'!$A$65:$W$92,'Multi-Customer'!$AR17,FALSE),SUMIFS('Existing Customers'!$P:$P,'Existing Customers'!$H:$H,'Multi-Customer'!$AT17,'Existing Customers'!$A:$A,'Multi-Customer'!$DO$1)*$DO$4),0)</f>
        <v>0</v>
      </c>
      <c r="DS17" s="117">
        <f>IFERROR(IF($DO$2="Enter Spend&gt;&gt;&gt;","N/A",SUMIFS('Existing Customers'!$V:$V,'Existing Customers'!$H:$H,'Multi-Customer'!$AT17,'Existing Customers'!$A:$A,'Multi-Customer'!DO$1)*$DO$4),0)</f>
        <v>0</v>
      </c>
      <c r="DT17" s="101">
        <f>IFERROR(IF($DO$2="Enter Spend&gt;&gt;&gt;","N/A",SUMIFS('Existing Customers'!$R:$R,'Existing Customers'!$H:$H,'Multi-Customer'!$AT17,'Existing Customers'!$A:$A,'Multi-Customer'!DO$1)*$DO$4),0)</f>
        <v>0</v>
      </c>
      <c r="DU17" s="132"/>
      <c r="DV17">
        <f>IFERROR(VLOOKUP(DX$5,'Basket Composition'!$A$3:$W$30,'Multi-Customer'!$AR17,FALSE),0)</f>
        <v>0</v>
      </c>
      <c r="DW17" s="105" t="s">
        <v>104</v>
      </c>
      <c r="DX17" s="100">
        <f>IFERROR(IF($DX$2="Enter Spend&gt;&gt;&gt;",$DX$3*DV17,SUMIFS('Existing Customers'!$Q:$Q,'Existing Customers'!$H:$H,'Multi-Customer'!$AT17,'Existing Customers'!$A:$A,'Multi-Customer'!$DX$1)*$DX$4),0)</f>
        <v>0</v>
      </c>
      <c r="DY17" s="92">
        <f>IFERROR(IF($DX$2="Enter Spend&gt;&gt;&gt;",'Multi-Customer'!DX17/VLOOKUP($DX$5,'Basket Composition'!$A$34:$W$61,'Multi-Customer'!$AR17,FALSE),SUMIFS('Existing Customers'!$N:$N,'Existing Customers'!$H:$H,'Multi-Customer'!$AT17,'Existing Customers'!$A:$A,'Multi-Customer'!$DX$1)*$DX$4),0)</f>
        <v>0</v>
      </c>
      <c r="DZ17" s="92">
        <f>IFERROR(IF($DX$2="Enter Spend&gt;&gt;&gt;",DY17*$DX$8,SUMIFS('Existing Customers'!$O:$O,'Existing Customers'!$H:$H,'Multi-Customer'!$AT17,'Existing Customers'!$A:$A,'Multi-Customer'!DX$1)*$DX$4),0)</f>
        <v>0</v>
      </c>
      <c r="EA17" s="92">
        <f>IFERROR(IF($DX$2="Enter Spend&gt;&gt;&gt;",'Multi-Customer'!DX17/VLOOKUP($DX$5,'Basket Composition'!$A$65:$W$92,'Multi-Customer'!$AR17,FALSE),SUMIFS('Existing Customers'!$P:$P,'Existing Customers'!$H:$H,'Multi-Customer'!$AT17,'Existing Customers'!$A:$A,'Multi-Customer'!$DX$1)*$DX$4),0)</f>
        <v>0</v>
      </c>
      <c r="EB17" s="117">
        <f>IFERROR(IF($DX$2="Enter Spend&gt;&gt;&gt;","N/A",SUMIFS('Existing Customers'!$V:$V,'Existing Customers'!$H:$H,'Multi-Customer'!$AT17,'Existing Customers'!$A:$A,'Multi-Customer'!DX$1)*$DX$4),0)</f>
        <v>0</v>
      </c>
      <c r="EC17" s="101">
        <f>IFERROR(IF($DX$2="Enter Spend&gt;&gt;&gt;","N/A",SUMIFS('Existing Customers'!$R:$R,'Existing Customers'!$H:$H,'Multi-Customer'!$AT17,'Existing Customers'!$A:$A,'Multi-Customer'!DX$1)*$DX$4),0)</f>
        <v>0</v>
      </c>
      <c r="EE17" s="105" t="s">
        <v>104</v>
      </c>
      <c r="EF17" s="100"/>
      <c r="EG17" s="92"/>
      <c r="EH17" s="92"/>
      <c r="EI17" s="92"/>
      <c r="EJ17" s="117"/>
      <c r="EK17" s="101"/>
      <c r="EL17" s="132"/>
      <c r="EN17" s="105" t="s">
        <v>104</v>
      </c>
      <c r="EO17" s="100"/>
      <c r="EP17" s="92"/>
      <c r="EQ17" s="92"/>
      <c r="ER17" s="92"/>
      <c r="ES17" s="117"/>
      <c r="ET17" s="101"/>
    </row>
    <row r="18" spans="2:150" x14ac:dyDescent="0.25">
      <c r="B18" s="105" t="s">
        <v>98</v>
      </c>
      <c r="C18" s="487">
        <f t="shared" si="6"/>
        <v>0</v>
      </c>
      <c r="D18" s="504">
        <f t="shared" si="7"/>
        <v>0</v>
      </c>
      <c r="E18" s="504">
        <f t="shared" si="8"/>
        <v>0</v>
      </c>
      <c r="F18" s="504">
        <f t="shared" si="9"/>
        <v>0</v>
      </c>
      <c r="G18" s="505">
        <f t="shared" si="10"/>
        <v>0</v>
      </c>
      <c r="H18" s="507">
        <f t="shared" si="11"/>
        <v>0</v>
      </c>
      <c r="J18" t="str">
        <f>'PIM Model'!E16</f>
        <v>INCLUDE</v>
      </c>
      <c r="K18">
        <f t="shared" si="12"/>
        <v>0</v>
      </c>
      <c r="L18">
        <f t="shared" si="13"/>
        <v>0</v>
      </c>
      <c r="M18" s="105" t="s">
        <v>98</v>
      </c>
      <c r="N18" s="100">
        <f t="shared" si="14"/>
        <v>0</v>
      </c>
      <c r="O18" s="92">
        <f t="shared" si="0"/>
        <v>0</v>
      </c>
      <c r="P18" s="92">
        <f t="shared" si="1"/>
        <v>0</v>
      </c>
      <c r="Q18" s="92">
        <f t="shared" si="2"/>
        <v>0</v>
      </c>
      <c r="R18" s="117">
        <f t="shared" si="3"/>
        <v>0</v>
      </c>
      <c r="S18" s="120">
        <f t="shared" si="15"/>
        <v>0</v>
      </c>
      <c r="T18" s="404"/>
      <c r="U18" s="105" t="s">
        <v>98</v>
      </c>
      <c r="V18" s="491">
        <f t="shared" si="4"/>
        <v>0</v>
      </c>
      <c r="W18" s="492">
        <f t="shared" si="4"/>
        <v>0</v>
      </c>
      <c r="X18" s="492">
        <f t="shared" si="4"/>
        <v>0</v>
      </c>
      <c r="Y18" s="493">
        <f t="shared" si="16"/>
        <v>0</v>
      </c>
      <c r="Z18" s="494">
        <f t="shared" si="17"/>
        <v>0</v>
      </c>
      <c r="AA18" s="404"/>
      <c r="AB18" s="105" t="s">
        <v>98</v>
      </c>
      <c r="AC18" s="491">
        <f t="shared" si="5"/>
        <v>0</v>
      </c>
      <c r="AD18" s="488">
        <f t="shared" si="18"/>
        <v>0</v>
      </c>
      <c r="AE18" s="494"/>
      <c r="AF18" s="404"/>
      <c r="AG18" s="1" t="str">
        <f>IF('PIM Ranges'!$AK18='PIM Ranges'!$AW$11,IF($AC18&lt;'PIM Ranges'!$AX$11,"Q1",IF($AC18&lt;'PIM Ranges'!$AY$11,"Q2",IF($AC18&lt;'PIM Ranges'!$AZ$11,"Q3",IF($AC18&lt;'PIM Ranges'!$BA$11,"Q4","Q5")))),IF('PIM Ranges'!$AK18='PIM Ranges'!$AW$12,IF($AC18&lt;'PIM Ranges'!$AX$12,"Q1",IF($AC18&lt;'PIM Ranges'!$AY$12,"Q2",IF($AC18&lt;'PIM Ranges'!$AZ$12,"Q3",IF($AC18&lt;'PIM Ranges'!$BA$12,"Q4","Q5")))),IF('PIM Ranges'!$AK18='PIM Ranges'!$AW$13,IF($AC18&lt;'PIM Ranges'!$AX$13,"Q1",IF($AC18&lt;'PIM Ranges'!$AY$13,"Q2",IF($AC18&lt;'PIM Ranges'!$AZ$13,"Q3",IF($AC18&lt;'PIM Ranges'!$BA$13,"Q4","Q5")))),IF('PIM Ranges'!$AK18='PIM Ranges'!$AW$14,IF($AC18&lt;'PIM Ranges'!$AX$14,"Q1",IF($AC18&lt;'PIM Ranges'!$AY$14,"Q2",IF($AC18&lt;'PIM Ranges'!$AZ$14,"Q3",IF($AC18&lt;'PIM Ranges'!$BA$14,"Q4","Q5")))),IF('PIM Ranges'!$AK18='PIM Ranges'!$AW$15,IF($AC18&lt;'PIM Ranges'!$AX$15,"Q1",IF($AC18&lt;'PIM Ranges'!$AY$15,"Q2",IF($AC18&lt;'PIM Ranges'!$AZ$15,"Q3",IF($AC18&lt;'PIM Ranges'!$BA$15,"Q4","Q5")))),IF('PIM Ranges'!$AK18='PIM Ranges'!$AW$16,IF($AC18&lt;'PIM Ranges'!$AX$16,"Q1",IF($AC18&lt;'PIM Ranges'!$AY$16,"Q2",IF($AC18&lt;'PIM Ranges'!$AZ$16,"Q3",IF($AC18&lt;'PIM Ranges'!$BA$16,"Q4","Q5")))),IF('PIM Ranges'!$AK18='PIM Ranges'!$AW$17,IF($AC18&lt;'PIM Ranges'!$AX$17,"Q1",IF($AC18&lt;'PIM Ranges'!$AY$17,"Q2",IF($AC18&lt;'PIM Ranges'!$AZ$17,"Q3",IF($AC18&lt;'PIM Ranges'!$BA$17,"Q4","Q5")))),IF('PIM Ranges'!$AK18='PIM Ranges'!$AW$18,IF($AC18&lt;'PIM Ranges'!$AX$18,"Q1",IF($AC18&lt;'PIM Ranges'!$AY$18,"Q2",IF($AC18&lt;'PIM Ranges'!$AZ$18,"Q3",IF($AC18&lt;'PIM Ranges'!$BA$18,"Q4","Q5")))),IF('PIM Ranges'!$AK18='PIM Ranges'!$AW$19,IF($AC18&lt;'PIM Ranges'!$AX$19,"Q1",IF($AC18&lt;'PIM Ranges'!$AY$19,"Q2",IF($AC18&lt;'PIM Ranges'!$AZ$19,"Q3",IF($AC18&lt;'PIM Ranges'!$BA$19,"Q4","Q5")))),IF('PIM Ranges'!$AK18='PIM Ranges'!$AW$20,IF($AC18&lt;'PIM Ranges'!$AX$20,"Q1",IF($AC18&lt;'PIM Ranges'!$AY$20,"Q2",IF($AC18&lt;'PIM Ranges'!$AZ$20,"Q3",IF($AC18&lt;'PIM Ranges'!$BA$20,"Q4","Q5")))),IF('PIM Ranges'!$AK18='PIM Ranges'!$AW$21,IF($AC18&lt;'PIM Ranges'!$AX$21,"Q1",IF($AC18&lt;'PIM Ranges'!$AY$21,"Q2",IF($AC18&lt;'PIM Ranges'!$AZ$21,"Q3",IF($AC18&lt;'PIM Ranges'!$BA$21,"Q4","Q5")))),IF('PIM Ranges'!$AK18='PIM Ranges'!$AW$22,IF($AC18&lt;'PIM Ranges'!$AX$22,"Q1",IF($AC18&lt;'PIM Ranges'!$AY$22,"Q2",IF($AC18&lt;'PIM Ranges'!$AZ$22,"Q3",IF($AC18&lt;'PIM Ranges'!$BA$22,"Q4","Q5")))),IF('PIM Ranges'!$AK18='PIM Ranges'!$AW$23,IF($AC18&lt;'PIM Ranges'!$AX$23,"Q1",IF($AC18&lt;'PIM Ranges'!$AY$23,"Q2",IF($AC18&lt;'PIM Ranges'!$AZ$23,"Q3",IF($AC18&lt;'PIM Ranges'!$BA$23,"Q4","Q5")))),IF('PIM Ranges'!$AK18='PIM Ranges'!$AW$24,IF($AC18&lt;'PIM Ranges'!$AX$24,"Q1",IF($AC18&lt;'PIM Ranges'!$AY$24,"Q2",IF($AC18&lt;'PIM Ranges'!$AZ$24,"Q3",IF($AC18&lt;'PIM Ranges'!$BA$24,"Q4","Q5")))),IF('PIM Ranges'!$AK18='PIM Ranges'!$AW$25,IF($AC18&lt;'PIM Ranges'!$AX$25,"Q1",IF($AC18&lt;'PIM Ranges'!$AY$25,"Q2",IF($AC18&lt;'PIM Ranges'!$AZ$25,"Q3",IF($AC18&lt;'PIM Ranges'!$BA$25,"Q4","Q5")))),IF('PIM Ranges'!$AK18='PIM Ranges'!$AW$26,IF($AC18&lt;'PIM Ranges'!$AX$26,"Q1",IF($AC18&lt;'PIM Ranges'!$AY$26,"Q2",IF($AC18&lt;'PIM Ranges'!$AZ$26,"Q3",IF($AC18&lt;'PIM Ranges'!$BA$26,"Q4","Q5")))),IF('PIM Ranges'!$AK18='PIM Ranges'!$AW$27,IF($AC18&lt;'PIM Ranges'!$AX$27,"Q1",IF($AC18&lt;'PIM Ranges'!$AY$27,"Q2",IF($AC18&lt;'PIM Ranges'!$AZ$27,"Q3",IF($AC18&lt;'PIM Ranges'!$BA$27,"Q4","Q5")))),IF('PIM Ranges'!$AK18='PIM Ranges'!$AW$28,IF($AC18&lt;'PIM Ranges'!$AX$28,"Q1",IF($AC18&lt;'PIM Ranges'!$AY$28,"Q2",IF($AC18&lt;'PIM Ranges'!$AZ$28,"Q3",IF($AC18&lt;'PIM Ranges'!$BA$28,"Q4","Q5")))),IF('PIM Ranges'!$AK18='PIM Ranges'!$AW$29,IF($AC18&lt;'PIM Ranges'!$AX$29,"Q1",IF($AC18&lt;'PIM Ranges'!$AY$29,"Q2",IF($AC18&lt;'PIM Ranges'!$AZ$29,"Q3",IF($AC18&lt;'PIM Ranges'!$BA$29,"Q4","Q5")))),IF('PIM Ranges'!$AK18='PIM Ranges'!$AW$30,IF($AC18&lt;'PIM Ranges'!$AX$30,"Q1",IF($AC18&lt;'PIM Ranges'!$AY$30,"Q2",IF($AC18&lt;'PIM Ranges'!$AZ$30,"Q3",IF($AC18&lt;'PIM Ranges'!$BA$30,"Q4","Q5")))),IF('PIM Ranges'!$AK18='PIM Ranges'!$AW$31,IF($AC18&lt;'PIM Ranges'!$AX$31,"Q1",IF($AC18&lt;'PIM Ranges'!$AY$31,"Q2",IF($AC18&lt;'PIM Ranges'!$AZ$31,"Q3",IF($AC18&lt;'PIM Ranges'!$BA$31,"Q4","Q5")))),IF('PIM Ranges'!$AK18='PIM Ranges'!$AW$32,IF($AC18&lt;'PIM Ranges'!$AX$32,"Q1",IF($AC18&lt;'PIM Ranges'!$AY$32,"Q2",IF($AC18&lt;'PIM Ranges'!$AZ$32,"Q3",IF($AC18&lt;'PIM Ranges'!$BA$32,"Q4","Q5"))))))))))))))))))))))))))</f>
        <v>Q1</v>
      </c>
      <c r="AH18" s="404">
        <f>VLOOKUP($AB18&amp;$AG18,'IMargin Quartiles'!$A:$F,6,FALSE)</f>
        <v>0.17</v>
      </c>
      <c r="AI18" s="404"/>
      <c r="AJ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K18" s="404" t="e">
        <f>VLOOKUP($AB18&amp;$AJ18,'IMargin Quartiles'!$A:$F,6,FALSE)</f>
        <v>#DIV/0!</v>
      </c>
      <c r="AL18">
        <f>'PIM Model'!C16</f>
        <v>0</v>
      </c>
      <c r="AM18" s="404"/>
      <c r="AN18" s="404"/>
      <c r="AO18" s="404" t="e">
        <f t="shared" si="19"/>
        <v>#DIV/0!</v>
      </c>
      <c r="AP18" s="404"/>
      <c r="AQ18" s="404"/>
      <c r="AR18" s="111">
        <v>9</v>
      </c>
      <c r="AS18">
        <f>IFERROR(VLOOKUP(AU$5,'Basket Composition'!$A$3:$W$30,'Multi-Customer'!$AR18,FALSE),0)</f>
        <v>0</v>
      </c>
      <c r="AT18" s="105" t="s">
        <v>98</v>
      </c>
      <c r="AU18" s="100">
        <f>IFERROR(IF($AU$2="Enter Spend&gt;&gt;&gt;",$AU$3*AS18,SUMIFS('Existing Customers'!$Q:$Q,'Existing Customers'!$H:$H,'Multi-Customer'!$AT18,'Existing Customers'!$A:$A,'Multi-Customer'!$AU$1)*$AU$4),0)</f>
        <v>0</v>
      </c>
      <c r="AV18" s="92">
        <f>IFERROR(IF($AU$2="Enter Spend&gt;&gt;&gt;",'Multi-Customer'!AU18/VLOOKUP($AU$5,'Basket Composition'!$A$34:$W$61,'Multi-Customer'!$AR18,FALSE),SUMIFS('Existing Customers'!$N:$N,'Existing Customers'!$H:$H,'Multi-Customer'!$AT18,'Existing Customers'!$A:$A,'Multi-Customer'!$AU$1)*$AU$4),0)</f>
        <v>0</v>
      </c>
      <c r="AW18" s="92">
        <f>IFERROR(IF($AU$2="Enter Spend&gt;&gt;&gt;",AV18*$AU$8,SUMIFS('Existing Customers'!$O:$O,'Existing Customers'!$H:$H,'Multi-Customer'!$AT18,'Existing Customers'!$A:$A,'Multi-Customer'!AU$1)*$AU$4),0)</f>
        <v>0</v>
      </c>
      <c r="AX18" s="92">
        <f>IFERROR(IF($AU$2="Enter Spend&gt;&gt;&gt;",'Multi-Customer'!AU18/VLOOKUP($AU$5,'Basket Composition'!$A$65:$W$92,'Multi-Customer'!$AR18,FALSE),SUMIFS('Existing Customers'!$P:$P,'Existing Customers'!$H:$H,'Multi-Customer'!$AT18,'Existing Customers'!$A:$A,'Multi-Customer'!$AU$1)*$AU$4),0)</f>
        <v>0</v>
      </c>
      <c r="AY18" s="117">
        <f>IFERROR(IF($AU$2="Enter Spend&gt;&gt;&gt;","N/A",SUMIFS('Existing Customers'!$V:$V,'Existing Customers'!$H:$H,'Multi-Customer'!$AT18,'Existing Customers'!$A:$A,'Multi-Customer'!AU$1)*$AU$4),0)</f>
        <v>0</v>
      </c>
      <c r="AZ18" s="101">
        <f>IFERROR(IF($AU$2="Enter Spend&gt;&gt;&gt;","N/A",SUMIFS('Existing Customers'!$R:$R,'Existing Customers'!$H:$H,'Multi-Customer'!$AT18,'Existing Customers'!$A:$A,'Multi-Customer'!AU$1)*$AU$4),0)</f>
        <v>0</v>
      </c>
      <c r="BA18" s="132"/>
      <c r="BB18">
        <f>IFERROR(VLOOKUP(BD$5,'Basket Composition'!$A$3:$W$30,'Multi-Customer'!$AR18,FALSE),0)</f>
        <v>0</v>
      </c>
      <c r="BC18" s="105" t="s">
        <v>98</v>
      </c>
      <c r="BD18" s="100">
        <f>IFERROR(IF($BD$2="Enter Spend&gt;&gt;&gt;",$BD$3*BB18,SUMIFS('Existing Customers'!$Q:$Q,'Existing Customers'!$H:$H,'Multi-Customer'!$AT18,'Existing Customers'!$A:$A,'Multi-Customer'!$BD$1)*$BD$4),0)</f>
        <v>0</v>
      </c>
      <c r="BE18" s="92">
        <f>IFERROR(IF($BD$2="Enter Spend&gt;&gt;&gt;",'Multi-Customer'!BD18/VLOOKUP($BD$5,'Basket Composition'!$A$34:$W$61,'Multi-Customer'!$AR18,FALSE),SUMIFS('Existing Customers'!$N:$N,'Existing Customers'!$H:$H,'Multi-Customer'!$AT18,'Existing Customers'!$A:$A,'Multi-Customer'!$BD$1)*$BD$4),0)</f>
        <v>0</v>
      </c>
      <c r="BF18" s="92">
        <f>IFERROR(IF($BD$2="Enter Spend&gt;&gt;&gt;",BE18*$BD$8,SUMIFS('Existing Customers'!$O:$O,'Existing Customers'!$H:$H,'Multi-Customer'!$AT18,'Existing Customers'!$A:$A,'Multi-Customer'!BD$1)*$BD$4),0)</f>
        <v>0</v>
      </c>
      <c r="BG18" s="92">
        <f>IFERROR(IF($BD$2="Enter Spend&gt;&gt;&gt;",'Multi-Customer'!BD18/VLOOKUP($BD$5,'Basket Composition'!$A$65:$W$92,'Multi-Customer'!$AR18,FALSE),SUMIFS('Existing Customers'!$P:$P,'Existing Customers'!$H:$H,'Multi-Customer'!$AT18,'Existing Customers'!$A:$A,'Multi-Customer'!$BD$1)*$BD$4),0)</f>
        <v>0</v>
      </c>
      <c r="BH18" s="101">
        <f>IFERROR(IF($BD$2="Enter Spend&gt;&gt;&gt;","N/A",SUMIFS('Existing Customers'!$V:$V,'Existing Customers'!$H:$H,'Multi-Customer'!$AT18,'Existing Customers'!$A:$A,'Multi-Customer'!BD$1)*$BD$4),0)</f>
        <v>0</v>
      </c>
      <c r="BI18" s="101">
        <f>IFERROR(IF($BD$2="Enter Spend&gt;&gt;&gt;","N/A",SUMIFS('Existing Customers'!$R:$R,'Existing Customers'!$H:$H,'Multi-Customer'!$AT18,'Existing Customers'!$A:$A,'Multi-Customer'!BD$1)*$BD$4),0)</f>
        <v>0</v>
      </c>
      <c r="BJ18" s="132"/>
      <c r="BK18">
        <f>IFERROR(VLOOKUP(BM$5,'Basket Composition'!$A$3:$W$30,'Multi-Customer'!$AR18,FALSE),0)</f>
        <v>0</v>
      </c>
      <c r="BL18" s="105" t="s">
        <v>98</v>
      </c>
      <c r="BM18" s="100">
        <f>IFERROR(IF($BM$2="Enter Spend&gt;&gt;&gt;",$BM$3*BK18,SUMIFS('Existing Customers'!$Q:$Q,'Existing Customers'!$H:$H,'Multi-Customer'!$AT18,'Existing Customers'!$A:$A,'Multi-Customer'!$BM$1)*$BM$4),0)</f>
        <v>0</v>
      </c>
      <c r="BN18" s="92">
        <f>IFERROR(IF($BM$2="Enter Spend&gt;&gt;&gt;",'Multi-Customer'!BM18/VLOOKUP($BM$5,'Basket Composition'!$A$34:$W$61,'Multi-Customer'!$AR18,FALSE),SUMIFS('Existing Customers'!$N:$N,'Existing Customers'!$H:$H,'Multi-Customer'!$AT18,'Existing Customers'!$A:$A,'Multi-Customer'!$BM$1)*$BM$4),0)</f>
        <v>0</v>
      </c>
      <c r="BO18" s="92">
        <f>IFERROR(IF($BM$2="Enter Spend&gt;&gt;&gt;",BN18*$BM$8,SUMIFS('Existing Customers'!$O:$O,'Existing Customers'!$H:$H,'Multi-Customer'!$AT18,'Existing Customers'!$A:$A,'Multi-Customer'!BM$1)*$BM$4),0)</f>
        <v>0</v>
      </c>
      <c r="BP18" s="92">
        <f>IFERROR(IF($BM$2="Enter Spend&gt;&gt;&gt;",'Multi-Customer'!BM18/VLOOKUP($BM$5,'Basket Composition'!$A$65:$W$92,'Multi-Customer'!$AR18,FALSE),SUMIFS('Existing Customers'!$P:$P,'Existing Customers'!$H:$H,'Multi-Customer'!$AT18,'Existing Customers'!$A:$A,'Multi-Customer'!$BM$1)*$BM$4),0)</f>
        <v>0</v>
      </c>
      <c r="BQ18" s="101">
        <f>IFERROR(IF($BM$2="Enter Spend&gt;&gt;&gt;","N/A",SUMIFS('Existing Customers'!$V:$V,'Existing Customers'!$H:$H,'Multi-Customer'!$AT18,'Existing Customers'!$A:$A,'Multi-Customer'!BM$1)*$BM$4),0)</f>
        <v>0</v>
      </c>
      <c r="BR18" s="101">
        <f>IFERROR(IF($BM$2="Enter Spend&gt;&gt;&gt;","N/A",SUMIFS('Existing Customers'!$R:$R,'Existing Customers'!$H:$H,'Multi-Customer'!$AT18,'Existing Customers'!$A:$A,'Multi-Customer'!BM$1)*$BM$4),0)</f>
        <v>0</v>
      </c>
      <c r="BS18" s="132"/>
      <c r="BT18">
        <f>IFERROR(VLOOKUP(BV$5,'Basket Composition'!$A$3:$W$30,'Multi-Customer'!$AR18,FALSE),0)</f>
        <v>0</v>
      </c>
      <c r="BU18" s="105" t="s">
        <v>98</v>
      </c>
      <c r="BV18" s="100">
        <f>IFERROR(IF($BV$2="Enter Spend&gt;&gt;&gt;",$BV$3*BT18,SUMIFS('Existing Customers'!$Q:$Q,'Existing Customers'!$H:$H,'Multi-Customer'!$AT18,'Existing Customers'!$A:$A,'Multi-Customer'!$BV$1)*$BV$4),0)</f>
        <v>0</v>
      </c>
      <c r="BW18" s="92">
        <f>IFERROR(IF($BV$2="Enter Spend&gt;&gt;&gt;",'Multi-Customer'!BV18/VLOOKUP($BV$5,'Basket Composition'!$A$34:$W$61,'Multi-Customer'!$AR18,FALSE),SUMIFS('Existing Customers'!$N:$N,'Existing Customers'!$H:$H,'Multi-Customer'!$AT18,'Existing Customers'!$A:$A,'Multi-Customer'!$BV$1)*$BV$4),0)</f>
        <v>0</v>
      </c>
      <c r="BX18" s="92">
        <f>IFERROR(IF($BV$2="Enter Spend&gt;&gt;&gt;",BW18*$BV$8,SUMIFS('Existing Customers'!$O:$O,'Existing Customers'!$H:$H,'Multi-Customer'!$AT18,'Existing Customers'!$A:$A,'Multi-Customer'!BV$1)*$BV$4),0)</f>
        <v>0</v>
      </c>
      <c r="BY18" s="92">
        <f>IFERROR(IF($BV$2="Enter Spend&gt;&gt;&gt;",'Multi-Customer'!BV18/VLOOKUP($BV$5,'Basket Composition'!$A$65:$W$92,'Multi-Customer'!$AR18,FALSE),SUMIFS('Existing Customers'!$P:$P,'Existing Customers'!$H:$H,'Multi-Customer'!$AT18,'Existing Customers'!$A:$A,'Multi-Customer'!$BV$1)*$BV$4),0)</f>
        <v>0</v>
      </c>
      <c r="BZ18" s="101">
        <f>IFERROR(IF($BV$2="Enter Spend&gt;&gt;&gt;","N/A",SUMIFS('Existing Customers'!$V:$V,'Existing Customers'!$H:$H,'Multi-Customer'!$AT18,'Existing Customers'!$A:$A,'Multi-Customer'!BV$1)*$BV$4),0)</f>
        <v>0</v>
      </c>
      <c r="CA18" s="101">
        <f>IFERROR(IF($BV$2="Enter Spend&gt;&gt;&gt;","N/A",SUMIFS('Existing Customers'!$R:$R,'Existing Customers'!$H:$H,'Multi-Customer'!$AT18,'Existing Customers'!$A:$A,'Multi-Customer'!BV$1)*$BV$4),0)</f>
        <v>0</v>
      </c>
      <c r="CB18" s="132"/>
      <c r="CC18">
        <f>IFERROR(VLOOKUP(CE$5,'Basket Composition'!$A$3:$W$30,'Multi-Customer'!$AR18,FALSE),0)</f>
        <v>0</v>
      </c>
      <c r="CD18" s="105" t="s">
        <v>98</v>
      </c>
      <c r="CE18" s="100">
        <f>IFERROR(IF($CE$2="Enter Spend&gt;&gt;&gt;",$CE$3*CC18,SUMIFS('Existing Customers'!$Q:$Q,'Existing Customers'!$H:$H,'Multi-Customer'!$AT18,'Existing Customers'!$A:$A,'Multi-Customer'!$CE$1)*$CE$4),0)</f>
        <v>0</v>
      </c>
      <c r="CF18" s="92">
        <f>IFERROR(IF($CE$2="Enter Spend&gt;&gt;&gt;",'Multi-Customer'!CE18/VLOOKUP($CE$5,'Basket Composition'!$A$34:$W$61,'Multi-Customer'!$AR18,FALSE),SUMIFS('Existing Customers'!$N:$N,'Existing Customers'!$H:$H,'Multi-Customer'!$AT18,'Existing Customers'!$A:$A,'Multi-Customer'!$CE$1)*$CE$4),0)</f>
        <v>0</v>
      </c>
      <c r="CG18" s="92">
        <f>IFERROR(IF($CE$2="Enter Spend&gt;&gt;&gt;",CF18*$CE$8,SUMIFS('Existing Customers'!$O:$O,'Existing Customers'!$H:$H,'Multi-Customer'!$AT18,'Existing Customers'!$A:$A,'Multi-Customer'!CE$1)*$CE$4),0)</f>
        <v>0</v>
      </c>
      <c r="CH18" s="92">
        <f>IFERROR(IF($CE$2="Enter Spend&gt;&gt;&gt;",'Multi-Customer'!CE18/VLOOKUP($CE$5,'Basket Composition'!$A$65:$W$92,'Multi-Customer'!$AR18,FALSE),SUMIFS('Existing Customers'!$P:$P,'Existing Customers'!$H:$H,'Multi-Customer'!$AT18,'Existing Customers'!$A:$A,'Multi-Customer'!$CE$1)*$CE$4),0)</f>
        <v>0</v>
      </c>
      <c r="CI18" s="101">
        <f>IFERROR(IF($CE$2="Enter Spend&gt;&gt;&gt;","N/A",SUMIFS('Existing Customers'!$V:$V,'Existing Customers'!$H:$H,'Multi-Customer'!$AT18,'Existing Customers'!$A:$A,'Multi-Customer'!CE$1)*$CE$4),0)</f>
        <v>0</v>
      </c>
      <c r="CJ18" s="101">
        <f>IFERROR(IF($CE$2="Enter Spend&gt;&gt;&gt;","N/A",SUMIFS('Existing Customers'!$R:$R,'Existing Customers'!$H:$H,'Multi-Customer'!$AT18,'Existing Customers'!$A:$A,'Multi-Customer'!CE$1)*$CE$4),0)</f>
        <v>0</v>
      </c>
      <c r="CK18" s="132"/>
      <c r="CL18">
        <f>IFERROR(VLOOKUP(CN$5,'Basket Composition'!$A$3:$W$30,'Multi-Customer'!$AR18,FALSE),0)</f>
        <v>0</v>
      </c>
      <c r="CM18" s="105" t="s">
        <v>98</v>
      </c>
      <c r="CN18" s="100">
        <f>IFERROR(IF($CN$2="Enter Spend&gt;&gt;&gt;",$CN$3*CL18,SUMIFS('Existing Customers'!$Q:$Q,'Existing Customers'!$H:$H,'Multi-Customer'!$AT18,'Existing Customers'!$A:$A,'Multi-Customer'!$CN$1)*$CN$4),0)</f>
        <v>0</v>
      </c>
      <c r="CO18" s="92">
        <f>IFERROR(IF($CN$2="Enter Spend&gt;&gt;&gt;",'Multi-Customer'!CN18/VLOOKUP($CN$5,'Basket Composition'!$A$34:$W$61,'Multi-Customer'!$AR18,FALSE),SUMIFS('Existing Customers'!$N:$N,'Existing Customers'!$H:$H,'Multi-Customer'!$AT18,'Existing Customers'!$A:$A,'Multi-Customer'!$CN$1)*$CN$4),0)</f>
        <v>0</v>
      </c>
      <c r="CP18" s="92">
        <f>IFERROR(IF($CN$2="Enter Spend&gt;&gt;&gt;",CO18*$CN$8,SUMIFS('Existing Customers'!$O:$O,'Existing Customers'!$H:$H,'Multi-Customer'!$AT18,'Existing Customers'!$A:$A,'Multi-Customer'!CN$1)*$CN$4),0)</f>
        <v>0</v>
      </c>
      <c r="CQ18" s="92">
        <f>IFERROR(IF($CN$2="Enter Spend&gt;&gt;&gt;",'Multi-Customer'!CN18/VLOOKUP($CN$5,'Basket Composition'!$A$65:$W$92,'Multi-Customer'!$AR18,FALSE),SUMIFS('Existing Customers'!$P:$P,'Existing Customers'!$H:$H,'Multi-Customer'!$AT18,'Existing Customers'!$A:$A,'Multi-Customer'!$CN$1)*$CN$4),0)</f>
        <v>0</v>
      </c>
      <c r="CR18" s="101">
        <f>IFERROR(IF($CN$2="Enter Spend&gt;&gt;&gt;","N/A",SUMIFS('Existing Customers'!$V:$V,'Existing Customers'!$H:$H,'Multi-Customer'!$AT18,'Existing Customers'!$A:$A,'Multi-Customer'!CN$1)*$CN$4),0)</f>
        <v>0</v>
      </c>
      <c r="CS18" s="101">
        <f>IFERROR(IF($CN$2="Enter Spend&gt;&gt;&gt;","N/A",SUMIFS('Existing Customers'!$R:$R,'Existing Customers'!$H:$H,'Multi-Customer'!$AT18,'Existing Customers'!$A:$A,'Multi-Customer'!CN$1)*$CN$4),0)</f>
        <v>0</v>
      </c>
      <c r="CT18" s="132"/>
      <c r="CU18">
        <f>IFERROR(VLOOKUP(CW$5,'Basket Composition'!$A$3:$W$30,'Multi-Customer'!$AR18,FALSE),0)</f>
        <v>0</v>
      </c>
      <c r="CV18" s="105" t="s">
        <v>98</v>
      </c>
      <c r="CW18" s="100">
        <f>IFERROR(IF($CW$2="Enter Spend&gt;&gt;&gt;",$CW$3*CU18,SUMIFS('Existing Customers'!$Q:$Q,'Existing Customers'!$H:$H,'Multi-Customer'!$AT18,'Existing Customers'!$A:$A,'Multi-Customer'!$CW$1)*$CW$4),0)</f>
        <v>0</v>
      </c>
      <c r="CX18" s="92">
        <f>IFERROR(IF($CW$2="Enter Spend&gt;&gt;&gt;",'Multi-Customer'!CW18/VLOOKUP($CW$5,'Basket Composition'!$A$34:$W$61,'Multi-Customer'!$AR18,FALSE),SUMIFS('Existing Customers'!$N:$N,'Existing Customers'!$H:$H,'Multi-Customer'!$AT18,'Existing Customers'!$A:$A,'Multi-Customer'!$CW$1)*$CW$4),0)</f>
        <v>0</v>
      </c>
      <c r="CY18" s="92">
        <f>IFERROR(IF($CW$2="Enter Spend&gt;&gt;&gt;",CX18*$CW$8,SUMIFS('Existing Customers'!$O:$O,'Existing Customers'!$H:$H,'Multi-Customer'!$AT18,'Existing Customers'!$A:$A,'Multi-Customer'!CW$1)*$CW$4),0)</f>
        <v>0</v>
      </c>
      <c r="CZ18" s="92">
        <f>IFERROR(IF($CW$2="Enter Spend&gt;&gt;&gt;",'Multi-Customer'!CW18/VLOOKUP($CW$5,'Basket Composition'!$A$65:$W$92,'Multi-Customer'!$AR18,FALSE),SUMIFS('Existing Customers'!$P:$P,'Existing Customers'!$H:$H,'Multi-Customer'!$AT18,'Existing Customers'!$A:$A,'Multi-Customer'!$CW$1)*$CW$4),0)</f>
        <v>0</v>
      </c>
      <c r="DA18" s="101">
        <f>IFERROR(IF($CW$2="Enter Spend&gt;&gt;&gt;","N/A",SUMIFS('Existing Customers'!$V:$V,'Existing Customers'!$H:$H,'Multi-Customer'!$AT18,'Existing Customers'!$A:$A,'Multi-Customer'!CW$1)*$CW$4),0)</f>
        <v>0</v>
      </c>
      <c r="DB18" s="101">
        <f>IFERROR(IF($CW$2="Enter Spend&gt;&gt;&gt;","N/A",SUMIFS('Existing Customers'!$R:$R,'Existing Customers'!$H:$H,'Multi-Customer'!$AT18,'Existing Customers'!$A:$A,'Multi-Customer'!CW$1)*$CW$4),0)</f>
        <v>0</v>
      </c>
      <c r="DC18" s="132"/>
      <c r="DD18">
        <f>IFERROR(VLOOKUP(DF$5,'Basket Composition'!$A$3:$W$30,'Multi-Customer'!$AR18,FALSE),0)</f>
        <v>0</v>
      </c>
      <c r="DE18" s="105" t="s">
        <v>98</v>
      </c>
      <c r="DF18" s="100">
        <f>IFERROR(IF($DF$2="Enter Spend&gt;&gt;&gt;",$DF$3*DD18,SUMIFS('Existing Customers'!$Q:$Q,'Existing Customers'!$H:$H,'Multi-Customer'!$AT18,'Existing Customers'!$A:$A,'Multi-Customer'!$DF$1)*$DF$4),0)</f>
        <v>0</v>
      </c>
      <c r="DG18" s="92">
        <f>IFERROR(IF($DF$2="Enter Spend&gt;&gt;&gt;",'Multi-Customer'!DF18/VLOOKUP($DF$5,'Basket Composition'!$A$34:$W$61,'Multi-Customer'!$AR18,FALSE),SUMIFS('Existing Customers'!$N:$N,'Existing Customers'!$H:$H,'Multi-Customer'!$AT18,'Existing Customers'!$A:$A,'Multi-Customer'!$DF$1)*$DF$4),0)</f>
        <v>0</v>
      </c>
      <c r="DH18" s="92">
        <f>IFERROR(IF($DF$2="Enter Spend&gt;&gt;&gt;",DG18*$DF$8,SUMIFS('Existing Customers'!$O:$O,'Existing Customers'!$H:$H,'Multi-Customer'!$AT18,'Existing Customers'!$A:$A,'Multi-Customer'!DF$1)*$DF$4),0)</f>
        <v>0</v>
      </c>
      <c r="DI18" s="92">
        <f>IFERROR(IF($DF$2="Enter Spend&gt;&gt;&gt;",'Multi-Customer'!DF18/VLOOKUP($DF$5,'Basket Composition'!$A$65:$W$92,'Multi-Customer'!$AR18,FALSE),SUMIFS('Existing Customers'!$P:$P,'Existing Customers'!$H:$H,'Multi-Customer'!$AT18,'Existing Customers'!$A:$A,'Multi-Customer'!$DF$1)*$DF$4),0)</f>
        <v>0</v>
      </c>
      <c r="DJ18" s="101">
        <f>IFERROR(IF($DF$2="Enter Spend&gt;&gt;&gt;","N/A",SUMIFS('Existing Customers'!$V:$V,'Existing Customers'!$H:$H,'Multi-Customer'!$AT18,'Existing Customers'!$A:$A,'Multi-Customer'!DF$1)*$DF$4),0)</f>
        <v>0</v>
      </c>
      <c r="DK18" s="101">
        <f>IFERROR(IF($DF$2="Enter Spend&gt;&gt;&gt;","N/A",SUMIFS('Existing Customers'!$R:$R,'Existing Customers'!$H:$H,'Multi-Customer'!$AT18,'Existing Customers'!$A:$A,'Multi-Customer'!DF$1)*$DF$4),0)</f>
        <v>0</v>
      </c>
      <c r="DL18" s="132"/>
      <c r="DM18">
        <f>IFERROR(VLOOKUP(DO$5,'Basket Composition'!$A$3:$W$30,'Multi-Customer'!$AR18,FALSE),0)</f>
        <v>0</v>
      </c>
      <c r="DN18" s="105" t="s">
        <v>98</v>
      </c>
      <c r="DO18" s="100">
        <f>IFERROR(IF($DO$2="Enter Spend&gt;&gt;&gt;",$DO$3*DM18,SUMIFS('Existing Customers'!$Q:$Q,'Existing Customers'!$H:$H,'Multi-Customer'!$AT18,'Existing Customers'!$A:$A,'Multi-Customer'!$DO$1)*$DO$4),0)</f>
        <v>0</v>
      </c>
      <c r="DP18" s="92">
        <f>IFERROR(IF($DO$2="Enter Spend&gt;&gt;&gt;",'Multi-Customer'!DO18/VLOOKUP($DO$5,'Basket Composition'!$A$34:$W$61,'Multi-Customer'!$AR18,FALSE),SUMIFS('Existing Customers'!$N:$N,'Existing Customers'!$H:$H,'Multi-Customer'!$AT18,'Existing Customers'!$A:$A,'Multi-Customer'!$DO$1)*$DO$4),0)</f>
        <v>0</v>
      </c>
      <c r="DQ18" s="92">
        <f>IFERROR(IF($DO$2="Enter Spend&gt;&gt;&gt;",DP18*$DO$8,SUMIFS('Existing Customers'!$O:$O,'Existing Customers'!$H:$H,'Multi-Customer'!$AT18,'Existing Customers'!$A:$A,'Multi-Customer'!DO$1)*$DO$4),0)</f>
        <v>0</v>
      </c>
      <c r="DR18" s="92">
        <f>IFERROR(IF($DO$2="Enter Spend&gt;&gt;&gt;",'Multi-Customer'!DO18/VLOOKUP($DO$5,'Basket Composition'!$A$65:$W$92,'Multi-Customer'!$AR18,FALSE),SUMIFS('Existing Customers'!$P:$P,'Existing Customers'!$H:$H,'Multi-Customer'!$AT18,'Existing Customers'!$A:$A,'Multi-Customer'!$DO$1)*$DO$4),0)</f>
        <v>0</v>
      </c>
      <c r="DS18" s="117">
        <f>IFERROR(IF($DO$2="Enter Spend&gt;&gt;&gt;","N/A",SUMIFS('Existing Customers'!$V:$V,'Existing Customers'!$H:$H,'Multi-Customer'!$AT18,'Existing Customers'!$A:$A,'Multi-Customer'!DO$1)*$DO$4),0)</f>
        <v>0</v>
      </c>
      <c r="DT18" s="101">
        <f>IFERROR(IF($DO$2="Enter Spend&gt;&gt;&gt;","N/A",SUMIFS('Existing Customers'!$R:$R,'Existing Customers'!$H:$H,'Multi-Customer'!$AT18,'Existing Customers'!$A:$A,'Multi-Customer'!DO$1)*$DO$4),0)</f>
        <v>0</v>
      </c>
      <c r="DU18" s="132"/>
      <c r="DV18">
        <f>IFERROR(VLOOKUP(DX$5,'Basket Composition'!$A$3:$W$30,'Multi-Customer'!$AR18,FALSE),0)</f>
        <v>0</v>
      </c>
      <c r="DW18" s="105" t="s">
        <v>98</v>
      </c>
      <c r="DX18" s="100">
        <f>IFERROR(IF($DX$2="Enter Spend&gt;&gt;&gt;",$DX$3*DV18,SUMIFS('Existing Customers'!$Q:$Q,'Existing Customers'!$H:$H,'Multi-Customer'!$AT18,'Existing Customers'!$A:$A,'Multi-Customer'!$DX$1)*$DX$4),0)</f>
        <v>0</v>
      </c>
      <c r="DY18" s="92">
        <f>IFERROR(IF($DX$2="Enter Spend&gt;&gt;&gt;",'Multi-Customer'!DX18/VLOOKUP($DX$5,'Basket Composition'!$A$34:$W$61,'Multi-Customer'!$AR18,FALSE),SUMIFS('Existing Customers'!$N:$N,'Existing Customers'!$H:$H,'Multi-Customer'!$AT18,'Existing Customers'!$A:$A,'Multi-Customer'!$DX$1)*$DX$4),0)</f>
        <v>0</v>
      </c>
      <c r="DZ18" s="92">
        <f>IFERROR(IF($DX$2="Enter Spend&gt;&gt;&gt;",DY18*$DX$8,SUMIFS('Existing Customers'!$O:$O,'Existing Customers'!$H:$H,'Multi-Customer'!$AT18,'Existing Customers'!$A:$A,'Multi-Customer'!DX$1)*$DX$4),0)</f>
        <v>0</v>
      </c>
      <c r="EA18" s="92">
        <f>IFERROR(IF($DX$2="Enter Spend&gt;&gt;&gt;",'Multi-Customer'!DX18/VLOOKUP($DX$5,'Basket Composition'!$A$65:$W$92,'Multi-Customer'!$AR18,FALSE),SUMIFS('Existing Customers'!$P:$P,'Existing Customers'!$H:$H,'Multi-Customer'!$AT18,'Existing Customers'!$A:$A,'Multi-Customer'!$DX$1)*$DX$4),0)</f>
        <v>0</v>
      </c>
      <c r="EB18" s="117">
        <f>IFERROR(IF($DX$2="Enter Spend&gt;&gt;&gt;","N/A",SUMIFS('Existing Customers'!$V:$V,'Existing Customers'!$H:$H,'Multi-Customer'!$AT18,'Existing Customers'!$A:$A,'Multi-Customer'!DX$1)*$DX$4),0)</f>
        <v>0</v>
      </c>
      <c r="EC18" s="101">
        <f>IFERROR(IF($DX$2="Enter Spend&gt;&gt;&gt;","N/A",SUMIFS('Existing Customers'!$R:$R,'Existing Customers'!$H:$H,'Multi-Customer'!$AT18,'Existing Customers'!$A:$A,'Multi-Customer'!DX$1)*$DX$4),0)</f>
        <v>0</v>
      </c>
      <c r="EE18" s="105" t="s">
        <v>98</v>
      </c>
      <c r="EF18" s="100"/>
      <c r="EG18" s="92"/>
      <c r="EH18" s="92"/>
      <c r="EI18" s="92"/>
      <c r="EJ18" s="117"/>
      <c r="EK18" s="101"/>
      <c r="EL18" s="132"/>
      <c r="EN18" s="105" t="s">
        <v>98</v>
      </c>
      <c r="EO18" s="100"/>
      <c r="EP18" s="92"/>
      <c r="EQ18" s="92"/>
      <c r="ER18" s="92"/>
      <c r="ES18" s="117"/>
      <c r="ET18" s="101"/>
    </row>
    <row r="19" spans="2:150" x14ac:dyDescent="0.25">
      <c r="B19" s="105" t="s">
        <v>95</v>
      </c>
      <c r="C19" s="487">
        <f t="shared" si="6"/>
        <v>0</v>
      </c>
      <c r="D19" s="504">
        <f t="shared" si="7"/>
        <v>0</v>
      </c>
      <c r="E19" s="504">
        <f t="shared" si="8"/>
        <v>0</v>
      </c>
      <c r="F19" s="504">
        <f t="shared" si="9"/>
        <v>0</v>
      </c>
      <c r="G19" s="505">
        <f t="shared" si="10"/>
        <v>0</v>
      </c>
      <c r="H19" s="507">
        <f t="shared" si="11"/>
        <v>0</v>
      </c>
      <c r="J19" t="str">
        <f>'PIM Model'!E17</f>
        <v>INCLUDE</v>
      </c>
      <c r="K19">
        <f t="shared" si="12"/>
        <v>0</v>
      </c>
      <c r="L19">
        <f t="shared" si="13"/>
        <v>0</v>
      </c>
      <c r="M19" s="105" t="s">
        <v>95</v>
      </c>
      <c r="N19" s="100">
        <f t="shared" si="14"/>
        <v>0</v>
      </c>
      <c r="O19" s="92">
        <f t="shared" si="0"/>
        <v>0</v>
      </c>
      <c r="P19" s="92">
        <f t="shared" si="1"/>
        <v>0</v>
      </c>
      <c r="Q19" s="92">
        <f t="shared" si="2"/>
        <v>0</v>
      </c>
      <c r="R19" s="117">
        <f t="shared" si="3"/>
        <v>0</v>
      </c>
      <c r="S19" s="120">
        <f t="shared" si="15"/>
        <v>0</v>
      </c>
      <c r="T19" s="404"/>
      <c r="U19" s="105" t="s">
        <v>95</v>
      </c>
      <c r="V19" s="491">
        <f t="shared" si="4"/>
        <v>0</v>
      </c>
      <c r="W19" s="492">
        <f t="shared" si="4"/>
        <v>0</v>
      </c>
      <c r="X19" s="492">
        <f t="shared" si="4"/>
        <v>0</v>
      </c>
      <c r="Y19" s="493">
        <f t="shared" si="16"/>
        <v>0</v>
      </c>
      <c r="Z19" s="494">
        <f t="shared" si="17"/>
        <v>0</v>
      </c>
      <c r="AA19" s="404"/>
      <c r="AB19" s="105" t="s">
        <v>95</v>
      </c>
      <c r="AC19" s="491">
        <f t="shared" si="5"/>
        <v>0</v>
      </c>
      <c r="AD19" s="488">
        <f t="shared" si="18"/>
        <v>0</v>
      </c>
      <c r="AE19" s="494"/>
      <c r="AF19" s="404"/>
      <c r="AG19" s="1" t="str">
        <f>IF('PIM Ranges'!$AK19='PIM Ranges'!$AW$11,IF($AC19&lt;'PIM Ranges'!$AX$11,"Q1",IF($AC19&lt;'PIM Ranges'!$AY$11,"Q2",IF($AC19&lt;'PIM Ranges'!$AZ$11,"Q3",IF($AC19&lt;'PIM Ranges'!$BA$11,"Q4","Q5")))),IF('PIM Ranges'!$AK19='PIM Ranges'!$AW$12,IF($AC19&lt;'PIM Ranges'!$AX$12,"Q1",IF($AC19&lt;'PIM Ranges'!$AY$12,"Q2",IF($AC19&lt;'PIM Ranges'!$AZ$12,"Q3",IF($AC19&lt;'PIM Ranges'!$BA$12,"Q4","Q5")))),IF('PIM Ranges'!$AK19='PIM Ranges'!$AW$13,IF($AC19&lt;'PIM Ranges'!$AX$13,"Q1",IF($AC19&lt;'PIM Ranges'!$AY$13,"Q2",IF($AC19&lt;'PIM Ranges'!$AZ$13,"Q3",IF($AC19&lt;'PIM Ranges'!$BA$13,"Q4","Q5")))),IF('PIM Ranges'!$AK19='PIM Ranges'!$AW$14,IF($AC19&lt;'PIM Ranges'!$AX$14,"Q1",IF($AC19&lt;'PIM Ranges'!$AY$14,"Q2",IF($AC19&lt;'PIM Ranges'!$AZ$14,"Q3",IF($AC19&lt;'PIM Ranges'!$BA$14,"Q4","Q5")))),IF('PIM Ranges'!$AK19='PIM Ranges'!$AW$15,IF($AC19&lt;'PIM Ranges'!$AX$15,"Q1",IF($AC19&lt;'PIM Ranges'!$AY$15,"Q2",IF($AC19&lt;'PIM Ranges'!$AZ$15,"Q3",IF($AC19&lt;'PIM Ranges'!$BA$15,"Q4","Q5")))),IF('PIM Ranges'!$AK19='PIM Ranges'!$AW$16,IF($AC19&lt;'PIM Ranges'!$AX$16,"Q1",IF($AC19&lt;'PIM Ranges'!$AY$16,"Q2",IF($AC19&lt;'PIM Ranges'!$AZ$16,"Q3",IF($AC19&lt;'PIM Ranges'!$BA$16,"Q4","Q5")))),IF('PIM Ranges'!$AK19='PIM Ranges'!$AW$17,IF($AC19&lt;'PIM Ranges'!$AX$17,"Q1",IF($AC19&lt;'PIM Ranges'!$AY$17,"Q2",IF($AC19&lt;'PIM Ranges'!$AZ$17,"Q3",IF($AC19&lt;'PIM Ranges'!$BA$17,"Q4","Q5")))),IF('PIM Ranges'!$AK19='PIM Ranges'!$AW$18,IF($AC19&lt;'PIM Ranges'!$AX$18,"Q1",IF($AC19&lt;'PIM Ranges'!$AY$18,"Q2",IF($AC19&lt;'PIM Ranges'!$AZ$18,"Q3",IF($AC19&lt;'PIM Ranges'!$BA$18,"Q4","Q5")))),IF('PIM Ranges'!$AK19='PIM Ranges'!$AW$19,IF($AC19&lt;'PIM Ranges'!$AX$19,"Q1",IF($AC19&lt;'PIM Ranges'!$AY$19,"Q2",IF($AC19&lt;'PIM Ranges'!$AZ$19,"Q3",IF($AC19&lt;'PIM Ranges'!$BA$19,"Q4","Q5")))),IF('PIM Ranges'!$AK19='PIM Ranges'!$AW$20,IF($AC19&lt;'PIM Ranges'!$AX$20,"Q1",IF($AC19&lt;'PIM Ranges'!$AY$20,"Q2",IF($AC19&lt;'PIM Ranges'!$AZ$20,"Q3",IF($AC19&lt;'PIM Ranges'!$BA$20,"Q4","Q5")))),IF('PIM Ranges'!$AK19='PIM Ranges'!$AW$21,IF($AC19&lt;'PIM Ranges'!$AX$21,"Q1",IF($AC19&lt;'PIM Ranges'!$AY$21,"Q2",IF($AC19&lt;'PIM Ranges'!$AZ$21,"Q3",IF($AC19&lt;'PIM Ranges'!$BA$21,"Q4","Q5")))),IF('PIM Ranges'!$AK19='PIM Ranges'!$AW$22,IF($AC19&lt;'PIM Ranges'!$AX$22,"Q1",IF($AC19&lt;'PIM Ranges'!$AY$22,"Q2",IF($AC19&lt;'PIM Ranges'!$AZ$22,"Q3",IF($AC19&lt;'PIM Ranges'!$BA$22,"Q4","Q5")))),IF('PIM Ranges'!$AK19='PIM Ranges'!$AW$23,IF($AC19&lt;'PIM Ranges'!$AX$23,"Q1",IF($AC19&lt;'PIM Ranges'!$AY$23,"Q2",IF($AC19&lt;'PIM Ranges'!$AZ$23,"Q3",IF($AC19&lt;'PIM Ranges'!$BA$23,"Q4","Q5")))),IF('PIM Ranges'!$AK19='PIM Ranges'!$AW$24,IF($AC19&lt;'PIM Ranges'!$AX$24,"Q1",IF($AC19&lt;'PIM Ranges'!$AY$24,"Q2",IF($AC19&lt;'PIM Ranges'!$AZ$24,"Q3",IF($AC19&lt;'PIM Ranges'!$BA$24,"Q4","Q5")))),IF('PIM Ranges'!$AK19='PIM Ranges'!$AW$25,IF($AC19&lt;'PIM Ranges'!$AX$25,"Q1",IF($AC19&lt;'PIM Ranges'!$AY$25,"Q2",IF($AC19&lt;'PIM Ranges'!$AZ$25,"Q3",IF($AC19&lt;'PIM Ranges'!$BA$25,"Q4","Q5")))),IF('PIM Ranges'!$AK19='PIM Ranges'!$AW$26,IF($AC19&lt;'PIM Ranges'!$AX$26,"Q1",IF($AC19&lt;'PIM Ranges'!$AY$26,"Q2",IF($AC19&lt;'PIM Ranges'!$AZ$26,"Q3",IF($AC19&lt;'PIM Ranges'!$BA$26,"Q4","Q5")))),IF('PIM Ranges'!$AK19='PIM Ranges'!$AW$27,IF($AC19&lt;'PIM Ranges'!$AX$27,"Q1",IF($AC19&lt;'PIM Ranges'!$AY$27,"Q2",IF($AC19&lt;'PIM Ranges'!$AZ$27,"Q3",IF($AC19&lt;'PIM Ranges'!$BA$27,"Q4","Q5")))),IF('PIM Ranges'!$AK19='PIM Ranges'!$AW$28,IF($AC19&lt;'PIM Ranges'!$AX$28,"Q1",IF($AC19&lt;'PIM Ranges'!$AY$28,"Q2",IF($AC19&lt;'PIM Ranges'!$AZ$28,"Q3",IF($AC19&lt;'PIM Ranges'!$BA$28,"Q4","Q5")))),IF('PIM Ranges'!$AK19='PIM Ranges'!$AW$29,IF($AC19&lt;'PIM Ranges'!$AX$29,"Q1",IF($AC19&lt;'PIM Ranges'!$AY$29,"Q2",IF($AC19&lt;'PIM Ranges'!$AZ$29,"Q3",IF($AC19&lt;'PIM Ranges'!$BA$29,"Q4","Q5")))),IF('PIM Ranges'!$AK19='PIM Ranges'!$AW$30,IF($AC19&lt;'PIM Ranges'!$AX$30,"Q1",IF($AC19&lt;'PIM Ranges'!$AY$30,"Q2",IF($AC19&lt;'PIM Ranges'!$AZ$30,"Q3",IF($AC19&lt;'PIM Ranges'!$BA$30,"Q4","Q5")))),IF('PIM Ranges'!$AK19='PIM Ranges'!$AW$31,IF($AC19&lt;'PIM Ranges'!$AX$31,"Q1",IF($AC19&lt;'PIM Ranges'!$AY$31,"Q2",IF($AC19&lt;'PIM Ranges'!$AZ$31,"Q3",IF($AC19&lt;'PIM Ranges'!$BA$31,"Q4","Q5")))),IF('PIM Ranges'!$AK19='PIM Ranges'!$AW$32,IF($AC19&lt;'PIM Ranges'!$AX$32,"Q1",IF($AC19&lt;'PIM Ranges'!$AY$32,"Q2",IF($AC19&lt;'PIM Ranges'!$AZ$32,"Q3",IF($AC19&lt;'PIM Ranges'!$BA$32,"Q4","Q5"))))))))))))))))))))))))))</f>
        <v>Q1</v>
      </c>
      <c r="AH19" s="404">
        <f>VLOOKUP($AB19&amp;$AG19,'IMargin Quartiles'!$A:$F,6,FALSE)</f>
        <v>0.12</v>
      </c>
      <c r="AI19" s="404"/>
      <c r="AJ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K19" s="404" t="e">
        <f>VLOOKUP($AB19&amp;$AJ19,'IMargin Quartiles'!$A:$F,6,FALSE)</f>
        <v>#DIV/0!</v>
      </c>
      <c r="AL19">
        <f>'PIM Model'!C17</f>
        <v>0</v>
      </c>
      <c r="AM19" s="404"/>
      <c r="AN19" s="404"/>
      <c r="AO19" s="404" t="e">
        <f t="shared" si="19"/>
        <v>#DIV/0!</v>
      </c>
      <c r="AP19" s="404"/>
      <c r="AQ19" s="404"/>
      <c r="AR19" s="111">
        <v>10</v>
      </c>
      <c r="AS19">
        <f>IFERROR(VLOOKUP(AU$5,'Basket Composition'!$A$3:$W$30,'Multi-Customer'!$AR19,FALSE),0)</f>
        <v>0</v>
      </c>
      <c r="AT19" s="105" t="s">
        <v>95</v>
      </c>
      <c r="AU19" s="100">
        <f>IFERROR(IF($AU$2="Enter Spend&gt;&gt;&gt;",$AU$3*AS19,SUMIFS('Existing Customers'!$Q:$Q,'Existing Customers'!$H:$H,'Multi-Customer'!$AT19,'Existing Customers'!$A:$A,'Multi-Customer'!$AU$1)*$AU$4),0)</f>
        <v>0</v>
      </c>
      <c r="AV19" s="92">
        <f>IFERROR(IF($AU$2="Enter Spend&gt;&gt;&gt;",'Multi-Customer'!AU19/VLOOKUP($AU$5,'Basket Composition'!$A$34:$W$61,'Multi-Customer'!$AR19,FALSE),SUMIFS('Existing Customers'!$N:$N,'Existing Customers'!$H:$H,'Multi-Customer'!$AT19,'Existing Customers'!$A:$A,'Multi-Customer'!$AU$1)*$AU$4),0)</f>
        <v>0</v>
      </c>
      <c r="AW19" s="92">
        <f>IFERROR(IF($AU$2="Enter Spend&gt;&gt;&gt;",AV19*$AU$8,SUMIFS('Existing Customers'!$O:$O,'Existing Customers'!$H:$H,'Multi-Customer'!$AT19,'Existing Customers'!$A:$A,'Multi-Customer'!AU$1)*$AU$4),0)</f>
        <v>0</v>
      </c>
      <c r="AX19" s="92">
        <f>IFERROR(IF($AU$2="Enter Spend&gt;&gt;&gt;",'Multi-Customer'!AU19/VLOOKUP($AU$5,'Basket Composition'!$A$65:$W$92,'Multi-Customer'!$AR19,FALSE),SUMIFS('Existing Customers'!$P:$P,'Existing Customers'!$H:$H,'Multi-Customer'!$AT19,'Existing Customers'!$A:$A,'Multi-Customer'!$AU$1)*$AU$4),0)</f>
        <v>0</v>
      </c>
      <c r="AY19" s="117">
        <f>IFERROR(IF($AU$2="Enter Spend&gt;&gt;&gt;","N/A",SUMIFS('Existing Customers'!$V:$V,'Existing Customers'!$H:$H,'Multi-Customer'!$AT19,'Existing Customers'!$A:$A,'Multi-Customer'!AU$1)*$AU$4),0)</f>
        <v>0</v>
      </c>
      <c r="AZ19" s="101">
        <f>IFERROR(IF($AU$2="Enter Spend&gt;&gt;&gt;","N/A",SUMIFS('Existing Customers'!$R:$R,'Existing Customers'!$H:$H,'Multi-Customer'!$AT19,'Existing Customers'!$A:$A,'Multi-Customer'!AU$1)*$AU$4),0)</f>
        <v>0</v>
      </c>
      <c r="BA19" s="132"/>
      <c r="BB19">
        <f>IFERROR(VLOOKUP(BD$5,'Basket Composition'!$A$3:$W$30,'Multi-Customer'!$AR19,FALSE),0)</f>
        <v>0</v>
      </c>
      <c r="BC19" s="105" t="s">
        <v>95</v>
      </c>
      <c r="BD19" s="100">
        <f>IFERROR(IF($BD$2="Enter Spend&gt;&gt;&gt;",$BD$3*BB19,SUMIFS('Existing Customers'!$Q:$Q,'Existing Customers'!$H:$H,'Multi-Customer'!$AT19,'Existing Customers'!$A:$A,'Multi-Customer'!$BD$1)*$BD$4),0)</f>
        <v>0</v>
      </c>
      <c r="BE19" s="92">
        <f>IFERROR(IF($BD$2="Enter Spend&gt;&gt;&gt;",'Multi-Customer'!BD19/VLOOKUP($BD$5,'Basket Composition'!$A$34:$W$61,'Multi-Customer'!$AR19,FALSE),SUMIFS('Existing Customers'!$N:$N,'Existing Customers'!$H:$H,'Multi-Customer'!$AT19,'Existing Customers'!$A:$A,'Multi-Customer'!$BD$1)*$BD$4),0)</f>
        <v>0</v>
      </c>
      <c r="BF19" s="92">
        <f>IFERROR(IF($BD$2="Enter Spend&gt;&gt;&gt;",BE19*$BD$8,SUMIFS('Existing Customers'!$O:$O,'Existing Customers'!$H:$H,'Multi-Customer'!$AT19,'Existing Customers'!$A:$A,'Multi-Customer'!BD$1)*$BD$4),0)</f>
        <v>0</v>
      </c>
      <c r="BG19" s="92">
        <f>IFERROR(IF($BD$2="Enter Spend&gt;&gt;&gt;",'Multi-Customer'!BD19/VLOOKUP($BD$5,'Basket Composition'!$A$65:$W$92,'Multi-Customer'!$AR19,FALSE),SUMIFS('Existing Customers'!$P:$P,'Existing Customers'!$H:$H,'Multi-Customer'!$AT19,'Existing Customers'!$A:$A,'Multi-Customer'!$BD$1)*$BD$4),0)</f>
        <v>0</v>
      </c>
      <c r="BH19" s="101">
        <f>IFERROR(IF($BD$2="Enter Spend&gt;&gt;&gt;","N/A",SUMIFS('Existing Customers'!$V:$V,'Existing Customers'!$H:$H,'Multi-Customer'!$AT19,'Existing Customers'!$A:$A,'Multi-Customer'!BD$1)*$BD$4),0)</f>
        <v>0</v>
      </c>
      <c r="BI19" s="101">
        <f>IFERROR(IF($BD$2="Enter Spend&gt;&gt;&gt;","N/A",SUMIFS('Existing Customers'!$R:$R,'Existing Customers'!$H:$H,'Multi-Customer'!$AT19,'Existing Customers'!$A:$A,'Multi-Customer'!BD$1)*$BD$4),0)</f>
        <v>0</v>
      </c>
      <c r="BJ19" s="132"/>
      <c r="BK19">
        <f>IFERROR(VLOOKUP(BM$5,'Basket Composition'!$A$3:$W$30,'Multi-Customer'!$AR19,FALSE),0)</f>
        <v>0</v>
      </c>
      <c r="BL19" s="105" t="s">
        <v>95</v>
      </c>
      <c r="BM19" s="100">
        <f>IFERROR(IF($BM$2="Enter Spend&gt;&gt;&gt;",$BM$3*BK19,SUMIFS('Existing Customers'!$Q:$Q,'Existing Customers'!$H:$H,'Multi-Customer'!$AT19,'Existing Customers'!$A:$A,'Multi-Customer'!$BM$1)*$BM$4),0)</f>
        <v>0</v>
      </c>
      <c r="BN19" s="92">
        <f>IFERROR(IF($BM$2="Enter Spend&gt;&gt;&gt;",'Multi-Customer'!BM19/VLOOKUP($BM$5,'Basket Composition'!$A$34:$W$61,'Multi-Customer'!$AR19,FALSE),SUMIFS('Existing Customers'!$N:$N,'Existing Customers'!$H:$H,'Multi-Customer'!$AT19,'Existing Customers'!$A:$A,'Multi-Customer'!$BM$1)*$BM$4),0)</f>
        <v>0</v>
      </c>
      <c r="BO19" s="92">
        <f>IFERROR(IF($BM$2="Enter Spend&gt;&gt;&gt;",BN19*$BM$8,SUMIFS('Existing Customers'!$O:$O,'Existing Customers'!$H:$H,'Multi-Customer'!$AT19,'Existing Customers'!$A:$A,'Multi-Customer'!BM$1)*$BM$4),0)</f>
        <v>0</v>
      </c>
      <c r="BP19" s="92">
        <f>IFERROR(IF($BM$2="Enter Spend&gt;&gt;&gt;",'Multi-Customer'!BM19/VLOOKUP($BM$5,'Basket Composition'!$A$65:$W$92,'Multi-Customer'!$AR19,FALSE),SUMIFS('Existing Customers'!$P:$P,'Existing Customers'!$H:$H,'Multi-Customer'!$AT19,'Existing Customers'!$A:$A,'Multi-Customer'!$BM$1)*$BM$4),0)</f>
        <v>0</v>
      </c>
      <c r="BQ19" s="101">
        <f>IFERROR(IF($BM$2="Enter Spend&gt;&gt;&gt;","N/A",SUMIFS('Existing Customers'!$V:$V,'Existing Customers'!$H:$H,'Multi-Customer'!$AT19,'Existing Customers'!$A:$A,'Multi-Customer'!BM$1)*$BM$4),0)</f>
        <v>0</v>
      </c>
      <c r="BR19" s="101">
        <f>IFERROR(IF($BM$2="Enter Spend&gt;&gt;&gt;","N/A",SUMIFS('Existing Customers'!$R:$R,'Existing Customers'!$H:$H,'Multi-Customer'!$AT19,'Existing Customers'!$A:$A,'Multi-Customer'!BM$1)*$BM$4),0)</f>
        <v>0</v>
      </c>
      <c r="BS19" s="132"/>
      <c r="BT19">
        <f>IFERROR(VLOOKUP(BV$5,'Basket Composition'!$A$3:$W$30,'Multi-Customer'!$AR19,FALSE),0)</f>
        <v>0</v>
      </c>
      <c r="BU19" s="105" t="s">
        <v>95</v>
      </c>
      <c r="BV19" s="100">
        <f>IFERROR(IF($BV$2="Enter Spend&gt;&gt;&gt;",$BV$3*BT19,SUMIFS('Existing Customers'!$Q:$Q,'Existing Customers'!$H:$H,'Multi-Customer'!$AT19,'Existing Customers'!$A:$A,'Multi-Customer'!$BV$1)*$BV$4),0)</f>
        <v>0</v>
      </c>
      <c r="BW19" s="92">
        <f>IFERROR(IF($BV$2="Enter Spend&gt;&gt;&gt;",'Multi-Customer'!BV19/VLOOKUP($BV$5,'Basket Composition'!$A$34:$W$61,'Multi-Customer'!$AR19,FALSE),SUMIFS('Existing Customers'!$N:$N,'Existing Customers'!$H:$H,'Multi-Customer'!$AT19,'Existing Customers'!$A:$A,'Multi-Customer'!$BV$1)*$BV$4),0)</f>
        <v>0</v>
      </c>
      <c r="BX19" s="92">
        <f>IFERROR(IF($BV$2="Enter Spend&gt;&gt;&gt;",BW19*$BV$8,SUMIFS('Existing Customers'!$O:$O,'Existing Customers'!$H:$H,'Multi-Customer'!$AT19,'Existing Customers'!$A:$A,'Multi-Customer'!BV$1)*$BV$4),0)</f>
        <v>0</v>
      </c>
      <c r="BY19" s="92">
        <f>IFERROR(IF($BV$2="Enter Spend&gt;&gt;&gt;",'Multi-Customer'!BV19/VLOOKUP($BV$5,'Basket Composition'!$A$65:$W$92,'Multi-Customer'!$AR19,FALSE),SUMIFS('Existing Customers'!$P:$P,'Existing Customers'!$H:$H,'Multi-Customer'!$AT19,'Existing Customers'!$A:$A,'Multi-Customer'!$BV$1)*$BV$4),0)</f>
        <v>0</v>
      </c>
      <c r="BZ19" s="101">
        <f>IFERROR(IF($BV$2="Enter Spend&gt;&gt;&gt;","N/A",SUMIFS('Existing Customers'!$V:$V,'Existing Customers'!$H:$H,'Multi-Customer'!$AT19,'Existing Customers'!$A:$A,'Multi-Customer'!BV$1)*$BV$4),0)</f>
        <v>0</v>
      </c>
      <c r="CA19" s="101">
        <f>IFERROR(IF($BV$2="Enter Spend&gt;&gt;&gt;","N/A",SUMIFS('Existing Customers'!$R:$R,'Existing Customers'!$H:$H,'Multi-Customer'!$AT19,'Existing Customers'!$A:$A,'Multi-Customer'!BV$1)*$BV$4),0)</f>
        <v>0</v>
      </c>
      <c r="CB19" s="132"/>
      <c r="CC19">
        <f>IFERROR(VLOOKUP(CE$5,'Basket Composition'!$A$3:$W$30,'Multi-Customer'!$AR19,FALSE),0)</f>
        <v>0</v>
      </c>
      <c r="CD19" s="105" t="s">
        <v>95</v>
      </c>
      <c r="CE19" s="100">
        <f>IFERROR(IF($CE$2="Enter Spend&gt;&gt;&gt;",$CE$3*CC19,SUMIFS('Existing Customers'!$Q:$Q,'Existing Customers'!$H:$H,'Multi-Customer'!$AT19,'Existing Customers'!$A:$A,'Multi-Customer'!$CE$1)*$CE$4),0)</f>
        <v>0</v>
      </c>
      <c r="CF19" s="92">
        <f>IFERROR(IF($CE$2="Enter Spend&gt;&gt;&gt;",'Multi-Customer'!CE19/VLOOKUP($CE$5,'Basket Composition'!$A$34:$W$61,'Multi-Customer'!$AR19,FALSE),SUMIFS('Existing Customers'!$N:$N,'Existing Customers'!$H:$H,'Multi-Customer'!$AT19,'Existing Customers'!$A:$A,'Multi-Customer'!$CE$1)*$CE$4),0)</f>
        <v>0</v>
      </c>
      <c r="CG19" s="92">
        <f>IFERROR(IF($CE$2="Enter Spend&gt;&gt;&gt;",CF19*$CE$8,SUMIFS('Existing Customers'!$O:$O,'Existing Customers'!$H:$H,'Multi-Customer'!$AT19,'Existing Customers'!$A:$A,'Multi-Customer'!CE$1)*$CE$4),0)</f>
        <v>0</v>
      </c>
      <c r="CH19" s="92">
        <f>IFERROR(IF($CE$2="Enter Spend&gt;&gt;&gt;",'Multi-Customer'!CE19/VLOOKUP($CE$5,'Basket Composition'!$A$65:$W$92,'Multi-Customer'!$AR19,FALSE),SUMIFS('Existing Customers'!$P:$P,'Existing Customers'!$H:$H,'Multi-Customer'!$AT19,'Existing Customers'!$A:$A,'Multi-Customer'!$CE$1)*$CE$4),0)</f>
        <v>0</v>
      </c>
      <c r="CI19" s="101">
        <f>IFERROR(IF($CE$2="Enter Spend&gt;&gt;&gt;","N/A",SUMIFS('Existing Customers'!$V:$V,'Existing Customers'!$H:$H,'Multi-Customer'!$AT19,'Existing Customers'!$A:$A,'Multi-Customer'!CE$1)*$CE$4),0)</f>
        <v>0</v>
      </c>
      <c r="CJ19" s="101">
        <f>IFERROR(IF($CE$2="Enter Spend&gt;&gt;&gt;","N/A",SUMIFS('Existing Customers'!$R:$R,'Existing Customers'!$H:$H,'Multi-Customer'!$AT19,'Existing Customers'!$A:$A,'Multi-Customer'!CE$1)*$CE$4),0)</f>
        <v>0</v>
      </c>
      <c r="CK19" s="132"/>
      <c r="CL19">
        <f>IFERROR(VLOOKUP(CN$5,'Basket Composition'!$A$3:$W$30,'Multi-Customer'!$AR19,FALSE),0)</f>
        <v>0</v>
      </c>
      <c r="CM19" s="105" t="s">
        <v>95</v>
      </c>
      <c r="CN19" s="100">
        <f>IFERROR(IF($CN$2="Enter Spend&gt;&gt;&gt;",$CN$3*CL19,SUMIFS('Existing Customers'!$Q:$Q,'Existing Customers'!$H:$H,'Multi-Customer'!$AT19,'Existing Customers'!$A:$A,'Multi-Customer'!$CN$1)*$CN$4),0)</f>
        <v>0</v>
      </c>
      <c r="CO19" s="92">
        <f>IFERROR(IF($CN$2="Enter Spend&gt;&gt;&gt;",'Multi-Customer'!CN19/VLOOKUP($CN$5,'Basket Composition'!$A$34:$W$61,'Multi-Customer'!$AR19,FALSE),SUMIFS('Existing Customers'!$N:$N,'Existing Customers'!$H:$H,'Multi-Customer'!$AT19,'Existing Customers'!$A:$A,'Multi-Customer'!$CN$1)*$CN$4),0)</f>
        <v>0</v>
      </c>
      <c r="CP19" s="92">
        <f>IFERROR(IF($CN$2="Enter Spend&gt;&gt;&gt;",CO19*$CN$8,SUMIFS('Existing Customers'!$O:$O,'Existing Customers'!$H:$H,'Multi-Customer'!$AT19,'Existing Customers'!$A:$A,'Multi-Customer'!CN$1)*$CN$4),0)</f>
        <v>0</v>
      </c>
      <c r="CQ19" s="92">
        <f>IFERROR(IF($CN$2="Enter Spend&gt;&gt;&gt;",'Multi-Customer'!CN19/VLOOKUP($CN$5,'Basket Composition'!$A$65:$W$92,'Multi-Customer'!$AR19,FALSE),SUMIFS('Existing Customers'!$P:$P,'Existing Customers'!$H:$H,'Multi-Customer'!$AT19,'Existing Customers'!$A:$A,'Multi-Customer'!$CN$1)*$CN$4),0)</f>
        <v>0</v>
      </c>
      <c r="CR19" s="101">
        <f>IFERROR(IF($CN$2="Enter Spend&gt;&gt;&gt;","N/A",SUMIFS('Existing Customers'!$V:$V,'Existing Customers'!$H:$H,'Multi-Customer'!$AT19,'Existing Customers'!$A:$A,'Multi-Customer'!CN$1)*$CN$4),0)</f>
        <v>0</v>
      </c>
      <c r="CS19" s="101">
        <f>IFERROR(IF($CN$2="Enter Spend&gt;&gt;&gt;","N/A",SUMIFS('Existing Customers'!$R:$R,'Existing Customers'!$H:$H,'Multi-Customer'!$AT19,'Existing Customers'!$A:$A,'Multi-Customer'!CN$1)*$CN$4),0)</f>
        <v>0</v>
      </c>
      <c r="CT19" s="132"/>
      <c r="CU19">
        <f>IFERROR(VLOOKUP(CW$5,'Basket Composition'!$A$3:$W$30,'Multi-Customer'!$AR19,FALSE),0)</f>
        <v>0</v>
      </c>
      <c r="CV19" s="105" t="s">
        <v>95</v>
      </c>
      <c r="CW19" s="100">
        <f>IFERROR(IF($CW$2="Enter Spend&gt;&gt;&gt;",$CW$3*CU19,SUMIFS('Existing Customers'!$Q:$Q,'Existing Customers'!$H:$H,'Multi-Customer'!$AT19,'Existing Customers'!$A:$A,'Multi-Customer'!$CW$1)*$CW$4),0)</f>
        <v>0</v>
      </c>
      <c r="CX19" s="92">
        <f>IFERROR(IF($CW$2="Enter Spend&gt;&gt;&gt;",'Multi-Customer'!CW19/VLOOKUP($CW$5,'Basket Composition'!$A$34:$W$61,'Multi-Customer'!$AR19,FALSE),SUMIFS('Existing Customers'!$N:$N,'Existing Customers'!$H:$H,'Multi-Customer'!$AT19,'Existing Customers'!$A:$A,'Multi-Customer'!$CW$1)*$CW$4),0)</f>
        <v>0</v>
      </c>
      <c r="CY19" s="92">
        <f>IFERROR(IF($CW$2="Enter Spend&gt;&gt;&gt;",CX19*$CW$8,SUMIFS('Existing Customers'!$O:$O,'Existing Customers'!$H:$H,'Multi-Customer'!$AT19,'Existing Customers'!$A:$A,'Multi-Customer'!CW$1)*$CW$4),0)</f>
        <v>0</v>
      </c>
      <c r="CZ19" s="92">
        <f>IFERROR(IF($CW$2="Enter Spend&gt;&gt;&gt;",'Multi-Customer'!CW19/VLOOKUP($CW$5,'Basket Composition'!$A$65:$W$92,'Multi-Customer'!$AR19,FALSE),SUMIFS('Existing Customers'!$P:$P,'Existing Customers'!$H:$H,'Multi-Customer'!$AT19,'Existing Customers'!$A:$A,'Multi-Customer'!$CW$1)*$CW$4),0)</f>
        <v>0</v>
      </c>
      <c r="DA19" s="101">
        <f>IFERROR(IF($CW$2="Enter Spend&gt;&gt;&gt;","N/A",SUMIFS('Existing Customers'!$V:$V,'Existing Customers'!$H:$H,'Multi-Customer'!$AT19,'Existing Customers'!$A:$A,'Multi-Customer'!CW$1)*$CW$4),0)</f>
        <v>0</v>
      </c>
      <c r="DB19" s="101">
        <f>IFERROR(IF($CW$2="Enter Spend&gt;&gt;&gt;","N/A",SUMIFS('Existing Customers'!$R:$R,'Existing Customers'!$H:$H,'Multi-Customer'!$AT19,'Existing Customers'!$A:$A,'Multi-Customer'!CW$1)*$CW$4),0)</f>
        <v>0</v>
      </c>
      <c r="DC19" s="132"/>
      <c r="DD19">
        <f>IFERROR(VLOOKUP(DF$5,'Basket Composition'!$A$3:$W$30,'Multi-Customer'!$AR19,FALSE),0)</f>
        <v>0</v>
      </c>
      <c r="DE19" s="105" t="s">
        <v>95</v>
      </c>
      <c r="DF19" s="100">
        <f>IFERROR(IF($DF$2="Enter Spend&gt;&gt;&gt;",$DF$3*DD19,SUMIFS('Existing Customers'!$Q:$Q,'Existing Customers'!$H:$H,'Multi-Customer'!$AT19,'Existing Customers'!$A:$A,'Multi-Customer'!$DF$1)*$DF$4),0)</f>
        <v>0</v>
      </c>
      <c r="DG19" s="92">
        <f>IFERROR(IF($DF$2="Enter Spend&gt;&gt;&gt;",'Multi-Customer'!DF19/VLOOKUP($DF$5,'Basket Composition'!$A$34:$W$61,'Multi-Customer'!$AR19,FALSE),SUMIFS('Existing Customers'!$N:$N,'Existing Customers'!$H:$H,'Multi-Customer'!$AT19,'Existing Customers'!$A:$A,'Multi-Customer'!$DF$1)*$DF$4),0)</f>
        <v>0</v>
      </c>
      <c r="DH19" s="92">
        <f>IFERROR(IF($DF$2="Enter Spend&gt;&gt;&gt;",DG19*$DF$8,SUMIFS('Existing Customers'!$O:$O,'Existing Customers'!$H:$H,'Multi-Customer'!$AT19,'Existing Customers'!$A:$A,'Multi-Customer'!DF$1)*$DF$4),0)</f>
        <v>0</v>
      </c>
      <c r="DI19" s="92">
        <f>IFERROR(IF($DF$2="Enter Spend&gt;&gt;&gt;",'Multi-Customer'!DF19/VLOOKUP($DF$5,'Basket Composition'!$A$65:$W$92,'Multi-Customer'!$AR19,FALSE),SUMIFS('Existing Customers'!$P:$P,'Existing Customers'!$H:$H,'Multi-Customer'!$AT19,'Existing Customers'!$A:$A,'Multi-Customer'!$DF$1)*$DF$4),0)</f>
        <v>0</v>
      </c>
      <c r="DJ19" s="101">
        <f>IFERROR(IF($DF$2="Enter Spend&gt;&gt;&gt;","N/A",SUMIFS('Existing Customers'!$V:$V,'Existing Customers'!$H:$H,'Multi-Customer'!$AT19,'Existing Customers'!$A:$A,'Multi-Customer'!DF$1)*$DF$4),0)</f>
        <v>0</v>
      </c>
      <c r="DK19" s="101">
        <f>IFERROR(IF($DF$2="Enter Spend&gt;&gt;&gt;","N/A",SUMIFS('Existing Customers'!$R:$R,'Existing Customers'!$H:$H,'Multi-Customer'!$AT19,'Existing Customers'!$A:$A,'Multi-Customer'!DF$1)*$DF$4),0)</f>
        <v>0</v>
      </c>
      <c r="DL19" s="132"/>
      <c r="DM19">
        <f>IFERROR(VLOOKUP(DO$5,'Basket Composition'!$A$3:$W$30,'Multi-Customer'!$AR19,FALSE),0)</f>
        <v>0</v>
      </c>
      <c r="DN19" s="105" t="s">
        <v>95</v>
      </c>
      <c r="DO19" s="100">
        <f>IFERROR(IF($DO$2="Enter Spend&gt;&gt;&gt;",$DO$3*DM19,SUMIFS('Existing Customers'!$Q:$Q,'Existing Customers'!$H:$H,'Multi-Customer'!$AT19,'Existing Customers'!$A:$A,'Multi-Customer'!$DO$1)*$DO$4),0)</f>
        <v>0</v>
      </c>
      <c r="DP19" s="92">
        <f>IFERROR(IF($DO$2="Enter Spend&gt;&gt;&gt;",'Multi-Customer'!DO19/VLOOKUP($DO$5,'Basket Composition'!$A$34:$W$61,'Multi-Customer'!$AR19,FALSE),SUMIFS('Existing Customers'!$N:$N,'Existing Customers'!$H:$H,'Multi-Customer'!$AT19,'Existing Customers'!$A:$A,'Multi-Customer'!$DO$1)*$DO$4),0)</f>
        <v>0</v>
      </c>
      <c r="DQ19" s="92">
        <f>IFERROR(IF($DO$2="Enter Spend&gt;&gt;&gt;",DP19*$DO$8,SUMIFS('Existing Customers'!$O:$O,'Existing Customers'!$H:$H,'Multi-Customer'!$AT19,'Existing Customers'!$A:$A,'Multi-Customer'!DO$1)*$DO$4),0)</f>
        <v>0</v>
      </c>
      <c r="DR19" s="92">
        <f>IFERROR(IF($DO$2="Enter Spend&gt;&gt;&gt;",'Multi-Customer'!DO19/VLOOKUP($DO$5,'Basket Composition'!$A$65:$W$92,'Multi-Customer'!$AR19,FALSE),SUMIFS('Existing Customers'!$P:$P,'Existing Customers'!$H:$H,'Multi-Customer'!$AT19,'Existing Customers'!$A:$A,'Multi-Customer'!$DO$1)*$DO$4),0)</f>
        <v>0</v>
      </c>
      <c r="DS19" s="117">
        <f>IFERROR(IF($DO$2="Enter Spend&gt;&gt;&gt;","N/A",SUMIFS('Existing Customers'!$V:$V,'Existing Customers'!$H:$H,'Multi-Customer'!$AT19,'Existing Customers'!$A:$A,'Multi-Customer'!DO$1)*$DO$4),0)</f>
        <v>0</v>
      </c>
      <c r="DT19" s="101">
        <f>IFERROR(IF($DO$2="Enter Spend&gt;&gt;&gt;","N/A",SUMIFS('Existing Customers'!$R:$R,'Existing Customers'!$H:$H,'Multi-Customer'!$AT19,'Existing Customers'!$A:$A,'Multi-Customer'!DO$1)*$DO$4),0)</f>
        <v>0</v>
      </c>
      <c r="DU19" s="132"/>
      <c r="DV19">
        <f>IFERROR(VLOOKUP(DX$5,'Basket Composition'!$A$3:$W$30,'Multi-Customer'!$AR19,FALSE),0)</f>
        <v>0</v>
      </c>
      <c r="DW19" s="105" t="s">
        <v>95</v>
      </c>
      <c r="DX19" s="100">
        <f>IFERROR(IF($DX$2="Enter Spend&gt;&gt;&gt;",$DX$3*DV19,SUMIFS('Existing Customers'!$Q:$Q,'Existing Customers'!$H:$H,'Multi-Customer'!$AT19,'Existing Customers'!$A:$A,'Multi-Customer'!$DX$1)*$DX$4),0)</f>
        <v>0</v>
      </c>
      <c r="DY19" s="92">
        <f>IFERROR(IF($DX$2="Enter Spend&gt;&gt;&gt;",'Multi-Customer'!DX19/VLOOKUP($DX$5,'Basket Composition'!$A$34:$W$61,'Multi-Customer'!$AR19,FALSE),SUMIFS('Existing Customers'!$N:$N,'Existing Customers'!$H:$H,'Multi-Customer'!$AT19,'Existing Customers'!$A:$A,'Multi-Customer'!$DX$1)*$DX$4),0)</f>
        <v>0</v>
      </c>
      <c r="DZ19" s="92">
        <f>IFERROR(IF($DX$2="Enter Spend&gt;&gt;&gt;",DY19*$DX$8,SUMIFS('Existing Customers'!$O:$O,'Existing Customers'!$H:$H,'Multi-Customer'!$AT19,'Existing Customers'!$A:$A,'Multi-Customer'!DX$1)*$DX$4),0)</f>
        <v>0</v>
      </c>
      <c r="EA19" s="92">
        <f>IFERROR(IF($DX$2="Enter Spend&gt;&gt;&gt;",'Multi-Customer'!DX19/VLOOKUP($DX$5,'Basket Composition'!$A$65:$W$92,'Multi-Customer'!$AR19,FALSE),SUMIFS('Existing Customers'!$P:$P,'Existing Customers'!$H:$H,'Multi-Customer'!$AT19,'Existing Customers'!$A:$A,'Multi-Customer'!$DX$1)*$DX$4),0)</f>
        <v>0</v>
      </c>
      <c r="EB19" s="117">
        <f>IFERROR(IF($DX$2="Enter Spend&gt;&gt;&gt;","N/A",SUMIFS('Existing Customers'!$V:$V,'Existing Customers'!$H:$H,'Multi-Customer'!$AT19,'Existing Customers'!$A:$A,'Multi-Customer'!DX$1)*$DX$4),0)</f>
        <v>0</v>
      </c>
      <c r="EC19" s="101">
        <f>IFERROR(IF($DX$2="Enter Spend&gt;&gt;&gt;","N/A",SUMIFS('Existing Customers'!$R:$R,'Existing Customers'!$H:$H,'Multi-Customer'!$AT19,'Existing Customers'!$A:$A,'Multi-Customer'!DX$1)*$DX$4),0)</f>
        <v>0</v>
      </c>
      <c r="EE19" s="105" t="s">
        <v>95</v>
      </c>
      <c r="EF19" s="100"/>
      <c r="EG19" s="92"/>
      <c r="EH19" s="92"/>
      <c r="EI19" s="92"/>
      <c r="EJ19" s="117"/>
      <c r="EK19" s="101"/>
      <c r="EL19" s="132"/>
      <c r="EN19" s="105" t="s">
        <v>95</v>
      </c>
      <c r="EO19" s="100"/>
      <c r="EP19" s="92"/>
      <c r="EQ19" s="92"/>
      <c r="ER19" s="92"/>
      <c r="ES19" s="117"/>
      <c r="ET19" s="101"/>
    </row>
    <row r="20" spans="2:150" x14ac:dyDescent="0.25">
      <c r="B20" s="105" t="s">
        <v>96</v>
      </c>
      <c r="C20" s="487">
        <f t="shared" si="6"/>
        <v>0</v>
      </c>
      <c r="D20" s="504">
        <f t="shared" si="7"/>
        <v>0</v>
      </c>
      <c r="E20" s="504">
        <f t="shared" si="8"/>
        <v>0</v>
      </c>
      <c r="F20" s="504">
        <f t="shared" si="9"/>
        <v>0</v>
      </c>
      <c r="G20" s="505">
        <f t="shared" si="10"/>
        <v>0</v>
      </c>
      <c r="H20" s="507">
        <f t="shared" si="11"/>
        <v>0</v>
      </c>
      <c r="J20" t="str">
        <f>'PIM Model'!E18</f>
        <v>INCLUDE</v>
      </c>
      <c r="K20">
        <f t="shared" si="12"/>
        <v>0</v>
      </c>
      <c r="L20">
        <f t="shared" si="13"/>
        <v>0</v>
      </c>
      <c r="M20" s="105" t="s">
        <v>96</v>
      </c>
      <c r="N20" s="100">
        <f t="shared" si="14"/>
        <v>0</v>
      </c>
      <c r="O20" s="92">
        <f t="shared" si="0"/>
        <v>0</v>
      </c>
      <c r="P20" s="92">
        <f t="shared" si="1"/>
        <v>0</v>
      </c>
      <c r="Q20" s="92">
        <f t="shared" si="2"/>
        <v>0</v>
      </c>
      <c r="R20" s="117">
        <f t="shared" si="3"/>
        <v>0</v>
      </c>
      <c r="S20" s="120">
        <f t="shared" si="15"/>
        <v>0</v>
      </c>
      <c r="T20" s="404"/>
      <c r="U20" s="105" t="s">
        <v>96</v>
      </c>
      <c r="V20" s="491">
        <f t="shared" si="4"/>
        <v>0</v>
      </c>
      <c r="W20" s="492">
        <f t="shared" si="4"/>
        <v>0</v>
      </c>
      <c r="X20" s="492">
        <f t="shared" si="4"/>
        <v>0</v>
      </c>
      <c r="Y20" s="493">
        <f t="shared" si="16"/>
        <v>0</v>
      </c>
      <c r="Z20" s="494">
        <f t="shared" si="17"/>
        <v>0</v>
      </c>
      <c r="AA20" s="404"/>
      <c r="AB20" s="105" t="s">
        <v>96</v>
      </c>
      <c r="AC20" s="491">
        <f t="shared" si="5"/>
        <v>0</v>
      </c>
      <c r="AD20" s="488">
        <f t="shared" si="18"/>
        <v>0</v>
      </c>
      <c r="AE20" s="494"/>
      <c r="AF20" s="404"/>
      <c r="AG20" s="1" t="str">
        <f>IF('PIM Ranges'!$AK20='PIM Ranges'!$AW$11,IF($AC20&lt;'PIM Ranges'!$AX$11,"Q1",IF($AC20&lt;'PIM Ranges'!$AY$11,"Q2",IF($AC20&lt;'PIM Ranges'!$AZ$11,"Q3",IF($AC20&lt;'PIM Ranges'!$BA$11,"Q4","Q5")))),IF('PIM Ranges'!$AK20='PIM Ranges'!$AW$12,IF($AC20&lt;'PIM Ranges'!$AX$12,"Q1",IF($AC20&lt;'PIM Ranges'!$AY$12,"Q2",IF($AC20&lt;'PIM Ranges'!$AZ$12,"Q3",IF($AC20&lt;'PIM Ranges'!$BA$12,"Q4","Q5")))),IF('PIM Ranges'!$AK20='PIM Ranges'!$AW$13,IF($AC20&lt;'PIM Ranges'!$AX$13,"Q1",IF($AC20&lt;'PIM Ranges'!$AY$13,"Q2",IF($AC20&lt;'PIM Ranges'!$AZ$13,"Q3",IF($AC20&lt;'PIM Ranges'!$BA$13,"Q4","Q5")))),IF('PIM Ranges'!$AK20='PIM Ranges'!$AW$14,IF($AC20&lt;'PIM Ranges'!$AX$14,"Q1",IF($AC20&lt;'PIM Ranges'!$AY$14,"Q2",IF($AC20&lt;'PIM Ranges'!$AZ$14,"Q3",IF($AC20&lt;'PIM Ranges'!$BA$14,"Q4","Q5")))),IF('PIM Ranges'!$AK20='PIM Ranges'!$AW$15,IF($AC20&lt;'PIM Ranges'!$AX$15,"Q1",IF($AC20&lt;'PIM Ranges'!$AY$15,"Q2",IF($AC20&lt;'PIM Ranges'!$AZ$15,"Q3",IF($AC20&lt;'PIM Ranges'!$BA$15,"Q4","Q5")))),IF('PIM Ranges'!$AK20='PIM Ranges'!$AW$16,IF($AC20&lt;'PIM Ranges'!$AX$16,"Q1",IF($AC20&lt;'PIM Ranges'!$AY$16,"Q2",IF($AC20&lt;'PIM Ranges'!$AZ$16,"Q3",IF($AC20&lt;'PIM Ranges'!$BA$16,"Q4","Q5")))),IF('PIM Ranges'!$AK20='PIM Ranges'!$AW$17,IF($AC20&lt;'PIM Ranges'!$AX$17,"Q1",IF($AC20&lt;'PIM Ranges'!$AY$17,"Q2",IF($AC20&lt;'PIM Ranges'!$AZ$17,"Q3",IF($AC20&lt;'PIM Ranges'!$BA$17,"Q4","Q5")))),IF('PIM Ranges'!$AK20='PIM Ranges'!$AW$18,IF($AC20&lt;'PIM Ranges'!$AX$18,"Q1",IF($AC20&lt;'PIM Ranges'!$AY$18,"Q2",IF($AC20&lt;'PIM Ranges'!$AZ$18,"Q3",IF($AC20&lt;'PIM Ranges'!$BA$18,"Q4","Q5")))),IF('PIM Ranges'!$AK20='PIM Ranges'!$AW$19,IF($AC20&lt;'PIM Ranges'!$AX$19,"Q1",IF($AC20&lt;'PIM Ranges'!$AY$19,"Q2",IF($AC20&lt;'PIM Ranges'!$AZ$19,"Q3",IF($AC20&lt;'PIM Ranges'!$BA$19,"Q4","Q5")))),IF('PIM Ranges'!$AK20='PIM Ranges'!$AW$20,IF($AC20&lt;'PIM Ranges'!$AX$20,"Q1",IF($AC20&lt;'PIM Ranges'!$AY$20,"Q2",IF($AC20&lt;'PIM Ranges'!$AZ$20,"Q3",IF($AC20&lt;'PIM Ranges'!$BA$20,"Q4","Q5")))),IF('PIM Ranges'!$AK20='PIM Ranges'!$AW$21,IF($AC20&lt;'PIM Ranges'!$AX$21,"Q1",IF($AC20&lt;'PIM Ranges'!$AY$21,"Q2",IF($AC20&lt;'PIM Ranges'!$AZ$21,"Q3",IF($AC20&lt;'PIM Ranges'!$BA$21,"Q4","Q5")))),IF('PIM Ranges'!$AK20='PIM Ranges'!$AW$22,IF($AC20&lt;'PIM Ranges'!$AX$22,"Q1",IF($AC20&lt;'PIM Ranges'!$AY$22,"Q2",IF($AC20&lt;'PIM Ranges'!$AZ$22,"Q3",IF($AC20&lt;'PIM Ranges'!$BA$22,"Q4","Q5")))),IF('PIM Ranges'!$AK20='PIM Ranges'!$AW$23,IF($AC20&lt;'PIM Ranges'!$AX$23,"Q1",IF($AC20&lt;'PIM Ranges'!$AY$23,"Q2",IF($AC20&lt;'PIM Ranges'!$AZ$23,"Q3",IF($AC20&lt;'PIM Ranges'!$BA$23,"Q4","Q5")))),IF('PIM Ranges'!$AK20='PIM Ranges'!$AW$24,IF($AC20&lt;'PIM Ranges'!$AX$24,"Q1",IF($AC20&lt;'PIM Ranges'!$AY$24,"Q2",IF($AC20&lt;'PIM Ranges'!$AZ$24,"Q3",IF($AC20&lt;'PIM Ranges'!$BA$24,"Q4","Q5")))),IF('PIM Ranges'!$AK20='PIM Ranges'!$AW$25,IF($AC20&lt;'PIM Ranges'!$AX$25,"Q1",IF($AC20&lt;'PIM Ranges'!$AY$25,"Q2",IF($AC20&lt;'PIM Ranges'!$AZ$25,"Q3",IF($AC20&lt;'PIM Ranges'!$BA$25,"Q4","Q5")))),IF('PIM Ranges'!$AK20='PIM Ranges'!$AW$26,IF($AC20&lt;'PIM Ranges'!$AX$26,"Q1",IF($AC20&lt;'PIM Ranges'!$AY$26,"Q2",IF($AC20&lt;'PIM Ranges'!$AZ$26,"Q3",IF($AC20&lt;'PIM Ranges'!$BA$26,"Q4","Q5")))),IF('PIM Ranges'!$AK20='PIM Ranges'!$AW$27,IF($AC20&lt;'PIM Ranges'!$AX$27,"Q1",IF($AC20&lt;'PIM Ranges'!$AY$27,"Q2",IF($AC20&lt;'PIM Ranges'!$AZ$27,"Q3",IF($AC20&lt;'PIM Ranges'!$BA$27,"Q4","Q5")))),IF('PIM Ranges'!$AK20='PIM Ranges'!$AW$28,IF($AC20&lt;'PIM Ranges'!$AX$28,"Q1",IF($AC20&lt;'PIM Ranges'!$AY$28,"Q2",IF($AC20&lt;'PIM Ranges'!$AZ$28,"Q3",IF($AC20&lt;'PIM Ranges'!$BA$28,"Q4","Q5")))),IF('PIM Ranges'!$AK20='PIM Ranges'!$AW$29,IF($AC20&lt;'PIM Ranges'!$AX$29,"Q1",IF($AC20&lt;'PIM Ranges'!$AY$29,"Q2",IF($AC20&lt;'PIM Ranges'!$AZ$29,"Q3",IF($AC20&lt;'PIM Ranges'!$BA$29,"Q4","Q5")))),IF('PIM Ranges'!$AK20='PIM Ranges'!$AW$30,IF($AC20&lt;'PIM Ranges'!$AX$30,"Q1",IF($AC20&lt;'PIM Ranges'!$AY$30,"Q2",IF($AC20&lt;'PIM Ranges'!$AZ$30,"Q3",IF($AC20&lt;'PIM Ranges'!$BA$30,"Q4","Q5")))),IF('PIM Ranges'!$AK20='PIM Ranges'!$AW$31,IF($AC20&lt;'PIM Ranges'!$AX$31,"Q1",IF($AC20&lt;'PIM Ranges'!$AY$31,"Q2",IF($AC20&lt;'PIM Ranges'!$AZ$31,"Q3",IF($AC20&lt;'PIM Ranges'!$BA$31,"Q4","Q5")))),IF('PIM Ranges'!$AK20='PIM Ranges'!$AW$32,IF($AC20&lt;'PIM Ranges'!$AX$32,"Q1",IF($AC20&lt;'PIM Ranges'!$AY$32,"Q2",IF($AC20&lt;'PIM Ranges'!$AZ$32,"Q3",IF($AC20&lt;'PIM Ranges'!$BA$32,"Q4","Q5"))))))))))))))))))))))))))</f>
        <v>Q1</v>
      </c>
      <c r="AH20" s="404">
        <f>VLOOKUP($AB20&amp;$AG20,'IMargin Quartiles'!$A:$F,6,FALSE)</f>
        <v>0.18</v>
      </c>
      <c r="AI20" s="404"/>
      <c r="AJ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K20" s="404" t="e">
        <f>VLOOKUP($AB20&amp;$AJ20,'IMargin Quartiles'!$A:$F,6,FALSE)</f>
        <v>#DIV/0!</v>
      </c>
      <c r="AL20">
        <f>'PIM Model'!C18</f>
        <v>0</v>
      </c>
      <c r="AM20" s="404"/>
      <c r="AN20" s="404"/>
      <c r="AO20" s="404" t="e">
        <f t="shared" si="19"/>
        <v>#DIV/0!</v>
      </c>
      <c r="AP20" s="404"/>
      <c r="AQ20" s="404"/>
      <c r="AR20" s="111">
        <v>11</v>
      </c>
      <c r="AS20">
        <f>IFERROR(VLOOKUP(AU$5,'Basket Composition'!$A$3:$W$30,'Multi-Customer'!$AR20,FALSE),0)</f>
        <v>0</v>
      </c>
      <c r="AT20" s="105" t="s">
        <v>96</v>
      </c>
      <c r="AU20" s="100">
        <f>IFERROR(IF($AU$2="Enter Spend&gt;&gt;&gt;",$AU$3*AS20,SUMIFS('Existing Customers'!$Q:$Q,'Existing Customers'!$H:$H,'Multi-Customer'!$AT20,'Existing Customers'!$A:$A,'Multi-Customer'!$AU$1)*$AU$4),0)</f>
        <v>0</v>
      </c>
      <c r="AV20" s="92">
        <f>IFERROR(IF($AU$2="Enter Spend&gt;&gt;&gt;",'Multi-Customer'!AU20/VLOOKUP($AU$5,'Basket Composition'!$A$34:$W$61,'Multi-Customer'!$AR20,FALSE),SUMIFS('Existing Customers'!$N:$N,'Existing Customers'!$H:$H,'Multi-Customer'!$AT20,'Existing Customers'!$A:$A,'Multi-Customer'!$AU$1)*$AU$4),0)</f>
        <v>0</v>
      </c>
      <c r="AW20" s="92">
        <f>IFERROR(IF($AU$2="Enter Spend&gt;&gt;&gt;",AV20*$AU$8,SUMIFS('Existing Customers'!$O:$O,'Existing Customers'!$H:$H,'Multi-Customer'!$AT20,'Existing Customers'!$A:$A,'Multi-Customer'!AU$1)*$AU$4),0)</f>
        <v>0</v>
      </c>
      <c r="AX20" s="92">
        <f>IFERROR(IF($AU$2="Enter Spend&gt;&gt;&gt;",'Multi-Customer'!AU20/VLOOKUP($AU$5,'Basket Composition'!$A$65:$W$92,'Multi-Customer'!$AR20,FALSE),SUMIFS('Existing Customers'!$P:$P,'Existing Customers'!$H:$H,'Multi-Customer'!$AT20,'Existing Customers'!$A:$A,'Multi-Customer'!$AU$1)*$AU$4),0)</f>
        <v>0</v>
      </c>
      <c r="AY20" s="117">
        <f>IFERROR(IF($AU$2="Enter Spend&gt;&gt;&gt;","N/A",SUMIFS('Existing Customers'!$V:$V,'Existing Customers'!$H:$H,'Multi-Customer'!$AT20,'Existing Customers'!$A:$A,'Multi-Customer'!AU$1)*$AU$4),0)</f>
        <v>0</v>
      </c>
      <c r="AZ20" s="101">
        <f>IFERROR(IF($AU$2="Enter Spend&gt;&gt;&gt;","N/A",SUMIFS('Existing Customers'!$R:$R,'Existing Customers'!$H:$H,'Multi-Customer'!$AT20,'Existing Customers'!$A:$A,'Multi-Customer'!AU$1)*$AU$4),0)</f>
        <v>0</v>
      </c>
      <c r="BA20" s="132"/>
      <c r="BB20">
        <f>IFERROR(VLOOKUP(BD$5,'Basket Composition'!$A$3:$W$30,'Multi-Customer'!$AR20,FALSE),0)</f>
        <v>0</v>
      </c>
      <c r="BC20" s="105" t="s">
        <v>96</v>
      </c>
      <c r="BD20" s="100">
        <f>IFERROR(IF($BD$2="Enter Spend&gt;&gt;&gt;",$BD$3*BB20,SUMIFS('Existing Customers'!$Q:$Q,'Existing Customers'!$H:$H,'Multi-Customer'!$AT20,'Existing Customers'!$A:$A,'Multi-Customer'!$BD$1)*$BD$4),0)</f>
        <v>0</v>
      </c>
      <c r="BE20" s="92">
        <f>IFERROR(IF($BD$2="Enter Spend&gt;&gt;&gt;",'Multi-Customer'!BD20/VLOOKUP($BD$5,'Basket Composition'!$A$34:$W$61,'Multi-Customer'!$AR20,FALSE),SUMIFS('Existing Customers'!$N:$N,'Existing Customers'!$H:$H,'Multi-Customer'!$AT20,'Existing Customers'!$A:$A,'Multi-Customer'!$BD$1)*$BD$4),0)</f>
        <v>0</v>
      </c>
      <c r="BF20" s="92">
        <f>IFERROR(IF($BD$2="Enter Spend&gt;&gt;&gt;",BE20*$BD$8,SUMIFS('Existing Customers'!$O:$O,'Existing Customers'!$H:$H,'Multi-Customer'!$AT20,'Existing Customers'!$A:$A,'Multi-Customer'!BD$1)*$BD$4),0)</f>
        <v>0</v>
      </c>
      <c r="BG20" s="92">
        <f>IFERROR(IF($BD$2="Enter Spend&gt;&gt;&gt;",'Multi-Customer'!BD20/VLOOKUP($BD$5,'Basket Composition'!$A$65:$W$92,'Multi-Customer'!$AR20,FALSE),SUMIFS('Existing Customers'!$P:$P,'Existing Customers'!$H:$H,'Multi-Customer'!$AT20,'Existing Customers'!$A:$A,'Multi-Customer'!$BD$1)*$BD$4),0)</f>
        <v>0</v>
      </c>
      <c r="BH20" s="101">
        <f>IFERROR(IF($BD$2="Enter Spend&gt;&gt;&gt;","N/A",SUMIFS('Existing Customers'!$V:$V,'Existing Customers'!$H:$H,'Multi-Customer'!$AT20,'Existing Customers'!$A:$A,'Multi-Customer'!BD$1)*$BD$4),0)</f>
        <v>0</v>
      </c>
      <c r="BI20" s="101">
        <f>IFERROR(IF($BD$2="Enter Spend&gt;&gt;&gt;","N/A",SUMIFS('Existing Customers'!$R:$R,'Existing Customers'!$H:$H,'Multi-Customer'!$AT20,'Existing Customers'!$A:$A,'Multi-Customer'!BD$1)*$BD$4),0)</f>
        <v>0</v>
      </c>
      <c r="BJ20" s="132"/>
      <c r="BK20">
        <f>IFERROR(VLOOKUP(BM$5,'Basket Composition'!$A$3:$W$30,'Multi-Customer'!$AR20,FALSE),0)</f>
        <v>0</v>
      </c>
      <c r="BL20" s="105" t="s">
        <v>96</v>
      </c>
      <c r="BM20" s="100">
        <f>IFERROR(IF($BM$2="Enter Spend&gt;&gt;&gt;",$BM$3*BK20,SUMIFS('Existing Customers'!$Q:$Q,'Existing Customers'!$H:$H,'Multi-Customer'!$AT20,'Existing Customers'!$A:$A,'Multi-Customer'!$BM$1)*$BM$4),0)</f>
        <v>0</v>
      </c>
      <c r="BN20" s="92">
        <f>IFERROR(IF($BM$2="Enter Spend&gt;&gt;&gt;",'Multi-Customer'!BM20/VLOOKUP($BM$5,'Basket Composition'!$A$34:$W$61,'Multi-Customer'!$AR20,FALSE),SUMIFS('Existing Customers'!$N:$N,'Existing Customers'!$H:$H,'Multi-Customer'!$AT20,'Existing Customers'!$A:$A,'Multi-Customer'!$BM$1)*$BM$4),0)</f>
        <v>0</v>
      </c>
      <c r="BO20" s="92">
        <f>IFERROR(IF($BM$2="Enter Spend&gt;&gt;&gt;",BN20*$BM$8,SUMIFS('Existing Customers'!$O:$O,'Existing Customers'!$H:$H,'Multi-Customer'!$AT20,'Existing Customers'!$A:$A,'Multi-Customer'!BM$1)*$BM$4),0)</f>
        <v>0</v>
      </c>
      <c r="BP20" s="92">
        <f>IFERROR(IF($BM$2="Enter Spend&gt;&gt;&gt;",'Multi-Customer'!BM20/VLOOKUP($BM$5,'Basket Composition'!$A$65:$W$92,'Multi-Customer'!$AR20,FALSE),SUMIFS('Existing Customers'!$P:$P,'Existing Customers'!$H:$H,'Multi-Customer'!$AT20,'Existing Customers'!$A:$A,'Multi-Customer'!$BM$1)*$BM$4),0)</f>
        <v>0</v>
      </c>
      <c r="BQ20" s="101">
        <f>IFERROR(IF($BM$2="Enter Spend&gt;&gt;&gt;","N/A",SUMIFS('Existing Customers'!$V:$V,'Existing Customers'!$H:$H,'Multi-Customer'!$AT20,'Existing Customers'!$A:$A,'Multi-Customer'!BM$1)*$BM$4),0)</f>
        <v>0</v>
      </c>
      <c r="BR20" s="101">
        <f>IFERROR(IF($BM$2="Enter Spend&gt;&gt;&gt;","N/A",SUMIFS('Existing Customers'!$R:$R,'Existing Customers'!$H:$H,'Multi-Customer'!$AT20,'Existing Customers'!$A:$A,'Multi-Customer'!BM$1)*$BM$4),0)</f>
        <v>0</v>
      </c>
      <c r="BS20" s="132"/>
      <c r="BT20">
        <f>IFERROR(VLOOKUP(BV$5,'Basket Composition'!$A$3:$W$30,'Multi-Customer'!$AR20,FALSE),0)</f>
        <v>0</v>
      </c>
      <c r="BU20" s="105" t="s">
        <v>96</v>
      </c>
      <c r="BV20" s="100">
        <f>IFERROR(IF($BV$2="Enter Spend&gt;&gt;&gt;",$BV$3*BT20,SUMIFS('Existing Customers'!$Q:$Q,'Existing Customers'!$H:$H,'Multi-Customer'!$AT20,'Existing Customers'!$A:$A,'Multi-Customer'!$BV$1)*$BV$4),0)</f>
        <v>0</v>
      </c>
      <c r="BW20" s="92">
        <f>IFERROR(IF($BV$2="Enter Spend&gt;&gt;&gt;",'Multi-Customer'!BV20/VLOOKUP($BV$5,'Basket Composition'!$A$34:$W$61,'Multi-Customer'!$AR20,FALSE),SUMIFS('Existing Customers'!$N:$N,'Existing Customers'!$H:$H,'Multi-Customer'!$AT20,'Existing Customers'!$A:$A,'Multi-Customer'!$BV$1)*$BV$4),0)</f>
        <v>0</v>
      </c>
      <c r="BX20" s="92">
        <f>IFERROR(IF($BV$2="Enter Spend&gt;&gt;&gt;",BW20*$BV$8,SUMIFS('Existing Customers'!$O:$O,'Existing Customers'!$H:$H,'Multi-Customer'!$AT20,'Existing Customers'!$A:$A,'Multi-Customer'!BV$1)*$BV$4),0)</f>
        <v>0</v>
      </c>
      <c r="BY20" s="92">
        <f>IFERROR(IF($BV$2="Enter Spend&gt;&gt;&gt;",'Multi-Customer'!BV20/VLOOKUP($BV$5,'Basket Composition'!$A$65:$W$92,'Multi-Customer'!$AR20,FALSE),SUMIFS('Existing Customers'!$P:$P,'Existing Customers'!$H:$H,'Multi-Customer'!$AT20,'Existing Customers'!$A:$A,'Multi-Customer'!$BV$1)*$BV$4),0)</f>
        <v>0</v>
      </c>
      <c r="BZ20" s="101">
        <f>IFERROR(IF($BV$2="Enter Spend&gt;&gt;&gt;","N/A",SUMIFS('Existing Customers'!$V:$V,'Existing Customers'!$H:$H,'Multi-Customer'!$AT20,'Existing Customers'!$A:$A,'Multi-Customer'!BV$1)*$BV$4),0)</f>
        <v>0</v>
      </c>
      <c r="CA20" s="101">
        <f>IFERROR(IF($BV$2="Enter Spend&gt;&gt;&gt;","N/A",SUMIFS('Existing Customers'!$R:$R,'Existing Customers'!$H:$H,'Multi-Customer'!$AT20,'Existing Customers'!$A:$A,'Multi-Customer'!BV$1)*$BV$4),0)</f>
        <v>0</v>
      </c>
      <c r="CB20" s="132"/>
      <c r="CC20">
        <f>IFERROR(VLOOKUP(CE$5,'Basket Composition'!$A$3:$W$30,'Multi-Customer'!$AR20,FALSE),0)</f>
        <v>0</v>
      </c>
      <c r="CD20" s="105" t="s">
        <v>96</v>
      </c>
      <c r="CE20" s="100">
        <f>IFERROR(IF($CE$2="Enter Spend&gt;&gt;&gt;",$CE$3*CC20,SUMIFS('Existing Customers'!$Q:$Q,'Existing Customers'!$H:$H,'Multi-Customer'!$AT20,'Existing Customers'!$A:$A,'Multi-Customer'!$CE$1)*$CE$4),0)</f>
        <v>0</v>
      </c>
      <c r="CF20" s="92">
        <f>IFERROR(IF($CE$2="Enter Spend&gt;&gt;&gt;",'Multi-Customer'!CE20/VLOOKUP($CE$5,'Basket Composition'!$A$34:$W$61,'Multi-Customer'!$AR20,FALSE),SUMIFS('Existing Customers'!$N:$N,'Existing Customers'!$H:$H,'Multi-Customer'!$AT20,'Existing Customers'!$A:$A,'Multi-Customer'!$CE$1)*$CE$4),0)</f>
        <v>0</v>
      </c>
      <c r="CG20" s="92">
        <f>IFERROR(IF($CE$2="Enter Spend&gt;&gt;&gt;",CF20*$CE$8,SUMIFS('Existing Customers'!$O:$O,'Existing Customers'!$H:$H,'Multi-Customer'!$AT20,'Existing Customers'!$A:$A,'Multi-Customer'!CE$1)*$CE$4),0)</f>
        <v>0</v>
      </c>
      <c r="CH20" s="92">
        <f>IFERROR(IF($CE$2="Enter Spend&gt;&gt;&gt;",'Multi-Customer'!CE20/VLOOKUP($CE$5,'Basket Composition'!$A$65:$W$92,'Multi-Customer'!$AR20,FALSE),SUMIFS('Existing Customers'!$P:$P,'Existing Customers'!$H:$H,'Multi-Customer'!$AT20,'Existing Customers'!$A:$A,'Multi-Customer'!$CE$1)*$CE$4),0)</f>
        <v>0</v>
      </c>
      <c r="CI20" s="101">
        <f>IFERROR(IF($CE$2="Enter Spend&gt;&gt;&gt;","N/A",SUMIFS('Existing Customers'!$V:$V,'Existing Customers'!$H:$H,'Multi-Customer'!$AT20,'Existing Customers'!$A:$A,'Multi-Customer'!CE$1)*$CE$4),0)</f>
        <v>0</v>
      </c>
      <c r="CJ20" s="101">
        <f>IFERROR(IF($CE$2="Enter Spend&gt;&gt;&gt;","N/A",SUMIFS('Existing Customers'!$R:$R,'Existing Customers'!$H:$H,'Multi-Customer'!$AT20,'Existing Customers'!$A:$A,'Multi-Customer'!CE$1)*$CE$4),0)</f>
        <v>0</v>
      </c>
      <c r="CK20" s="132"/>
      <c r="CL20">
        <f>IFERROR(VLOOKUP(CN$5,'Basket Composition'!$A$3:$W$30,'Multi-Customer'!$AR20,FALSE),0)</f>
        <v>0</v>
      </c>
      <c r="CM20" s="105" t="s">
        <v>96</v>
      </c>
      <c r="CN20" s="100">
        <f>IFERROR(IF($CN$2="Enter Spend&gt;&gt;&gt;",$CN$3*CL20,SUMIFS('Existing Customers'!$Q:$Q,'Existing Customers'!$H:$H,'Multi-Customer'!$AT20,'Existing Customers'!$A:$A,'Multi-Customer'!$CN$1)*$CN$4),0)</f>
        <v>0</v>
      </c>
      <c r="CO20" s="92">
        <f>IFERROR(IF($CN$2="Enter Spend&gt;&gt;&gt;",'Multi-Customer'!CN20/VLOOKUP($CN$5,'Basket Composition'!$A$34:$W$61,'Multi-Customer'!$AR20,FALSE),SUMIFS('Existing Customers'!$N:$N,'Existing Customers'!$H:$H,'Multi-Customer'!$AT20,'Existing Customers'!$A:$A,'Multi-Customer'!$CN$1)*$CN$4),0)</f>
        <v>0</v>
      </c>
      <c r="CP20" s="92">
        <f>IFERROR(IF($CN$2="Enter Spend&gt;&gt;&gt;",CO20*$CN$8,SUMIFS('Existing Customers'!$O:$O,'Existing Customers'!$H:$H,'Multi-Customer'!$AT20,'Existing Customers'!$A:$A,'Multi-Customer'!CN$1)*$CN$4),0)</f>
        <v>0</v>
      </c>
      <c r="CQ20" s="92">
        <f>IFERROR(IF($CN$2="Enter Spend&gt;&gt;&gt;",'Multi-Customer'!CN20/VLOOKUP($CN$5,'Basket Composition'!$A$65:$W$92,'Multi-Customer'!$AR20,FALSE),SUMIFS('Existing Customers'!$P:$P,'Existing Customers'!$H:$H,'Multi-Customer'!$AT20,'Existing Customers'!$A:$A,'Multi-Customer'!$CN$1)*$CN$4),0)</f>
        <v>0</v>
      </c>
      <c r="CR20" s="101">
        <f>IFERROR(IF($CN$2="Enter Spend&gt;&gt;&gt;","N/A",SUMIFS('Existing Customers'!$V:$V,'Existing Customers'!$H:$H,'Multi-Customer'!$AT20,'Existing Customers'!$A:$A,'Multi-Customer'!CN$1)*$CN$4),0)</f>
        <v>0</v>
      </c>
      <c r="CS20" s="101">
        <f>IFERROR(IF($CN$2="Enter Spend&gt;&gt;&gt;","N/A",SUMIFS('Existing Customers'!$R:$R,'Existing Customers'!$H:$H,'Multi-Customer'!$AT20,'Existing Customers'!$A:$A,'Multi-Customer'!CN$1)*$CN$4),0)</f>
        <v>0</v>
      </c>
      <c r="CT20" s="132"/>
      <c r="CU20">
        <f>IFERROR(VLOOKUP(CW$5,'Basket Composition'!$A$3:$W$30,'Multi-Customer'!$AR20,FALSE),0)</f>
        <v>0</v>
      </c>
      <c r="CV20" s="105" t="s">
        <v>96</v>
      </c>
      <c r="CW20" s="100">
        <f>IFERROR(IF($CW$2="Enter Spend&gt;&gt;&gt;",$CW$3*CU20,SUMIFS('Existing Customers'!$Q:$Q,'Existing Customers'!$H:$H,'Multi-Customer'!$AT20,'Existing Customers'!$A:$A,'Multi-Customer'!$CW$1)*$CW$4),0)</f>
        <v>0</v>
      </c>
      <c r="CX20" s="92">
        <f>IFERROR(IF($CW$2="Enter Spend&gt;&gt;&gt;",'Multi-Customer'!CW20/VLOOKUP($CW$5,'Basket Composition'!$A$34:$W$61,'Multi-Customer'!$AR20,FALSE),SUMIFS('Existing Customers'!$N:$N,'Existing Customers'!$H:$H,'Multi-Customer'!$AT20,'Existing Customers'!$A:$A,'Multi-Customer'!$CW$1)*$CW$4),0)</f>
        <v>0</v>
      </c>
      <c r="CY20" s="92">
        <f>IFERROR(IF($CW$2="Enter Spend&gt;&gt;&gt;",CX20*$CW$8,SUMIFS('Existing Customers'!$O:$O,'Existing Customers'!$H:$H,'Multi-Customer'!$AT20,'Existing Customers'!$A:$A,'Multi-Customer'!CW$1)*$CW$4),0)</f>
        <v>0</v>
      </c>
      <c r="CZ20" s="92">
        <f>IFERROR(IF($CW$2="Enter Spend&gt;&gt;&gt;",'Multi-Customer'!CW20/VLOOKUP($CW$5,'Basket Composition'!$A$65:$W$92,'Multi-Customer'!$AR20,FALSE),SUMIFS('Existing Customers'!$P:$P,'Existing Customers'!$H:$H,'Multi-Customer'!$AT20,'Existing Customers'!$A:$A,'Multi-Customer'!$CW$1)*$CW$4),0)</f>
        <v>0</v>
      </c>
      <c r="DA20" s="101">
        <f>IFERROR(IF($CW$2="Enter Spend&gt;&gt;&gt;","N/A",SUMIFS('Existing Customers'!$V:$V,'Existing Customers'!$H:$H,'Multi-Customer'!$AT20,'Existing Customers'!$A:$A,'Multi-Customer'!CW$1)*$CW$4),0)</f>
        <v>0</v>
      </c>
      <c r="DB20" s="101">
        <f>IFERROR(IF($CW$2="Enter Spend&gt;&gt;&gt;","N/A",SUMIFS('Existing Customers'!$R:$R,'Existing Customers'!$H:$H,'Multi-Customer'!$AT20,'Existing Customers'!$A:$A,'Multi-Customer'!CW$1)*$CW$4),0)</f>
        <v>0</v>
      </c>
      <c r="DC20" s="132"/>
      <c r="DD20">
        <f>IFERROR(VLOOKUP(DF$5,'Basket Composition'!$A$3:$W$30,'Multi-Customer'!$AR20,FALSE),0)</f>
        <v>0</v>
      </c>
      <c r="DE20" s="105" t="s">
        <v>96</v>
      </c>
      <c r="DF20" s="100">
        <f>IFERROR(IF($DF$2="Enter Spend&gt;&gt;&gt;",$DF$3*DD20,SUMIFS('Existing Customers'!$Q:$Q,'Existing Customers'!$H:$H,'Multi-Customer'!$AT20,'Existing Customers'!$A:$A,'Multi-Customer'!$DF$1)*$DF$4),0)</f>
        <v>0</v>
      </c>
      <c r="DG20" s="92">
        <f>IFERROR(IF($DF$2="Enter Spend&gt;&gt;&gt;",'Multi-Customer'!DF20/VLOOKUP($DF$5,'Basket Composition'!$A$34:$W$61,'Multi-Customer'!$AR20,FALSE),SUMIFS('Existing Customers'!$N:$N,'Existing Customers'!$H:$H,'Multi-Customer'!$AT20,'Existing Customers'!$A:$A,'Multi-Customer'!$DF$1)*$DF$4),0)</f>
        <v>0</v>
      </c>
      <c r="DH20" s="92">
        <f>IFERROR(IF($DF$2="Enter Spend&gt;&gt;&gt;",DG20*$DF$8,SUMIFS('Existing Customers'!$O:$O,'Existing Customers'!$H:$H,'Multi-Customer'!$AT20,'Existing Customers'!$A:$A,'Multi-Customer'!DF$1)*$DF$4),0)</f>
        <v>0</v>
      </c>
      <c r="DI20" s="92">
        <f>IFERROR(IF($DF$2="Enter Spend&gt;&gt;&gt;",'Multi-Customer'!DF20/VLOOKUP($DF$5,'Basket Composition'!$A$65:$W$92,'Multi-Customer'!$AR20,FALSE),SUMIFS('Existing Customers'!$P:$P,'Existing Customers'!$H:$H,'Multi-Customer'!$AT20,'Existing Customers'!$A:$A,'Multi-Customer'!$DF$1)*$DF$4),0)</f>
        <v>0</v>
      </c>
      <c r="DJ20" s="101">
        <f>IFERROR(IF($DF$2="Enter Spend&gt;&gt;&gt;","N/A",SUMIFS('Existing Customers'!$V:$V,'Existing Customers'!$H:$H,'Multi-Customer'!$AT20,'Existing Customers'!$A:$A,'Multi-Customer'!DF$1)*$DF$4),0)</f>
        <v>0</v>
      </c>
      <c r="DK20" s="101">
        <f>IFERROR(IF($DF$2="Enter Spend&gt;&gt;&gt;","N/A",SUMIFS('Existing Customers'!$R:$R,'Existing Customers'!$H:$H,'Multi-Customer'!$AT20,'Existing Customers'!$A:$A,'Multi-Customer'!DF$1)*$DF$4),0)</f>
        <v>0</v>
      </c>
      <c r="DL20" s="132"/>
      <c r="DM20">
        <f>IFERROR(VLOOKUP(DO$5,'Basket Composition'!$A$3:$W$30,'Multi-Customer'!$AR20,FALSE),0)</f>
        <v>0</v>
      </c>
      <c r="DN20" s="105" t="s">
        <v>96</v>
      </c>
      <c r="DO20" s="100">
        <f>IFERROR(IF($DO$2="Enter Spend&gt;&gt;&gt;",$DO$3*DM20,SUMIFS('Existing Customers'!$Q:$Q,'Existing Customers'!$H:$H,'Multi-Customer'!$AT20,'Existing Customers'!$A:$A,'Multi-Customer'!$DO$1)*$DO$4),0)</f>
        <v>0</v>
      </c>
      <c r="DP20" s="92">
        <f>IFERROR(IF($DO$2="Enter Spend&gt;&gt;&gt;",'Multi-Customer'!DO20/VLOOKUP($DO$5,'Basket Composition'!$A$34:$W$61,'Multi-Customer'!$AR20,FALSE),SUMIFS('Existing Customers'!$N:$N,'Existing Customers'!$H:$H,'Multi-Customer'!$AT20,'Existing Customers'!$A:$A,'Multi-Customer'!$DO$1)*$DO$4),0)</f>
        <v>0</v>
      </c>
      <c r="DQ20" s="92">
        <f>IFERROR(IF($DO$2="Enter Spend&gt;&gt;&gt;",DP20*$DO$8,SUMIFS('Existing Customers'!$O:$O,'Existing Customers'!$H:$H,'Multi-Customer'!$AT20,'Existing Customers'!$A:$A,'Multi-Customer'!DO$1)*$DO$4),0)</f>
        <v>0</v>
      </c>
      <c r="DR20" s="92">
        <f>IFERROR(IF($DO$2="Enter Spend&gt;&gt;&gt;",'Multi-Customer'!DO20/VLOOKUP($DO$5,'Basket Composition'!$A$65:$W$92,'Multi-Customer'!$AR20,FALSE),SUMIFS('Existing Customers'!$P:$P,'Existing Customers'!$H:$H,'Multi-Customer'!$AT20,'Existing Customers'!$A:$A,'Multi-Customer'!$DO$1)*$DO$4),0)</f>
        <v>0</v>
      </c>
      <c r="DS20" s="117">
        <f>IFERROR(IF($DO$2="Enter Spend&gt;&gt;&gt;","N/A",SUMIFS('Existing Customers'!$V:$V,'Existing Customers'!$H:$H,'Multi-Customer'!$AT20,'Existing Customers'!$A:$A,'Multi-Customer'!DO$1)*$DO$4),0)</f>
        <v>0</v>
      </c>
      <c r="DT20" s="101">
        <f>IFERROR(IF($DO$2="Enter Spend&gt;&gt;&gt;","N/A",SUMIFS('Existing Customers'!$R:$R,'Existing Customers'!$H:$H,'Multi-Customer'!$AT20,'Existing Customers'!$A:$A,'Multi-Customer'!DO$1)*$DO$4),0)</f>
        <v>0</v>
      </c>
      <c r="DU20" s="132"/>
      <c r="DV20">
        <f>IFERROR(VLOOKUP(DX$5,'Basket Composition'!$A$3:$W$30,'Multi-Customer'!$AR20,FALSE),0)</f>
        <v>0</v>
      </c>
      <c r="DW20" s="105" t="s">
        <v>96</v>
      </c>
      <c r="DX20" s="100">
        <f>IFERROR(IF($DX$2="Enter Spend&gt;&gt;&gt;",$DX$3*DV20,SUMIFS('Existing Customers'!$Q:$Q,'Existing Customers'!$H:$H,'Multi-Customer'!$AT20,'Existing Customers'!$A:$A,'Multi-Customer'!$DX$1)*$DX$4),0)</f>
        <v>0</v>
      </c>
      <c r="DY20" s="92">
        <f>IFERROR(IF($DX$2="Enter Spend&gt;&gt;&gt;",'Multi-Customer'!DX20/VLOOKUP($DX$5,'Basket Composition'!$A$34:$W$61,'Multi-Customer'!$AR20,FALSE),SUMIFS('Existing Customers'!$N:$N,'Existing Customers'!$H:$H,'Multi-Customer'!$AT20,'Existing Customers'!$A:$A,'Multi-Customer'!$DX$1)*$DX$4),0)</f>
        <v>0</v>
      </c>
      <c r="DZ20" s="92">
        <f>IFERROR(IF($DX$2="Enter Spend&gt;&gt;&gt;",DY20*$DX$8,SUMIFS('Existing Customers'!$O:$O,'Existing Customers'!$H:$H,'Multi-Customer'!$AT20,'Existing Customers'!$A:$A,'Multi-Customer'!DX$1)*$DX$4),0)</f>
        <v>0</v>
      </c>
      <c r="EA20" s="92">
        <f>IFERROR(IF($DX$2="Enter Spend&gt;&gt;&gt;",'Multi-Customer'!DX20/VLOOKUP($DX$5,'Basket Composition'!$A$65:$W$92,'Multi-Customer'!$AR20,FALSE),SUMIFS('Existing Customers'!$P:$P,'Existing Customers'!$H:$H,'Multi-Customer'!$AT20,'Existing Customers'!$A:$A,'Multi-Customer'!$DX$1)*$DX$4),0)</f>
        <v>0</v>
      </c>
      <c r="EB20" s="117">
        <f>IFERROR(IF($DX$2="Enter Spend&gt;&gt;&gt;","N/A",SUMIFS('Existing Customers'!$V:$V,'Existing Customers'!$H:$H,'Multi-Customer'!$AT20,'Existing Customers'!$A:$A,'Multi-Customer'!DX$1)*$DX$4),0)</f>
        <v>0</v>
      </c>
      <c r="EC20" s="101">
        <f>IFERROR(IF($DX$2="Enter Spend&gt;&gt;&gt;","N/A",SUMIFS('Existing Customers'!$R:$R,'Existing Customers'!$H:$H,'Multi-Customer'!$AT20,'Existing Customers'!$A:$A,'Multi-Customer'!DX$1)*$DX$4),0)</f>
        <v>0</v>
      </c>
      <c r="EE20" s="105" t="s">
        <v>96</v>
      </c>
      <c r="EF20" s="100"/>
      <c r="EG20" s="92"/>
      <c r="EH20" s="92"/>
      <c r="EI20" s="92"/>
      <c r="EJ20" s="117"/>
      <c r="EK20" s="101"/>
      <c r="EL20" s="132"/>
      <c r="EN20" s="105" t="s">
        <v>96</v>
      </c>
      <c r="EO20" s="100"/>
      <c r="EP20" s="92"/>
      <c r="EQ20" s="92"/>
      <c r="ER20" s="92"/>
      <c r="ES20" s="117"/>
      <c r="ET20" s="101"/>
    </row>
    <row r="21" spans="2:150" x14ac:dyDescent="0.25">
      <c r="B21" s="105" t="s">
        <v>101</v>
      </c>
      <c r="C21" s="487">
        <f t="shared" si="6"/>
        <v>0</v>
      </c>
      <c r="D21" s="504">
        <f t="shared" si="7"/>
        <v>0</v>
      </c>
      <c r="E21" s="504">
        <f t="shared" si="8"/>
        <v>0</v>
      </c>
      <c r="F21" s="504">
        <f t="shared" si="9"/>
        <v>0</v>
      </c>
      <c r="G21" s="505">
        <f t="shared" si="10"/>
        <v>0</v>
      </c>
      <c r="H21" s="507">
        <f t="shared" si="11"/>
        <v>0</v>
      </c>
      <c r="J21" t="str">
        <f>'PIM Model'!E19</f>
        <v>INCLUDE</v>
      </c>
      <c r="K21">
        <f t="shared" si="12"/>
        <v>0</v>
      </c>
      <c r="L21">
        <f t="shared" si="13"/>
        <v>0</v>
      </c>
      <c r="M21" s="105" t="s">
        <v>101</v>
      </c>
      <c r="N21" s="100">
        <f t="shared" si="14"/>
        <v>0</v>
      </c>
      <c r="O21" s="92">
        <f t="shared" si="0"/>
        <v>0</v>
      </c>
      <c r="P21" s="92">
        <f t="shared" si="1"/>
        <v>0</v>
      </c>
      <c r="Q21" s="92">
        <f t="shared" si="2"/>
        <v>0</v>
      </c>
      <c r="R21" s="117">
        <f t="shared" si="3"/>
        <v>0</v>
      </c>
      <c r="S21" s="120">
        <f t="shared" si="15"/>
        <v>0</v>
      </c>
      <c r="T21" s="404"/>
      <c r="U21" s="105" t="s">
        <v>101</v>
      </c>
      <c r="V21" s="491">
        <f t="shared" si="4"/>
        <v>0</v>
      </c>
      <c r="W21" s="492">
        <f t="shared" si="4"/>
        <v>0</v>
      </c>
      <c r="X21" s="492">
        <f t="shared" si="4"/>
        <v>0</v>
      </c>
      <c r="Y21" s="493">
        <f t="shared" si="16"/>
        <v>0</v>
      </c>
      <c r="Z21" s="494">
        <f t="shared" si="17"/>
        <v>0</v>
      </c>
      <c r="AA21" s="404"/>
      <c r="AB21" s="105" t="s">
        <v>101</v>
      </c>
      <c r="AC21" s="491">
        <f t="shared" si="5"/>
        <v>0</v>
      </c>
      <c r="AD21" s="488">
        <f t="shared" si="18"/>
        <v>0</v>
      </c>
      <c r="AE21" s="494"/>
      <c r="AF21" s="404"/>
      <c r="AG21" s="1" t="str">
        <f>IF('PIM Ranges'!$AK21='PIM Ranges'!$AW$11,IF($AC21&lt;'PIM Ranges'!$AX$11,"Q1",IF($AC21&lt;'PIM Ranges'!$AY$11,"Q2",IF($AC21&lt;'PIM Ranges'!$AZ$11,"Q3",IF($AC21&lt;'PIM Ranges'!$BA$11,"Q4","Q5")))),IF('PIM Ranges'!$AK21='PIM Ranges'!$AW$12,IF($AC21&lt;'PIM Ranges'!$AX$12,"Q1",IF($AC21&lt;'PIM Ranges'!$AY$12,"Q2",IF($AC21&lt;'PIM Ranges'!$AZ$12,"Q3",IF($AC21&lt;'PIM Ranges'!$BA$12,"Q4","Q5")))),IF('PIM Ranges'!$AK21='PIM Ranges'!$AW$13,IF($AC21&lt;'PIM Ranges'!$AX$13,"Q1",IF($AC21&lt;'PIM Ranges'!$AY$13,"Q2",IF($AC21&lt;'PIM Ranges'!$AZ$13,"Q3",IF($AC21&lt;'PIM Ranges'!$BA$13,"Q4","Q5")))),IF('PIM Ranges'!$AK21='PIM Ranges'!$AW$14,IF($AC21&lt;'PIM Ranges'!$AX$14,"Q1",IF($AC21&lt;'PIM Ranges'!$AY$14,"Q2",IF($AC21&lt;'PIM Ranges'!$AZ$14,"Q3",IF($AC21&lt;'PIM Ranges'!$BA$14,"Q4","Q5")))),IF('PIM Ranges'!$AK21='PIM Ranges'!$AW$15,IF($AC21&lt;'PIM Ranges'!$AX$15,"Q1",IF($AC21&lt;'PIM Ranges'!$AY$15,"Q2",IF($AC21&lt;'PIM Ranges'!$AZ$15,"Q3",IF($AC21&lt;'PIM Ranges'!$BA$15,"Q4","Q5")))),IF('PIM Ranges'!$AK21='PIM Ranges'!$AW$16,IF($AC21&lt;'PIM Ranges'!$AX$16,"Q1",IF($AC21&lt;'PIM Ranges'!$AY$16,"Q2",IF($AC21&lt;'PIM Ranges'!$AZ$16,"Q3",IF($AC21&lt;'PIM Ranges'!$BA$16,"Q4","Q5")))),IF('PIM Ranges'!$AK21='PIM Ranges'!$AW$17,IF($AC21&lt;'PIM Ranges'!$AX$17,"Q1",IF($AC21&lt;'PIM Ranges'!$AY$17,"Q2",IF($AC21&lt;'PIM Ranges'!$AZ$17,"Q3",IF($AC21&lt;'PIM Ranges'!$BA$17,"Q4","Q5")))),IF('PIM Ranges'!$AK21='PIM Ranges'!$AW$18,IF($AC21&lt;'PIM Ranges'!$AX$18,"Q1",IF($AC21&lt;'PIM Ranges'!$AY$18,"Q2",IF($AC21&lt;'PIM Ranges'!$AZ$18,"Q3",IF($AC21&lt;'PIM Ranges'!$BA$18,"Q4","Q5")))),IF('PIM Ranges'!$AK21='PIM Ranges'!$AW$19,IF($AC21&lt;'PIM Ranges'!$AX$19,"Q1",IF($AC21&lt;'PIM Ranges'!$AY$19,"Q2",IF($AC21&lt;'PIM Ranges'!$AZ$19,"Q3",IF($AC21&lt;'PIM Ranges'!$BA$19,"Q4","Q5")))),IF('PIM Ranges'!$AK21='PIM Ranges'!$AW$20,IF($AC21&lt;'PIM Ranges'!$AX$20,"Q1",IF($AC21&lt;'PIM Ranges'!$AY$20,"Q2",IF($AC21&lt;'PIM Ranges'!$AZ$20,"Q3",IF($AC21&lt;'PIM Ranges'!$BA$20,"Q4","Q5")))),IF('PIM Ranges'!$AK21='PIM Ranges'!$AW$21,IF($AC21&lt;'PIM Ranges'!$AX$21,"Q1",IF($AC21&lt;'PIM Ranges'!$AY$21,"Q2",IF($AC21&lt;'PIM Ranges'!$AZ$21,"Q3",IF($AC21&lt;'PIM Ranges'!$BA$21,"Q4","Q5")))),IF('PIM Ranges'!$AK21='PIM Ranges'!$AW$22,IF($AC21&lt;'PIM Ranges'!$AX$22,"Q1",IF($AC21&lt;'PIM Ranges'!$AY$22,"Q2",IF($AC21&lt;'PIM Ranges'!$AZ$22,"Q3",IF($AC21&lt;'PIM Ranges'!$BA$22,"Q4","Q5")))),IF('PIM Ranges'!$AK21='PIM Ranges'!$AW$23,IF($AC21&lt;'PIM Ranges'!$AX$23,"Q1",IF($AC21&lt;'PIM Ranges'!$AY$23,"Q2",IF($AC21&lt;'PIM Ranges'!$AZ$23,"Q3",IF($AC21&lt;'PIM Ranges'!$BA$23,"Q4","Q5")))),IF('PIM Ranges'!$AK21='PIM Ranges'!$AW$24,IF($AC21&lt;'PIM Ranges'!$AX$24,"Q1",IF($AC21&lt;'PIM Ranges'!$AY$24,"Q2",IF($AC21&lt;'PIM Ranges'!$AZ$24,"Q3",IF($AC21&lt;'PIM Ranges'!$BA$24,"Q4","Q5")))),IF('PIM Ranges'!$AK21='PIM Ranges'!$AW$25,IF($AC21&lt;'PIM Ranges'!$AX$25,"Q1",IF($AC21&lt;'PIM Ranges'!$AY$25,"Q2",IF($AC21&lt;'PIM Ranges'!$AZ$25,"Q3",IF($AC21&lt;'PIM Ranges'!$BA$25,"Q4","Q5")))),IF('PIM Ranges'!$AK21='PIM Ranges'!$AW$26,IF($AC21&lt;'PIM Ranges'!$AX$26,"Q1",IF($AC21&lt;'PIM Ranges'!$AY$26,"Q2",IF($AC21&lt;'PIM Ranges'!$AZ$26,"Q3",IF($AC21&lt;'PIM Ranges'!$BA$26,"Q4","Q5")))),IF('PIM Ranges'!$AK21='PIM Ranges'!$AW$27,IF($AC21&lt;'PIM Ranges'!$AX$27,"Q1",IF($AC21&lt;'PIM Ranges'!$AY$27,"Q2",IF($AC21&lt;'PIM Ranges'!$AZ$27,"Q3",IF($AC21&lt;'PIM Ranges'!$BA$27,"Q4","Q5")))),IF('PIM Ranges'!$AK21='PIM Ranges'!$AW$28,IF($AC21&lt;'PIM Ranges'!$AX$28,"Q1",IF($AC21&lt;'PIM Ranges'!$AY$28,"Q2",IF($AC21&lt;'PIM Ranges'!$AZ$28,"Q3",IF($AC21&lt;'PIM Ranges'!$BA$28,"Q4","Q5")))),IF('PIM Ranges'!$AK21='PIM Ranges'!$AW$29,IF($AC21&lt;'PIM Ranges'!$AX$29,"Q1",IF($AC21&lt;'PIM Ranges'!$AY$29,"Q2",IF($AC21&lt;'PIM Ranges'!$AZ$29,"Q3",IF($AC21&lt;'PIM Ranges'!$BA$29,"Q4","Q5")))),IF('PIM Ranges'!$AK21='PIM Ranges'!$AW$30,IF($AC21&lt;'PIM Ranges'!$AX$30,"Q1",IF($AC21&lt;'PIM Ranges'!$AY$30,"Q2",IF($AC21&lt;'PIM Ranges'!$AZ$30,"Q3",IF($AC21&lt;'PIM Ranges'!$BA$30,"Q4","Q5")))),IF('PIM Ranges'!$AK21='PIM Ranges'!$AW$31,IF($AC21&lt;'PIM Ranges'!$AX$31,"Q1",IF($AC21&lt;'PIM Ranges'!$AY$31,"Q2",IF($AC21&lt;'PIM Ranges'!$AZ$31,"Q3",IF($AC21&lt;'PIM Ranges'!$BA$31,"Q4","Q5")))),IF('PIM Ranges'!$AK21='PIM Ranges'!$AW$32,IF($AC21&lt;'PIM Ranges'!$AX$32,"Q1",IF($AC21&lt;'PIM Ranges'!$AY$32,"Q2",IF($AC21&lt;'PIM Ranges'!$AZ$32,"Q3",IF($AC21&lt;'PIM Ranges'!$BA$32,"Q4","Q5"))))))))))))))))))))))))))</f>
        <v>Q1</v>
      </c>
      <c r="AH21" s="404">
        <f>VLOOKUP($AB21&amp;$AG21,'IMargin Quartiles'!$A:$F,6,FALSE)</f>
        <v>0.18</v>
      </c>
      <c r="AI21" s="404"/>
      <c r="AJ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K21" s="404" t="e">
        <f>VLOOKUP($AB21&amp;$AJ21,'IMargin Quartiles'!$A:$F,6,FALSE)</f>
        <v>#DIV/0!</v>
      </c>
      <c r="AL21">
        <f>'PIM Model'!C19</f>
        <v>0</v>
      </c>
      <c r="AM21" s="404"/>
      <c r="AN21" s="404"/>
      <c r="AO21" s="404" t="e">
        <f t="shared" si="19"/>
        <v>#DIV/0!</v>
      </c>
      <c r="AP21" s="404"/>
      <c r="AQ21" s="404"/>
      <c r="AR21" s="111">
        <v>12</v>
      </c>
      <c r="AS21">
        <f>IFERROR(VLOOKUP(AU$5,'Basket Composition'!$A$3:$W$30,'Multi-Customer'!$AR21,FALSE),0)</f>
        <v>0</v>
      </c>
      <c r="AT21" s="105" t="s">
        <v>101</v>
      </c>
      <c r="AU21" s="100">
        <f>IFERROR(IF($AU$2="Enter Spend&gt;&gt;&gt;",$AU$3*AS21,SUMIFS('Existing Customers'!$Q:$Q,'Existing Customers'!$H:$H,'Multi-Customer'!$AT21,'Existing Customers'!$A:$A,'Multi-Customer'!$AU$1)*$AU$4),0)</f>
        <v>0</v>
      </c>
      <c r="AV21" s="92">
        <f>IFERROR(IF($AU$2="Enter Spend&gt;&gt;&gt;",'Multi-Customer'!AU21/VLOOKUP($AU$5,'Basket Composition'!$A$34:$W$61,'Multi-Customer'!$AR21,FALSE),SUMIFS('Existing Customers'!$N:$N,'Existing Customers'!$H:$H,'Multi-Customer'!$AT21,'Existing Customers'!$A:$A,'Multi-Customer'!$AU$1)*$AU$4),0)</f>
        <v>0</v>
      </c>
      <c r="AW21" s="92">
        <f>IFERROR(IF($AU$2="Enter Spend&gt;&gt;&gt;",AV21*$AU$8,SUMIFS('Existing Customers'!$O:$O,'Existing Customers'!$H:$H,'Multi-Customer'!$AT21,'Existing Customers'!$A:$A,'Multi-Customer'!AU$1)*$AU$4),0)</f>
        <v>0</v>
      </c>
      <c r="AX21" s="92">
        <f>IFERROR(IF($AU$2="Enter Spend&gt;&gt;&gt;",'Multi-Customer'!AU21/VLOOKUP($AU$5,'Basket Composition'!$A$65:$W$92,'Multi-Customer'!$AR21,FALSE),SUMIFS('Existing Customers'!$P:$P,'Existing Customers'!$H:$H,'Multi-Customer'!$AT21,'Existing Customers'!$A:$A,'Multi-Customer'!$AU$1)*$AU$4),0)</f>
        <v>0</v>
      </c>
      <c r="AY21" s="117">
        <f>IFERROR(IF($AU$2="Enter Spend&gt;&gt;&gt;","N/A",SUMIFS('Existing Customers'!$V:$V,'Existing Customers'!$H:$H,'Multi-Customer'!$AT21,'Existing Customers'!$A:$A,'Multi-Customer'!AU$1)*$AU$4),0)</f>
        <v>0</v>
      </c>
      <c r="AZ21" s="101">
        <f>IFERROR(IF($AU$2="Enter Spend&gt;&gt;&gt;","N/A",SUMIFS('Existing Customers'!$R:$R,'Existing Customers'!$H:$H,'Multi-Customer'!$AT21,'Existing Customers'!$A:$A,'Multi-Customer'!AU$1)*$AU$4),0)</f>
        <v>0</v>
      </c>
      <c r="BA21" s="132"/>
      <c r="BB21">
        <f>IFERROR(VLOOKUP(BD$5,'Basket Composition'!$A$3:$W$30,'Multi-Customer'!$AR21,FALSE),0)</f>
        <v>0</v>
      </c>
      <c r="BC21" s="105" t="s">
        <v>101</v>
      </c>
      <c r="BD21" s="100">
        <f>IFERROR(IF($BD$2="Enter Spend&gt;&gt;&gt;",$BD$3*BB21,SUMIFS('Existing Customers'!$Q:$Q,'Existing Customers'!$H:$H,'Multi-Customer'!$AT21,'Existing Customers'!$A:$A,'Multi-Customer'!$BD$1)*$BD$4),0)</f>
        <v>0</v>
      </c>
      <c r="BE21" s="92">
        <f>IFERROR(IF($BD$2="Enter Spend&gt;&gt;&gt;",'Multi-Customer'!BD21/VLOOKUP($BD$5,'Basket Composition'!$A$34:$W$61,'Multi-Customer'!$AR21,FALSE),SUMIFS('Existing Customers'!$N:$N,'Existing Customers'!$H:$H,'Multi-Customer'!$AT21,'Existing Customers'!$A:$A,'Multi-Customer'!$BD$1)*$BD$4),0)</f>
        <v>0</v>
      </c>
      <c r="BF21" s="92">
        <f>IFERROR(IF($BD$2="Enter Spend&gt;&gt;&gt;",BE21*$BD$8,SUMIFS('Existing Customers'!$O:$O,'Existing Customers'!$H:$H,'Multi-Customer'!$AT21,'Existing Customers'!$A:$A,'Multi-Customer'!BD$1)*$BD$4),0)</f>
        <v>0</v>
      </c>
      <c r="BG21" s="92">
        <f>IFERROR(IF($BD$2="Enter Spend&gt;&gt;&gt;",'Multi-Customer'!BD21/VLOOKUP($BD$5,'Basket Composition'!$A$65:$W$92,'Multi-Customer'!$AR21,FALSE),SUMIFS('Existing Customers'!$P:$P,'Existing Customers'!$H:$H,'Multi-Customer'!$AT21,'Existing Customers'!$A:$A,'Multi-Customer'!$BD$1)*$BD$4),0)</f>
        <v>0</v>
      </c>
      <c r="BH21" s="101">
        <f>IFERROR(IF($BD$2="Enter Spend&gt;&gt;&gt;","N/A",SUMIFS('Existing Customers'!$V:$V,'Existing Customers'!$H:$H,'Multi-Customer'!$AT21,'Existing Customers'!$A:$A,'Multi-Customer'!BD$1)*$BD$4),0)</f>
        <v>0</v>
      </c>
      <c r="BI21" s="101">
        <f>IFERROR(IF($BD$2="Enter Spend&gt;&gt;&gt;","N/A",SUMIFS('Existing Customers'!$R:$R,'Existing Customers'!$H:$H,'Multi-Customer'!$AT21,'Existing Customers'!$A:$A,'Multi-Customer'!BD$1)*$BD$4),0)</f>
        <v>0</v>
      </c>
      <c r="BJ21" s="132"/>
      <c r="BK21">
        <f>IFERROR(VLOOKUP(BM$5,'Basket Composition'!$A$3:$W$30,'Multi-Customer'!$AR21,FALSE),0)</f>
        <v>0</v>
      </c>
      <c r="BL21" s="105" t="s">
        <v>101</v>
      </c>
      <c r="BM21" s="100">
        <f>IFERROR(IF($BM$2="Enter Spend&gt;&gt;&gt;",$BM$3*BK21,SUMIFS('Existing Customers'!$Q:$Q,'Existing Customers'!$H:$H,'Multi-Customer'!$AT21,'Existing Customers'!$A:$A,'Multi-Customer'!$BM$1)*$BM$4),0)</f>
        <v>0</v>
      </c>
      <c r="BN21" s="92">
        <f>IFERROR(IF($BM$2="Enter Spend&gt;&gt;&gt;",'Multi-Customer'!BM21/VLOOKUP($BM$5,'Basket Composition'!$A$34:$W$61,'Multi-Customer'!$AR21,FALSE),SUMIFS('Existing Customers'!$N:$N,'Existing Customers'!$H:$H,'Multi-Customer'!$AT21,'Existing Customers'!$A:$A,'Multi-Customer'!$BM$1)*$BM$4),0)</f>
        <v>0</v>
      </c>
      <c r="BO21" s="92">
        <f>IFERROR(IF($BM$2="Enter Spend&gt;&gt;&gt;",BN21*$BM$8,SUMIFS('Existing Customers'!$O:$O,'Existing Customers'!$H:$H,'Multi-Customer'!$AT21,'Existing Customers'!$A:$A,'Multi-Customer'!BM$1)*$BM$4),0)</f>
        <v>0</v>
      </c>
      <c r="BP21" s="92">
        <f>IFERROR(IF($BM$2="Enter Spend&gt;&gt;&gt;",'Multi-Customer'!BM21/VLOOKUP($BM$5,'Basket Composition'!$A$65:$W$92,'Multi-Customer'!$AR21,FALSE),SUMIFS('Existing Customers'!$P:$P,'Existing Customers'!$H:$H,'Multi-Customer'!$AT21,'Existing Customers'!$A:$A,'Multi-Customer'!$BM$1)*$BM$4),0)</f>
        <v>0</v>
      </c>
      <c r="BQ21" s="101">
        <f>IFERROR(IF($BM$2="Enter Spend&gt;&gt;&gt;","N/A",SUMIFS('Existing Customers'!$V:$V,'Existing Customers'!$H:$H,'Multi-Customer'!$AT21,'Existing Customers'!$A:$A,'Multi-Customer'!BM$1)*$BM$4),0)</f>
        <v>0</v>
      </c>
      <c r="BR21" s="101">
        <f>IFERROR(IF($BM$2="Enter Spend&gt;&gt;&gt;","N/A",SUMIFS('Existing Customers'!$R:$R,'Existing Customers'!$H:$H,'Multi-Customer'!$AT21,'Existing Customers'!$A:$A,'Multi-Customer'!BM$1)*$BM$4),0)</f>
        <v>0</v>
      </c>
      <c r="BS21" s="132"/>
      <c r="BT21">
        <f>IFERROR(VLOOKUP(BV$5,'Basket Composition'!$A$3:$W$30,'Multi-Customer'!$AR21,FALSE),0)</f>
        <v>0</v>
      </c>
      <c r="BU21" s="105" t="s">
        <v>101</v>
      </c>
      <c r="BV21" s="100">
        <f>IFERROR(IF($BV$2="Enter Spend&gt;&gt;&gt;",$BV$3*BT21,SUMIFS('Existing Customers'!$Q:$Q,'Existing Customers'!$H:$H,'Multi-Customer'!$AT21,'Existing Customers'!$A:$A,'Multi-Customer'!$BV$1)*$BV$4),0)</f>
        <v>0</v>
      </c>
      <c r="BW21" s="92">
        <f>IFERROR(IF($BV$2="Enter Spend&gt;&gt;&gt;",'Multi-Customer'!BV21/VLOOKUP($BV$5,'Basket Composition'!$A$34:$W$61,'Multi-Customer'!$AR21,FALSE),SUMIFS('Existing Customers'!$N:$N,'Existing Customers'!$H:$H,'Multi-Customer'!$AT21,'Existing Customers'!$A:$A,'Multi-Customer'!$BV$1)*$BV$4),0)</f>
        <v>0</v>
      </c>
      <c r="BX21" s="92">
        <f>IFERROR(IF($BV$2="Enter Spend&gt;&gt;&gt;",BW21*$BV$8,SUMIFS('Existing Customers'!$O:$O,'Existing Customers'!$H:$H,'Multi-Customer'!$AT21,'Existing Customers'!$A:$A,'Multi-Customer'!BV$1)*$BV$4),0)</f>
        <v>0</v>
      </c>
      <c r="BY21" s="92">
        <f>IFERROR(IF($BV$2="Enter Spend&gt;&gt;&gt;",'Multi-Customer'!BV21/VLOOKUP($BV$5,'Basket Composition'!$A$65:$W$92,'Multi-Customer'!$AR21,FALSE),SUMIFS('Existing Customers'!$P:$P,'Existing Customers'!$H:$H,'Multi-Customer'!$AT21,'Existing Customers'!$A:$A,'Multi-Customer'!$BV$1)*$BV$4),0)</f>
        <v>0</v>
      </c>
      <c r="BZ21" s="101">
        <f>IFERROR(IF($BV$2="Enter Spend&gt;&gt;&gt;","N/A",SUMIFS('Existing Customers'!$V:$V,'Existing Customers'!$H:$H,'Multi-Customer'!$AT21,'Existing Customers'!$A:$A,'Multi-Customer'!BV$1)*$BV$4),0)</f>
        <v>0</v>
      </c>
      <c r="CA21" s="101">
        <f>IFERROR(IF($BV$2="Enter Spend&gt;&gt;&gt;","N/A",SUMIFS('Existing Customers'!$R:$R,'Existing Customers'!$H:$H,'Multi-Customer'!$AT21,'Existing Customers'!$A:$A,'Multi-Customer'!BV$1)*$BV$4),0)</f>
        <v>0</v>
      </c>
      <c r="CB21" s="132"/>
      <c r="CC21">
        <f>IFERROR(VLOOKUP(CE$5,'Basket Composition'!$A$3:$W$30,'Multi-Customer'!$AR21,FALSE),0)</f>
        <v>0</v>
      </c>
      <c r="CD21" s="105" t="s">
        <v>101</v>
      </c>
      <c r="CE21" s="100">
        <f>IFERROR(IF($CE$2="Enter Spend&gt;&gt;&gt;",$CE$3*CC21,SUMIFS('Existing Customers'!$Q:$Q,'Existing Customers'!$H:$H,'Multi-Customer'!$AT21,'Existing Customers'!$A:$A,'Multi-Customer'!$CE$1)*$CE$4),0)</f>
        <v>0</v>
      </c>
      <c r="CF21" s="92">
        <f>IFERROR(IF($CE$2="Enter Spend&gt;&gt;&gt;",'Multi-Customer'!CE21/VLOOKUP($CE$5,'Basket Composition'!$A$34:$W$61,'Multi-Customer'!$AR21,FALSE),SUMIFS('Existing Customers'!$N:$N,'Existing Customers'!$H:$H,'Multi-Customer'!$AT21,'Existing Customers'!$A:$A,'Multi-Customer'!$CE$1)*$CE$4),0)</f>
        <v>0</v>
      </c>
      <c r="CG21" s="92">
        <f>IFERROR(IF($CE$2="Enter Spend&gt;&gt;&gt;",CF21*$CE$8,SUMIFS('Existing Customers'!$O:$O,'Existing Customers'!$H:$H,'Multi-Customer'!$AT21,'Existing Customers'!$A:$A,'Multi-Customer'!CE$1)*$CE$4),0)</f>
        <v>0</v>
      </c>
      <c r="CH21" s="92">
        <f>IFERROR(IF($CE$2="Enter Spend&gt;&gt;&gt;",'Multi-Customer'!CE21/VLOOKUP($CE$5,'Basket Composition'!$A$65:$W$92,'Multi-Customer'!$AR21,FALSE),SUMIFS('Existing Customers'!$P:$P,'Existing Customers'!$H:$H,'Multi-Customer'!$AT21,'Existing Customers'!$A:$A,'Multi-Customer'!$CE$1)*$CE$4),0)</f>
        <v>0</v>
      </c>
      <c r="CI21" s="101">
        <f>IFERROR(IF($CE$2="Enter Spend&gt;&gt;&gt;","N/A",SUMIFS('Existing Customers'!$V:$V,'Existing Customers'!$H:$H,'Multi-Customer'!$AT21,'Existing Customers'!$A:$A,'Multi-Customer'!CE$1)*$CE$4),0)</f>
        <v>0</v>
      </c>
      <c r="CJ21" s="101">
        <f>IFERROR(IF($CE$2="Enter Spend&gt;&gt;&gt;","N/A",SUMIFS('Existing Customers'!$R:$R,'Existing Customers'!$H:$H,'Multi-Customer'!$AT21,'Existing Customers'!$A:$A,'Multi-Customer'!CE$1)*$CE$4),0)</f>
        <v>0</v>
      </c>
      <c r="CK21" s="132"/>
      <c r="CL21">
        <f>IFERROR(VLOOKUP(CN$5,'Basket Composition'!$A$3:$W$30,'Multi-Customer'!$AR21,FALSE),0)</f>
        <v>0</v>
      </c>
      <c r="CM21" s="105" t="s">
        <v>101</v>
      </c>
      <c r="CN21" s="100">
        <f>IFERROR(IF($CN$2="Enter Spend&gt;&gt;&gt;",$CN$3*CL21,SUMIFS('Existing Customers'!$Q:$Q,'Existing Customers'!$H:$H,'Multi-Customer'!$AT21,'Existing Customers'!$A:$A,'Multi-Customer'!$CN$1)*$CN$4),0)</f>
        <v>0</v>
      </c>
      <c r="CO21" s="92">
        <f>IFERROR(IF($CN$2="Enter Spend&gt;&gt;&gt;",'Multi-Customer'!CN21/VLOOKUP($CN$5,'Basket Composition'!$A$34:$W$61,'Multi-Customer'!$AR21,FALSE),SUMIFS('Existing Customers'!$N:$N,'Existing Customers'!$H:$H,'Multi-Customer'!$AT21,'Existing Customers'!$A:$A,'Multi-Customer'!$CN$1)*$CN$4),0)</f>
        <v>0</v>
      </c>
      <c r="CP21" s="92">
        <f>IFERROR(IF($CN$2="Enter Spend&gt;&gt;&gt;",CO21*$CN$8,SUMIFS('Existing Customers'!$O:$O,'Existing Customers'!$H:$H,'Multi-Customer'!$AT21,'Existing Customers'!$A:$A,'Multi-Customer'!CN$1)*$CN$4),0)</f>
        <v>0</v>
      </c>
      <c r="CQ21" s="92">
        <f>IFERROR(IF($CN$2="Enter Spend&gt;&gt;&gt;",'Multi-Customer'!CN21/VLOOKUP($CN$5,'Basket Composition'!$A$65:$W$92,'Multi-Customer'!$AR21,FALSE),SUMIFS('Existing Customers'!$P:$P,'Existing Customers'!$H:$H,'Multi-Customer'!$AT21,'Existing Customers'!$A:$A,'Multi-Customer'!$CN$1)*$CN$4),0)</f>
        <v>0</v>
      </c>
      <c r="CR21" s="101">
        <f>IFERROR(IF($CN$2="Enter Spend&gt;&gt;&gt;","N/A",SUMIFS('Existing Customers'!$V:$V,'Existing Customers'!$H:$H,'Multi-Customer'!$AT21,'Existing Customers'!$A:$A,'Multi-Customer'!CN$1)*$CN$4),0)</f>
        <v>0</v>
      </c>
      <c r="CS21" s="101">
        <f>IFERROR(IF($CN$2="Enter Spend&gt;&gt;&gt;","N/A",SUMIFS('Existing Customers'!$R:$R,'Existing Customers'!$H:$H,'Multi-Customer'!$AT21,'Existing Customers'!$A:$A,'Multi-Customer'!CN$1)*$CN$4),0)</f>
        <v>0</v>
      </c>
      <c r="CT21" s="132"/>
      <c r="CU21">
        <f>IFERROR(VLOOKUP(CW$5,'Basket Composition'!$A$3:$W$30,'Multi-Customer'!$AR21,FALSE),0)</f>
        <v>0</v>
      </c>
      <c r="CV21" s="105" t="s">
        <v>101</v>
      </c>
      <c r="CW21" s="100">
        <f>IFERROR(IF($CW$2="Enter Spend&gt;&gt;&gt;",$CW$3*CU21,SUMIFS('Existing Customers'!$Q:$Q,'Existing Customers'!$H:$H,'Multi-Customer'!$AT21,'Existing Customers'!$A:$A,'Multi-Customer'!$CW$1)*$CW$4),0)</f>
        <v>0</v>
      </c>
      <c r="CX21" s="92">
        <f>IFERROR(IF($CW$2="Enter Spend&gt;&gt;&gt;",'Multi-Customer'!CW21/VLOOKUP($CW$5,'Basket Composition'!$A$34:$W$61,'Multi-Customer'!$AR21,FALSE),SUMIFS('Existing Customers'!$N:$N,'Existing Customers'!$H:$H,'Multi-Customer'!$AT21,'Existing Customers'!$A:$A,'Multi-Customer'!$CW$1)*$CW$4),0)</f>
        <v>0</v>
      </c>
      <c r="CY21" s="92">
        <f>IFERROR(IF($CW$2="Enter Spend&gt;&gt;&gt;",CX21*$CW$8,SUMIFS('Existing Customers'!$O:$O,'Existing Customers'!$H:$H,'Multi-Customer'!$AT21,'Existing Customers'!$A:$A,'Multi-Customer'!CW$1)*$CW$4),0)</f>
        <v>0</v>
      </c>
      <c r="CZ21" s="92">
        <f>IFERROR(IF($CW$2="Enter Spend&gt;&gt;&gt;",'Multi-Customer'!CW21/VLOOKUP($CW$5,'Basket Composition'!$A$65:$W$92,'Multi-Customer'!$AR21,FALSE),SUMIFS('Existing Customers'!$P:$P,'Existing Customers'!$H:$H,'Multi-Customer'!$AT21,'Existing Customers'!$A:$A,'Multi-Customer'!$CW$1)*$CW$4),0)</f>
        <v>0</v>
      </c>
      <c r="DA21" s="101">
        <f>IFERROR(IF($CW$2="Enter Spend&gt;&gt;&gt;","N/A",SUMIFS('Existing Customers'!$V:$V,'Existing Customers'!$H:$H,'Multi-Customer'!$AT21,'Existing Customers'!$A:$A,'Multi-Customer'!CW$1)*$CW$4),0)</f>
        <v>0</v>
      </c>
      <c r="DB21" s="101">
        <f>IFERROR(IF($CW$2="Enter Spend&gt;&gt;&gt;","N/A",SUMIFS('Existing Customers'!$R:$R,'Existing Customers'!$H:$H,'Multi-Customer'!$AT21,'Existing Customers'!$A:$A,'Multi-Customer'!CW$1)*$CW$4),0)</f>
        <v>0</v>
      </c>
      <c r="DC21" s="132"/>
      <c r="DD21">
        <f>IFERROR(VLOOKUP(DF$5,'Basket Composition'!$A$3:$W$30,'Multi-Customer'!$AR21,FALSE),0)</f>
        <v>0</v>
      </c>
      <c r="DE21" s="105" t="s">
        <v>101</v>
      </c>
      <c r="DF21" s="100">
        <f>IFERROR(IF($DF$2="Enter Spend&gt;&gt;&gt;",$DF$3*DD21,SUMIFS('Existing Customers'!$Q:$Q,'Existing Customers'!$H:$H,'Multi-Customer'!$AT21,'Existing Customers'!$A:$A,'Multi-Customer'!$DF$1)*$DF$4),0)</f>
        <v>0</v>
      </c>
      <c r="DG21" s="92">
        <f>IFERROR(IF($DF$2="Enter Spend&gt;&gt;&gt;",'Multi-Customer'!DF21/VLOOKUP($DF$5,'Basket Composition'!$A$34:$W$61,'Multi-Customer'!$AR21,FALSE),SUMIFS('Existing Customers'!$N:$N,'Existing Customers'!$H:$H,'Multi-Customer'!$AT21,'Existing Customers'!$A:$A,'Multi-Customer'!$DF$1)*$DF$4),0)</f>
        <v>0</v>
      </c>
      <c r="DH21" s="92">
        <f>IFERROR(IF($DF$2="Enter Spend&gt;&gt;&gt;",DG21*$DF$8,SUMIFS('Existing Customers'!$O:$O,'Existing Customers'!$H:$H,'Multi-Customer'!$AT21,'Existing Customers'!$A:$A,'Multi-Customer'!DF$1)*$DF$4),0)</f>
        <v>0</v>
      </c>
      <c r="DI21" s="92">
        <f>IFERROR(IF($DF$2="Enter Spend&gt;&gt;&gt;",'Multi-Customer'!DF21/VLOOKUP($DF$5,'Basket Composition'!$A$65:$W$92,'Multi-Customer'!$AR21,FALSE),SUMIFS('Existing Customers'!$P:$P,'Existing Customers'!$H:$H,'Multi-Customer'!$AT21,'Existing Customers'!$A:$A,'Multi-Customer'!$DF$1)*$DF$4),0)</f>
        <v>0</v>
      </c>
      <c r="DJ21" s="101">
        <f>IFERROR(IF($DF$2="Enter Spend&gt;&gt;&gt;","N/A",SUMIFS('Existing Customers'!$V:$V,'Existing Customers'!$H:$H,'Multi-Customer'!$AT21,'Existing Customers'!$A:$A,'Multi-Customer'!DF$1)*$DF$4),0)</f>
        <v>0</v>
      </c>
      <c r="DK21" s="101">
        <f>IFERROR(IF($DF$2="Enter Spend&gt;&gt;&gt;","N/A",SUMIFS('Existing Customers'!$R:$R,'Existing Customers'!$H:$H,'Multi-Customer'!$AT21,'Existing Customers'!$A:$A,'Multi-Customer'!DF$1)*$DF$4),0)</f>
        <v>0</v>
      </c>
      <c r="DL21" s="132"/>
      <c r="DM21">
        <f>IFERROR(VLOOKUP(DO$5,'Basket Composition'!$A$3:$W$30,'Multi-Customer'!$AR21,FALSE),0)</f>
        <v>0</v>
      </c>
      <c r="DN21" s="105" t="s">
        <v>101</v>
      </c>
      <c r="DO21" s="100">
        <f>IFERROR(IF($DO$2="Enter Spend&gt;&gt;&gt;",$DO$3*DM21,SUMIFS('Existing Customers'!$Q:$Q,'Existing Customers'!$H:$H,'Multi-Customer'!$AT21,'Existing Customers'!$A:$A,'Multi-Customer'!$DO$1)*$DO$4),0)</f>
        <v>0</v>
      </c>
      <c r="DP21" s="92">
        <f>IFERROR(IF($DO$2="Enter Spend&gt;&gt;&gt;",'Multi-Customer'!DO21/VLOOKUP($DO$5,'Basket Composition'!$A$34:$W$61,'Multi-Customer'!$AR21,FALSE),SUMIFS('Existing Customers'!$N:$N,'Existing Customers'!$H:$H,'Multi-Customer'!$AT21,'Existing Customers'!$A:$A,'Multi-Customer'!$DO$1)*$DO$4),0)</f>
        <v>0</v>
      </c>
      <c r="DQ21" s="92">
        <f>IFERROR(IF($DO$2="Enter Spend&gt;&gt;&gt;",DP21*$DO$8,SUMIFS('Existing Customers'!$O:$O,'Existing Customers'!$H:$H,'Multi-Customer'!$AT21,'Existing Customers'!$A:$A,'Multi-Customer'!DO$1)*$DO$4),0)</f>
        <v>0</v>
      </c>
      <c r="DR21" s="92">
        <f>IFERROR(IF($DO$2="Enter Spend&gt;&gt;&gt;",'Multi-Customer'!DO21/VLOOKUP($DO$5,'Basket Composition'!$A$65:$W$92,'Multi-Customer'!$AR21,FALSE),SUMIFS('Existing Customers'!$P:$P,'Existing Customers'!$H:$H,'Multi-Customer'!$AT21,'Existing Customers'!$A:$A,'Multi-Customer'!$DO$1)*$DO$4),0)</f>
        <v>0</v>
      </c>
      <c r="DS21" s="117">
        <f>IFERROR(IF($DO$2="Enter Spend&gt;&gt;&gt;","N/A",SUMIFS('Existing Customers'!$V:$V,'Existing Customers'!$H:$H,'Multi-Customer'!$AT21,'Existing Customers'!$A:$A,'Multi-Customer'!DO$1)*$DO$4),0)</f>
        <v>0</v>
      </c>
      <c r="DT21" s="101">
        <f>IFERROR(IF($DO$2="Enter Spend&gt;&gt;&gt;","N/A",SUMIFS('Existing Customers'!$R:$R,'Existing Customers'!$H:$H,'Multi-Customer'!$AT21,'Existing Customers'!$A:$A,'Multi-Customer'!DO$1)*$DO$4),0)</f>
        <v>0</v>
      </c>
      <c r="DU21" s="132"/>
      <c r="DV21">
        <f>IFERROR(VLOOKUP(DX$5,'Basket Composition'!$A$3:$W$30,'Multi-Customer'!$AR21,FALSE),0)</f>
        <v>0</v>
      </c>
      <c r="DW21" s="105" t="s">
        <v>101</v>
      </c>
      <c r="DX21" s="100">
        <f>IFERROR(IF($DX$2="Enter Spend&gt;&gt;&gt;",$DX$3*DV21,SUMIFS('Existing Customers'!$Q:$Q,'Existing Customers'!$H:$H,'Multi-Customer'!$AT21,'Existing Customers'!$A:$A,'Multi-Customer'!$DX$1)*$DX$4),0)</f>
        <v>0</v>
      </c>
      <c r="DY21" s="92">
        <f>IFERROR(IF($DX$2="Enter Spend&gt;&gt;&gt;",'Multi-Customer'!DX21/VLOOKUP($DX$5,'Basket Composition'!$A$34:$W$61,'Multi-Customer'!$AR21,FALSE),SUMIFS('Existing Customers'!$N:$N,'Existing Customers'!$H:$H,'Multi-Customer'!$AT21,'Existing Customers'!$A:$A,'Multi-Customer'!$DX$1)*$DX$4),0)</f>
        <v>0</v>
      </c>
      <c r="DZ21" s="92">
        <f>IFERROR(IF($DX$2="Enter Spend&gt;&gt;&gt;",DY21*$DX$8,SUMIFS('Existing Customers'!$O:$O,'Existing Customers'!$H:$H,'Multi-Customer'!$AT21,'Existing Customers'!$A:$A,'Multi-Customer'!DX$1)*$DX$4),0)</f>
        <v>0</v>
      </c>
      <c r="EA21" s="92">
        <f>IFERROR(IF($DX$2="Enter Spend&gt;&gt;&gt;",'Multi-Customer'!DX21/VLOOKUP($DX$5,'Basket Composition'!$A$65:$W$92,'Multi-Customer'!$AR21,FALSE),SUMIFS('Existing Customers'!$P:$P,'Existing Customers'!$H:$H,'Multi-Customer'!$AT21,'Existing Customers'!$A:$A,'Multi-Customer'!$DX$1)*$DX$4),0)</f>
        <v>0</v>
      </c>
      <c r="EB21" s="117">
        <f>IFERROR(IF($DX$2="Enter Spend&gt;&gt;&gt;","N/A",SUMIFS('Existing Customers'!$V:$V,'Existing Customers'!$H:$H,'Multi-Customer'!$AT21,'Existing Customers'!$A:$A,'Multi-Customer'!DX$1)*$DX$4),0)</f>
        <v>0</v>
      </c>
      <c r="EC21" s="101">
        <f>IFERROR(IF($DX$2="Enter Spend&gt;&gt;&gt;","N/A",SUMIFS('Existing Customers'!$R:$R,'Existing Customers'!$H:$H,'Multi-Customer'!$AT21,'Existing Customers'!$A:$A,'Multi-Customer'!DX$1)*$DX$4),0)</f>
        <v>0</v>
      </c>
      <c r="EE21" s="105" t="s">
        <v>101</v>
      </c>
      <c r="EF21" s="100"/>
      <c r="EG21" s="92"/>
      <c r="EH21" s="92"/>
      <c r="EI21" s="92"/>
      <c r="EJ21" s="117"/>
      <c r="EK21" s="101"/>
      <c r="EL21" s="132"/>
      <c r="EN21" s="105" t="s">
        <v>101</v>
      </c>
      <c r="EO21" s="100"/>
      <c r="EP21" s="92"/>
      <c r="EQ21" s="92"/>
      <c r="ER21" s="92"/>
      <c r="ES21" s="117"/>
      <c r="ET21" s="101"/>
    </row>
    <row r="22" spans="2:150" x14ac:dyDescent="0.25">
      <c r="B22" s="105" t="s">
        <v>97</v>
      </c>
      <c r="C22" s="487">
        <f t="shared" si="6"/>
        <v>0</v>
      </c>
      <c r="D22" s="504">
        <f t="shared" si="7"/>
        <v>0</v>
      </c>
      <c r="E22" s="504">
        <f t="shared" si="8"/>
        <v>0</v>
      </c>
      <c r="F22" s="504">
        <f t="shared" si="9"/>
        <v>0</v>
      </c>
      <c r="G22" s="505">
        <f t="shared" si="10"/>
        <v>0</v>
      </c>
      <c r="H22" s="507">
        <f t="shared" si="11"/>
        <v>0</v>
      </c>
      <c r="J22" t="str">
        <f>'PIM Model'!E20</f>
        <v>INCLUDE</v>
      </c>
      <c r="K22">
        <f t="shared" si="12"/>
        <v>0</v>
      </c>
      <c r="L22">
        <f t="shared" si="13"/>
        <v>0</v>
      </c>
      <c r="M22" s="105" t="s">
        <v>97</v>
      </c>
      <c r="N22" s="100">
        <f t="shared" si="14"/>
        <v>0</v>
      </c>
      <c r="O22" s="92">
        <f t="shared" si="0"/>
        <v>0</v>
      </c>
      <c r="P22" s="92">
        <f t="shared" si="1"/>
        <v>0</v>
      </c>
      <c r="Q22" s="92">
        <f t="shared" si="2"/>
        <v>0</v>
      </c>
      <c r="R22" s="117">
        <f t="shared" si="3"/>
        <v>0</v>
      </c>
      <c r="S22" s="120">
        <f t="shared" si="15"/>
        <v>0</v>
      </c>
      <c r="T22" s="404"/>
      <c r="U22" s="105" t="s">
        <v>97</v>
      </c>
      <c r="V22" s="491">
        <f t="shared" si="4"/>
        <v>0</v>
      </c>
      <c r="W22" s="492">
        <f t="shared" si="4"/>
        <v>0</v>
      </c>
      <c r="X22" s="492">
        <f t="shared" si="4"/>
        <v>0</v>
      </c>
      <c r="Y22" s="493">
        <f t="shared" si="16"/>
        <v>0</v>
      </c>
      <c r="Z22" s="494">
        <f t="shared" si="17"/>
        <v>0</v>
      </c>
      <c r="AA22" s="404"/>
      <c r="AB22" s="105" t="s">
        <v>97</v>
      </c>
      <c r="AC22" s="491">
        <f t="shared" si="5"/>
        <v>0</v>
      </c>
      <c r="AD22" s="488">
        <f t="shared" si="18"/>
        <v>0</v>
      </c>
      <c r="AE22" s="494"/>
      <c r="AF22" s="404"/>
      <c r="AG22" s="1" t="str">
        <f>IF('PIM Ranges'!$AK22='PIM Ranges'!$AW$11,IF($AC22&lt;'PIM Ranges'!$AX$11,"Q1",IF($AC22&lt;'PIM Ranges'!$AY$11,"Q2",IF($AC22&lt;'PIM Ranges'!$AZ$11,"Q3",IF($AC22&lt;'PIM Ranges'!$BA$11,"Q4","Q5")))),IF('PIM Ranges'!$AK22='PIM Ranges'!$AW$12,IF($AC22&lt;'PIM Ranges'!$AX$12,"Q1",IF($AC22&lt;'PIM Ranges'!$AY$12,"Q2",IF($AC22&lt;'PIM Ranges'!$AZ$12,"Q3",IF($AC22&lt;'PIM Ranges'!$BA$12,"Q4","Q5")))),IF('PIM Ranges'!$AK22='PIM Ranges'!$AW$13,IF($AC22&lt;'PIM Ranges'!$AX$13,"Q1",IF($AC22&lt;'PIM Ranges'!$AY$13,"Q2",IF($AC22&lt;'PIM Ranges'!$AZ$13,"Q3",IF($AC22&lt;'PIM Ranges'!$BA$13,"Q4","Q5")))),IF('PIM Ranges'!$AK22='PIM Ranges'!$AW$14,IF($AC22&lt;'PIM Ranges'!$AX$14,"Q1",IF($AC22&lt;'PIM Ranges'!$AY$14,"Q2",IF($AC22&lt;'PIM Ranges'!$AZ$14,"Q3",IF($AC22&lt;'PIM Ranges'!$BA$14,"Q4","Q5")))),IF('PIM Ranges'!$AK22='PIM Ranges'!$AW$15,IF($AC22&lt;'PIM Ranges'!$AX$15,"Q1",IF($AC22&lt;'PIM Ranges'!$AY$15,"Q2",IF($AC22&lt;'PIM Ranges'!$AZ$15,"Q3",IF($AC22&lt;'PIM Ranges'!$BA$15,"Q4","Q5")))),IF('PIM Ranges'!$AK22='PIM Ranges'!$AW$16,IF($AC22&lt;'PIM Ranges'!$AX$16,"Q1",IF($AC22&lt;'PIM Ranges'!$AY$16,"Q2",IF($AC22&lt;'PIM Ranges'!$AZ$16,"Q3",IF($AC22&lt;'PIM Ranges'!$BA$16,"Q4","Q5")))),IF('PIM Ranges'!$AK22='PIM Ranges'!$AW$17,IF($AC22&lt;'PIM Ranges'!$AX$17,"Q1",IF($AC22&lt;'PIM Ranges'!$AY$17,"Q2",IF($AC22&lt;'PIM Ranges'!$AZ$17,"Q3",IF($AC22&lt;'PIM Ranges'!$BA$17,"Q4","Q5")))),IF('PIM Ranges'!$AK22='PIM Ranges'!$AW$18,IF($AC22&lt;'PIM Ranges'!$AX$18,"Q1",IF($AC22&lt;'PIM Ranges'!$AY$18,"Q2",IF($AC22&lt;'PIM Ranges'!$AZ$18,"Q3",IF($AC22&lt;'PIM Ranges'!$BA$18,"Q4","Q5")))),IF('PIM Ranges'!$AK22='PIM Ranges'!$AW$19,IF($AC22&lt;'PIM Ranges'!$AX$19,"Q1",IF($AC22&lt;'PIM Ranges'!$AY$19,"Q2",IF($AC22&lt;'PIM Ranges'!$AZ$19,"Q3",IF($AC22&lt;'PIM Ranges'!$BA$19,"Q4","Q5")))),IF('PIM Ranges'!$AK22='PIM Ranges'!$AW$20,IF($AC22&lt;'PIM Ranges'!$AX$20,"Q1",IF($AC22&lt;'PIM Ranges'!$AY$20,"Q2",IF($AC22&lt;'PIM Ranges'!$AZ$20,"Q3",IF($AC22&lt;'PIM Ranges'!$BA$20,"Q4","Q5")))),IF('PIM Ranges'!$AK22='PIM Ranges'!$AW$21,IF($AC22&lt;'PIM Ranges'!$AX$21,"Q1",IF($AC22&lt;'PIM Ranges'!$AY$21,"Q2",IF($AC22&lt;'PIM Ranges'!$AZ$21,"Q3",IF($AC22&lt;'PIM Ranges'!$BA$21,"Q4","Q5")))),IF('PIM Ranges'!$AK22='PIM Ranges'!$AW$22,IF($AC22&lt;'PIM Ranges'!$AX$22,"Q1",IF($AC22&lt;'PIM Ranges'!$AY$22,"Q2",IF($AC22&lt;'PIM Ranges'!$AZ$22,"Q3",IF($AC22&lt;'PIM Ranges'!$BA$22,"Q4","Q5")))),IF('PIM Ranges'!$AK22='PIM Ranges'!$AW$23,IF($AC22&lt;'PIM Ranges'!$AX$23,"Q1",IF($AC22&lt;'PIM Ranges'!$AY$23,"Q2",IF($AC22&lt;'PIM Ranges'!$AZ$23,"Q3",IF($AC22&lt;'PIM Ranges'!$BA$23,"Q4","Q5")))),IF('PIM Ranges'!$AK22='PIM Ranges'!$AW$24,IF($AC22&lt;'PIM Ranges'!$AX$24,"Q1",IF($AC22&lt;'PIM Ranges'!$AY$24,"Q2",IF($AC22&lt;'PIM Ranges'!$AZ$24,"Q3",IF($AC22&lt;'PIM Ranges'!$BA$24,"Q4","Q5")))),IF('PIM Ranges'!$AK22='PIM Ranges'!$AW$25,IF($AC22&lt;'PIM Ranges'!$AX$25,"Q1",IF($AC22&lt;'PIM Ranges'!$AY$25,"Q2",IF($AC22&lt;'PIM Ranges'!$AZ$25,"Q3",IF($AC22&lt;'PIM Ranges'!$BA$25,"Q4","Q5")))),IF('PIM Ranges'!$AK22='PIM Ranges'!$AW$26,IF($AC22&lt;'PIM Ranges'!$AX$26,"Q1",IF($AC22&lt;'PIM Ranges'!$AY$26,"Q2",IF($AC22&lt;'PIM Ranges'!$AZ$26,"Q3",IF($AC22&lt;'PIM Ranges'!$BA$26,"Q4","Q5")))),IF('PIM Ranges'!$AK22='PIM Ranges'!$AW$27,IF($AC22&lt;'PIM Ranges'!$AX$27,"Q1",IF($AC22&lt;'PIM Ranges'!$AY$27,"Q2",IF($AC22&lt;'PIM Ranges'!$AZ$27,"Q3",IF($AC22&lt;'PIM Ranges'!$BA$27,"Q4","Q5")))),IF('PIM Ranges'!$AK22='PIM Ranges'!$AW$28,IF($AC22&lt;'PIM Ranges'!$AX$28,"Q1",IF($AC22&lt;'PIM Ranges'!$AY$28,"Q2",IF($AC22&lt;'PIM Ranges'!$AZ$28,"Q3",IF($AC22&lt;'PIM Ranges'!$BA$28,"Q4","Q5")))),IF('PIM Ranges'!$AK22='PIM Ranges'!$AW$29,IF($AC22&lt;'PIM Ranges'!$AX$29,"Q1",IF($AC22&lt;'PIM Ranges'!$AY$29,"Q2",IF($AC22&lt;'PIM Ranges'!$AZ$29,"Q3",IF($AC22&lt;'PIM Ranges'!$BA$29,"Q4","Q5")))),IF('PIM Ranges'!$AK22='PIM Ranges'!$AW$30,IF($AC22&lt;'PIM Ranges'!$AX$30,"Q1",IF($AC22&lt;'PIM Ranges'!$AY$30,"Q2",IF($AC22&lt;'PIM Ranges'!$AZ$30,"Q3",IF($AC22&lt;'PIM Ranges'!$BA$30,"Q4","Q5")))),IF('PIM Ranges'!$AK22='PIM Ranges'!$AW$31,IF($AC22&lt;'PIM Ranges'!$AX$31,"Q1",IF($AC22&lt;'PIM Ranges'!$AY$31,"Q2",IF($AC22&lt;'PIM Ranges'!$AZ$31,"Q3",IF($AC22&lt;'PIM Ranges'!$BA$31,"Q4","Q5")))),IF('PIM Ranges'!$AK22='PIM Ranges'!$AW$32,IF($AC22&lt;'PIM Ranges'!$AX$32,"Q1",IF($AC22&lt;'PIM Ranges'!$AY$32,"Q2",IF($AC22&lt;'PIM Ranges'!$AZ$32,"Q3",IF($AC22&lt;'PIM Ranges'!$BA$32,"Q4","Q5"))))))))))))))))))))))))))</f>
        <v>Q1</v>
      </c>
      <c r="AH22" s="404">
        <f>VLOOKUP($AB22&amp;$AG22,'IMargin Quartiles'!$A:$F,6,FALSE)</f>
        <v>0.17</v>
      </c>
      <c r="AI22" s="404"/>
      <c r="AJ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K22" s="404" t="e">
        <f>VLOOKUP($AB22&amp;$AJ22,'IMargin Quartiles'!$A:$F,6,FALSE)</f>
        <v>#DIV/0!</v>
      </c>
      <c r="AL22">
        <f>'PIM Model'!C20</f>
        <v>0</v>
      </c>
      <c r="AM22" s="404"/>
      <c r="AN22" s="404"/>
      <c r="AO22" s="404" t="e">
        <f t="shared" si="19"/>
        <v>#DIV/0!</v>
      </c>
      <c r="AP22" s="404"/>
      <c r="AQ22" s="404"/>
      <c r="AR22" s="111">
        <v>13</v>
      </c>
      <c r="AS22">
        <f>IFERROR(VLOOKUP(AU$5,'Basket Composition'!$A$3:$W$30,'Multi-Customer'!$AR22,FALSE),0)</f>
        <v>0</v>
      </c>
      <c r="AT22" s="105" t="s">
        <v>97</v>
      </c>
      <c r="AU22" s="100">
        <f>IFERROR(IF($AU$2="Enter Spend&gt;&gt;&gt;",$AU$3*AS22,SUMIFS('Existing Customers'!$Q:$Q,'Existing Customers'!$H:$H,'Multi-Customer'!$AT22,'Existing Customers'!$A:$A,'Multi-Customer'!$AU$1)*$AU$4),0)</f>
        <v>0</v>
      </c>
      <c r="AV22" s="92">
        <f>IFERROR(IF($AU$2="Enter Spend&gt;&gt;&gt;",'Multi-Customer'!AU22/VLOOKUP($AU$5,'Basket Composition'!$A$34:$W$61,'Multi-Customer'!$AR22,FALSE),SUMIFS('Existing Customers'!$N:$N,'Existing Customers'!$H:$H,'Multi-Customer'!$AT22,'Existing Customers'!$A:$A,'Multi-Customer'!$AU$1)*$AU$4),0)</f>
        <v>0</v>
      </c>
      <c r="AW22" s="92">
        <f>IFERROR(IF($AU$2="Enter Spend&gt;&gt;&gt;",AV22*$AU$8,SUMIFS('Existing Customers'!$O:$O,'Existing Customers'!$H:$H,'Multi-Customer'!$AT22,'Existing Customers'!$A:$A,'Multi-Customer'!AU$1)*$AU$4),0)</f>
        <v>0</v>
      </c>
      <c r="AX22" s="92">
        <f>IFERROR(IF($AU$2="Enter Spend&gt;&gt;&gt;",'Multi-Customer'!AU22/VLOOKUP($AU$5,'Basket Composition'!$A$65:$W$92,'Multi-Customer'!$AR22,FALSE),SUMIFS('Existing Customers'!$P:$P,'Existing Customers'!$H:$H,'Multi-Customer'!$AT22,'Existing Customers'!$A:$A,'Multi-Customer'!$AU$1)*$AU$4),0)</f>
        <v>0</v>
      </c>
      <c r="AY22" s="117">
        <f>IFERROR(IF($AU$2="Enter Spend&gt;&gt;&gt;","N/A",SUMIFS('Existing Customers'!$V:$V,'Existing Customers'!$H:$H,'Multi-Customer'!$AT22,'Existing Customers'!$A:$A,'Multi-Customer'!AU$1)*$AU$4),0)</f>
        <v>0</v>
      </c>
      <c r="AZ22" s="101">
        <f>IFERROR(IF($AU$2="Enter Spend&gt;&gt;&gt;","N/A",SUMIFS('Existing Customers'!$R:$R,'Existing Customers'!$H:$H,'Multi-Customer'!$AT22,'Existing Customers'!$A:$A,'Multi-Customer'!AU$1)*$AU$4),0)</f>
        <v>0</v>
      </c>
      <c r="BA22" s="132"/>
      <c r="BB22">
        <f>IFERROR(VLOOKUP(BD$5,'Basket Composition'!$A$3:$W$30,'Multi-Customer'!$AR22,FALSE),0)</f>
        <v>0</v>
      </c>
      <c r="BC22" s="105" t="s">
        <v>97</v>
      </c>
      <c r="BD22" s="100">
        <f>IFERROR(IF($BD$2="Enter Spend&gt;&gt;&gt;",$BD$3*BB22,SUMIFS('Existing Customers'!$Q:$Q,'Existing Customers'!$H:$H,'Multi-Customer'!$AT22,'Existing Customers'!$A:$A,'Multi-Customer'!$BD$1)*$BD$4),0)</f>
        <v>0</v>
      </c>
      <c r="BE22" s="92">
        <f>IFERROR(IF($BD$2="Enter Spend&gt;&gt;&gt;",'Multi-Customer'!BD22/VLOOKUP($BD$5,'Basket Composition'!$A$34:$W$61,'Multi-Customer'!$AR22,FALSE),SUMIFS('Existing Customers'!$N:$N,'Existing Customers'!$H:$H,'Multi-Customer'!$AT22,'Existing Customers'!$A:$A,'Multi-Customer'!$BD$1)*$BD$4),0)</f>
        <v>0</v>
      </c>
      <c r="BF22" s="92">
        <f>IFERROR(IF($BD$2="Enter Spend&gt;&gt;&gt;",BE22*$BD$8,SUMIFS('Existing Customers'!$O:$O,'Existing Customers'!$H:$H,'Multi-Customer'!$AT22,'Existing Customers'!$A:$A,'Multi-Customer'!BD$1)*$BD$4),0)</f>
        <v>0</v>
      </c>
      <c r="BG22" s="92">
        <f>IFERROR(IF($BD$2="Enter Spend&gt;&gt;&gt;",'Multi-Customer'!BD22/VLOOKUP($BD$5,'Basket Composition'!$A$65:$W$92,'Multi-Customer'!$AR22,FALSE),SUMIFS('Existing Customers'!$P:$P,'Existing Customers'!$H:$H,'Multi-Customer'!$AT22,'Existing Customers'!$A:$A,'Multi-Customer'!$BD$1)*$BD$4),0)</f>
        <v>0</v>
      </c>
      <c r="BH22" s="101">
        <f>IFERROR(IF($BD$2="Enter Spend&gt;&gt;&gt;","N/A",SUMIFS('Existing Customers'!$V:$V,'Existing Customers'!$H:$H,'Multi-Customer'!$AT22,'Existing Customers'!$A:$A,'Multi-Customer'!BD$1)*$BD$4),0)</f>
        <v>0</v>
      </c>
      <c r="BI22" s="101">
        <f>IFERROR(IF($BD$2="Enter Spend&gt;&gt;&gt;","N/A",SUMIFS('Existing Customers'!$R:$R,'Existing Customers'!$H:$H,'Multi-Customer'!$AT22,'Existing Customers'!$A:$A,'Multi-Customer'!BD$1)*$BD$4),0)</f>
        <v>0</v>
      </c>
      <c r="BJ22" s="132"/>
      <c r="BK22">
        <f>IFERROR(VLOOKUP(BM$5,'Basket Composition'!$A$3:$W$30,'Multi-Customer'!$AR22,FALSE),0)</f>
        <v>0</v>
      </c>
      <c r="BL22" s="105" t="s">
        <v>97</v>
      </c>
      <c r="BM22" s="100">
        <f>IFERROR(IF($BM$2="Enter Spend&gt;&gt;&gt;",$BM$3*BK22,SUMIFS('Existing Customers'!$Q:$Q,'Existing Customers'!$H:$H,'Multi-Customer'!$AT22,'Existing Customers'!$A:$A,'Multi-Customer'!$BM$1)*$BM$4),0)</f>
        <v>0</v>
      </c>
      <c r="BN22" s="92">
        <f>IFERROR(IF($BM$2="Enter Spend&gt;&gt;&gt;",'Multi-Customer'!BM22/VLOOKUP($BM$5,'Basket Composition'!$A$34:$W$61,'Multi-Customer'!$AR22,FALSE),SUMIFS('Existing Customers'!$N:$N,'Existing Customers'!$H:$H,'Multi-Customer'!$AT22,'Existing Customers'!$A:$A,'Multi-Customer'!$BM$1)*$BM$4),0)</f>
        <v>0</v>
      </c>
      <c r="BO22" s="92">
        <f>IFERROR(IF($BM$2="Enter Spend&gt;&gt;&gt;",BN22*$BM$8,SUMIFS('Existing Customers'!$O:$O,'Existing Customers'!$H:$H,'Multi-Customer'!$AT22,'Existing Customers'!$A:$A,'Multi-Customer'!BM$1)*$BM$4),0)</f>
        <v>0</v>
      </c>
      <c r="BP22" s="92">
        <f>IFERROR(IF($BM$2="Enter Spend&gt;&gt;&gt;",'Multi-Customer'!BM22/VLOOKUP($BM$5,'Basket Composition'!$A$65:$W$92,'Multi-Customer'!$AR22,FALSE),SUMIFS('Existing Customers'!$P:$P,'Existing Customers'!$H:$H,'Multi-Customer'!$AT22,'Existing Customers'!$A:$A,'Multi-Customer'!$BM$1)*$BM$4),0)</f>
        <v>0</v>
      </c>
      <c r="BQ22" s="101">
        <f>IFERROR(IF($BM$2="Enter Spend&gt;&gt;&gt;","N/A",SUMIFS('Existing Customers'!$V:$V,'Existing Customers'!$H:$H,'Multi-Customer'!$AT22,'Existing Customers'!$A:$A,'Multi-Customer'!BM$1)*$BM$4),0)</f>
        <v>0</v>
      </c>
      <c r="BR22" s="101">
        <f>IFERROR(IF($BM$2="Enter Spend&gt;&gt;&gt;","N/A",SUMIFS('Existing Customers'!$R:$R,'Existing Customers'!$H:$H,'Multi-Customer'!$AT22,'Existing Customers'!$A:$A,'Multi-Customer'!BM$1)*$BM$4),0)</f>
        <v>0</v>
      </c>
      <c r="BS22" s="132"/>
      <c r="BT22">
        <f>IFERROR(VLOOKUP(BV$5,'Basket Composition'!$A$3:$W$30,'Multi-Customer'!$AR22,FALSE),0)</f>
        <v>0</v>
      </c>
      <c r="BU22" s="105" t="s">
        <v>97</v>
      </c>
      <c r="BV22" s="100">
        <f>IFERROR(IF($BV$2="Enter Spend&gt;&gt;&gt;",$BV$3*BT22,SUMIFS('Existing Customers'!$Q:$Q,'Existing Customers'!$H:$H,'Multi-Customer'!$AT22,'Existing Customers'!$A:$A,'Multi-Customer'!$BV$1)*$BV$4),0)</f>
        <v>0</v>
      </c>
      <c r="BW22" s="92">
        <f>IFERROR(IF($BV$2="Enter Spend&gt;&gt;&gt;",'Multi-Customer'!BV22/VLOOKUP($BV$5,'Basket Composition'!$A$34:$W$61,'Multi-Customer'!$AR22,FALSE),SUMIFS('Existing Customers'!$N:$N,'Existing Customers'!$H:$H,'Multi-Customer'!$AT22,'Existing Customers'!$A:$A,'Multi-Customer'!$BV$1)*$BV$4),0)</f>
        <v>0</v>
      </c>
      <c r="BX22" s="92">
        <f>IFERROR(IF($BV$2="Enter Spend&gt;&gt;&gt;",BW22*$BV$8,SUMIFS('Existing Customers'!$O:$O,'Existing Customers'!$H:$H,'Multi-Customer'!$AT22,'Existing Customers'!$A:$A,'Multi-Customer'!BV$1)*$BV$4),0)</f>
        <v>0</v>
      </c>
      <c r="BY22" s="92">
        <f>IFERROR(IF($BV$2="Enter Spend&gt;&gt;&gt;",'Multi-Customer'!BV22/VLOOKUP($BV$5,'Basket Composition'!$A$65:$W$92,'Multi-Customer'!$AR22,FALSE),SUMIFS('Existing Customers'!$P:$P,'Existing Customers'!$H:$H,'Multi-Customer'!$AT22,'Existing Customers'!$A:$A,'Multi-Customer'!$BV$1)*$BV$4),0)</f>
        <v>0</v>
      </c>
      <c r="BZ22" s="101">
        <f>IFERROR(IF($BV$2="Enter Spend&gt;&gt;&gt;","N/A",SUMIFS('Existing Customers'!$V:$V,'Existing Customers'!$H:$H,'Multi-Customer'!$AT22,'Existing Customers'!$A:$A,'Multi-Customer'!BV$1)*$BV$4),0)</f>
        <v>0</v>
      </c>
      <c r="CA22" s="101">
        <f>IFERROR(IF($BV$2="Enter Spend&gt;&gt;&gt;","N/A",SUMIFS('Existing Customers'!$R:$R,'Existing Customers'!$H:$H,'Multi-Customer'!$AT22,'Existing Customers'!$A:$A,'Multi-Customer'!BV$1)*$BV$4),0)</f>
        <v>0</v>
      </c>
      <c r="CB22" s="132"/>
      <c r="CC22">
        <f>IFERROR(VLOOKUP(CE$5,'Basket Composition'!$A$3:$W$30,'Multi-Customer'!$AR22,FALSE),0)</f>
        <v>0</v>
      </c>
      <c r="CD22" s="105" t="s">
        <v>97</v>
      </c>
      <c r="CE22" s="100">
        <f>IFERROR(IF($CE$2="Enter Spend&gt;&gt;&gt;",$CE$3*CC22,SUMIFS('Existing Customers'!$Q:$Q,'Existing Customers'!$H:$H,'Multi-Customer'!$AT22,'Existing Customers'!$A:$A,'Multi-Customer'!$CE$1)*$CE$4),0)</f>
        <v>0</v>
      </c>
      <c r="CF22" s="92">
        <f>IFERROR(IF($CE$2="Enter Spend&gt;&gt;&gt;",'Multi-Customer'!CE22/VLOOKUP($CE$5,'Basket Composition'!$A$34:$W$61,'Multi-Customer'!$AR22,FALSE),SUMIFS('Existing Customers'!$N:$N,'Existing Customers'!$H:$H,'Multi-Customer'!$AT22,'Existing Customers'!$A:$A,'Multi-Customer'!$CE$1)*$CE$4),0)</f>
        <v>0</v>
      </c>
      <c r="CG22" s="92">
        <f>IFERROR(IF($CE$2="Enter Spend&gt;&gt;&gt;",CF22*$CE$8,SUMIFS('Existing Customers'!$O:$O,'Existing Customers'!$H:$H,'Multi-Customer'!$AT22,'Existing Customers'!$A:$A,'Multi-Customer'!CE$1)*$CE$4),0)</f>
        <v>0</v>
      </c>
      <c r="CH22" s="92">
        <f>IFERROR(IF($CE$2="Enter Spend&gt;&gt;&gt;",'Multi-Customer'!CE22/VLOOKUP($CE$5,'Basket Composition'!$A$65:$W$92,'Multi-Customer'!$AR22,FALSE),SUMIFS('Existing Customers'!$P:$P,'Existing Customers'!$H:$H,'Multi-Customer'!$AT22,'Existing Customers'!$A:$A,'Multi-Customer'!$CE$1)*$CE$4),0)</f>
        <v>0</v>
      </c>
      <c r="CI22" s="101">
        <f>IFERROR(IF($CE$2="Enter Spend&gt;&gt;&gt;","N/A",SUMIFS('Existing Customers'!$V:$V,'Existing Customers'!$H:$H,'Multi-Customer'!$AT22,'Existing Customers'!$A:$A,'Multi-Customer'!CE$1)*$CE$4),0)</f>
        <v>0</v>
      </c>
      <c r="CJ22" s="101">
        <f>IFERROR(IF($CE$2="Enter Spend&gt;&gt;&gt;","N/A",SUMIFS('Existing Customers'!$R:$R,'Existing Customers'!$H:$H,'Multi-Customer'!$AT22,'Existing Customers'!$A:$A,'Multi-Customer'!CE$1)*$CE$4),0)</f>
        <v>0</v>
      </c>
      <c r="CK22" s="132"/>
      <c r="CL22">
        <f>IFERROR(VLOOKUP(CN$5,'Basket Composition'!$A$3:$W$30,'Multi-Customer'!$AR22,FALSE),0)</f>
        <v>0</v>
      </c>
      <c r="CM22" s="105" t="s">
        <v>97</v>
      </c>
      <c r="CN22" s="100">
        <f>IFERROR(IF($CN$2="Enter Spend&gt;&gt;&gt;",$CN$3*CL22,SUMIFS('Existing Customers'!$Q:$Q,'Existing Customers'!$H:$H,'Multi-Customer'!$AT22,'Existing Customers'!$A:$A,'Multi-Customer'!$CN$1)*$CN$4),0)</f>
        <v>0</v>
      </c>
      <c r="CO22" s="92">
        <f>IFERROR(IF($CN$2="Enter Spend&gt;&gt;&gt;",'Multi-Customer'!CN22/VLOOKUP($CN$5,'Basket Composition'!$A$34:$W$61,'Multi-Customer'!$AR22,FALSE),SUMIFS('Existing Customers'!$N:$N,'Existing Customers'!$H:$H,'Multi-Customer'!$AT22,'Existing Customers'!$A:$A,'Multi-Customer'!$CN$1)*$CN$4),0)</f>
        <v>0</v>
      </c>
      <c r="CP22" s="92">
        <f>IFERROR(IF($CN$2="Enter Spend&gt;&gt;&gt;",CO22*$CN$8,SUMIFS('Existing Customers'!$O:$O,'Existing Customers'!$H:$H,'Multi-Customer'!$AT22,'Existing Customers'!$A:$A,'Multi-Customer'!CN$1)*$CN$4),0)</f>
        <v>0</v>
      </c>
      <c r="CQ22" s="92">
        <f>IFERROR(IF($CN$2="Enter Spend&gt;&gt;&gt;",'Multi-Customer'!CN22/VLOOKUP($CN$5,'Basket Composition'!$A$65:$W$92,'Multi-Customer'!$AR22,FALSE),SUMIFS('Existing Customers'!$P:$P,'Existing Customers'!$H:$H,'Multi-Customer'!$AT22,'Existing Customers'!$A:$A,'Multi-Customer'!$CN$1)*$CN$4),0)</f>
        <v>0</v>
      </c>
      <c r="CR22" s="101">
        <f>IFERROR(IF($CN$2="Enter Spend&gt;&gt;&gt;","N/A",SUMIFS('Existing Customers'!$V:$V,'Existing Customers'!$H:$H,'Multi-Customer'!$AT22,'Existing Customers'!$A:$A,'Multi-Customer'!CN$1)*$CN$4),0)</f>
        <v>0</v>
      </c>
      <c r="CS22" s="101">
        <f>IFERROR(IF($CN$2="Enter Spend&gt;&gt;&gt;","N/A",SUMIFS('Existing Customers'!$R:$R,'Existing Customers'!$H:$H,'Multi-Customer'!$AT22,'Existing Customers'!$A:$A,'Multi-Customer'!CN$1)*$CN$4),0)</f>
        <v>0</v>
      </c>
      <c r="CT22" s="132"/>
      <c r="CU22">
        <f>IFERROR(VLOOKUP(CW$5,'Basket Composition'!$A$3:$W$30,'Multi-Customer'!$AR22,FALSE),0)</f>
        <v>0</v>
      </c>
      <c r="CV22" s="105" t="s">
        <v>97</v>
      </c>
      <c r="CW22" s="100">
        <f>IFERROR(IF($CW$2="Enter Spend&gt;&gt;&gt;",$CW$3*CU22,SUMIFS('Existing Customers'!$Q:$Q,'Existing Customers'!$H:$H,'Multi-Customer'!$AT22,'Existing Customers'!$A:$A,'Multi-Customer'!$CW$1)*$CW$4),0)</f>
        <v>0</v>
      </c>
      <c r="CX22" s="92">
        <f>IFERROR(IF($CW$2="Enter Spend&gt;&gt;&gt;",'Multi-Customer'!CW22/VLOOKUP($CW$5,'Basket Composition'!$A$34:$W$61,'Multi-Customer'!$AR22,FALSE),SUMIFS('Existing Customers'!$N:$N,'Existing Customers'!$H:$H,'Multi-Customer'!$AT22,'Existing Customers'!$A:$A,'Multi-Customer'!$CW$1)*$CW$4),0)</f>
        <v>0</v>
      </c>
      <c r="CY22" s="92">
        <f>IFERROR(IF($CW$2="Enter Spend&gt;&gt;&gt;",CX22*$CW$8,SUMIFS('Existing Customers'!$O:$O,'Existing Customers'!$H:$H,'Multi-Customer'!$AT22,'Existing Customers'!$A:$A,'Multi-Customer'!CW$1)*$CW$4),0)</f>
        <v>0</v>
      </c>
      <c r="CZ22" s="92">
        <f>IFERROR(IF($CW$2="Enter Spend&gt;&gt;&gt;",'Multi-Customer'!CW22/VLOOKUP($CW$5,'Basket Composition'!$A$65:$W$92,'Multi-Customer'!$AR22,FALSE),SUMIFS('Existing Customers'!$P:$P,'Existing Customers'!$H:$H,'Multi-Customer'!$AT22,'Existing Customers'!$A:$A,'Multi-Customer'!$CW$1)*$CW$4),0)</f>
        <v>0</v>
      </c>
      <c r="DA22" s="101">
        <f>IFERROR(IF($CW$2="Enter Spend&gt;&gt;&gt;","N/A",SUMIFS('Existing Customers'!$V:$V,'Existing Customers'!$H:$H,'Multi-Customer'!$AT22,'Existing Customers'!$A:$A,'Multi-Customer'!CW$1)*$CW$4),0)</f>
        <v>0</v>
      </c>
      <c r="DB22" s="101">
        <f>IFERROR(IF($CW$2="Enter Spend&gt;&gt;&gt;","N/A",SUMIFS('Existing Customers'!$R:$R,'Existing Customers'!$H:$H,'Multi-Customer'!$AT22,'Existing Customers'!$A:$A,'Multi-Customer'!CW$1)*$CW$4),0)</f>
        <v>0</v>
      </c>
      <c r="DC22" s="132"/>
      <c r="DD22">
        <f>IFERROR(VLOOKUP(DF$5,'Basket Composition'!$A$3:$W$30,'Multi-Customer'!$AR22,FALSE),0)</f>
        <v>0</v>
      </c>
      <c r="DE22" s="105" t="s">
        <v>97</v>
      </c>
      <c r="DF22" s="100">
        <f>IFERROR(IF($DF$2="Enter Spend&gt;&gt;&gt;",$DF$3*DD22,SUMIFS('Existing Customers'!$Q:$Q,'Existing Customers'!$H:$H,'Multi-Customer'!$AT22,'Existing Customers'!$A:$A,'Multi-Customer'!$DF$1)*$DF$4),0)</f>
        <v>0</v>
      </c>
      <c r="DG22" s="92">
        <f>IFERROR(IF($DF$2="Enter Spend&gt;&gt;&gt;",'Multi-Customer'!DF22/VLOOKUP($DF$5,'Basket Composition'!$A$34:$W$61,'Multi-Customer'!$AR22,FALSE),SUMIFS('Existing Customers'!$N:$N,'Existing Customers'!$H:$H,'Multi-Customer'!$AT22,'Existing Customers'!$A:$A,'Multi-Customer'!$DF$1)*$DF$4),0)</f>
        <v>0</v>
      </c>
      <c r="DH22" s="92">
        <f>IFERROR(IF($DF$2="Enter Spend&gt;&gt;&gt;",DG22*$DF$8,SUMIFS('Existing Customers'!$O:$O,'Existing Customers'!$H:$H,'Multi-Customer'!$AT22,'Existing Customers'!$A:$A,'Multi-Customer'!DF$1)*$DF$4),0)</f>
        <v>0</v>
      </c>
      <c r="DI22" s="92">
        <f>IFERROR(IF($DF$2="Enter Spend&gt;&gt;&gt;",'Multi-Customer'!DF22/VLOOKUP($DF$5,'Basket Composition'!$A$65:$W$92,'Multi-Customer'!$AR22,FALSE),SUMIFS('Existing Customers'!$P:$P,'Existing Customers'!$H:$H,'Multi-Customer'!$AT22,'Existing Customers'!$A:$A,'Multi-Customer'!$DF$1)*$DF$4),0)</f>
        <v>0</v>
      </c>
      <c r="DJ22" s="101">
        <f>IFERROR(IF($DF$2="Enter Spend&gt;&gt;&gt;","N/A",SUMIFS('Existing Customers'!$V:$V,'Existing Customers'!$H:$H,'Multi-Customer'!$AT22,'Existing Customers'!$A:$A,'Multi-Customer'!DF$1)*$DF$4),0)</f>
        <v>0</v>
      </c>
      <c r="DK22" s="101">
        <f>IFERROR(IF($DF$2="Enter Spend&gt;&gt;&gt;","N/A",SUMIFS('Existing Customers'!$R:$R,'Existing Customers'!$H:$H,'Multi-Customer'!$AT22,'Existing Customers'!$A:$A,'Multi-Customer'!DF$1)*$DF$4),0)</f>
        <v>0</v>
      </c>
      <c r="DL22" s="132"/>
      <c r="DM22">
        <f>IFERROR(VLOOKUP(DO$5,'Basket Composition'!$A$3:$W$30,'Multi-Customer'!$AR22,FALSE),0)</f>
        <v>0</v>
      </c>
      <c r="DN22" s="105" t="s">
        <v>97</v>
      </c>
      <c r="DO22" s="100">
        <f>IFERROR(IF($DO$2="Enter Spend&gt;&gt;&gt;",$DO$3*DM22,SUMIFS('Existing Customers'!$Q:$Q,'Existing Customers'!$H:$H,'Multi-Customer'!$AT22,'Existing Customers'!$A:$A,'Multi-Customer'!$DO$1)*$DO$4),0)</f>
        <v>0</v>
      </c>
      <c r="DP22" s="92">
        <f>IFERROR(IF($DO$2="Enter Spend&gt;&gt;&gt;",'Multi-Customer'!DO22/VLOOKUP($DO$5,'Basket Composition'!$A$34:$W$61,'Multi-Customer'!$AR22,FALSE),SUMIFS('Existing Customers'!$N:$N,'Existing Customers'!$H:$H,'Multi-Customer'!$AT22,'Existing Customers'!$A:$A,'Multi-Customer'!$DO$1)*$DO$4),0)</f>
        <v>0</v>
      </c>
      <c r="DQ22" s="92">
        <f>IFERROR(IF($DO$2="Enter Spend&gt;&gt;&gt;",DP22*$DO$8,SUMIFS('Existing Customers'!$O:$O,'Existing Customers'!$H:$H,'Multi-Customer'!$AT22,'Existing Customers'!$A:$A,'Multi-Customer'!DO$1)*$DO$4),0)</f>
        <v>0</v>
      </c>
      <c r="DR22" s="92">
        <f>IFERROR(IF($DO$2="Enter Spend&gt;&gt;&gt;",'Multi-Customer'!DO22/VLOOKUP($DO$5,'Basket Composition'!$A$65:$W$92,'Multi-Customer'!$AR22,FALSE),SUMIFS('Existing Customers'!$P:$P,'Existing Customers'!$H:$H,'Multi-Customer'!$AT22,'Existing Customers'!$A:$A,'Multi-Customer'!$DO$1)*$DO$4),0)</f>
        <v>0</v>
      </c>
      <c r="DS22" s="117">
        <f>IFERROR(IF($DO$2="Enter Spend&gt;&gt;&gt;","N/A",SUMIFS('Existing Customers'!$V:$V,'Existing Customers'!$H:$H,'Multi-Customer'!$AT22,'Existing Customers'!$A:$A,'Multi-Customer'!DO$1)*$DO$4),0)</f>
        <v>0</v>
      </c>
      <c r="DT22" s="101">
        <f>IFERROR(IF($DO$2="Enter Spend&gt;&gt;&gt;","N/A",SUMIFS('Existing Customers'!$R:$R,'Existing Customers'!$H:$H,'Multi-Customer'!$AT22,'Existing Customers'!$A:$A,'Multi-Customer'!DO$1)*$DO$4),0)</f>
        <v>0</v>
      </c>
      <c r="DU22" s="132"/>
      <c r="DV22">
        <f>IFERROR(VLOOKUP(DX$5,'Basket Composition'!$A$3:$W$30,'Multi-Customer'!$AR22,FALSE),0)</f>
        <v>0</v>
      </c>
      <c r="DW22" s="105" t="s">
        <v>97</v>
      </c>
      <c r="DX22" s="100">
        <f>IFERROR(IF($DX$2="Enter Spend&gt;&gt;&gt;",$DX$3*DV22,SUMIFS('Existing Customers'!$Q:$Q,'Existing Customers'!$H:$H,'Multi-Customer'!$AT22,'Existing Customers'!$A:$A,'Multi-Customer'!$DX$1)*$DX$4),0)</f>
        <v>0</v>
      </c>
      <c r="DY22" s="92">
        <f>IFERROR(IF($DX$2="Enter Spend&gt;&gt;&gt;",'Multi-Customer'!DX22/VLOOKUP($DX$5,'Basket Composition'!$A$34:$W$61,'Multi-Customer'!$AR22,FALSE),SUMIFS('Existing Customers'!$N:$N,'Existing Customers'!$H:$H,'Multi-Customer'!$AT22,'Existing Customers'!$A:$A,'Multi-Customer'!$DX$1)*$DX$4),0)</f>
        <v>0</v>
      </c>
      <c r="DZ22" s="92">
        <f>IFERROR(IF($DX$2="Enter Spend&gt;&gt;&gt;",DY22*$DX$8,SUMIFS('Existing Customers'!$O:$O,'Existing Customers'!$H:$H,'Multi-Customer'!$AT22,'Existing Customers'!$A:$A,'Multi-Customer'!DX$1)*$DX$4),0)</f>
        <v>0</v>
      </c>
      <c r="EA22" s="92">
        <f>IFERROR(IF($DX$2="Enter Spend&gt;&gt;&gt;",'Multi-Customer'!DX22/VLOOKUP($DX$5,'Basket Composition'!$A$65:$W$92,'Multi-Customer'!$AR22,FALSE),SUMIFS('Existing Customers'!$P:$P,'Existing Customers'!$H:$H,'Multi-Customer'!$AT22,'Existing Customers'!$A:$A,'Multi-Customer'!$DX$1)*$DX$4),0)</f>
        <v>0</v>
      </c>
      <c r="EB22" s="117">
        <f>IFERROR(IF($DX$2="Enter Spend&gt;&gt;&gt;","N/A",SUMIFS('Existing Customers'!$V:$V,'Existing Customers'!$H:$H,'Multi-Customer'!$AT22,'Existing Customers'!$A:$A,'Multi-Customer'!DX$1)*$DX$4),0)</f>
        <v>0</v>
      </c>
      <c r="EC22" s="101">
        <f>IFERROR(IF($DX$2="Enter Spend&gt;&gt;&gt;","N/A",SUMIFS('Existing Customers'!$R:$R,'Existing Customers'!$H:$H,'Multi-Customer'!$AT22,'Existing Customers'!$A:$A,'Multi-Customer'!DX$1)*$DX$4),0)</f>
        <v>0</v>
      </c>
      <c r="EE22" s="105" t="s">
        <v>97</v>
      </c>
      <c r="EF22" s="100"/>
      <c r="EG22" s="92"/>
      <c r="EH22" s="92"/>
      <c r="EI22" s="92"/>
      <c r="EJ22" s="117"/>
      <c r="EK22" s="101"/>
      <c r="EL22" s="132"/>
      <c r="EN22" s="105" t="s">
        <v>97</v>
      </c>
      <c r="EO22" s="100"/>
      <c r="EP22" s="92"/>
      <c r="EQ22" s="92"/>
      <c r="ER22" s="92"/>
      <c r="ES22" s="117"/>
      <c r="ET22" s="101"/>
    </row>
    <row r="23" spans="2:150" x14ac:dyDescent="0.25">
      <c r="B23" s="105" t="s">
        <v>93</v>
      </c>
      <c r="C23" s="487">
        <f t="shared" si="6"/>
        <v>0</v>
      </c>
      <c r="D23" s="504">
        <f t="shared" si="7"/>
        <v>0</v>
      </c>
      <c r="E23" s="504">
        <f t="shared" si="8"/>
        <v>0</v>
      </c>
      <c r="F23" s="504">
        <f t="shared" si="9"/>
        <v>0</v>
      </c>
      <c r="G23" s="505">
        <f t="shared" si="10"/>
        <v>0</v>
      </c>
      <c r="H23" s="507">
        <f t="shared" si="11"/>
        <v>0</v>
      </c>
      <c r="J23" t="str">
        <f>'PIM Model'!E21</f>
        <v>INCLUDE</v>
      </c>
      <c r="K23">
        <f>IFERROR(N23/$N$33,0)</f>
        <v>0</v>
      </c>
      <c r="L23">
        <f t="shared" si="13"/>
        <v>0</v>
      </c>
      <c r="M23" s="105" t="s">
        <v>93</v>
      </c>
      <c r="N23" s="100">
        <f t="shared" si="14"/>
        <v>0</v>
      </c>
      <c r="O23" s="92">
        <f t="shared" si="0"/>
        <v>0</v>
      </c>
      <c r="P23" s="92">
        <f t="shared" si="1"/>
        <v>0</v>
      </c>
      <c r="Q23" s="92">
        <f t="shared" si="2"/>
        <v>0</v>
      </c>
      <c r="R23" s="117">
        <f t="shared" si="3"/>
        <v>0</v>
      </c>
      <c r="S23" s="120">
        <f t="shared" si="15"/>
        <v>0</v>
      </c>
      <c r="T23" s="404"/>
      <c r="U23" s="105" t="s">
        <v>93</v>
      </c>
      <c r="V23" s="491">
        <f t="shared" si="4"/>
        <v>0</v>
      </c>
      <c r="W23" s="492">
        <f t="shared" si="4"/>
        <v>0</v>
      </c>
      <c r="X23" s="492">
        <f t="shared" si="4"/>
        <v>0</v>
      </c>
      <c r="Y23" s="493">
        <f t="shared" si="16"/>
        <v>0</v>
      </c>
      <c r="Z23" s="494">
        <f t="shared" si="17"/>
        <v>0</v>
      </c>
      <c r="AA23" s="404"/>
      <c r="AB23" s="105" t="s">
        <v>93</v>
      </c>
      <c r="AC23" s="491">
        <f t="shared" si="5"/>
        <v>0</v>
      </c>
      <c r="AD23" s="488">
        <f t="shared" si="18"/>
        <v>0</v>
      </c>
      <c r="AE23" s="494"/>
      <c r="AF23" s="404"/>
      <c r="AG23" s="1" t="str">
        <f>IF('PIM Ranges'!$AK23='PIM Ranges'!$AW$11,IF($AC23&lt;'PIM Ranges'!$AX$11,"Q1",IF($AC23&lt;'PIM Ranges'!$AY$11,"Q2",IF($AC23&lt;'PIM Ranges'!$AZ$11,"Q3",IF($AC23&lt;'PIM Ranges'!$BA$11,"Q4","Q5")))),IF('PIM Ranges'!$AK23='PIM Ranges'!$AW$12,IF($AC23&lt;'PIM Ranges'!$AX$12,"Q1",IF($AC23&lt;'PIM Ranges'!$AY$12,"Q2",IF($AC23&lt;'PIM Ranges'!$AZ$12,"Q3",IF($AC23&lt;'PIM Ranges'!$BA$12,"Q4","Q5")))),IF('PIM Ranges'!$AK23='PIM Ranges'!$AW$13,IF($AC23&lt;'PIM Ranges'!$AX$13,"Q1",IF($AC23&lt;'PIM Ranges'!$AY$13,"Q2",IF($AC23&lt;'PIM Ranges'!$AZ$13,"Q3",IF($AC23&lt;'PIM Ranges'!$BA$13,"Q4","Q5")))),IF('PIM Ranges'!$AK23='PIM Ranges'!$AW$14,IF($AC23&lt;'PIM Ranges'!$AX$14,"Q1",IF($AC23&lt;'PIM Ranges'!$AY$14,"Q2",IF($AC23&lt;'PIM Ranges'!$AZ$14,"Q3",IF($AC23&lt;'PIM Ranges'!$BA$14,"Q4","Q5")))),IF('PIM Ranges'!$AK23='PIM Ranges'!$AW$15,IF($AC23&lt;'PIM Ranges'!$AX$15,"Q1",IF($AC23&lt;'PIM Ranges'!$AY$15,"Q2",IF($AC23&lt;'PIM Ranges'!$AZ$15,"Q3",IF($AC23&lt;'PIM Ranges'!$BA$15,"Q4","Q5")))),IF('PIM Ranges'!$AK23='PIM Ranges'!$AW$16,IF($AC23&lt;'PIM Ranges'!$AX$16,"Q1",IF($AC23&lt;'PIM Ranges'!$AY$16,"Q2",IF($AC23&lt;'PIM Ranges'!$AZ$16,"Q3",IF($AC23&lt;'PIM Ranges'!$BA$16,"Q4","Q5")))),IF('PIM Ranges'!$AK23='PIM Ranges'!$AW$17,IF($AC23&lt;'PIM Ranges'!$AX$17,"Q1",IF($AC23&lt;'PIM Ranges'!$AY$17,"Q2",IF($AC23&lt;'PIM Ranges'!$AZ$17,"Q3",IF($AC23&lt;'PIM Ranges'!$BA$17,"Q4","Q5")))),IF('PIM Ranges'!$AK23='PIM Ranges'!$AW$18,IF($AC23&lt;'PIM Ranges'!$AX$18,"Q1",IF($AC23&lt;'PIM Ranges'!$AY$18,"Q2",IF($AC23&lt;'PIM Ranges'!$AZ$18,"Q3",IF($AC23&lt;'PIM Ranges'!$BA$18,"Q4","Q5")))),IF('PIM Ranges'!$AK23='PIM Ranges'!$AW$19,IF($AC23&lt;'PIM Ranges'!$AX$19,"Q1",IF($AC23&lt;'PIM Ranges'!$AY$19,"Q2",IF($AC23&lt;'PIM Ranges'!$AZ$19,"Q3",IF($AC23&lt;'PIM Ranges'!$BA$19,"Q4","Q5")))),IF('PIM Ranges'!$AK23='PIM Ranges'!$AW$20,IF($AC23&lt;'PIM Ranges'!$AX$20,"Q1",IF($AC23&lt;'PIM Ranges'!$AY$20,"Q2",IF($AC23&lt;'PIM Ranges'!$AZ$20,"Q3",IF($AC23&lt;'PIM Ranges'!$BA$20,"Q4","Q5")))),IF('PIM Ranges'!$AK23='PIM Ranges'!$AW$21,IF($AC23&lt;'PIM Ranges'!$AX$21,"Q1",IF($AC23&lt;'PIM Ranges'!$AY$21,"Q2",IF($AC23&lt;'PIM Ranges'!$AZ$21,"Q3",IF($AC23&lt;'PIM Ranges'!$BA$21,"Q4","Q5")))),IF('PIM Ranges'!$AK23='PIM Ranges'!$AW$22,IF($AC23&lt;'PIM Ranges'!$AX$22,"Q1",IF($AC23&lt;'PIM Ranges'!$AY$22,"Q2",IF($AC23&lt;'PIM Ranges'!$AZ$22,"Q3",IF($AC23&lt;'PIM Ranges'!$BA$22,"Q4","Q5")))),IF('PIM Ranges'!$AK23='PIM Ranges'!$AW$23,IF($AC23&lt;'PIM Ranges'!$AX$23,"Q1",IF($AC23&lt;'PIM Ranges'!$AY$23,"Q2",IF($AC23&lt;'PIM Ranges'!$AZ$23,"Q3",IF($AC23&lt;'PIM Ranges'!$BA$23,"Q4","Q5")))),IF('PIM Ranges'!$AK23='PIM Ranges'!$AW$24,IF($AC23&lt;'PIM Ranges'!$AX$24,"Q1",IF($AC23&lt;'PIM Ranges'!$AY$24,"Q2",IF($AC23&lt;'PIM Ranges'!$AZ$24,"Q3",IF($AC23&lt;'PIM Ranges'!$BA$24,"Q4","Q5")))),IF('PIM Ranges'!$AK23='PIM Ranges'!$AW$25,IF($AC23&lt;'PIM Ranges'!$AX$25,"Q1",IF($AC23&lt;'PIM Ranges'!$AY$25,"Q2",IF($AC23&lt;'PIM Ranges'!$AZ$25,"Q3",IF($AC23&lt;'PIM Ranges'!$BA$25,"Q4","Q5")))),IF('PIM Ranges'!$AK23='PIM Ranges'!$AW$26,IF($AC23&lt;'PIM Ranges'!$AX$26,"Q1",IF($AC23&lt;'PIM Ranges'!$AY$26,"Q2",IF($AC23&lt;'PIM Ranges'!$AZ$26,"Q3",IF($AC23&lt;'PIM Ranges'!$BA$26,"Q4","Q5")))),IF('PIM Ranges'!$AK23='PIM Ranges'!$AW$27,IF($AC23&lt;'PIM Ranges'!$AX$27,"Q1",IF($AC23&lt;'PIM Ranges'!$AY$27,"Q2",IF($AC23&lt;'PIM Ranges'!$AZ$27,"Q3",IF($AC23&lt;'PIM Ranges'!$BA$27,"Q4","Q5")))),IF('PIM Ranges'!$AK23='PIM Ranges'!$AW$28,IF($AC23&lt;'PIM Ranges'!$AX$28,"Q1",IF($AC23&lt;'PIM Ranges'!$AY$28,"Q2",IF($AC23&lt;'PIM Ranges'!$AZ$28,"Q3",IF($AC23&lt;'PIM Ranges'!$BA$28,"Q4","Q5")))),IF('PIM Ranges'!$AK23='PIM Ranges'!$AW$29,IF($AC23&lt;'PIM Ranges'!$AX$29,"Q1",IF($AC23&lt;'PIM Ranges'!$AY$29,"Q2",IF($AC23&lt;'PIM Ranges'!$AZ$29,"Q3",IF($AC23&lt;'PIM Ranges'!$BA$29,"Q4","Q5")))),IF('PIM Ranges'!$AK23='PIM Ranges'!$AW$30,IF($AC23&lt;'PIM Ranges'!$AX$30,"Q1",IF($AC23&lt;'PIM Ranges'!$AY$30,"Q2",IF($AC23&lt;'PIM Ranges'!$AZ$30,"Q3",IF($AC23&lt;'PIM Ranges'!$BA$30,"Q4","Q5")))),IF('PIM Ranges'!$AK23='PIM Ranges'!$AW$31,IF($AC23&lt;'PIM Ranges'!$AX$31,"Q1",IF($AC23&lt;'PIM Ranges'!$AY$31,"Q2",IF($AC23&lt;'PIM Ranges'!$AZ$31,"Q3",IF($AC23&lt;'PIM Ranges'!$BA$31,"Q4","Q5")))),IF('PIM Ranges'!$AK23='PIM Ranges'!$AW$32,IF($AC23&lt;'PIM Ranges'!$AX$32,"Q1",IF($AC23&lt;'PIM Ranges'!$AY$32,"Q2",IF($AC23&lt;'PIM Ranges'!$AZ$32,"Q3",IF($AC23&lt;'PIM Ranges'!$BA$32,"Q4","Q5"))))))))))))))))))))))))))</f>
        <v>Q1</v>
      </c>
      <c r="AH23" s="404">
        <f>VLOOKUP($AB23&amp;$AG23,'IMargin Quartiles'!$A:$F,6,FALSE)</f>
        <v>0.18</v>
      </c>
      <c r="AI23" s="404"/>
      <c r="AJ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K23" s="404" t="e">
        <f>VLOOKUP($AB23&amp;$AJ23,'IMargin Quartiles'!$A:$F,6,FALSE)</f>
        <v>#DIV/0!</v>
      </c>
      <c r="AL23">
        <f>'PIM Model'!C21</f>
        <v>0</v>
      </c>
      <c r="AM23" s="404"/>
      <c r="AN23" s="404"/>
      <c r="AO23" s="404" t="e">
        <f t="shared" si="19"/>
        <v>#DIV/0!</v>
      </c>
      <c r="AP23" s="404"/>
      <c r="AQ23" s="404"/>
      <c r="AR23" s="111">
        <v>14</v>
      </c>
      <c r="AS23">
        <f>IFERROR(VLOOKUP(AU$5,'Basket Composition'!$A$3:$W$30,'Multi-Customer'!$AR23,FALSE),0)</f>
        <v>0</v>
      </c>
      <c r="AT23" s="105" t="s">
        <v>93</v>
      </c>
      <c r="AU23" s="100">
        <f>IFERROR(IF($AU$2="Enter Spend&gt;&gt;&gt;",$AU$3*AS23,SUMIFS('Existing Customers'!$Q:$Q,'Existing Customers'!$H:$H,'Multi-Customer'!$AT23,'Existing Customers'!$A:$A,'Multi-Customer'!$AU$1)*$AU$4),0)</f>
        <v>0</v>
      </c>
      <c r="AV23" s="92">
        <f>IFERROR(IF($AU$2="Enter Spend&gt;&gt;&gt;",'Multi-Customer'!AU23/VLOOKUP($AU$5,'Basket Composition'!$A$34:$W$61,'Multi-Customer'!$AR23,FALSE),SUMIFS('Existing Customers'!$N:$N,'Existing Customers'!$H:$H,'Multi-Customer'!$AT23,'Existing Customers'!$A:$A,'Multi-Customer'!$AU$1)*$AU$4),0)</f>
        <v>0</v>
      </c>
      <c r="AW23" s="92">
        <f>IFERROR(IF($AU$2="Enter Spend&gt;&gt;&gt;",AV23*$AU$8,SUMIFS('Existing Customers'!$O:$O,'Existing Customers'!$H:$H,'Multi-Customer'!$AT23,'Existing Customers'!$A:$A,'Multi-Customer'!AU$1)*$AU$4),0)</f>
        <v>0</v>
      </c>
      <c r="AX23" s="92">
        <f>IFERROR(IF($AU$2="Enter Spend&gt;&gt;&gt;",'Multi-Customer'!AU23/VLOOKUP($AU$5,'Basket Composition'!$A$65:$W$92,'Multi-Customer'!$AR23,FALSE),SUMIFS('Existing Customers'!$P:$P,'Existing Customers'!$H:$H,'Multi-Customer'!$AT23,'Existing Customers'!$A:$A,'Multi-Customer'!$AU$1)*$AU$4),0)</f>
        <v>0</v>
      </c>
      <c r="AY23" s="117">
        <f>IFERROR(IF($AU$2="Enter Spend&gt;&gt;&gt;","N/A",SUMIFS('Existing Customers'!$V:$V,'Existing Customers'!$H:$H,'Multi-Customer'!$AT23,'Existing Customers'!$A:$A,'Multi-Customer'!AU$1)*$AU$4),0)</f>
        <v>0</v>
      </c>
      <c r="AZ23" s="101">
        <f>IFERROR(IF($AU$2="Enter Spend&gt;&gt;&gt;","N/A",SUMIFS('Existing Customers'!$R:$R,'Existing Customers'!$H:$H,'Multi-Customer'!$AT23,'Existing Customers'!$A:$A,'Multi-Customer'!AU$1)*$AU$4),0)</f>
        <v>0</v>
      </c>
      <c r="BA23" s="132"/>
      <c r="BB23">
        <f>IFERROR(VLOOKUP(BD$5,'Basket Composition'!$A$3:$W$30,'Multi-Customer'!$AR23,FALSE),0)</f>
        <v>0</v>
      </c>
      <c r="BC23" s="105" t="s">
        <v>93</v>
      </c>
      <c r="BD23" s="100">
        <f>IFERROR(IF($BD$2="Enter Spend&gt;&gt;&gt;",$BD$3*BB23,SUMIFS('Existing Customers'!$Q:$Q,'Existing Customers'!$H:$H,'Multi-Customer'!$AT23,'Existing Customers'!$A:$A,'Multi-Customer'!$BD$1)*$BD$4),0)</f>
        <v>0</v>
      </c>
      <c r="BE23" s="92">
        <f>IFERROR(IF($BD$2="Enter Spend&gt;&gt;&gt;",'Multi-Customer'!BD23/VLOOKUP($BD$5,'Basket Composition'!$A$34:$W$61,'Multi-Customer'!$AR23,FALSE),SUMIFS('Existing Customers'!$N:$N,'Existing Customers'!$H:$H,'Multi-Customer'!$AT23,'Existing Customers'!$A:$A,'Multi-Customer'!$BD$1)*$BD$4),0)</f>
        <v>0</v>
      </c>
      <c r="BF23" s="92">
        <f>IFERROR(IF($BD$2="Enter Spend&gt;&gt;&gt;",BE23*$BD$8,SUMIFS('Existing Customers'!$O:$O,'Existing Customers'!$H:$H,'Multi-Customer'!$AT23,'Existing Customers'!$A:$A,'Multi-Customer'!BD$1)*$BD$4),0)</f>
        <v>0</v>
      </c>
      <c r="BG23" s="92">
        <f>IFERROR(IF($BD$2="Enter Spend&gt;&gt;&gt;",'Multi-Customer'!BD23/VLOOKUP($BD$5,'Basket Composition'!$A$65:$W$92,'Multi-Customer'!$AR23,FALSE),SUMIFS('Existing Customers'!$P:$P,'Existing Customers'!$H:$H,'Multi-Customer'!$AT23,'Existing Customers'!$A:$A,'Multi-Customer'!$BD$1)*$BD$4),0)</f>
        <v>0</v>
      </c>
      <c r="BH23" s="101">
        <f>IFERROR(IF($BD$2="Enter Spend&gt;&gt;&gt;","N/A",SUMIFS('Existing Customers'!$V:$V,'Existing Customers'!$H:$H,'Multi-Customer'!$AT23,'Existing Customers'!$A:$A,'Multi-Customer'!BD$1)*$BD$4),0)</f>
        <v>0</v>
      </c>
      <c r="BI23" s="101">
        <f>IFERROR(IF($BD$2="Enter Spend&gt;&gt;&gt;","N/A",SUMIFS('Existing Customers'!$R:$R,'Existing Customers'!$H:$H,'Multi-Customer'!$AT23,'Existing Customers'!$A:$A,'Multi-Customer'!BD$1)*$BD$4),0)</f>
        <v>0</v>
      </c>
      <c r="BJ23" s="132"/>
      <c r="BK23">
        <f>IFERROR(VLOOKUP(BM$5,'Basket Composition'!$A$3:$W$30,'Multi-Customer'!$AR23,FALSE),0)</f>
        <v>0</v>
      </c>
      <c r="BL23" s="105" t="s">
        <v>93</v>
      </c>
      <c r="BM23" s="100">
        <f>IFERROR(IF($BM$2="Enter Spend&gt;&gt;&gt;",$BM$3*BK23,SUMIFS('Existing Customers'!$Q:$Q,'Existing Customers'!$H:$H,'Multi-Customer'!$AT23,'Existing Customers'!$A:$A,'Multi-Customer'!$BM$1)*$BM$4),0)</f>
        <v>0</v>
      </c>
      <c r="BN23" s="92">
        <f>IFERROR(IF($BM$2="Enter Spend&gt;&gt;&gt;",'Multi-Customer'!BM23/VLOOKUP($BM$5,'Basket Composition'!$A$34:$W$61,'Multi-Customer'!$AR23,FALSE),SUMIFS('Existing Customers'!$N:$N,'Existing Customers'!$H:$H,'Multi-Customer'!$AT23,'Existing Customers'!$A:$A,'Multi-Customer'!$BM$1)*$BM$4),0)</f>
        <v>0</v>
      </c>
      <c r="BO23" s="92">
        <f>IFERROR(IF($BM$2="Enter Spend&gt;&gt;&gt;",BN23*$BM$8,SUMIFS('Existing Customers'!$O:$O,'Existing Customers'!$H:$H,'Multi-Customer'!$AT23,'Existing Customers'!$A:$A,'Multi-Customer'!BM$1)*$BM$4),0)</f>
        <v>0</v>
      </c>
      <c r="BP23" s="92">
        <f>IFERROR(IF($BM$2="Enter Spend&gt;&gt;&gt;",'Multi-Customer'!BM23/VLOOKUP($BM$5,'Basket Composition'!$A$65:$W$92,'Multi-Customer'!$AR23,FALSE),SUMIFS('Existing Customers'!$P:$P,'Existing Customers'!$H:$H,'Multi-Customer'!$AT23,'Existing Customers'!$A:$A,'Multi-Customer'!$BM$1)*$BM$4),0)</f>
        <v>0</v>
      </c>
      <c r="BQ23" s="101">
        <f>IFERROR(IF($BM$2="Enter Spend&gt;&gt;&gt;","N/A",SUMIFS('Existing Customers'!$V:$V,'Existing Customers'!$H:$H,'Multi-Customer'!$AT23,'Existing Customers'!$A:$A,'Multi-Customer'!BM$1)*$BM$4),0)</f>
        <v>0</v>
      </c>
      <c r="BR23" s="101">
        <f>IFERROR(IF($BM$2="Enter Spend&gt;&gt;&gt;","N/A",SUMIFS('Existing Customers'!$R:$R,'Existing Customers'!$H:$H,'Multi-Customer'!$AT23,'Existing Customers'!$A:$A,'Multi-Customer'!BM$1)*$BM$4),0)</f>
        <v>0</v>
      </c>
      <c r="BS23" s="132"/>
      <c r="BT23">
        <f>IFERROR(VLOOKUP(BV$5,'Basket Composition'!$A$3:$W$30,'Multi-Customer'!$AR23,FALSE),0)</f>
        <v>0</v>
      </c>
      <c r="BU23" s="105" t="s">
        <v>93</v>
      </c>
      <c r="BV23" s="100">
        <f>IFERROR(IF($BV$2="Enter Spend&gt;&gt;&gt;",$BV$3*BT23,SUMIFS('Existing Customers'!$Q:$Q,'Existing Customers'!$H:$H,'Multi-Customer'!$AT23,'Existing Customers'!$A:$A,'Multi-Customer'!$BV$1)*$BV$4),0)</f>
        <v>0</v>
      </c>
      <c r="BW23" s="92">
        <f>IFERROR(IF($BV$2="Enter Spend&gt;&gt;&gt;",'Multi-Customer'!BV23/VLOOKUP($BV$5,'Basket Composition'!$A$34:$W$61,'Multi-Customer'!$AR23,FALSE),SUMIFS('Existing Customers'!$N:$N,'Existing Customers'!$H:$H,'Multi-Customer'!$AT23,'Existing Customers'!$A:$A,'Multi-Customer'!$BV$1)*$BV$4),0)</f>
        <v>0</v>
      </c>
      <c r="BX23" s="92">
        <f>IFERROR(IF($BV$2="Enter Spend&gt;&gt;&gt;",BW23*$BV$8,SUMIFS('Existing Customers'!$O:$O,'Existing Customers'!$H:$H,'Multi-Customer'!$AT23,'Existing Customers'!$A:$A,'Multi-Customer'!BV$1)*$BV$4),0)</f>
        <v>0</v>
      </c>
      <c r="BY23" s="92">
        <f>IFERROR(IF($BV$2="Enter Spend&gt;&gt;&gt;",'Multi-Customer'!BV23/VLOOKUP($BV$5,'Basket Composition'!$A$65:$W$92,'Multi-Customer'!$AR23,FALSE),SUMIFS('Existing Customers'!$P:$P,'Existing Customers'!$H:$H,'Multi-Customer'!$AT23,'Existing Customers'!$A:$A,'Multi-Customer'!$BV$1)*$BV$4),0)</f>
        <v>0</v>
      </c>
      <c r="BZ23" s="101">
        <f>IFERROR(IF($BV$2="Enter Spend&gt;&gt;&gt;","N/A",SUMIFS('Existing Customers'!$V:$V,'Existing Customers'!$H:$H,'Multi-Customer'!$AT23,'Existing Customers'!$A:$A,'Multi-Customer'!BV$1)*$BV$4),0)</f>
        <v>0</v>
      </c>
      <c r="CA23" s="101">
        <f>IFERROR(IF($BV$2="Enter Spend&gt;&gt;&gt;","N/A",SUMIFS('Existing Customers'!$R:$R,'Existing Customers'!$H:$H,'Multi-Customer'!$AT23,'Existing Customers'!$A:$A,'Multi-Customer'!BV$1)*$BV$4),0)</f>
        <v>0</v>
      </c>
      <c r="CB23" s="132"/>
      <c r="CC23">
        <f>IFERROR(VLOOKUP(CE$5,'Basket Composition'!$A$3:$W$30,'Multi-Customer'!$AR23,FALSE),0)</f>
        <v>0</v>
      </c>
      <c r="CD23" s="105" t="s">
        <v>93</v>
      </c>
      <c r="CE23" s="100">
        <f>IFERROR(IF($CE$2="Enter Spend&gt;&gt;&gt;",$CE$3*CC23,SUMIFS('Existing Customers'!$Q:$Q,'Existing Customers'!$H:$H,'Multi-Customer'!$AT23,'Existing Customers'!$A:$A,'Multi-Customer'!$CE$1)*$CE$4),0)</f>
        <v>0</v>
      </c>
      <c r="CF23" s="92">
        <f>IFERROR(IF($CE$2="Enter Spend&gt;&gt;&gt;",'Multi-Customer'!CE23/VLOOKUP($CE$5,'Basket Composition'!$A$34:$W$61,'Multi-Customer'!$AR23,FALSE),SUMIFS('Existing Customers'!$N:$N,'Existing Customers'!$H:$H,'Multi-Customer'!$AT23,'Existing Customers'!$A:$A,'Multi-Customer'!$CE$1)*$CE$4),0)</f>
        <v>0</v>
      </c>
      <c r="CG23" s="92">
        <f>IFERROR(IF($CE$2="Enter Spend&gt;&gt;&gt;",CF23*$CE$8,SUMIFS('Existing Customers'!$O:$O,'Existing Customers'!$H:$H,'Multi-Customer'!$AT23,'Existing Customers'!$A:$A,'Multi-Customer'!CE$1)*$CE$4),0)</f>
        <v>0</v>
      </c>
      <c r="CH23" s="92">
        <f>IFERROR(IF($CE$2="Enter Spend&gt;&gt;&gt;",'Multi-Customer'!CE23/VLOOKUP($CE$5,'Basket Composition'!$A$65:$W$92,'Multi-Customer'!$AR23,FALSE),SUMIFS('Existing Customers'!$P:$P,'Existing Customers'!$H:$H,'Multi-Customer'!$AT23,'Existing Customers'!$A:$A,'Multi-Customer'!$CE$1)*$CE$4),0)</f>
        <v>0</v>
      </c>
      <c r="CI23" s="101">
        <f>IFERROR(IF($CE$2="Enter Spend&gt;&gt;&gt;","N/A",SUMIFS('Existing Customers'!$V:$V,'Existing Customers'!$H:$H,'Multi-Customer'!$AT23,'Existing Customers'!$A:$A,'Multi-Customer'!CE$1)*$CE$4),0)</f>
        <v>0</v>
      </c>
      <c r="CJ23" s="101">
        <f>IFERROR(IF($CE$2="Enter Spend&gt;&gt;&gt;","N/A",SUMIFS('Existing Customers'!$R:$R,'Existing Customers'!$H:$H,'Multi-Customer'!$AT23,'Existing Customers'!$A:$A,'Multi-Customer'!CE$1)*$CE$4),0)</f>
        <v>0</v>
      </c>
      <c r="CK23" s="132"/>
      <c r="CL23">
        <f>IFERROR(VLOOKUP(CN$5,'Basket Composition'!$A$3:$W$30,'Multi-Customer'!$AR23,FALSE),0)</f>
        <v>0</v>
      </c>
      <c r="CM23" s="105" t="s">
        <v>93</v>
      </c>
      <c r="CN23" s="100">
        <f>IFERROR(IF($CN$2="Enter Spend&gt;&gt;&gt;",$CN$3*CL23,SUMIFS('Existing Customers'!$Q:$Q,'Existing Customers'!$H:$H,'Multi-Customer'!$AT23,'Existing Customers'!$A:$A,'Multi-Customer'!$CN$1)*$CN$4),0)</f>
        <v>0</v>
      </c>
      <c r="CO23" s="92">
        <f>IFERROR(IF($CN$2="Enter Spend&gt;&gt;&gt;",'Multi-Customer'!CN23/VLOOKUP($CN$5,'Basket Composition'!$A$34:$W$61,'Multi-Customer'!$AR23,FALSE),SUMIFS('Existing Customers'!$N:$N,'Existing Customers'!$H:$H,'Multi-Customer'!$AT23,'Existing Customers'!$A:$A,'Multi-Customer'!$CN$1)*$CN$4),0)</f>
        <v>0</v>
      </c>
      <c r="CP23" s="92">
        <f>IFERROR(IF($CN$2="Enter Spend&gt;&gt;&gt;",CO23*$CN$8,SUMIFS('Existing Customers'!$O:$O,'Existing Customers'!$H:$H,'Multi-Customer'!$AT23,'Existing Customers'!$A:$A,'Multi-Customer'!CN$1)*$CN$4),0)</f>
        <v>0</v>
      </c>
      <c r="CQ23" s="92">
        <f>IFERROR(IF($CN$2="Enter Spend&gt;&gt;&gt;",'Multi-Customer'!CN23/VLOOKUP($CN$5,'Basket Composition'!$A$65:$W$92,'Multi-Customer'!$AR23,FALSE),SUMIFS('Existing Customers'!$P:$P,'Existing Customers'!$H:$H,'Multi-Customer'!$AT23,'Existing Customers'!$A:$A,'Multi-Customer'!$CN$1)*$CN$4),0)</f>
        <v>0</v>
      </c>
      <c r="CR23" s="101">
        <f>IFERROR(IF($CN$2="Enter Spend&gt;&gt;&gt;","N/A",SUMIFS('Existing Customers'!$V:$V,'Existing Customers'!$H:$H,'Multi-Customer'!$AT23,'Existing Customers'!$A:$A,'Multi-Customer'!CN$1)*$CN$4),0)</f>
        <v>0</v>
      </c>
      <c r="CS23" s="101">
        <f>IFERROR(IF($CN$2="Enter Spend&gt;&gt;&gt;","N/A",SUMIFS('Existing Customers'!$R:$R,'Existing Customers'!$H:$H,'Multi-Customer'!$AT23,'Existing Customers'!$A:$A,'Multi-Customer'!CN$1)*$CN$4),0)</f>
        <v>0</v>
      </c>
      <c r="CT23" s="132"/>
      <c r="CU23">
        <f>IFERROR(VLOOKUP(CW$5,'Basket Composition'!$A$3:$W$30,'Multi-Customer'!$AR23,FALSE),0)</f>
        <v>0</v>
      </c>
      <c r="CV23" s="105" t="s">
        <v>93</v>
      </c>
      <c r="CW23" s="100">
        <f>IFERROR(IF($CW$2="Enter Spend&gt;&gt;&gt;",$CW$3*CU23,SUMIFS('Existing Customers'!$Q:$Q,'Existing Customers'!$H:$H,'Multi-Customer'!$AT23,'Existing Customers'!$A:$A,'Multi-Customer'!$CW$1)*$CW$4),0)</f>
        <v>0</v>
      </c>
      <c r="CX23" s="92">
        <f>IFERROR(IF($CW$2="Enter Spend&gt;&gt;&gt;",'Multi-Customer'!CW23/VLOOKUP($CW$5,'Basket Composition'!$A$34:$W$61,'Multi-Customer'!$AR23,FALSE),SUMIFS('Existing Customers'!$N:$N,'Existing Customers'!$H:$H,'Multi-Customer'!$AT23,'Existing Customers'!$A:$A,'Multi-Customer'!$CW$1)*$CW$4),0)</f>
        <v>0</v>
      </c>
      <c r="CY23" s="92">
        <f>IFERROR(IF($CW$2="Enter Spend&gt;&gt;&gt;",CX23*$CW$8,SUMIFS('Existing Customers'!$O:$O,'Existing Customers'!$H:$H,'Multi-Customer'!$AT23,'Existing Customers'!$A:$A,'Multi-Customer'!CW$1)*$CW$4),0)</f>
        <v>0</v>
      </c>
      <c r="CZ23" s="92">
        <f>IFERROR(IF($CW$2="Enter Spend&gt;&gt;&gt;",'Multi-Customer'!CW23/VLOOKUP($CW$5,'Basket Composition'!$A$65:$W$92,'Multi-Customer'!$AR23,FALSE),SUMIFS('Existing Customers'!$P:$P,'Existing Customers'!$H:$H,'Multi-Customer'!$AT23,'Existing Customers'!$A:$A,'Multi-Customer'!$CW$1)*$CW$4),0)</f>
        <v>0</v>
      </c>
      <c r="DA23" s="101">
        <f>IFERROR(IF($CW$2="Enter Spend&gt;&gt;&gt;","N/A",SUMIFS('Existing Customers'!$V:$V,'Existing Customers'!$H:$H,'Multi-Customer'!$AT23,'Existing Customers'!$A:$A,'Multi-Customer'!CW$1)*$CW$4),0)</f>
        <v>0</v>
      </c>
      <c r="DB23" s="101">
        <f>IFERROR(IF($CW$2="Enter Spend&gt;&gt;&gt;","N/A",SUMIFS('Existing Customers'!$R:$R,'Existing Customers'!$H:$H,'Multi-Customer'!$AT23,'Existing Customers'!$A:$A,'Multi-Customer'!CW$1)*$CW$4),0)</f>
        <v>0</v>
      </c>
      <c r="DC23" s="132"/>
      <c r="DD23">
        <f>IFERROR(VLOOKUP(DF$5,'Basket Composition'!$A$3:$W$30,'Multi-Customer'!$AR23,FALSE),0)</f>
        <v>0</v>
      </c>
      <c r="DE23" s="105" t="s">
        <v>93</v>
      </c>
      <c r="DF23" s="100">
        <f>IFERROR(IF($DF$2="Enter Spend&gt;&gt;&gt;",$DF$3*DD23,SUMIFS('Existing Customers'!$Q:$Q,'Existing Customers'!$H:$H,'Multi-Customer'!$AT23,'Existing Customers'!$A:$A,'Multi-Customer'!$DF$1)*$DF$4),0)</f>
        <v>0</v>
      </c>
      <c r="DG23" s="92">
        <f>IFERROR(IF($DF$2="Enter Spend&gt;&gt;&gt;",'Multi-Customer'!DF23/VLOOKUP($DF$5,'Basket Composition'!$A$34:$W$61,'Multi-Customer'!$AR23,FALSE),SUMIFS('Existing Customers'!$N:$N,'Existing Customers'!$H:$H,'Multi-Customer'!$AT23,'Existing Customers'!$A:$A,'Multi-Customer'!$DF$1)*$DF$4),0)</f>
        <v>0</v>
      </c>
      <c r="DH23" s="92">
        <f>IFERROR(IF($DF$2="Enter Spend&gt;&gt;&gt;",DG23*$DF$8,SUMIFS('Existing Customers'!$O:$O,'Existing Customers'!$H:$H,'Multi-Customer'!$AT23,'Existing Customers'!$A:$A,'Multi-Customer'!DF$1)*$DF$4),0)</f>
        <v>0</v>
      </c>
      <c r="DI23" s="92">
        <f>IFERROR(IF($DF$2="Enter Spend&gt;&gt;&gt;",'Multi-Customer'!DF23/VLOOKUP($DF$5,'Basket Composition'!$A$65:$W$92,'Multi-Customer'!$AR23,FALSE),SUMIFS('Existing Customers'!$P:$P,'Existing Customers'!$H:$H,'Multi-Customer'!$AT23,'Existing Customers'!$A:$A,'Multi-Customer'!$DF$1)*$DF$4),0)</f>
        <v>0</v>
      </c>
      <c r="DJ23" s="101">
        <f>IFERROR(IF($DF$2="Enter Spend&gt;&gt;&gt;","N/A",SUMIFS('Existing Customers'!$V:$V,'Existing Customers'!$H:$H,'Multi-Customer'!$AT23,'Existing Customers'!$A:$A,'Multi-Customer'!DF$1)*$DF$4),0)</f>
        <v>0</v>
      </c>
      <c r="DK23" s="101">
        <f>IFERROR(IF($DF$2="Enter Spend&gt;&gt;&gt;","N/A",SUMIFS('Existing Customers'!$R:$R,'Existing Customers'!$H:$H,'Multi-Customer'!$AT23,'Existing Customers'!$A:$A,'Multi-Customer'!DF$1)*$DF$4),0)</f>
        <v>0</v>
      </c>
      <c r="DL23" s="132"/>
      <c r="DM23">
        <f>IFERROR(VLOOKUP(DO$5,'Basket Composition'!$A$3:$W$30,'Multi-Customer'!$AR23,FALSE),0)</f>
        <v>0</v>
      </c>
      <c r="DN23" s="105" t="s">
        <v>93</v>
      </c>
      <c r="DO23" s="100">
        <f>IFERROR(IF($DO$2="Enter Spend&gt;&gt;&gt;",$DO$3*DM23,SUMIFS('Existing Customers'!$Q:$Q,'Existing Customers'!$H:$H,'Multi-Customer'!$AT23,'Existing Customers'!$A:$A,'Multi-Customer'!$DO$1)*$DO$4),0)</f>
        <v>0</v>
      </c>
      <c r="DP23" s="92">
        <f>IFERROR(IF($DO$2="Enter Spend&gt;&gt;&gt;",'Multi-Customer'!DO23/VLOOKUP($DO$5,'Basket Composition'!$A$34:$W$61,'Multi-Customer'!$AR23,FALSE),SUMIFS('Existing Customers'!$N:$N,'Existing Customers'!$H:$H,'Multi-Customer'!$AT23,'Existing Customers'!$A:$A,'Multi-Customer'!$DO$1)*$DO$4),0)</f>
        <v>0</v>
      </c>
      <c r="DQ23" s="92">
        <f>IFERROR(IF($DO$2="Enter Spend&gt;&gt;&gt;",DP23*$DO$8,SUMIFS('Existing Customers'!$O:$O,'Existing Customers'!$H:$H,'Multi-Customer'!$AT23,'Existing Customers'!$A:$A,'Multi-Customer'!DO$1)*$DO$4),0)</f>
        <v>0</v>
      </c>
      <c r="DR23" s="92">
        <f>IFERROR(IF($DO$2="Enter Spend&gt;&gt;&gt;",'Multi-Customer'!DO23/VLOOKUP($DO$5,'Basket Composition'!$A$65:$W$92,'Multi-Customer'!$AR23,FALSE),SUMIFS('Existing Customers'!$P:$P,'Existing Customers'!$H:$H,'Multi-Customer'!$AT23,'Existing Customers'!$A:$A,'Multi-Customer'!$DO$1)*$DO$4),0)</f>
        <v>0</v>
      </c>
      <c r="DS23" s="117">
        <f>IFERROR(IF($DO$2="Enter Spend&gt;&gt;&gt;","N/A",SUMIFS('Existing Customers'!$V:$V,'Existing Customers'!$H:$H,'Multi-Customer'!$AT23,'Existing Customers'!$A:$A,'Multi-Customer'!DO$1)*$DO$4),0)</f>
        <v>0</v>
      </c>
      <c r="DT23" s="101">
        <f>IFERROR(IF($DO$2="Enter Spend&gt;&gt;&gt;","N/A",SUMIFS('Existing Customers'!$R:$R,'Existing Customers'!$H:$H,'Multi-Customer'!$AT23,'Existing Customers'!$A:$A,'Multi-Customer'!DO$1)*$DO$4),0)</f>
        <v>0</v>
      </c>
      <c r="DU23" s="132"/>
      <c r="DV23">
        <f>IFERROR(VLOOKUP(DX$5,'Basket Composition'!$A$3:$W$30,'Multi-Customer'!$AR23,FALSE),0)</f>
        <v>0</v>
      </c>
      <c r="DW23" s="105" t="s">
        <v>93</v>
      </c>
      <c r="DX23" s="100">
        <f>IFERROR(IF($DX$2="Enter Spend&gt;&gt;&gt;",$DX$3*DV23,SUMIFS('Existing Customers'!$Q:$Q,'Existing Customers'!$H:$H,'Multi-Customer'!$AT23,'Existing Customers'!$A:$A,'Multi-Customer'!$DX$1)*$DX$4),0)</f>
        <v>0</v>
      </c>
      <c r="DY23" s="92">
        <f>IFERROR(IF($DX$2="Enter Spend&gt;&gt;&gt;",'Multi-Customer'!DX23/VLOOKUP($DX$5,'Basket Composition'!$A$34:$W$61,'Multi-Customer'!$AR23,FALSE),SUMIFS('Existing Customers'!$N:$N,'Existing Customers'!$H:$H,'Multi-Customer'!$AT23,'Existing Customers'!$A:$A,'Multi-Customer'!$DX$1)*$DX$4),0)</f>
        <v>0</v>
      </c>
      <c r="DZ23" s="92">
        <f>IFERROR(IF($DX$2="Enter Spend&gt;&gt;&gt;",DY23*$DX$8,SUMIFS('Existing Customers'!$O:$O,'Existing Customers'!$H:$H,'Multi-Customer'!$AT23,'Existing Customers'!$A:$A,'Multi-Customer'!DX$1)*$DX$4),0)</f>
        <v>0</v>
      </c>
      <c r="EA23" s="92">
        <f>IFERROR(IF($DX$2="Enter Spend&gt;&gt;&gt;",'Multi-Customer'!DX23/VLOOKUP($DX$5,'Basket Composition'!$A$65:$W$92,'Multi-Customer'!$AR23,FALSE),SUMIFS('Existing Customers'!$P:$P,'Existing Customers'!$H:$H,'Multi-Customer'!$AT23,'Existing Customers'!$A:$A,'Multi-Customer'!$DX$1)*$DX$4),0)</f>
        <v>0</v>
      </c>
      <c r="EB23" s="117">
        <f>IFERROR(IF($DX$2="Enter Spend&gt;&gt;&gt;","N/A",SUMIFS('Existing Customers'!$V:$V,'Existing Customers'!$H:$H,'Multi-Customer'!$AT23,'Existing Customers'!$A:$A,'Multi-Customer'!DX$1)*$DX$4),0)</f>
        <v>0</v>
      </c>
      <c r="EC23" s="101">
        <f>IFERROR(IF($DX$2="Enter Spend&gt;&gt;&gt;","N/A",SUMIFS('Existing Customers'!$R:$R,'Existing Customers'!$H:$H,'Multi-Customer'!$AT23,'Existing Customers'!$A:$A,'Multi-Customer'!DX$1)*$DX$4),0)</f>
        <v>0</v>
      </c>
      <c r="EE23" s="105" t="s">
        <v>93</v>
      </c>
      <c r="EF23" s="100"/>
      <c r="EG23" s="92"/>
      <c r="EH23" s="92"/>
      <c r="EI23" s="92"/>
      <c r="EJ23" s="117"/>
      <c r="EK23" s="101"/>
      <c r="EL23" s="132"/>
      <c r="EN23" s="105" t="s">
        <v>93</v>
      </c>
      <c r="EO23" s="100"/>
      <c r="EP23" s="92"/>
      <c r="EQ23" s="92"/>
      <c r="ER23" s="92"/>
      <c r="ES23" s="117"/>
      <c r="ET23" s="101"/>
    </row>
    <row r="24" spans="2:150" x14ac:dyDescent="0.25">
      <c r="B24" s="105" t="s">
        <v>105</v>
      </c>
      <c r="C24" s="487">
        <f t="shared" si="6"/>
        <v>0</v>
      </c>
      <c r="D24" s="504">
        <f t="shared" si="7"/>
        <v>0</v>
      </c>
      <c r="E24" s="504">
        <f t="shared" si="8"/>
        <v>0</v>
      </c>
      <c r="F24" s="504">
        <f t="shared" si="9"/>
        <v>0</v>
      </c>
      <c r="G24" s="505">
        <f t="shared" si="10"/>
        <v>0</v>
      </c>
      <c r="H24" s="507">
        <f t="shared" si="11"/>
        <v>0</v>
      </c>
      <c r="J24" t="str">
        <f>'PIM Model'!E22</f>
        <v>INCLUDE</v>
      </c>
      <c r="K24">
        <f t="shared" si="12"/>
        <v>0</v>
      </c>
      <c r="L24">
        <f t="shared" si="13"/>
        <v>0</v>
      </c>
      <c r="M24" s="105" t="s">
        <v>105</v>
      </c>
      <c r="N24" s="100">
        <f t="shared" si="14"/>
        <v>0</v>
      </c>
      <c r="O24" s="92">
        <f t="shared" si="0"/>
        <v>0</v>
      </c>
      <c r="P24" s="92">
        <f t="shared" si="1"/>
        <v>0</v>
      </c>
      <c r="Q24" s="92">
        <f t="shared" si="2"/>
        <v>0</v>
      </c>
      <c r="R24" s="117">
        <f t="shared" si="3"/>
        <v>0</v>
      </c>
      <c r="S24" s="120">
        <f t="shared" si="15"/>
        <v>0</v>
      </c>
      <c r="T24" s="404"/>
      <c r="U24" s="105" t="s">
        <v>105</v>
      </c>
      <c r="V24" s="491">
        <f t="shared" si="4"/>
        <v>0</v>
      </c>
      <c r="W24" s="492">
        <f t="shared" si="4"/>
        <v>0</v>
      </c>
      <c r="X24" s="492">
        <f t="shared" si="4"/>
        <v>0</v>
      </c>
      <c r="Y24" s="493">
        <f t="shared" si="16"/>
        <v>0</v>
      </c>
      <c r="Z24" s="494">
        <f t="shared" si="17"/>
        <v>0</v>
      </c>
      <c r="AA24" s="404"/>
      <c r="AB24" s="105" t="s">
        <v>105</v>
      </c>
      <c r="AC24" s="491">
        <f t="shared" si="5"/>
        <v>0</v>
      </c>
      <c r="AD24" s="488">
        <f t="shared" si="18"/>
        <v>0</v>
      </c>
      <c r="AE24" s="494"/>
      <c r="AF24" s="404"/>
      <c r="AG24" s="1" t="str">
        <f>IF('PIM Ranges'!$AK24='PIM Ranges'!$AW$11,IF($AC24&lt;'PIM Ranges'!$AX$11,"Q1",IF($AC24&lt;'PIM Ranges'!$AY$11,"Q2",IF($AC24&lt;'PIM Ranges'!$AZ$11,"Q3",IF($AC24&lt;'PIM Ranges'!$BA$11,"Q4","Q5")))),IF('PIM Ranges'!$AK24='PIM Ranges'!$AW$12,IF($AC24&lt;'PIM Ranges'!$AX$12,"Q1",IF($AC24&lt;'PIM Ranges'!$AY$12,"Q2",IF($AC24&lt;'PIM Ranges'!$AZ$12,"Q3",IF($AC24&lt;'PIM Ranges'!$BA$12,"Q4","Q5")))),IF('PIM Ranges'!$AK24='PIM Ranges'!$AW$13,IF($AC24&lt;'PIM Ranges'!$AX$13,"Q1",IF($AC24&lt;'PIM Ranges'!$AY$13,"Q2",IF($AC24&lt;'PIM Ranges'!$AZ$13,"Q3",IF($AC24&lt;'PIM Ranges'!$BA$13,"Q4","Q5")))),IF('PIM Ranges'!$AK24='PIM Ranges'!$AW$14,IF($AC24&lt;'PIM Ranges'!$AX$14,"Q1",IF($AC24&lt;'PIM Ranges'!$AY$14,"Q2",IF($AC24&lt;'PIM Ranges'!$AZ$14,"Q3",IF($AC24&lt;'PIM Ranges'!$BA$14,"Q4","Q5")))),IF('PIM Ranges'!$AK24='PIM Ranges'!$AW$15,IF($AC24&lt;'PIM Ranges'!$AX$15,"Q1",IF($AC24&lt;'PIM Ranges'!$AY$15,"Q2",IF($AC24&lt;'PIM Ranges'!$AZ$15,"Q3",IF($AC24&lt;'PIM Ranges'!$BA$15,"Q4","Q5")))),IF('PIM Ranges'!$AK24='PIM Ranges'!$AW$16,IF($AC24&lt;'PIM Ranges'!$AX$16,"Q1",IF($AC24&lt;'PIM Ranges'!$AY$16,"Q2",IF($AC24&lt;'PIM Ranges'!$AZ$16,"Q3",IF($AC24&lt;'PIM Ranges'!$BA$16,"Q4","Q5")))),IF('PIM Ranges'!$AK24='PIM Ranges'!$AW$17,IF($AC24&lt;'PIM Ranges'!$AX$17,"Q1",IF($AC24&lt;'PIM Ranges'!$AY$17,"Q2",IF($AC24&lt;'PIM Ranges'!$AZ$17,"Q3",IF($AC24&lt;'PIM Ranges'!$BA$17,"Q4","Q5")))),IF('PIM Ranges'!$AK24='PIM Ranges'!$AW$18,IF($AC24&lt;'PIM Ranges'!$AX$18,"Q1",IF($AC24&lt;'PIM Ranges'!$AY$18,"Q2",IF($AC24&lt;'PIM Ranges'!$AZ$18,"Q3",IF($AC24&lt;'PIM Ranges'!$BA$18,"Q4","Q5")))),IF('PIM Ranges'!$AK24='PIM Ranges'!$AW$19,IF($AC24&lt;'PIM Ranges'!$AX$19,"Q1",IF($AC24&lt;'PIM Ranges'!$AY$19,"Q2",IF($AC24&lt;'PIM Ranges'!$AZ$19,"Q3",IF($AC24&lt;'PIM Ranges'!$BA$19,"Q4","Q5")))),IF('PIM Ranges'!$AK24='PIM Ranges'!$AW$20,IF($AC24&lt;'PIM Ranges'!$AX$20,"Q1",IF($AC24&lt;'PIM Ranges'!$AY$20,"Q2",IF($AC24&lt;'PIM Ranges'!$AZ$20,"Q3",IF($AC24&lt;'PIM Ranges'!$BA$20,"Q4","Q5")))),IF('PIM Ranges'!$AK24='PIM Ranges'!$AW$21,IF($AC24&lt;'PIM Ranges'!$AX$21,"Q1",IF($AC24&lt;'PIM Ranges'!$AY$21,"Q2",IF($AC24&lt;'PIM Ranges'!$AZ$21,"Q3",IF($AC24&lt;'PIM Ranges'!$BA$21,"Q4","Q5")))),IF('PIM Ranges'!$AK24='PIM Ranges'!$AW$22,IF($AC24&lt;'PIM Ranges'!$AX$22,"Q1",IF($AC24&lt;'PIM Ranges'!$AY$22,"Q2",IF($AC24&lt;'PIM Ranges'!$AZ$22,"Q3",IF($AC24&lt;'PIM Ranges'!$BA$22,"Q4","Q5")))),IF('PIM Ranges'!$AK24='PIM Ranges'!$AW$23,IF($AC24&lt;'PIM Ranges'!$AX$23,"Q1",IF($AC24&lt;'PIM Ranges'!$AY$23,"Q2",IF($AC24&lt;'PIM Ranges'!$AZ$23,"Q3",IF($AC24&lt;'PIM Ranges'!$BA$23,"Q4","Q5")))),IF('PIM Ranges'!$AK24='PIM Ranges'!$AW$24,IF($AC24&lt;'PIM Ranges'!$AX$24,"Q1",IF($AC24&lt;'PIM Ranges'!$AY$24,"Q2",IF($AC24&lt;'PIM Ranges'!$AZ$24,"Q3",IF($AC24&lt;'PIM Ranges'!$BA$24,"Q4","Q5")))),IF('PIM Ranges'!$AK24='PIM Ranges'!$AW$25,IF($AC24&lt;'PIM Ranges'!$AX$25,"Q1",IF($AC24&lt;'PIM Ranges'!$AY$25,"Q2",IF($AC24&lt;'PIM Ranges'!$AZ$25,"Q3",IF($AC24&lt;'PIM Ranges'!$BA$25,"Q4","Q5")))),IF('PIM Ranges'!$AK24='PIM Ranges'!$AW$26,IF($AC24&lt;'PIM Ranges'!$AX$26,"Q1",IF($AC24&lt;'PIM Ranges'!$AY$26,"Q2",IF($AC24&lt;'PIM Ranges'!$AZ$26,"Q3",IF($AC24&lt;'PIM Ranges'!$BA$26,"Q4","Q5")))),IF('PIM Ranges'!$AK24='PIM Ranges'!$AW$27,IF($AC24&lt;'PIM Ranges'!$AX$27,"Q1",IF($AC24&lt;'PIM Ranges'!$AY$27,"Q2",IF($AC24&lt;'PIM Ranges'!$AZ$27,"Q3",IF($AC24&lt;'PIM Ranges'!$BA$27,"Q4","Q5")))),IF('PIM Ranges'!$AK24='PIM Ranges'!$AW$28,IF($AC24&lt;'PIM Ranges'!$AX$28,"Q1",IF($AC24&lt;'PIM Ranges'!$AY$28,"Q2",IF($AC24&lt;'PIM Ranges'!$AZ$28,"Q3",IF($AC24&lt;'PIM Ranges'!$BA$28,"Q4","Q5")))),IF('PIM Ranges'!$AK24='PIM Ranges'!$AW$29,IF($AC24&lt;'PIM Ranges'!$AX$29,"Q1",IF($AC24&lt;'PIM Ranges'!$AY$29,"Q2",IF($AC24&lt;'PIM Ranges'!$AZ$29,"Q3",IF($AC24&lt;'PIM Ranges'!$BA$29,"Q4","Q5")))),IF('PIM Ranges'!$AK24='PIM Ranges'!$AW$30,IF($AC24&lt;'PIM Ranges'!$AX$30,"Q1",IF($AC24&lt;'PIM Ranges'!$AY$30,"Q2",IF($AC24&lt;'PIM Ranges'!$AZ$30,"Q3",IF($AC24&lt;'PIM Ranges'!$BA$30,"Q4","Q5")))),IF('PIM Ranges'!$AK24='PIM Ranges'!$AW$31,IF($AC24&lt;'PIM Ranges'!$AX$31,"Q1",IF($AC24&lt;'PIM Ranges'!$AY$31,"Q2",IF($AC24&lt;'PIM Ranges'!$AZ$31,"Q3",IF($AC24&lt;'PIM Ranges'!$BA$31,"Q4","Q5")))),IF('PIM Ranges'!$AK24='PIM Ranges'!$AW$32,IF($AC24&lt;'PIM Ranges'!$AX$32,"Q1",IF($AC24&lt;'PIM Ranges'!$AY$32,"Q2",IF($AC24&lt;'PIM Ranges'!$AZ$32,"Q3",IF($AC24&lt;'PIM Ranges'!$BA$32,"Q4","Q5"))))))))))))))))))))))))))</f>
        <v>Q1</v>
      </c>
      <c r="AH24" s="404">
        <f>VLOOKUP($AB24&amp;$AG24,'IMargin Quartiles'!$A:$F,6,FALSE)</f>
        <v>0.18</v>
      </c>
      <c r="AI24" s="404"/>
      <c r="AJ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K24" s="404" t="e">
        <f>VLOOKUP($AB24&amp;$AJ24,'IMargin Quartiles'!$A:$F,6,FALSE)</f>
        <v>#DIV/0!</v>
      </c>
      <c r="AL24">
        <f>'PIM Model'!C22</f>
        <v>0</v>
      </c>
      <c r="AM24" s="404"/>
      <c r="AN24" s="404"/>
      <c r="AO24" s="404" t="e">
        <f t="shared" si="19"/>
        <v>#DIV/0!</v>
      </c>
      <c r="AP24" s="404"/>
      <c r="AQ24" s="404"/>
      <c r="AR24" s="111">
        <v>15</v>
      </c>
      <c r="AS24">
        <f>IFERROR(VLOOKUP(AU$5,'Basket Composition'!$A$3:$W$30,'Multi-Customer'!$AR24,FALSE),0)</f>
        <v>0</v>
      </c>
      <c r="AT24" s="105" t="s">
        <v>105</v>
      </c>
      <c r="AU24" s="100">
        <f>IFERROR(IF($AU$2="Enter Spend&gt;&gt;&gt;",$AU$3*AS24,SUMIFS('Existing Customers'!$Q:$Q,'Existing Customers'!$H:$H,'Multi-Customer'!$AT24,'Existing Customers'!$A:$A,'Multi-Customer'!$AU$1)*$AU$4),0)</f>
        <v>0</v>
      </c>
      <c r="AV24" s="92">
        <f>IFERROR(IF($AU$2="Enter Spend&gt;&gt;&gt;",'Multi-Customer'!AU24/VLOOKUP($AU$5,'Basket Composition'!$A$34:$W$61,'Multi-Customer'!$AR24,FALSE),SUMIFS('Existing Customers'!$N:$N,'Existing Customers'!$H:$H,'Multi-Customer'!$AT24,'Existing Customers'!$A:$A,'Multi-Customer'!$AU$1)*$AU$4),0)</f>
        <v>0</v>
      </c>
      <c r="AW24" s="92">
        <f>IFERROR(IF($AU$2="Enter Spend&gt;&gt;&gt;",AV24*$AU$8,SUMIFS('Existing Customers'!$O:$O,'Existing Customers'!$H:$H,'Multi-Customer'!$AT24,'Existing Customers'!$A:$A,'Multi-Customer'!AU$1)*$AU$4),0)</f>
        <v>0</v>
      </c>
      <c r="AX24" s="92">
        <f>IFERROR(IF($AU$2="Enter Spend&gt;&gt;&gt;",'Multi-Customer'!AU24/VLOOKUP($AU$5,'Basket Composition'!$A$65:$W$92,'Multi-Customer'!$AR24,FALSE),SUMIFS('Existing Customers'!$P:$P,'Existing Customers'!$H:$H,'Multi-Customer'!$AT24,'Existing Customers'!$A:$A,'Multi-Customer'!$AU$1)*$AU$4),0)</f>
        <v>0</v>
      </c>
      <c r="AY24" s="117">
        <f>IFERROR(IF($AU$2="Enter Spend&gt;&gt;&gt;","N/A",SUMIFS('Existing Customers'!$V:$V,'Existing Customers'!$H:$H,'Multi-Customer'!$AT24,'Existing Customers'!$A:$A,'Multi-Customer'!AU$1)*$AU$4),0)</f>
        <v>0</v>
      </c>
      <c r="AZ24" s="101">
        <f>IFERROR(IF($AU$2="Enter Spend&gt;&gt;&gt;","N/A",SUMIFS('Existing Customers'!$R:$R,'Existing Customers'!$H:$H,'Multi-Customer'!$AT24,'Existing Customers'!$A:$A,'Multi-Customer'!AU$1)*$AU$4),0)</f>
        <v>0</v>
      </c>
      <c r="BA24" s="132"/>
      <c r="BB24">
        <f>IFERROR(VLOOKUP(BD$5,'Basket Composition'!$A$3:$W$30,'Multi-Customer'!$AR24,FALSE),0)</f>
        <v>0</v>
      </c>
      <c r="BC24" s="105" t="s">
        <v>105</v>
      </c>
      <c r="BD24" s="100">
        <f>IFERROR(IF($BD$2="Enter Spend&gt;&gt;&gt;",$BD$3*BB24,SUMIFS('Existing Customers'!$Q:$Q,'Existing Customers'!$H:$H,'Multi-Customer'!$AT24,'Existing Customers'!$A:$A,'Multi-Customer'!$BD$1)*$BD$4),0)</f>
        <v>0</v>
      </c>
      <c r="BE24" s="92">
        <f>IFERROR(IF($BD$2="Enter Spend&gt;&gt;&gt;",'Multi-Customer'!BD24/VLOOKUP($BD$5,'Basket Composition'!$A$34:$W$61,'Multi-Customer'!$AR24,FALSE),SUMIFS('Existing Customers'!$N:$N,'Existing Customers'!$H:$H,'Multi-Customer'!$AT24,'Existing Customers'!$A:$A,'Multi-Customer'!$BD$1)*$BD$4),0)</f>
        <v>0</v>
      </c>
      <c r="BF24" s="92">
        <f>IFERROR(IF($BD$2="Enter Spend&gt;&gt;&gt;",BE24*$BD$8,SUMIFS('Existing Customers'!$O:$O,'Existing Customers'!$H:$H,'Multi-Customer'!$AT24,'Existing Customers'!$A:$A,'Multi-Customer'!BD$1)*$BD$4),0)</f>
        <v>0</v>
      </c>
      <c r="BG24" s="92">
        <f>IFERROR(IF($BD$2="Enter Spend&gt;&gt;&gt;",'Multi-Customer'!BD24/VLOOKUP($BD$5,'Basket Composition'!$A$65:$W$92,'Multi-Customer'!$AR24,FALSE),SUMIFS('Existing Customers'!$P:$P,'Existing Customers'!$H:$H,'Multi-Customer'!$AT24,'Existing Customers'!$A:$A,'Multi-Customer'!$BD$1)*$BD$4),0)</f>
        <v>0</v>
      </c>
      <c r="BH24" s="101">
        <f>IFERROR(IF($BD$2="Enter Spend&gt;&gt;&gt;","N/A",SUMIFS('Existing Customers'!$V:$V,'Existing Customers'!$H:$H,'Multi-Customer'!$AT24,'Existing Customers'!$A:$A,'Multi-Customer'!BD$1)*$BD$4),0)</f>
        <v>0</v>
      </c>
      <c r="BI24" s="101">
        <f>IFERROR(IF($BD$2="Enter Spend&gt;&gt;&gt;","N/A",SUMIFS('Existing Customers'!$R:$R,'Existing Customers'!$H:$H,'Multi-Customer'!$AT24,'Existing Customers'!$A:$A,'Multi-Customer'!BD$1)*$BD$4),0)</f>
        <v>0</v>
      </c>
      <c r="BJ24" s="132"/>
      <c r="BK24">
        <f>IFERROR(VLOOKUP(BM$5,'Basket Composition'!$A$3:$W$30,'Multi-Customer'!$AR24,FALSE),0)</f>
        <v>0</v>
      </c>
      <c r="BL24" s="105" t="s">
        <v>105</v>
      </c>
      <c r="BM24" s="100">
        <f>IFERROR(IF($BM$2="Enter Spend&gt;&gt;&gt;",$BM$3*BK24,SUMIFS('Existing Customers'!$Q:$Q,'Existing Customers'!$H:$H,'Multi-Customer'!$AT24,'Existing Customers'!$A:$A,'Multi-Customer'!$BM$1)*$BM$4),0)</f>
        <v>0</v>
      </c>
      <c r="BN24" s="92">
        <f>IFERROR(IF($BM$2="Enter Spend&gt;&gt;&gt;",'Multi-Customer'!BM24/VLOOKUP($BM$5,'Basket Composition'!$A$34:$W$61,'Multi-Customer'!$AR24,FALSE),SUMIFS('Existing Customers'!$N:$N,'Existing Customers'!$H:$H,'Multi-Customer'!$AT24,'Existing Customers'!$A:$A,'Multi-Customer'!$BM$1)*$BM$4),0)</f>
        <v>0</v>
      </c>
      <c r="BO24" s="92">
        <f>IFERROR(IF($BM$2="Enter Spend&gt;&gt;&gt;",BN24*$BM$8,SUMIFS('Existing Customers'!$O:$O,'Existing Customers'!$H:$H,'Multi-Customer'!$AT24,'Existing Customers'!$A:$A,'Multi-Customer'!BM$1)*$BM$4),0)</f>
        <v>0</v>
      </c>
      <c r="BP24" s="92">
        <f>IFERROR(IF($BM$2="Enter Spend&gt;&gt;&gt;",'Multi-Customer'!BM24/VLOOKUP($BM$5,'Basket Composition'!$A$65:$W$92,'Multi-Customer'!$AR24,FALSE),SUMIFS('Existing Customers'!$P:$P,'Existing Customers'!$H:$H,'Multi-Customer'!$AT24,'Existing Customers'!$A:$A,'Multi-Customer'!$BM$1)*$BM$4),0)</f>
        <v>0</v>
      </c>
      <c r="BQ24" s="101">
        <f>IFERROR(IF($BM$2="Enter Spend&gt;&gt;&gt;","N/A",SUMIFS('Existing Customers'!$V:$V,'Existing Customers'!$H:$H,'Multi-Customer'!$AT24,'Existing Customers'!$A:$A,'Multi-Customer'!BM$1)*$BM$4),0)</f>
        <v>0</v>
      </c>
      <c r="BR24" s="101">
        <f>IFERROR(IF($BM$2="Enter Spend&gt;&gt;&gt;","N/A",SUMIFS('Existing Customers'!$R:$R,'Existing Customers'!$H:$H,'Multi-Customer'!$AT24,'Existing Customers'!$A:$A,'Multi-Customer'!BM$1)*$BM$4),0)</f>
        <v>0</v>
      </c>
      <c r="BS24" s="132"/>
      <c r="BT24">
        <f>IFERROR(VLOOKUP(BV$5,'Basket Composition'!$A$3:$W$30,'Multi-Customer'!$AR24,FALSE),0)</f>
        <v>0</v>
      </c>
      <c r="BU24" s="105" t="s">
        <v>105</v>
      </c>
      <c r="BV24" s="100">
        <f>IFERROR(IF($BV$2="Enter Spend&gt;&gt;&gt;",$BV$3*BT24,SUMIFS('Existing Customers'!$Q:$Q,'Existing Customers'!$H:$H,'Multi-Customer'!$AT24,'Existing Customers'!$A:$A,'Multi-Customer'!$BV$1)*$BV$4),0)</f>
        <v>0</v>
      </c>
      <c r="BW24" s="92">
        <f>IFERROR(IF($BV$2="Enter Spend&gt;&gt;&gt;",'Multi-Customer'!BV24/VLOOKUP($BV$5,'Basket Composition'!$A$34:$W$61,'Multi-Customer'!$AR24,FALSE),SUMIFS('Existing Customers'!$N:$N,'Existing Customers'!$H:$H,'Multi-Customer'!$AT24,'Existing Customers'!$A:$A,'Multi-Customer'!$BV$1)*$BV$4),0)</f>
        <v>0</v>
      </c>
      <c r="BX24" s="92">
        <f>IFERROR(IF($BV$2="Enter Spend&gt;&gt;&gt;",BW24*$BV$8,SUMIFS('Existing Customers'!$O:$O,'Existing Customers'!$H:$H,'Multi-Customer'!$AT24,'Existing Customers'!$A:$A,'Multi-Customer'!BV$1)*$BV$4),0)</f>
        <v>0</v>
      </c>
      <c r="BY24" s="92">
        <f>IFERROR(IF($BV$2="Enter Spend&gt;&gt;&gt;",'Multi-Customer'!BV24/VLOOKUP($BV$5,'Basket Composition'!$A$65:$W$92,'Multi-Customer'!$AR24,FALSE),SUMIFS('Existing Customers'!$P:$P,'Existing Customers'!$H:$H,'Multi-Customer'!$AT24,'Existing Customers'!$A:$A,'Multi-Customer'!$BV$1)*$BV$4),0)</f>
        <v>0</v>
      </c>
      <c r="BZ24" s="101">
        <f>IFERROR(IF($BV$2="Enter Spend&gt;&gt;&gt;","N/A",SUMIFS('Existing Customers'!$V:$V,'Existing Customers'!$H:$H,'Multi-Customer'!$AT24,'Existing Customers'!$A:$A,'Multi-Customer'!BV$1)*$BV$4),0)</f>
        <v>0</v>
      </c>
      <c r="CA24" s="101">
        <f>IFERROR(IF($BV$2="Enter Spend&gt;&gt;&gt;","N/A",SUMIFS('Existing Customers'!$R:$R,'Existing Customers'!$H:$H,'Multi-Customer'!$AT24,'Existing Customers'!$A:$A,'Multi-Customer'!BV$1)*$BV$4),0)</f>
        <v>0</v>
      </c>
      <c r="CB24" s="132"/>
      <c r="CC24">
        <f>IFERROR(VLOOKUP(CE$5,'Basket Composition'!$A$3:$W$30,'Multi-Customer'!$AR24,FALSE),0)</f>
        <v>0</v>
      </c>
      <c r="CD24" s="105" t="s">
        <v>105</v>
      </c>
      <c r="CE24" s="100">
        <f>IFERROR(IF($CE$2="Enter Spend&gt;&gt;&gt;",$CE$3*CC24,SUMIFS('Existing Customers'!$Q:$Q,'Existing Customers'!$H:$H,'Multi-Customer'!$AT24,'Existing Customers'!$A:$A,'Multi-Customer'!$CE$1)*$CE$4),0)</f>
        <v>0</v>
      </c>
      <c r="CF24" s="92">
        <f>IFERROR(IF($CE$2="Enter Spend&gt;&gt;&gt;",'Multi-Customer'!CE24/VLOOKUP($CE$5,'Basket Composition'!$A$34:$W$61,'Multi-Customer'!$AR24,FALSE),SUMIFS('Existing Customers'!$N:$N,'Existing Customers'!$H:$H,'Multi-Customer'!$AT24,'Existing Customers'!$A:$A,'Multi-Customer'!$CE$1)*$CE$4),0)</f>
        <v>0</v>
      </c>
      <c r="CG24" s="92">
        <f>IFERROR(IF($CE$2="Enter Spend&gt;&gt;&gt;",CF24*$CE$8,SUMIFS('Existing Customers'!$O:$O,'Existing Customers'!$H:$H,'Multi-Customer'!$AT24,'Existing Customers'!$A:$A,'Multi-Customer'!CE$1)*$CE$4),0)</f>
        <v>0</v>
      </c>
      <c r="CH24" s="92">
        <f>IFERROR(IF($CE$2="Enter Spend&gt;&gt;&gt;",'Multi-Customer'!CE24/VLOOKUP($CE$5,'Basket Composition'!$A$65:$W$92,'Multi-Customer'!$AR24,FALSE),SUMIFS('Existing Customers'!$P:$P,'Existing Customers'!$H:$H,'Multi-Customer'!$AT24,'Existing Customers'!$A:$A,'Multi-Customer'!$CE$1)*$CE$4),0)</f>
        <v>0</v>
      </c>
      <c r="CI24" s="101">
        <f>IFERROR(IF($CE$2="Enter Spend&gt;&gt;&gt;","N/A",SUMIFS('Existing Customers'!$V:$V,'Existing Customers'!$H:$H,'Multi-Customer'!$AT24,'Existing Customers'!$A:$A,'Multi-Customer'!CE$1)*$CE$4),0)</f>
        <v>0</v>
      </c>
      <c r="CJ24" s="101">
        <f>IFERROR(IF($CE$2="Enter Spend&gt;&gt;&gt;","N/A",SUMIFS('Existing Customers'!$R:$R,'Existing Customers'!$H:$H,'Multi-Customer'!$AT24,'Existing Customers'!$A:$A,'Multi-Customer'!CE$1)*$CE$4),0)</f>
        <v>0</v>
      </c>
      <c r="CK24" s="132"/>
      <c r="CL24">
        <f>IFERROR(VLOOKUP(CN$5,'Basket Composition'!$A$3:$W$30,'Multi-Customer'!$AR24,FALSE),0)</f>
        <v>0</v>
      </c>
      <c r="CM24" s="105" t="s">
        <v>105</v>
      </c>
      <c r="CN24" s="100">
        <f>IFERROR(IF($CN$2="Enter Spend&gt;&gt;&gt;",$CN$3*CL24,SUMIFS('Existing Customers'!$Q:$Q,'Existing Customers'!$H:$H,'Multi-Customer'!$AT24,'Existing Customers'!$A:$A,'Multi-Customer'!$CN$1)*$CN$4),0)</f>
        <v>0</v>
      </c>
      <c r="CO24" s="92">
        <f>IFERROR(IF($CN$2="Enter Spend&gt;&gt;&gt;",'Multi-Customer'!CN24/VLOOKUP($CN$5,'Basket Composition'!$A$34:$W$61,'Multi-Customer'!$AR24,FALSE),SUMIFS('Existing Customers'!$N:$N,'Existing Customers'!$H:$H,'Multi-Customer'!$AT24,'Existing Customers'!$A:$A,'Multi-Customer'!$CN$1)*$CN$4),0)</f>
        <v>0</v>
      </c>
      <c r="CP24" s="92">
        <f>IFERROR(IF($CN$2="Enter Spend&gt;&gt;&gt;",CO24*$CN$8,SUMIFS('Existing Customers'!$O:$O,'Existing Customers'!$H:$H,'Multi-Customer'!$AT24,'Existing Customers'!$A:$A,'Multi-Customer'!CN$1)*$CN$4),0)</f>
        <v>0</v>
      </c>
      <c r="CQ24" s="92">
        <f>IFERROR(IF($CN$2="Enter Spend&gt;&gt;&gt;",'Multi-Customer'!CN24/VLOOKUP($CN$5,'Basket Composition'!$A$65:$W$92,'Multi-Customer'!$AR24,FALSE),SUMIFS('Existing Customers'!$P:$P,'Existing Customers'!$H:$H,'Multi-Customer'!$AT24,'Existing Customers'!$A:$A,'Multi-Customer'!$CN$1)*$CN$4),0)</f>
        <v>0</v>
      </c>
      <c r="CR24" s="101">
        <f>IFERROR(IF($CN$2="Enter Spend&gt;&gt;&gt;","N/A",SUMIFS('Existing Customers'!$V:$V,'Existing Customers'!$H:$H,'Multi-Customer'!$AT24,'Existing Customers'!$A:$A,'Multi-Customer'!CN$1)*$CN$4),0)</f>
        <v>0</v>
      </c>
      <c r="CS24" s="101">
        <f>IFERROR(IF($CN$2="Enter Spend&gt;&gt;&gt;","N/A",SUMIFS('Existing Customers'!$R:$R,'Existing Customers'!$H:$H,'Multi-Customer'!$AT24,'Existing Customers'!$A:$A,'Multi-Customer'!CN$1)*$CN$4),0)</f>
        <v>0</v>
      </c>
      <c r="CT24" s="132"/>
      <c r="CU24">
        <f>IFERROR(VLOOKUP(CW$5,'Basket Composition'!$A$3:$W$30,'Multi-Customer'!$AR24,FALSE),0)</f>
        <v>0</v>
      </c>
      <c r="CV24" s="105" t="s">
        <v>105</v>
      </c>
      <c r="CW24" s="100">
        <f>IFERROR(IF($CW$2="Enter Spend&gt;&gt;&gt;",$CW$3*CU24,SUMIFS('Existing Customers'!$Q:$Q,'Existing Customers'!$H:$H,'Multi-Customer'!$AT24,'Existing Customers'!$A:$A,'Multi-Customer'!$CW$1)*$CW$4),0)</f>
        <v>0</v>
      </c>
      <c r="CX24" s="92">
        <f>IFERROR(IF($CW$2="Enter Spend&gt;&gt;&gt;",'Multi-Customer'!CW24/VLOOKUP($CW$5,'Basket Composition'!$A$34:$W$61,'Multi-Customer'!$AR24,FALSE),SUMIFS('Existing Customers'!$N:$N,'Existing Customers'!$H:$H,'Multi-Customer'!$AT24,'Existing Customers'!$A:$A,'Multi-Customer'!$CW$1)*$CW$4),0)</f>
        <v>0</v>
      </c>
      <c r="CY24" s="92">
        <f>IFERROR(IF($CW$2="Enter Spend&gt;&gt;&gt;",CX24*$CW$8,SUMIFS('Existing Customers'!$O:$O,'Existing Customers'!$H:$H,'Multi-Customer'!$AT24,'Existing Customers'!$A:$A,'Multi-Customer'!CW$1)*$CW$4),0)</f>
        <v>0</v>
      </c>
      <c r="CZ24" s="92">
        <f>IFERROR(IF($CW$2="Enter Spend&gt;&gt;&gt;",'Multi-Customer'!CW24/VLOOKUP($CW$5,'Basket Composition'!$A$65:$W$92,'Multi-Customer'!$AR24,FALSE),SUMIFS('Existing Customers'!$P:$P,'Existing Customers'!$H:$H,'Multi-Customer'!$AT24,'Existing Customers'!$A:$A,'Multi-Customer'!$CW$1)*$CW$4),0)</f>
        <v>0</v>
      </c>
      <c r="DA24" s="101">
        <f>IFERROR(IF($CW$2="Enter Spend&gt;&gt;&gt;","N/A",SUMIFS('Existing Customers'!$V:$V,'Existing Customers'!$H:$H,'Multi-Customer'!$AT24,'Existing Customers'!$A:$A,'Multi-Customer'!CW$1)*$CW$4),0)</f>
        <v>0</v>
      </c>
      <c r="DB24" s="101">
        <f>IFERROR(IF($CW$2="Enter Spend&gt;&gt;&gt;","N/A",SUMIFS('Existing Customers'!$R:$R,'Existing Customers'!$H:$H,'Multi-Customer'!$AT24,'Existing Customers'!$A:$A,'Multi-Customer'!CW$1)*$CW$4),0)</f>
        <v>0</v>
      </c>
      <c r="DC24" s="132"/>
      <c r="DD24">
        <f>IFERROR(VLOOKUP(DF$5,'Basket Composition'!$A$3:$W$30,'Multi-Customer'!$AR24,FALSE),0)</f>
        <v>0</v>
      </c>
      <c r="DE24" s="105" t="s">
        <v>105</v>
      </c>
      <c r="DF24" s="100">
        <f>IFERROR(IF($DF$2="Enter Spend&gt;&gt;&gt;",$DF$3*DD24,SUMIFS('Existing Customers'!$Q:$Q,'Existing Customers'!$H:$H,'Multi-Customer'!$AT24,'Existing Customers'!$A:$A,'Multi-Customer'!$DF$1)*$DF$4),0)</f>
        <v>0</v>
      </c>
      <c r="DG24" s="92">
        <f>IFERROR(IF($DF$2="Enter Spend&gt;&gt;&gt;",'Multi-Customer'!DF24/VLOOKUP($DF$5,'Basket Composition'!$A$34:$W$61,'Multi-Customer'!$AR24,FALSE),SUMIFS('Existing Customers'!$N:$N,'Existing Customers'!$H:$H,'Multi-Customer'!$AT24,'Existing Customers'!$A:$A,'Multi-Customer'!$DF$1)*$DF$4),0)</f>
        <v>0</v>
      </c>
      <c r="DH24" s="92">
        <f>IFERROR(IF($DF$2="Enter Spend&gt;&gt;&gt;",DG24*$DF$8,SUMIFS('Existing Customers'!$O:$O,'Existing Customers'!$H:$H,'Multi-Customer'!$AT24,'Existing Customers'!$A:$A,'Multi-Customer'!DF$1)*$DF$4),0)</f>
        <v>0</v>
      </c>
      <c r="DI24" s="92">
        <f>IFERROR(IF($DF$2="Enter Spend&gt;&gt;&gt;",'Multi-Customer'!DF24/VLOOKUP($DF$5,'Basket Composition'!$A$65:$W$92,'Multi-Customer'!$AR24,FALSE),SUMIFS('Existing Customers'!$P:$P,'Existing Customers'!$H:$H,'Multi-Customer'!$AT24,'Existing Customers'!$A:$A,'Multi-Customer'!$DF$1)*$DF$4),0)</f>
        <v>0</v>
      </c>
      <c r="DJ24" s="101">
        <f>IFERROR(IF($DF$2="Enter Spend&gt;&gt;&gt;","N/A",SUMIFS('Existing Customers'!$V:$V,'Existing Customers'!$H:$H,'Multi-Customer'!$AT24,'Existing Customers'!$A:$A,'Multi-Customer'!DF$1)*$DF$4),0)</f>
        <v>0</v>
      </c>
      <c r="DK24" s="101">
        <f>IFERROR(IF($DF$2="Enter Spend&gt;&gt;&gt;","N/A",SUMIFS('Existing Customers'!$R:$R,'Existing Customers'!$H:$H,'Multi-Customer'!$AT24,'Existing Customers'!$A:$A,'Multi-Customer'!DF$1)*$DF$4),0)</f>
        <v>0</v>
      </c>
      <c r="DL24" s="132"/>
      <c r="DM24">
        <f>IFERROR(VLOOKUP(DO$5,'Basket Composition'!$A$3:$W$30,'Multi-Customer'!$AR24,FALSE),0)</f>
        <v>0</v>
      </c>
      <c r="DN24" s="105" t="s">
        <v>105</v>
      </c>
      <c r="DO24" s="100">
        <f>IFERROR(IF($DO$2="Enter Spend&gt;&gt;&gt;",$DO$3*DM24,SUMIFS('Existing Customers'!$Q:$Q,'Existing Customers'!$H:$H,'Multi-Customer'!$AT24,'Existing Customers'!$A:$A,'Multi-Customer'!$DO$1)*$DO$4),0)</f>
        <v>0</v>
      </c>
      <c r="DP24" s="92">
        <f>IFERROR(IF($DO$2="Enter Spend&gt;&gt;&gt;",'Multi-Customer'!DO24/VLOOKUP($DO$5,'Basket Composition'!$A$34:$W$61,'Multi-Customer'!$AR24,FALSE),SUMIFS('Existing Customers'!$N:$N,'Existing Customers'!$H:$H,'Multi-Customer'!$AT24,'Existing Customers'!$A:$A,'Multi-Customer'!$DO$1)*$DO$4),0)</f>
        <v>0</v>
      </c>
      <c r="DQ24" s="92">
        <f>IFERROR(IF($DO$2="Enter Spend&gt;&gt;&gt;",DP24*$DO$8,SUMIFS('Existing Customers'!$O:$O,'Existing Customers'!$H:$H,'Multi-Customer'!$AT24,'Existing Customers'!$A:$A,'Multi-Customer'!DO$1)*$DO$4),0)</f>
        <v>0</v>
      </c>
      <c r="DR24" s="92">
        <f>IFERROR(IF($DO$2="Enter Spend&gt;&gt;&gt;",'Multi-Customer'!DO24/VLOOKUP($DO$5,'Basket Composition'!$A$65:$W$92,'Multi-Customer'!$AR24,FALSE),SUMIFS('Existing Customers'!$P:$P,'Existing Customers'!$H:$H,'Multi-Customer'!$AT24,'Existing Customers'!$A:$A,'Multi-Customer'!$DO$1)*$DO$4),0)</f>
        <v>0</v>
      </c>
      <c r="DS24" s="117">
        <f>IFERROR(IF($DO$2="Enter Spend&gt;&gt;&gt;","N/A",SUMIFS('Existing Customers'!$V:$V,'Existing Customers'!$H:$H,'Multi-Customer'!$AT24,'Existing Customers'!$A:$A,'Multi-Customer'!DO$1)*$DO$4),0)</f>
        <v>0</v>
      </c>
      <c r="DT24" s="101">
        <f>IFERROR(IF($DO$2="Enter Spend&gt;&gt;&gt;","N/A",SUMIFS('Existing Customers'!$R:$R,'Existing Customers'!$H:$H,'Multi-Customer'!$AT24,'Existing Customers'!$A:$A,'Multi-Customer'!DO$1)*$DO$4),0)</f>
        <v>0</v>
      </c>
      <c r="DU24" s="132"/>
      <c r="DV24">
        <f>IFERROR(VLOOKUP(DX$5,'Basket Composition'!$A$3:$W$30,'Multi-Customer'!$AR24,FALSE),0)</f>
        <v>0</v>
      </c>
      <c r="DW24" s="105" t="s">
        <v>105</v>
      </c>
      <c r="DX24" s="100">
        <f>IFERROR(IF($DX$2="Enter Spend&gt;&gt;&gt;",$DX$3*DV24,SUMIFS('Existing Customers'!$Q:$Q,'Existing Customers'!$H:$H,'Multi-Customer'!$AT24,'Existing Customers'!$A:$A,'Multi-Customer'!$DX$1)*$DX$4),0)</f>
        <v>0</v>
      </c>
      <c r="DY24" s="92">
        <f>IFERROR(IF($DX$2="Enter Spend&gt;&gt;&gt;",'Multi-Customer'!DX24/VLOOKUP($DX$5,'Basket Composition'!$A$34:$W$61,'Multi-Customer'!$AR24,FALSE),SUMIFS('Existing Customers'!$N:$N,'Existing Customers'!$H:$H,'Multi-Customer'!$AT24,'Existing Customers'!$A:$A,'Multi-Customer'!$DX$1)*$DX$4),0)</f>
        <v>0</v>
      </c>
      <c r="DZ24" s="92">
        <f>IFERROR(IF($DX$2="Enter Spend&gt;&gt;&gt;",DY24*$DX$8,SUMIFS('Existing Customers'!$O:$O,'Existing Customers'!$H:$H,'Multi-Customer'!$AT24,'Existing Customers'!$A:$A,'Multi-Customer'!DX$1)*$DX$4),0)</f>
        <v>0</v>
      </c>
      <c r="EA24" s="92">
        <f>IFERROR(IF($DX$2="Enter Spend&gt;&gt;&gt;",'Multi-Customer'!DX24/VLOOKUP($DX$5,'Basket Composition'!$A$65:$W$92,'Multi-Customer'!$AR24,FALSE),SUMIFS('Existing Customers'!$P:$P,'Existing Customers'!$H:$H,'Multi-Customer'!$AT24,'Existing Customers'!$A:$A,'Multi-Customer'!$DX$1)*$DX$4),0)</f>
        <v>0</v>
      </c>
      <c r="EB24" s="117">
        <f>IFERROR(IF($DX$2="Enter Spend&gt;&gt;&gt;","N/A",SUMIFS('Existing Customers'!$V:$V,'Existing Customers'!$H:$H,'Multi-Customer'!$AT24,'Existing Customers'!$A:$A,'Multi-Customer'!DX$1)*$DX$4),0)</f>
        <v>0</v>
      </c>
      <c r="EC24" s="101">
        <f>IFERROR(IF($DX$2="Enter Spend&gt;&gt;&gt;","N/A",SUMIFS('Existing Customers'!$R:$R,'Existing Customers'!$H:$H,'Multi-Customer'!$AT24,'Existing Customers'!$A:$A,'Multi-Customer'!DX$1)*$DX$4),0)</f>
        <v>0</v>
      </c>
      <c r="EE24" s="105" t="s">
        <v>105</v>
      </c>
      <c r="EF24" s="100"/>
      <c r="EG24" s="92"/>
      <c r="EH24" s="92"/>
      <c r="EI24" s="92"/>
      <c r="EJ24" s="117"/>
      <c r="EK24" s="101"/>
      <c r="EL24" s="132"/>
      <c r="EN24" s="105" t="s">
        <v>105</v>
      </c>
      <c r="EO24" s="100"/>
      <c r="EP24" s="92"/>
      <c r="EQ24" s="92"/>
      <c r="ER24" s="92"/>
      <c r="ES24" s="117"/>
      <c r="ET24" s="101"/>
    </row>
    <row r="25" spans="2:150" x14ac:dyDescent="0.25">
      <c r="B25" s="105" t="s">
        <v>92</v>
      </c>
      <c r="C25" s="487">
        <f t="shared" si="6"/>
        <v>0</v>
      </c>
      <c r="D25" s="504">
        <f t="shared" si="7"/>
        <v>0</v>
      </c>
      <c r="E25" s="504">
        <f t="shared" si="8"/>
        <v>0</v>
      </c>
      <c r="F25" s="504">
        <f t="shared" si="9"/>
        <v>0</v>
      </c>
      <c r="G25" s="505">
        <f t="shared" si="10"/>
        <v>0</v>
      </c>
      <c r="H25" s="507">
        <f t="shared" si="11"/>
        <v>0</v>
      </c>
      <c r="J25" t="str">
        <f>'PIM Model'!E23</f>
        <v>INCLUDE</v>
      </c>
      <c r="K25">
        <f t="shared" si="12"/>
        <v>0</v>
      </c>
      <c r="L25">
        <f t="shared" si="13"/>
        <v>0</v>
      </c>
      <c r="M25" s="105" t="s">
        <v>92</v>
      </c>
      <c r="N25" s="100">
        <f t="shared" si="14"/>
        <v>0</v>
      </c>
      <c r="O25" s="92">
        <f t="shared" si="0"/>
        <v>0</v>
      </c>
      <c r="P25" s="92">
        <f t="shared" si="1"/>
        <v>0</v>
      </c>
      <c r="Q25" s="92">
        <f t="shared" si="2"/>
        <v>0</v>
      </c>
      <c r="R25" s="117">
        <f t="shared" si="3"/>
        <v>0</v>
      </c>
      <c r="S25" s="120">
        <f t="shared" si="15"/>
        <v>0</v>
      </c>
      <c r="T25" s="404"/>
      <c r="U25" s="105" t="s">
        <v>92</v>
      </c>
      <c r="V25" s="491">
        <f t="shared" si="4"/>
        <v>0</v>
      </c>
      <c r="W25" s="492">
        <f t="shared" si="4"/>
        <v>0</v>
      </c>
      <c r="X25" s="492">
        <f t="shared" si="4"/>
        <v>0</v>
      </c>
      <c r="Y25" s="493">
        <f t="shared" si="16"/>
        <v>0</v>
      </c>
      <c r="Z25" s="494">
        <f t="shared" si="17"/>
        <v>0</v>
      </c>
      <c r="AA25" s="404"/>
      <c r="AB25" s="105" t="s">
        <v>92</v>
      </c>
      <c r="AC25" s="491">
        <f t="shared" si="5"/>
        <v>0</v>
      </c>
      <c r="AD25" s="488">
        <f t="shared" si="18"/>
        <v>0</v>
      </c>
      <c r="AE25" s="494"/>
      <c r="AF25" s="404"/>
      <c r="AG25" s="1" t="str">
        <f>IF('PIM Ranges'!$AK25='PIM Ranges'!$AW$11,IF($AC25&lt;'PIM Ranges'!$AX$11,"Q1",IF($AC25&lt;'PIM Ranges'!$AY$11,"Q2",IF($AC25&lt;'PIM Ranges'!$AZ$11,"Q3",IF($AC25&lt;'PIM Ranges'!$BA$11,"Q4","Q5")))),IF('PIM Ranges'!$AK25='PIM Ranges'!$AW$12,IF($AC25&lt;'PIM Ranges'!$AX$12,"Q1",IF($AC25&lt;'PIM Ranges'!$AY$12,"Q2",IF($AC25&lt;'PIM Ranges'!$AZ$12,"Q3",IF($AC25&lt;'PIM Ranges'!$BA$12,"Q4","Q5")))),IF('PIM Ranges'!$AK25='PIM Ranges'!$AW$13,IF($AC25&lt;'PIM Ranges'!$AX$13,"Q1",IF($AC25&lt;'PIM Ranges'!$AY$13,"Q2",IF($AC25&lt;'PIM Ranges'!$AZ$13,"Q3",IF($AC25&lt;'PIM Ranges'!$BA$13,"Q4","Q5")))),IF('PIM Ranges'!$AK25='PIM Ranges'!$AW$14,IF($AC25&lt;'PIM Ranges'!$AX$14,"Q1",IF($AC25&lt;'PIM Ranges'!$AY$14,"Q2",IF($AC25&lt;'PIM Ranges'!$AZ$14,"Q3",IF($AC25&lt;'PIM Ranges'!$BA$14,"Q4","Q5")))),IF('PIM Ranges'!$AK25='PIM Ranges'!$AW$15,IF($AC25&lt;'PIM Ranges'!$AX$15,"Q1",IF($AC25&lt;'PIM Ranges'!$AY$15,"Q2",IF($AC25&lt;'PIM Ranges'!$AZ$15,"Q3",IF($AC25&lt;'PIM Ranges'!$BA$15,"Q4","Q5")))),IF('PIM Ranges'!$AK25='PIM Ranges'!$AW$16,IF($AC25&lt;'PIM Ranges'!$AX$16,"Q1",IF($AC25&lt;'PIM Ranges'!$AY$16,"Q2",IF($AC25&lt;'PIM Ranges'!$AZ$16,"Q3",IF($AC25&lt;'PIM Ranges'!$BA$16,"Q4","Q5")))),IF('PIM Ranges'!$AK25='PIM Ranges'!$AW$17,IF($AC25&lt;'PIM Ranges'!$AX$17,"Q1",IF($AC25&lt;'PIM Ranges'!$AY$17,"Q2",IF($AC25&lt;'PIM Ranges'!$AZ$17,"Q3",IF($AC25&lt;'PIM Ranges'!$BA$17,"Q4","Q5")))),IF('PIM Ranges'!$AK25='PIM Ranges'!$AW$18,IF($AC25&lt;'PIM Ranges'!$AX$18,"Q1",IF($AC25&lt;'PIM Ranges'!$AY$18,"Q2",IF($AC25&lt;'PIM Ranges'!$AZ$18,"Q3",IF($AC25&lt;'PIM Ranges'!$BA$18,"Q4","Q5")))),IF('PIM Ranges'!$AK25='PIM Ranges'!$AW$19,IF($AC25&lt;'PIM Ranges'!$AX$19,"Q1",IF($AC25&lt;'PIM Ranges'!$AY$19,"Q2",IF($AC25&lt;'PIM Ranges'!$AZ$19,"Q3",IF($AC25&lt;'PIM Ranges'!$BA$19,"Q4","Q5")))),IF('PIM Ranges'!$AK25='PIM Ranges'!$AW$20,IF($AC25&lt;'PIM Ranges'!$AX$20,"Q1",IF($AC25&lt;'PIM Ranges'!$AY$20,"Q2",IF($AC25&lt;'PIM Ranges'!$AZ$20,"Q3",IF($AC25&lt;'PIM Ranges'!$BA$20,"Q4","Q5")))),IF('PIM Ranges'!$AK25='PIM Ranges'!$AW$21,IF($AC25&lt;'PIM Ranges'!$AX$21,"Q1",IF($AC25&lt;'PIM Ranges'!$AY$21,"Q2",IF($AC25&lt;'PIM Ranges'!$AZ$21,"Q3",IF($AC25&lt;'PIM Ranges'!$BA$21,"Q4","Q5")))),IF('PIM Ranges'!$AK25='PIM Ranges'!$AW$22,IF($AC25&lt;'PIM Ranges'!$AX$22,"Q1",IF($AC25&lt;'PIM Ranges'!$AY$22,"Q2",IF($AC25&lt;'PIM Ranges'!$AZ$22,"Q3",IF($AC25&lt;'PIM Ranges'!$BA$22,"Q4","Q5")))),IF('PIM Ranges'!$AK25='PIM Ranges'!$AW$23,IF($AC25&lt;'PIM Ranges'!$AX$23,"Q1",IF($AC25&lt;'PIM Ranges'!$AY$23,"Q2",IF($AC25&lt;'PIM Ranges'!$AZ$23,"Q3",IF($AC25&lt;'PIM Ranges'!$BA$23,"Q4","Q5")))),IF('PIM Ranges'!$AK25='PIM Ranges'!$AW$24,IF($AC25&lt;'PIM Ranges'!$AX$24,"Q1",IF($AC25&lt;'PIM Ranges'!$AY$24,"Q2",IF($AC25&lt;'PIM Ranges'!$AZ$24,"Q3",IF($AC25&lt;'PIM Ranges'!$BA$24,"Q4","Q5")))),IF('PIM Ranges'!$AK25='PIM Ranges'!$AW$25,IF($AC25&lt;'PIM Ranges'!$AX$25,"Q1",IF($AC25&lt;'PIM Ranges'!$AY$25,"Q2",IF($AC25&lt;'PIM Ranges'!$AZ$25,"Q3",IF($AC25&lt;'PIM Ranges'!$BA$25,"Q4","Q5")))),IF('PIM Ranges'!$AK25='PIM Ranges'!$AW$26,IF($AC25&lt;'PIM Ranges'!$AX$26,"Q1",IF($AC25&lt;'PIM Ranges'!$AY$26,"Q2",IF($AC25&lt;'PIM Ranges'!$AZ$26,"Q3",IF($AC25&lt;'PIM Ranges'!$BA$26,"Q4","Q5")))),IF('PIM Ranges'!$AK25='PIM Ranges'!$AW$27,IF($AC25&lt;'PIM Ranges'!$AX$27,"Q1",IF($AC25&lt;'PIM Ranges'!$AY$27,"Q2",IF($AC25&lt;'PIM Ranges'!$AZ$27,"Q3",IF($AC25&lt;'PIM Ranges'!$BA$27,"Q4","Q5")))),IF('PIM Ranges'!$AK25='PIM Ranges'!$AW$28,IF($AC25&lt;'PIM Ranges'!$AX$28,"Q1",IF($AC25&lt;'PIM Ranges'!$AY$28,"Q2",IF($AC25&lt;'PIM Ranges'!$AZ$28,"Q3",IF($AC25&lt;'PIM Ranges'!$BA$28,"Q4","Q5")))),IF('PIM Ranges'!$AK25='PIM Ranges'!$AW$29,IF($AC25&lt;'PIM Ranges'!$AX$29,"Q1",IF($AC25&lt;'PIM Ranges'!$AY$29,"Q2",IF($AC25&lt;'PIM Ranges'!$AZ$29,"Q3",IF($AC25&lt;'PIM Ranges'!$BA$29,"Q4","Q5")))),IF('PIM Ranges'!$AK25='PIM Ranges'!$AW$30,IF($AC25&lt;'PIM Ranges'!$AX$30,"Q1",IF($AC25&lt;'PIM Ranges'!$AY$30,"Q2",IF($AC25&lt;'PIM Ranges'!$AZ$30,"Q3",IF($AC25&lt;'PIM Ranges'!$BA$30,"Q4","Q5")))),IF('PIM Ranges'!$AK25='PIM Ranges'!$AW$31,IF($AC25&lt;'PIM Ranges'!$AX$31,"Q1",IF($AC25&lt;'PIM Ranges'!$AY$31,"Q2",IF($AC25&lt;'PIM Ranges'!$AZ$31,"Q3",IF($AC25&lt;'PIM Ranges'!$BA$31,"Q4","Q5")))),IF('PIM Ranges'!$AK25='PIM Ranges'!$AW$32,IF($AC25&lt;'PIM Ranges'!$AX$32,"Q1",IF($AC25&lt;'PIM Ranges'!$AY$32,"Q2",IF($AC25&lt;'PIM Ranges'!$AZ$32,"Q3",IF($AC25&lt;'PIM Ranges'!$BA$32,"Q4","Q5"))))))))))))))))))))))))))</f>
        <v>Q1</v>
      </c>
      <c r="AH25" s="404">
        <f>VLOOKUP($AB25&amp;$AG25,'IMargin Quartiles'!$A:$F,6,FALSE)</f>
        <v>0.13</v>
      </c>
      <c r="AI25" s="404"/>
      <c r="AJ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K25" s="404" t="e">
        <f>VLOOKUP($AB25&amp;$AJ25,'IMargin Quartiles'!$A:$F,6,FALSE)</f>
        <v>#DIV/0!</v>
      </c>
      <c r="AL25">
        <f>'PIM Model'!C23</f>
        <v>0</v>
      </c>
      <c r="AM25" s="404"/>
      <c r="AN25" s="404"/>
      <c r="AO25" s="404" t="e">
        <f t="shared" si="19"/>
        <v>#DIV/0!</v>
      </c>
      <c r="AP25" s="404"/>
      <c r="AQ25" s="404"/>
      <c r="AR25" s="111">
        <v>16</v>
      </c>
      <c r="AS25">
        <f>IFERROR(VLOOKUP(AU$5,'Basket Composition'!$A$3:$W$30,'Multi-Customer'!$AR25,FALSE),0)</f>
        <v>0</v>
      </c>
      <c r="AT25" s="105" t="s">
        <v>92</v>
      </c>
      <c r="AU25" s="100">
        <f>IFERROR(IF($AU$2="Enter Spend&gt;&gt;&gt;",$AU$3*AS25,SUMIFS('Existing Customers'!$Q:$Q,'Existing Customers'!$H:$H,'Multi-Customer'!$AT25,'Existing Customers'!$A:$A,'Multi-Customer'!$AU$1)*$AU$4),0)</f>
        <v>0</v>
      </c>
      <c r="AV25" s="92">
        <f>IFERROR(IF($AU$2="Enter Spend&gt;&gt;&gt;",'Multi-Customer'!AU25/VLOOKUP($AU$5,'Basket Composition'!$A$34:$W$61,'Multi-Customer'!$AR25,FALSE),SUMIFS('Existing Customers'!$N:$N,'Existing Customers'!$H:$H,'Multi-Customer'!$AT25,'Existing Customers'!$A:$A,'Multi-Customer'!$AU$1)*$AU$4),0)</f>
        <v>0</v>
      </c>
      <c r="AW25" s="92">
        <f>IFERROR(IF($AU$2="Enter Spend&gt;&gt;&gt;",AV25*$AU$8,SUMIFS('Existing Customers'!$O:$O,'Existing Customers'!$H:$H,'Multi-Customer'!$AT25,'Existing Customers'!$A:$A,'Multi-Customer'!AU$1)*$AU$4),0)</f>
        <v>0</v>
      </c>
      <c r="AX25" s="92">
        <f>IFERROR(IF($AU$2="Enter Spend&gt;&gt;&gt;",'Multi-Customer'!AU25/VLOOKUP($AU$5,'Basket Composition'!$A$65:$W$92,'Multi-Customer'!$AR25,FALSE),SUMIFS('Existing Customers'!$P:$P,'Existing Customers'!$H:$H,'Multi-Customer'!$AT25,'Existing Customers'!$A:$A,'Multi-Customer'!$AU$1)*$AU$4),0)</f>
        <v>0</v>
      </c>
      <c r="AY25" s="117">
        <f>IFERROR(IF($AU$2="Enter Spend&gt;&gt;&gt;","N/A",SUMIFS('Existing Customers'!$V:$V,'Existing Customers'!$H:$H,'Multi-Customer'!$AT25,'Existing Customers'!$A:$A,'Multi-Customer'!AU$1)*$AU$4),0)</f>
        <v>0</v>
      </c>
      <c r="AZ25" s="101">
        <f>IFERROR(IF($AU$2="Enter Spend&gt;&gt;&gt;","N/A",SUMIFS('Existing Customers'!$R:$R,'Existing Customers'!$H:$H,'Multi-Customer'!$AT25,'Existing Customers'!$A:$A,'Multi-Customer'!AU$1)*$AU$4),0)</f>
        <v>0</v>
      </c>
      <c r="BA25" s="132"/>
      <c r="BB25">
        <f>IFERROR(VLOOKUP(BD$5,'Basket Composition'!$A$3:$W$30,'Multi-Customer'!$AR25,FALSE),0)</f>
        <v>0</v>
      </c>
      <c r="BC25" s="105" t="s">
        <v>92</v>
      </c>
      <c r="BD25" s="100">
        <f>IFERROR(IF($BD$2="Enter Spend&gt;&gt;&gt;",$BD$3*BB25,SUMIFS('Existing Customers'!$Q:$Q,'Existing Customers'!$H:$H,'Multi-Customer'!$AT25,'Existing Customers'!$A:$A,'Multi-Customer'!$BD$1)*$BD$4),0)</f>
        <v>0</v>
      </c>
      <c r="BE25" s="92">
        <f>IFERROR(IF($BD$2="Enter Spend&gt;&gt;&gt;",'Multi-Customer'!BD25/VLOOKUP($BD$5,'Basket Composition'!$A$34:$W$61,'Multi-Customer'!$AR25,FALSE),SUMIFS('Existing Customers'!$N:$N,'Existing Customers'!$H:$H,'Multi-Customer'!$AT25,'Existing Customers'!$A:$A,'Multi-Customer'!$BD$1)*$BD$4),0)</f>
        <v>0</v>
      </c>
      <c r="BF25" s="92">
        <f>IFERROR(IF($BD$2="Enter Spend&gt;&gt;&gt;",BE25*$BD$8,SUMIFS('Existing Customers'!$O:$O,'Existing Customers'!$H:$H,'Multi-Customer'!$AT25,'Existing Customers'!$A:$A,'Multi-Customer'!BD$1)*$BD$4),0)</f>
        <v>0</v>
      </c>
      <c r="BG25" s="92">
        <f>IFERROR(IF($BD$2="Enter Spend&gt;&gt;&gt;",'Multi-Customer'!BD25/VLOOKUP($BD$5,'Basket Composition'!$A$65:$W$92,'Multi-Customer'!$AR25,FALSE),SUMIFS('Existing Customers'!$P:$P,'Existing Customers'!$H:$H,'Multi-Customer'!$AT25,'Existing Customers'!$A:$A,'Multi-Customer'!$BD$1)*$BD$4),0)</f>
        <v>0</v>
      </c>
      <c r="BH25" s="101">
        <f>IFERROR(IF($BD$2="Enter Spend&gt;&gt;&gt;","N/A",SUMIFS('Existing Customers'!$V:$V,'Existing Customers'!$H:$H,'Multi-Customer'!$AT25,'Existing Customers'!$A:$A,'Multi-Customer'!BD$1)*$BD$4),0)</f>
        <v>0</v>
      </c>
      <c r="BI25" s="101">
        <f>IFERROR(IF($BD$2="Enter Spend&gt;&gt;&gt;","N/A",SUMIFS('Existing Customers'!$R:$R,'Existing Customers'!$H:$H,'Multi-Customer'!$AT25,'Existing Customers'!$A:$A,'Multi-Customer'!BD$1)*$BD$4),0)</f>
        <v>0</v>
      </c>
      <c r="BJ25" s="132"/>
      <c r="BK25">
        <f>IFERROR(VLOOKUP(BM$5,'Basket Composition'!$A$3:$W$30,'Multi-Customer'!$AR25,FALSE),0)</f>
        <v>0</v>
      </c>
      <c r="BL25" s="105" t="s">
        <v>92</v>
      </c>
      <c r="BM25" s="100">
        <f>IFERROR(IF($BM$2="Enter Spend&gt;&gt;&gt;",$BM$3*BK25,SUMIFS('Existing Customers'!$Q:$Q,'Existing Customers'!$H:$H,'Multi-Customer'!$AT25,'Existing Customers'!$A:$A,'Multi-Customer'!$BM$1)*$BM$4),0)</f>
        <v>0</v>
      </c>
      <c r="BN25" s="92">
        <f>IFERROR(IF($BM$2="Enter Spend&gt;&gt;&gt;",'Multi-Customer'!BM25/VLOOKUP($BM$5,'Basket Composition'!$A$34:$W$61,'Multi-Customer'!$AR25,FALSE),SUMIFS('Existing Customers'!$N:$N,'Existing Customers'!$H:$H,'Multi-Customer'!$AT25,'Existing Customers'!$A:$A,'Multi-Customer'!$BM$1)*$BM$4),0)</f>
        <v>0</v>
      </c>
      <c r="BO25" s="92">
        <f>IFERROR(IF($BM$2="Enter Spend&gt;&gt;&gt;",BN25*$BM$8,SUMIFS('Existing Customers'!$O:$O,'Existing Customers'!$H:$H,'Multi-Customer'!$AT25,'Existing Customers'!$A:$A,'Multi-Customer'!BM$1)*$BM$4),0)</f>
        <v>0</v>
      </c>
      <c r="BP25" s="92">
        <f>IFERROR(IF($BM$2="Enter Spend&gt;&gt;&gt;",'Multi-Customer'!BM25/VLOOKUP($BM$5,'Basket Composition'!$A$65:$W$92,'Multi-Customer'!$AR25,FALSE),SUMIFS('Existing Customers'!$P:$P,'Existing Customers'!$H:$H,'Multi-Customer'!$AT25,'Existing Customers'!$A:$A,'Multi-Customer'!$BM$1)*$BM$4),0)</f>
        <v>0</v>
      </c>
      <c r="BQ25" s="101">
        <f>IFERROR(IF($BM$2="Enter Spend&gt;&gt;&gt;","N/A",SUMIFS('Existing Customers'!$V:$V,'Existing Customers'!$H:$H,'Multi-Customer'!$AT25,'Existing Customers'!$A:$A,'Multi-Customer'!BM$1)*$BM$4),0)</f>
        <v>0</v>
      </c>
      <c r="BR25" s="101">
        <f>IFERROR(IF($BM$2="Enter Spend&gt;&gt;&gt;","N/A",SUMIFS('Existing Customers'!$R:$R,'Existing Customers'!$H:$H,'Multi-Customer'!$AT25,'Existing Customers'!$A:$A,'Multi-Customer'!BM$1)*$BM$4),0)</f>
        <v>0</v>
      </c>
      <c r="BS25" s="132"/>
      <c r="BT25">
        <f>IFERROR(VLOOKUP(BV$5,'Basket Composition'!$A$3:$W$30,'Multi-Customer'!$AR25,FALSE),0)</f>
        <v>0</v>
      </c>
      <c r="BU25" s="105" t="s">
        <v>92</v>
      </c>
      <c r="BV25" s="100">
        <f>IFERROR(IF($BV$2="Enter Spend&gt;&gt;&gt;",$BV$3*BT25,SUMIFS('Existing Customers'!$Q:$Q,'Existing Customers'!$H:$H,'Multi-Customer'!$AT25,'Existing Customers'!$A:$A,'Multi-Customer'!$BV$1)*$BV$4),0)</f>
        <v>0</v>
      </c>
      <c r="BW25" s="92">
        <f>IFERROR(IF($BV$2="Enter Spend&gt;&gt;&gt;",'Multi-Customer'!BV25/VLOOKUP($BV$5,'Basket Composition'!$A$34:$W$61,'Multi-Customer'!$AR25,FALSE),SUMIFS('Existing Customers'!$N:$N,'Existing Customers'!$H:$H,'Multi-Customer'!$AT25,'Existing Customers'!$A:$A,'Multi-Customer'!$BV$1)*$BV$4),0)</f>
        <v>0</v>
      </c>
      <c r="BX25" s="92">
        <f>IFERROR(IF($BV$2="Enter Spend&gt;&gt;&gt;",BW25*$BV$8,SUMIFS('Existing Customers'!$O:$O,'Existing Customers'!$H:$H,'Multi-Customer'!$AT25,'Existing Customers'!$A:$A,'Multi-Customer'!BV$1)*$BV$4),0)</f>
        <v>0</v>
      </c>
      <c r="BY25" s="92">
        <f>IFERROR(IF($BV$2="Enter Spend&gt;&gt;&gt;",'Multi-Customer'!BV25/VLOOKUP($BV$5,'Basket Composition'!$A$65:$W$92,'Multi-Customer'!$AR25,FALSE),SUMIFS('Existing Customers'!$P:$P,'Existing Customers'!$H:$H,'Multi-Customer'!$AT25,'Existing Customers'!$A:$A,'Multi-Customer'!$BV$1)*$BV$4),0)</f>
        <v>0</v>
      </c>
      <c r="BZ25" s="101">
        <f>IFERROR(IF($BV$2="Enter Spend&gt;&gt;&gt;","N/A",SUMIFS('Existing Customers'!$V:$V,'Existing Customers'!$H:$H,'Multi-Customer'!$AT25,'Existing Customers'!$A:$A,'Multi-Customer'!BV$1)*$BV$4),0)</f>
        <v>0</v>
      </c>
      <c r="CA25" s="101">
        <f>IFERROR(IF($BV$2="Enter Spend&gt;&gt;&gt;","N/A",SUMIFS('Existing Customers'!$R:$R,'Existing Customers'!$H:$H,'Multi-Customer'!$AT25,'Existing Customers'!$A:$A,'Multi-Customer'!BV$1)*$BV$4),0)</f>
        <v>0</v>
      </c>
      <c r="CB25" s="132"/>
      <c r="CC25">
        <f>IFERROR(VLOOKUP(CE$5,'Basket Composition'!$A$3:$W$30,'Multi-Customer'!$AR25,FALSE),0)</f>
        <v>0</v>
      </c>
      <c r="CD25" s="105" t="s">
        <v>92</v>
      </c>
      <c r="CE25" s="100">
        <f>IFERROR(IF($CE$2="Enter Spend&gt;&gt;&gt;",$CE$3*CC25,SUMIFS('Existing Customers'!$Q:$Q,'Existing Customers'!$H:$H,'Multi-Customer'!$AT25,'Existing Customers'!$A:$A,'Multi-Customer'!$CE$1)*$CE$4),0)</f>
        <v>0</v>
      </c>
      <c r="CF25" s="92">
        <f>IFERROR(IF($CE$2="Enter Spend&gt;&gt;&gt;",'Multi-Customer'!CE25/VLOOKUP($CE$5,'Basket Composition'!$A$34:$W$61,'Multi-Customer'!$AR25,FALSE),SUMIFS('Existing Customers'!$N:$N,'Existing Customers'!$H:$H,'Multi-Customer'!$AT25,'Existing Customers'!$A:$A,'Multi-Customer'!$CE$1)*$CE$4),0)</f>
        <v>0</v>
      </c>
      <c r="CG25" s="92">
        <f>IFERROR(IF($CE$2="Enter Spend&gt;&gt;&gt;",CF25*$CE$8,SUMIFS('Existing Customers'!$O:$O,'Existing Customers'!$H:$H,'Multi-Customer'!$AT25,'Existing Customers'!$A:$A,'Multi-Customer'!CE$1)*$CE$4),0)</f>
        <v>0</v>
      </c>
      <c r="CH25" s="92">
        <f>IFERROR(IF($CE$2="Enter Spend&gt;&gt;&gt;",'Multi-Customer'!CE25/VLOOKUP($CE$5,'Basket Composition'!$A$65:$W$92,'Multi-Customer'!$AR25,FALSE),SUMIFS('Existing Customers'!$P:$P,'Existing Customers'!$H:$H,'Multi-Customer'!$AT25,'Existing Customers'!$A:$A,'Multi-Customer'!$CE$1)*$CE$4),0)</f>
        <v>0</v>
      </c>
      <c r="CI25" s="101">
        <f>IFERROR(IF($CE$2="Enter Spend&gt;&gt;&gt;","N/A",SUMIFS('Existing Customers'!$V:$V,'Existing Customers'!$H:$H,'Multi-Customer'!$AT25,'Existing Customers'!$A:$A,'Multi-Customer'!CE$1)*$CE$4),0)</f>
        <v>0</v>
      </c>
      <c r="CJ25" s="101">
        <f>IFERROR(IF($CE$2="Enter Spend&gt;&gt;&gt;","N/A",SUMIFS('Existing Customers'!$R:$R,'Existing Customers'!$H:$H,'Multi-Customer'!$AT25,'Existing Customers'!$A:$A,'Multi-Customer'!CE$1)*$CE$4),0)</f>
        <v>0</v>
      </c>
      <c r="CK25" s="132"/>
      <c r="CL25">
        <f>IFERROR(VLOOKUP(CN$5,'Basket Composition'!$A$3:$W$30,'Multi-Customer'!$AR25,FALSE),0)</f>
        <v>0</v>
      </c>
      <c r="CM25" s="105" t="s">
        <v>92</v>
      </c>
      <c r="CN25" s="100">
        <f>IFERROR(IF($CN$2="Enter Spend&gt;&gt;&gt;",$CN$3*CL25,SUMIFS('Existing Customers'!$Q:$Q,'Existing Customers'!$H:$H,'Multi-Customer'!$AT25,'Existing Customers'!$A:$A,'Multi-Customer'!$CN$1)*$CN$4),0)</f>
        <v>0</v>
      </c>
      <c r="CO25" s="92">
        <f>IFERROR(IF($CN$2="Enter Spend&gt;&gt;&gt;",'Multi-Customer'!CN25/VLOOKUP($CN$5,'Basket Composition'!$A$34:$W$61,'Multi-Customer'!$AR25,FALSE),SUMIFS('Existing Customers'!$N:$N,'Existing Customers'!$H:$H,'Multi-Customer'!$AT25,'Existing Customers'!$A:$A,'Multi-Customer'!$CN$1)*$CN$4),0)</f>
        <v>0</v>
      </c>
      <c r="CP25" s="92">
        <f>IFERROR(IF($CN$2="Enter Spend&gt;&gt;&gt;",CO25*$CN$8,SUMIFS('Existing Customers'!$O:$O,'Existing Customers'!$H:$H,'Multi-Customer'!$AT25,'Existing Customers'!$A:$A,'Multi-Customer'!CN$1)*$CN$4),0)</f>
        <v>0</v>
      </c>
      <c r="CQ25" s="92">
        <f>IFERROR(IF($CN$2="Enter Spend&gt;&gt;&gt;",'Multi-Customer'!CN25/VLOOKUP($CN$5,'Basket Composition'!$A$65:$W$92,'Multi-Customer'!$AR25,FALSE),SUMIFS('Existing Customers'!$P:$P,'Existing Customers'!$H:$H,'Multi-Customer'!$AT25,'Existing Customers'!$A:$A,'Multi-Customer'!$CN$1)*$CN$4),0)</f>
        <v>0</v>
      </c>
      <c r="CR25" s="101">
        <f>IFERROR(IF($CN$2="Enter Spend&gt;&gt;&gt;","N/A",SUMIFS('Existing Customers'!$V:$V,'Existing Customers'!$H:$H,'Multi-Customer'!$AT25,'Existing Customers'!$A:$A,'Multi-Customer'!CN$1)*$CN$4),0)</f>
        <v>0</v>
      </c>
      <c r="CS25" s="101">
        <f>IFERROR(IF($CN$2="Enter Spend&gt;&gt;&gt;","N/A",SUMIFS('Existing Customers'!$R:$R,'Existing Customers'!$H:$H,'Multi-Customer'!$AT25,'Existing Customers'!$A:$A,'Multi-Customer'!CN$1)*$CN$4),0)</f>
        <v>0</v>
      </c>
      <c r="CT25" s="132"/>
      <c r="CU25">
        <f>IFERROR(VLOOKUP(CW$5,'Basket Composition'!$A$3:$W$30,'Multi-Customer'!$AR25,FALSE),0)</f>
        <v>0</v>
      </c>
      <c r="CV25" s="105" t="s">
        <v>92</v>
      </c>
      <c r="CW25" s="100">
        <f>IFERROR(IF($CW$2="Enter Spend&gt;&gt;&gt;",$CW$3*CU25,SUMIFS('Existing Customers'!$Q:$Q,'Existing Customers'!$H:$H,'Multi-Customer'!$AT25,'Existing Customers'!$A:$A,'Multi-Customer'!$CW$1)*$CW$4),0)</f>
        <v>0</v>
      </c>
      <c r="CX25" s="92">
        <f>IFERROR(IF($CW$2="Enter Spend&gt;&gt;&gt;",'Multi-Customer'!CW25/VLOOKUP($CW$5,'Basket Composition'!$A$34:$W$61,'Multi-Customer'!$AR25,FALSE),SUMIFS('Existing Customers'!$N:$N,'Existing Customers'!$H:$H,'Multi-Customer'!$AT25,'Existing Customers'!$A:$A,'Multi-Customer'!$CW$1)*$CW$4),0)</f>
        <v>0</v>
      </c>
      <c r="CY25" s="92">
        <f>IFERROR(IF($CW$2="Enter Spend&gt;&gt;&gt;",CX25*$CW$8,SUMIFS('Existing Customers'!$O:$O,'Existing Customers'!$H:$H,'Multi-Customer'!$AT25,'Existing Customers'!$A:$A,'Multi-Customer'!CW$1)*$CW$4),0)</f>
        <v>0</v>
      </c>
      <c r="CZ25" s="92">
        <f>IFERROR(IF($CW$2="Enter Spend&gt;&gt;&gt;",'Multi-Customer'!CW25/VLOOKUP($CW$5,'Basket Composition'!$A$65:$W$92,'Multi-Customer'!$AR25,FALSE),SUMIFS('Existing Customers'!$P:$P,'Existing Customers'!$H:$H,'Multi-Customer'!$AT25,'Existing Customers'!$A:$A,'Multi-Customer'!$CW$1)*$CW$4),0)</f>
        <v>0</v>
      </c>
      <c r="DA25" s="101">
        <f>IFERROR(IF($CW$2="Enter Spend&gt;&gt;&gt;","N/A",SUMIFS('Existing Customers'!$V:$V,'Existing Customers'!$H:$H,'Multi-Customer'!$AT25,'Existing Customers'!$A:$A,'Multi-Customer'!CW$1)*$CW$4),0)</f>
        <v>0</v>
      </c>
      <c r="DB25" s="101">
        <f>IFERROR(IF($CW$2="Enter Spend&gt;&gt;&gt;","N/A",SUMIFS('Existing Customers'!$R:$R,'Existing Customers'!$H:$H,'Multi-Customer'!$AT25,'Existing Customers'!$A:$A,'Multi-Customer'!CW$1)*$CW$4),0)</f>
        <v>0</v>
      </c>
      <c r="DC25" s="132"/>
      <c r="DD25">
        <f>IFERROR(VLOOKUP(DF$5,'Basket Composition'!$A$3:$W$30,'Multi-Customer'!$AR25,FALSE),0)</f>
        <v>0</v>
      </c>
      <c r="DE25" s="105" t="s">
        <v>92</v>
      </c>
      <c r="DF25" s="100">
        <f>IFERROR(IF($DF$2="Enter Spend&gt;&gt;&gt;",$DF$3*DD25,SUMIFS('Existing Customers'!$Q:$Q,'Existing Customers'!$H:$H,'Multi-Customer'!$AT25,'Existing Customers'!$A:$A,'Multi-Customer'!$DF$1)*$DF$4),0)</f>
        <v>0</v>
      </c>
      <c r="DG25" s="92">
        <f>IFERROR(IF($DF$2="Enter Spend&gt;&gt;&gt;",'Multi-Customer'!DF25/VLOOKUP($DF$5,'Basket Composition'!$A$34:$W$61,'Multi-Customer'!$AR25,FALSE),SUMIFS('Existing Customers'!$N:$N,'Existing Customers'!$H:$H,'Multi-Customer'!$AT25,'Existing Customers'!$A:$A,'Multi-Customer'!$DF$1)*$DF$4),0)</f>
        <v>0</v>
      </c>
      <c r="DH25" s="92">
        <f>IFERROR(IF($DF$2="Enter Spend&gt;&gt;&gt;",DG25*$DF$8,SUMIFS('Existing Customers'!$O:$O,'Existing Customers'!$H:$H,'Multi-Customer'!$AT25,'Existing Customers'!$A:$A,'Multi-Customer'!DF$1)*$DF$4),0)</f>
        <v>0</v>
      </c>
      <c r="DI25" s="92">
        <f>IFERROR(IF($DF$2="Enter Spend&gt;&gt;&gt;",'Multi-Customer'!DF25/VLOOKUP($DF$5,'Basket Composition'!$A$65:$W$92,'Multi-Customer'!$AR25,FALSE),SUMIFS('Existing Customers'!$P:$P,'Existing Customers'!$H:$H,'Multi-Customer'!$AT25,'Existing Customers'!$A:$A,'Multi-Customer'!$DF$1)*$DF$4),0)</f>
        <v>0</v>
      </c>
      <c r="DJ25" s="101">
        <f>IFERROR(IF($DF$2="Enter Spend&gt;&gt;&gt;","N/A",SUMIFS('Existing Customers'!$V:$V,'Existing Customers'!$H:$H,'Multi-Customer'!$AT25,'Existing Customers'!$A:$A,'Multi-Customer'!DF$1)*$DF$4),0)</f>
        <v>0</v>
      </c>
      <c r="DK25" s="101">
        <f>IFERROR(IF($DF$2="Enter Spend&gt;&gt;&gt;","N/A",SUMIFS('Existing Customers'!$R:$R,'Existing Customers'!$H:$H,'Multi-Customer'!$AT25,'Existing Customers'!$A:$A,'Multi-Customer'!DF$1)*$DF$4),0)</f>
        <v>0</v>
      </c>
      <c r="DL25" s="132"/>
      <c r="DM25">
        <f>IFERROR(VLOOKUP(DO$5,'Basket Composition'!$A$3:$W$30,'Multi-Customer'!$AR25,FALSE),0)</f>
        <v>0</v>
      </c>
      <c r="DN25" s="105" t="s">
        <v>92</v>
      </c>
      <c r="DO25" s="100">
        <f>IFERROR(IF($DO$2="Enter Spend&gt;&gt;&gt;",$DO$3*DM25,SUMIFS('Existing Customers'!$Q:$Q,'Existing Customers'!$H:$H,'Multi-Customer'!$AT25,'Existing Customers'!$A:$A,'Multi-Customer'!$DO$1)*$DO$4),0)</f>
        <v>0</v>
      </c>
      <c r="DP25" s="92">
        <f>IFERROR(IF($DO$2="Enter Spend&gt;&gt;&gt;",'Multi-Customer'!DO25/VLOOKUP($DO$5,'Basket Composition'!$A$34:$W$61,'Multi-Customer'!$AR25,FALSE),SUMIFS('Existing Customers'!$N:$N,'Existing Customers'!$H:$H,'Multi-Customer'!$AT25,'Existing Customers'!$A:$A,'Multi-Customer'!$DO$1)*$DO$4),0)</f>
        <v>0</v>
      </c>
      <c r="DQ25" s="92">
        <f>IFERROR(IF($DO$2="Enter Spend&gt;&gt;&gt;",DP25*$DO$8,SUMIFS('Existing Customers'!$O:$O,'Existing Customers'!$H:$H,'Multi-Customer'!$AT25,'Existing Customers'!$A:$A,'Multi-Customer'!DO$1)*$DO$4),0)</f>
        <v>0</v>
      </c>
      <c r="DR25" s="92">
        <f>IFERROR(IF($DO$2="Enter Spend&gt;&gt;&gt;",'Multi-Customer'!DO25/VLOOKUP($DO$5,'Basket Composition'!$A$65:$W$92,'Multi-Customer'!$AR25,FALSE),SUMIFS('Existing Customers'!$P:$P,'Existing Customers'!$H:$H,'Multi-Customer'!$AT25,'Existing Customers'!$A:$A,'Multi-Customer'!$DO$1)*$DO$4),0)</f>
        <v>0</v>
      </c>
      <c r="DS25" s="117">
        <f>IFERROR(IF($DO$2="Enter Spend&gt;&gt;&gt;","N/A",SUMIFS('Existing Customers'!$V:$V,'Existing Customers'!$H:$H,'Multi-Customer'!$AT25,'Existing Customers'!$A:$A,'Multi-Customer'!DO$1)*$DO$4),0)</f>
        <v>0</v>
      </c>
      <c r="DT25" s="101">
        <f>IFERROR(IF($DO$2="Enter Spend&gt;&gt;&gt;","N/A",SUMIFS('Existing Customers'!$R:$R,'Existing Customers'!$H:$H,'Multi-Customer'!$AT25,'Existing Customers'!$A:$A,'Multi-Customer'!DO$1)*$DO$4),0)</f>
        <v>0</v>
      </c>
      <c r="DU25" s="132"/>
      <c r="DV25">
        <f>IFERROR(VLOOKUP(DX$5,'Basket Composition'!$A$3:$W$30,'Multi-Customer'!$AR25,FALSE),0)</f>
        <v>0</v>
      </c>
      <c r="DW25" s="105" t="s">
        <v>92</v>
      </c>
      <c r="DX25" s="100">
        <f>IFERROR(IF($DX$2="Enter Spend&gt;&gt;&gt;",$DX$3*DV25,SUMIFS('Existing Customers'!$Q:$Q,'Existing Customers'!$H:$H,'Multi-Customer'!$AT25,'Existing Customers'!$A:$A,'Multi-Customer'!$DX$1)*$DX$4),0)</f>
        <v>0</v>
      </c>
      <c r="DY25" s="92">
        <f>IFERROR(IF($DX$2="Enter Spend&gt;&gt;&gt;",'Multi-Customer'!DX25/VLOOKUP($DX$5,'Basket Composition'!$A$34:$W$61,'Multi-Customer'!$AR25,FALSE),SUMIFS('Existing Customers'!$N:$N,'Existing Customers'!$H:$H,'Multi-Customer'!$AT25,'Existing Customers'!$A:$A,'Multi-Customer'!$DX$1)*$DX$4),0)</f>
        <v>0</v>
      </c>
      <c r="DZ25" s="92">
        <f>IFERROR(IF($DX$2="Enter Spend&gt;&gt;&gt;",DY25*$DX$8,SUMIFS('Existing Customers'!$O:$O,'Existing Customers'!$H:$H,'Multi-Customer'!$AT25,'Existing Customers'!$A:$A,'Multi-Customer'!DX$1)*$DX$4),0)</f>
        <v>0</v>
      </c>
      <c r="EA25" s="92">
        <f>IFERROR(IF($DX$2="Enter Spend&gt;&gt;&gt;",'Multi-Customer'!DX25/VLOOKUP($DX$5,'Basket Composition'!$A$65:$W$92,'Multi-Customer'!$AR25,FALSE),SUMIFS('Existing Customers'!$P:$P,'Existing Customers'!$H:$H,'Multi-Customer'!$AT25,'Existing Customers'!$A:$A,'Multi-Customer'!$DX$1)*$DX$4),0)</f>
        <v>0</v>
      </c>
      <c r="EB25" s="117">
        <f>IFERROR(IF($DX$2="Enter Spend&gt;&gt;&gt;","N/A",SUMIFS('Existing Customers'!$V:$V,'Existing Customers'!$H:$H,'Multi-Customer'!$AT25,'Existing Customers'!$A:$A,'Multi-Customer'!DX$1)*$DX$4),0)</f>
        <v>0</v>
      </c>
      <c r="EC25" s="101">
        <f>IFERROR(IF($DX$2="Enter Spend&gt;&gt;&gt;","N/A",SUMIFS('Existing Customers'!$R:$R,'Existing Customers'!$H:$H,'Multi-Customer'!$AT25,'Existing Customers'!$A:$A,'Multi-Customer'!DX$1)*$DX$4),0)</f>
        <v>0</v>
      </c>
      <c r="EE25" s="105" t="s">
        <v>92</v>
      </c>
      <c r="EF25" s="100"/>
      <c r="EG25" s="92"/>
      <c r="EH25" s="92"/>
      <c r="EI25" s="92"/>
      <c r="EJ25" s="117"/>
      <c r="EK25" s="101"/>
      <c r="EL25" s="132"/>
      <c r="EN25" s="105" t="s">
        <v>92</v>
      </c>
      <c r="EO25" s="100"/>
      <c r="EP25" s="92"/>
      <c r="EQ25" s="92"/>
      <c r="ER25" s="92"/>
      <c r="ES25" s="117"/>
      <c r="ET25" s="101"/>
    </row>
    <row r="26" spans="2:150" x14ac:dyDescent="0.25">
      <c r="B26" s="105" t="s">
        <v>91</v>
      </c>
      <c r="C26" s="487">
        <f t="shared" si="6"/>
        <v>0</v>
      </c>
      <c r="D26" s="504">
        <f t="shared" si="7"/>
        <v>0</v>
      </c>
      <c r="E26" s="504">
        <f t="shared" si="8"/>
        <v>0</v>
      </c>
      <c r="F26" s="504">
        <f t="shared" si="9"/>
        <v>0</v>
      </c>
      <c r="G26" s="505">
        <f t="shared" si="10"/>
        <v>0</v>
      </c>
      <c r="H26" s="507">
        <f t="shared" si="11"/>
        <v>0</v>
      </c>
      <c r="J26" t="str">
        <f>'PIM Model'!E24</f>
        <v>INCLUDE</v>
      </c>
      <c r="K26">
        <f t="shared" si="12"/>
        <v>0</v>
      </c>
      <c r="L26">
        <f t="shared" si="13"/>
        <v>0</v>
      </c>
      <c r="M26" s="105" t="s">
        <v>91</v>
      </c>
      <c r="N26" s="100">
        <f t="shared" si="14"/>
        <v>0</v>
      </c>
      <c r="O26" s="92">
        <f t="shared" si="0"/>
        <v>0</v>
      </c>
      <c r="P26" s="92">
        <f t="shared" si="1"/>
        <v>0</v>
      </c>
      <c r="Q26" s="92">
        <f t="shared" si="2"/>
        <v>0</v>
      </c>
      <c r="R26" s="117">
        <f t="shared" si="3"/>
        <v>0</v>
      </c>
      <c r="S26" s="120">
        <f t="shared" si="15"/>
        <v>0</v>
      </c>
      <c r="T26" s="404"/>
      <c r="U26" s="105" t="s">
        <v>91</v>
      </c>
      <c r="V26" s="491">
        <f t="shared" si="4"/>
        <v>0</v>
      </c>
      <c r="W26" s="492">
        <f t="shared" si="4"/>
        <v>0</v>
      </c>
      <c r="X26" s="492">
        <f t="shared" si="4"/>
        <v>0</v>
      </c>
      <c r="Y26" s="493">
        <f t="shared" si="16"/>
        <v>0</v>
      </c>
      <c r="Z26" s="494">
        <f t="shared" si="17"/>
        <v>0</v>
      </c>
      <c r="AA26" s="404"/>
      <c r="AB26" s="105" t="s">
        <v>91</v>
      </c>
      <c r="AC26" s="491">
        <f t="shared" si="5"/>
        <v>0</v>
      </c>
      <c r="AD26" s="488">
        <f t="shared" si="18"/>
        <v>0</v>
      </c>
      <c r="AE26" s="494"/>
      <c r="AF26" s="404"/>
      <c r="AG26" s="1" t="str">
        <f>IF('PIM Ranges'!$AK26='PIM Ranges'!$AW$11,IF($AC26&lt;'PIM Ranges'!$AX$11,"Q1",IF($AC26&lt;'PIM Ranges'!$AY$11,"Q2",IF($AC26&lt;'PIM Ranges'!$AZ$11,"Q3",IF($AC26&lt;'PIM Ranges'!$BA$11,"Q4","Q5")))),IF('PIM Ranges'!$AK26='PIM Ranges'!$AW$12,IF($AC26&lt;'PIM Ranges'!$AX$12,"Q1",IF($AC26&lt;'PIM Ranges'!$AY$12,"Q2",IF($AC26&lt;'PIM Ranges'!$AZ$12,"Q3",IF($AC26&lt;'PIM Ranges'!$BA$12,"Q4","Q5")))),IF('PIM Ranges'!$AK26='PIM Ranges'!$AW$13,IF($AC26&lt;'PIM Ranges'!$AX$13,"Q1",IF($AC26&lt;'PIM Ranges'!$AY$13,"Q2",IF($AC26&lt;'PIM Ranges'!$AZ$13,"Q3",IF($AC26&lt;'PIM Ranges'!$BA$13,"Q4","Q5")))),IF('PIM Ranges'!$AK26='PIM Ranges'!$AW$14,IF($AC26&lt;'PIM Ranges'!$AX$14,"Q1",IF($AC26&lt;'PIM Ranges'!$AY$14,"Q2",IF($AC26&lt;'PIM Ranges'!$AZ$14,"Q3",IF($AC26&lt;'PIM Ranges'!$BA$14,"Q4","Q5")))),IF('PIM Ranges'!$AK26='PIM Ranges'!$AW$15,IF($AC26&lt;'PIM Ranges'!$AX$15,"Q1",IF($AC26&lt;'PIM Ranges'!$AY$15,"Q2",IF($AC26&lt;'PIM Ranges'!$AZ$15,"Q3",IF($AC26&lt;'PIM Ranges'!$BA$15,"Q4","Q5")))),IF('PIM Ranges'!$AK26='PIM Ranges'!$AW$16,IF($AC26&lt;'PIM Ranges'!$AX$16,"Q1",IF($AC26&lt;'PIM Ranges'!$AY$16,"Q2",IF($AC26&lt;'PIM Ranges'!$AZ$16,"Q3",IF($AC26&lt;'PIM Ranges'!$BA$16,"Q4","Q5")))),IF('PIM Ranges'!$AK26='PIM Ranges'!$AW$17,IF($AC26&lt;'PIM Ranges'!$AX$17,"Q1",IF($AC26&lt;'PIM Ranges'!$AY$17,"Q2",IF($AC26&lt;'PIM Ranges'!$AZ$17,"Q3",IF($AC26&lt;'PIM Ranges'!$BA$17,"Q4","Q5")))),IF('PIM Ranges'!$AK26='PIM Ranges'!$AW$18,IF($AC26&lt;'PIM Ranges'!$AX$18,"Q1",IF($AC26&lt;'PIM Ranges'!$AY$18,"Q2",IF($AC26&lt;'PIM Ranges'!$AZ$18,"Q3",IF($AC26&lt;'PIM Ranges'!$BA$18,"Q4","Q5")))),IF('PIM Ranges'!$AK26='PIM Ranges'!$AW$19,IF($AC26&lt;'PIM Ranges'!$AX$19,"Q1",IF($AC26&lt;'PIM Ranges'!$AY$19,"Q2",IF($AC26&lt;'PIM Ranges'!$AZ$19,"Q3",IF($AC26&lt;'PIM Ranges'!$BA$19,"Q4","Q5")))),IF('PIM Ranges'!$AK26='PIM Ranges'!$AW$20,IF($AC26&lt;'PIM Ranges'!$AX$20,"Q1",IF($AC26&lt;'PIM Ranges'!$AY$20,"Q2",IF($AC26&lt;'PIM Ranges'!$AZ$20,"Q3",IF($AC26&lt;'PIM Ranges'!$BA$20,"Q4","Q5")))),IF('PIM Ranges'!$AK26='PIM Ranges'!$AW$21,IF($AC26&lt;'PIM Ranges'!$AX$21,"Q1",IF($AC26&lt;'PIM Ranges'!$AY$21,"Q2",IF($AC26&lt;'PIM Ranges'!$AZ$21,"Q3",IF($AC26&lt;'PIM Ranges'!$BA$21,"Q4","Q5")))),IF('PIM Ranges'!$AK26='PIM Ranges'!$AW$22,IF($AC26&lt;'PIM Ranges'!$AX$22,"Q1",IF($AC26&lt;'PIM Ranges'!$AY$22,"Q2",IF($AC26&lt;'PIM Ranges'!$AZ$22,"Q3",IF($AC26&lt;'PIM Ranges'!$BA$22,"Q4","Q5")))),IF('PIM Ranges'!$AK26='PIM Ranges'!$AW$23,IF($AC26&lt;'PIM Ranges'!$AX$23,"Q1",IF($AC26&lt;'PIM Ranges'!$AY$23,"Q2",IF($AC26&lt;'PIM Ranges'!$AZ$23,"Q3",IF($AC26&lt;'PIM Ranges'!$BA$23,"Q4","Q5")))),IF('PIM Ranges'!$AK26='PIM Ranges'!$AW$24,IF($AC26&lt;'PIM Ranges'!$AX$24,"Q1",IF($AC26&lt;'PIM Ranges'!$AY$24,"Q2",IF($AC26&lt;'PIM Ranges'!$AZ$24,"Q3",IF($AC26&lt;'PIM Ranges'!$BA$24,"Q4","Q5")))),IF('PIM Ranges'!$AK26='PIM Ranges'!$AW$25,IF($AC26&lt;'PIM Ranges'!$AX$25,"Q1",IF($AC26&lt;'PIM Ranges'!$AY$25,"Q2",IF($AC26&lt;'PIM Ranges'!$AZ$25,"Q3",IF($AC26&lt;'PIM Ranges'!$BA$25,"Q4","Q5")))),IF('PIM Ranges'!$AK26='PIM Ranges'!$AW$26,IF($AC26&lt;'PIM Ranges'!$AX$26,"Q1",IF($AC26&lt;'PIM Ranges'!$AY$26,"Q2",IF($AC26&lt;'PIM Ranges'!$AZ$26,"Q3",IF($AC26&lt;'PIM Ranges'!$BA$26,"Q4","Q5")))),IF('PIM Ranges'!$AK26='PIM Ranges'!$AW$27,IF($AC26&lt;'PIM Ranges'!$AX$27,"Q1",IF($AC26&lt;'PIM Ranges'!$AY$27,"Q2",IF($AC26&lt;'PIM Ranges'!$AZ$27,"Q3",IF($AC26&lt;'PIM Ranges'!$BA$27,"Q4","Q5")))),IF('PIM Ranges'!$AK26='PIM Ranges'!$AW$28,IF($AC26&lt;'PIM Ranges'!$AX$28,"Q1",IF($AC26&lt;'PIM Ranges'!$AY$28,"Q2",IF($AC26&lt;'PIM Ranges'!$AZ$28,"Q3",IF($AC26&lt;'PIM Ranges'!$BA$28,"Q4","Q5")))),IF('PIM Ranges'!$AK26='PIM Ranges'!$AW$29,IF($AC26&lt;'PIM Ranges'!$AX$29,"Q1",IF($AC26&lt;'PIM Ranges'!$AY$29,"Q2",IF($AC26&lt;'PIM Ranges'!$AZ$29,"Q3",IF($AC26&lt;'PIM Ranges'!$BA$29,"Q4","Q5")))),IF('PIM Ranges'!$AK26='PIM Ranges'!$AW$30,IF($AC26&lt;'PIM Ranges'!$AX$30,"Q1",IF($AC26&lt;'PIM Ranges'!$AY$30,"Q2",IF($AC26&lt;'PIM Ranges'!$AZ$30,"Q3",IF($AC26&lt;'PIM Ranges'!$BA$30,"Q4","Q5")))),IF('PIM Ranges'!$AK26='PIM Ranges'!$AW$31,IF($AC26&lt;'PIM Ranges'!$AX$31,"Q1",IF($AC26&lt;'PIM Ranges'!$AY$31,"Q2",IF($AC26&lt;'PIM Ranges'!$AZ$31,"Q3",IF($AC26&lt;'PIM Ranges'!$BA$31,"Q4","Q5")))),IF('PIM Ranges'!$AK26='PIM Ranges'!$AW$32,IF($AC26&lt;'PIM Ranges'!$AX$32,"Q1",IF($AC26&lt;'PIM Ranges'!$AY$32,"Q2",IF($AC26&lt;'PIM Ranges'!$AZ$32,"Q3",IF($AC26&lt;'PIM Ranges'!$BA$32,"Q4","Q5"))))))))))))))))))))))))))</f>
        <v>Q1</v>
      </c>
      <c r="AH26" s="404">
        <f>VLOOKUP($AB26&amp;$AG26,'IMargin Quartiles'!$A:$F,6,FALSE)</f>
        <v>0.16</v>
      </c>
      <c r="AI26" s="404"/>
      <c r="AJ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K26" s="404" t="e">
        <f>VLOOKUP($AB26&amp;$AJ26,'IMargin Quartiles'!$A:$F,6,FALSE)</f>
        <v>#DIV/0!</v>
      </c>
      <c r="AL26">
        <f>'PIM Model'!C24</f>
        <v>0</v>
      </c>
      <c r="AM26" s="404"/>
      <c r="AN26" s="404"/>
      <c r="AO26" s="404" t="e">
        <f t="shared" si="19"/>
        <v>#DIV/0!</v>
      </c>
      <c r="AP26" s="404"/>
      <c r="AQ26" s="404"/>
      <c r="AR26" s="111">
        <v>17</v>
      </c>
      <c r="AS26">
        <f>IFERROR(VLOOKUP(AU$5,'Basket Composition'!$A$3:$W$30,'Multi-Customer'!$AR26,FALSE),0)</f>
        <v>0</v>
      </c>
      <c r="AT26" s="105" t="s">
        <v>91</v>
      </c>
      <c r="AU26" s="100">
        <f>IFERROR(IF($AU$2="Enter Spend&gt;&gt;&gt;",$AU$3*AS26,SUMIFS('Existing Customers'!$Q:$Q,'Existing Customers'!$H:$H,'Multi-Customer'!$AT26,'Existing Customers'!$A:$A,'Multi-Customer'!$AU$1)*$AU$4),0)</f>
        <v>0</v>
      </c>
      <c r="AV26" s="92">
        <f>IFERROR(IF($AU$2="Enter Spend&gt;&gt;&gt;",'Multi-Customer'!AU26/VLOOKUP($AU$5,'Basket Composition'!$A$34:$W$61,'Multi-Customer'!$AR26,FALSE),SUMIFS('Existing Customers'!$N:$N,'Existing Customers'!$H:$H,'Multi-Customer'!$AT26,'Existing Customers'!$A:$A,'Multi-Customer'!$AU$1)*$AU$4),0)</f>
        <v>0</v>
      </c>
      <c r="AW26" s="92">
        <f>IFERROR(IF($AU$2="Enter Spend&gt;&gt;&gt;",AV26*$AU$8,SUMIFS('Existing Customers'!$O:$O,'Existing Customers'!$H:$H,'Multi-Customer'!$AT26,'Existing Customers'!$A:$A,'Multi-Customer'!AU$1)*$AU$4),0)</f>
        <v>0</v>
      </c>
      <c r="AX26" s="92">
        <f>IFERROR(IF($AU$2="Enter Spend&gt;&gt;&gt;",'Multi-Customer'!AU26/VLOOKUP($AU$5,'Basket Composition'!$A$65:$W$92,'Multi-Customer'!$AR26,FALSE),SUMIFS('Existing Customers'!$P:$P,'Existing Customers'!$H:$H,'Multi-Customer'!$AT26,'Existing Customers'!$A:$A,'Multi-Customer'!$AU$1)*$AU$4),0)</f>
        <v>0</v>
      </c>
      <c r="AY26" s="117">
        <f>IFERROR(IF($AU$2="Enter Spend&gt;&gt;&gt;","N/A",SUMIFS('Existing Customers'!$V:$V,'Existing Customers'!$H:$H,'Multi-Customer'!$AT26,'Existing Customers'!$A:$A,'Multi-Customer'!AU$1)*$AU$4),0)</f>
        <v>0</v>
      </c>
      <c r="AZ26" s="101">
        <f>IFERROR(IF($AU$2="Enter Spend&gt;&gt;&gt;","N/A",SUMIFS('Existing Customers'!$R:$R,'Existing Customers'!$H:$H,'Multi-Customer'!$AT26,'Existing Customers'!$A:$A,'Multi-Customer'!AU$1)*$AU$4),0)</f>
        <v>0</v>
      </c>
      <c r="BA26" s="132"/>
      <c r="BB26">
        <f>IFERROR(VLOOKUP(BD$5,'Basket Composition'!$A$3:$W$30,'Multi-Customer'!$AR26,FALSE),0)</f>
        <v>0</v>
      </c>
      <c r="BC26" s="105" t="s">
        <v>91</v>
      </c>
      <c r="BD26" s="100">
        <f>IFERROR(IF($BD$2="Enter Spend&gt;&gt;&gt;",$BD$3*BB26,SUMIFS('Existing Customers'!$Q:$Q,'Existing Customers'!$H:$H,'Multi-Customer'!$AT26,'Existing Customers'!$A:$A,'Multi-Customer'!$BD$1)*$BD$4),0)</f>
        <v>0</v>
      </c>
      <c r="BE26" s="92">
        <f>IFERROR(IF($BD$2="Enter Spend&gt;&gt;&gt;",'Multi-Customer'!BD26/VLOOKUP($BD$5,'Basket Composition'!$A$34:$W$61,'Multi-Customer'!$AR26,FALSE),SUMIFS('Existing Customers'!$N:$N,'Existing Customers'!$H:$H,'Multi-Customer'!$AT26,'Existing Customers'!$A:$A,'Multi-Customer'!$BD$1)*$BD$4),0)</f>
        <v>0</v>
      </c>
      <c r="BF26" s="92">
        <f>IFERROR(IF($BD$2="Enter Spend&gt;&gt;&gt;",BE26*$BD$8,SUMIFS('Existing Customers'!$O:$O,'Existing Customers'!$H:$H,'Multi-Customer'!$AT26,'Existing Customers'!$A:$A,'Multi-Customer'!BD$1)*$BD$4),0)</f>
        <v>0</v>
      </c>
      <c r="BG26" s="92">
        <f>IFERROR(IF($BD$2="Enter Spend&gt;&gt;&gt;",'Multi-Customer'!BD26/VLOOKUP($BD$5,'Basket Composition'!$A$65:$W$92,'Multi-Customer'!$AR26,FALSE),SUMIFS('Existing Customers'!$P:$P,'Existing Customers'!$H:$H,'Multi-Customer'!$AT26,'Existing Customers'!$A:$A,'Multi-Customer'!$BD$1)*$BD$4),0)</f>
        <v>0</v>
      </c>
      <c r="BH26" s="101">
        <f>IFERROR(IF($BD$2="Enter Spend&gt;&gt;&gt;","N/A",SUMIFS('Existing Customers'!$V:$V,'Existing Customers'!$H:$H,'Multi-Customer'!$AT26,'Existing Customers'!$A:$A,'Multi-Customer'!BD$1)*$BD$4),0)</f>
        <v>0</v>
      </c>
      <c r="BI26" s="101">
        <f>IFERROR(IF($BD$2="Enter Spend&gt;&gt;&gt;","N/A",SUMIFS('Existing Customers'!$R:$R,'Existing Customers'!$H:$H,'Multi-Customer'!$AT26,'Existing Customers'!$A:$A,'Multi-Customer'!BD$1)*$BD$4),0)</f>
        <v>0</v>
      </c>
      <c r="BJ26" s="132"/>
      <c r="BK26">
        <f>IFERROR(VLOOKUP(BM$5,'Basket Composition'!$A$3:$W$30,'Multi-Customer'!$AR26,FALSE),0)</f>
        <v>0</v>
      </c>
      <c r="BL26" s="105" t="s">
        <v>91</v>
      </c>
      <c r="BM26" s="100">
        <f>IFERROR(IF($BM$2="Enter Spend&gt;&gt;&gt;",$BM$3*BK26,SUMIFS('Existing Customers'!$Q:$Q,'Existing Customers'!$H:$H,'Multi-Customer'!$AT26,'Existing Customers'!$A:$A,'Multi-Customer'!$BM$1)*$BM$4),0)</f>
        <v>0</v>
      </c>
      <c r="BN26" s="92">
        <f>IFERROR(IF($BM$2="Enter Spend&gt;&gt;&gt;",'Multi-Customer'!BM26/VLOOKUP($BM$5,'Basket Composition'!$A$34:$W$61,'Multi-Customer'!$AR26,FALSE),SUMIFS('Existing Customers'!$N:$N,'Existing Customers'!$H:$H,'Multi-Customer'!$AT26,'Existing Customers'!$A:$A,'Multi-Customer'!$BM$1)*$BM$4),0)</f>
        <v>0</v>
      </c>
      <c r="BO26" s="92">
        <f>IFERROR(IF($BM$2="Enter Spend&gt;&gt;&gt;",BN26*$BM$8,SUMIFS('Existing Customers'!$O:$O,'Existing Customers'!$H:$H,'Multi-Customer'!$AT26,'Existing Customers'!$A:$A,'Multi-Customer'!BM$1)*$BM$4),0)</f>
        <v>0</v>
      </c>
      <c r="BP26" s="92">
        <f>IFERROR(IF($BM$2="Enter Spend&gt;&gt;&gt;",'Multi-Customer'!BM26/VLOOKUP($BM$5,'Basket Composition'!$A$65:$W$92,'Multi-Customer'!$AR26,FALSE),SUMIFS('Existing Customers'!$P:$P,'Existing Customers'!$H:$H,'Multi-Customer'!$AT26,'Existing Customers'!$A:$A,'Multi-Customer'!$BM$1)*$BM$4),0)</f>
        <v>0</v>
      </c>
      <c r="BQ26" s="101">
        <f>IFERROR(IF($BM$2="Enter Spend&gt;&gt;&gt;","N/A",SUMIFS('Existing Customers'!$V:$V,'Existing Customers'!$H:$H,'Multi-Customer'!$AT26,'Existing Customers'!$A:$A,'Multi-Customer'!BM$1)*$BM$4),0)</f>
        <v>0</v>
      </c>
      <c r="BR26" s="101">
        <f>IFERROR(IF($BM$2="Enter Spend&gt;&gt;&gt;","N/A",SUMIFS('Existing Customers'!$R:$R,'Existing Customers'!$H:$H,'Multi-Customer'!$AT26,'Existing Customers'!$A:$A,'Multi-Customer'!BM$1)*$BM$4),0)</f>
        <v>0</v>
      </c>
      <c r="BS26" s="132"/>
      <c r="BT26">
        <f>IFERROR(VLOOKUP(BV$5,'Basket Composition'!$A$3:$W$30,'Multi-Customer'!$AR26,FALSE),0)</f>
        <v>0</v>
      </c>
      <c r="BU26" s="105" t="s">
        <v>91</v>
      </c>
      <c r="BV26" s="100">
        <f>IFERROR(IF($BV$2="Enter Spend&gt;&gt;&gt;",$BV$3*BT26,SUMIFS('Existing Customers'!$Q:$Q,'Existing Customers'!$H:$H,'Multi-Customer'!$AT26,'Existing Customers'!$A:$A,'Multi-Customer'!$BV$1)*$BV$4),0)</f>
        <v>0</v>
      </c>
      <c r="BW26" s="92">
        <f>IFERROR(IF($BV$2="Enter Spend&gt;&gt;&gt;",'Multi-Customer'!BV26/VLOOKUP($BV$5,'Basket Composition'!$A$34:$W$61,'Multi-Customer'!$AR26,FALSE),SUMIFS('Existing Customers'!$N:$N,'Existing Customers'!$H:$H,'Multi-Customer'!$AT26,'Existing Customers'!$A:$A,'Multi-Customer'!$BV$1)*$BV$4),0)</f>
        <v>0</v>
      </c>
      <c r="BX26" s="92">
        <f>IFERROR(IF($BV$2="Enter Spend&gt;&gt;&gt;",BW26*$BV$8,SUMIFS('Existing Customers'!$O:$O,'Existing Customers'!$H:$H,'Multi-Customer'!$AT26,'Existing Customers'!$A:$A,'Multi-Customer'!BV$1)*$BV$4),0)</f>
        <v>0</v>
      </c>
      <c r="BY26" s="92">
        <f>IFERROR(IF($BV$2="Enter Spend&gt;&gt;&gt;",'Multi-Customer'!BV26/VLOOKUP($BV$5,'Basket Composition'!$A$65:$W$92,'Multi-Customer'!$AR26,FALSE),SUMIFS('Existing Customers'!$P:$P,'Existing Customers'!$H:$H,'Multi-Customer'!$AT26,'Existing Customers'!$A:$A,'Multi-Customer'!$BV$1)*$BV$4),0)</f>
        <v>0</v>
      </c>
      <c r="BZ26" s="101">
        <f>IFERROR(IF($BV$2="Enter Spend&gt;&gt;&gt;","N/A",SUMIFS('Existing Customers'!$V:$V,'Existing Customers'!$H:$H,'Multi-Customer'!$AT26,'Existing Customers'!$A:$A,'Multi-Customer'!BV$1)*$BV$4),0)</f>
        <v>0</v>
      </c>
      <c r="CA26" s="101">
        <f>IFERROR(IF($BV$2="Enter Spend&gt;&gt;&gt;","N/A",SUMIFS('Existing Customers'!$R:$R,'Existing Customers'!$H:$H,'Multi-Customer'!$AT26,'Existing Customers'!$A:$A,'Multi-Customer'!BV$1)*$BV$4),0)</f>
        <v>0</v>
      </c>
      <c r="CB26" s="132"/>
      <c r="CC26">
        <f>IFERROR(VLOOKUP(CE$5,'Basket Composition'!$A$3:$W$30,'Multi-Customer'!$AR26,FALSE),0)</f>
        <v>0</v>
      </c>
      <c r="CD26" s="105" t="s">
        <v>91</v>
      </c>
      <c r="CE26" s="100">
        <f>IFERROR(IF($CE$2="Enter Spend&gt;&gt;&gt;",$CE$3*CC26,SUMIFS('Existing Customers'!$Q:$Q,'Existing Customers'!$H:$H,'Multi-Customer'!$AT26,'Existing Customers'!$A:$A,'Multi-Customer'!$CE$1)*$CE$4),0)</f>
        <v>0</v>
      </c>
      <c r="CF26" s="92">
        <f>IFERROR(IF($CE$2="Enter Spend&gt;&gt;&gt;",'Multi-Customer'!CE26/VLOOKUP($CE$5,'Basket Composition'!$A$34:$W$61,'Multi-Customer'!$AR26,FALSE),SUMIFS('Existing Customers'!$N:$N,'Existing Customers'!$H:$H,'Multi-Customer'!$AT26,'Existing Customers'!$A:$A,'Multi-Customer'!$CE$1)*$CE$4),0)</f>
        <v>0</v>
      </c>
      <c r="CG26" s="92">
        <f>IFERROR(IF($CE$2="Enter Spend&gt;&gt;&gt;",CF26*$CE$8,SUMIFS('Existing Customers'!$O:$O,'Existing Customers'!$H:$H,'Multi-Customer'!$AT26,'Existing Customers'!$A:$A,'Multi-Customer'!CE$1)*$CE$4),0)</f>
        <v>0</v>
      </c>
      <c r="CH26" s="92">
        <f>IFERROR(IF($CE$2="Enter Spend&gt;&gt;&gt;",'Multi-Customer'!CE26/VLOOKUP($CE$5,'Basket Composition'!$A$65:$W$92,'Multi-Customer'!$AR26,FALSE),SUMIFS('Existing Customers'!$P:$P,'Existing Customers'!$H:$H,'Multi-Customer'!$AT26,'Existing Customers'!$A:$A,'Multi-Customer'!$CE$1)*$CE$4),0)</f>
        <v>0</v>
      </c>
      <c r="CI26" s="101">
        <f>IFERROR(IF($CE$2="Enter Spend&gt;&gt;&gt;","N/A",SUMIFS('Existing Customers'!$V:$V,'Existing Customers'!$H:$H,'Multi-Customer'!$AT26,'Existing Customers'!$A:$A,'Multi-Customer'!CE$1)*$CE$4),0)</f>
        <v>0</v>
      </c>
      <c r="CJ26" s="101">
        <f>IFERROR(IF($CE$2="Enter Spend&gt;&gt;&gt;","N/A",SUMIFS('Existing Customers'!$R:$R,'Existing Customers'!$H:$H,'Multi-Customer'!$AT26,'Existing Customers'!$A:$A,'Multi-Customer'!CE$1)*$CE$4),0)</f>
        <v>0</v>
      </c>
      <c r="CK26" s="132"/>
      <c r="CL26">
        <f>IFERROR(VLOOKUP(CN$5,'Basket Composition'!$A$3:$W$30,'Multi-Customer'!$AR26,FALSE),0)</f>
        <v>0</v>
      </c>
      <c r="CM26" s="105" t="s">
        <v>91</v>
      </c>
      <c r="CN26" s="100">
        <f>IFERROR(IF($CN$2="Enter Spend&gt;&gt;&gt;",$CN$3*CL26,SUMIFS('Existing Customers'!$Q:$Q,'Existing Customers'!$H:$H,'Multi-Customer'!$AT26,'Existing Customers'!$A:$A,'Multi-Customer'!$CN$1)*$CN$4),0)</f>
        <v>0</v>
      </c>
      <c r="CO26" s="92">
        <f>IFERROR(IF($CN$2="Enter Spend&gt;&gt;&gt;",'Multi-Customer'!CN26/VLOOKUP($CN$5,'Basket Composition'!$A$34:$W$61,'Multi-Customer'!$AR26,FALSE),SUMIFS('Existing Customers'!$N:$N,'Existing Customers'!$H:$H,'Multi-Customer'!$AT26,'Existing Customers'!$A:$A,'Multi-Customer'!$CN$1)*$CN$4),0)</f>
        <v>0</v>
      </c>
      <c r="CP26" s="92">
        <f>IFERROR(IF($CN$2="Enter Spend&gt;&gt;&gt;",CO26*$CN$8,SUMIFS('Existing Customers'!$O:$O,'Existing Customers'!$H:$H,'Multi-Customer'!$AT26,'Existing Customers'!$A:$A,'Multi-Customer'!CN$1)*$CN$4),0)</f>
        <v>0</v>
      </c>
      <c r="CQ26" s="92">
        <f>IFERROR(IF($CN$2="Enter Spend&gt;&gt;&gt;",'Multi-Customer'!CN26/VLOOKUP($CN$5,'Basket Composition'!$A$65:$W$92,'Multi-Customer'!$AR26,FALSE),SUMIFS('Existing Customers'!$P:$P,'Existing Customers'!$H:$H,'Multi-Customer'!$AT26,'Existing Customers'!$A:$A,'Multi-Customer'!$CN$1)*$CN$4),0)</f>
        <v>0</v>
      </c>
      <c r="CR26" s="101">
        <f>IFERROR(IF($CN$2="Enter Spend&gt;&gt;&gt;","N/A",SUMIFS('Existing Customers'!$V:$V,'Existing Customers'!$H:$H,'Multi-Customer'!$AT26,'Existing Customers'!$A:$A,'Multi-Customer'!CN$1)*$CN$4),0)</f>
        <v>0</v>
      </c>
      <c r="CS26" s="101">
        <f>IFERROR(IF($CN$2="Enter Spend&gt;&gt;&gt;","N/A",SUMIFS('Existing Customers'!$R:$R,'Existing Customers'!$H:$H,'Multi-Customer'!$AT26,'Existing Customers'!$A:$A,'Multi-Customer'!CN$1)*$CN$4),0)</f>
        <v>0</v>
      </c>
      <c r="CT26" s="132"/>
      <c r="CU26">
        <f>IFERROR(VLOOKUP(CW$5,'Basket Composition'!$A$3:$W$30,'Multi-Customer'!$AR26,FALSE),0)</f>
        <v>0</v>
      </c>
      <c r="CV26" s="105" t="s">
        <v>91</v>
      </c>
      <c r="CW26" s="100">
        <f>IFERROR(IF($CW$2="Enter Spend&gt;&gt;&gt;",$CW$3*CU26,SUMIFS('Existing Customers'!$Q:$Q,'Existing Customers'!$H:$H,'Multi-Customer'!$AT26,'Existing Customers'!$A:$A,'Multi-Customer'!$CW$1)*$CW$4),0)</f>
        <v>0</v>
      </c>
      <c r="CX26" s="92">
        <f>IFERROR(IF($CW$2="Enter Spend&gt;&gt;&gt;",'Multi-Customer'!CW26/VLOOKUP($CW$5,'Basket Composition'!$A$34:$W$61,'Multi-Customer'!$AR26,FALSE),SUMIFS('Existing Customers'!$N:$N,'Existing Customers'!$H:$H,'Multi-Customer'!$AT26,'Existing Customers'!$A:$A,'Multi-Customer'!$CW$1)*$CW$4),0)</f>
        <v>0</v>
      </c>
      <c r="CY26" s="92">
        <f>IFERROR(IF($CW$2="Enter Spend&gt;&gt;&gt;",CX26*$CW$8,SUMIFS('Existing Customers'!$O:$O,'Existing Customers'!$H:$H,'Multi-Customer'!$AT26,'Existing Customers'!$A:$A,'Multi-Customer'!CW$1)*$CW$4),0)</f>
        <v>0</v>
      </c>
      <c r="CZ26" s="92">
        <f>IFERROR(IF($CW$2="Enter Spend&gt;&gt;&gt;",'Multi-Customer'!CW26/VLOOKUP($CW$5,'Basket Composition'!$A$65:$W$92,'Multi-Customer'!$AR26,FALSE),SUMIFS('Existing Customers'!$P:$P,'Existing Customers'!$H:$H,'Multi-Customer'!$AT26,'Existing Customers'!$A:$A,'Multi-Customer'!$CW$1)*$CW$4),0)</f>
        <v>0</v>
      </c>
      <c r="DA26" s="101">
        <f>IFERROR(IF($CW$2="Enter Spend&gt;&gt;&gt;","N/A",SUMIFS('Existing Customers'!$V:$V,'Existing Customers'!$H:$H,'Multi-Customer'!$AT26,'Existing Customers'!$A:$A,'Multi-Customer'!CW$1)*$CW$4),0)</f>
        <v>0</v>
      </c>
      <c r="DB26" s="101">
        <f>IFERROR(IF($CW$2="Enter Spend&gt;&gt;&gt;","N/A",SUMIFS('Existing Customers'!$R:$R,'Existing Customers'!$H:$H,'Multi-Customer'!$AT26,'Existing Customers'!$A:$A,'Multi-Customer'!CW$1)*$CW$4),0)</f>
        <v>0</v>
      </c>
      <c r="DC26" s="132"/>
      <c r="DD26">
        <f>IFERROR(VLOOKUP(DF$5,'Basket Composition'!$A$3:$W$30,'Multi-Customer'!$AR26,FALSE),0)</f>
        <v>0</v>
      </c>
      <c r="DE26" s="105" t="s">
        <v>91</v>
      </c>
      <c r="DF26" s="100">
        <f>IFERROR(IF($DF$2="Enter Spend&gt;&gt;&gt;",$DF$3*DD26,SUMIFS('Existing Customers'!$Q:$Q,'Existing Customers'!$H:$H,'Multi-Customer'!$AT26,'Existing Customers'!$A:$A,'Multi-Customer'!$DF$1)*$DF$4),0)</f>
        <v>0</v>
      </c>
      <c r="DG26" s="92">
        <f>IFERROR(IF($DF$2="Enter Spend&gt;&gt;&gt;",'Multi-Customer'!DF26/VLOOKUP($DF$5,'Basket Composition'!$A$34:$W$61,'Multi-Customer'!$AR26,FALSE),SUMIFS('Existing Customers'!$N:$N,'Existing Customers'!$H:$H,'Multi-Customer'!$AT26,'Existing Customers'!$A:$A,'Multi-Customer'!$DF$1)*$DF$4),0)</f>
        <v>0</v>
      </c>
      <c r="DH26" s="92">
        <f>IFERROR(IF($DF$2="Enter Spend&gt;&gt;&gt;",DG26*$DF$8,SUMIFS('Existing Customers'!$O:$O,'Existing Customers'!$H:$H,'Multi-Customer'!$AT26,'Existing Customers'!$A:$A,'Multi-Customer'!DF$1)*$DF$4),0)</f>
        <v>0</v>
      </c>
      <c r="DI26" s="92">
        <f>IFERROR(IF($DF$2="Enter Spend&gt;&gt;&gt;",'Multi-Customer'!DF26/VLOOKUP($DF$5,'Basket Composition'!$A$65:$W$92,'Multi-Customer'!$AR26,FALSE),SUMIFS('Existing Customers'!$P:$P,'Existing Customers'!$H:$H,'Multi-Customer'!$AT26,'Existing Customers'!$A:$A,'Multi-Customer'!$DF$1)*$DF$4),0)</f>
        <v>0</v>
      </c>
      <c r="DJ26" s="101">
        <f>IFERROR(IF($DF$2="Enter Spend&gt;&gt;&gt;","N/A",SUMIFS('Existing Customers'!$V:$V,'Existing Customers'!$H:$H,'Multi-Customer'!$AT26,'Existing Customers'!$A:$A,'Multi-Customer'!DF$1)*$DF$4),0)</f>
        <v>0</v>
      </c>
      <c r="DK26" s="101">
        <f>IFERROR(IF($DF$2="Enter Spend&gt;&gt;&gt;","N/A",SUMIFS('Existing Customers'!$R:$R,'Existing Customers'!$H:$H,'Multi-Customer'!$AT26,'Existing Customers'!$A:$A,'Multi-Customer'!DF$1)*$DF$4),0)</f>
        <v>0</v>
      </c>
      <c r="DL26" s="132"/>
      <c r="DM26">
        <f>IFERROR(VLOOKUP(DO$5,'Basket Composition'!$A$3:$W$30,'Multi-Customer'!$AR26,FALSE),0)</f>
        <v>0</v>
      </c>
      <c r="DN26" s="105" t="s">
        <v>91</v>
      </c>
      <c r="DO26" s="100">
        <f>IFERROR(IF($DO$2="Enter Spend&gt;&gt;&gt;",$DO$3*DM26,SUMIFS('Existing Customers'!$Q:$Q,'Existing Customers'!$H:$H,'Multi-Customer'!$AT26,'Existing Customers'!$A:$A,'Multi-Customer'!$DO$1)*$DO$4),0)</f>
        <v>0</v>
      </c>
      <c r="DP26" s="92">
        <f>IFERROR(IF($DO$2="Enter Spend&gt;&gt;&gt;",'Multi-Customer'!DO26/VLOOKUP($DO$5,'Basket Composition'!$A$34:$W$61,'Multi-Customer'!$AR26,FALSE),SUMIFS('Existing Customers'!$N:$N,'Existing Customers'!$H:$H,'Multi-Customer'!$AT26,'Existing Customers'!$A:$A,'Multi-Customer'!$DO$1)*$DO$4),0)</f>
        <v>0</v>
      </c>
      <c r="DQ26" s="92">
        <f>IFERROR(IF($DO$2="Enter Spend&gt;&gt;&gt;",DP26*$DO$8,SUMIFS('Existing Customers'!$O:$O,'Existing Customers'!$H:$H,'Multi-Customer'!$AT26,'Existing Customers'!$A:$A,'Multi-Customer'!DO$1)*$DO$4),0)</f>
        <v>0</v>
      </c>
      <c r="DR26" s="92">
        <f>IFERROR(IF($DO$2="Enter Spend&gt;&gt;&gt;",'Multi-Customer'!DO26/VLOOKUP($DO$5,'Basket Composition'!$A$65:$W$92,'Multi-Customer'!$AR26,FALSE),SUMIFS('Existing Customers'!$P:$P,'Existing Customers'!$H:$H,'Multi-Customer'!$AT26,'Existing Customers'!$A:$A,'Multi-Customer'!$DO$1)*$DO$4),0)</f>
        <v>0</v>
      </c>
      <c r="DS26" s="117">
        <f>IFERROR(IF($DO$2="Enter Spend&gt;&gt;&gt;","N/A",SUMIFS('Existing Customers'!$V:$V,'Existing Customers'!$H:$H,'Multi-Customer'!$AT26,'Existing Customers'!$A:$A,'Multi-Customer'!DO$1)*$DO$4),0)</f>
        <v>0</v>
      </c>
      <c r="DT26" s="101">
        <f>IFERROR(IF($DO$2="Enter Spend&gt;&gt;&gt;","N/A",SUMIFS('Existing Customers'!$R:$R,'Existing Customers'!$H:$H,'Multi-Customer'!$AT26,'Existing Customers'!$A:$A,'Multi-Customer'!DO$1)*$DO$4),0)</f>
        <v>0</v>
      </c>
      <c r="DU26" s="132"/>
      <c r="DV26">
        <f>IFERROR(VLOOKUP(DX$5,'Basket Composition'!$A$3:$W$30,'Multi-Customer'!$AR26,FALSE),0)</f>
        <v>0</v>
      </c>
      <c r="DW26" s="105" t="s">
        <v>91</v>
      </c>
      <c r="DX26" s="100">
        <f>IFERROR(IF($DX$2="Enter Spend&gt;&gt;&gt;",$DX$3*DV26,SUMIFS('Existing Customers'!$Q:$Q,'Existing Customers'!$H:$H,'Multi-Customer'!$AT26,'Existing Customers'!$A:$A,'Multi-Customer'!$DX$1)*$DX$4),0)</f>
        <v>0</v>
      </c>
      <c r="DY26" s="92">
        <f>IFERROR(IF($DX$2="Enter Spend&gt;&gt;&gt;",'Multi-Customer'!DX26/VLOOKUP($DX$5,'Basket Composition'!$A$34:$W$61,'Multi-Customer'!$AR26,FALSE),SUMIFS('Existing Customers'!$N:$N,'Existing Customers'!$H:$H,'Multi-Customer'!$AT26,'Existing Customers'!$A:$A,'Multi-Customer'!$DX$1)*$DX$4),0)</f>
        <v>0</v>
      </c>
      <c r="DZ26" s="92">
        <f>IFERROR(IF($DX$2="Enter Spend&gt;&gt;&gt;",DY26*$DX$8,SUMIFS('Existing Customers'!$O:$O,'Existing Customers'!$H:$H,'Multi-Customer'!$AT26,'Existing Customers'!$A:$A,'Multi-Customer'!DX$1)*$DX$4),0)</f>
        <v>0</v>
      </c>
      <c r="EA26" s="92">
        <f>IFERROR(IF($DX$2="Enter Spend&gt;&gt;&gt;",'Multi-Customer'!DX26/VLOOKUP($DX$5,'Basket Composition'!$A$65:$W$92,'Multi-Customer'!$AR26,FALSE),SUMIFS('Existing Customers'!$P:$P,'Existing Customers'!$H:$H,'Multi-Customer'!$AT26,'Existing Customers'!$A:$A,'Multi-Customer'!$DX$1)*$DX$4),0)</f>
        <v>0</v>
      </c>
      <c r="EB26" s="117">
        <f>IFERROR(IF($DX$2="Enter Spend&gt;&gt;&gt;","N/A",SUMIFS('Existing Customers'!$V:$V,'Existing Customers'!$H:$H,'Multi-Customer'!$AT26,'Existing Customers'!$A:$A,'Multi-Customer'!DX$1)*$DX$4),0)</f>
        <v>0</v>
      </c>
      <c r="EC26" s="101">
        <f>IFERROR(IF($DX$2="Enter Spend&gt;&gt;&gt;","N/A",SUMIFS('Existing Customers'!$R:$R,'Existing Customers'!$H:$H,'Multi-Customer'!$AT26,'Existing Customers'!$A:$A,'Multi-Customer'!DX$1)*$DX$4),0)</f>
        <v>0</v>
      </c>
      <c r="EE26" s="105" t="s">
        <v>91</v>
      </c>
      <c r="EF26" s="100"/>
      <c r="EG26" s="92"/>
      <c r="EH26" s="92"/>
      <c r="EI26" s="92"/>
      <c r="EJ26" s="117"/>
      <c r="EK26" s="101"/>
      <c r="EL26" s="132"/>
      <c r="EN26" s="105" t="s">
        <v>91</v>
      </c>
      <c r="EO26" s="100"/>
      <c r="EP26" s="92"/>
      <c r="EQ26" s="92"/>
      <c r="ER26" s="92"/>
      <c r="ES26" s="117"/>
      <c r="ET26" s="101"/>
    </row>
    <row r="27" spans="2:150" x14ac:dyDescent="0.25">
      <c r="B27" s="105" t="s">
        <v>90</v>
      </c>
      <c r="C27" s="487">
        <f t="shared" si="6"/>
        <v>0</v>
      </c>
      <c r="D27" s="504">
        <f t="shared" si="7"/>
        <v>0</v>
      </c>
      <c r="E27" s="504">
        <f t="shared" si="8"/>
        <v>0</v>
      </c>
      <c r="F27" s="504">
        <f t="shared" si="9"/>
        <v>0</v>
      </c>
      <c r="G27" s="505">
        <f t="shared" si="10"/>
        <v>0</v>
      </c>
      <c r="H27" s="507">
        <f t="shared" si="11"/>
        <v>0</v>
      </c>
      <c r="J27" t="str">
        <f>'PIM Model'!E25</f>
        <v>INCLUDE</v>
      </c>
      <c r="K27">
        <f t="shared" si="12"/>
        <v>0</v>
      </c>
      <c r="L27">
        <f t="shared" si="13"/>
        <v>0</v>
      </c>
      <c r="M27" s="105" t="s">
        <v>90</v>
      </c>
      <c r="N27" s="100">
        <f t="shared" si="14"/>
        <v>0</v>
      </c>
      <c r="O27" s="92">
        <f t="shared" si="0"/>
        <v>0</v>
      </c>
      <c r="P27" s="92">
        <f t="shared" si="1"/>
        <v>0</v>
      </c>
      <c r="Q27" s="92">
        <f t="shared" si="2"/>
        <v>0</v>
      </c>
      <c r="R27" s="117">
        <f t="shared" si="3"/>
        <v>0</v>
      </c>
      <c r="S27" s="120">
        <f t="shared" si="15"/>
        <v>0</v>
      </c>
      <c r="T27" s="404"/>
      <c r="U27" s="105" t="s">
        <v>90</v>
      </c>
      <c r="V27" s="491">
        <f t="shared" si="4"/>
        <v>0</v>
      </c>
      <c r="W27" s="492">
        <f t="shared" si="4"/>
        <v>0</v>
      </c>
      <c r="X27" s="492">
        <f t="shared" si="4"/>
        <v>0</v>
      </c>
      <c r="Y27" s="493">
        <f t="shared" si="16"/>
        <v>0</v>
      </c>
      <c r="Z27" s="494">
        <f t="shared" si="17"/>
        <v>0</v>
      </c>
      <c r="AA27" s="404"/>
      <c r="AB27" s="105" t="s">
        <v>90</v>
      </c>
      <c r="AC27" s="491">
        <f t="shared" si="5"/>
        <v>0</v>
      </c>
      <c r="AD27" s="488">
        <f t="shared" si="18"/>
        <v>0</v>
      </c>
      <c r="AE27" s="494"/>
      <c r="AF27" s="404"/>
      <c r="AG27" s="1" t="str">
        <f>IF('PIM Ranges'!$AK27='PIM Ranges'!$AW$11,IF($AC27&lt;'PIM Ranges'!$AX$11,"Q1",IF($AC27&lt;'PIM Ranges'!$AY$11,"Q2",IF($AC27&lt;'PIM Ranges'!$AZ$11,"Q3",IF($AC27&lt;'PIM Ranges'!$BA$11,"Q4","Q5")))),IF('PIM Ranges'!$AK27='PIM Ranges'!$AW$12,IF($AC27&lt;'PIM Ranges'!$AX$12,"Q1",IF($AC27&lt;'PIM Ranges'!$AY$12,"Q2",IF($AC27&lt;'PIM Ranges'!$AZ$12,"Q3",IF($AC27&lt;'PIM Ranges'!$BA$12,"Q4","Q5")))),IF('PIM Ranges'!$AK27='PIM Ranges'!$AW$13,IF($AC27&lt;'PIM Ranges'!$AX$13,"Q1",IF($AC27&lt;'PIM Ranges'!$AY$13,"Q2",IF($AC27&lt;'PIM Ranges'!$AZ$13,"Q3",IF($AC27&lt;'PIM Ranges'!$BA$13,"Q4","Q5")))),IF('PIM Ranges'!$AK27='PIM Ranges'!$AW$14,IF($AC27&lt;'PIM Ranges'!$AX$14,"Q1",IF($AC27&lt;'PIM Ranges'!$AY$14,"Q2",IF($AC27&lt;'PIM Ranges'!$AZ$14,"Q3",IF($AC27&lt;'PIM Ranges'!$BA$14,"Q4","Q5")))),IF('PIM Ranges'!$AK27='PIM Ranges'!$AW$15,IF($AC27&lt;'PIM Ranges'!$AX$15,"Q1",IF($AC27&lt;'PIM Ranges'!$AY$15,"Q2",IF($AC27&lt;'PIM Ranges'!$AZ$15,"Q3",IF($AC27&lt;'PIM Ranges'!$BA$15,"Q4","Q5")))),IF('PIM Ranges'!$AK27='PIM Ranges'!$AW$16,IF($AC27&lt;'PIM Ranges'!$AX$16,"Q1",IF($AC27&lt;'PIM Ranges'!$AY$16,"Q2",IF($AC27&lt;'PIM Ranges'!$AZ$16,"Q3",IF($AC27&lt;'PIM Ranges'!$BA$16,"Q4","Q5")))),IF('PIM Ranges'!$AK27='PIM Ranges'!$AW$17,IF($AC27&lt;'PIM Ranges'!$AX$17,"Q1",IF($AC27&lt;'PIM Ranges'!$AY$17,"Q2",IF($AC27&lt;'PIM Ranges'!$AZ$17,"Q3",IF($AC27&lt;'PIM Ranges'!$BA$17,"Q4","Q5")))),IF('PIM Ranges'!$AK27='PIM Ranges'!$AW$18,IF($AC27&lt;'PIM Ranges'!$AX$18,"Q1",IF($AC27&lt;'PIM Ranges'!$AY$18,"Q2",IF($AC27&lt;'PIM Ranges'!$AZ$18,"Q3",IF($AC27&lt;'PIM Ranges'!$BA$18,"Q4","Q5")))),IF('PIM Ranges'!$AK27='PIM Ranges'!$AW$19,IF($AC27&lt;'PIM Ranges'!$AX$19,"Q1",IF($AC27&lt;'PIM Ranges'!$AY$19,"Q2",IF($AC27&lt;'PIM Ranges'!$AZ$19,"Q3",IF($AC27&lt;'PIM Ranges'!$BA$19,"Q4","Q5")))),IF('PIM Ranges'!$AK27='PIM Ranges'!$AW$20,IF($AC27&lt;'PIM Ranges'!$AX$20,"Q1",IF($AC27&lt;'PIM Ranges'!$AY$20,"Q2",IF($AC27&lt;'PIM Ranges'!$AZ$20,"Q3",IF($AC27&lt;'PIM Ranges'!$BA$20,"Q4","Q5")))),IF('PIM Ranges'!$AK27='PIM Ranges'!$AW$21,IF($AC27&lt;'PIM Ranges'!$AX$21,"Q1",IF($AC27&lt;'PIM Ranges'!$AY$21,"Q2",IF($AC27&lt;'PIM Ranges'!$AZ$21,"Q3",IF($AC27&lt;'PIM Ranges'!$BA$21,"Q4","Q5")))),IF('PIM Ranges'!$AK27='PIM Ranges'!$AW$22,IF($AC27&lt;'PIM Ranges'!$AX$22,"Q1",IF($AC27&lt;'PIM Ranges'!$AY$22,"Q2",IF($AC27&lt;'PIM Ranges'!$AZ$22,"Q3",IF($AC27&lt;'PIM Ranges'!$BA$22,"Q4","Q5")))),IF('PIM Ranges'!$AK27='PIM Ranges'!$AW$23,IF($AC27&lt;'PIM Ranges'!$AX$23,"Q1",IF($AC27&lt;'PIM Ranges'!$AY$23,"Q2",IF($AC27&lt;'PIM Ranges'!$AZ$23,"Q3",IF($AC27&lt;'PIM Ranges'!$BA$23,"Q4","Q5")))),IF('PIM Ranges'!$AK27='PIM Ranges'!$AW$24,IF($AC27&lt;'PIM Ranges'!$AX$24,"Q1",IF($AC27&lt;'PIM Ranges'!$AY$24,"Q2",IF($AC27&lt;'PIM Ranges'!$AZ$24,"Q3",IF($AC27&lt;'PIM Ranges'!$BA$24,"Q4","Q5")))),IF('PIM Ranges'!$AK27='PIM Ranges'!$AW$25,IF($AC27&lt;'PIM Ranges'!$AX$25,"Q1",IF($AC27&lt;'PIM Ranges'!$AY$25,"Q2",IF($AC27&lt;'PIM Ranges'!$AZ$25,"Q3",IF($AC27&lt;'PIM Ranges'!$BA$25,"Q4","Q5")))),IF('PIM Ranges'!$AK27='PIM Ranges'!$AW$26,IF($AC27&lt;'PIM Ranges'!$AX$26,"Q1",IF($AC27&lt;'PIM Ranges'!$AY$26,"Q2",IF($AC27&lt;'PIM Ranges'!$AZ$26,"Q3",IF($AC27&lt;'PIM Ranges'!$BA$26,"Q4","Q5")))),IF('PIM Ranges'!$AK27='PIM Ranges'!$AW$27,IF($AC27&lt;'PIM Ranges'!$AX$27,"Q1",IF($AC27&lt;'PIM Ranges'!$AY$27,"Q2",IF($AC27&lt;'PIM Ranges'!$AZ$27,"Q3",IF($AC27&lt;'PIM Ranges'!$BA$27,"Q4","Q5")))),IF('PIM Ranges'!$AK27='PIM Ranges'!$AW$28,IF($AC27&lt;'PIM Ranges'!$AX$28,"Q1",IF($AC27&lt;'PIM Ranges'!$AY$28,"Q2",IF($AC27&lt;'PIM Ranges'!$AZ$28,"Q3",IF($AC27&lt;'PIM Ranges'!$BA$28,"Q4","Q5")))),IF('PIM Ranges'!$AK27='PIM Ranges'!$AW$29,IF($AC27&lt;'PIM Ranges'!$AX$29,"Q1",IF($AC27&lt;'PIM Ranges'!$AY$29,"Q2",IF($AC27&lt;'PIM Ranges'!$AZ$29,"Q3",IF($AC27&lt;'PIM Ranges'!$BA$29,"Q4","Q5")))),IF('PIM Ranges'!$AK27='PIM Ranges'!$AW$30,IF($AC27&lt;'PIM Ranges'!$AX$30,"Q1",IF($AC27&lt;'PIM Ranges'!$AY$30,"Q2",IF($AC27&lt;'PIM Ranges'!$AZ$30,"Q3",IF($AC27&lt;'PIM Ranges'!$BA$30,"Q4","Q5")))),IF('PIM Ranges'!$AK27='PIM Ranges'!$AW$31,IF($AC27&lt;'PIM Ranges'!$AX$31,"Q1",IF($AC27&lt;'PIM Ranges'!$AY$31,"Q2",IF($AC27&lt;'PIM Ranges'!$AZ$31,"Q3",IF($AC27&lt;'PIM Ranges'!$BA$31,"Q4","Q5")))),IF('PIM Ranges'!$AK27='PIM Ranges'!$AW$32,IF($AC27&lt;'PIM Ranges'!$AX$32,"Q1",IF($AC27&lt;'PIM Ranges'!$AY$32,"Q2",IF($AC27&lt;'PIM Ranges'!$AZ$32,"Q3",IF($AC27&lt;'PIM Ranges'!$BA$32,"Q4","Q5"))))))))))))))))))))))))))</f>
        <v>Q1</v>
      </c>
      <c r="AH27" s="404">
        <f>VLOOKUP($AB27&amp;$AG27,'IMargin Quartiles'!$A:$F,6,FALSE)</f>
        <v>0.11</v>
      </c>
      <c r="AI27" s="404"/>
      <c r="AJ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K27" s="404" t="e">
        <f>VLOOKUP($AB27&amp;$AJ27,'IMargin Quartiles'!$A:$F,6,FALSE)</f>
        <v>#DIV/0!</v>
      </c>
      <c r="AL27">
        <f>'PIM Model'!C25</f>
        <v>0</v>
      </c>
      <c r="AM27" s="404"/>
      <c r="AN27" s="404"/>
      <c r="AO27" s="404" t="e">
        <f t="shared" si="19"/>
        <v>#DIV/0!</v>
      </c>
      <c r="AP27" s="404"/>
      <c r="AQ27" s="404"/>
      <c r="AR27" s="111">
        <v>18</v>
      </c>
      <c r="AS27">
        <f>IFERROR(VLOOKUP(AU$5,'Basket Composition'!$A$3:$W$30,'Multi-Customer'!$AR27,FALSE),0)</f>
        <v>0</v>
      </c>
      <c r="AT27" s="105" t="s">
        <v>90</v>
      </c>
      <c r="AU27" s="100">
        <f>IFERROR(IF($AU$2="Enter Spend&gt;&gt;&gt;",$AU$3*AS27,SUMIFS('Existing Customers'!$Q:$Q,'Existing Customers'!$H:$H,'Multi-Customer'!$AT27,'Existing Customers'!$A:$A,'Multi-Customer'!$AU$1)*$AU$4),0)</f>
        <v>0</v>
      </c>
      <c r="AV27" s="92">
        <f>IFERROR(IF($AU$2="Enter Spend&gt;&gt;&gt;",'Multi-Customer'!AU27/VLOOKUP($AU$5,'Basket Composition'!$A$34:$W$61,'Multi-Customer'!$AR27,FALSE),SUMIFS('Existing Customers'!$N:$N,'Existing Customers'!$H:$H,'Multi-Customer'!$AT27,'Existing Customers'!$A:$A,'Multi-Customer'!$AU$1)*$AU$4),0)</f>
        <v>0</v>
      </c>
      <c r="AW27" s="92">
        <f>IFERROR(IF($AU$2="Enter Spend&gt;&gt;&gt;",AV27*$AU$8,SUMIFS('Existing Customers'!$O:$O,'Existing Customers'!$H:$H,'Multi-Customer'!$AT27,'Existing Customers'!$A:$A,'Multi-Customer'!AU$1)*$AU$4),0)</f>
        <v>0</v>
      </c>
      <c r="AX27" s="92">
        <f>IFERROR(IF($AU$2="Enter Spend&gt;&gt;&gt;",'Multi-Customer'!AU27/VLOOKUP($AU$5,'Basket Composition'!$A$65:$W$92,'Multi-Customer'!$AR27,FALSE),SUMIFS('Existing Customers'!$P:$P,'Existing Customers'!$H:$H,'Multi-Customer'!$AT27,'Existing Customers'!$A:$A,'Multi-Customer'!$AU$1)*$AU$4),0)</f>
        <v>0</v>
      </c>
      <c r="AY27" s="117">
        <f>IFERROR(IF($AU$2="Enter Spend&gt;&gt;&gt;","N/A",SUMIFS('Existing Customers'!$V:$V,'Existing Customers'!$H:$H,'Multi-Customer'!$AT27,'Existing Customers'!$A:$A,'Multi-Customer'!AU$1)*$AU$4),0)</f>
        <v>0</v>
      </c>
      <c r="AZ27" s="101">
        <f>IFERROR(IF($AU$2="Enter Spend&gt;&gt;&gt;","N/A",SUMIFS('Existing Customers'!$R:$R,'Existing Customers'!$H:$H,'Multi-Customer'!$AT27,'Existing Customers'!$A:$A,'Multi-Customer'!AU$1)*$AU$4),0)</f>
        <v>0</v>
      </c>
      <c r="BA27" s="132"/>
      <c r="BB27">
        <f>IFERROR(VLOOKUP(BD$5,'Basket Composition'!$A$3:$W$30,'Multi-Customer'!$AR27,FALSE),0)</f>
        <v>0</v>
      </c>
      <c r="BC27" s="105" t="s">
        <v>90</v>
      </c>
      <c r="BD27" s="100">
        <f>IFERROR(IF($BD$2="Enter Spend&gt;&gt;&gt;",$BD$3*BB27,SUMIFS('Existing Customers'!$Q:$Q,'Existing Customers'!$H:$H,'Multi-Customer'!$AT27,'Existing Customers'!$A:$A,'Multi-Customer'!$BD$1)*$BD$4),0)</f>
        <v>0</v>
      </c>
      <c r="BE27" s="92">
        <f>IFERROR(IF($BD$2="Enter Spend&gt;&gt;&gt;",'Multi-Customer'!BD27/VLOOKUP($BD$5,'Basket Composition'!$A$34:$W$61,'Multi-Customer'!$AR27,FALSE),SUMIFS('Existing Customers'!$N:$N,'Existing Customers'!$H:$H,'Multi-Customer'!$AT27,'Existing Customers'!$A:$A,'Multi-Customer'!$BD$1)*$BD$4),0)</f>
        <v>0</v>
      </c>
      <c r="BF27" s="92">
        <f>IFERROR(IF($BD$2="Enter Spend&gt;&gt;&gt;",BE27*$BD$8,SUMIFS('Existing Customers'!$O:$O,'Existing Customers'!$H:$H,'Multi-Customer'!$AT27,'Existing Customers'!$A:$A,'Multi-Customer'!BD$1)*$BD$4),0)</f>
        <v>0</v>
      </c>
      <c r="BG27" s="92">
        <f>IFERROR(IF($BD$2="Enter Spend&gt;&gt;&gt;",'Multi-Customer'!BD27/VLOOKUP($BD$5,'Basket Composition'!$A$65:$W$92,'Multi-Customer'!$AR27,FALSE),SUMIFS('Existing Customers'!$P:$P,'Existing Customers'!$H:$H,'Multi-Customer'!$AT27,'Existing Customers'!$A:$A,'Multi-Customer'!$BD$1)*$BD$4),0)</f>
        <v>0</v>
      </c>
      <c r="BH27" s="101">
        <f>IFERROR(IF($BD$2="Enter Spend&gt;&gt;&gt;","N/A",SUMIFS('Existing Customers'!$V:$V,'Existing Customers'!$H:$H,'Multi-Customer'!$AT27,'Existing Customers'!$A:$A,'Multi-Customer'!BD$1)*$BD$4),0)</f>
        <v>0</v>
      </c>
      <c r="BI27" s="101">
        <f>IFERROR(IF($BD$2="Enter Spend&gt;&gt;&gt;","N/A",SUMIFS('Existing Customers'!$R:$R,'Existing Customers'!$H:$H,'Multi-Customer'!$AT27,'Existing Customers'!$A:$A,'Multi-Customer'!BD$1)*$BD$4),0)</f>
        <v>0</v>
      </c>
      <c r="BJ27" s="132"/>
      <c r="BK27">
        <f>IFERROR(VLOOKUP(BM$5,'Basket Composition'!$A$3:$W$30,'Multi-Customer'!$AR27,FALSE),0)</f>
        <v>0</v>
      </c>
      <c r="BL27" s="105" t="s">
        <v>90</v>
      </c>
      <c r="BM27" s="100">
        <f>IFERROR(IF($BM$2="Enter Spend&gt;&gt;&gt;",$BM$3*BK27,SUMIFS('Existing Customers'!$Q:$Q,'Existing Customers'!$H:$H,'Multi-Customer'!$AT27,'Existing Customers'!$A:$A,'Multi-Customer'!$BM$1)*$BM$4),0)</f>
        <v>0</v>
      </c>
      <c r="BN27" s="92">
        <f>IFERROR(IF($BM$2="Enter Spend&gt;&gt;&gt;",'Multi-Customer'!BM27/VLOOKUP($BM$5,'Basket Composition'!$A$34:$W$61,'Multi-Customer'!$AR27,FALSE),SUMIFS('Existing Customers'!$N:$N,'Existing Customers'!$H:$H,'Multi-Customer'!$AT27,'Existing Customers'!$A:$A,'Multi-Customer'!$BM$1)*$BM$4),0)</f>
        <v>0</v>
      </c>
      <c r="BO27" s="92">
        <f>IFERROR(IF($BM$2="Enter Spend&gt;&gt;&gt;",BN27*$BM$8,SUMIFS('Existing Customers'!$O:$O,'Existing Customers'!$H:$H,'Multi-Customer'!$AT27,'Existing Customers'!$A:$A,'Multi-Customer'!BM$1)*$BM$4),0)</f>
        <v>0</v>
      </c>
      <c r="BP27" s="92">
        <f>IFERROR(IF($BM$2="Enter Spend&gt;&gt;&gt;",'Multi-Customer'!BM27/VLOOKUP($BM$5,'Basket Composition'!$A$65:$W$92,'Multi-Customer'!$AR27,FALSE),SUMIFS('Existing Customers'!$P:$P,'Existing Customers'!$H:$H,'Multi-Customer'!$AT27,'Existing Customers'!$A:$A,'Multi-Customer'!$BM$1)*$BM$4),0)</f>
        <v>0</v>
      </c>
      <c r="BQ27" s="101">
        <f>IFERROR(IF($BM$2="Enter Spend&gt;&gt;&gt;","N/A",SUMIFS('Existing Customers'!$V:$V,'Existing Customers'!$H:$H,'Multi-Customer'!$AT27,'Existing Customers'!$A:$A,'Multi-Customer'!BM$1)*$BM$4),0)</f>
        <v>0</v>
      </c>
      <c r="BR27" s="101">
        <f>IFERROR(IF($BM$2="Enter Spend&gt;&gt;&gt;","N/A",SUMIFS('Existing Customers'!$R:$R,'Existing Customers'!$H:$H,'Multi-Customer'!$AT27,'Existing Customers'!$A:$A,'Multi-Customer'!BM$1)*$BM$4),0)</f>
        <v>0</v>
      </c>
      <c r="BS27" s="132"/>
      <c r="BT27">
        <f>IFERROR(VLOOKUP(BV$5,'Basket Composition'!$A$3:$W$30,'Multi-Customer'!$AR27,FALSE),0)</f>
        <v>0</v>
      </c>
      <c r="BU27" s="105" t="s">
        <v>90</v>
      </c>
      <c r="BV27" s="100">
        <f>IFERROR(IF($BV$2="Enter Spend&gt;&gt;&gt;",$BV$3*BT27,SUMIFS('Existing Customers'!$Q:$Q,'Existing Customers'!$H:$H,'Multi-Customer'!$AT27,'Existing Customers'!$A:$A,'Multi-Customer'!$BV$1)*$BV$4),0)</f>
        <v>0</v>
      </c>
      <c r="BW27" s="92">
        <f>IFERROR(IF($BV$2="Enter Spend&gt;&gt;&gt;",'Multi-Customer'!BV27/VLOOKUP($BV$5,'Basket Composition'!$A$34:$W$61,'Multi-Customer'!$AR27,FALSE),SUMIFS('Existing Customers'!$N:$N,'Existing Customers'!$H:$H,'Multi-Customer'!$AT27,'Existing Customers'!$A:$A,'Multi-Customer'!$BV$1)*$BV$4),0)</f>
        <v>0</v>
      </c>
      <c r="BX27" s="92">
        <f>IFERROR(IF($BV$2="Enter Spend&gt;&gt;&gt;",BW27*$BV$8,SUMIFS('Existing Customers'!$O:$O,'Existing Customers'!$H:$H,'Multi-Customer'!$AT27,'Existing Customers'!$A:$A,'Multi-Customer'!BV$1)*$BV$4),0)</f>
        <v>0</v>
      </c>
      <c r="BY27" s="92">
        <f>IFERROR(IF($BV$2="Enter Spend&gt;&gt;&gt;",'Multi-Customer'!BV27/VLOOKUP($BV$5,'Basket Composition'!$A$65:$W$92,'Multi-Customer'!$AR27,FALSE),SUMIFS('Existing Customers'!$P:$P,'Existing Customers'!$H:$H,'Multi-Customer'!$AT27,'Existing Customers'!$A:$A,'Multi-Customer'!$BV$1)*$BV$4),0)</f>
        <v>0</v>
      </c>
      <c r="BZ27" s="101">
        <f>IFERROR(IF($BV$2="Enter Spend&gt;&gt;&gt;","N/A",SUMIFS('Existing Customers'!$V:$V,'Existing Customers'!$H:$H,'Multi-Customer'!$AT27,'Existing Customers'!$A:$A,'Multi-Customer'!BV$1)*$BV$4),0)</f>
        <v>0</v>
      </c>
      <c r="CA27" s="101">
        <f>IFERROR(IF($BV$2="Enter Spend&gt;&gt;&gt;","N/A",SUMIFS('Existing Customers'!$R:$R,'Existing Customers'!$H:$H,'Multi-Customer'!$AT27,'Existing Customers'!$A:$A,'Multi-Customer'!BV$1)*$BV$4),0)</f>
        <v>0</v>
      </c>
      <c r="CB27" s="132"/>
      <c r="CC27">
        <f>IFERROR(VLOOKUP(CE$5,'Basket Composition'!$A$3:$W$30,'Multi-Customer'!$AR27,FALSE),0)</f>
        <v>0</v>
      </c>
      <c r="CD27" s="105" t="s">
        <v>90</v>
      </c>
      <c r="CE27" s="100">
        <f>IFERROR(IF($CE$2="Enter Spend&gt;&gt;&gt;",$CE$3*CC27,SUMIFS('Existing Customers'!$Q:$Q,'Existing Customers'!$H:$H,'Multi-Customer'!$AT27,'Existing Customers'!$A:$A,'Multi-Customer'!$CE$1)*$CE$4),0)</f>
        <v>0</v>
      </c>
      <c r="CF27" s="92">
        <f>IFERROR(IF($CE$2="Enter Spend&gt;&gt;&gt;",'Multi-Customer'!CE27/VLOOKUP($CE$5,'Basket Composition'!$A$34:$W$61,'Multi-Customer'!$AR27,FALSE),SUMIFS('Existing Customers'!$N:$N,'Existing Customers'!$H:$H,'Multi-Customer'!$AT27,'Existing Customers'!$A:$A,'Multi-Customer'!$CE$1)*$CE$4),0)</f>
        <v>0</v>
      </c>
      <c r="CG27" s="92">
        <f>IFERROR(IF($CE$2="Enter Spend&gt;&gt;&gt;",CF27*$CE$8,SUMIFS('Existing Customers'!$O:$O,'Existing Customers'!$H:$H,'Multi-Customer'!$AT27,'Existing Customers'!$A:$A,'Multi-Customer'!CE$1)*$CE$4),0)</f>
        <v>0</v>
      </c>
      <c r="CH27" s="92">
        <f>IFERROR(IF($CE$2="Enter Spend&gt;&gt;&gt;",'Multi-Customer'!CE27/VLOOKUP($CE$5,'Basket Composition'!$A$65:$W$92,'Multi-Customer'!$AR27,FALSE),SUMIFS('Existing Customers'!$P:$P,'Existing Customers'!$H:$H,'Multi-Customer'!$AT27,'Existing Customers'!$A:$A,'Multi-Customer'!$CE$1)*$CE$4),0)</f>
        <v>0</v>
      </c>
      <c r="CI27" s="101">
        <f>IFERROR(IF($CE$2="Enter Spend&gt;&gt;&gt;","N/A",SUMIFS('Existing Customers'!$V:$V,'Existing Customers'!$H:$H,'Multi-Customer'!$AT27,'Existing Customers'!$A:$A,'Multi-Customer'!CE$1)*$CE$4),0)</f>
        <v>0</v>
      </c>
      <c r="CJ27" s="101">
        <f>IFERROR(IF($CE$2="Enter Spend&gt;&gt;&gt;","N/A",SUMIFS('Existing Customers'!$R:$R,'Existing Customers'!$H:$H,'Multi-Customer'!$AT27,'Existing Customers'!$A:$A,'Multi-Customer'!CE$1)*$CE$4),0)</f>
        <v>0</v>
      </c>
      <c r="CK27" s="132"/>
      <c r="CL27">
        <f>IFERROR(VLOOKUP(CN$5,'Basket Composition'!$A$3:$W$30,'Multi-Customer'!$AR27,FALSE),0)</f>
        <v>0</v>
      </c>
      <c r="CM27" s="105" t="s">
        <v>90</v>
      </c>
      <c r="CN27" s="100">
        <f>IFERROR(IF($CN$2="Enter Spend&gt;&gt;&gt;",$CN$3*CL27,SUMIFS('Existing Customers'!$Q:$Q,'Existing Customers'!$H:$H,'Multi-Customer'!$AT27,'Existing Customers'!$A:$A,'Multi-Customer'!$CN$1)*$CN$4),0)</f>
        <v>0</v>
      </c>
      <c r="CO27" s="92">
        <f>IFERROR(IF($CN$2="Enter Spend&gt;&gt;&gt;",'Multi-Customer'!CN27/VLOOKUP($CN$5,'Basket Composition'!$A$34:$W$61,'Multi-Customer'!$AR27,FALSE),SUMIFS('Existing Customers'!$N:$N,'Existing Customers'!$H:$H,'Multi-Customer'!$AT27,'Existing Customers'!$A:$A,'Multi-Customer'!$CN$1)*$CN$4),0)</f>
        <v>0</v>
      </c>
      <c r="CP27" s="92">
        <f>IFERROR(IF($CN$2="Enter Spend&gt;&gt;&gt;",CO27*$CN$8,SUMIFS('Existing Customers'!$O:$O,'Existing Customers'!$H:$H,'Multi-Customer'!$AT27,'Existing Customers'!$A:$A,'Multi-Customer'!CN$1)*$CN$4),0)</f>
        <v>0</v>
      </c>
      <c r="CQ27" s="92">
        <f>IFERROR(IF($CN$2="Enter Spend&gt;&gt;&gt;",'Multi-Customer'!CN27/VLOOKUP($CN$5,'Basket Composition'!$A$65:$W$92,'Multi-Customer'!$AR27,FALSE),SUMIFS('Existing Customers'!$P:$P,'Existing Customers'!$H:$H,'Multi-Customer'!$AT27,'Existing Customers'!$A:$A,'Multi-Customer'!$CN$1)*$CN$4),0)</f>
        <v>0</v>
      </c>
      <c r="CR27" s="101">
        <f>IFERROR(IF($CN$2="Enter Spend&gt;&gt;&gt;","N/A",SUMIFS('Existing Customers'!$V:$V,'Existing Customers'!$H:$H,'Multi-Customer'!$AT27,'Existing Customers'!$A:$A,'Multi-Customer'!CN$1)*$CN$4),0)</f>
        <v>0</v>
      </c>
      <c r="CS27" s="101">
        <f>IFERROR(IF($CN$2="Enter Spend&gt;&gt;&gt;","N/A",SUMIFS('Existing Customers'!$R:$R,'Existing Customers'!$H:$H,'Multi-Customer'!$AT27,'Existing Customers'!$A:$A,'Multi-Customer'!CN$1)*$CN$4),0)</f>
        <v>0</v>
      </c>
      <c r="CT27" s="132"/>
      <c r="CU27">
        <f>IFERROR(VLOOKUP(CW$5,'Basket Composition'!$A$3:$W$30,'Multi-Customer'!$AR27,FALSE),0)</f>
        <v>0</v>
      </c>
      <c r="CV27" s="105" t="s">
        <v>90</v>
      </c>
      <c r="CW27" s="100">
        <f>IFERROR(IF($CW$2="Enter Spend&gt;&gt;&gt;",$CW$3*CU27,SUMIFS('Existing Customers'!$Q:$Q,'Existing Customers'!$H:$H,'Multi-Customer'!$AT27,'Existing Customers'!$A:$A,'Multi-Customer'!$CW$1)*$CW$4),0)</f>
        <v>0</v>
      </c>
      <c r="CX27" s="92">
        <f>IFERROR(IF($CW$2="Enter Spend&gt;&gt;&gt;",'Multi-Customer'!CW27/VLOOKUP($CW$5,'Basket Composition'!$A$34:$W$61,'Multi-Customer'!$AR27,FALSE),SUMIFS('Existing Customers'!$N:$N,'Existing Customers'!$H:$H,'Multi-Customer'!$AT27,'Existing Customers'!$A:$A,'Multi-Customer'!$CW$1)*$CW$4),0)</f>
        <v>0</v>
      </c>
      <c r="CY27" s="92">
        <f>IFERROR(IF($CW$2="Enter Spend&gt;&gt;&gt;",CX27*$CW$8,SUMIFS('Existing Customers'!$O:$O,'Existing Customers'!$H:$H,'Multi-Customer'!$AT27,'Existing Customers'!$A:$A,'Multi-Customer'!CW$1)*$CW$4),0)</f>
        <v>0</v>
      </c>
      <c r="CZ27" s="92">
        <f>IFERROR(IF($CW$2="Enter Spend&gt;&gt;&gt;",'Multi-Customer'!CW27/VLOOKUP($CW$5,'Basket Composition'!$A$65:$W$92,'Multi-Customer'!$AR27,FALSE),SUMIFS('Existing Customers'!$P:$P,'Existing Customers'!$H:$H,'Multi-Customer'!$AT27,'Existing Customers'!$A:$A,'Multi-Customer'!$CW$1)*$CW$4),0)</f>
        <v>0</v>
      </c>
      <c r="DA27" s="101">
        <f>IFERROR(IF($CW$2="Enter Spend&gt;&gt;&gt;","N/A",SUMIFS('Existing Customers'!$V:$V,'Existing Customers'!$H:$H,'Multi-Customer'!$AT27,'Existing Customers'!$A:$A,'Multi-Customer'!CW$1)*$CW$4),0)</f>
        <v>0</v>
      </c>
      <c r="DB27" s="101">
        <f>IFERROR(IF($CW$2="Enter Spend&gt;&gt;&gt;","N/A",SUMIFS('Existing Customers'!$R:$R,'Existing Customers'!$H:$H,'Multi-Customer'!$AT27,'Existing Customers'!$A:$A,'Multi-Customer'!CW$1)*$CW$4),0)</f>
        <v>0</v>
      </c>
      <c r="DC27" s="132"/>
      <c r="DD27">
        <f>IFERROR(VLOOKUP(DF$5,'Basket Composition'!$A$3:$W$30,'Multi-Customer'!$AR27,FALSE),0)</f>
        <v>0</v>
      </c>
      <c r="DE27" s="105" t="s">
        <v>90</v>
      </c>
      <c r="DF27" s="100">
        <f>IFERROR(IF($DF$2="Enter Spend&gt;&gt;&gt;",$DF$3*DD27,SUMIFS('Existing Customers'!$Q:$Q,'Existing Customers'!$H:$H,'Multi-Customer'!$AT27,'Existing Customers'!$A:$A,'Multi-Customer'!$DF$1)*$DF$4),0)</f>
        <v>0</v>
      </c>
      <c r="DG27" s="92">
        <f>IFERROR(IF($DF$2="Enter Spend&gt;&gt;&gt;",'Multi-Customer'!DF27/VLOOKUP($DF$5,'Basket Composition'!$A$34:$W$61,'Multi-Customer'!$AR27,FALSE),SUMIFS('Existing Customers'!$N:$N,'Existing Customers'!$H:$H,'Multi-Customer'!$AT27,'Existing Customers'!$A:$A,'Multi-Customer'!$DF$1)*$DF$4),0)</f>
        <v>0</v>
      </c>
      <c r="DH27" s="92">
        <f>IFERROR(IF($DF$2="Enter Spend&gt;&gt;&gt;",DG27*$DF$8,SUMIFS('Existing Customers'!$O:$O,'Existing Customers'!$H:$H,'Multi-Customer'!$AT27,'Existing Customers'!$A:$A,'Multi-Customer'!DF$1)*$DF$4),0)</f>
        <v>0</v>
      </c>
      <c r="DI27" s="92">
        <f>IFERROR(IF($DF$2="Enter Spend&gt;&gt;&gt;",'Multi-Customer'!DF27/VLOOKUP($DF$5,'Basket Composition'!$A$65:$W$92,'Multi-Customer'!$AR27,FALSE),SUMIFS('Existing Customers'!$P:$P,'Existing Customers'!$H:$H,'Multi-Customer'!$AT27,'Existing Customers'!$A:$A,'Multi-Customer'!$DF$1)*$DF$4),0)</f>
        <v>0</v>
      </c>
      <c r="DJ27" s="101">
        <f>IFERROR(IF($DF$2="Enter Spend&gt;&gt;&gt;","N/A",SUMIFS('Existing Customers'!$V:$V,'Existing Customers'!$H:$H,'Multi-Customer'!$AT27,'Existing Customers'!$A:$A,'Multi-Customer'!DF$1)*$DF$4),0)</f>
        <v>0</v>
      </c>
      <c r="DK27" s="101">
        <f>IFERROR(IF($DF$2="Enter Spend&gt;&gt;&gt;","N/A",SUMIFS('Existing Customers'!$R:$R,'Existing Customers'!$H:$H,'Multi-Customer'!$AT27,'Existing Customers'!$A:$A,'Multi-Customer'!DF$1)*$DF$4),0)</f>
        <v>0</v>
      </c>
      <c r="DL27" s="132"/>
      <c r="DM27">
        <f>IFERROR(VLOOKUP(DO$5,'Basket Composition'!$A$3:$W$30,'Multi-Customer'!$AR27,FALSE),0)</f>
        <v>0</v>
      </c>
      <c r="DN27" s="105" t="s">
        <v>90</v>
      </c>
      <c r="DO27" s="100">
        <f>IFERROR(IF($DO$2="Enter Spend&gt;&gt;&gt;",$DO$3*DM27,SUMIFS('Existing Customers'!$Q:$Q,'Existing Customers'!$H:$H,'Multi-Customer'!$AT27,'Existing Customers'!$A:$A,'Multi-Customer'!$DO$1)*$DO$4),0)</f>
        <v>0</v>
      </c>
      <c r="DP27" s="92">
        <f>IFERROR(IF($DO$2="Enter Spend&gt;&gt;&gt;",'Multi-Customer'!DO27/VLOOKUP($DO$5,'Basket Composition'!$A$34:$W$61,'Multi-Customer'!$AR27,FALSE),SUMIFS('Existing Customers'!$N:$N,'Existing Customers'!$H:$H,'Multi-Customer'!$AT27,'Existing Customers'!$A:$A,'Multi-Customer'!$DO$1)*$DO$4),0)</f>
        <v>0</v>
      </c>
      <c r="DQ27" s="92">
        <f>IFERROR(IF($DO$2="Enter Spend&gt;&gt;&gt;",DP27*$DO$8,SUMIFS('Existing Customers'!$O:$O,'Existing Customers'!$H:$H,'Multi-Customer'!$AT27,'Existing Customers'!$A:$A,'Multi-Customer'!DO$1)*$DO$4),0)</f>
        <v>0</v>
      </c>
      <c r="DR27" s="92">
        <f>IFERROR(IF($DO$2="Enter Spend&gt;&gt;&gt;",'Multi-Customer'!DO27/VLOOKUP($DO$5,'Basket Composition'!$A$65:$W$92,'Multi-Customer'!$AR27,FALSE),SUMIFS('Existing Customers'!$P:$P,'Existing Customers'!$H:$H,'Multi-Customer'!$AT27,'Existing Customers'!$A:$A,'Multi-Customer'!$DO$1)*$DO$4),0)</f>
        <v>0</v>
      </c>
      <c r="DS27" s="117">
        <f>IFERROR(IF($DO$2="Enter Spend&gt;&gt;&gt;","N/A",SUMIFS('Existing Customers'!$V:$V,'Existing Customers'!$H:$H,'Multi-Customer'!$AT27,'Existing Customers'!$A:$A,'Multi-Customer'!DO$1)*$DO$4),0)</f>
        <v>0</v>
      </c>
      <c r="DT27" s="101">
        <f>IFERROR(IF($DO$2="Enter Spend&gt;&gt;&gt;","N/A",SUMIFS('Existing Customers'!$R:$R,'Existing Customers'!$H:$H,'Multi-Customer'!$AT27,'Existing Customers'!$A:$A,'Multi-Customer'!DO$1)*$DO$4),0)</f>
        <v>0</v>
      </c>
      <c r="DU27" s="132"/>
      <c r="DV27">
        <f>IFERROR(VLOOKUP(DX$5,'Basket Composition'!$A$3:$W$30,'Multi-Customer'!$AR27,FALSE),0)</f>
        <v>0</v>
      </c>
      <c r="DW27" s="105" t="s">
        <v>90</v>
      </c>
      <c r="DX27" s="100">
        <f>IFERROR(IF($DX$2="Enter Spend&gt;&gt;&gt;",$DX$3*DV27,SUMIFS('Existing Customers'!$Q:$Q,'Existing Customers'!$H:$H,'Multi-Customer'!$AT27,'Existing Customers'!$A:$A,'Multi-Customer'!$DX$1)*$DX$4),0)</f>
        <v>0</v>
      </c>
      <c r="DY27" s="92">
        <f>IFERROR(IF($DX$2="Enter Spend&gt;&gt;&gt;",'Multi-Customer'!DX27/VLOOKUP($DX$5,'Basket Composition'!$A$34:$W$61,'Multi-Customer'!$AR27,FALSE),SUMIFS('Existing Customers'!$N:$N,'Existing Customers'!$H:$H,'Multi-Customer'!$AT27,'Existing Customers'!$A:$A,'Multi-Customer'!$DX$1)*$DX$4),0)</f>
        <v>0</v>
      </c>
      <c r="DZ27" s="92">
        <f>IFERROR(IF($DX$2="Enter Spend&gt;&gt;&gt;",DY27*$DX$8,SUMIFS('Existing Customers'!$O:$O,'Existing Customers'!$H:$H,'Multi-Customer'!$AT27,'Existing Customers'!$A:$A,'Multi-Customer'!DX$1)*$DX$4),0)</f>
        <v>0</v>
      </c>
      <c r="EA27" s="92">
        <f>IFERROR(IF($DX$2="Enter Spend&gt;&gt;&gt;",'Multi-Customer'!DX27/VLOOKUP($DX$5,'Basket Composition'!$A$65:$W$92,'Multi-Customer'!$AR27,FALSE),SUMIFS('Existing Customers'!$P:$P,'Existing Customers'!$H:$H,'Multi-Customer'!$AT27,'Existing Customers'!$A:$A,'Multi-Customer'!$DX$1)*$DX$4),0)</f>
        <v>0</v>
      </c>
      <c r="EB27" s="117">
        <f>IFERROR(IF($DX$2="Enter Spend&gt;&gt;&gt;","N/A",SUMIFS('Existing Customers'!$V:$V,'Existing Customers'!$H:$H,'Multi-Customer'!$AT27,'Existing Customers'!$A:$A,'Multi-Customer'!DX$1)*$DX$4),0)</f>
        <v>0</v>
      </c>
      <c r="EC27" s="101">
        <f>IFERROR(IF($DX$2="Enter Spend&gt;&gt;&gt;","N/A",SUMIFS('Existing Customers'!$R:$R,'Existing Customers'!$H:$H,'Multi-Customer'!$AT27,'Existing Customers'!$A:$A,'Multi-Customer'!DX$1)*$DX$4),0)</f>
        <v>0</v>
      </c>
      <c r="EE27" s="105" t="s">
        <v>90</v>
      </c>
      <c r="EF27" s="100"/>
      <c r="EG27" s="92"/>
      <c r="EH27" s="92"/>
      <c r="EI27" s="92"/>
      <c r="EJ27" s="117"/>
      <c r="EK27" s="101"/>
      <c r="EL27" s="132"/>
      <c r="EN27" s="105" t="s">
        <v>90</v>
      </c>
      <c r="EO27" s="100"/>
      <c r="EP27" s="92"/>
      <c r="EQ27" s="92"/>
      <c r="ER27" s="92"/>
      <c r="ES27" s="117"/>
      <c r="ET27" s="101"/>
    </row>
    <row r="28" spans="2:150" x14ac:dyDescent="0.25">
      <c r="B28" s="105" t="s">
        <v>89</v>
      </c>
      <c r="C28" s="487">
        <f t="shared" si="6"/>
        <v>0</v>
      </c>
      <c r="D28" s="504">
        <f t="shared" si="7"/>
        <v>0</v>
      </c>
      <c r="E28" s="504">
        <f t="shared" si="8"/>
        <v>0</v>
      </c>
      <c r="F28" s="504">
        <f t="shared" si="9"/>
        <v>0</v>
      </c>
      <c r="G28" s="505">
        <f t="shared" si="10"/>
        <v>0</v>
      </c>
      <c r="H28" s="507">
        <f t="shared" si="11"/>
        <v>0</v>
      </c>
      <c r="J28" t="str">
        <f>'PIM Model'!E26</f>
        <v>INCLUDE</v>
      </c>
      <c r="K28">
        <f t="shared" si="12"/>
        <v>0</v>
      </c>
      <c r="L28">
        <f t="shared" si="13"/>
        <v>0</v>
      </c>
      <c r="M28" s="105" t="s">
        <v>89</v>
      </c>
      <c r="N28" s="100">
        <f t="shared" si="14"/>
        <v>0</v>
      </c>
      <c r="O28" s="92">
        <f t="shared" si="0"/>
        <v>0</v>
      </c>
      <c r="P28" s="92">
        <f t="shared" si="1"/>
        <v>0</v>
      </c>
      <c r="Q28" s="92">
        <f t="shared" si="2"/>
        <v>0</v>
      </c>
      <c r="R28" s="117">
        <f t="shared" si="3"/>
        <v>0</v>
      </c>
      <c r="S28" s="120">
        <f t="shared" si="15"/>
        <v>0</v>
      </c>
      <c r="T28" s="404"/>
      <c r="U28" s="105" t="s">
        <v>89</v>
      </c>
      <c r="V28" s="491">
        <f t="shared" si="4"/>
        <v>0</v>
      </c>
      <c r="W28" s="492">
        <f t="shared" si="4"/>
        <v>0</v>
      </c>
      <c r="X28" s="492">
        <f t="shared" si="4"/>
        <v>0</v>
      </c>
      <c r="Y28" s="493">
        <f t="shared" si="16"/>
        <v>0</v>
      </c>
      <c r="Z28" s="494">
        <f t="shared" si="17"/>
        <v>0</v>
      </c>
      <c r="AA28" s="404"/>
      <c r="AB28" s="105" t="s">
        <v>89</v>
      </c>
      <c r="AC28" s="491">
        <f t="shared" si="5"/>
        <v>0</v>
      </c>
      <c r="AD28" s="488">
        <f t="shared" si="18"/>
        <v>0</v>
      </c>
      <c r="AE28" s="494"/>
      <c r="AF28" s="404"/>
      <c r="AG28" s="1" t="str">
        <f>IF('PIM Ranges'!$AK28='PIM Ranges'!$AW$11,IF($AC28&lt;'PIM Ranges'!$AX$11,"Q1",IF($AC28&lt;'PIM Ranges'!$AY$11,"Q2",IF($AC28&lt;'PIM Ranges'!$AZ$11,"Q3",IF($AC28&lt;'PIM Ranges'!$BA$11,"Q4","Q5")))),IF('PIM Ranges'!$AK28='PIM Ranges'!$AW$12,IF($AC28&lt;'PIM Ranges'!$AX$12,"Q1",IF($AC28&lt;'PIM Ranges'!$AY$12,"Q2",IF($AC28&lt;'PIM Ranges'!$AZ$12,"Q3",IF($AC28&lt;'PIM Ranges'!$BA$12,"Q4","Q5")))),IF('PIM Ranges'!$AK28='PIM Ranges'!$AW$13,IF($AC28&lt;'PIM Ranges'!$AX$13,"Q1",IF($AC28&lt;'PIM Ranges'!$AY$13,"Q2",IF($AC28&lt;'PIM Ranges'!$AZ$13,"Q3",IF($AC28&lt;'PIM Ranges'!$BA$13,"Q4","Q5")))),IF('PIM Ranges'!$AK28='PIM Ranges'!$AW$14,IF($AC28&lt;'PIM Ranges'!$AX$14,"Q1",IF($AC28&lt;'PIM Ranges'!$AY$14,"Q2",IF($AC28&lt;'PIM Ranges'!$AZ$14,"Q3",IF($AC28&lt;'PIM Ranges'!$BA$14,"Q4","Q5")))),IF('PIM Ranges'!$AK28='PIM Ranges'!$AW$15,IF($AC28&lt;'PIM Ranges'!$AX$15,"Q1",IF($AC28&lt;'PIM Ranges'!$AY$15,"Q2",IF($AC28&lt;'PIM Ranges'!$AZ$15,"Q3",IF($AC28&lt;'PIM Ranges'!$BA$15,"Q4","Q5")))),IF('PIM Ranges'!$AK28='PIM Ranges'!$AW$16,IF($AC28&lt;'PIM Ranges'!$AX$16,"Q1",IF($AC28&lt;'PIM Ranges'!$AY$16,"Q2",IF($AC28&lt;'PIM Ranges'!$AZ$16,"Q3",IF($AC28&lt;'PIM Ranges'!$BA$16,"Q4","Q5")))),IF('PIM Ranges'!$AK28='PIM Ranges'!$AW$17,IF($AC28&lt;'PIM Ranges'!$AX$17,"Q1",IF($AC28&lt;'PIM Ranges'!$AY$17,"Q2",IF($AC28&lt;'PIM Ranges'!$AZ$17,"Q3",IF($AC28&lt;'PIM Ranges'!$BA$17,"Q4","Q5")))),IF('PIM Ranges'!$AK28='PIM Ranges'!$AW$18,IF($AC28&lt;'PIM Ranges'!$AX$18,"Q1",IF($AC28&lt;'PIM Ranges'!$AY$18,"Q2",IF($AC28&lt;'PIM Ranges'!$AZ$18,"Q3",IF($AC28&lt;'PIM Ranges'!$BA$18,"Q4","Q5")))),IF('PIM Ranges'!$AK28='PIM Ranges'!$AW$19,IF($AC28&lt;'PIM Ranges'!$AX$19,"Q1",IF($AC28&lt;'PIM Ranges'!$AY$19,"Q2",IF($AC28&lt;'PIM Ranges'!$AZ$19,"Q3",IF($AC28&lt;'PIM Ranges'!$BA$19,"Q4","Q5")))),IF('PIM Ranges'!$AK28='PIM Ranges'!$AW$20,IF($AC28&lt;'PIM Ranges'!$AX$20,"Q1",IF($AC28&lt;'PIM Ranges'!$AY$20,"Q2",IF($AC28&lt;'PIM Ranges'!$AZ$20,"Q3",IF($AC28&lt;'PIM Ranges'!$BA$20,"Q4","Q5")))),IF('PIM Ranges'!$AK28='PIM Ranges'!$AW$21,IF($AC28&lt;'PIM Ranges'!$AX$21,"Q1",IF($AC28&lt;'PIM Ranges'!$AY$21,"Q2",IF($AC28&lt;'PIM Ranges'!$AZ$21,"Q3",IF($AC28&lt;'PIM Ranges'!$BA$21,"Q4","Q5")))),IF('PIM Ranges'!$AK28='PIM Ranges'!$AW$22,IF($AC28&lt;'PIM Ranges'!$AX$22,"Q1",IF($AC28&lt;'PIM Ranges'!$AY$22,"Q2",IF($AC28&lt;'PIM Ranges'!$AZ$22,"Q3",IF($AC28&lt;'PIM Ranges'!$BA$22,"Q4","Q5")))),IF('PIM Ranges'!$AK28='PIM Ranges'!$AW$23,IF($AC28&lt;'PIM Ranges'!$AX$23,"Q1",IF($AC28&lt;'PIM Ranges'!$AY$23,"Q2",IF($AC28&lt;'PIM Ranges'!$AZ$23,"Q3",IF($AC28&lt;'PIM Ranges'!$BA$23,"Q4","Q5")))),IF('PIM Ranges'!$AK28='PIM Ranges'!$AW$24,IF($AC28&lt;'PIM Ranges'!$AX$24,"Q1",IF($AC28&lt;'PIM Ranges'!$AY$24,"Q2",IF($AC28&lt;'PIM Ranges'!$AZ$24,"Q3",IF($AC28&lt;'PIM Ranges'!$BA$24,"Q4","Q5")))),IF('PIM Ranges'!$AK28='PIM Ranges'!$AW$25,IF($AC28&lt;'PIM Ranges'!$AX$25,"Q1",IF($AC28&lt;'PIM Ranges'!$AY$25,"Q2",IF($AC28&lt;'PIM Ranges'!$AZ$25,"Q3",IF($AC28&lt;'PIM Ranges'!$BA$25,"Q4","Q5")))),IF('PIM Ranges'!$AK28='PIM Ranges'!$AW$26,IF($AC28&lt;'PIM Ranges'!$AX$26,"Q1",IF($AC28&lt;'PIM Ranges'!$AY$26,"Q2",IF($AC28&lt;'PIM Ranges'!$AZ$26,"Q3",IF($AC28&lt;'PIM Ranges'!$BA$26,"Q4","Q5")))),IF('PIM Ranges'!$AK28='PIM Ranges'!$AW$27,IF($AC28&lt;'PIM Ranges'!$AX$27,"Q1",IF($AC28&lt;'PIM Ranges'!$AY$27,"Q2",IF($AC28&lt;'PIM Ranges'!$AZ$27,"Q3",IF($AC28&lt;'PIM Ranges'!$BA$27,"Q4","Q5")))),IF('PIM Ranges'!$AK28='PIM Ranges'!$AW$28,IF($AC28&lt;'PIM Ranges'!$AX$28,"Q1",IF($AC28&lt;'PIM Ranges'!$AY$28,"Q2",IF($AC28&lt;'PIM Ranges'!$AZ$28,"Q3",IF($AC28&lt;'PIM Ranges'!$BA$28,"Q4","Q5")))),IF('PIM Ranges'!$AK28='PIM Ranges'!$AW$29,IF($AC28&lt;'PIM Ranges'!$AX$29,"Q1",IF($AC28&lt;'PIM Ranges'!$AY$29,"Q2",IF($AC28&lt;'PIM Ranges'!$AZ$29,"Q3",IF($AC28&lt;'PIM Ranges'!$BA$29,"Q4","Q5")))),IF('PIM Ranges'!$AK28='PIM Ranges'!$AW$30,IF($AC28&lt;'PIM Ranges'!$AX$30,"Q1",IF($AC28&lt;'PIM Ranges'!$AY$30,"Q2",IF($AC28&lt;'PIM Ranges'!$AZ$30,"Q3",IF($AC28&lt;'PIM Ranges'!$BA$30,"Q4","Q5")))),IF('PIM Ranges'!$AK28='PIM Ranges'!$AW$31,IF($AC28&lt;'PIM Ranges'!$AX$31,"Q1",IF($AC28&lt;'PIM Ranges'!$AY$31,"Q2",IF($AC28&lt;'PIM Ranges'!$AZ$31,"Q3",IF($AC28&lt;'PIM Ranges'!$BA$31,"Q4","Q5")))),IF('PIM Ranges'!$AK28='PIM Ranges'!$AW$32,IF($AC28&lt;'PIM Ranges'!$AX$32,"Q1",IF($AC28&lt;'PIM Ranges'!$AY$32,"Q2",IF($AC28&lt;'PIM Ranges'!$AZ$32,"Q3",IF($AC28&lt;'PIM Ranges'!$BA$32,"Q4","Q5"))))))))))))))))))))))))))</f>
        <v>Q1</v>
      </c>
      <c r="AH28" s="404">
        <f>VLOOKUP($AB28&amp;$AG28,'IMargin Quartiles'!$A:$F,6,FALSE)</f>
        <v>0.17</v>
      </c>
      <c r="AI28" s="404"/>
      <c r="AJ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K28" s="404" t="e">
        <f>VLOOKUP($AB28&amp;$AJ28,'IMargin Quartiles'!$A:$F,6,FALSE)</f>
        <v>#DIV/0!</v>
      </c>
      <c r="AL28">
        <f>'PIM Model'!C26</f>
        <v>0</v>
      </c>
      <c r="AM28" s="404"/>
      <c r="AN28" s="404"/>
      <c r="AO28" s="404" t="e">
        <f t="shared" si="19"/>
        <v>#DIV/0!</v>
      </c>
      <c r="AP28" s="404"/>
      <c r="AQ28" s="404"/>
      <c r="AR28" s="111">
        <v>19</v>
      </c>
      <c r="AS28">
        <f>IFERROR(VLOOKUP(AU$5,'Basket Composition'!$A$3:$W$30,'Multi-Customer'!$AR28,FALSE),0)</f>
        <v>0</v>
      </c>
      <c r="AT28" s="105" t="s">
        <v>89</v>
      </c>
      <c r="AU28" s="100">
        <f>IFERROR(IF($AU$2="Enter Spend&gt;&gt;&gt;",$AU$3*AS28,SUMIFS('Existing Customers'!$Q:$Q,'Existing Customers'!$H:$H,'Multi-Customer'!$AT28,'Existing Customers'!$A:$A,'Multi-Customer'!$AU$1)*$AU$4),0)</f>
        <v>0</v>
      </c>
      <c r="AV28" s="92">
        <f>IFERROR(IF($AU$2="Enter Spend&gt;&gt;&gt;",'Multi-Customer'!AU28/VLOOKUP($AU$5,'Basket Composition'!$A$34:$W$61,'Multi-Customer'!$AR28,FALSE),SUMIFS('Existing Customers'!$N:$N,'Existing Customers'!$H:$H,'Multi-Customer'!$AT28,'Existing Customers'!$A:$A,'Multi-Customer'!$AU$1)*$AU$4),0)</f>
        <v>0</v>
      </c>
      <c r="AW28" s="92">
        <f>IFERROR(IF($AU$2="Enter Spend&gt;&gt;&gt;",AV28*$AU$8,SUMIFS('Existing Customers'!$O:$O,'Existing Customers'!$H:$H,'Multi-Customer'!$AT28,'Existing Customers'!$A:$A,'Multi-Customer'!AU$1)*$AU$4),0)</f>
        <v>0</v>
      </c>
      <c r="AX28" s="92">
        <f>IFERROR(IF($AU$2="Enter Spend&gt;&gt;&gt;",'Multi-Customer'!AU28/VLOOKUP($AU$5,'Basket Composition'!$A$65:$W$92,'Multi-Customer'!$AR28,FALSE),SUMIFS('Existing Customers'!$P:$P,'Existing Customers'!$H:$H,'Multi-Customer'!$AT28,'Existing Customers'!$A:$A,'Multi-Customer'!$AU$1)*$AU$4),0)</f>
        <v>0</v>
      </c>
      <c r="AY28" s="117">
        <f>IFERROR(IF($AU$2="Enter Spend&gt;&gt;&gt;","N/A",SUMIFS('Existing Customers'!$V:$V,'Existing Customers'!$H:$H,'Multi-Customer'!$AT28,'Existing Customers'!$A:$A,'Multi-Customer'!AU$1)*$AU$4),0)</f>
        <v>0</v>
      </c>
      <c r="AZ28" s="101">
        <f>IFERROR(IF($AU$2="Enter Spend&gt;&gt;&gt;","N/A",SUMIFS('Existing Customers'!$R:$R,'Existing Customers'!$H:$H,'Multi-Customer'!$AT28,'Existing Customers'!$A:$A,'Multi-Customer'!AU$1)*$AU$4),0)</f>
        <v>0</v>
      </c>
      <c r="BA28" s="132"/>
      <c r="BB28">
        <f>IFERROR(VLOOKUP(BD$5,'Basket Composition'!$A$3:$W$30,'Multi-Customer'!$AR28,FALSE),0)</f>
        <v>0</v>
      </c>
      <c r="BC28" s="105" t="s">
        <v>89</v>
      </c>
      <c r="BD28" s="100">
        <f>IFERROR(IF($BD$2="Enter Spend&gt;&gt;&gt;",$BD$3*BB28,SUMIFS('Existing Customers'!$Q:$Q,'Existing Customers'!$H:$H,'Multi-Customer'!$AT28,'Existing Customers'!$A:$A,'Multi-Customer'!$BD$1)*$BD$4),0)</f>
        <v>0</v>
      </c>
      <c r="BE28" s="92">
        <f>IFERROR(IF($BD$2="Enter Spend&gt;&gt;&gt;",'Multi-Customer'!BD28/VLOOKUP($BD$5,'Basket Composition'!$A$34:$W$61,'Multi-Customer'!$AR28,FALSE),SUMIFS('Existing Customers'!$N:$N,'Existing Customers'!$H:$H,'Multi-Customer'!$AT28,'Existing Customers'!$A:$A,'Multi-Customer'!$BD$1)*$BD$4),0)</f>
        <v>0</v>
      </c>
      <c r="BF28" s="92">
        <f>IFERROR(IF($BD$2="Enter Spend&gt;&gt;&gt;",BE28*$BD$8,SUMIFS('Existing Customers'!$O:$O,'Existing Customers'!$H:$H,'Multi-Customer'!$AT28,'Existing Customers'!$A:$A,'Multi-Customer'!BD$1)*$BD$4),0)</f>
        <v>0</v>
      </c>
      <c r="BG28" s="92">
        <f>IFERROR(IF($BD$2="Enter Spend&gt;&gt;&gt;",'Multi-Customer'!BD28/VLOOKUP($BD$5,'Basket Composition'!$A$65:$W$92,'Multi-Customer'!$AR28,FALSE),SUMIFS('Existing Customers'!$P:$P,'Existing Customers'!$H:$H,'Multi-Customer'!$AT28,'Existing Customers'!$A:$A,'Multi-Customer'!$BD$1)*$BD$4),0)</f>
        <v>0</v>
      </c>
      <c r="BH28" s="101">
        <f>IFERROR(IF($BD$2="Enter Spend&gt;&gt;&gt;","N/A",SUMIFS('Existing Customers'!$V:$V,'Existing Customers'!$H:$H,'Multi-Customer'!$AT28,'Existing Customers'!$A:$A,'Multi-Customer'!BD$1)*$BD$4),0)</f>
        <v>0</v>
      </c>
      <c r="BI28" s="101">
        <f>IFERROR(IF($BD$2="Enter Spend&gt;&gt;&gt;","N/A",SUMIFS('Existing Customers'!$R:$R,'Existing Customers'!$H:$H,'Multi-Customer'!$AT28,'Existing Customers'!$A:$A,'Multi-Customer'!BD$1)*$BD$4),0)</f>
        <v>0</v>
      </c>
      <c r="BJ28" s="132"/>
      <c r="BK28">
        <f>IFERROR(VLOOKUP(BM$5,'Basket Composition'!$A$3:$W$30,'Multi-Customer'!$AR28,FALSE),0)</f>
        <v>0</v>
      </c>
      <c r="BL28" s="105" t="s">
        <v>89</v>
      </c>
      <c r="BM28" s="100">
        <f>IFERROR(IF($BM$2="Enter Spend&gt;&gt;&gt;",$BM$3*BK28,SUMIFS('Existing Customers'!$Q:$Q,'Existing Customers'!$H:$H,'Multi-Customer'!$AT28,'Existing Customers'!$A:$A,'Multi-Customer'!$BM$1)*$BM$4),0)</f>
        <v>0</v>
      </c>
      <c r="BN28" s="92">
        <f>IFERROR(IF($BM$2="Enter Spend&gt;&gt;&gt;",'Multi-Customer'!BM28/VLOOKUP($BM$5,'Basket Composition'!$A$34:$W$61,'Multi-Customer'!$AR28,FALSE),SUMIFS('Existing Customers'!$N:$N,'Existing Customers'!$H:$H,'Multi-Customer'!$AT28,'Existing Customers'!$A:$A,'Multi-Customer'!$BM$1)*$BM$4),0)</f>
        <v>0</v>
      </c>
      <c r="BO28" s="92">
        <f>IFERROR(IF($BM$2="Enter Spend&gt;&gt;&gt;",BN28*$BM$8,SUMIFS('Existing Customers'!$O:$O,'Existing Customers'!$H:$H,'Multi-Customer'!$AT28,'Existing Customers'!$A:$A,'Multi-Customer'!BM$1)*$BM$4),0)</f>
        <v>0</v>
      </c>
      <c r="BP28" s="92">
        <f>IFERROR(IF($BM$2="Enter Spend&gt;&gt;&gt;",'Multi-Customer'!BM28/VLOOKUP($BM$5,'Basket Composition'!$A$65:$W$92,'Multi-Customer'!$AR28,FALSE),SUMIFS('Existing Customers'!$P:$P,'Existing Customers'!$H:$H,'Multi-Customer'!$AT28,'Existing Customers'!$A:$A,'Multi-Customer'!$BM$1)*$BM$4),0)</f>
        <v>0</v>
      </c>
      <c r="BQ28" s="101">
        <f>IFERROR(IF($BM$2="Enter Spend&gt;&gt;&gt;","N/A",SUMIFS('Existing Customers'!$V:$V,'Existing Customers'!$H:$H,'Multi-Customer'!$AT28,'Existing Customers'!$A:$A,'Multi-Customer'!BM$1)*$BM$4),0)</f>
        <v>0</v>
      </c>
      <c r="BR28" s="101">
        <f>IFERROR(IF($BM$2="Enter Spend&gt;&gt;&gt;","N/A",SUMIFS('Existing Customers'!$R:$R,'Existing Customers'!$H:$H,'Multi-Customer'!$AT28,'Existing Customers'!$A:$A,'Multi-Customer'!BM$1)*$BM$4),0)</f>
        <v>0</v>
      </c>
      <c r="BS28" s="132"/>
      <c r="BT28">
        <f>IFERROR(VLOOKUP(BV$5,'Basket Composition'!$A$3:$W$30,'Multi-Customer'!$AR28,FALSE),0)</f>
        <v>0</v>
      </c>
      <c r="BU28" s="105" t="s">
        <v>89</v>
      </c>
      <c r="BV28" s="100">
        <f>IFERROR(IF($BV$2="Enter Spend&gt;&gt;&gt;",$BV$3*BT28,SUMIFS('Existing Customers'!$Q:$Q,'Existing Customers'!$H:$H,'Multi-Customer'!$AT28,'Existing Customers'!$A:$A,'Multi-Customer'!$BV$1)*$BV$4),0)</f>
        <v>0</v>
      </c>
      <c r="BW28" s="92">
        <f>IFERROR(IF($BV$2="Enter Spend&gt;&gt;&gt;",'Multi-Customer'!BV28/VLOOKUP($BV$5,'Basket Composition'!$A$34:$W$61,'Multi-Customer'!$AR28,FALSE),SUMIFS('Existing Customers'!$N:$N,'Existing Customers'!$H:$H,'Multi-Customer'!$AT28,'Existing Customers'!$A:$A,'Multi-Customer'!$BV$1)*$BV$4),0)</f>
        <v>0</v>
      </c>
      <c r="BX28" s="92">
        <f>IFERROR(IF($BV$2="Enter Spend&gt;&gt;&gt;",BW28*$BV$8,SUMIFS('Existing Customers'!$O:$O,'Existing Customers'!$H:$H,'Multi-Customer'!$AT28,'Existing Customers'!$A:$A,'Multi-Customer'!BV$1)*$BV$4),0)</f>
        <v>0</v>
      </c>
      <c r="BY28" s="92">
        <f>IFERROR(IF($BV$2="Enter Spend&gt;&gt;&gt;",'Multi-Customer'!BV28/VLOOKUP($BV$5,'Basket Composition'!$A$65:$W$92,'Multi-Customer'!$AR28,FALSE),SUMIFS('Existing Customers'!$P:$P,'Existing Customers'!$H:$H,'Multi-Customer'!$AT28,'Existing Customers'!$A:$A,'Multi-Customer'!$BV$1)*$BV$4),0)</f>
        <v>0</v>
      </c>
      <c r="BZ28" s="101">
        <f>IFERROR(IF($BV$2="Enter Spend&gt;&gt;&gt;","N/A",SUMIFS('Existing Customers'!$V:$V,'Existing Customers'!$H:$H,'Multi-Customer'!$AT28,'Existing Customers'!$A:$A,'Multi-Customer'!BV$1)*$BV$4),0)</f>
        <v>0</v>
      </c>
      <c r="CA28" s="101">
        <f>IFERROR(IF($BV$2="Enter Spend&gt;&gt;&gt;","N/A",SUMIFS('Existing Customers'!$R:$R,'Existing Customers'!$H:$H,'Multi-Customer'!$AT28,'Existing Customers'!$A:$A,'Multi-Customer'!BV$1)*$BV$4),0)</f>
        <v>0</v>
      </c>
      <c r="CB28" s="132"/>
      <c r="CC28">
        <f>IFERROR(VLOOKUP(CE$5,'Basket Composition'!$A$3:$W$30,'Multi-Customer'!$AR28,FALSE),0)</f>
        <v>0</v>
      </c>
      <c r="CD28" s="105" t="s">
        <v>89</v>
      </c>
      <c r="CE28" s="100">
        <f>IFERROR(IF($CE$2="Enter Spend&gt;&gt;&gt;",$CE$3*CC28,SUMIFS('Existing Customers'!$Q:$Q,'Existing Customers'!$H:$H,'Multi-Customer'!$AT28,'Existing Customers'!$A:$A,'Multi-Customer'!$CE$1)*$CE$4),0)</f>
        <v>0</v>
      </c>
      <c r="CF28" s="92">
        <f>IFERROR(IF($CE$2="Enter Spend&gt;&gt;&gt;",'Multi-Customer'!CE28/VLOOKUP($CE$5,'Basket Composition'!$A$34:$W$61,'Multi-Customer'!$AR28,FALSE),SUMIFS('Existing Customers'!$N:$N,'Existing Customers'!$H:$H,'Multi-Customer'!$AT28,'Existing Customers'!$A:$A,'Multi-Customer'!$CE$1)*$CE$4),0)</f>
        <v>0</v>
      </c>
      <c r="CG28" s="92">
        <f>IFERROR(IF($CE$2="Enter Spend&gt;&gt;&gt;",CF28*$CE$8,SUMIFS('Existing Customers'!$O:$O,'Existing Customers'!$H:$H,'Multi-Customer'!$AT28,'Existing Customers'!$A:$A,'Multi-Customer'!CE$1)*$CE$4),0)</f>
        <v>0</v>
      </c>
      <c r="CH28" s="92">
        <f>IFERROR(IF($CE$2="Enter Spend&gt;&gt;&gt;",'Multi-Customer'!CE28/VLOOKUP($CE$5,'Basket Composition'!$A$65:$W$92,'Multi-Customer'!$AR28,FALSE),SUMIFS('Existing Customers'!$P:$P,'Existing Customers'!$H:$H,'Multi-Customer'!$AT28,'Existing Customers'!$A:$A,'Multi-Customer'!$CE$1)*$CE$4),0)</f>
        <v>0</v>
      </c>
      <c r="CI28" s="101">
        <f>IFERROR(IF($CE$2="Enter Spend&gt;&gt;&gt;","N/A",SUMIFS('Existing Customers'!$V:$V,'Existing Customers'!$H:$H,'Multi-Customer'!$AT28,'Existing Customers'!$A:$A,'Multi-Customer'!CE$1)*$CE$4),0)</f>
        <v>0</v>
      </c>
      <c r="CJ28" s="101">
        <f>IFERROR(IF($CE$2="Enter Spend&gt;&gt;&gt;","N/A",SUMIFS('Existing Customers'!$R:$R,'Existing Customers'!$H:$H,'Multi-Customer'!$AT28,'Existing Customers'!$A:$A,'Multi-Customer'!CE$1)*$CE$4),0)</f>
        <v>0</v>
      </c>
      <c r="CK28" s="132"/>
      <c r="CL28">
        <f>IFERROR(VLOOKUP(CN$5,'Basket Composition'!$A$3:$W$30,'Multi-Customer'!$AR28,FALSE),0)</f>
        <v>0</v>
      </c>
      <c r="CM28" s="105" t="s">
        <v>89</v>
      </c>
      <c r="CN28" s="100">
        <f>IFERROR(IF($CN$2="Enter Spend&gt;&gt;&gt;",$CN$3*CL28,SUMIFS('Existing Customers'!$Q:$Q,'Existing Customers'!$H:$H,'Multi-Customer'!$AT28,'Existing Customers'!$A:$A,'Multi-Customer'!$CN$1)*$CN$4),0)</f>
        <v>0</v>
      </c>
      <c r="CO28" s="92">
        <f>IFERROR(IF($CN$2="Enter Spend&gt;&gt;&gt;",'Multi-Customer'!CN28/VLOOKUP($CN$5,'Basket Composition'!$A$34:$W$61,'Multi-Customer'!$AR28,FALSE),SUMIFS('Existing Customers'!$N:$N,'Existing Customers'!$H:$H,'Multi-Customer'!$AT28,'Existing Customers'!$A:$A,'Multi-Customer'!$CN$1)*$CN$4),0)</f>
        <v>0</v>
      </c>
      <c r="CP28" s="92">
        <f>IFERROR(IF($CN$2="Enter Spend&gt;&gt;&gt;",CO28*$CN$8,SUMIFS('Existing Customers'!$O:$O,'Existing Customers'!$H:$H,'Multi-Customer'!$AT28,'Existing Customers'!$A:$A,'Multi-Customer'!CN$1)*$CN$4),0)</f>
        <v>0</v>
      </c>
      <c r="CQ28" s="92">
        <f>IFERROR(IF($CN$2="Enter Spend&gt;&gt;&gt;",'Multi-Customer'!CN28/VLOOKUP($CN$5,'Basket Composition'!$A$65:$W$92,'Multi-Customer'!$AR28,FALSE),SUMIFS('Existing Customers'!$P:$P,'Existing Customers'!$H:$H,'Multi-Customer'!$AT28,'Existing Customers'!$A:$A,'Multi-Customer'!$CN$1)*$CN$4),0)</f>
        <v>0</v>
      </c>
      <c r="CR28" s="101">
        <f>IFERROR(IF($CN$2="Enter Spend&gt;&gt;&gt;","N/A",SUMIFS('Existing Customers'!$V:$V,'Existing Customers'!$H:$H,'Multi-Customer'!$AT28,'Existing Customers'!$A:$A,'Multi-Customer'!CN$1)*$CN$4),0)</f>
        <v>0</v>
      </c>
      <c r="CS28" s="101">
        <f>IFERROR(IF($CN$2="Enter Spend&gt;&gt;&gt;","N/A",SUMIFS('Existing Customers'!$R:$R,'Existing Customers'!$H:$H,'Multi-Customer'!$AT28,'Existing Customers'!$A:$A,'Multi-Customer'!CN$1)*$CN$4),0)</f>
        <v>0</v>
      </c>
      <c r="CT28" s="132"/>
      <c r="CU28">
        <f>IFERROR(VLOOKUP(CW$5,'Basket Composition'!$A$3:$W$30,'Multi-Customer'!$AR28,FALSE),0)</f>
        <v>0</v>
      </c>
      <c r="CV28" s="105" t="s">
        <v>89</v>
      </c>
      <c r="CW28" s="100">
        <f>IFERROR(IF($CW$2="Enter Spend&gt;&gt;&gt;",$CW$3*CU28,SUMIFS('Existing Customers'!$Q:$Q,'Existing Customers'!$H:$H,'Multi-Customer'!$AT28,'Existing Customers'!$A:$A,'Multi-Customer'!$CW$1)*$CW$4),0)</f>
        <v>0</v>
      </c>
      <c r="CX28" s="92">
        <f>IFERROR(IF($CW$2="Enter Spend&gt;&gt;&gt;",'Multi-Customer'!CW28/VLOOKUP($CW$5,'Basket Composition'!$A$34:$W$61,'Multi-Customer'!$AR28,FALSE),SUMIFS('Existing Customers'!$N:$N,'Existing Customers'!$H:$H,'Multi-Customer'!$AT28,'Existing Customers'!$A:$A,'Multi-Customer'!$CW$1)*$CW$4),0)</f>
        <v>0</v>
      </c>
      <c r="CY28" s="92">
        <f>IFERROR(IF($CW$2="Enter Spend&gt;&gt;&gt;",CX28*$CW$8,SUMIFS('Existing Customers'!$O:$O,'Existing Customers'!$H:$H,'Multi-Customer'!$AT28,'Existing Customers'!$A:$A,'Multi-Customer'!CW$1)*$CW$4),0)</f>
        <v>0</v>
      </c>
      <c r="CZ28" s="92">
        <f>IFERROR(IF($CW$2="Enter Spend&gt;&gt;&gt;",'Multi-Customer'!CW28/VLOOKUP($CW$5,'Basket Composition'!$A$65:$W$92,'Multi-Customer'!$AR28,FALSE),SUMIFS('Existing Customers'!$P:$P,'Existing Customers'!$H:$H,'Multi-Customer'!$AT28,'Existing Customers'!$A:$A,'Multi-Customer'!$CW$1)*$CW$4),0)</f>
        <v>0</v>
      </c>
      <c r="DA28" s="101">
        <f>IFERROR(IF($CW$2="Enter Spend&gt;&gt;&gt;","N/A",SUMIFS('Existing Customers'!$V:$V,'Existing Customers'!$H:$H,'Multi-Customer'!$AT28,'Existing Customers'!$A:$A,'Multi-Customer'!CW$1)*$CW$4),0)</f>
        <v>0</v>
      </c>
      <c r="DB28" s="101">
        <f>IFERROR(IF($CW$2="Enter Spend&gt;&gt;&gt;","N/A",SUMIFS('Existing Customers'!$R:$R,'Existing Customers'!$H:$H,'Multi-Customer'!$AT28,'Existing Customers'!$A:$A,'Multi-Customer'!CW$1)*$CW$4),0)</f>
        <v>0</v>
      </c>
      <c r="DC28" s="132"/>
      <c r="DD28">
        <f>IFERROR(VLOOKUP(DF$5,'Basket Composition'!$A$3:$W$30,'Multi-Customer'!$AR28,FALSE),0)</f>
        <v>0</v>
      </c>
      <c r="DE28" s="105" t="s">
        <v>89</v>
      </c>
      <c r="DF28" s="100">
        <f>IFERROR(IF($DF$2="Enter Spend&gt;&gt;&gt;",$DF$3*DD28,SUMIFS('Existing Customers'!$Q:$Q,'Existing Customers'!$H:$H,'Multi-Customer'!$AT28,'Existing Customers'!$A:$A,'Multi-Customer'!$DF$1)*$DF$4),0)</f>
        <v>0</v>
      </c>
      <c r="DG28" s="92">
        <f>IFERROR(IF($DF$2="Enter Spend&gt;&gt;&gt;",'Multi-Customer'!DF28/VLOOKUP($DF$5,'Basket Composition'!$A$34:$W$61,'Multi-Customer'!$AR28,FALSE),SUMIFS('Existing Customers'!$N:$N,'Existing Customers'!$H:$H,'Multi-Customer'!$AT28,'Existing Customers'!$A:$A,'Multi-Customer'!$DF$1)*$DF$4),0)</f>
        <v>0</v>
      </c>
      <c r="DH28" s="92">
        <f>IFERROR(IF($DF$2="Enter Spend&gt;&gt;&gt;",DG28*$DF$8,SUMIFS('Existing Customers'!$O:$O,'Existing Customers'!$H:$H,'Multi-Customer'!$AT28,'Existing Customers'!$A:$A,'Multi-Customer'!DF$1)*$DF$4),0)</f>
        <v>0</v>
      </c>
      <c r="DI28" s="92">
        <f>IFERROR(IF($DF$2="Enter Spend&gt;&gt;&gt;",'Multi-Customer'!DF28/VLOOKUP($DF$5,'Basket Composition'!$A$65:$W$92,'Multi-Customer'!$AR28,FALSE),SUMIFS('Existing Customers'!$P:$P,'Existing Customers'!$H:$H,'Multi-Customer'!$AT28,'Existing Customers'!$A:$A,'Multi-Customer'!$DF$1)*$DF$4),0)</f>
        <v>0</v>
      </c>
      <c r="DJ28" s="101">
        <f>IFERROR(IF($DF$2="Enter Spend&gt;&gt;&gt;","N/A",SUMIFS('Existing Customers'!$V:$V,'Existing Customers'!$H:$H,'Multi-Customer'!$AT28,'Existing Customers'!$A:$A,'Multi-Customer'!DF$1)*$DF$4),0)</f>
        <v>0</v>
      </c>
      <c r="DK28" s="101">
        <f>IFERROR(IF($DF$2="Enter Spend&gt;&gt;&gt;","N/A",SUMIFS('Existing Customers'!$R:$R,'Existing Customers'!$H:$H,'Multi-Customer'!$AT28,'Existing Customers'!$A:$A,'Multi-Customer'!DF$1)*$DF$4),0)</f>
        <v>0</v>
      </c>
      <c r="DL28" s="132"/>
      <c r="DM28">
        <f>IFERROR(VLOOKUP(DO$5,'Basket Composition'!$A$3:$W$30,'Multi-Customer'!$AR28,FALSE),0)</f>
        <v>0</v>
      </c>
      <c r="DN28" s="105" t="s">
        <v>89</v>
      </c>
      <c r="DO28" s="100">
        <f>IFERROR(IF($DO$2="Enter Spend&gt;&gt;&gt;",$DO$3*DM28,SUMIFS('Existing Customers'!$Q:$Q,'Existing Customers'!$H:$H,'Multi-Customer'!$AT28,'Existing Customers'!$A:$A,'Multi-Customer'!$DO$1)*$DO$4),0)</f>
        <v>0</v>
      </c>
      <c r="DP28" s="92">
        <f>IFERROR(IF($DO$2="Enter Spend&gt;&gt;&gt;",'Multi-Customer'!DO28/VLOOKUP($DO$5,'Basket Composition'!$A$34:$W$61,'Multi-Customer'!$AR28,FALSE),SUMIFS('Existing Customers'!$N:$N,'Existing Customers'!$H:$H,'Multi-Customer'!$AT28,'Existing Customers'!$A:$A,'Multi-Customer'!$DO$1)*$DO$4),0)</f>
        <v>0</v>
      </c>
      <c r="DQ28" s="92">
        <f>IFERROR(IF($DO$2="Enter Spend&gt;&gt;&gt;",DP28*$DO$8,SUMIFS('Existing Customers'!$O:$O,'Existing Customers'!$H:$H,'Multi-Customer'!$AT28,'Existing Customers'!$A:$A,'Multi-Customer'!DO$1)*$DO$4),0)</f>
        <v>0</v>
      </c>
      <c r="DR28" s="92">
        <f>IFERROR(IF($DO$2="Enter Spend&gt;&gt;&gt;",'Multi-Customer'!DO28/VLOOKUP($DO$5,'Basket Composition'!$A$65:$W$92,'Multi-Customer'!$AR28,FALSE),SUMIFS('Existing Customers'!$P:$P,'Existing Customers'!$H:$H,'Multi-Customer'!$AT28,'Existing Customers'!$A:$A,'Multi-Customer'!$DO$1)*$DO$4),0)</f>
        <v>0</v>
      </c>
      <c r="DS28" s="117">
        <f>IFERROR(IF($DO$2="Enter Spend&gt;&gt;&gt;","N/A",SUMIFS('Existing Customers'!$V:$V,'Existing Customers'!$H:$H,'Multi-Customer'!$AT28,'Existing Customers'!$A:$A,'Multi-Customer'!DO$1)*$DO$4),0)</f>
        <v>0</v>
      </c>
      <c r="DT28" s="101">
        <f>IFERROR(IF($DO$2="Enter Spend&gt;&gt;&gt;","N/A",SUMIFS('Existing Customers'!$R:$R,'Existing Customers'!$H:$H,'Multi-Customer'!$AT28,'Existing Customers'!$A:$A,'Multi-Customer'!DO$1)*$DO$4),0)</f>
        <v>0</v>
      </c>
      <c r="DU28" s="132"/>
      <c r="DV28">
        <f>IFERROR(VLOOKUP(DX$5,'Basket Composition'!$A$3:$W$30,'Multi-Customer'!$AR28,FALSE),0)</f>
        <v>0</v>
      </c>
      <c r="DW28" s="105" t="s">
        <v>89</v>
      </c>
      <c r="DX28" s="100">
        <f>IFERROR(IF($DX$2="Enter Spend&gt;&gt;&gt;",$DX$3*DV28,SUMIFS('Existing Customers'!$Q:$Q,'Existing Customers'!$H:$H,'Multi-Customer'!$AT28,'Existing Customers'!$A:$A,'Multi-Customer'!$DX$1)*$DX$4),0)</f>
        <v>0</v>
      </c>
      <c r="DY28" s="92">
        <f>IFERROR(IF($DX$2="Enter Spend&gt;&gt;&gt;",'Multi-Customer'!DX28/VLOOKUP($DX$5,'Basket Composition'!$A$34:$W$61,'Multi-Customer'!$AR28,FALSE),SUMIFS('Existing Customers'!$N:$N,'Existing Customers'!$H:$H,'Multi-Customer'!$AT28,'Existing Customers'!$A:$A,'Multi-Customer'!$DX$1)*$DX$4),0)</f>
        <v>0</v>
      </c>
      <c r="DZ28" s="92">
        <f>IFERROR(IF($DX$2="Enter Spend&gt;&gt;&gt;",DY28*$DX$8,SUMIFS('Existing Customers'!$O:$O,'Existing Customers'!$H:$H,'Multi-Customer'!$AT28,'Existing Customers'!$A:$A,'Multi-Customer'!DX$1)*$DX$4),0)</f>
        <v>0</v>
      </c>
      <c r="EA28" s="92">
        <f>IFERROR(IF($DX$2="Enter Spend&gt;&gt;&gt;",'Multi-Customer'!DX28/VLOOKUP($DX$5,'Basket Composition'!$A$65:$W$92,'Multi-Customer'!$AR28,FALSE),SUMIFS('Existing Customers'!$P:$P,'Existing Customers'!$H:$H,'Multi-Customer'!$AT28,'Existing Customers'!$A:$A,'Multi-Customer'!$DX$1)*$DX$4),0)</f>
        <v>0</v>
      </c>
      <c r="EB28" s="117">
        <f>IFERROR(IF($DX$2="Enter Spend&gt;&gt;&gt;","N/A",SUMIFS('Existing Customers'!$V:$V,'Existing Customers'!$H:$H,'Multi-Customer'!$AT28,'Existing Customers'!$A:$A,'Multi-Customer'!DX$1)*$DX$4),0)</f>
        <v>0</v>
      </c>
      <c r="EC28" s="101">
        <f>IFERROR(IF($DX$2="Enter Spend&gt;&gt;&gt;","N/A",SUMIFS('Existing Customers'!$R:$R,'Existing Customers'!$H:$H,'Multi-Customer'!$AT28,'Existing Customers'!$A:$A,'Multi-Customer'!DX$1)*$DX$4),0)</f>
        <v>0</v>
      </c>
      <c r="EE28" s="105" t="s">
        <v>89</v>
      </c>
      <c r="EF28" s="100"/>
      <c r="EG28" s="92"/>
      <c r="EH28" s="92"/>
      <c r="EI28" s="92"/>
      <c r="EJ28" s="117"/>
      <c r="EK28" s="101"/>
      <c r="EL28" s="132"/>
      <c r="EN28" s="105" t="s">
        <v>89</v>
      </c>
      <c r="EO28" s="100"/>
      <c r="EP28" s="92"/>
      <c r="EQ28" s="92"/>
      <c r="ER28" s="92"/>
      <c r="ES28" s="117"/>
      <c r="ET28" s="101"/>
    </row>
    <row r="29" spans="2:150" x14ac:dyDescent="0.25">
      <c r="B29" s="105" t="s">
        <v>94</v>
      </c>
      <c r="C29" s="487">
        <f t="shared" si="6"/>
        <v>0</v>
      </c>
      <c r="D29" s="504">
        <f t="shared" si="7"/>
        <v>0</v>
      </c>
      <c r="E29" s="504">
        <f t="shared" si="8"/>
        <v>0</v>
      </c>
      <c r="F29" s="504">
        <f t="shared" si="9"/>
        <v>0</v>
      </c>
      <c r="G29" s="505">
        <f t="shared" si="10"/>
        <v>0</v>
      </c>
      <c r="H29" s="507">
        <f t="shared" si="11"/>
        <v>0</v>
      </c>
      <c r="J29" t="str">
        <f>'PIM Model'!E27</f>
        <v>INCLUDE</v>
      </c>
      <c r="K29">
        <f t="shared" si="12"/>
        <v>0</v>
      </c>
      <c r="L29">
        <f t="shared" si="13"/>
        <v>0</v>
      </c>
      <c r="M29" s="105" t="s">
        <v>94</v>
      </c>
      <c r="N29" s="100">
        <f t="shared" si="14"/>
        <v>0</v>
      </c>
      <c r="O29" s="92">
        <f t="shared" si="0"/>
        <v>0</v>
      </c>
      <c r="P29" s="92">
        <f t="shared" si="1"/>
        <v>0</v>
      </c>
      <c r="Q29" s="92">
        <f t="shared" si="2"/>
        <v>0</v>
      </c>
      <c r="R29" s="117">
        <f t="shared" si="3"/>
        <v>0</v>
      </c>
      <c r="S29" s="120">
        <f t="shared" si="15"/>
        <v>0</v>
      </c>
      <c r="T29" s="404"/>
      <c r="U29" s="105" t="s">
        <v>94</v>
      </c>
      <c r="V29" s="491">
        <f t="shared" si="4"/>
        <v>0</v>
      </c>
      <c r="W29" s="492">
        <f t="shared" si="4"/>
        <v>0</v>
      </c>
      <c r="X29" s="492">
        <f t="shared" si="4"/>
        <v>0</v>
      </c>
      <c r="Y29" s="493">
        <f t="shared" si="16"/>
        <v>0</v>
      </c>
      <c r="Z29" s="494">
        <f t="shared" si="17"/>
        <v>0</v>
      </c>
      <c r="AA29" s="404"/>
      <c r="AB29" s="105" t="s">
        <v>94</v>
      </c>
      <c r="AC29" s="491">
        <f t="shared" si="5"/>
        <v>0</v>
      </c>
      <c r="AD29" s="488">
        <f t="shared" si="18"/>
        <v>0</v>
      </c>
      <c r="AE29" s="494"/>
      <c r="AF29" s="404"/>
      <c r="AG29" s="1" t="str">
        <f>IF('PIM Ranges'!$AK29='PIM Ranges'!$AW$11,IF($AC29&lt;'PIM Ranges'!$AX$11,"Q1",IF($AC29&lt;'PIM Ranges'!$AY$11,"Q2",IF($AC29&lt;'PIM Ranges'!$AZ$11,"Q3",IF($AC29&lt;'PIM Ranges'!$BA$11,"Q4","Q5")))),IF('PIM Ranges'!$AK29='PIM Ranges'!$AW$12,IF($AC29&lt;'PIM Ranges'!$AX$12,"Q1",IF($AC29&lt;'PIM Ranges'!$AY$12,"Q2",IF($AC29&lt;'PIM Ranges'!$AZ$12,"Q3",IF($AC29&lt;'PIM Ranges'!$BA$12,"Q4","Q5")))),IF('PIM Ranges'!$AK29='PIM Ranges'!$AW$13,IF($AC29&lt;'PIM Ranges'!$AX$13,"Q1",IF($AC29&lt;'PIM Ranges'!$AY$13,"Q2",IF($AC29&lt;'PIM Ranges'!$AZ$13,"Q3",IF($AC29&lt;'PIM Ranges'!$BA$13,"Q4","Q5")))),IF('PIM Ranges'!$AK29='PIM Ranges'!$AW$14,IF($AC29&lt;'PIM Ranges'!$AX$14,"Q1",IF($AC29&lt;'PIM Ranges'!$AY$14,"Q2",IF($AC29&lt;'PIM Ranges'!$AZ$14,"Q3",IF($AC29&lt;'PIM Ranges'!$BA$14,"Q4","Q5")))),IF('PIM Ranges'!$AK29='PIM Ranges'!$AW$15,IF($AC29&lt;'PIM Ranges'!$AX$15,"Q1",IF($AC29&lt;'PIM Ranges'!$AY$15,"Q2",IF($AC29&lt;'PIM Ranges'!$AZ$15,"Q3",IF($AC29&lt;'PIM Ranges'!$BA$15,"Q4","Q5")))),IF('PIM Ranges'!$AK29='PIM Ranges'!$AW$16,IF($AC29&lt;'PIM Ranges'!$AX$16,"Q1",IF($AC29&lt;'PIM Ranges'!$AY$16,"Q2",IF($AC29&lt;'PIM Ranges'!$AZ$16,"Q3",IF($AC29&lt;'PIM Ranges'!$BA$16,"Q4","Q5")))),IF('PIM Ranges'!$AK29='PIM Ranges'!$AW$17,IF($AC29&lt;'PIM Ranges'!$AX$17,"Q1",IF($AC29&lt;'PIM Ranges'!$AY$17,"Q2",IF($AC29&lt;'PIM Ranges'!$AZ$17,"Q3",IF($AC29&lt;'PIM Ranges'!$BA$17,"Q4","Q5")))),IF('PIM Ranges'!$AK29='PIM Ranges'!$AW$18,IF($AC29&lt;'PIM Ranges'!$AX$18,"Q1",IF($AC29&lt;'PIM Ranges'!$AY$18,"Q2",IF($AC29&lt;'PIM Ranges'!$AZ$18,"Q3",IF($AC29&lt;'PIM Ranges'!$BA$18,"Q4","Q5")))),IF('PIM Ranges'!$AK29='PIM Ranges'!$AW$19,IF($AC29&lt;'PIM Ranges'!$AX$19,"Q1",IF($AC29&lt;'PIM Ranges'!$AY$19,"Q2",IF($AC29&lt;'PIM Ranges'!$AZ$19,"Q3",IF($AC29&lt;'PIM Ranges'!$BA$19,"Q4","Q5")))),IF('PIM Ranges'!$AK29='PIM Ranges'!$AW$20,IF($AC29&lt;'PIM Ranges'!$AX$20,"Q1",IF($AC29&lt;'PIM Ranges'!$AY$20,"Q2",IF($AC29&lt;'PIM Ranges'!$AZ$20,"Q3",IF($AC29&lt;'PIM Ranges'!$BA$20,"Q4","Q5")))),IF('PIM Ranges'!$AK29='PIM Ranges'!$AW$21,IF($AC29&lt;'PIM Ranges'!$AX$21,"Q1",IF($AC29&lt;'PIM Ranges'!$AY$21,"Q2",IF($AC29&lt;'PIM Ranges'!$AZ$21,"Q3",IF($AC29&lt;'PIM Ranges'!$BA$21,"Q4","Q5")))),IF('PIM Ranges'!$AK29='PIM Ranges'!$AW$22,IF($AC29&lt;'PIM Ranges'!$AX$22,"Q1",IF($AC29&lt;'PIM Ranges'!$AY$22,"Q2",IF($AC29&lt;'PIM Ranges'!$AZ$22,"Q3",IF($AC29&lt;'PIM Ranges'!$BA$22,"Q4","Q5")))),IF('PIM Ranges'!$AK29='PIM Ranges'!$AW$23,IF($AC29&lt;'PIM Ranges'!$AX$23,"Q1",IF($AC29&lt;'PIM Ranges'!$AY$23,"Q2",IF($AC29&lt;'PIM Ranges'!$AZ$23,"Q3",IF($AC29&lt;'PIM Ranges'!$BA$23,"Q4","Q5")))),IF('PIM Ranges'!$AK29='PIM Ranges'!$AW$24,IF($AC29&lt;'PIM Ranges'!$AX$24,"Q1",IF($AC29&lt;'PIM Ranges'!$AY$24,"Q2",IF($AC29&lt;'PIM Ranges'!$AZ$24,"Q3",IF($AC29&lt;'PIM Ranges'!$BA$24,"Q4","Q5")))),IF('PIM Ranges'!$AK29='PIM Ranges'!$AW$25,IF($AC29&lt;'PIM Ranges'!$AX$25,"Q1",IF($AC29&lt;'PIM Ranges'!$AY$25,"Q2",IF($AC29&lt;'PIM Ranges'!$AZ$25,"Q3",IF($AC29&lt;'PIM Ranges'!$BA$25,"Q4","Q5")))),IF('PIM Ranges'!$AK29='PIM Ranges'!$AW$26,IF($AC29&lt;'PIM Ranges'!$AX$26,"Q1",IF($AC29&lt;'PIM Ranges'!$AY$26,"Q2",IF($AC29&lt;'PIM Ranges'!$AZ$26,"Q3",IF($AC29&lt;'PIM Ranges'!$BA$26,"Q4","Q5")))),IF('PIM Ranges'!$AK29='PIM Ranges'!$AW$27,IF($AC29&lt;'PIM Ranges'!$AX$27,"Q1",IF($AC29&lt;'PIM Ranges'!$AY$27,"Q2",IF($AC29&lt;'PIM Ranges'!$AZ$27,"Q3",IF($AC29&lt;'PIM Ranges'!$BA$27,"Q4","Q5")))),IF('PIM Ranges'!$AK29='PIM Ranges'!$AW$28,IF($AC29&lt;'PIM Ranges'!$AX$28,"Q1",IF($AC29&lt;'PIM Ranges'!$AY$28,"Q2",IF($AC29&lt;'PIM Ranges'!$AZ$28,"Q3",IF($AC29&lt;'PIM Ranges'!$BA$28,"Q4","Q5")))),IF('PIM Ranges'!$AK29='PIM Ranges'!$AW$29,IF($AC29&lt;'PIM Ranges'!$AX$29,"Q1",IF($AC29&lt;'PIM Ranges'!$AY$29,"Q2",IF($AC29&lt;'PIM Ranges'!$AZ$29,"Q3",IF($AC29&lt;'PIM Ranges'!$BA$29,"Q4","Q5")))),IF('PIM Ranges'!$AK29='PIM Ranges'!$AW$30,IF($AC29&lt;'PIM Ranges'!$AX$30,"Q1",IF($AC29&lt;'PIM Ranges'!$AY$30,"Q2",IF($AC29&lt;'PIM Ranges'!$AZ$30,"Q3",IF($AC29&lt;'PIM Ranges'!$BA$30,"Q4","Q5")))),IF('PIM Ranges'!$AK29='PIM Ranges'!$AW$31,IF($AC29&lt;'PIM Ranges'!$AX$31,"Q1",IF($AC29&lt;'PIM Ranges'!$AY$31,"Q2",IF($AC29&lt;'PIM Ranges'!$AZ$31,"Q3",IF($AC29&lt;'PIM Ranges'!$BA$31,"Q4","Q5")))),IF('PIM Ranges'!$AK29='PIM Ranges'!$AW$32,IF($AC29&lt;'PIM Ranges'!$AX$32,"Q1",IF($AC29&lt;'PIM Ranges'!$AY$32,"Q2",IF($AC29&lt;'PIM Ranges'!$AZ$32,"Q3",IF($AC29&lt;'PIM Ranges'!$BA$32,"Q4","Q5"))))))))))))))))))))))))))</f>
        <v>Q1</v>
      </c>
      <c r="AH29" s="404">
        <f>VLOOKUP($AB29&amp;$AG29,'IMargin Quartiles'!$A:$F,6,FALSE)</f>
        <v>0.16</v>
      </c>
      <c r="AI29" s="404"/>
      <c r="AJ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K29" s="404" t="e">
        <f>VLOOKUP($AB29&amp;$AJ29,'IMargin Quartiles'!$A:$F,6,FALSE)</f>
        <v>#DIV/0!</v>
      </c>
      <c r="AL29">
        <f>'PIM Model'!C27</f>
        <v>0</v>
      </c>
      <c r="AM29" s="404"/>
      <c r="AN29" s="404"/>
      <c r="AO29" s="404" t="e">
        <f t="shared" si="19"/>
        <v>#DIV/0!</v>
      </c>
      <c r="AP29" s="404"/>
      <c r="AQ29" s="404"/>
      <c r="AR29" s="111">
        <v>20</v>
      </c>
      <c r="AS29">
        <f>IFERROR(VLOOKUP(AU$5,'Basket Composition'!$A$3:$W$30,'Multi-Customer'!$AR29,FALSE),0)</f>
        <v>0</v>
      </c>
      <c r="AT29" s="105" t="s">
        <v>94</v>
      </c>
      <c r="AU29" s="100">
        <f>IFERROR(IF($AU$2="Enter Spend&gt;&gt;&gt;",$AU$3*AS29,SUMIFS('Existing Customers'!$Q:$Q,'Existing Customers'!$H:$H,'Multi-Customer'!$AT29,'Existing Customers'!$A:$A,'Multi-Customer'!$AU$1)*$AU$4),0)</f>
        <v>0</v>
      </c>
      <c r="AV29" s="92">
        <f>IFERROR(IF($AU$2="Enter Spend&gt;&gt;&gt;",'Multi-Customer'!AU29/VLOOKUP($AU$5,'Basket Composition'!$A$34:$W$61,'Multi-Customer'!$AR29,FALSE),SUMIFS('Existing Customers'!$N:$N,'Existing Customers'!$H:$H,'Multi-Customer'!$AT29,'Existing Customers'!$A:$A,'Multi-Customer'!$AU$1)*$AU$4),0)</f>
        <v>0</v>
      </c>
      <c r="AW29" s="92">
        <f>IFERROR(IF($AU$2="Enter Spend&gt;&gt;&gt;",AV29*$AU$8,SUMIFS('Existing Customers'!$O:$O,'Existing Customers'!$H:$H,'Multi-Customer'!$AT29,'Existing Customers'!$A:$A,'Multi-Customer'!AU$1)*$AU$4),0)</f>
        <v>0</v>
      </c>
      <c r="AX29" s="92">
        <f>IFERROR(IF($AU$2="Enter Spend&gt;&gt;&gt;",'Multi-Customer'!AU29/VLOOKUP($AU$5,'Basket Composition'!$A$65:$W$92,'Multi-Customer'!$AR29,FALSE),SUMIFS('Existing Customers'!$P:$P,'Existing Customers'!$H:$H,'Multi-Customer'!$AT29,'Existing Customers'!$A:$A,'Multi-Customer'!$AU$1)*$AU$4),0)</f>
        <v>0</v>
      </c>
      <c r="AY29" s="117">
        <f>IFERROR(IF($AU$2="Enter Spend&gt;&gt;&gt;","N/A",SUMIFS('Existing Customers'!$V:$V,'Existing Customers'!$H:$H,'Multi-Customer'!$AT29,'Existing Customers'!$A:$A,'Multi-Customer'!AU$1)*$AU$4),0)</f>
        <v>0</v>
      </c>
      <c r="AZ29" s="101">
        <f>IFERROR(IF($AU$2="Enter Spend&gt;&gt;&gt;","N/A",SUMIFS('Existing Customers'!$R:$R,'Existing Customers'!$H:$H,'Multi-Customer'!$AT29,'Existing Customers'!$A:$A,'Multi-Customer'!AU$1)*$AU$4),0)</f>
        <v>0</v>
      </c>
      <c r="BA29" s="132"/>
      <c r="BB29">
        <f>IFERROR(VLOOKUP(BD$5,'Basket Composition'!$A$3:$W$30,'Multi-Customer'!$AR29,FALSE),0)</f>
        <v>0</v>
      </c>
      <c r="BC29" s="105" t="s">
        <v>94</v>
      </c>
      <c r="BD29" s="100">
        <f>IFERROR(IF($BD$2="Enter Spend&gt;&gt;&gt;",$BD$3*BB29,SUMIFS('Existing Customers'!$Q:$Q,'Existing Customers'!$H:$H,'Multi-Customer'!$AT29,'Existing Customers'!$A:$A,'Multi-Customer'!$BD$1)*$BD$4),0)</f>
        <v>0</v>
      </c>
      <c r="BE29" s="92">
        <f>IFERROR(IF($BD$2="Enter Spend&gt;&gt;&gt;",'Multi-Customer'!BD29/VLOOKUP($BD$5,'Basket Composition'!$A$34:$W$61,'Multi-Customer'!$AR29,FALSE),SUMIFS('Existing Customers'!$N:$N,'Existing Customers'!$H:$H,'Multi-Customer'!$AT29,'Existing Customers'!$A:$A,'Multi-Customer'!$BD$1)*$BD$4),0)</f>
        <v>0</v>
      </c>
      <c r="BF29" s="92">
        <f>IFERROR(IF($BD$2="Enter Spend&gt;&gt;&gt;",BE29*$BD$8,SUMIFS('Existing Customers'!$O:$O,'Existing Customers'!$H:$H,'Multi-Customer'!$AT29,'Existing Customers'!$A:$A,'Multi-Customer'!BD$1)*$BD$4),0)</f>
        <v>0</v>
      </c>
      <c r="BG29" s="92">
        <f>IFERROR(IF($BD$2="Enter Spend&gt;&gt;&gt;",'Multi-Customer'!BD29/VLOOKUP($BD$5,'Basket Composition'!$A$65:$W$92,'Multi-Customer'!$AR29,FALSE),SUMIFS('Existing Customers'!$P:$P,'Existing Customers'!$H:$H,'Multi-Customer'!$AT29,'Existing Customers'!$A:$A,'Multi-Customer'!$BD$1)*$BD$4),0)</f>
        <v>0</v>
      </c>
      <c r="BH29" s="101">
        <f>IFERROR(IF($BD$2="Enter Spend&gt;&gt;&gt;","N/A",SUMIFS('Existing Customers'!$V:$V,'Existing Customers'!$H:$H,'Multi-Customer'!$AT29,'Existing Customers'!$A:$A,'Multi-Customer'!BD$1)*$BD$4),0)</f>
        <v>0</v>
      </c>
      <c r="BI29" s="101">
        <f>IFERROR(IF($BD$2="Enter Spend&gt;&gt;&gt;","N/A",SUMIFS('Existing Customers'!$R:$R,'Existing Customers'!$H:$H,'Multi-Customer'!$AT29,'Existing Customers'!$A:$A,'Multi-Customer'!BD$1)*$BD$4),0)</f>
        <v>0</v>
      </c>
      <c r="BJ29" s="132"/>
      <c r="BK29">
        <f>IFERROR(VLOOKUP(BM$5,'Basket Composition'!$A$3:$W$30,'Multi-Customer'!$AR29,FALSE),0)</f>
        <v>0</v>
      </c>
      <c r="BL29" s="105" t="s">
        <v>94</v>
      </c>
      <c r="BM29" s="100">
        <f>IFERROR(IF($BM$2="Enter Spend&gt;&gt;&gt;",$BM$3*BK29,SUMIFS('Existing Customers'!$Q:$Q,'Existing Customers'!$H:$H,'Multi-Customer'!$AT29,'Existing Customers'!$A:$A,'Multi-Customer'!$BM$1)*$BM$4),0)</f>
        <v>0</v>
      </c>
      <c r="BN29" s="92">
        <f>IFERROR(IF($BM$2="Enter Spend&gt;&gt;&gt;",'Multi-Customer'!BM29/VLOOKUP($BM$5,'Basket Composition'!$A$34:$W$61,'Multi-Customer'!$AR29,FALSE),SUMIFS('Existing Customers'!$N:$N,'Existing Customers'!$H:$H,'Multi-Customer'!$AT29,'Existing Customers'!$A:$A,'Multi-Customer'!$BM$1)*$BM$4),0)</f>
        <v>0</v>
      </c>
      <c r="BO29" s="92">
        <f>IFERROR(IF($BM$2="Enter Spend&gt;&gt;&gt;",BN29*$BM$8,SUMIFS('Existing Customers'!$O:$O,'Existing Customers'!$H:$H,'Multi-Customer'!$AT29,'Existing Customers'!$A:$A,'Multi-Customer'!BM$1)*$BM$4),0)</f>
        <v>0</v>
      </c>
      <c r="BP29" s="92">
        <f>IFERROR(IF($BM$2="Enter Spend&gt;&gt;&gt;",'Multi-Customer'!BM29/VLOOKUP($BM$5,'Basket Composition'!$A$65:$W$92,'Multi-Customer'!$AR29,FALSE),SUMIFS('Existing Customers'!$P:$P,'Existing Customers'!$H:$H,'Multi-Customer'!$AT29,'Existing Customers'!$A:$A,'Multi-Customer'!$BM$1)*$BM$4),0)</f>
        <v>0</v>
      </c>
      <c r="BQ29" s="101">
        <f>IFERROR(IF($BM$2="Enter Spend&gt;&gt;&gt;","N/A",SUMIFS('Existing Customers'!$V:$V,'Existing Customers'!$H:$H,'Multi-Customer'!$AT29,'Existing Customers'!$A:$A,'Multi-Customer'!BM$1)*$BM$4),0)</f>
        <v>0</v>
      </c>
      <c r="BR29" s="101">
        <f>IFERROR(IF($BM$2="Enter Spend&gt;&gt;&gt;","N/A",SUMIFS('Existing Customers'!$R:$R,'Existing Customers'!$H:$H,'Multi-Customer'!$AT29,'Existing Customers'!$A:$A,'Multi-Customer'!BM$1)*$BM$4),0)</f>
        <v>0</v>
      </c>
      <c r="BS29" s="132"/>
      <c r="BT29">
        <f>IFERROR(VLOOKUP(BV$5,'Basket Composition'!$A$3:$W$30,'Multi-Customer'!$AR29,FALSE),0)</f>
        <v>0</v>
      </c>
      <c r="BU29" s="105" t="s">
        <v>94</v>
      </c>
      <c r="BV29" s="100">
        <f>IFERROR(IF($BV$2="Enter Spend&gt;&gt;&gt;",$BV$3*BT29,SUMIFS('Existing Customers'!$Q:$Q,'Existing Customers'!$H:$H,'Multi-Customer'!$AT29,'Existing Customers'!$A:$A,'Multi-Customer'!$BV$1)*$BV$4),0)</f>
        <v>0</v>
      </c>
      <c r="BW29" s="92">
        <f>IFERROR(IF($BV$2="Enter Spend&gt;&gt;&gt;",'Multi-Customer'!BV29/VLOOKUP($BV$5,'Basket Composition'!$A$34:$W$61,'Multi-Customer'!$AR29,FALSE),SUMIFS('Existing Customers'!$N:$N,'Existing Customers'!$H:$H,'Multi-Customer'!$AT29,'Existing Customers'!$A:$A,'Multi-Customer'!$BV$1)*$BV$4),0)</f>
        <v>0</v>
      </c>
      <c r="BX29" s="92">
        <f>IFERROR(IF($BV$2="Enter Spend&gt;&gt;&gt;",BW29*$BV$8,SUMIFS('Existing Customers'!$O:$O,'Existing Customers'!$H:$H,'Multi-Customer'!$AT29,'Existing Customers'!$A:$A,'Multi-Customer'!BV$1)*$BV$4),0)</f>
        <v>0</v>
      </c>
      <c r="BY29" s="92">
        <f>IFERROR(IF($BV$2="Enter Spend&gt;&gt;&gt;",'Multi-Customer'!BV29/VLOOKUP($BV$5,'Basket Composition'!$A$65:$W$92,'Multi-Customer'!$AR29,FALSE),SUMIFS('Existing Customers'!$P:$P,'Existing Customers'!$H:$H,'Multi-Customer'!$AT29,'Existing Customers'!$A:$A,'Multi-Customer'!$BV$1)*$BV$4),0)</f>
        <v>0</v>
      </c>
      <c r="BZ29" s="101">
        <f>IFERROR(IF($BV$2="Enter Spend&gt;&gt;&gt;","N/A",SUMIFS('Existing Customers'!$V:$V,'Existing Customers'!$H:$H,'Multi-Customer'!$AT29,'Existing Customers'!$A:$A,'Multi-Customer'!BV$1)*$BV$4),0)</f>
        <v>0</v>
      </c>
      <c r="CA29" s="101">
        <f>IFERROR(IF($BV$2="Enter Spend&gt;&gt;&gt;","N/A",SUMIFS('Existing Customers'!$R:$R,'Existing Customers'!$H:$H,'Multi-Customer'!$AT29,'Existing Customers'!$A:$A,'Multi-Customer'!BV$1)*$BV$4),0)</f>
        <v>0</v>
      </c>
      <c r="CB29" s="132"/>
      <c r="CC29">
        <f>IFERROR(VLOOKUP(CE$5,'Basket Composition'!$A$3:$W$30,'Multi-Customer'!$AR29,FALSE),0)</f>
        <v>0</v>
      </c>
      <c r="CD29" s="105" t="s">
        <v>94</v>
      </c>
      <c r="CE29" s="100">
        <f>IFERROR(IF($CE$2="Enter Spend&gt;&gt;&gt;",$CE$3*CC29,SUMIFS('Existing Customers'!$Q:$Q,'Existing Customers'!$H:$H,'Multi-Customer'!$AT29,'Existing Customers'!$A:$A,'Multi-Customer'!$CE$1)*$CE$4),0)</f>
        <v>0</v>
      </c>
      <c r="CF29" s="92">
        <f>IFERROR(IF($CE$2="Enter Spend&gt;&gt;&gt;",'Multi-Customer'!CE29/VLOOKUP($CE$5,'Basket Composition'!$A$34:$W$61,'Multi-Customer'!$AR29,FALSE),SUMIFS('Existing Customers'!$N:$N,'Existing Customers'!$H:$H,'Multi-Customer'!$AT29,'Existing Customers'!$A:$A,'Multi-Customer'!$CE$1)*$CE$4),0)</f>
        <v>0</v>
      </c>
      <c r="CG29" s="92">
        <f>IFERROR(IF($CE$2="Enter Spend&gt;&gt;&gt;",CF29*$CE$8,SUMIFS('Existing Customers'!$O:$O,'Existing Customers'!$H:$H,'Multi-Customer'!$AT29,'Existing Customers'!$A:$A,'Multi-Customer'!CE$1)*$CE$4),0)</f>
        <v>0</v>
      </c>
      <c r="CH29" s="92">
        <f>IFERROR(IF($CE$2="Enter Spend&gt;&gt;&gt;",'Multi-Customer'!CE29/VLOOKUP($CE$5,'Basket Composition'!$A$65:$W$92,'Multi-Customer'!$AR29,FALSE),SUMIFS('Existing Customers'!$P:$P,'Existing Customers'!$H:$H,'Multi-Customer'!$AT29,'Existing Customers'!$A:$A,'Multi-Customer'!$CE$1)*$CE$4),0)</f>
        <v>0</v>
      </c>
      <c r="CI29" s="101">
        <f>IFERROR(IF($CE$2="Enter Spend&gt;&gt;&gt;","N/A",SUMIFS('Existing Customers'!$V:$V,'Existing Customers'!$H:$H,'Multi-Customer'!$AT29,'Existing Customers'!$A:$A,'Multi-Customer'!CE$1)*$CE$4),0)</f>
        <v>0</v>
      </c>
      <c r="CJ29" s="101">
        <f>IFERROR(IF($CE$2="Enter Spend&gt;&gt;&gt;","N/A",SUMIFS('Existing Customers'!$R:$R,'Existing Customers'!$H:$H,'Multi-Customer'!$AT29,'Existing Customers'!$A:$A,'Multi-Customer'!CE$1)*$CE$4),0)</f>
        <v>0</v>
      </c>
      <c r="CK29" s="132"/>
      <c r="CL29">
        <f>IFERROR(VLOOKUP(CN$5,'Basket Composition'!$A$3:$W$30,'Multi-Customer'!$AR29,FALSE),0)</f>
        <v>0</v>
      </c>
      <c r="CM29" s="105" t="s">
        <v>94</v>
      </c>
      <c r="CN29" s="100">
        <f>IFERROR(IF($CN$2="Enter Spend&gt;&gt;&gt;",$CN$3*CL29,SUMIFS('Existing Customers'!$Q:$Q,'Existing Customers'!$H:$H,'Multi-Customer'!$AT29,'Existing Customers'!$A:$A,'Multi-Customer'!$CN$1)*$CN$4),0)</f>
        <v>0</v>
      </c>
      <c r="CO29" s="92">
        <f>IFERROR(IF($CN$2="Enter Spend&gt;&gt;&gt;",'Multi-Customer'!CN29/VLOOKUP($CN$5,'Basket Composition'!$A$34:$W$61,'Multi-Customer'!$AR29,FALSE),SUMIFS('Existing Customers'!$N:$N,'Existing Customers'!$H:$H,'Multi-Customer'!$AT29,'Existing Customers'!$A:$A,'Multi-Customer'!$CN$1)*$CN$4),0)</f>
        <v>0</v>
      </c>
      <c r="CP29" s="92">
        <f>IFERROR(IF($CN$2="Enter Spend&gt;&gt;&gt;",CO29*$CN$8,SUMIFS('Existing Customers'!$O:$O,'Existing Customers'!$H:$H,'Multi-Customer'!$AT29,'Existing Customers'!$A:$A,'Multi-Customer'!CN$1)*$CN$4),0)</f>
        <v>0</v>
      </c>
      <c r="CQ29" s="92">
        <f>IFERROR(IF($CN$2="Enter Spend&gt;&gt;&gt;",'Multi-Customer'!CN29/VLOOKUP($CN$5,'Basket Composition'!$A$65:$W$92,'Multi-Customer'!$AR29,FALSE),SUMIFS('Existing Customers'!$P:$P,'Existing Customers'!$H:$H,'Multi-Customer'!$AT29,'Existing Customers'!$A:$A,'Multi-Customer'!$CN$1)*$CN$4),0)</f>
        <v>0</v>
      </c>
      <c r="CR29" s="101">
        <f>IFERROR(IF($CN$2="Enter Spend&gt;&gt;&gt;","N/A",SUMIFS('Existing Customers'!$V:$V,'Existing Customers'!$H:$H,'Multi-Customer'!$AT29,'Existing Customers'!$A:$A,'Multi-Customer'!CN$1)*$CN$4),0)</f>
        <v>0</v>
      </c>
      <c r="CS29" s="101">
        <f>IFERROR(IF($CN$2="Enter Spend&gt;&gt;&gt;","N/A",SUMIFS('Existing Customers'!$R:$R,'Existing Customers'!$H:$H,'Multi-Customer'!$AT29,'Existing Customers'!$A:$A,'Multi-Customer'!CN$1)*$CN$4),0)</f>
        <v>0</v>
      </c>
      <c r="CT29" s="132"/>
      <c r="CU29">
        <f>IFERROR(VLOOKUP(CW$5,'Basket Composition'!$A$3:$W$30,'Multi-Customer'!$AR29,FALSE),0)</f>
        <v>0</v>
      </c>
      <c r="CV29" s="105" t="s">
        <v>94</v>
      </c>
      <c r="CW29" s="100">
        <f>IFERROR(IF($CW$2="Enter Spend&gt;&gt;&gt;",$CW$3*CU29,SUMIFS('Existing Customers'!$Q:$Q,'Existing Customers'!$H:$H,'Multi-Customer'!$AT29,'Existing Customers'!$A:$A,'Multi-Customer'!$CW$1)*$CW$4),0)</f>
        <v>0</v>
      </c>
      <c r="CX29" s="92">
        <f>IFERROR(IF($CW$2="Enter Spend&gt;&gt;&gt;",'Multi-Customer'!CW29/VLOOKUP($CW$5,'Basket Composition'!$A$34:$W$61,'Multi-Customer'!$AR29,FALSE),SUMIFS('Existing Customers'!$N:$N,'Existing Customers'!$H:$H,'Multi-Customer'!$AT29,'Existing Customers'!$A:$A,'Multi-Customer'!$CW$1)*$CW$4),0)</f>
        <v>0</v>
      </c>
      <c r="CY29" s="92">
        <f>IFERROR(IF($CW$2="Enter Spend&gt;&gt;&gt;",CX29*$CW$8,SUMIFS('Existing Customers'!$O:$O,'Existing Customers'!$H:$H,'Multi-Customer'!$AT29,'Existing Customers'!$A:$A,'Multi-Customer'!CW$1)*$CW$4),0)</f>
        <v>0</v>
      </c>
      <c r="CZ29" s="92">
        <f>IFERROR(IF($CW$2="Enter Spend&gt;&gt;&gt;",'Multi-Customer'!CW29/VLOOKUP($CW$5,'Basket Composition'!$A$65:$W$92,'Multi-Customer'!$AR29,FALSE),SUMIFS('Existing Customers'!$P:$P,'Existing Customers'!$H:$H,'Multi-Customer'!$AT29,'Existing Customers'!$A:$A,'Multi-Customer'!$CW$1)*$CW$4),0)</f>
        <v>0</v>
      </c>
      <c r="DA29" s="101">
        <f>IFERROR(IF($CW$2="Enter Spend&gt;&gt;&gt;","N/A",SUMIFS('Existing Customers'!$V:$V,'Existing Customers'!$H:$H,'Multi-Customer'!$AT29,'Existing Customers'!$A:$A,'Multi-Customer'!CW$1)*$CW$4),0)</f>
        <v>0</v>
      </c>
      <c r="DB29" s="101">
        <f>IFERROR(IF($CW$2="Enter Spend&gt;&gt;&gt;","N/A",SUMIFS('Existing Customers'!$R:$R,'Existing Customers'!$H:$H,'Multi-Customer'!$AT29,'Existing Customers'!$A:$A,'Multi-Customer'!CW$1)*$CW$4),0)</f>
        <v>0</v>
      </c>
      <c r="DC29" s="132"/>
      <c r="DD29">
        <f>IFERROR(VLOOKUP(DF$5,'Basket Composition'!$A$3:$W$30,'Multi-Customer'!$AR29,FALSE),0)</f>
        <v>0</v>
      </c>
      <c r="DE29" s="105" t="s">
        <v>94</v>
      </c>
      <c r="DF29" s="100">
        <f>IFERROR(IF($DF$2="Enter Spend&gt;&gt;&gt;",$DF$3*DD29,SUMIFS('Existing Customers'!$Q:$Q,'Existing Customers'!$H:$H,'Multi-Customer'!$AT29,'Existing Customers'!$A:$A,'Multi-Customer'!$DF$1)*$DF$4),0)</f>
        <v>0</v>
      </c>
      <c r="DG29" s="92">
        <f>IFERROR(IF($DF$2="Enter Spend&gt;&gt;&gt;",'Multi-Customer'!DF29/VLOOKUP($DF$5,'Basket Composition'!$A$34:$W$61,'Multi-Customer'!$AR29,FALSE),SUMIFS('Existing Customers'!$N:$N,'Existing Customers'!$H:$H,'Multi-Customer'!$AT29,'Existing Customers'!$A:$A,'Multi-Customer'!$DF$1)*$DF$4),0)</f>
        <v>0</v>
      </c>
      <c r="DH29" s="92">
        <f>IFERROR(IF($DF$2="Enter Spend&gt;&gt;&gt;",DG29*$DF$8,SUMIFS('Existing Customers'!$O:$O,'Existing Customers'!$H:$H,'Multi-Customer'!$AT29,'Existing Customers'!$A:$A,'Multi-Customer'!DF$1)*$DF$4),0)</f>
        <v>0</v>
      </c>
      <c r="DI29" s="92">
        <f>IFERROR(IF($DF$2="Enter Spend&gt;&gt;&gt;",'Multi-Customer'!DF29/VLOOKUP($DF$5,'Basket Composition'!$A$65:$W$92,'Multi-Customer'!$AR29,FALSE),SUMIFS('Existing Customers'!$P:$P,'Existing Customers'!$H:$H,'Multi-Customer'!$AT29,'Existing Customers'!$A:$A,'Multi-Customer'!$DF$1)*$DF$4),0)</f>
        <v>0</v>
      </c>
      <c r="DJ29" s="101">
        <f>IFERROR(IF($DF$2="Enter Spend&gt;&gt;&gt;","N/A",SUMIFS('Existing Customers'!$V:$V,'Existing Customers'!$H:$H,'Multi-Customer'!$AT29,'Existing Customers'!$A:$A,'Multi-Customer'!DF$1)*$DF$4),0)</f>
        <v>0</v>
      </c>
      <c r="DK29" s="101">
        <f>IFERROR(IF($DF$2="Enter Spend&gt;&gt;&gt;","N/A",SUMIFS('Existing Customers'!$R:$R,'Existing Customers'!$H:$H,'Multi-Customer'!$AT29,'Existing Customers'!$A:$A,'Multi-Customer'!DF$1)*$DF$4),0)</f>
        <v>0</v>
      </c>
      <c r="DL29" s="132"/>
      <c r="DM29">
        <f>IFERROR(VLOOKUP(DO$5,'Basket Composition'!$A$3:$W$30,'Multi-Customer'!$AR29,FALSE),0)</f>
        <v>0</v>
      </c>
      <c r="DN29" s="105" t="s">
        <v>94</v>
      </c>
      <c r="DO29" s="100">
        <f>IFERROR(IF($DO$2="Enter Spend&gt;&gt;&gt;",$DO$3*DM29,SUMIFS('Existing Customers'!$Q:$Q,'Existing Customers'!$H:$H,'Multi-Customer'!$AT29,'Existing Customers'!$A:$A,'Multi-Customer'!$DO$1)*$DO$4),0)</f>
        <v>0</v>
      </c>
      <c r="DP29" s="92">
        <f>IFERROR(IF($DO$2="Enter Spend&gt;&gt;&gt;",'Multi-Customer'!DO29/VLOOKUP($DO$5,'Basket Composition'!$A$34:$W$61,'Multi-Customer'!$AR29,FALSE),SUMIFS('Existing Customers'!$N:$N,'Existing Customers'!$H:$H,'Multi-Customer'!$AT29,'Existing Customers'!$A:$A,'Multi-Customer'!$DO$1)*$DO$4),0)</f>
        <v>0</v>
      </c>
      <c r="DQ29" s="92">
        <f>IFERROR(IF($DO$2="Enter Spend&gt;&gt;&gt;",DP29*$DO$8,SUMIFS('Existing Customers'!$O:$O,'Existing Customers'!$H:$H,'Multi-Customer'!$AT29,'Existing Customers'!$A:$A,'Multi-Customer'!DO$1)*$DO$4),0)</f>
        <v>0</v>
      </c>
      <c r="DR29" s="92">
        <f>IFERROR(IF($DO$2="Enter Spend&gt;&gt;&gt;",'Multi-Customer'!DO29/VLOOKUP($DO$5,'Basket Composition'!$A$65:$W$92,'Multi-Customer'!$AR29,FALSE),SUMIFS('Existing Customers'!$P:$P,'Existing Customers'!$H:$H,'Multi-Customer'!$AT29,'Existing Customers'!$A:$A,'Multi-Customer'!$DO$1)*$DO$4),0)</f>
        <v>0</v>
      </c>
      <c r="DS29" s="117">
        <f>IFERROR(IF($DO$2="Enter Spend&gt;&gt;&gt;","N/A",SUMIFS('Existing Customers'!$V:$V,'Existing Customers'!$H:$H,'Multi-Customer'!$AT29,'Existing Customers'!$A:$A,'Multi-Customer'!DO$1)*$DO$4),0)</f>
        <v>0</v>
      </c>
      <c r="DT29" s="101">
        <f>IFERROR(IF($DO$2="Enter Spend&gt;&gt;&gt;","N/A",SUMIFS('Existing Customers'!$R:$R,'Existing Customers'!$H:$H,'Multi-Customer'!$AT29,'Existing Customers'!$A:$A,'Multi-Customer'!DO$1)*$DO$4),0)</f>
        <v>0</v>
      </c>
      <c r="DU29" s="132"/>
      <c r="DV29">
        <f>IFERROR(VLOOKUP(DX$5,'Basket Composition'!$A$3:$W$30,'Multi-Customer'!$AR29,FALSE),0)</f>
        <v>0</v>
      </c>
      <c r="DW29" s="105" t="s">
        <v>94</v>
      </c>
      <c r="DX29" s="100">
        <f>IFERROR(IF($DX$2="Enter Spend&gt;&gt;&gt;",$DX$3*DV29,SUMIFS('Existing Customers'!$Q:$Q,'Existing Customers'!$H:$H,'Multi-Customer'!$AT29,'Existing Customers'!$A:$A,'Multi-Customer'!$DX$1)*$DX$4),0)</f>
        <v>0</v>
      </c>
      <c r="DY29" s="92">
        <f>IFERROR(IF($DX$2="Enter Spend&gt;&gt;&gt;",'Multi-Customer'!DX29/VLOOKUP($DX$5,'Basket Composition'!$A$34:$W$61,'Multi-Customer'!$AR29,FALSE),SUMIFS('Existing Customers'!$N:$N,'Existing Customers'!$H:$H,'Multi-Customer'!$AT29,'Existing Customers'!$A:$A,'Multi-Customer'!$DX$1)*$DX$4),0)</f>
        <v>0</v>
      </c>
      <c r="DZ29" s="92">
        <f>IFERROR(IF($DX$2="Enter Spend&gt;&gt;&gt;",DY29*$DX$8,SUMIFS('Existing Customers'!$O:$O,'Existing Customers'!$H:$H,'Multi-Customer'!$AT29,'Existing Customers'!$A:$A,'Multi-Customer'!DX$1)*$DX$4),0)</f>
        <v>0</v>
      </c>
      <c r="EA29" s="92">
        <f>IFERROR(IF($DX$2="Enter Spend&gt;&gt;&gt;",'Multi-Customer'!DX29/VLOOKUP($DX$5,'Basket Composition'!$A$65:$W$92,'Multi-Customer'!$AR29,FALSE),SUMIFS('Existing Customers'!$P:$P,'Existing Customers'!$H:$H,'Multi-Customer'!$AT29,'Existing Customers'!$A:$A,'Multi-Customer'!$DX$1)*$DX$4),0)</f>
        <v>0</v>
      </c>
      <c r="EB29" s="117">
        <f>IFERROR(IF($DX$2="Enter Spend&gt;&gt;&gt;","N/A",SUMIFS('Existing Customers'!$V:$V,'Existing Customers'!$H:$H,'Multi-Customer'!$AT29,'Existing Customers'!$A:$A,'Multi-Customer'!DX$1)*$DX$4),0)</f>
        <v>0</v>
      </c>
      <c r="EC29" s="101">
        <f>IFERROR(IF($DX$2="Enter Spend&gt;&gt;&gt;","N/A",SUMIFS('Existing Customers'!$R:$R,'Existing Customers'!$H:$H,'Multi-Customer'!$AT29,'Existing Customers'!$A:$A,'Multi-Customer'!DX$1)*$DX$4),0)</f>
        <v>0</v>
      </c>
      <c r="EE29" s="105" t="s">
        <v>94</v>
      </c>
      <c r="EF29" s="100"/>
      <c r="EG29" s="92"/>
      <c r="EH29" s="92"/>
      <c r="EI29" s="92"/>
      <c r="EJ29" s="117"/>
      <c r="EK29" s="101"/>
      <c r="EL29" s="132"/>
      <c r="EN29" s="105" t="s">
        <v>94</v>
      </c>
      <c r="EO29" s="100"/>
      <c r="EP29" s="92"/>
      <c r="EQ29" s="92"/>
      <c r="ER29" s="92"/>
      <c r="ES29" s="117"/>
      <c r="ET29" s="101"/>
    </row>
    <row r="30" spans="2:150" x14ac:dyDescent="0.25">
      <c r="B30" s="105" t="s">
        <v>86</v>
      </c>
      <c r="C30" s="487">
        <f t="shared" si="6"/>
        <v>0</v>
      </c>
      <c r="D30" s="504">
        <f t="shared" si="7"/>
        <v>0</v>
      </c>
      <c r="E30" s="504">
        <f t="shared" si="8"/>
        <v>0</v>
      </c>
      <c r="F30" s="504">
        <f t="shared" si="9"/>
        <v>0</v>
      </c>
      <c r="G30" s="505">
        <f t="shared" si="10"/>
        <v>0</v>
      </c>
      <c r="H30" s="507">
        <f t="shared" si="11"/>
        <v>0</v>
      </c>
      <c r="J30" t="str">
        <f>'PIM Model'!E28</f>
        <v>INCLUDE</v>
      </c>
      <c r="K30">
        <f t="shared" si="12"/>
        <v>0</v>
      </c>
      <c r="L30">
        <f t="shared" si="13"/>
        <v>0</v>
      </c>
      <c r="M30" s="105" t="s">
        <v>86</v>
      </c>
      <c r="N30" s="100">
        <f t="shared" si="14"/>
        <v>0</v>
      </c>
      <c r="O30" s="92">
        <f t="shared" si="0"/>
        <v>0</v>
      </c>
      <c r="P30" s="92">
        <f t="shared" si="1"/>
        <v>0</v>
      </c>
      <c r="Q30" s="92">
        <f t="shared" si="2"/>
        <v>0</v>
      </c>
      <c r="R30" s="117">
        <f t="shared" si="3"/>
        <v>0</v>
      </c>
      <c r="S30" s="120">
        <f t="shared" si="15"/>
        <v>0</v>
      </c>
      <c r="T30" s="404"/>
      <c r="U30" s="105" t="s">
        <v>86</v>
      </c>
      <c r="V30" s="491">
        <f t="shared" si="4"/>
        <v>0</v>
      </c>
      <c r="W30" s="492">
        <f t="shared" si="4"/>
        <v>0</v>
      </c>
      <c r="X30" s="492">
        <f t="shared" si="4"/>
        <v>0</v>
      </c>
      <c r="Y30" s="493">
        <f t="shared" si="16"/>
        <v>0</v>
      </c>
      <c r="Z30" s="494">
        <f t="shared" si="17"/>
        <v>0</v>
      </c>
      <c r="AA30" s="404"/>
      <c r="AB30" s="105" t="s">
        <v>86</v>
      </c>
      <c r="AC30" s="491">
        <f t="shared" si="5"/>
        <v>0</v>
      </c>
      <c r="AD30" s="488">
        <f t="shared" si="18"/>
        <v>0</v>
      </c>
      <c r="AE30" s="494"/>
      <c r="AF30" s="404"/>
      <c r="AG30" s="1" t="str">
        <f>IF('PIM Ranges'!$AK30='PIM Ranges'!$AW$11,IF($AC30&lt;'PIM Ranges'!$AX$11,"Q1",IF($AC30&lt;'PIM Ranges'!$AY$11,"Q2",IF($AC30&lt;'PIM Ranges'!$AZ$11,"Q3",IF($AC30&lt;'PIM Ranges'!$BA$11,"Q4","Q5")))),IF('PIM Ranges'!$AK30='PIM Ranges'!$AW$12,IF($AC30&lt;'PIM Ranges'!$AX$12,"Q1",IF($AC30&lt;'PIM Ranges'!$AY$12,"Q2",IF($AC30&lt;'PIM Ranges'!$AZ$12,"Q3",IF($AC30&lt;'PIM Ranges'!$BA$12,"Q4","Q5")))),IF('PIM Ranges'!$AK30='PIM Ranges'!$AW$13,IF($AC30&lt;'PIM Ranges'!$AX$13,"Q1",IF($AC30&lt;'PIM Ranges'!$AY$13,"Q2",IF($AC30&lt;'PIM Ranges'!$AZ$13,"Q3",IF($AC30&lt;'PIM Ranges'!$BA$13,"Q4","Q5")))),IF('PIM Ranges'!$AK30='PIM Ranges'!$AW$14,IF($AC30&lt;'PIM Ranges'!$AX$14,"Q1",IF($AC30&lt;'PIM Ranges'!$AY$14,"Q2",IF($AC30&lt;'PIM Ranges'!$AZ$14,"Q3",IF($AC30&lt;'PIM Ranges'!$BA$14,"Q4","Q5")))),IF('PIM Ranges'!$AK30='PIM Ranges'!$AW$15,IF($AC30&lt;'PIM Ranges'!$AX$15,"Q1",IF($AC30&lt;'PIM Ranges'!$AY$15,"Q2",IF($AC30&lt;'PIM Ranges'!$AZ$15,"Q3",IF($AC30&lt;'PIM Ranges'!$BA$15,"Q4","Q5")))),IF('PIM Ranges'!$AK30='PIM Ranges'!$AW$16,IF($AC30&lt;'PIM Ranges'!$AX$16,"Q1",IF($AC30&lt;'PIM Ranges'!$AY$16,"Q2",IF($AC30&lt;'PIM Ranges'!$AZ$16,"Q3",IF($AC30&lt;'PIM Ranges'!$BA$16,"Q4","Q5")))),IF('PIM Ranges'!$AK30='PIM Ranges'!$AW$17,IF($AC30&lt;'PIM Ranges'!$AX$17,"Q1",IF($AC30&lt;'PIM Ranges'!$AY$17,"Q2",IF($AC30&lt;'PIM Ranges'!$AZ$17,"Q3",IF($AC30&lt;'PIM Ranges'!$BA$17,"Q4","Q5")))),IF('PIM Ranges'!$AK30='PIM Ranges'!$AW$18,IF($AC30&lt;'PIM Ranges'!$AX$18,"Q1",IF($AC30&lt;'PIM Ranges'!$AY$18,"Q2",IF($AC30&lt;'PIM Ranges'!$AZ$18,"Q3",IF($AC30&lt;'PIM Ranges'!$BA$18,"Q4","Q5")))),IF('PIM Ranges'!$AK30='PIM Ranges'!$AW$19,IF($AC30&lt;'PIM Ranges'!$AX$19,"Q1",IF($AC30&lt;'PIM Ranges'!$AY$19,"Q2",IF($AC30&lt;'PIM Ranges'!$AZ$19,"Q3",IF($AC30&lt;'PIM Ranges'!$BA$19,"Q4","Q5")))),IF('PIM Ranges'!$AK30='PIM Ranges'!$AW$20,IF($AC30&lt;'PIM Ranges'!$AX$20,"Q1",IF($AC30&lt;'PIM Ranges'!$AY$20,"Q2",IF($AC30&lt;'PIM Ranges'!$AZ$20,"Q3",IF($AC30&lt;'PIM Ranges'!$BA$20,"Q4","Q5")))),IF('PIM Ranges'!$AK30='PIM Ranges'!$AW$21,IF($AC30&lt;'PIM Ranges'!$AX$21,"Q1",IF($AC30&lt;'PIM Ranges'!$AY$21,"Q2",IF($AC30&lt;'PIM Ranges'!$AZ$21,"Q3",IF($AC30&lt;'PIM Ranges'!$BA$21,"Q4","Q5")))),IF('PIM Ranges'!$AK30='PIM Ranges'!$AW$22,IF($AC30&lt;'PIM Ranges'!$AX$22,"Q1",IF($AC30&lt;'PIM Ranges'!$AY$22,"Q2",IF($AC30&lt;'PIM Ranges'!$AZ$22,"Q3",IF($AC30&lt;'PIM Ranges'!$BA$22,"Q4","Q5")))),IF('PIM Ranges'!$AK30='PIM Ranges'!$AW$23,IF($AC30&lt;'PIM Ranges'!$AX$23,"Q1",IF($AC30&lt;'PIM Ranges'!$AY$23,"Q2",IF($AC30&lt;'PIM Ranges'!$AZ$23,"Q3",IF($AC30&lt;'PIM Ranges'!$BA$23,"Q4","Q5")))),IF('PIM Ranges'!$AK30='PIM Ranges'!$AW$24,IF($AC30&lt;'PIM Ranges'!$AX$24,"Q1",IF($AC30&lt;'PIM Ranges'!$AY$24,"Q2",IF($AC30&lt;'PIM Ranges'!$AZ$24,"Q3",IF($AC30&lt;'PIM Ranges'!$BA$24,"Q4","Q5")))),IF('PIM Ranges'!$AK30='PIM Ranges'!$AW$25,IF($AC30&lt;'PIM Ranges'!$AX$25,"Q1",IF($AC30&lt;'PIM Ranges'!$AY$25,"Q2",IF($AC30&lt;'PIM Ranges'!$AZ$25,"Q3",IF($AC30&lt;'PIM Ranges'!$BA$25,"Q4","Q5")))),IF('PIM Ranges'!$AK30='PIM Ranges'!$AW$26,IF($AC30&lt;'PIM Ranges'!$AX$26,"Q1",IF($AC30&lt;'PIM Ranges'!$AY$26,"Q2",IF($AC30&lt;'PIM Ranges'!$AZ$26,"Q3",IF($AC30&lt;'PIM Ranges'!$BA$26,"Q4","Q5")))),IF('PIM Ranges'!$AK30='PIM Ranges'!$AW$27,IF($AC30&lt;'PIM Ranges'!$AX$27,"Q1",IF($AC30&lt;'PIM Ranges'!$AY$27,"Q2",IF($AC30&lt;'PIM Ranges'!$AZ$27,"Q3",IF($AC30&lt;'PIM Ranges'!$BA$27,"Q4","Q5")))),IF('PIM Ranges'!$AK30='PIM Ranges'!$AW$28,IF($AC30&lt;'PIM Ranges'!$AX$28,"Q1",IF($AC30&lt;'PIM Ranges'!$AY$28,"Q2",IF($AC30&lt;'PIM Ranges'!$AZ$28,"Q3",IF($AC30&lt;'PIM Ranges'!$BA$28,"Q4","Q5")))),IF('PIM Ranges'!$AK30='PIM Ranges'!$AW$29,IF($AC30&lt;'PIM Ranges'!$AX$29,"Q1",IF($AC30&lt;'PIM Ranges'!$AY$29,"Q2",IF($AC30&lt;'PIM Ranges'!$AZ$29,"Q3",IF($AC30&lt;'PIM Ranges'!$BA$29,"Q4","Q5")))),IF('PIM Ranges'!$AK30='PIM Ranges'!$AW$30,IF($AC30&lt;'PIM Ranges'!$AX$30,"Q1",IF($AC30&lt;'PIM Ranges'!$AY$30,"Q2",IF($AC30&lt;'PIM Ranges'!$AZ$30,"Q3",IF($AC30&lt;'PIM Ranges'!$BA$30,"Q4","Q5")))),IF('PIM Ranges'!$AK30='PIM Ranges'!$AW$31,IF($AC30&lt;'PIM Ranges'!$AX$31,"Q1",IF($AC30&lt;'PIM Ranges'!$AY$31,"Q2",IF($AC30&lt;'PIM Ranges'!$AZ$31,"Q3",IF($AC30&lt;'PIM Ranges'!$BA$31,"Q4","Q5")))),IF('PIM Ranges'!$AK30='PIM Ranges'!$AW$32,IF($AC30&lt;'PIM Ranges'!$AX$32,"Q1",IF($AC30&lt;'PIM Ranges'!$AY$32,"Q2",IF($AC30&lt;'PIM Ranges'!$AZ$32,"Q3",IF($AC30&lt;'PIM Ranges'!$BA$32,"Q4","Q5"))))))))))))))))))))))))))</f>
        <v>Q1</v>
      </c>
      <c r="AH30" s="404">
        <f>VLOOKUP($AB30&amp;$AG30,'IMargin Quartiles'!$A:$F,6,FALSE)</f>
        <v>0.17</v>
      </c>
      <c r="AI30" s="404"/>
      <c r="AJ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K30" s="404" t="e">
        <f>VLOOKUP($AB30&amp;$AJ30,'IMargin Quartiles'!$A:$F,6,FALSE)</f>
        <v>#DIV/0!</v>
      </c>
      <c r="AL30">
        <f>'PIM Model'!C28</f>
        <v>0</v>
      </c>
      <c r="AM30" s="404"/>
      <c r="AN30" s="404"/>
      <c r="AO30" s="404" t="e">
        <f t="shared" si="19"/>
        <v>#DIV/0!</v>
      </c>
      <c r="AP30" s="404"/>
      <c r="AQ30" s="404"/>
      <c r="AR30" s="111">
        <v>21</v>
      </c>
      <c r="AS30">
        <f>IFERROR(VLOOKUP(AU$5,'Basket Composition'!$A$3:$W$30,'Multi-Customer'!$AR30,FALSE),0)</f>
        <v>0</v>
      </c>
      <c r="AT30" s="105" t="s">
        <v>86</v>
      </c>
      <c r="AU30" s="100">
        <f>IFERROR(IF($AU$2="Enter Spend&gt;&gt;&gt;",$AU$3*AS30,SUMIFS('Existing Customers'!$Q:$Q,'Existing Customers'!$H:$H,'Multi-Customer'!$AT30,'Existing Customers'!$A:$A,'Multi-Customer'!$AU$1)*$AU$4),0)</f>
        <v>0</v>
      </c>
      <c r="AV30" s="92">
        <f>IFERROR(IF($AU$2="Enter Spend&gt;&gt;&gt;",'Multi-Customer'!AU30/VLOOKUP($AU$5,'Basket Composition'!$A$34:$W$61,'Multi-Customer'!$AR30,FALSE),SUMIFS('Existing Customers'!$N:$N,'Existing Customers'!$H:$H,'Multi-Customer'!$AT30,'Existing Customers'!$A:$A,'Multi-Customer'!$AU$1)*$AU$4),0)</f>
        <v>0</v>
      </c>
      <c r="AW30" s="92">
        <f>IFERROR(IF($AU$2="Enter Spend&gt;&gt;&gt;",AV30*$AU$8,SUMIFS('Existing Customers'!$O:$O,'Existing Customers'!$H:$H,'Multi-Customer'!$AT30,'Existing Customers'!$A:$A,'Multi-Customer'!AU$1)*$AU$4),0)</f>
        <v>0</v>
      </c>
      <c r="AX30" s="92">
        <f>IFERROR(IF($AU$2="Enter Spend&gt;&gt;&gt;",'Multi-Customer'!AU30/VLOOKUP($AU$5,'Basket Composition'!$A$65:$W$92,'Multi-Customer'!$AR30,FALSE),SUMIFS('Existing Customers'!$P:$P,'Existing Customers'!$H:$H,'Multi-Customer'!$AT30,'Existing Customers'!$A:$A,'Multi-Customer'!$AU$1)*$AU$4),0)</f>
        <v>0</v>
      </c>
      <c r="AY30" s="117">
        <f>IFERROR(IF($AU$2="Enter Spend&gt;&gt;&gt;","N/A",SUMIFS('Existing Customers'!$V:$V,'Existing Customers'!$H:$H,'Multi-Customer'!$AT30,'Existing Customers'!$A:$A,'Multi-Customer'!AU$1)*$AU$4),0)</f>
        <v>0</v>
      </c>
      <c r="AZ30" s="101">
        <f>IFERROR(IF($AU$2="Enter Spend&gt;&gt;&gt;","N/A",SUMIFS('Existing Customers'!$R:$R,'Existing Customers'!$H:$H,'Multi-Customer'!$AT30,'Existing Customers'!$A:$A,'Multi-Customer'!AU$1)*$AU$4),0)</f>
        <v>0</v>
      </c>
      <c r="BA30" s="132"/>
      <c r="BB30">
        <f>IFERROR(VLOOKUP(BD$5,'Basket Composition'!$A$3:$W$30,'Multi-Customer'!$AR30,FALSE),0)</f>
        <v>0</v>
      </c>
      <c r="BC30" s="105" t="s">
        <v>86</v>
      </c>
      <c r="BD30" s="100">
        <f>IFERROR(IF($BD$2="Enter Spend&gt;&gt;&gt;",$BD$3*BB30,SUMIFS('Existing Customers'!$Q:$Q,'Existing Customers'!$H:$H,'Multi-Customer'!$AT30,'Existing Customers'!$A:$A,'Multi-Customer'!$BD$1)*$BD$4),0)</f>
        <v>0</v>
      </c>
      <c r="BE30" s="92">
        <f>IFERROR(IF($BD$2="Enter Spend&gt;&gt;&gt;",'Multi-Customer'!BD30/VLOOKUP($BD$5,'Basket Composition'!$A$34:$W$61,'Multi-Customer'!$AR30,FALSE),SUMIFS('Existing Customers'!$N:$N,'Existing Customers'!$H:$H,'Multi-Customer'!$AT30,'Existing Customers'!$A:$A,'Multi-Customer'!$BD$1)*$BD$4),0)</f>
        <v>0</v>
      </c>
      <c r="BF30" s="92">
        <f>IFERROR(IF($BD$2="Enter Spend&gt;&gt;&gt;",BE30*$BD$8,SUMIFS('Existing Customers'!$O:$O,'Existing Customers'!$H:$H,'Multi-Customer'!$AT30,'Existing Customers'!$A:$A,'Multi-Customer'!BD$1)*$BD$4),0)</f>
        <v>0</v>
      </c>
      <c r="BG30" s="92">
        <f>IFERROR(IF($BD$2="Enter Spend&gt;&gt;&gt;",'Multi-Customer'!BD30/VLOOKUP($BD$5,'Basket Composition'!$A$65:$W$92,'Multi-Customer'!$AR30,FALSE),SUMIFS('Existing Customers'!$P:$P,'Existing Customers'!$H:$H,'Multi-Customer'!$AT30,'Existing Customers'!$A:$A,'Multi-Customer'!$BD$1)*$BD$4),0)</f>
        <v>0</v>
      </c>
      <c r="BH30" s="101">
        <f>IFERROR(IF($BD$2="Enter Spend&gt;&gt;&gt;","N/A",SUMIFS('Existing Customers'!$V:$V,'Existing Customers'!$H:$H,'Multi-Customer'!$AT30,'Existing Customers'!$A:$A,'Multi-Customer'!BD$1)*$BD$4),0)</f>
        <v>0</v>
      </c>
      <c r="BI30" s="101">
        <f>IFERROR(IF($BD$2="Enter Spend&gt;&gt;&gt;","N/A",SUMIFS('Existing Customers'!$R:$R,'Existing Customers'!$H:$H,'Multi-Customer'!$AT30,'Existing Customers'!$A:$A,'Multi-Customer'!BD$1)*$BD$4),0)</f>
        <v>0</v>
      </c>
      <c r="BJ30" s="132"/>
      <c r="BK30">
        <f>IFERROR(VLOOKUP(BM$5,'Basket Composition'!$A$3:$W$30,'Multi-Customer'!$AR30,FALSE),0)</f>
        <v>0</v>
      </c>
      <c r="BL30" s="105" t="s">
        <v>86</v>
      </c>
      <c r="BM30" s="100">
        <f>IFERROR(IF($BM$2="Enter Spend&gt;&gt;&gt;",$BM$3*BK30,SUMIFS('Existing Customers'!$Q:$Q,'Existing Customers'!$H:$H,'Multi-Customer'!$AT30,'Existing Customers'!$A:$A,'Multi-Customer'!$BM$1)*$BM$4),0)</f>
        <v>0</v>
      </c>
      <c r="BN30" s="92">
        <f>IFERROR(IF($BM$2="Enter Spend&gt;&gt;&gt;",'Multi-Customer'!BM30/VLOOKUP($BM$5,'Basket Composition'!$A$34:$W$61,'Multi-Customer'!$AR30,FALSE),SUMIFS('Existing Customers'!$N:$N,'Existing Customers'!$H:$H,'Multi-Customer'!$AT30,'Existing Customers'!$A:$A,'Multi-Customer'!$BM$1)*$BM$4),0)</f>
        <v>0</v>
      </c>
      <c r="BO30" s="92">
        <f>IFERROR(IF($BM$2="Enter Spend&gt;&gt;&gt;",BN30*$BM$8,SUMIFS('Existing Customers'!$O:$O,'Existing Customers'!$H:$H,'Multi-Customer'!$AT30,'Existing Customers'!$A:$A,'Multi-Customer'!BM$1)*$BM$4),0)</f>
        <v>0</v>
      </c>
      <c r="BP30" s="92">
        <f>IFERROR(IF($BM$2="Enter Spend&gt;&gt;&gt;",'Multi-Customer'!BM30/VLOOKUP($BM$5,'Basket Composition'!$A$65:$W$92,'Multi-Customer'!$AR30,FALSE),SUMIFS('Existing Customers'!$P:$P,'Existing Customers'!$H:$H,'Multi-Customer'!$AT30,'Existing Customers'!$A:$A,'Multi-Customer'!$BM$1)*$BM$4),0)</f>
        <v>0</v>
      </c>
      <c r="BQ30" s="101">
        <f>IFERROR(IF($BM$2="Enter Spend&gt;&gt;&gt;","N/A",SUMIFS('Existing Customers'!$V:$V,'Existing Customers'!$H:$H,'Multi-Customer'!$AT30,'Existing Customers'!$A:$A,'Multi-Customer'!BM$1)*$BM$4),0)</f>
        <v>0</v>
      </c>
      <c r="BR30" s="101">
        <f>IFERROR(IF($BM$2="Enter Spend&gt;&gt;&gt;","N/A",SUMIFS('Existing Customers'!$R:$R,'Existing Customers'!$H:$H,'Multi-Customer'!$AT30,'Existing Customers'!$A:$A,'Multi-Customer'!BM$1)*$BM$4),0)</f>
        <v>0</v>
      </c>
      <c r="BS30" s="132"/>
      <c r="BT30">
        <f>IFERROR(VLOOKUP(BV$5,'Basket Composition'!$A$3:$W$30,'Multi-Customer'!$AR30,FALSE),0)</f>
        <v>0</v>
      </c>
      <c r="BU30" s="105" t="s">
        <v>86</v>
      </c>
      <c r="BV30" s="100">
        <f>IFERROR(IF($BV$2="Enter Spend&gt;&gt;&gt;",$BV$3*BT30,SUMIFS('Existing Customers'!$Q:$Q,'Existing Customers'!$H:$H,'Multi-Customer'!$AT30,'Existing Customers'!$A:$A,'Multi-Customer'!$BV$1)*$BV$4),0)</f>
        <v>0</v>
      </c>
      <c r="BW30" s="92">
        <f>IFERROR(IF($BV$2="Enter Spend&gt;&gt;&gt;",'Multi-Customer'!BV30/VLOOKUP($BV$5,'Basket Composition'!$A$34:$W$61,'Multi-Customer'!$AR30,FALSE),SUMIFS('Existing Customers'!$N:$N,'Existing Customers'!$H:$H,'Multi-Customer'!$AT30,'Existing Customers'!$A:$A,'Multi-Customer'!$BV$1)*$BV$4),0)</f>
        <v>0</v>
      </c>
      <c r="BX30" s="92">
        <f>IFERROR(IF($BV$2="Enter Spend&gt;&gt;&gt;",BW30*$BV$8,SUMIFS('Existing Customers'!$O:$O,'Existing Customers'!$H:$H,'Multi-Customer'!$AT30,'Existing Customers'!$A:$A,'Multi-Customer'!BV$1)*$BV$4),0)</f>
        <v>0</v>
      </c>
      <c r="BY30" s="92">
        <f>IFERROR(IF($BV$2="Enter Spend&gt;&gt;&gt;",'Multi-Customer'!BV30/VLOOKUP($BV$5,'Basket Composition'!$A$65:$W$92,'Multi-Customer'!$AR30,FALSE),SUMIFS('Existing Customers'!$P:$P,'Existing Customers'!$H:$H,'Multi-Customer'!$AT30,'Existing Customers'!$A:$A,'Multi-Customer'!$BV$1)*$BV$4),0)</f>
        <v>0</v>
      </c>
      <c r="BZ30" s="101">
        <f>IFERROR(IF($BV$2="Enter Spend&gt;&gt;&gt;","N/A",SUMIFS('Existing Customers'!$V:$V,'Existing Customers'!$H:$H,'Multi-Customer'!$AT30,'Existing Customers'!$A:$A,'Multi-Customer'!BV$1)*$BV$4),0)</f>
        <v>0</v>
      </c>
      <c r="CA30" s="101">
        <f>IFERROR(IF($BV$2="Enter Spend&gt;&gt;&gt;","N/A",SUMIFS('Existing Customers'!$R:$R,'Existing Customers'!$H:$H,'Multi-Customer'!$AT30,'Existing Customers'!$A:$A,'Multi-Customer'!BV$1)*$BV$4),0)</f>
        <v>0</v>
      </c>
      <c r="CB30" s="132"/>
      <c r="CC30">
        <f>IFERROR(VLOOKUP(CE$5,'Basket Composition'!$A$3:$W$30,'Multi-Customer'!$AR30,FALSE),0)</f>
        <v>0</v>
      </c>
      <c r="CD30" s="105" t="s">
        <v>86</v>
      </c>
      <c r="CE30" s="100">
        <f>IFERROR(IF($CE$2="Enter Spend&gt;&gt;&gt;",$CE$3*CC30,SUMIFS('Existing Customers'!$Q:$Q,'Existing Customers'!$H:$H,'Multi-Customer'!$AT30,'Existing Customers'!$A:$A,'Multi-Customer'!$CE$1)*$CE$4),0)</f>
        <v>0</v>
      </c>
      <c r="CF30" s="92">
        <f>IFERROR(IF($CE$2="Enter Spend&gt;&gt;&gt;",'Multi-Customer'!CE30/VLOOKUP($CE$5,'Basket Composition'!$A$34:$W$61,'Multi-Customer'!$AR30,FALSE),SUMIFS('Existing Customers'!$N:$N,'Existing Customers'!$H:$H,'Multi-Customer'!$AT30,'Existing Customers'!$A:$A,'Multi-Customer'!$CE$1)*$CE$4),0)</f>
        <v>0</v>
      </c>
      <c r="CG30" s="92">
        <f>IFERROR(IF($CE$2="Enter Spend&gt;&gt;&gt;",CF30*$CE$8,SUMIFS('Existing Customers'!$O:$O,'Existing Customers'!$H:$H,'Multi-Customer'!$AT30,'Existing Customers'!$A:$A,'Multi-Customer'!CE$1)*$CE$4),0)</f>
        <v>0</v>
      </c>
      <c r="CH30" s="92">
        <f>IFERROR(IF($CE$2="Enter Spend&gt;&gt;&gt;",'Multi-Customer'!CE30/VLOOKUP($CE$5,'Basket Composition'!$A$65:$W$92,'Multi-Customer'!$AR30,FALSE),SUMIFS('Existing Customers'!$P:$P,'Existing Customers'!$H:$H,'Multi-Customer'!$AT30,'Existing Customers'!$A:$A,'Multi-Customer'!$CE$1)*$CE$4),0)</f>
        <v>0</v>
      </c>
      <c r="CI30" s="101">
        <f>IFERROR(IF($CE$2="Enter Spend&gt;&gt;&gt;","N/A",SUMIFS('Existing Customers'!$V:$V,'Existing Customers'!$H:$H,'Multi-Customer'!$AT30,'Existing Customers'!$A:$A,'Multi-Customer'!CE$1)*$CE$4),0)</f>
        <v>0</v>
      </c>
      <c r="CJ30" s="101">
        <f>IFERROR(IF($CE$2="Enter Spend&gt;&gt;&gt;","N/A",SUMIFS('Existing Customers'!$R:$R,'Existing Customers'!$H:$H,'Multi-Customer'!$AT30,'Existing Customers'!$A:$A,'Multi-Customer'!CE$1)*$CE$4),0)</f>
        <v>0</v>
      </c>
      <c r="CK30" s="132"/>
      <c r="CL30">
        <f>IFERROR(VLOOKUP(CN$5,'Basket Composition'!$A$3:$W$30,'Multi-Customer'!$AR30,FALSE),0)</f>
        <v>0</v>
      </c>
      <c r="CM30" s="105" t="s">
        <v>86</v>
      </c>
      <c r="CN30" s="100">
        <f>IFERROR(IF($CN$2="Enter Spend&gt;&gt;&gt;",$CN$3*CL30,SUMIFS('Existing Customers'!$Q:$Q,'Existing Customers'!$H:$H,'Multi-Customer'!$AT30,'Existing Customers'!$A:$A,'Multi-Customer'!$CN$1)*$CN$4),0)</f>
        <v>0</v>
      </c>
      <c r="CO30" s="92">
        <f>IFERROR(IF($CN$2="Enter Spend&gt;&gt;&gt;",'Multi-Customer'!CN30/VLOOKUP($CN$5,'Basket Composition'!$A$34:$W$61,'Multi-Customer'!$AR30,FALSE),SUMIFS('Existing Customers'!$N:$N,'Existing Customers'!$H:$H,'Multi-Customer'!$AT30,'Existing Customers'!$A:$A,'Multi-Customer'!$CN$1)*$CN$4),0)</f>
        <v>0</v>
      </c>
      <c r="CP30" s="92">
        <f>IFERROR(IF($CN$2="Enter Spend&gt;&gt;&gt;",CO30*$CN$8,SUMIFS('Existing Customers'!$O:$O,'Existing Customers'!$H:$H,'Multi-Customer'!$AT30,'Existing Customers'!$A:$A,'Multi-Customer'!CN$1)*$CN$4),0)</f>
        <v>0</v>
      </c>
      <c r="CQ30" s="92">
        <f>IFERROR(IF($CN$2="Enter Spend&gt;&gt;&gt;",'Multi-Customer'!CN30/VLOOKUP($CN$5,'Basket Composition'!$A$65:$W$92,'Multi-Customer'!$AR30,FALSE),SUMIFS('Existing Customers'!$P:$P,'Existing Customers'!$H:$H,'Multi-Customer'!$AT30,'Existing Customers'!$A:$A,'Multi-Customer'!$CN$1)*$CN$4),0)</f>
        <v>0</v>
      </c>
      <c r="CR30" s="101">
        <f>IFERROR(IF($CN$2="Enter Spend&gt;&gt;&gt;","N/A",SUMIFS('Existing Customers'!$V:$V,'Existing Customers'!$H:$H,'Multi-Customer'!$AT30,'Existing Customers'!$A:$A,'Multi-Customer'!CN$1)*$CN$4),0)</f>
        <v>0</v>
      </c>
      <c r="CS30" s="101">
        <f>IFERROR(IF($CN$2="Enter Spend&gt;&gt;&gt;","N/A",SUMIFS('Existing Customers'!$R:$R,'Existing Customers'!$H:$H,'Multi-Customer'!$AT30,'Existing Customers'!$A:$A,'Multi-Customer'!CN$1)*$CN$4),0)</f>
        <v>0</v>
      </c>
      <c r="CT30" s="132"/>
      <c r="CU30">
        <f>IFERROR(VLOOKUP(CW$5,'Basket Composition'!$A$3:$W$30,'Multi-Customer'!$AR30,FALSE),0)</f>
        <v>0</v>
      </c>
      <c r="CV30" s="105" t="s">
        <v>86</v>
      </c>
      <c r="CW30" s="100">
        <f>IFERROR(IF($CW$2="Enter Spend&gt;&gt;&gt;",$CW$3*CU30,SUMIFS('Existing Customers'!$Q:$Q,'Existing Customers'!$H:$H,'Multi-Customer'!$AT30,'Existing Customers'!$A:$A,'Multi-Customer'!$CW$1)*$CW$4),0)</f>
        <v>0</v>
      </c>
      <c r="CX30" s="92">
        <f>IFERROR(IF($CW$2="Enter Spend&gt;&gt;&gt;",'Multi-Customer'!CW30/VLOOKUP($CW$5,'Basket Composition'!$A$34:$W$61,'Multi-Customer'!$AR30,FALSE),SUMIFS('Existing Customers'!$N:$N,'Existing Customers'!$H:$H,'Multi-Customer'!$AT30,'Existing Customers'!$A:$A,'Multi-Customer'!$CW$1)*$CW$4),0)</f>
        <v>0</v>
      </c>
      <c r="CY30" s="92">
        <f>IFERROR(IF($CW$2="Enter Spend&gt;&gt;&gt;",CX30*$CW$8,SUMIFS('Existing Customers'!$O:$O,'Existing Customers'!$H:$H,'Multi-Customer'!$AT30,'Existing Customers'!$A:$A,'Multi-Customer'!CW$1)*$CW$4),0)</f>
        <v>0</v>
      </c>
      <c r="CZ30" s="92">
        <f>IFERROR(IF($CW$2="Enter Spend&gt;&gt;&gt;",'Multi-Customer'!CW30/VLOOKUP($CW$5,'Basket Composition'!$A$65:$W$92,'Multi-Customer'!$AR30,FALSE),SUMIFS('Existing Customers'!$P:$P,'Existing Customers'!$H:$H,'Multi-Customer'!$AT30,'Existing Customers'!$A:$A,'Multi-Customer'!$CW$1)*$CW$4),0)</f>
        <v>0</v>
      </c>
      <c r="DA30" s="101">
        <f>IFERROR(IF($CW$2="Enter Spend&gt;&gt;&gt;","N/A",SUMIFS('Existing Customers'!$V:$V,'Existing Customers'!$H:$H,'Multi-Customer'!$AT30,'Existing Customers'!$A:$A,'Multi-Customer'!CW$1)*$CW$4),0)</f>
        <v>0</v>
      </c>
      <c r="DB30" s="101">
        <f>IFERROR(IF($CW$2="Enter Spend&gt;&gt;&gt;","N/A",SUMIFS('Existing Customers'!$R:$R,'Existing Customers'!$H:$H,'Multi-Customer'!$AT30,'Existing Customers'!$A:$A,'Multi-Customer'!CW$1)*$CW$4),0)</f>
        <v>0</v>
      </c>
      <c r="DC30" s="132"/>
      <c r="DD30">
        <f>IFERROR(VLOOKUP(DF$5,'Basket Composition'!$A$3:$W$30,'Multi-Customer'!$AR30,FALSE),0)</f>
        <v>0</v>
      </c>
      <c r="DE30" s="105" t="s">
        <v>86</v>
      </c>
      <c r="DF30" s="100">
        <f>IFERROR(IF($DF$2="Enter Spend&gt;&gt;&gt;",$DF$3*DD30,SUMIFS('Existing Customers'!$Q:$Q,'Existing Customers'!$H:$H,'Multi-Customer'!$AT30,'Existing Customers'!$A:$A,'Multi-Customer'!$DF$1)*$DF$4),0)</f>
        <v>0</v>
      </c>
      <c r="DG30" s="92">
        <f>IFERROR(IF($DF$2="Enter Spend&gt;&gt;&gt;",'Multi-Customer'!DF30/VLOOKUP($DF$5,'Basket Composition'!$A$34:$W$61,'Multi-Customer'!$AR30,FALSE),SUMIFS('Existing Customers'!$N:$N,'Existing Customers'!$H:$H,'Multi-Customer'!$AT30,'Existing Customers'!$A:$A,'Multi-Customer'!$DF$1)*$DF$4),0)</f>
        <v>0</v>
      </c>
      <c r="DH30" s="92">
        <f>IFERROR(IF($DF$2="Enter Spend&gt;&gt;&gt;",DG30*$DF$8,SUMIFS('Existing Customers'!$O:$O,'Existing Customers'!$H:$H,'Multi-Customer'!$AT30,'Existing Customers'!$A:$A,'Multi-Customer'!DF$1)*$DF$4),0)</f>
        <v>0</v>
      </c>
      <c r="DI30" s="92">
        <f>IFERROR(IF($DF$2="Enter Spend&gt;&gt;&gt;",'Multi-Customer'!DF30/VLOOKUP($DF$5,'Basket Composition'!$A$65:$W$92,'Multi-Customer'!$AR30,FALSE),SUMIFS('Existing Customers'!$P:$P,'Existing Customers'!$H:$H,'Multi-Customer'!$AT30,'Existing Customers'!$A:$A,'Multi-Customer'!$DF$1)*$DF$4),0)</f>
        <v>0</v>
      </c>
      <c r="DJ30" s="101">
        <f>IFERROR(IF($DF$2="Enter Spend&gt;&gt;&gt;","N/A",SUMIFS('Existing Customers'!$V:$V,'Existing Customers'!$H:$H,'Multi-Customer'!$AT30,'Existing Customers'!$A:$A,'Multi-Customer'!DF$1)*$DF$4),0)</f>
        <v>0</v>
      </c>
      <c r="DK30" s="101">
        <f>IFERROR(IF($DF$2="Enter Spend&gt;&gt;&gt;","N/A",SUMIFS('Existing Customers'!$R:$R,'Existing Customers'!$H:$H,'Multi-Customer'!$AT30,'Existing Customers'!$A:$A,'Multi-Customer'!DF$1)*$DF$4),0)</f>
        <v>0</v>
      </c>
      <c r="DL30" s="132"/>
      <c r="DM30">
        <f>IFERROR(VLOOKUP(DO$5,'Basket Composition'!$A$3:$W$30,'Multi-Customer'!$AR30,FALSE),0)</f>
        <v>0</v>
      </c>
      <c r="DN30" s="105" t="s">
        <v>86</v>
      </c>
      <c r="DO30" s="100">
        <f>IFERROR(IF($DO$2="Enter Spend&gt;&gt;&gt;",$DO$3*DM30,SUMIFS('Existing Customers'!$Q:$Q,'Existing Customers'!$H:$H,'Multi-Customer'!$AT30,'Existing Customers'!$A:$A,'Multi-Customer'!$DO$1)*$DO$4),0)</f>
        <v>0</v>
      </c>
      <c r="DP30" s="92">
        <f>IFERROR(IF($DO$2="Enter Spend&gt;&gt;&gt;",'Multi-Customer'!DO30/VLOOKUP($DO$5,'Basket Composition'!$A$34:$W$61,'Multi-Customer'!$AR30,FALSE),SUMIFS('Existing Customers'!$N:$N,'Existing Customers'!$H:$H,'Multi-Customer'!$AT30,'Existing Customers'!$A:$A,'Multi-Customer'!$DO$1)*$DO$4),0)</f>
        <v>0</v>
      </c>
      <c r="DQ30" s="92">
        <f>IFERROR(IF($DO$2="Enter Spend&gt;&gt;&gt;",DP30*$DO$8,SUMIFS('Existing Customers'!$O:$O,'Existing Customers'!$H:$H,'Multi-Customer'!$AT30,'Existing Customers'!$A:$A,'Multi-Customer'!DO$1)*$DO$4),0)</f>
        <v>0</v>
      </c>
      <c r="DR30" s="92">
        <f>IFERROR(IF($DO$2="Enter Spend&gt;&gt;&gt;",'Multi-Customer'!DO30/VLOOKUP($DO$5,'Basket Composition'!$A$65:$W$92,'Multi-Customer'!$AR30,FALSE),SUMIFS('Existing Customers'!$P:$P,'Existing Customers'!$H:$H,'Multi-Customer'!$AT30,'Existing Customers'!$A:$A,'Multi-Customer'!$DO$1)*$DO$4),0)</f>
        <v>0</v>
      </c>
      <c r="DS30" s="117">
        <f>IFERROR(IF($DO$2="Enter Spend&gt;&gt;&gt;","N/A",SUMIFS('Existing Customers'!$V:$V,'Existing Customers'!$H:$H,'Multi-Customer'!$AT30,'Existing Customers'!$A:$A,'Multi-Customer'!DO$1)*$DO$4),0)</f>
        <v>0</v>
      </c>
      <c r="DT30" s="101">
        <f>IFERROR(IF($DO$2="Enter Spend&gt;&gt;&gt;","N/A",SUMIFS('Existing Customers'!$R:$R,'Existing Customers'!$H:$H,'Multi-Customer'!$AT30,'Existing Customers'!$A:$A,'Multi-Customer'!DO$1)*$DO$4),0)</f>
        <v>0</v>
      </c>
      <c r="DU30" s="132"/>
      <c r="DV30">
        <f>IFERROR(VLOOKUP(DX$5,'Basket Composition'!$A$3:$W$30,'Multi-Customer'!$AR30,FALSE),0)</f>
        <v>0</v>
      </c>
      <c r="DW30" s="105" t="s">
        <v>86</v>
      </c>
      <c r="DX30" s="100">
        <f>IFERROR(IF($DX$2="Enter Spend&gt;&gt;&gt;",$DX$3*DV30,SUMIFS('Existing Customers'!$Q:$Q,'Existing Customers'!$H:$H,'Multi-Customer'!$AT30,'Existing Customers'!$A:$A,'Multi-Customer'!$DX$1)*$DX$4),0)</f>
        <v>0</v>
      </c>
      <c r="DY30" s="92">
        <f>IFERROR(IF($DX$2="Enter Spend&gt;&gt;&gt;",'Multi-Customer'!DX30/VLOOKUP($DX$5,'Basket Composition'!$A$34:$W$61,'Multi-Customer'!$AR30,FALSE),SUMIFS('Existing Customers'!$N:$N,'Existing Customers'!$H:$H,'Multi-Customer'!$AT30,'Existing Customers'!$A:$A,'Multi-Customer'!$DX$1)*$DX$4),0)</f>
        <v>0</v>
      </c>
      <c r="DZ30" s="92">
        <f>IFERROR(IF($DX$2="Enter Spend&gt;&gt;&gt;",DY30*$DX$8,SUMIFS('Existing Customers'!$O:$O,'Existing Customers'!$H:$H,'Multi-Customer'!$AT30,'Existing Customers'!$A:$A,'Multi-Customer'!DX$1)*$DX$4),0)</f>
        <v>0</v>
      </c>
      <c r="EA30" s="92">
        <f>IFERROR(IF($DX$2="Enter Spend&gt;&gt;&gt;",'Multi-Customer'!DX30/VLOOKUP($DX$5,'Basket Composition'!$A$65:$W$92,'Multi-Customer'!$AR30,FALSE),SUMIFS('Existing Customers'!$P:$P,'Existing Customers'!$H:$H,'Multi-Customer'!$AT30,'Existing Customers'!$A:$A,'Multi-Customer'!$DX$1)*$DX$4),0)</f>
        <v>0</v>
      </c>
      <c r="EB30" s="117">
        <f>IFERROR(IF($DX$2="Enter Spend&gt;&gt;&gt;","N/A",SUMIFS('Existing Customers'!$V:$V,'Existing Customers'!$H:$H,'Multi-Customer'!$AT30,'Existing Customers'!$A:$A,'Multi-Customer'!DX$1)*$DX$4),0)</f>
        <v>0</v>
      </c>
      <c r="EC30" s="101">
        <f>IFERROR(IF($DX$2="Enter Spend&gt;&gt;&gt;","N/A",SUMIFS('Existing Customers'!$R:$R,'Existing Customers'!$H:$H,'Multi-Customer'!$AT30,'Existing Customers'!$A:$A,'Multi-Customer'!DX$1)*$DX$4),0)</f>
        <v>0</v>
      </c>
      <c r="EE30" s="105" t="s">
        <v>86</v>
      </c>
      <c r="EF30" s="100"/>
      <c r="EG30" s="92"/>
      <c r="EH30" s="92"/>
      <c r="EI30" s="92"/>
      <c r="EJ30" s="117"/>
      <c r="EK30" s="101"/>
      <c r="EL30" s="132"/>
      <c r="EN30" s="105" t="s">
        <v>86</v>
      </c>
      <c r="EO30" s="100"/>
      <c r="EP30" s="92"/>
      <c r="EQ30" s="92"/>
      <c r="ER30" s="92"/>
      <c r="ES30" s="117"/>
      <c r="ET30" s="101"/>
    </row>
    <row r="31" spans="2:150" x14ac:dyDescent="0.25">
      <c r="B31" s="105" t="s">
        <v>88</v>
      </c>
      <c r="C31" s="487">
        <f t="shared" si="6"/>
        <v>0</v>
      </c>
      <c r="D31" s="504">
        <f t="shared" si="7"/>
        <v>0</v>
      </c>
      <c r="E31" s="504">
        <f t="shared" si="8"/>
        <v>0</v>
      </c>
      <c r="F31" s="504">
        <f t="shared" si="9"/>
        <v>0</v>
      </c>
      <c r="G31" s="505">
        <f t="shared" si="10"/>
        <v>0</v>
      </c>
      <c r="H31" s="507">
        <f t="shared" si="11"/>
        <v>0</v>
      </c>
      <c r="J31" t="str">
        <f>'PIM Model'!E29</f>
        <v>INCLUDE</v>
      </c>
      <c r="K31">
        <f t="shared" si="12"/>
        <v>0</v>
      </c>
      <c r="L31">
        <f t="shared" si="13"/>
        <v>0</v>
      </c>
      <c r="M31" s="105" t="s">
        <v>88</v>
      </c>
      <c r="N31" s="100">
        <f t="shared" si="14"/>
        <v>0</v>
      </c>
      <c r="O31" s="92">
        <f t="shared" si="0"/>
        <v>0</v>
      </c>
      <c r="P31" s="92">
        <f t="shared" si="1"/>
        <v>0</v>
      </c>
      <c r="Q31" s="92">
        <f t="shared" si="2"/>
        <v>0</v>
      </c>
      <c r="R31" s="117">
        <f t="shared" si="3"/>
        <v>0</v>
      </c>
      <c r="S31" s="120">
        <f t="shared" si="15"/>
        <v>0</v>
      </c>
      <c r="T31" s="404"/>
      <c r="U31" s="105" t="s">
        <v>88</v>
      </c>
      <c r="V31" s="491">
        <f t="shared" si="4"/>
        <v>0</v>
      </c>
      <c r="W31" s="492">
        <f t="shared" si="4"/>
        <v>0</v>
      </c>
      <c r="X31" s="492">
        <f t="shared" si="4"/>
        <v>0</v>
      </c>
      <c r="Y31" s="493">
        <f t="shared" si="16"/>
        <v>0</v>
      </c>
      <c r="Z31" s="494">
        <f t="shared" si="17"/>
        <v>0</v>
      </c>
      <c r="AA31" s="404"/>
      <c r="AB31" s="105" t="s">
        <v>88</v>
      </c>
      <c r="AC31" s="491">
        <f t="shared" si="5"/>
        <v>0</v>
      </c>
      <c r="AD31" s="488">
        <f t="shared" si="18"/>
        <v>0</v>
      </c>
      <c r="AE31" s="494"/>
      <c r="AF31" s="404"/>
      <c r="AG31" s="1" t="str">
        <f>IF('PIM Ranges'!$AK31='PIM Ranges'!$AW$11,IF($AC31&lt;'PIM Ranges'!$AX$11,"Q1",IF($AC31&lt;'PIM Ranges'!$AY$11,"Q2",IF($AC31&lt;'PIM Ranges'!$AZ$11,"Q3",IF($AC31&lt;'PIM Ranges'!$BA$11,"Q4","Q5")))),IF('PIM Ranges'!$AK31='PIM Ranges'!$AW$12,IF($AC31&lt;'PIM Ranges'!$AX$12,"Q1",IF($AC31&lt;'PIM Ranges'!$AY$12,"Q2",IF($AC31&lt;'PIM Ranges'!$AZ$12,"Q3",IF($AC31&lt;'PIM Ranges'!$BA$12,"Q4","Q5")))),IF('PIM Ranges'!$AK31='PIM Ranges'!$AW$13,IF($AC31&lt;'PIM Ranges'!$AX$13,"Q1",IF($AC31&lt;'PIM Ranges'!$AY$13,"Q2",IF($AC31&lt;'PIM Ranges'!$AZ$13,"Q3",IF($AC31&lt;'PIM Ranges'!$BA$13,"Q4","Q5")))),IF('PIM Ranges'!$AK31='PIM Ranges'!$AW$14,IF($AC31&lt;'PIM Ranges'!$AX$14,"Q1",IF($AC31&lt;'PIM Ranges'!$AY$14,"Q2",IF($AC31&lt;'PIM Ranges'!$AZ$14,"Q3",IF($AC31&lt;'PIM Ranges'!$BA$14,"Q4","Q5")))),IF('PIM Ranges'!$AK31='PIM Ranges'!$AW$15,IF($AC31&lt;'PIM Ranges'!$AX$15,"Q1",IF($AC31&lt;'PIM Ranges'!$AY$15,"Q2",IF($AC31&lt;'PIM Ranges'!$AZ$15,"Q3",IF($AC31&lt;'PIM Ranges'!$BA$15,"Q4","Q5")))),IF('PIM Ranges'!$AK31='PIM Ranges'!$AW$16,IF($AC31&lt;'PIM Ranges'!$AX$16,"Q1",IF($AC31&lt;'PIM Ranges'!$AY$16,"Q2",IF($AC31&lt;'PIM Ranges'!$AZ$16,"Q3",IF($AC31&lt;'PIM Ranges'!$BA$16,"Q4","Q5")))),IF('PIM Ranges'!$AK31='PIM Ranges'!$AW$17,IF($AC31&lt;'PIM Ranges'!$AX$17,"Q1",IF($AC31&lt;'PIM Ranges'!$AY$17,"Q2",IF($AC31&lt;'PIM Ranges'!$AZ$17,"Q3",IF($AC31&lt;'PIM Ranges'!$BA$17,"Q4","Q5")))),IF('PIM Ranges'!$AK31='PIM Ranges'!$AW$18,IF($AC31&lt;'PIM Ranges'!$AX$18,"Q1",IF($AC31&lt;'PIM Ranges'!$AY$18,"Q2",IF($AC31&lt;'PIM Ranges'!$AZ$18,"Q3",IF($AC31&lt;'PIM Ranges'!$BA$18,"Q4","Q5")))),IF('PIM Ranges'!$AK31='PIM Ranges'!$AW$19,IF($AC31&lt;'PIM Ranges'!$AX$19,"Q1",IF($AC31&lt;'PIM Ranges'!$AY$19,"Q2",IF($AC31&lt;'PIM Ranges'!$AZ$19,"Q3",IF($AC31&lt;'PIM Ranges'!$BA$19,"Q4","Q5")))),IF('PIM Ranges'!$AK31='PIM Ranges'!$AW$20,IF($AC31&lt;'PIM Ranges'!$AX$20,"Q1",IF($AC31&lt;'PIM Ranges'!$AY$20,"Q2",IF($AC31&lt;'PIM Ranges'!$AZ$20,"Q3",IF($AC31&lt;'PIM Ranges'!$BA$20,"Q4","Q5")))),IF('PIM Ranges'!$AK31='PIM Ranges'!$AW$21,IF($AC31&lt;'PIM Ranges'!$AX$21,"Q1",IF($AC31&lt;'PIM Ranges'!$AY$21,"Q2",IF($AC31&lt;'PIM Ranges'!$AZ$21,"Q3",IF($AC31&lt;'PIM Ranges'!$BA$21,"Q4","Q5")))),IF('PIM Ranges'!$AK31='PIM Ranges'!$AW$22,IF($AC31&lt;'PIM Ranges'!$AX$22,"Q1",IF($AC31&lt;'PIM Ranges'!$AY$22,"Q2",IF($AC31&lt;'PIM Ranges'!$AZ$22,"Q3",IF($AC31&lt;'PIM Ranges'!$BA$22,"Q4","Q5")))),IF('PIM Ranges'!$AK31='PIM Ranges'!$AW$23,IF($AC31&lt;'PIM Ranges'!$AX$23,"Q1",IF($AC31&lt;'PIM Ranges'!$AY$23,"Q2",IF($AC31&lt;'PIM Ranges'!$AZ$23,"Q3",IF($AC31&lt;'PIM Ranges'!$BA$23,"Q4","Q5")))),IF('PIM Ranges'!$AK31='PIM Ranges'!$AW$24,IF($AC31&lt;'PIM Ranges'!$AX$24,"Q1",IF($AC31&lt;'PIM Ranges'!$AY$24,"Q2",IF($AC31&lt;'PIM Ranges'!$AZ$24,"Q3",IF($AC31&lt;'PIM Ranges'!$BA$24,"Q4","Q5")))),IF('PIM Ranges'!$AK31='PIM Ranges'!$AW$25,IF($AC31&lt;'PIM Ranges'!$AX$25,"Q1",IF($AC31&lt;'PIM Ranges'!$AY$25,"Q2",IF($AC31&lt;'PIM Ranges'!$AZ$25,"Q3",IF($AC31&lt;'PIM Ranges'!$BA$25,"Q4","Q5")))),IF('PIM Ranges'!$AK31='PIM Ranges'!$AW$26,IF($AC31&lt;'PIM Ranges'!$AX$26,"Q1",IF($AC31&lt;'PIM Ranges'!$AY$26,"Q2",IF($AC31&lt;'PIM Ranges'!$AZ$26,"Q3",IF($AC31&lt;'PIM Ranges'!$BA$26,"Q4","Q5")))),IF('PIM Ranges'!$AK31='PIM Ranges'!$AW$27,IF($AC31&lt;'PIM Ranges'!$AX$27,"Q1",IF($AC31&lt;'PIM Ranges'!$AY$27,"Q2",IF($AC31&lt;'PIM Ranges'!$AZ$27,"Q3",IF($AC31&lt;'PIM Ranges'!$BA$27,"Q4","Q5")))),IF('PIM Ranges'!$AK31='PIM Ranges'!$AW$28,IF($AC31&lt;'PIM Ranges'!$AX$28,"Q1",IF($AC31&lt;'PIM Ranges'!$AY$28,"Q2",IF($AC31&lt;'PIM Ranges'!$AZ$28,"Q3",IF($AC31&lt;'PIM Ranges'!$BA$28,"Q4","Q5")))),IF('PIM Ranges'!$AK31='PIM Ranges'!$AW$29,IF($AC31&lt;'PIM Ranges'!$AX$29,"Q1",IF($AC31&lt;'PIM Ranges'!$AY$29,"Q2",IF($AC31&lt;'PIM Ranges'!$AZ$29,"Q3",IF($AC31&lt;'PIM Ranges'!$BA$29,"Q4","Q5")))),IF('PIM Ranges'!$AK31='PIM Ranges'!$AW$30,IF($AC31&lt;'PIM Ranges'!$AX$30,"Q1",IF($AC31&lt;'PIM Ranges'!$AY$30,"Q2",IF($AC31&lt;'PIM Ranges'!$AZ$30,"Q3",IF($AC31&lt;'PIM Ranges'!$BA$30,"Q4","Q5")))),IF('PIM Ranges'!$AK31='PIM Ranges'!$AW$31,IF($AC31&lt;'PIM Ranges'!$AX$31,"Q1",IF($AC31&lt;'PIM Ranges'!$AY$31,"Q2",IF($AC31&lt;'PIM Ranges'!$AZ$31,"Q3",IF($AC31&lt;'PIM Ranges'!$BA$31,"Q4","Q5")))),IF('PIM Ranges'!$AK31='PIM Ranges'!$AW$32,IF($AC31&lt;'PIM Ranges'!$AX$32,"Q1",IF($AC31&lt;'PIM Ranges'!$AY$32,"Q2",IF($AC31&lt;'PIM Ranges'!$AZ$32,"Q3",IF($AC31&lt;'PIM Ranges'!$BA$32,"Q4","Q5"))))))))))))))))))))))))))</f>
        <v>Q1</v>
      </c>
      <c r="AH31" s="404">
        <f>VLOOKUP($AB31&amp;$AG31,'IMargin Quartiles'!$A:$F,6,FALSE)</f>
        <v>0.13</v>
      </c>
      <c r="AI31" s="404"/>
      <c r="AJ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K31" s="404" t="e">
        <f>VLOOKUP($AB31&amp;$AJ31,'IMargin Quartiles'!$A:$F,6,FALSE)</f>
        <v>#DIV/0!</v>
      </c>
      <c r="AL31">
        <f>'PIM Model'!C29</f>
        <v>0</v>
      </c>
      <c r="AM31" s="404"/>
      <c r="AN31" s="404"/>
      <c r="AO31" s="404" t="e">
        <f t="shared" si="19"/>
        <v>#DIV/0!</v>
      </c>
      <c r="AP31" s="404"/>
      <c r="AQ31" s="404"/>
      <c r="AR31" s="111">
        <v>22</v>
      </c>
      <c r="AS31">
        <f>IFERROR(VLOOKUP(AU$5,'Basket Composition'!$A$3:$W$30,'Multi-Customer'!$AR31,FALSE),0)</f>
        <v>0</v>
      </c>
      <c r="AT31" s="105" t="s">
        <v>88</v>
      </c>
      <c r="AU31" s="100">
        <f>IFERROR(IF($AU$2="Enter Spend&gt;&gt;&gt;",$AU$3*AS31,SUMIFS('Existing Customers'!$Q:$Q,'Existing Customers'!$H:$H,'Multi-Customer'!$AT31,'Existing Customers'!$A:$A,'Multi-Customer'!$AU$1)*$AU$4),0)</f>
        <v>0</v>
      </c>
      <c r="AV31" s="92">
        <f>IFERROR(IF($AU$2="Enter Spend&gt;&gt;&gt;",'Multi-Customer'!AU31/VLOOKUP($AU$5,'Basket Composition'!$A$34:$W$61,'Multi-Customer'!$AR31,FALSE),SUMIFS('Existing Customers'!$N:$N,'Existing Customers'!$H:$H,'Multi-Customer'!$AT31,'Existing Customers'!$A:$A,'Multi-Customer'!$AU$1)*$AU$4),0)</f>
        <v>0</v>
      </c>
      <c r="AW31" s="92">
        <f>IFERROR(IF($AU$2="Enter Spend&gt;&gt;&gt;",AV31*$AU$8,SUMIFS('Existing Customers'!$O:$O,'Existing Customers'!$H:$H,'Multi-Customer'!$AT31,'Existing Customers'!$A:$A,'Multi-Customer'!AU$1)*$AU$4),0)</f>
        <v>0</v>
      </c>
      <c r="AX31" s="92">
        <f>IFERROR(IF($AU$2="Enter Spend&gt;&gt;&gt;",'Multi-Customer'!AU31/VLOOKUP($AU$5,'Basket Composition'!$A$65:$W$92,'Multi-Customer'!$AR31,FALSE),SUMIFS('Existing Customers'!$P:$P,'Existing Customers'!$H:$H,'Multi-Customer'!$AT31,'Existing Customers'!$A:$A,'Multi-Customer'!$AU$1)*$AU$4),0)</f>
        <v>0</v>
      </c>
      <c r="AY31" s="117">
        <f>IFERROR(IF($AU$2="Enter Spend&gt;&gt;&gt;","N/A",SUMIFS('Existing Customers'!$V:$V,'Existing Customers'!$H:$H,'Multi-Customer'!$AT31,'Existing Customers'!$A:$A,'Multi-Customer'!AU$1)*$AU$4),0)</f>
        <v>0</v>
      </c>
      <c r="AZ31" s="101">
        <f>IFERROR(IF($AU$2="Enter Spend&gt;&gt;&gt;","N/A",SUMIFS('Existing Customers'!$R:$R,'Existing Customers'!$H:$H,'Multi-Customer'!$AT31,'Existing Customers'!$A:$A,'Multi-Customer'!AU$1)*$AU$4),0)</f>
        <v>0</v>
      </c>
      <c r="BA31" s="132"/>
      <c r="BB31">
        <f>IFERROR(VLOOKUP(BD$5,'Basket Composition'!$A$3:$W$30,'Multi-Customer'!$AR31,FALSE),0)</f>
        <v>0</v>
      </c>
      <c r="BC31" s="105" t="s">
        <v>88</v>
      </c>
      <c r="BD31" s="100">
        <f>IFERROR(IF($BD$2="Enter Spend&gt;&gt;&gt;",$BD$3*BB31,SUMIFS('Existing Customers'!$Q:$Q,'Existing Customers'!$H:$H,'Multi-Customer'!$AT31,'Existing Customers'!$A:$A,'Multi-Customer'!$BD$1)*$BD$4),0)</f>
        <v>0</v>
      </c>
      <c r="BE31" s="92">
        <f>IFERROR(IF($BD$2="Enter Spend&gt;&gt;&gt;",'Multi-Customer'!BD31/VLOOKUP($BD$5,'Basket Composition'!$A$34:$W$61,'Multi-Customer'!$AR31,FALSE),SUMIFS('Existing Customers'!$N:$N,'Existing Customers'!$H:$H,'Multi-Customer'!$AT31,'Existing Customers'!$A:$A,'Multi-Customer'!$BD$1)*$BD$4),0)</f>
        <v>0</v>
      </c>
      <c r="BF31" s="92">
        <f>IFERROR(IF($BD$2="Enter Spend&gt;&gt;&gt;",BE31*$BD$8,SUMIFS('Existing Customers'!$O:$O,'Existing Customers'!$H:$H,'Multi-Customer'!$AT31,'Existing Customers'!$A:$A,'Multi-Customer'!BD$1)*$BD$4),0)</f>
        <v>0</v>
      </c>
      <c r="BG31" s="92">
        <f>IFERROR(IF($BD$2="Enter Spend&gt;&gt;&gt;",'Multi-Customer'!BD31/VLOOKUP($BD$5,'Basket Composition'!$A$65:$W$92,'Multi-Customer'!$AR31,FALSE),SUMIFS('Existing Customers'!$P:$P,'Existing Customers'!$H:$H,'Multi-Customer'!$AT31,'Existing Customers'!$A:$A,'Multi-Customer'!$BD$1)*$BD$4),0)</f>
        <v>0</v>
      </c>
      <c r="BH31" s="101">
        <f>IFERROR(IF($BD$2="Enter Spend&gt;&gt;&gt;","N/A",SUMIFS('Existing Customers'!$V:$V,'Existing Customers'!$H:$H,'Multi-Customer'!$AT31,'Existing Customers'!$A:$A,'Multi-Customer'!BD$1)*$BD$4),0)</f>
        <v>0</v>
      </c>
      <c r="BI31" s="101">
        <f>IFERROR(IF($BD$2="Enter Spend&gt;&gt;&gt;","N/A",SUMIFS('Existing Customers'!$R:$R,'Existing Customers'!$H:$H,'Multi-Customer'!$AT31,'Existing Customers'!$A:$A,'Multi-Customer'!BD$1)*$BD$4),0)</f>
        <v>0</v>
      </c>
      <c r="BJ31" s="132"/>
      <c r="BK31">
        <f>IFERROR(VLOOKUP(BM$5,'Basket Composition'!$A$3:$W$30,'Multi-Customer'!$AR31,FALSE),0)</f>
        <v>0</v>
      </c>
      <c r="BL31" s="105" t="s">
        <v>88</v>
      </c>
      <c r="BM31" s="100">
        <f>IFERROR(IF($BM$2="Enter Spend&gt;&gt;&gt;",$BM$3*BK31,SUMIFS('Existing Customers'!$Q:$Q,'Existing Customers'!$H:$H,'Multi-Customer'!$AT31,'Existing Customers'!$A:$A,'Multi-Customer'!$BM$1)*$BM$4),0)</f>
        <v>0</v>
      </c>
      <c r="BN31" s="92">
        <f>IFERROR(IF($BM$2="Enter Spend&gt;&gt;&gt;",'Multi-Customer'!BM31/VLOOKUP($BM$5,'Basket Composition'!$A$34:$W$61,'Multi-Customer'!$AR31,FALSE),SUMIFS('Existing Customers'!$N:$N,'Existing Customers'!$H:$H,'Multi-Customer'!$AT31,'Existing Customers'!$A:$A,'Multi-Customer'!$BM$1)*$BM$4),0)</f>
        <v>0</v>
      </c>
      <c r="BO31" s="92">
        <f>IFERROR(IF($BM$2="Enter Spend&gt;&gt;&gt;",BN31*$BM$8,SUMIFS('Existing Customers'!$O:$O,'Existing Customers'!$H:$H,'Multi-Customer'!$AT31,'Existing Customers'!$A:$A,'Multi-Customer'!BM$1)*$BM$4),0)</f>
        <v>0</v>
      </c>
      <c r="BP31" s="92">
        <f>IFERROR(IF($BM$2="Enter Spend&gt;&gt;&gt;",'Multi-Customer'!BM31/VLOOKUP($BM$5,'Basket Composition'!$A$65:$W$92,'Multi-Customer'!$AR31,FALSE),SUMIFS('Existing Customers'!$P:$P,'Existing Customers'!$H:$H,'Multi-Customer'!$AT31,'Existing Customers'!$A:$A,'Multi-Customer'!$BM$1)*$BM$4),0)</f>
        <v>0</v>
      </c>
      <c r="BQ31" s="101">
        <f>IFERROR(IF($BM$2="Enter Spend&gt;&gt;&gt;","N/A",SUMIFS('Existing Customers'!$V:$V,'Existing Customers'!$H:$H,'Multi-Customer'!$AT31,'Existing Customers'!$A:$A,'Multi-Customer'!BM$1)*$BM$4),0)</f>
        <v>0</v>
      </c>
      <c r="BR31" s="101">
        <f>IFERROR(IF($BM$2="Enter Spend&gt;&gt;&gt;","N/A",SUMIFS('Existing Customers'!$R:$R,'Existing Customers'!$H:$H,'Multi-Customer'!$AT31,'Existing Customers'!$A:$A,'Multi-Customer'!BM$1)*$BM$4),0)</f>
        <v>0</v>
      </c>
      <c r="BS31" s="132"/>
      <c r="BT31">
        <f>IFERROR(VLOOKUP(BV$5,'Basket Composition'!$A$3:$W$30,'Multi-Customer'!$AR31,FALSE),0)</f>
        <v>0</v>
      </c>
      <c r="BU31" s="105" t="s">
        <v>88</v>
      </c>
      <c r="BV31" s="100">
        <f>IFERROR(IF($BV$2="Enter Spend&gt;&gt;&gt;",$BV$3*BT31,SUMIFS('Existing Customers'!$Q:$Q,'Existing Customers'!$H:$H,'Multi-Customer'!$AT31,'Existing Customers'!$A:$A,'Multi-Customer'!$BV$1)*$BV$4),0)</f>
        <v>0</v>
      </c>
      <c r="BW31" s="92">
        <f>IFERROR(IF($BV$2="Enter Spend&gt;&gt;&gt;",'Multi-Customer'!BV31/VLOOKUP($BV$5,'Basket Composition'!$A$34:$W$61,'Multi-Customer'!$AR31,FALSE),SUMIFS('Existing Customers'!$N:$N,'Existing Customers'!$H:$H,'Multi-Customer'!$AT31,'Existing Customers'!$A:$A,'Multi-Customer'!$BV$1)*$BV$4),0)</f>
        <v>0</v>
      </c>
      <c r="BX31" s="92">
        <f>IFERROR(IF($BV$2="Enter Spend&gt;&gt;&gt;",BW31*$BV$8,SUMIFS('Existing Customers'!$O:$O,'Existing Customers'!$H:$H,'Multi-Customer'!$AT31,'Existing Customers'!$A:$A,'Multi-Customer'!BV$1)*$BV$4),0)</f>
        <v>0</v>
      </c>
      <c r="BY31" s="92">
        <f>IFERROR(IF($BV$2="Enter Spend&gt;&gt;&gt;",'Multi-Customer'!BV31/VLOOKUP($BV$5,'Basket Composition'!$A$65:$W$92,'Multi-Customer'!$AR31,FALSE),SUMIFS('Existing Customers'!$P:$P,'Existing Customers'!$H:$H,'Multi-Customer'!$AT31,'Existing Customers'!$A:$A,'Multi-Customer'!$BV$1)*$BV$4),0)</f>
        <v>0</v>
      </c>
      <c r="BZ31" s="101">
        <f>IFERROR(IF($BV$2="Enter Spend&gt;&gt;&gt;","N/A",SUMIFS('Existing Customers'!$V:$V,'Existing Customers'!$H:$H,'Multi-Customer'!$AT31,'Existing Customers'!$A:$A,'Multi-Customer'!BV$1)*$BV$4),0)</f>
        <v>0</v>
      </c>
      <c r="CA31" s="101">
        <f>IFERROR(IF($BV$2="Enter Spend&gt;&gt;&gt;","N/A",SUMIFS('Existing Customers'!$R:$R,'Existing Customers'!$H:$H,'Multi-Customer'!$AT31,'Existing Customers'!$A:$A,'Multi-Customer'!BV$1)*$BV$4),0)</f>
        <v>0</v>
      </c>
      <c r="CB31" s="132"/>
      <c r="CC31">
        <f>IFERROR(VLOOKUP(CE$5,'Basket Composition'!$A$3:$W$30,'Multi-Customer'!$AR31,FALSE),0)</f>
        <v>0</v>
      </c>
      <c r="CD31" s="105" t="s">
        <v>88</v>
      </c>
      <c r="CE31" s="100">
        <f>IFERROR(IF($CE$2="Enter Spend&gt;&gt;&gt;",$CE$3*CC31,SUMIFS('Existing Customers'!$Q:$Q,'Existing Customers'!$H:$H,'Multi-Customer'!$AT31,'Existing Customers'!$A:$A,'Multi-Customer'!$CE$1)*$CE$4),0)</f>
        <v>0</v>
      </c>
      <c r="CF31" s="92">
        <f>IFERROR(IF($CE$2="Enter Spend&gt;&gt;&gt;",'Multi-Customer'!CE31/VLOOKUP($CE$5,'Basket Composition'!$A$34:$W$61,'Multi-Customer'!$AR31,FALSE),SUMIFS('Existing Customers'!$N:$N,'Existing Customers'!$H:$H,'Multi-Customer'!$AT31,'Existing Customers'!$A:$A,'Multi-Customer'!$CE$1)*$CE$4),0)</f>
        <v>0</v>
      </c>
      <c r="CG31" s="92">
        <f>IFERROR(IF($CE$2="Enter Spend&gt;&gt;&gt;",CF31*$CE$8,SUMIFS('Existing Customers'!$O:$O,'Existing Customers'!$H:$H,'Multi-Customer'!$AT31,'Existing Customers'!$A:$A,'Multi-Customer'!CE$1)*$CE$4),0)</f>
        <v>0</v>
      </c>
      <c r="CH31" s="92">
        <f>IFERROR(IF($CE$2="Enter Spend&gt;&gt;&gt;",'Multi-Customer'!CE31/VLOOKUP($CE$5,'Basket Composition'!$A$65:$W$92,'Multi-Customer'!$AR31,FALSE),SUMIFS('Existing Customers'!$P:$P,'Existing Customers'!$H:$H,'Multi-Customer'!$AT31,'Existing Customers'!$A:$A,'Multi-Customer'!$CE$1)*$CE$4),0)</f>
        <v>0</v>
      </c>
      <c r="CI31" s="101">
        <f>IFERROR(IF($CE$2="Enter Spend&gt;&gt;&gt;","N/A",SUMIFS('Existing Customers'!$V:$V,'Existing Customers'!$H:$H,'Multi-Customer'!$AT31,'Existing Customers'!$A:$A,'Multi-Customer'!CE$1)*$CE$4),0)</f>
        <v>0</v>
      </c>
      <c r="CJ31" s="101">
        <f>IFERROR(IF($CE$2="Enter Spend&gt;&gt;&gt;","N/A",SUMIFS('Existing Customers'!$R:$R,'Existing Customers'!$H:$H,'Multi-Customer'!$AT31,'Existing Customers'!$A:$A,'Multi-Customer'!CE$1)*$CE$4),0)</f>
        <v>0</v>
      </c>
      <c r="CK31" s="132"/>
      <c r="CL31">
        <f>IFERROR(VLOOKUP(CN$5,'Basket Composition'!$A$3:$W$30,'Multi-Customer'!$AR31,FALSE),0)</f>
        <v>0</v>
      </c>
      <c r="CM31" s="105" t="s">
        <v>88</v>
      </c>
      <c r="CN31" s="100">
        <f>IFERROR(IF($CN$2="Enter Spend&gt;&gt;&gt;",$CN$3*CL31,SUMIFS('Existing Customers'!$Q:$Q,'Existing Customers'!$H:$H,'Multi-Customer'!$AT31,'Existing Customers'!$A:$A,'Multi-Customer'!$CN$1)*$CN$4),0)</f>
        <v>0</v>
      </c>
      <c r="CO31" s="92">
        <f>IFERROR(IF($CN$2="Enter Spend&gt;&gt;&gt;",'Multi-Customer'!CN31/VLOOKUP($CN$5,'Basket Composition'!$A$34:$W$61,'Multi-Customer'!$AR31,FALSE),SUMIFS('Existing Customers'!$N:$N,'Existing Customers'!$H:$H,'Multi-Customer'!$AT31,'Existing Customers'!$A:$A,'Multi-Customer'!$CN$1)*$CN$4),0)</f>
        <v>0</v>
      </c>
      <c r="CP31" s="92">
        <f>IFERROR(IF($CN$2="Enter Spend&gt;&gt;&gt;",CO31*$CN$8,SUMIFS('Existing Customers'!$O:$O,'Existing Customers'!$H:$H,'Multi-Customer'!$AT31,'Existing Customers'!$A:$A,'Multi-Customer'!CN$1)*$CN$4),0)</f>
        <v>0</v>
      </c>
      <c r="CQ31" s="92">
        <f>IFERROR(IF($CN$2="Enter Spend&gt;&gt;&gt;",'Multi-Customer'!CN31/VLOOKUP($CN$5,'Basket Composition'!$A$65:$W$92,'Multi-Customer'!$AR31,FALSE),SUMIFS('Existing Customers'!$P:$P,'Existing Customers'!$H:$H,'Multi-Customer'!$AT31,'Existing Customers'!$A:$A,'Multi-Customer'!$CN$1)*$CN$4),0)</f>
        <v>0</v>
      </c>
      <c r="CR31" s="101">
        <f>IFERROR(IF($CN$2="Enter Spend&gt;&gt;&gt;","N/A",SUMIFS('Existing Customers'!$V:$V,'Existing Customers'!$H:$H,'Multi-Customer'!$AT31,'Existing Customers'!$A:$A,'Multi-Customer'!CN$1)*$CN$4),0)</f>
        <v>0</v>
      </c>
      <c r="CS31" s="101">
        <f>IFERROR(IF($CN$2="Enter Spend&gt;&gt;&gt;","N/A",SUMIFS('Existing Customers'!$R:$R,'Existing Customers'!$H:$H,'Multi-Customer'!$AT31,'Existing Customers'!$A:$A,'Multi-Customer'!CN$1)*$CN$4),0)</f>
        <v>0</v>
      </c>
      <c r="CT31" s="132"/>
      <c r="CU31">
        <f>IFERROR(VLOOKUP(CW$5,'Basket Composition'!$A$3:$W$30,'Multi-Customer'!$AR31,FALSE),0)</f>
        <v>0</v>
      </c>
      <c r="CV31" s="105" t="s">
        <v>88</v>
      </c>
      <c r="CW31" s="100">
        <f>IFERROR(IF($CW$2="Enter Spend&gt;&gt;&gt;",$CW$3*CU31,SUMIFS('Existing Customers'!$Q:$Q,'Existing Customers'!$H:$H,'Multi-Customer'!$AT31,'Existing Customers'!$A:$A,'Multi-Customer'!$CW$1)*$CW$4),0)</f>
        <v>0</v>
      </c>
      <c r="CX31" s="92">
        <f>IFERROR(IF($CW$2="Enter Spend&gt;&gt;&gt;",'Multi-Customer'!CW31/VLOOKUP($CW$5,'Basket Composition'!$A$34:$W$61,'Multi-Customer'!$AR31,FALSE),SUMIFS('Existing Customers'!$N:$N,'Existing Customers'!$H:$H,'Multi-Customer'!$AT31,'Existing Customers'!$A:$A,'Multi-Customer'!$CW$1)*$CW$4),0)</f>
        <v>0</v>
      </c>
      <c r="CY31" s="92">
        <f>IFERROR(IF($CW$2="Enter Spend&gt;&gt;&gt;",CX31*$CW$8,SUMIFS('Existing Customers'!$O:$O,'Existing Customers'!$H:$H,'Multi-Customer'!$AT31,'Existing Customers'!$A:$A,'Multi-Customer'!CW$1)*$CW$4),0)</f>
        <v>0</v>
      </c>
      <c r="CZ31" s="92">
        <f>IFERROR(IF($CW$2="Enter Spend&gt;&gt;&gt;",'Multi-Customer'!CW31/VLOOKUP($CW$5,'Basket Composition'!$A$65:$W$92,'Multi-Customer'!$AR31,FALSE),SUMIFS('Existing Customers'!$P:$P,'Existing Customers'!$H:$H,'Multi-Customer'!$AT31,'Existing Customers'!$A:$A,'Multi-Customer'!$CW$1)*$CW$4),0)</f>
        <v>0</v>
      </c>
      <c r="DA31" s="101">
        <f>IFERROR(IF($CW$2="Enter Spend&gt;&gt;&gt;","N/A",SUMIFS('Existing Customers'!$V:$V,'Existing Customers'!$H:$H,'Multi-Customer'!$AT31,'Existing Customers'!$A:$A,'Multi-Customer'!CW$1)*$CW$4),0)</f>
        <v>0</v>
      </c>
      <c r="DB31" s="101">
        <f>IFERROR(IF($CW$2="Enter Spend&gt;&gt;&gt;","N/A",SUMIFS('Existing Customers'!$R:$R,'Existing Customers'!$H:$H,'Multi-Customer'!$AT31,'Existing Customers'!$A:$A,'Multi-Customer'!CW$1)*$CW$4),0)</f>
        <v>0</v>
      </c>
      <c r="DC31" s="132"/>
      <c r="DD31">
        <f>IFERROR(VLOOKUP(DF$5,'Basket Composition'!$A$3:$W$30,'Multi-Customer'!$AR31,FALSE),0)</f>
        <v>0</v>
      </c>
      <c r="DE31" s="105" t="s">
        <v>88</v>
      </c>
      <c r="DF31" s="100">
        <f>IFERROR(IF($DF$2="Enter Spend&gt;&gt;&gt;",$DF$3*DD31,SUMIFS('Existing Customers'!$Q:$Q,'Existing Customers'!$H:$H,'Multi-Customer'!$AT31,'Existing Customers'!$A:$A,'Multi-Customer'!$DF$1)*$DF$4),0)</f>
        <v>0</v>
      </c>
      <c r="DG31" s="92">
        <f>IFERROR(IF($DF$2="Enter Spend&gt;&gt;&gt;",'Multi-Customer'!DF31/VLOOKUP($DF$5,'Basket Composition'!$A$34:$W$61,'Multi-Customer'!$AR31,FALSE),SUMIFS('Existing Customers'!$N:$N,'Existing Customers'!$H:$H,'Multi-Customer'!$AT31,'Existing Customers'!$A:$A,'Multi-Customer'!$DF$1)*$DF$4),0)</f>
        <v>0</v>
      </c>
      <c r="DH31" s="92">
        <f>IFERROR(IF($DF$2="Enter Spend&gt;&gt;&gt;",DG31*$DF$8,SUMIFS('Existing Customers'!$O:$O,'Existing Customers'!$H:$H,'Multi-Customer'!$AT31,'Existing Customers'!$A:$A,'Multi-Customer'!DF$1)*$DF$4),0)</f>
        <v>0</v>
      </c>
      <c r="DI31" s="92">
        <f>IFERROR(IF($DF$2="Enter Spend&gt;&gt;&gt;",'Multi-Customer'!DF31/VLOOKUP($DF$5,'Basket Composition'!$A$65:$W$92,'Multi-Customer'!$AR31,FALSE),SUMIFS('Existing Customers'!$P:$P,'Existing Customers'!$H:$H,'Multi-Customer'!$AT31,'Existing Customers'!$A:$A,'Multi-Customer'!$DF$1)*$DF$4),0)</f>
        <v>0</v>
      </c>
      <c r="DJ31" s="101">
        <f>IFERROR(IF($DF$2="Enter Spend&gt;&gt;&gt;","N/A",SUMIFS('Existing Customers'!$V:$V,'Existing Customers'!$H:$H,'Multi-Customer'!$AT31,'Existing Customers'!$A:$A,'Multi-Customer'!DF$1)*$DF$4),0)</f>
        <v>0</v>
      </c>
      <c r="DK31" s="101">
        <f>IFERROR(IF($DF$2="Enter Spend&gt;&gt;&gt;","N/A",SUMIFS('Existing Customers'!$R:$R,'Existing Customers'!$H:$H,'Multi-Customer'!$AT31,'Existing Customers'!$A:$A,'Multi-Customer'!DF$1)*$DF$4),0)</f>
        <v>0</v>
      </c>
      <c r="DL31" s="132"/>
      <c r="DM31">
        <f>IFERROR(VLOOKUP(DO$5,'Basket Composition'!$A$3:$W$30,'Multi-Customer'!$AR31,FALSE),0)</f>
        <v>0</v>
      </c>
      <c r="DN31" s="105" t="s">
        <v>88</v>
      </c>
      <c r="DO31" s="100">
        <f>IFERROR(IF($DO$2="Enter Spend&gt;&gt;&gt;",$DO$3*DM31,SUMIFS('Existing Customers'!$Q:$Q,'Existing Customers'!$H:$H,'Multi-Customer'!$AT31,'Existing Customers'!$A:$A,'Multi-Customer'!$DO$1)*$DO$4),0)</f>
        <v>0</v>
      </c>
      <c r="DP31" s="92">
        <f>IFERROR(IF($DO$2="Enter Spend&gt;&gt;&gt;",'Multi-Customer'!DO31/VLOOKUP($DO$5,'Basket Composition'!$A$34:$W$61,'Multi-Customer'!$AR31,FALSE),SUMIFS('Existing Customers'!$N:$N,'Existing Customers'!$H:$H,'Multi-Customer'!$AT31,'Existing Customers'!$A:$A,'Multi-Customer'!$DO$1)*$DO$4),0)</f>
        <v>0</v>
      </c>
      <c r="DQ31" s="92">
        <f>IFERROR(IF($DO$2="Enter Spend&gt;&gt;&gt;",DP31*$DO$8,SUMIFS('Existing Customers'!$O:$O,'Existing Customers'!$H:$H,'Multi-Customer'!$AT31,'Existing Customers'!$A:$A,'Multi-Customer'!DO$1)*$DO$4),0)</f>
        <v>0</v>
      </c>
      <c r="DR31" s="92">
        <f>IFERROR(IF($DO$2="Enter Spend&gt;&gt;&gt;",'Multi-Customer'!DO31/VLOOKUP($DO$5,'Basket Composition'!$A$65:$W$92,'Multi-Customer'!$AR31,FALSE),SUMIFS('Existing Customers'!$P:$P,'Existing Customers'!$H:$H,'Multi-Customer'!$AT31,'Existing Customers'!$A:$A,'Multi-Customer'!$DO$1)*$DO$4),0)</f>
        <v>0</v>
      </c>
      <c r="DS31" s="117">
        <f>IFERROR(IF($DO$2="Enter Spend&gt;&gt;&gt;","N/A",SUMIFS('Existing Customers'!$V:$V,'Existing Customers'!$H:$H,'Multi-Customer'!$AT31,'Existing Customers'!$A:$A,'Multi-Customer'!DO$1)*$DO$4),0)</f>
        <v>0</v>
      </c>
      <c r="DT31" s="101">
        <f>IFERROR(IF($DO$2="Enter Spend&gt;&gt;&gt;","N/A",SUMIFS('Existing Customers'!$R:$R,'Existing Customers'!$H:$H,'Multi-Customer'!$AT31,'Existing Customers'!$A:$A,'Multi-Customer'!DO$1)*$DO$4),0)</f>
        <v>0</v>
      </c>
      <c r="DU31" s="132"/>
      <c r="DV31">
        <f>IFERROR(VLOOKUP(DX$5,'Basket Composition'!$A$3:$W$30,'Multi-Customer'!$AR31,FALSE),0)</f>
        <v>0</v>
      </c>
      <c r="DW31" s="105" t="s">
        <v>88</v>
      </c>
      <c r="DX31" s="100">
        <f>IFERROR(IF($DX$2="Enter Spend&gt;&gt;&gt;",$DX$3*DV31,SUMIFS('Existing Customers'!$Q:$Q,'Existing Customers'!$H:$H,'Multi-Customer'!$AT31,'Existing Customers'!$A:$A,'Multi-Customer'!$DX$1)*$DX$4),0)</f>
        <v>0</v>
      </c>
      <c r="DY31" s="92">
        <f>IFERROR(IF($DX$2="Enter Spend&gt;&gt;&gt;",'Multi-Customer'!DX31/VLOOKUP($DX$5,'Basket Composition'!$A$34:$W$61,'Multi-Customer'!$AR31,FALSE),SUMIFS('Existing Customers'!$N:$N,'Existing Customers'!$H:$H,'Multi-Customer'!$AT31,'Existing Customers'!$A:$A,'Multi-Customer'!$DX$1)*$DX$4),0)</f>
        <v>0</v>
      </c>
      <c r="DZ31" s="92">
        <f>IFERROR(IF($DX$2="Enter Spend&gt;&gt;&gt;",DY31*$DX$8,SUMIFS('Existing Customers'!$O:$O,'Existing Customers'!$H:$H,'Multi-Customer'!$AT31,'Existing Customers'!$A:$A,'Multi-Customer'!DX$1)*$DX$4),0)</f>
        <v>0</v>
      </c>
      <c r="EA31" s="92">
        <f>IFERROR(IF($DX$2="Enter Spend&gt;&gt;&gt;",'Multi-Customer'!DX31/VLOOKUP($DX$5,'Basket Composition'!$A$65:$W$92,'Multi-Customer'!$AR31,FALSE),SUMIFS('Existing Customers'!$P:$P,'Existing Customers'!$H:$H,'Multi-Customer'!$AT31,'Existing Customers'!$A:$A,'Multi-Customer'!$DX$1)*$DX$4),0)</f>
        <v>0</v>
      </c>
      <c r="EB31" s="117">
        <f>IFERROR(IF($DX$2="Enter Spend&gt;&gt;&gt;","N/A",SUMIFS('Existing Customers'!$V:$V,'Existing Customers'!$H:$H,'Multi-Customer'!$AT31,'Existing Customers'!$A:$A,'Multi-Customer'!DX$1)*$DX$4),0)</f>
        <v>0</v>
      </c>
      <c r="EC31" s="101">
        <f>IFERROR(IF($DX$2="Enter Spend&gt;&gt;&gt;","N/A",SUMIFS('Existing Customers'!$R:$R,'Existing Customers'!$H:$H,'Multi-Customer'!$AT31,'Existing Customers'!$A:$A,'Multi-Customer'!DX$1)*$DX$4),0)</f>
        <v>0</v>
      </c>
      <c r="EE31" s="105" t="s">
        <v>88</v>
      </c>
      <c r="EF31" s="100"/>
      <c r="EG31" s="92"/>
      <c r="EH31" s="92"/>
      <c r="EI31" s="92"/>
      <c r="EJ31" s="117"/>
      <c r="EK31" s="101"/>
      <c r="EL31" s="132"/>
      <c r="EN31" s="105" t="s">
        <v>88</v>
      </c>
      <c r="EO31" s="100"/>
      <c r="EP31" s="92"/>
      <c r="EQ31" s="92"/>
      <c r="ER31" s="92"/>
      <c r="ES31" s="117"/>
      <c r="ET31" s="101"/>
    </row>
    <row r="32" spans="2:150" ht="15.75" thickBot="1" x14ac:dyDescent="0.3">
      <c r="B32" s="106" t="s">
        <v>87</v>
      </c>
      <c r="C32" s="487">
        <f t="shared" si="6"/>
        <v>0</v>
      </c>
      <c r="D32" s="504">
        <f t="shared" si="7"/>
        <v>0</v>
      </c>
      <c r="E32" s="504">
        <f t="shared" si="8"/>
        <v>0</v>
      </c>
      <c r="F32" s="504">
        <f t="shared" si="9"/>
        <v>0</v>
      </c>
      <c r="G32" s="505">
        <f t="shared" si="10"/>
        <v>0</v>
      </c>
      <c r="H32" s="508">
        <f t="shared" si="11"/>
        <v>0</v>
      </c>
      <c r="J32" t="str">
        <f>'PIM Model'!E30</f>
        <v>INCLUDE</v>
      </c>
      <c r="K32">
        <f t="shared" si="12"/>
        <v>0</v>
      </c>
      <c r="L32">
        <f t="shared" si="13"/>
        <v>0</v>
      </c>
      <c r="M32" s="106" t="s">
        <v>87</v>
      </c>
      <c r="N32" s="102">
        <f t="shared" si="14"/>
        <v>0</v>
      </c>
      <c r="O32" s="103">
        <f t="shared" si="0"/>
        <v>0</v>
      </c>
      <c r="P32" s="103">
        <f t="shared" si="1"/>
        <v>0</v>
      </c>
      <c r="Q32" s="103">
        <f t="shared" si="2"/>
        <v>0</v>
      </c>
      <c r="R32" s="118">
        <f t="shared" si="3"/>
        <v>0</v>
      </c>
      <c r="S32" s="121">
        <f t="shared" si="15"/>
        <v>0</v>
      </c>
      <c r="T32" s="404"/>
      <c r="U32" s="106" t="s">
        <v>87</v>
      </c>
      <c r="V32" s="495">
        <f t="shared" si="4"/>
        <v>0</v>
      </c>
      <c r="W32" s="496">
        <f t="shared" si="4"/>
        <v>0</v>
      </c>
      <c r="X32" s="496">
        <f t="shared" si="4"/>
        <v>0</v>
      </c>
      <c r="Y32" s="497">
        <f t="shared" si="16"/>
        <v>0</v>
      </c>
      <c r="Z32" s="498">
        <f t="shared" si="17"/>
        <v>0</v>
      </c>
      <c r="AA32" s="404"/>
      <c r="AB32" s="106" t="s">
        <v>87</v>
      </c>
      <c r="AC32" s="495">
        <f t="shared" si="5"/>
        <v>0</v>
      </c>
      <c r="AD32" s="488">
        <f t="shared" si="18"/>
        <v>0</v>
      </c>
      <c r="AE32" s="498"/>
      <c r="AF32" s="404"/>
      <c r="AG32" s="1" t="str">
        <f>IF('PIM Ranges'!$AK32='PIM Ranges'!$AW$11,IF($AC32&lt;'PIM Ranges'!$AX$11,"Q1",IF($AC32&lt;'PIM Ranges'!$AY$11,"Q2",IF($AC32&lt;'PIM Ranges'!$AZ$11,"Q3",IF($AC32&lt;'PIM Ranges'!$BA$11,"Q4","Q5")))),IF('PIM Ranges'!$AK32='PIM Ranges'!$AW$12,IF($AC32&lt;'PIM Ranges'!$AX$12,"Q1",IF($AC32&lt;'PIM Ranges'!$AY$12,"Q2",IF($AC32&lt;'PIM Ranges'!$AZ$12,"Q3",IF($AC32&lt;'PIM Ranges'!$BA$12,"Q4","Q5")))),IF('PIM Ranges'!$AK32='PIM Ranges'!$AW$13,IF($AC32&lt;'PIM Ranges'!$AX$13,"Q1",IF($AC32&lt;'PIM Ranges'!$AY$13,"Q2",IF($AC32&lt;'PIM Ranges'!$AZ$13,"Q3",IF($AC32&lt;'PIM Ranges'!$BA$13,"Q4","Q5")))),IF('PIM Ranges'!$AK32='PIM Ranges'!$AW$14,IF($AC32&lt;'PIM Ranges'!$AX$14,"Q1",IF($AC32&lt;'PIM Ranges'!$AY$14,"Q2",IF($AC32&lt;'PIM Ranges'!$AZ$14,"Q3",IF($AC32&lt;'PIM Ranges'!$BA$14,"Q4","Q5")))),IF('PIM Ranges'!$AK32='PIM Ranges'!$AW$15,IF($AC32&lt;'PIM Ranges'!$AX$15,"Q1",IF($AC32&lt;'PIM Ranges'!$AY$15,"Q2",IF($AC32&lt;'PIM Ranges'!$AZ$15,"Q3",IF($AC32&lt;'PIM Ranges'!$BA$15,"Q4","Q5")))),IF('PIM Ranges'!$AK32='PIM Ranges'!$AW$16,IF($AC32&lt;'PIM Ranges'!$AX$16,"Q1",IF($AC32&lt;'PIM Ranges'!$AY$16,"Q2",IF($AC32&lt;'PIM Ranges'!$AZ$16,"Q3",IF($AC32&lt;'PIM Ranges'!$BA$16,"Q4","Q5")))),IF('PIM Ranges'!$AK32='PIM Ranges'!$AW$17,IF($AC32&lt;'PIM Ranges'!$AX$17,"Q1",IF($AC32&lt;'PIM Ranges'!$AY$17,"Q2",IF($AC32&lt;'PIM Ranges'!$AZ$17,"Q3",IF($AC32&lt;'PIM Ranges'!$BA$17,"Q4","Q5")))),IF('PIM Ranges'!$AK32='PIM Ranges'!$AW$18,IF($AC32&lt;'PIM Ranges'!$AX$18,"Q1",IF($AC32&lt;'PIM Ranges'!$AY$18,"Q2",IF($AC32&lt;'PIM Ranges'!$AZ$18,"Q3",IF($AC32&lt;'PIM Ranges'!$BA$18,"Q4","Q5")))),IF('PIM Ranges'!$AK32='PIM Ranges'!$AW$19,IF($AC32&lt;'PIM Ranges'!$AX$19,"Q1",IF($AC32&lt;'PIM Ranges'!$AY$19,"Q2",IF($AC32&lt;'PIM Ranges'!$AZ$19,"Q3",IF($AC32&lt;'PIM Ranges'!$BA$19,"Q4","Q5")))),IF('PIM Ranges'!$AK32='PIM Ranges'!$AW$20,IF($AC32&lt;'PIM Ranges'!$AX$20,"Q1",IF($AC32&lt;'PIM Ranges'!$AY$20,"Q2",IF($AC32&lt;'PIM Ranges'!$AZ$20,"Q3",IF($AC32&lt;'PIM Ranges'!$BA$20,"Q4","Q5")))),IF('PIM Ranges'!$AK32='PIM Ranges'!$AW$21,IF($AC32&lt;'PIM Ranges'!$AX$21,"Q1",IF($AC32&lt;'PIM Ranges'!$AY$21,"Q2",IF($AC32&lt;'PIM Ranges'!$AZ$21,"Q3",IF($AC32&lt;'PIM Ranges'!$BA$21,"Q4","Q5")))),IF('PIM Ranges'!$AK32='PIM Ranges'!$AW$22,IF($AC32&lt;'PIM Ranges'!$AX$22,"Q1",IF($AC32&lt;'PIM Ranges'!$AY$22,"Q2",IF($AC32&lt;'PIM Ranges'!$AZ$22,"Q3",IF($AC32&lt;'PIM Ranges'!$BA$22,"Q4","Q5")))),IF('PIM Ranges'!$AK32='PIM Ranges'!$AW$23,IF($AC32&lt;'PIM Ranges'!$AX$23,"Q1",IF($AC32&lt;'PIM Ranges'!$AY$23,"Q2",IF($AC32&lt;'PIM Ranges'!$AZ$23,"Q3",IF($AC32&lt;'PIM Ranges'!$BA$23,"Q4","Q5")))),IF('PIM Ranges'!$AK32='PIM Ranges'!$AW$24,IF($AC32&lt;'PIM Ranges'!$AX$24,"Q1",IF($AC32&lt;'PIM Ranges'!$AY$24,"Q2",IF($AC32&lt;'PIM Ranges'!$AZ$24,"Q3",IF($AC32&lt;'PIM Ranges'!$BA$24,"Q4","Q5")))),IF('PIM Ranges'!$AK32='PIM Ranges'!$AW$25,IF($AC32&lt;'PIM Ranges'!$AX$25,"Q1",IF($AC32&lt;'PIM Ranges'!$AY$25,"Q2",IF($AC32&lt;'PIM Ranges'!$AZ$25,"Q3",IF($AC32&lt;'PIM Ranges'!$BA$25,"Q4","Q5")))),IF('PIM Ranges'!$AK32='PIM Ranges'!$AW$26,IF($AC32&lt;'PIM Ranges'!$AX$26,"Q1",IF($AC32&lt;'PIM Ranges'!$AY$26,"Q2",IF($AC32&lt;'PIM Ranges'!$AZ$26,"Q3",IF($AC32&lt;'PIM Ranges'!$BA$26,"Q4","Q5")))),IF('PIM Ranges'!$AK32='PIM Ranges'!$AW$27,IF($AC32&lt;'PIM Ranges'!$AX$27,"Q1",IF($AC32&lt;'PIM Ranges'!$AY$27,"Q2",IF($AC32&lt;'PIM Ranges'!$AZ$27,"Q3",IF($AC32&lt;'PIM Ranges'!$BA$27,"Q4","Q5")))),IF('PIM Ranges'!$AK32='PIM Ranges'!$AW$28,IF($AC32&lt;'PIM Ranges'!$AX$28,"Q1",IF($AC32&lt;'PIM Ranges'!$AY$28,"Q2",IF($AC32&lt;'PIM Ranges'!$AZ$28,"Q3",IF($AC32&lt;'PIM Ranges'!$BA$28,"Q4","Q5")))),IF('PIM Ranges'!$AK32='PIM Ranges'!$AW$29,IF($AC32&lt;'PIM Ranges'!$AX$29,"Q1",IF($AC32&lt;'PIM Ranges'!$AY$29,"Q2",IF($AC32&lt;'PIM Ranges'!$AZ$29,"Q3",IF($AC32&lt;'PIM Ranges'!$BA$29,"Q4","Q5")))),IF('PIM Ranges'!$AK32='PIM Ranges'!$AW$30,IF($AC32&lt;'PIM Ranges'!$AX$30,"Q1",IF($AC32&lt;'PIM Ranges'!$AY$30,"Q2",IF($AC32&lt;'PIM Ranges'!$AZ$30,"Q3",IF($AC32&lt;'PIM Ranges'!$BA$30,"Q4","Q5")))),IF('PIM Ranges'!$AK32='PIM Ranges'!$AW$31,IF($AC32&lt;'PIM Ranges'!$AX$31,"Q1",IF($AC32&lt;'PIM Ranges'!$AY$31,"Q2",IF($AC32&lt;'PIM Ranges'!$AZ$31,"Q3",IF($AC32&lt;'PIM Ranges'!$BA$31,"Q4","Q5")))),IF('PIM Ranges'!$AK32='PIM Ranges'!$AW$32,IF($AC32&lt;'PIM Ranges'!$AX$32,"Q1",IF($AC32&lt;'PIM Ranges'!$AY$32,"Q2",IF($AC32&lt;'PIM Ranges'!$AZ$32,"Q3",IF($AC32&lt;'PIM Ranges'!$BA$32,"Q4","Q5"))))))))))))))))))))))))))</f>
        <v>Q1</v>
      </c>
      <c r="AH32" s="404">
        <f>VLOOKUP($AB32&amp;$AG32,'IMargin Quartiles'!$A:$F,6,FALSE)</f>
        <v>0.11</v>
      </c>
      <c r="AI32" s="404"/>
      <c r="AJ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K32" s="404" t="e">
        <f>VLOOKUP($AB32&amp;$AJ32,'IMargin Quartiles'!$A:$F,6,FALSE)</f>
        <v>#DIV/0!</v>
      </c>
      <c r="AL32">
        <f>'PIM Model'!C30</f>
        <v>0</v>
      </c>
      <c r="AM32" s="404"/>
      <c r="AN32" s="404"/>
      <c r="AO32" s="404" t="e">
        <f t="shared" si="19"/>
        <v>#DIV/0!</v>
      </c>
      <c r="AP32" s="404"/>
      <c r="AQ32" s="404"/>
      <c r="AR32" s="111">
        <v>23</v>
      </c>
      <c r="AS32">
        <f>IFERROR(VLOOKUP(AU$5,'Basket Composition'!$A$3:$W$30,'Multi-Customer'!$AR32,FALSE),0)</f>
        <v>0</v>
      </c>
      <c r="AT32" s="106" t="s">
        <v>87</v>
      </c>
      <c r="AU32" s="102">
        <f>IFERROR(IF($AU$2="Enter Spend&gt;&gt;&gt;",$AU$3*AS32,SUMIFS('Existing Customers'!$Q:$Q,'Existing Customers'!$H:$H,'Multi-Customer'!$AT32,'Existing Customers'!$A:$A,'Multi-Customer'!$AU$1)*$AU$4),0)</f>
        <v>0</v>
      </c>
      <c r="AV32" s="92">
        <f>IFERROR(IF($AU$2="Enter Spend&gt;&gt;&gt;",'Multi-Customer'!AU32/VLOOKUP($AU$5,'Basket Composition'!$A$34:$W$61,'Multi-Customer'!$AR32,FALSE),SUMIFS('Existing Customers'!$N:$N,'Existing Customers'!$H:$H,'Multi-Customer'!$AT32,'Existing Customers'!$A:$A,'Multi-Customer'!$AU$1)*$AU$4),0)</f>
        <v>0</v>
      </c>
      <c r="AW32" s="103">
        <f>IFERROR(IF($AU$2="Enter Spend&gt;&gt;&gt;",AV32*$AU$8,SUMIFS('Existing Customers'!$O:$O,'Existing Customers'!$H:$H,'Multi-Customer'!$AT32,'Existing Customers'!$A:$A,'Multi-Customer'!AU$1)*$AU$4),0)</f>
        <v>0</v>
      </c>
      <c r="AX32" s="103">
        <f>IFERROR(IF($AU$2="Enter Spend&gt;&gt;&gt;",'Multi-Customer'!AU32/VLOOKUP($AU$5,'Basket Composition'!$A$65:$W$92,'Multi-Customer'!$AR32,FALSE),SUMIFS('Existing Customers'!$P:$P,'Existing Customers'!$H:$H,'Multi-Customer'!$AT32,'Existing Customers'!$A:$A,'Multi-Customer'!$AU$1)*$AU$4),0)</f>
        <v>0</v>
      </c>
      <c r="AY32" s="118">
        <f>IFERROR(IF($AU$2="Enter Spend&gt;&gt;&gt;","N/A",SUMIFS('Existing Customers'!$V:$V,'Existing Customers'!$H:$H,'Multi-Customer'!$AT32,'Existing Customers'!$A:$A,'Multi-Customer'!AU$1)*$AU$4),0)</f>
        <v>0</v>
      </c>
      <c r="AZ32" s="104">
        <f>IFERROR(IF($AU$2="Enter Spend&gt;&gt;&gt;","N/A",SUMIFS('Existing Customers'!$R:$R,'Existing Customers'!$H:$H,'Multi-Customer'!$AT32,'Existing Customers'!$A:$A,'Multi-Customer'!AU$1)*$AU$4),0)</f>
        <v>0</v>
      </c>
      <c r="BA32" s="132"/>
      <c r="BB32">
        <f>IFERROR(VLOOKUP(BD$5,'Basket Composition'!$A$3:$W$30,'Multi-Customer'!$AR32,FALSE),0)</f>
        <v>0</v>
      </c>
      <c r="BC32" s="106" t="s">
        <v>87</v>
      </c>
      <c r="BD32" s="102">
        <f>IFERROR(IF($BD$2="Enter Spend&gt;&gt;&gt;",$BD$3*BB32,SUMIFS('Existing Customers'!$Q:$Q,'Existing Customers'!$H:$H,'Multi-Customer'!$AT32,'Existing Customers'!$A:$A,'Multi-Customer'!$BD$1)*$BD$4),0)</f>
        <v>0</v>
      </c>
      <c r="BE32" s="92">
        <f>IFERROR(IF($BD$2="Enter Spend&gt;&gt;&gt;",'Multi-Customer'!BD32/VLOOKUP($BD$5,'Basket Composition'!$A$34:$W$61,'Multi-Customer'!$AR32,FALSE),SUMIFS('Existing Customers'!$N:$N,'Existing Customers'!$H:$H,'Multi-Customer'!$AT32,'Existing Customers'!$A:$A,'Multi-Customer'!$BD$1)*$BD$4),0)</f>
        <v>0</v>
      </c>
      <c r="BF32" s="103">
        <f>IFERROR(IF($BD$2="Enter Spend&gt;&gt;&gt;",BE32*$BD$8,SUMIFS('Existing Customers'!$O:$O,'Existing Customers'!$H:$H,'Multi-Customer'!$AT32,'Existing Customers'!$A:$A,'Multi-Customer'!BD$1)*$BD$4),0)</f>
        <v>0</v>
      </c>
      <c r="BG32" s="103">
        <f>IFERROR(IF($BD$2="Enter Spend&gt;&gt;&gt;",'Multi-Customer'!BD32/VLOOKUP($BD$5,'Basket Composition'!$A$65:$W$92,'Multi-Customer'!$AR32,FALSE),SUMIFS('Existing Customers'!$P:$P,'Existing Customers'!$H:$H,'Multi-Customer'!$AT32,'Existing Customers'!$A:$A,'Multi-Customer'!$BD$1)*$BD$4),0)</f>
        <v>0</v>
      </c>
      <c r="BH32" s="104">
        <f>IFERROR(IF($BD$2="Enter Spend&gt;&gt;&gt;","N/A",SUMIFS('Existing Customers'!$V:$V,'Existing Customers'!$H:$H,'Multi-Customer'!$AT32,'Existing Customers'!$A:$A,'Multi-Customer'!BD$1)*$BD$4),0)</f>
        <v>0</v>
      </c>
      <c r="BI32" s="104">
        <f>IFERROR(IF($BD$2="Enter Spend&gt;&gt;&gt;","N/A",SUMIFS('Existing Customers'!$R:$R,'Existing Customers'!$H:$H,'Multi-Customer'!$AT32,'Existing Customers'!$A:$A,'Multi-Customer'!BD$1)*$BD$4),0)</f>
        <v>0</v>
      </c>
      <c r="BJ32" s="132"/>
      <c r="BK32">
        <f>IFERROR(VLOOKUP(BM$5,'Basket Composition'!$A$3:$W$30,'Multi-Customer'!$AR32,FALSE),0)</f>
        <v>0</v>
      </c>
      <c r="BL32" s="106" t="s">
        <v>87</v>
      </c>
      <c r="BM32" s="102">
        <f>IFERROR(IF($BM$2="Enter Spend&gt;&gt;&gt;",$BM$3*BK32,SUMIFS('Existing Customers'!$Q:$Q,'Existing Customers'!$H:$H,'Multi-Customer'!$AT32,'Existing Customers'!$A:$A,'Multi-Customer'!$BM$1)*$BM$4),0)</f>
        <v>0</v>
      </c>
      <c r="BN32" s="92">
        <f>IFERROR(IF($BM$2="Enter Spend&gt;&gt;&gt;",'Multi-Customer'!BM32/VLOOKUP($BM$5,'Basket Composition'!$A$34:$W$61,'Multi-Customer'!$AR32,FALSE),SUMIFS('Existing Customers'!$N:$N,'Existing Customers'!$H:$H,'Multi-Customer'!$AT32,'Existing Customers'!$A:$A,'Multi-Customer'!$BM$1)*$BM$4),0)</f>
        <v>0</v>
      </c>
      <c r="BO32" s="103">
        <f>IFERROR(IF($BM$2="Enter Spend&gt;&gt;&gt;",BN32*$BM$8,SUMIFS('Existing Customers'!$O:$O,'Existing Customers'!$H:$H,'Multi-Customer'!$AT32,'Existing Customers'!$A:$A,'Multi-Customer'!BM$1)*$BM$4),0)</f>
        <v>0</v>
      </c>
      <c r="BP32" s="103">
        <f>IFERROR(IF($BM$2="Enter Spend&gt;&gt;&gt;",'Multi-Customer'!BM32/VLOOKUP($BM$5,'Basket Composition'!$A$65:$W$92,'Multi-Customer'!$AR32,FALSE),SUMIFS('Existing Customers'!$P:$P,'Existing Customers'!$H:$H,'Multi-Customer'!$AT32,'Existing Customers'!$A:$A,'Multi-Customer'!$BM$1)*$BM$4),0)</f>
        <v>0</v>
      </c>
      <c r="BQ32" s="104">
        <f>IFERROR(IF($BM$2="Enter Spend&gt;&gt;&gt;","N/A",SUMIFS('Existing Customers'!$V:$V,'Existing Customers'!$H:$H,'Multi-Customer'!$AT32,'Existing Customers'!$A:$A,'Multi-Customer'!BM$1)*$BM$4),0)</f>
        <v>0</v>
      </c>
      <c r="BR32" s="104">
        <f>IFERROR(IF($BM$2="Enter Spend&gt;&gt;&gt;","N/A",SUMIFS('Existing Customers'!$R:$R,'Existing Customers'!$H:$H,'Multi-Customer'!$AT32,'Existing Customers'!$A:$A,'Multi-Customer'!BM$1)*$BM$4),0)</f>
        <v>0</v>
      </c>
      <c r="BS32" s="132"/>
      <c r="BT32">
        <f>IFERROR(VLOOKUP(BV$5,'Basket Composition'!$A$3:$W$30,'Multi-Customer'!$AR32,FALSE),0)</f>
        <v>0</v>
      </c>
      <c r="BU32" s="106" t="s">
        <v>87</v>
      </c>
      <c r="BV32" s="102">
        <f>IFERROR(IF($BV$2="Enter Spend&gt;&gt;&gt;",$BV$3*BT32,SUMIFS('Existing Customers'!$Q:$Q,'Existing Customers'!$H:$H,'Multi-Customer'!$AT32,'Existing Customers'!$A:$A,'Multi-Customer'!$BV$1)*$BV$4),0)</f>
        <v>0</v>
      </c>
      <c r="BW32" s="92">
        <f>IFERROR(IF($BV$2="Enter Spend&gt;&gt;&gt;",'Multi-Customer'!BV32/VLOOKUP($BV$5,'Basket Composition'!$A$34:$W$61,'Multi-Customer'!$AR32,FALSE),SUMIFS('Existing Customers'!$N:$N,'Existing Customers'!$H:$H,'Multi-Customer'!$AT32,'Existing Customers'!$A:$A,'Multi-Customer'!$BV$1)*$BV$4),0)</f>
        <v>0</v>
      </c>
      <c r="BX32" s="103">
        <f>IFERROR(IF($BV$2="Enter Spend&gt;&gt;&gt;",BW32*$BV$8,SUMIFS('Existing Customers'!$O:$O,'Existing Customers'!$H:$H,'Multi-Customer'!$AT32,'Existing Customers'!$A:$A,'Multi-Customer'!BV$1)*$BV$4),0)</f>
        <v>0</v>
      </c>
      <c r="BY32" s="103">
        <f>IFERROR(IF($BV$2="Enter Spend&gt;&gt;&gt;",'Multi-Customer'!BV32/VLOOKUP($BV$5,'Basket Composition'!$A$65:$W$92,'Multi-Customer'!$AR32,FALSE),SUMIFS('Existing Customers'!$P:$P,'Existing Customers'!$H:$H,'Multi-Customer'!$AT32,'Existing Customers'!$A:$A,'Multi-Customer'!$BV$1)*$BV$4),0)</f>
        <v>0</v>
      </c>
      <c r="BZ32" s="104">
        <f>IFERROR(IF($BV$2="Enter Spend&gt;&gt;&gt;","N/A",SUMIFS('Existing Customers'!$V:$V,'Existing Customers'!$H:$H,'Multi-Customer'!$AT32,'Existing Customers'!$A:$A,'Multi-Customer'!BV$1)*$BV$4),0)</f>
        <v>0</v>
      </c>
      <c r="CA32" s="104">
        <f>IFERROR(IF($BV$2="Enter Spend&gt;&gt;&gt;","N/A",SUMIFS('Existing Customers'!$R:$R,'Existing Customers'!$H:$H,'Multi-Customer'!$AT32,'Existing Customers'!$A:$A,'Multi-Customer'!BV$1)*$BV$4),0)</f>
        <v>0</v>
      </c>
      <c r="CB32" s="132"/>
      <c r="CC32">
        <f>IFERROR(VLOOKUP(CE$5,'Basket Composition'!$A$3:$W$30,'Multi-Customer'!$AR32,FALSE),0)</f>
        <v>0</v>
      </c>
      <c r="CD32" s="106" t="s">
        <v>87</v>
      </c>
      <c r="CE32" s="102">
        <f>IFERROR(IF($CE$2="Enter Spend&gt;&gt;&gt;",$CE$3*CC32,SUMIFS('Existing Customers'!$Q:$Q,'Existing Customers'!$H:$H,'Multi-Customer'!$AT32,'Existing Customers'!$A:$A,'Multi-Customer'!$CE$1)*$CE$4),0)</f>
        <v>0</v>
      </c>
      <c r="CF32" s="92">
        <f>IFERROR(IF($CE$2="Enter Spend&gt;&gt;&gt;",'Multi-Customer'!CE32/VLOOKUP($CE$5,'Basket Composition'!$A$34:$W$61,'Multi-Customer'!$AR32,FALSE),SUMIFS('Existing Customers'!$N:$N,'Existing Customers'!$H:$H,'Multi-Customer'!$AT32,'Existing Customers'!$A:$A,'Multi-Customer'!$CE$1)*$CE$4),0)</f>
        <v>0</v>
      </c>
      <c r="CG32" s="103">
        <f>IFERROR(IF($CE$2="Enter Spend&gt;&gt;&gt;",CF32*$CE$8,SUMIFS('Existing Customers'!$O:$O,'Existing Customers'!$H:$H,'Multi-Customer'!$AT32,'Existing Customers'!$A:$A,'Multi-Customer'!CE$1)*$CE$4),0)</f>
        <v>0</v>
      </c>
      <c r="CH32" s="103">
        <f>IFERROR(IF($CE$2="Enter Spend&gt;&gt;&gt;",'Multi-Customer'!CE32/VLOOKUP($CE$5,'Basket Composition'!$A$65:$W$92,'Multi-Customer'!$AR32,FALSE),SUMIFS('Existing Customers'!$P:$P,'Existing Customers'!$H:$H,'Multi-Customer'!$AT32,'Existing Customers'!$A:$A,'Multi-Customer'!$CE$1)*$CE$4),0)</f>
        <v>0</v>
      </c>
      <c r="CI32" s="104">
        <f>IFERROR(IF($CE$2="Enter Spend&gt;&gt;&gt;","N/A",SUMIFS('Existing Customers'!$V:$V,'Existing Customers'!$H:$H,'Multi-Customer'!$AT32,'Existing Customers'!$A:$A,'Multi-Customer'!CE$1)*$CE$4),0)</f>
        <v>0</v>
      </c>
      <c r="CJ32" s="104">
        <f>IFERROR(IF($CE$2="Enter Spend&gt;&gt;&gt;","N/A",SUMIFS('Existing Customers'!$R:$R,'Existing Customers'!$H:$H,'Multi-Customer'!$AT32,'Existing Customers'!$A:$A,'Multi-Customer'!CE$1)*$CE$4),0)</f>
        <v>0</v>
      </c>
      <c r="CK32" s="132"/>
      <c r="CL32">
        <f>IFERROR(VLOOKUP(CN$5,'Basket Composition'!$A$3:$W$30,'Multi-Customer'!$AR32,FALSE),0)</f>
        <v>0</v>
      </c>
      <c r="CM32" s="106" t="s">
        <v>87</v>
      </c>
      <c r="CN32" s="102">
        <f>IFERROR(IF($CN$2="Enter Spend&gt;&gt;&gt;",$CN$3*CL32,SUMIFS('Existing Customers'!$Q:$Q,'Existing Customers'!$H:$H,'Multi-Customer'!$AT32,'Existing Customers'!$A:$A,'Multi-Customer'!$CN$1)*$CN$4),0)</f>
        <v>0</v>
      </c>
      <c r="CO32" s="92">
        <f>IFERROR(IF($CN$2="Enter Spend&gt;&gt;&gt;",'Multi-Customer'!CN32/VLOOKUP($CN$5,'Basket Composition'!$A$34:$W$61,'Multi-Customer'!$AR32,FALSE),SUMIFS('Existing Customers'!$N:$N,'Existing Customers'!$H:$H,'Multi-Customer'!$AT32,'Existing Customers'!$A:$A,'Multi-Customer'!$CN$1)*$CN$4),0)</f>
        <v>0</v>
      </c>
      <c r="CP32" s="103">
        <f>IFERROR(IF($CN$2="Enter Spend&gt;&gt;&gt;",CO32*$CN$8,SUMIFS('Existing Customers'!$O:$O,'Existing Customers'!$H:$H,'Multi-Customer'!$AT32,'Existing Customers'!$A:$A,'Multi-Customer'!CN$1)*$CN$4),0)</f>
        <v>0</v>
      </c>
      <c r="CQ32" s="103">
        <f>IFERROR(IF($CN$2="Enter Spend&gt;&gt;&gt;",'Multi-Customer'!CN32/VLOOKUP($CN$5,'Basket Composition'!$A$65:$W$92,'Multi-Customer'!$AR32,FALSE),SUMIFS('Existing Customers'!$P:$P,'Existing Customers'!$H:$H,'Multi-Customer'!$AT32,'Existing Customers'!$A:$A,'Multi-Customer'!$CN$1)*$CN$4),0)</f>
        <v>0</v>
      </c>
      <c r="CR32" s="104">
        <f>IFERROR(IF($CN$2="Enter Spend&gt;&gt;&gt;","N/A",SUMIFS('Existing Customers'!$V:$V,'Existing Customers'!$H:$H,'Multi-Customer'!$AT32,'Existing Customers'!$A:$A,'Multi-Customer'!CN$1)*$CN$4),0)</f>
        <v>0</v>
      </c>
      <c r="CS32" s="104">
        <f>IFERROR(IF($CN$2="Enter Spend&gt;&gt;&gt;","N/A",SUMIFS('Existing Customers'!$R:$R,'Existing Customers'!$H:$H,'Multi-Customer'!$AT32,'Existing Customers'!$A:$A,'Multi-Customer'!CN$1)*$CN$4),0)</f>
        <v>0</v>
      </c>
      <c r="CT32" s="132"/>
      <c r="CU32">
        <f>IFERROR(VLOOKUP(CW$5,'Basket Composition'!$A$3:$W$30,'Multi-Customer'!$AR32,FALSE),0)</f>
        <v>0</v>
      </c>
      <c r="CV32" s="106" t="s">
        <v>87</v>
      </c>
      <c r="CW32" s="102">
        <f>IFERROR(IF($CW$2="Enter Spend&gt;&gt;&gt;",$CW$3*CU32,SUMIFS('Existing Customers'!$Q:$Q,'Existing Customers'!$H:$H,'Multi-Customer'!$AT32,'Existing Customers'!$A:$A,'Multi-Customer'!$CW$1)*$CW$4),0)</f>
        <v>0</v>
      </c>
      <c r="CX32" s="92">
        <f>IFERROR(IF($CW$2="Enter Spend&gt;&gt;&gt;",'Multi-Customer'!CW32/VLOOKUP($CW$5,'Basket Composition'!$A$34:$W$61,'Multi-Customer'!$AR32,FALSE),SUMIFS('Existing Customers'!$N:$N,'Existing Customers'!$H:$H,'Multi-Customer'!$AT32,'Existing Customers'!$A:$A,'Multi-Customer'!$CW$1)*$CW$4),0)</f>
        <v>0</v>
      </c>
      <c r="CY32" s="103">
        <f>IFERROR(IF($CW$2="Enter Spend&gt;&gt;&gt;",CX32*$CW$8,SUMIFS('Existing Customers'!$O:$O,'Existing Customers'!$H:$H,'Multi-Customer'!$AT32,'Existing Customers'!$A:$A,'Multi-Customer'!CW$1)*$CW$4),0)</f>
        <v>0</v>
      </c>
      <c r="CZ32" s="103">
        <f>IFERROR(IF($CW$2="Enter Spend&gt;&gt;&gt;",'Multi-Customer'!CW32/VLOOKUP($CW$5,'Basket Composition'!$A$65:$W$92,'Multi-Customer'!$AR32,FALSE),SUMIFS('Existing Customers'!$P:$P,'Existing Customers'!$H:$H,'Multi-Customer'!$AT32,'Existing Customers'!$A:$A,'Multi-Customer'!$CW$1)*$CW$4),0)</f>
        <v>0</v>
      </c>
      <c r="DA32" s="104">
        <f>IFERROR(IF($CW$2="Enter Spend&gt;&gt;&gt;","N/A",SUMIFS('Existing Customers'!$V:$V,'Existing Customers'!$H:$H,'Multi-Customer'!$AT32,'Existing Customers'!$A:$A,'Multi-Customer'!CW$1)*$CW$4),0)</f>
        <v>0</v>
      </c>
      <c r="DB32" s="104">
        <f>IFERROR(IF($CW$2="Enter Spend&gt;&gt;&gt;","N/A",SUMIFS('Existing Customers'!$R:$R,'Existing Customers'!$H:$H,'Multi-Customer'!$AT32,'Existing Customers'!$A:$A,'Multi-Customer'!CW$1)*$CW$4),0)</f>
        <v>0</v>
      </c>
      <c r="DC32" s="132"/>
      <c r="DD32">
        <f>IFERROR(VLOOKUP(DF$5,'Basket Composition'!$A$3:$W$30,'Multi-Customer'!$AR32,FALSE),0)</f>
        <v>0</v>
      </c>
      <c r="DE32" s="106" t="s">
        <v>87</v>
      </c>
      <c r="DF32" s="102">
        <f>IFERROR(IF($DF$2="Enter Spend&gt;&gt;&gt;",$DF$3*DD32,SUMIFS('Existing Customers'!$Q:$Q,'Existing Customers'!$H:$H,'Multi-Customer'!$AT32,'Existing Customers'!$A:$A,'Multi-Customer'!$DF$1)*$DF$4),0)</f>
        <v>0</v>
      </c>
      <c r="DG32" s="92">
        <f>IFERROR(IF($DF$2="Enter Spend&gt;&gt;&gt;",'Multi-Customer'!DF32/VLOOKUP($DF$5,'Basket Composition'!$A$34:$W$61,'Multi-Customer'!$AR32,FALSE),SUMIFS('Existing Customers'!$N:$N,'Existing Customers'!$H:$H,'Multi-Customer'!$AT32,'Existing Customers'!$A:$A,'Multi-Customer'!$DF$1)*$DF$4),0)</f>
        <v>0</v>
      </c>
      <c r="DH32" s="103">
        <f>IFERROR(IF($DF$2="Enter Spend&gt;&gt;&gt;",DG32*$DF$8,SUMIFS('Existing Customers'!$O:$O,'Existing Customers'!$H:$H,'Multi-Customer'!$AT32,'Existing Customers'!$A:$A,'Multi-Customer'!DF$1)*$DF$4),0)</f>
        <v>0</v>
      </c>
      <c r="DI32" s="103">
        <f>IFERROR(IF($DF$2="Enter Spend&gt;&gt;&gt;",'Multi-Customer'!DF32/VLOOKUP($DF$5,'Basket Composition'!$A$65:$W$92,'Multi-Customer'!$AR32,FALSE),SUMIFS('Existing Customers'!$P:$P,'Existing Customers'!$H:$H,'Multi-Customer'!$AT32,'Existing Customers'!$A:$A,'Multi-Customer'!$DF$1)*$DF$4),0)</f>
        <v>0</v>
      </c>
      <c r="DJ32" s="104">
        <f>IFERROR(IF($DF$2="Enter Spend&gt;&gt;&gt;","N/A",SUMIFS('Existing Customers'!$V:$V,'Existing Customers'!$H:$H,'Multi-Customer'!$AT32,'Existing Customers'!$A:$A,'Multi-Customer'!DF$1)*$DF$4),0)</f>
        <v>0</v>
      </c>
      <c r="DK32" s="104">
        <f>IFERROR(IF($DF$2="Enter Spend&gt;&gt;&gt;","N/A",SUMIFS('Existing Customers'!$R:$R,'Existing Customers'!$H:$H,'Multi-Customer'!$AT32,'Existing Customers'!$A:$A,'Multi-Customer'!DF$1)*$DF$4),0)</f>
        <v>0</v>
      </c>
      <c r="DL32" s="132"/>
      <c r="DM32">
        <f>IFERROR(VLOOKUP(DO$5,'Basket Composition'!$A$3:$W$30,'Multi-Customer'!$AR32,FALSE),0)</f>
        <v>0</v>
      </c>
      <c r="DN32" s="106" t="s">
        <v>87</v>
      </c>
      <c r="DO32" s="102">
        <f>IFERROR(IF($DO$2="Enter Spend&gt;&gt;&gt;",$DO$3*DM32,SUMIFS('Existing Customers'!$Q:$Q,'Existing Customers'!$H:$H,'Multi-Customer'!$AT32,'Existing Customers'!$A:$A,'Multi-Customer'!$DO$1)*$DO$4),0)</f>
        <v>0</v>
      </c>
      <c r="DP32" s="92">
        <f>IFERROR(IF($DO$2="Enter Spend&gt;&gt;&gt;",'Multi-Customer'!DO32/VLOOKUP($DO$5,'Basket Composition'!$A$34:$W$61,'Multi-Customer'!$AR32,FALSE),SUMIFS('Existing Customers'!$N:$N,'Existing Customers'!$H:$H,'Multi-Customer'!$AT32,'Existing Customers'!$A:$A,'Multi-Customer'!$DO$1)*$DO$4),0)</f>
        <v>0</v>
      </c>
      <c r="DQ32" s="103">
        <f>IFERROR(IF($DO$2="Enter Spend&gt;&gt;&gt;",DP32*$DO$8,SUMIFS('Existing Customers'!$O:$O,'Existing Customers'!$H:$H,'Multi-Customer'!$AT32,'Existing Customers'!$A:$A,'Multi-Customer'!DO$1)*$DO$4),0)</f>
        <v>0</v>
      </c>
      <c r="DR32" s="103">
        <f>IFERROR(IF($DO$2="Enter Spend&gt;&gt;&gt;",'Multi-Customer'!DO32/VLOOKUP($DO$5,'Basket Composition'!$A$65:$W$92,'Multi-Customer'!$AR32,FALSE),SUMIFS('Existing Customers'!$P:$P,'Existing Customers'!$H:$H,'Multi-Customer'!$AT32,'Existing Customers'!$A:$A,'Multi-Customer'!$DO$1)*$DO$4),0)</f>
        <v>0</v>
      </c>
      <c r="DS32" s="118">
        <f>IFERROR(IF($DO$2="Enter Spend&gt;&gt;&gt;","N/A",SUMIFS('Existing Customers'!$V:$V,'Existing Customers'!$H:$H,'Multi-Customer'!$AT32,'Existing Customers'!$A:$A,'Multi-Customer'!DO$1)*$DO$4),0)</f>
        <v>0</v>
      </c>
      <c r="DT32" s="104">
        <f>IFERROR(IF($DO$2="Enter Spend&gt;&gt;&gt;","N/A",SUMIFS('Existing Customers'!$R:$R,'Existing Customers'!$H:$H,'Multi-Customer'!$AT32,'Existing Customers'!$A:$A,'Multi-Customer'!DO$1)*$DO$4),0)</f>
        <v>0</v>
      </c>
      <c r="DU32" s="132"/>
      <c r="DV32">
        <f>IFERROR(VLOOKUP(DX$5,'Basket Composition'!$A$3:$W$30,'Multi-Customer'!$AR32,FALSE),0)</f>
        <v>0</v>
      </c>
      <c r="DW32" s="106" t="s">
        <v>87</v>
      </c>
      <c r="DX32" s="102">
        <f>IFERROR(IF($DX$2="Enter Spend&gt;&gt;&gt;",$DX$3*DV32,SUMIFS('Existing Customers'!$Q:$Q,'Existing Customers'!$H:$H,'Multi-Customer'!$AT32,'Existing Customers'!$A:$A,'Multi-Customer'!$DX$1)*$DX$4),0)</f>
        <v>0</v>
      </c>
      <c r="DY32" s="92">
        <f>IFERROR(IF($DX$2="Enter Spend&gt;&gt;&gt;",'Multi-Customer'!DX32/VLOOKUP($DX$5,'Basket Composition'!$A$34:$W$61,'Multi-Customer'!$AR32,FALSE),SUMIFS('Existing Customers'!$N:$N,'Existing Customers'!$H:$H,'Multi-Customer'!$AT32,'Existing Customers'!$A:$A,'Multi-Customer'!$DX$1)*$DX$4),0)</f>
        <v>0</v>
      </c>
      <c r="DZ32" s="103">
        <f>IFERROR(IF($DX$2="Enter Spend&gt;&gt;&gt;",DY32*$DX$8,SUMIFS('Existing Customers'!$O:$O,'Existing Customers'!$H:$H,'Multi-Customer'!$AT32,'Existing Customers'!$A:$A,'Multi-Customer'!DX$1)*$DX$4),0)</f>
        <v>0</v>
      </c>
      <c r="EA32" s="103">
        <f>IFERROR(IF($DX$2="Enter Spend&gt;&gt;&gt;",'Multi-Customer'!DX32/VLOOKUP($DX$5,'Basket Composition'!$A$65:$W$92,'Multi-Customer'!$AR32,FALSE),SUMIFS('Existing Customers'!$P:$P,'Existing Customers'!$H:$H,'Multi-Customer'!$AT32,'Existing Customers'!$A:$A,'Multi-Customer'!$DX$1)*$DX$4),0)</f>
        <v>0</v>
      </c>
      <c r="EB32" s="118">
        <f>IFERROR(IF($DX$2="Enter Spend&gt;&gt;&gt;","N/A",SUMIFS('Existing Customers'!$V:$V,'Existing Customers'!$H:$H,'Multi-Customer'!$AT32,'Existing Customers'!$A:$A,'Multi-Customer'!DX$1)*$DX$4),0)</f>
        <v>0</v>
      </c>
      <c r="EC32" s="104">
        <f>IFERROR(IF($DX$2="Enter Spend&gt;&gt;&gt;","N/A",SUMIFS('Existing Customers'!$R:$R,'Existing Customers'!$H:$H,'Multi-Customer'!$AT32,'Existing Customers'!$A:$A,'Multi-Customer'!DX$1)*$DX$4),0)</f>
        <v>0</v>
      </c>
      <c r="EE32" s="106" t="s">
        <v>87</v>
      </c>
      <c r="EF32" s="102"/>
      <c r="EG32" s="92"/>
      <c r="EH32" s="103"/>
      <c r="EI32" s="103"/>
      <c r="EJ32" s="118"/>
      <c r="EK32" s="104"/>
      <c r="EL32" s="132"/>
      <c r="EN32" s="106" t="s">
        <v>87</v>
      </c>
      <c r="EO32" s="102"/>
      <c r="EP32" s="92"/>
      <c r="EQ32" s="103"/>
      <c r="ER32" s="103"/>
      <c r="ES32" s="118"/>
      <c r="ET32" s="104"/>
    </row>
    <row r="33" spans="3:150" ht="15.75" thickBot="1" x14ac:dyDescent="0.3">
      <c r="C33" s="108">
        <f>SUM(C12:C32)</f>
        <v>0</v>
      </c>
      <c r="D33" s="109">
        <f>SUM(D12:D32)</f>
        <v>0</v>
      </c>
      <c r="E33" s="109">
        <f>SUM(E12:E32)</f>
        <v>0</v>
      </c>
      <c r="F33" s="109">
        <f>SUM(F12:F32)</f>
        <v>0</v>
      </c>
      <c r="G33" s="110">
        <f>SUM(G12:G32)</f>
        <v>0</v>
      </c>
      <c r="H33" s="111"/>
      <c r="K33">
        <f>SUM(K12:K32)</f>
        <v>0</v>
      </c>
      <c r="L33">
        <f>SUM(L12:L32)</f>
        <v>0</v>
      </c>
      <c r="N33" s="108">
        <f>SUM(N12:N32)</f>
        <v>0</v>
      </c>
      <c r="O33" s="109">
        <f>SUM(O12:O32)</f>
        <v>0</v>
      </c>
      <c r="P33" s="109">
        <f>SUM(P12:P32)</f>
        <v>0</v>
      </c>
      <c r="Q33" s="109">
        <f>SUM(Q12:Q32)</f>
        <v>0</v>
      </c>
      <c r="R33" s="110">
        <f>SUM(R12:R32)</f>
        <v>0</v>
      </c>
      <c r="S33" s="111"/>
      <c r="T33" s="111"/>
      <c r="U33" s="111"/>
      <c r="V33" s="499">
        <f>SUM(V12:V32)</f>
        <v>0</v>
      </c>
      <c r="W33" s="500">
        <f>SUM(W12:W32)</f>
        <v>0</v>
      </c>
      <c r="X33" s="500">
        <f>SUM(X12:X32)</f>
        <v>0</v>
      </c>
      <c r="Y33" s="501">
        <f t="shared" ref="Y33" si="20">IFERROR(W33/V33,0)</f>
        <v>0</v>
      </c>
      <c r="Z33" s="502">
        <f t="shared" ref="Z33" si="21">IFERROR(X33/V33,0)</f>
        <v>0</v>
      </c>
      <c r="AA33" s="111"/>
      <c r="AB33" s="111"/>
      <c r="AC33" s="499">
        <f>SUM(AC12:AC32)</f>
        <v>0</v>
      </c>
      <c r="AD33" s="672">
        <f>SUM(AD12:AD32)</f>
        <v>0</v>
      </c>
      <c r="AE33" s="502">
        <f>IFERROR(#REF!/AC33,0)</f>
        <v>0</v>
      </c>
      <c r="AF33" s="111"/>
      <c r="AG33" s="111"/>
      <c r="AH33" s="111"/>
      <c r="AI33" s="111"/>
      <c r="AJ33" s="111"/>
      <c r="AK33" s="111"/>
      <c r="AL33" s="111"/>
      <c r="AM33" s="111"/>
      <c r="AN33" s="111"/>
      <c r="AO33" s="111"/>
      <c r="AP33" s="111"/>
      <c r="AQ33" s="111"/>
      <c r="AR33" s="111"/>
      <c r="AU33" s="108">
        <f t="shared" ref="AU33:AZ33" si="22">SUM(AU12:AU32)</f>
        <v>0</v>
      </c>
      <c r="AV33" s="109">
        <f t="shared" si="22"/>
        <v>0</v>
      </c>
      <c r="AW33" s="109">
        <f t="shared" si="22"/>
        <v>0</v>
      </c>
      <c r="AX33" s="109">
        <f t="shared" si="22"/>
        <v>0</v>
      </c>
      <c r="AY33" s="407">
        <f t="shared" si="22"/>
        <v>0</v>
      </c>
      <c r="AZ33" s="110">
        <f t="shared" si="22"/>
        <v>0</v>
      </c>
      <c r="BA33" s="400"/>
      <c r="BD33" s="108">
        <f t="shared" ref="BD33:BI33" si="23">SUM(BD12:BD32)</f>
        <v>0</v>
      </c>
      <c r="BE33" s="109">
        <f t="shared" si="23"/>
        <v>0</v>
      </c>
      <c r="BF33" s="109">
        <f t="shared" si="23"/>
        <v>0</v>
      </c>
      <c r="BG33" s="109">
        <f t="shared" si="23"/>
        <v>0</v>
      </c>
      <c r="BH33" s="110">
        <f t="shared" si="23"/>
        <v>0</v>
      </c>
      <c r="BI33" s="110">
        <f t="shared" si="23"/>
        <v>0</v>
      </c>
      <c r="BJ33" s="111"/>
      <c r="BM33" s="108">
        <f t="shared" ref="BM33:BR33" si="24">SUM(BM12:BM32)</f>
        <v>0</v>
      </c>
      <c r="BN33" s="109">
        <f t="shared" si="24"/>
        <v>0</v>
      </c>
      <c r="BO33" s="109">
        <f t="shared" si="24"/>
        <v>0</v>
      </c>
      <c r="BP33" s="109">
        <f t="shared" si="24"/>
        <v>0</v>
      </c>
      <c r="BQ33" s="110">
        <f t="shared" si="24"/>
        <v>0</v>
      </c>
      <c r="BR33" s="110">
        <f t="shared" si="24"/>
        <v>0</v>
      </c>
      <c r="BS33" s="111"/>
      <c r="BV33" s="108">
        <f t="shared" ref="BV33:CA33" si="25">SUM(BV12:BV32)</f>
        <v>0</v>
      </c>
      <c r="BW33" s="109">
        <f t="shared" si="25"/>
        <v>0</v>
      </c>
      <c r="BX33" s="109">
        <f t="shared" si="25"/>
        <v>0</v>
      </c>
      <c r="BY33" s="109">
        <f t="shared" si="25"/>
        <v>0</v>
      </c>
      <c r="BZ33" s="110">
        <f t="shared" si="25"/>
        <v>0</v>
      </c>
      <c r="CA33" s="110">
        <f t="shared" si="25"/>
        <v>0</v>
      </c>
      <c r="CB33" s="111"/>
      <c r="CE33" s="108">
        <f t="shared" ref="CE33:CJ33" si="26">SUM(CE12:CE32)</f>
        <v>0</v>
      </c>
      <c r="CF33" s="109">
        <f t="shared" si="26"/>
        <v>0</v>
      </c>
      <c r="CG33" s="109">
        <f t="shared" si="26"/>
        <v>0</v>
      </c>
      <c r="CH33" s="109">
        <f t="shared" si="26"/>
        <v>0</v>
      </c>
      <c r="CI33" s="110">
        <f t="shared" si="26"/>
        <v>0</v>
      </c>
      <c r="CJ33" s="110">
        <f t="shared" si="26"/>
        <v>0</v>
      </c>
      <c r="CK33" s="111"/>
      <c r="CN33" s="108">
        <f t="shared" ref="CN33:CS33" si="27">SUM(CN12:CN32)</f>
        <v>0</v>
      </c>
      <c r="CO33" s="109">
        <f t="shared" si="27"/>
        <v>0</v>
      </c>
      <c r="CP33" s="109">
        <f t="shared" si="27"/>
        <v>0</v>
      </c>
      <c r="CQ33" s="109">
        <f t="shared" si="27"/>
        <v>0</v>
      </c>
      <c r="CR33" s="110">
        <f t="shared" si="27"/>
        <v>0</v>
      </c>
      <c r="CS33" s="110">
        <f t="shared" si="27"/>
        <v>0</v>
      </c>
      <c r="CT33" s="111"/>
      <c r="CW33" s="108">
        <f t="shared" ref="CW33:DB33" si="28">SUM(CW12:CW32)</f>
        <v>0</v>
      </c>
      <c r="CX33" s="109">
        <f t="shared" si="28"/>
        <v>0</v>
      </c>
      <c r="CY33" s="109">
        <f t="shared" si="28"/>
        <v>0</v>
      </c>
      <c r="CZ33" s="109">
        <f t="shared" si="28"/>
        <v>0</v>
      </c>
      <c r="DA33" s="110">
        <f t="shared" si="28"/>
        <v>0</v>
      </c>
      <c r="DB33" s="110">
        <f t="shared" si="28"/>
        <v>0</v>
      </c>
      <c r="DC33" s="111"/>
      <c r="DF33" s="108">
        <f t="shared" ref="DF33:DK33" si="29">SUM(DF12:DF32)</f>
        <v>0</v>
      </c>
      <c r="DG33" s="109">
        <f t="shared" si="29"/>
        <v>0</v>
      </c>
      <c r="DH33" s="109">
        <f t="shared" si="29"/>
        <v>0</v>
      </c>
      <c r="DI33" s="109">
        <f t="shared" si="29"/>
        <v>0</v>
      </c>
      <c r="DJ33" s="110">
        <f t="shared" si="29"/>
        <v>0</v>
      </c>
      <c r="DK33" s="110">
        <f t="shared" si="29"/>
        <v>0</v>
      </c>
      <c r="DL33" s="111"/>
      <c r="DO33" s="108">
        <f t="shared" ref="DO33:DT33" si="30">SUM(DO12:DO32)</f>
        <v>0</v>
      </c>
      <c r="DP33" s="109">
        <f t="shared" si="30"/>
        <v>0</v>
      </c>
      <c r="DQ33" s="109">
        <f t="shared" si="30"/>
        <v>0</v>
      </c>
      <c r="DR33" s="109">
        <f t="shared" si="30"/>
        <v>0</v>
      </c>
      <c r="DS33" s="407">
        <f t="shared" si="30"/>
        <v>0</v>
      </c>
      <c r="DT33" s="110">
        <f t="shared" si="30"/>
        <v>0</v>
      </c>
      <c r="DU33" s="111"/>
      <c r="DX33" s="108">
        <f t="shared" ref="DX33:EC33" si="31">SUM(DX12:DX32)</f>
        <v>0</v>
      </c>
      <c r="DY33" s="109">
        <f t="shared" si="31"/>
        <v>0</v>
      </c>
      <c r="DZ33" s="109">
        <f t="shared" si="31"/>
        <v>0</v>
      </c>
      <c r="EA33" s="109">
        <f t="shared" si="31"/>
        <v>0</v>
      </c>
      <c r="EB33" s="407">
        <f t="shared" si="31"/>
        <v>0</v>
      </c>
      <c r="EC33" s="110">
        <f t="shared" si="31"/>
        <v>0</v>
      </c>
      <c r="EF33" s="108"/>
      <c r="EG33" s="109"/>
      <c r="EH33" s="109"/>
      <c r="EI33" s="109"/>
      <c r="EJ33" s="407"/>
      <c r="EK33" s="110"/>
      <c r="EL33" s="111"/>
      <c r="EO33" s="108"/>
      <c r="EP33" s="109"/>
      <c r="EQ33" s="109"/>
      <c r="ER33" s="109"/>
      <c r="ES33" s="407"/>
      <c r="ET33" s="110"/>
    </row>
    <row r="34" spans="3:150" ht="15.75" thickBot="1" x14ac:dyDescent="0.3">
      <c r="C34" s="23"/>
      <c r="E34" s="465" t="e">
        <f>E33/D33</f>
        <v>#DIV/0!</v>
      </c>
      <c r="AV34" s="510"/>
    </row>
    <row r="35" spans="3:150" x14ac:dyDescent="0.25">
      <c r="L35" s="362"/>
      <c r="M35" s="467" t="s">
        <v>868</v>
      </c>
      <c r="N35" s="365"/>
    </row>
    <row r="36" spans="3:150" x14ac:dyDescent="0.25">
      <c r="L36" s="468">
        <f>RANK(N36,$N$37:$N$41)</f>
        <v>1</v>
      </c>
      <c r="M36" s="466" t="s">
        <v>969</v>
      </c>
      <c r="N36" s="469">
        <f t="shared" ref="N36" si="32">COUNTIF($AU$45:$DX$45,M36)</f>
        <v>0</v>
      </c>
      <c r="AT36" s="107" t="s">
        <v>854</v>
      </c>
      <c r="AU36" s="89">
        <f>AU1</f>
        <v>0</v>
      </c>
      <c r="BC36" s="107" t="s">
        <v>854</v>
      </c>
      <c r="BD36" s="89">
        <f>BD1</f>
        <v>0</v>
      </c>
      <c r="BL36" s="107" t="s">
        <v>854</v>
      </c>
      <c r="BM36" s="89">
        <f>BM1</f>
        <v>0</v>
      </c>
      <c r="BU36" s="107" t="s">
        <v>854</v>
      </c>
      <c r="BV36" s="89">
        <f>BV1</f>
        <v>0</v>
      </c>
      <c r="CD36" s="107" t="s">
        <v>854</v>
      </c>
      <c r="CE36" s="89">
        <f>CE1</f>
        <v>0</v>
      </c>
      <c r="CM36" s="107" t="s">
        <v>854</v>
      </c>
      <c r="CN36" s="89">
        <f>CN1</f>
        <v>0</v>
      </c>
      <c r="CV36" s="107" t="s">
        <v>854</v>
      </c>
      <c r="CW36" s="89">
        <f>CW1</f>
        <v>0</v>
      </c>
      <c r="DE36" s="107" t="s">
        <v>854</v>
      </c>
      <c r="DF36" s="89">
        <f>DF1</f>
        <v>0</v>
      </c>
      <c r="DN36" s="107" t="s">
        <v>854</v>
      </c>
      <c r="DO36" s="89">
        <f>DO1</f>
        <v>0</v>
      </c>
      <c r="DW36" s="107" t="s">
        <v>854</v>
      </c>
      <c r="DX36" s="89">
        <f>DX1</f>
        <v>0</v>
      </c>
    </row>
    <row r="37" spans="3:150" x14ac:dyDescent="0.25">
      <c r="L37" s="468">
        <f t="shared" ref="L37:L45" si="33">RANK(N37,$N$37:$N$45)</f>
        <v>1</v>
      </c>
      <c r="M37" s="466" t="s">
        <v>1</v>
      </c>
      <c r="N37" s="469">
        <f>COUNTIF('Variable Costs (Back)'!$C$15:$C$24,M37)</f>
        <v>0</v>
      </c>
      <c r="AT37" s="107" t="s">
        <v>855</v>
      </c>
      <c r="AU37" s="89" t="e">
        <f>VLOOKUP(AU$1,'Existing Customers'!$A:$AA,2,FALSE)</f>
        <v>#N/A</v>
      </c>
      <c r="BC37" s="107" t="s">
        <v>855</v>
      </c>
      <c r="BD37" s="89" t="e">
        <f>VLOOKUP(BD$1,'Existing Customers'!$A:$AA,2,FALSE)</f>
        <v>#N/A</v>
      </c>
      <c r="BL37" s="107" t="s">
        <v>855</v>
      </c>
      <c r="BM37" s="89" t="e">
        <f>VLOOKUP(BM$1,'Existing Customers'!$A:$AA,2,FALSE)</f>
        <v>#N/A</v>
      </c>
      <c r="BU37" s="107" t="s">
        <v>855</v>
      </c>
      <c r="BV37" s="89" t="e">
        <f>VLOOKUP(BV$1,'Existing Customers'!$A:$AA,2,FALSE)</f>
        <v>#N/A</v>
      </c>
      <c r="CD37" s="107" t="s">
        <v>855</v>
      </c>
      <c r="CE37" s="89" t="e">
        <f>VLOOKUP(CE$1,'Existing Customers'!$A:$AA,2,FALSE)</f>
        <v>#N/A</v>
      </c>
      <c r="CM37" s="107" t="s">
        <v>855</v>
      </c>
      <c r="CN37" s="89" t="e">
        <f>VLOOKUP(CN$1,'Existing Customers'!$A:$AA,2,FALSE)</f>
        <v>#N/A</v>
      </c>
      <c r="CV37" s="107" t="s">
        <v>855</v>
      </c>
      <c r="CW37" s="89" t="e">
        <f>VLOOKUP(CW$1,'Existing Customers'!$A:$AA,2,FALSE)</f>
        <v>#N/A</v>
      </c>
      <c r="DE37" s="107" t="s">
        <v>855</v>
      </c>
      <c r="DF37" s="89" t="e">
        <f>VLOOKUP(DF$1,'Existing Customers'!$A:$AA,2,FALSE)</f>
        <v>#N/A</v>
      </c>
      <c r="DN37" s="107" t="s">
        <v>855</v>
      </c>
      <c r="DO37" s="89" t="e">
        <f>VLOOKUP(DO$1,'Existing Customers'!$A:$AA,2,FALSE)</f>
        <v>#N/A</v>
      </c>
      <c r="DW37" s="107" t="s">
        <v>855</v>
      </c>
      <c r="DX37" s="89" t="e">
        <f>VLOOKUP(DX$1,'Existing Customers'!$A:$AA,2,FALSE)</f>
        <v>#N/A</v>
      </c>
    </row>
    <row r="38" spans="3:150" x14ac:dyDescent="0.25">
      <c r="L38" s="468">
        <f t="shared" si="33"/>
        <v>1</v>
      </c>
      <c r="M38" s="466" t="s">
        <v>114</v>
      </c>
      <c r="N38" s="469">
        <f>COUNTIF('Variable Costs (Back)'!$C$15:$C$24,M38)</f>
        <v>0</v>
      </c>
      <c r="AT38" s="107" t="s">
        <v>120</v>
      </c>
      <c r="AU38" s="89" t="e">
        <f>VLOOKUP(AU$1,'Existing Customers'!$A:$AA,12,FALSE)</f>
        <v>#N/A</v>
      </c>
      <c r="BC38" s="107" t="s">
        <v>120</v>
      </c>
      <c r="BD38" s="89" t="e">
        <f>VLOOKUP(BD$1,'Existing Customers'!$A:$AA,12,FALSE)</f>
        <v>#N/A</v>
      </c>
      <c r="BL38" s="107" t="s">
        <v>120</v>
      </c>
      <c r="BM38" s="89" t="e">
        <f>VLOOKUP(BM$1,'Existing Customers'!$A:$AA,12,FALSE)</f>
        <v>#N/A</v>
      </c>
      <c r="BU38" s="107" t="s">
        <v>120</v>
      </c>
      <c r="BV38" s="89" t="e">
        <f>VLOOKUP(BV$1,'Existing Customers'!$A:$AA,12,FALSE)</f>
        <v>#N/A</v>
      </c>
      <c r="CD38" s="107" t="s">
        <v>120</v>
      </c>
      <c r="CE38" s="89" t="e">
        <f>VLOOKUP(CE$1,'Existing Customers'!$A:$AA,12,FALSE)</f>
        <v>#N/A</v>
      </c>
      <c r="CM38" s="107" t="s">
        <v>120</v>
      </c>
      <c r="CN38" s="89" t="e">
        <f>VLOOKUP(CN$1,'Existing Customers'!$A:$AA,12,FALSE)</f>
        <v>#N/A</v>
      </c>
      <c r="CV38" s="107" t="s">
        <v>120</v>
      </c>
      <c r="CW38" s="89" t="e">
        <f>VLOOKUP(CW$1,'Existing Customers'!$A:$AA,12,FALSE)</f>
        <v>#N/A</v>
      </c>
      <c r="DE38" s="107" t="s">
        <v>120</v>
      </c>
      <c r="DF38" s="89" t="e">
        <f>VLOOKUP(DF$1,'Existing Customers'!$A:$AA,12,FALSE)</f>
        <v>#N/A</v>
      </c>
      <c r="DN38" s="107" t="s">
        <v>120</v>
      </c>
      <c r="DO38" s="89" t="e">
        <f>VLOOKUP(DO$1,'Existing Customers'!$A:$AA,12,FALSE)</f>
        <v>#N/A</v>
      </c>
      <c r="DW38" s="107" t="s">
        <v>120</v>
      </c>
      <c r="DX38" s="89" t="e">
        <f>VLOOKUP(DX$1,'Existing Customers'!$A:$AA,12,FALSE)</f>
        <v>#N/A</v>
      </c>
    </row>
    <row r="39" spans="3:150" x14ac:dyDescent="0.25">
      <c r="L39" s="468">
        <f t="shared" si="33"/>
        <v>1</v>
      </c>
      <c r="M39" s="466" t="s">
        <v>116</v>
      </c>
      <c r="N39" s="469">
        <f>COUNTIF('Variable Costs (Back)'!$C$15:$C$24,M39)</f>
        <v>0</v>
      </c>
      <c r="AT39" s="107" t="s">
        <v>856</v>
      </c>
      <c r="AU39" s="89" t="e">
        <f>VLOOKUP(AU$1,'Existing Customers'!$A:$AA,25,FALSE)</f>
        <v>#N/A</v>
      </c>
      <c r="BC39" s="107" t="s">
        <v>856</v>
      </c>
      <c r="BD39" s="89" t="e">
        <f>VLOOKUP(BD$1,'Existing Customers'!$A:$AA,25,FALSE)</f>
        <v>#N/A</v>
      </c>
      <c r="BL39" s="107" t="s">
        <v>856</v>
      </c>
      <c r="BM39" s="89" t="e">
        <f>VLOOKUP(BM$1,'Existing Customers'!$A:$AA,25,FALSE)</f>
        <v>#N/A</v>
      </c>
      <c r="BU39" s="107" t="s">
        <v>856</v>
      </c>
      <c r="BV39" s="89" t="e">
        <f>VLOOKUP(BV$1,'Existing Customers'!$A:$AA,25,FALSE)</f>
        <v>#N/A</v>
      </c>
      <c r="CD39" s="107" t="s">
        <v>856</v>
      </c>
      <c r="CE39" s="89" t="e">
        <f>VLOOKUP(CE$1,'Existing Customers'!$A:$AA,25,FALSE)</f>
        <v>#N/A</v>
      </c>
      <c r="CM39" s="107" t="s">
        <v>856</v>
      </c>
      <c r="CN39" s="89" t="e">
        <f>VLOOKUP(CN$1,'Existing Customers'!$A:$AA,25,FALSE)</f>
        <v>#N/A</v>
      </c>
      <c r="CV39" s="107" t="s">
        <v>856</v>
      </c>
      <c r="CW39" s="89" t="e">
        <f>VLOOKUP(CW$1,'Existing Customers'!$A:$AA,25,FALSE)</f>
        <v>#N/A</v>
      </c>
      <c r="DE39" s="107" t="s">
        <v>856</v>
      </c>
      <c r="DF39" s="89" t="e">
        <f>VLOOKUP(DF$1,'Existing Customers'!$A:$AA,25,FALSE)</f>
        <v>#N/A</v>
      </c>
      <c r="DN39" s="107" t="s">
        <v>856</v>
      </c>
      <c r="DO39" s="89" t="e">
        <f>VLOOKUP(DO$1,'Existing Customers'!$A:$AA,25,FALSE)</f>
        <v>#N/A</v>
      </c>
      <c r="DW39" s="107" t="s">
        <v>856</v>
      </c>
      <c r="DX39" s="89" t="e">
        <f>VLOOKUP(DX$1,'Existing Customers'!$A:$AA,25,FALSE)</f>
        <v>#N/A</v>
      </c>
    </row>
    <row r="40" spans="3:150" x14ac:dyDescent="0.25">
      <c r="L40" s="468">
        <f t="shared" si="33"/>
        <v>1</v>
      </c>
      <c r="M40" s="466" t="s">
        <v>112</v>
      </c>
      <c r="N40" s="469">
        <f>COUNTIF('Variable Costs (Back)'!$C$15:$C$24,M40)</f>
        <v>0</v>
      </c>
      <c r="AT40" s="107" t="s">
        <v>857</v>
      </c>
      <c r="AU40" s="89" t="e">
        <f>VLOOKUP(AU$1,'Existing Customers'!$A:$AA,26,FALSE)</f>
        <v>#N/A</v>
      </c>
      <c r="BC40" s="107" t="s">
        <v>857</v>
      </c>
      <c r="BD40" s="89" t="e">
        <f>VLOOKUP(BD$1,'Existing Customers'!$A:$AA,26,FALSE)</f>
        <v>#N/A</v>
      </c>
      <c r="BL40" s="107" t="s">
        <v>857</v>
      </c>
      <c r="BM40" s="89" t="e">
        <f>VLOOKUP(BM$1,'Existing Customers'!$A:$AA,26,FALSE)</f>
        <v>#N/A</v>
      </c>
      <c r="BU40" s="107" t="s">
        <v>857</v>
      </c>
      <c r="BV40" s="89" t="e">
        <f>VLOOKUP(BV$1,'Existing Customers'!$A:$AA,26,FALSE)</f>
        <v>#N/A</v>
      </c>
      <c r="CD40" s="107" t="s">
        <v>857</v>
      </c>
      <c r="CE40" s="89" t="e">
        <f>VLOOKUP(CE$1,'Existing Customers'!$A:$AA,26,FALSE)</f>
        <v>#N/A</v>
      </c>
      <c r="CM40" s="107" t="s">
        <v>857</v>
      </c>
      <c r="CN40" s="89" t="e">
        <f>VLOOKUP(CN$1,'Existing Customers'!$A:$AA,26,FALSE)</f>
        <v>#N/A</v>
      </c>
      <c r="CV40" s="107" t="s">
        <v>857</v>
      </c>
      <c r="CW40" s="89" t="e">
        <f>VLOOKUP(CW$1,'Existing Customers'!$A:$AA,26,FALSE)</f>
        <v>#N/A</v>
      </c>
      <c r="DE40" s="107" t="s">
        <v>857</v>
      </c>
      <c r="DF40" s="89" t="e">
        <f>VLOOKUP(DF$1,'Existing Customers'!$A:$AA,26,FALSE)</f>
        <v>#N/A</v>
      </c>
      <c r="DN40" s="107" t="s">
        <v>857</v>
      </c>
      <c r="DO40" s="89" t="e">
        <f>VLOOKUP(DO$1,'Existing Customers'!$A:$AA,26,FALSE)</f>
        <v>#N/A</v>
      </c>
      <c r="DW40" s="107" t="s">
        <v>857</v>
      </c>
      <c r="DX40" s="89" t="e">
        <f>VLOOKUP(DX$1,'Existing Customers'!$A:$AA,26,FALSE)</f>
        <v>#N/A</v>
      </c>
    </row>
    <row r="41" spans="3:150" x14ac:dyDescent="0.25">
      <c r="L41" s="468">
        <f t="shared" si="33"/>
        <v>1</v>
      </c>
      <c r="M41" s="466" t="s">
        <v>113</v>
      </c>
      <c r="N41" s="469">
        <f>COUNTIF('Variable Costs (Back)'!$C$15:$C$24,M41)</f>
        <v>0</v>
      </c>
      <c r="AT41" s="107" t="s">
        <v>858</v>
      </c>
      <c r="AU41" s="89" t="e">
        <f>VLOOKUP(AU$1,'Existing Customers'!$A:$AA,23,FALSE)</f>
        <v>#N/A</v>
      </c>
      <c r="BC41" s="107" t="s">
        <v>858</v>
      </c>
      <c r="BD41" s="89" t="e">
        <f>VLOOKUP(BD$1,'Existing Customers'!$A:$AA,23,FALSE)</f>
        <v>#N/A</v>
      </c>
      <c r="BL41" s="107" t="s">
        <v>858</v>
      </c>
      <c r="BM41" s="89" t="e">
        <f>VLOOKUP(BM$1,'Existing Customers'!$A:$AA,23,FALSE)</f>
        <v>#N/A</v>
      </c>
      <c r="BU41" s="107" t="s">
        <v>858</v>
      </c>
      <c r="BV41" s="89" t="e">
        <f>VLOOKUP(BV$1,'Existing Customers'!$A:$AA,23,FALSE)</f>
        <v>#N/A</v>
      </c>
      <c r="CD41" s="107" t="s">
        <v>858</v>
      </c>
      <c r="CE41" s="89" t="e">
        <f>VLOOKUP(CE$1,'Existing Customers'!$A:$AA,23,FALSE)</f>
        <v>#N/A</v>
      </c>
      <c r="CM41" s="107" t="s">
        <v>858</v>
      </c>
      <c r="CN41" s="89" t="e">
        <f>VLOOKUP(CN$1,'Existing Customers'!$A:$AA,23,FALSE)</f>
        <v>#N/A</v>
      </c>
      <c r="CV41" s="107" t="s">
        <v>858</v>
      </c>
      <c r="CW41" s="89" t="e">
        <f>VLOOKUP(CW$1,'Existing Customers'!$A:$AA,23,FALSE)</f>
        <v>#N/A</v>
      </c>
      <c r="DE41" s="107" t="s">
        <v>858</v>
      </c>
      <c r="DF41" s="89" t="e">
        <f>VLOOKUP(DF$1,'Existing Customers'!$A:$AA,23,FALSE)</f>
        <v>#N/A</v>
      </c>
      <c r="DN41" s="107" t="s">
        <v>858</v>
      </c>
      <c r="DO41" s="89" t="e">
        <f>VLOOKUP(DO$1,'Existing Customers'!$A:$AA,23,FALSE)</f>
        <v>#N/A</v>
      </c>
      <c r="DW41" s="107" t="s">
        <v>858</v>
      </c>
      <c r="DX41" s="89" t="e">
        <f>VLOOKUP(DX$1,'Existing Customers'!$A:$AA,23,FALSE)</f>
        <v>#N/A</v>
      </c>
    </row>
    <row r="42" spans="3:150" x14ac:dyDescent="0.25">
      <c r="L42" s="468">
        <f t="shared" si="33"/>
        <v>1</v>
      </c>
      <c r="M42" s="466" t="s">
        <v>111</v>
      </c>
      <c r="N42" s="469">
        <f>COUNTIF('Variable Costs (Back)'!$C$15:$C$24,M42)</f>
        <v>0</v>
      </c>
      <c r="AT42" s="107" t="s">
        <v>859</v>
      </c>
      <c r="AU42" s="89" t="e">
        <f>VLOOKUP(AU$1,'Existing Customers'!$A:$AA,24,FALSE)</f>
        <v>#N/A</v>
      </c>
      <c r="BC42" s="107" t="s">
        <v>859</v>
      </c>
      <c r="BD42" s="89" t="e">
        <f>VLOOKUP(BD$1,'Existing Customers'!$A:$AA,24,FALSE)</f>
        <v>#N/A</v>
      </c>
      <c r="BL42" s="107" t="s">
        <v>859</v>
      </c>
      <c r="BM42" s="89" t="e">
        <f>VLOOKUP(BM$1,'Existing Customers'!$A:$AA,24,FALSE)</f>
        <v>#N/A</v>
      </c>
      <c r="BU42" s="107" t="s">
        <v>859</v>
      </c>
      <c r="BV42" s="89" t="e">
        <f>VLOOKUP(BV$1,'Existing Customers'!$A:$AA,24,FALSE)</f>
        <v>#N/A</v>
      </c>
      <c r="CD42" s="107" t="s">
        <v>859</v>
      </c>
      <c r="CE42" s="89" t="e">
        <f>VLOOKUP(CE$1,'Existing Customers'!$A:$AA,24,FALSE)</f>
        <v>#N/A</v>
      </c>
      <c r="CM42" s="107" t="s">
        <v>859</v>
      </c>
      <c r="CN42" s="89" t="e">
        <f>VLOOKUP(CN$1,'Existing Customers'!$A:$AA,24,FALSE)</f>
        <v>#N/A</v>
      </c>
      <c r="CV42" s="107" t="s">
        <v>859</v>
      </c>
      <c r="CW42" s="89" t="e">
        <f>VLOOKUP(CW$1,'Existing Customers'!$A:$AA,24,FALSE)</f>
        <v>#N/A</v>
      </c>
      <c r="DE42" s="107" t="s">
        <v>859</v>
      </c>
      <c r="DF42" s="89" t="e">
        <f>VLOOKUP(DF$1,'Existing Customers'!$A:$AA,24,FALSE)</f>
        <v>#N/A</v>
      </c>
      <c r="DN42" s="107" t="s">
        <v>859</v>
      </c>
      <c r="DO42" s="89" t="e">
        <f>VLOOKUP(DO$1,'Existing Customers'!$A:$AA,24,FALSE)</f>
        <v>#N/A</v>
      </c>
      <c r="DW42" s="107" t="s">
        <v>859</v>
      </c>
      <c r="DX42" s="89" t="e">
        <f>VLOOKUP(DX$1,'Existing Customers'!$A:$AA,24,FALSE)</f>
        <v>#N/A</v>
      </c>
    </row>
    <row r="43" spans="3:150" x14ac:dyDescent="0.25">
      <c r="L43" s="468">
        <f t="shared" si="33"/>
        <v>1</v>
      </c>
      <c r="M43" s="466" t="s">
        <v>118</v>
      </c>
      <c r="N43" s="469">
        <f>COUNTIF('Variable Costs (Back)'!$C$15:$C$24,M43)</f>
        <v>0</v>
      </c>
      <c r="AT43" s="107" t="s">
        <v>860</v>
      </c>
      <c r="AU43" s="89" t="e">
        <f>VLOOKUP(AU$1,'Existing Customers'!$A:$AA,9,FALSE)</f>
        <v>#N/A</v>
      </c>
      <c r="BC43" s="107" t="s">
        <v>860</v>
      </c>
      <c r="BD43" s="89" t="e">
        <f>VLOOKUP(BD$1,'Existing Customers'!$A:$AA,9,FALSE)</f>
        <v>#N/A</v>
      </c>
      <c r="BL43" s="107" t="s">
        <v>860</v>
      </c>
      <c r="BM43" s="89" t="e">
        <f>VLOOKUP(BM$1,'Existing Customers'!$A:$AA,9,FALSE)</f>
        <v>#N/A</v>
      </c>
      <c r="BU43" s="107" t="s">
        <v>860</v>
      </c>
      <c r="BV43" s="89" t="e">
        <f>VLOOKUP(BV$1,'Existing Customers'!$A:$AA,9,FALSE)</f>
        <v>#N/A</v>
      </c>
      <c r="CD43" s="107" t="s">
        <v>860</v>
      </c>
      <c r="CE43" s="89" t="e">
        <f>VLOOKUP(CE$1,'Existing Customers'!$A:$AA,9,FALSE)</f>
        <v>#N/A</v>
      </c>
      <c r="CM43" s="107" t="s">
        <v>860</v>
      </c>
      <c r="CN43" s="89" t="e">
        <f>VLOOKUP(CN$1,'Existing Customers'!$A:$AA,9,FALSE)</f>
        <v>#N/A</v>
      </c>
      <c r="CV43" s="107" t="s">
        <v>860</v>
      </c>
      <c r="CW43" s="89" t="e">
        <f>VLOOKUP(CW$1,'Existing Customers'!$A:$AA,9,FALSE)</f>
        <v>#N/A</v>
      </c>
      <c r="DE43" s="107" t="s">
        <v>860</v>
      </c>
      <c r="DF43" s="89" t="e">
        <f>VLOOKUP(DF$1,'Existing Customers'!$A:$AA,9,FALSE)</f>
        <v>#N/A</v>
      </c>
      <c r="DN43" s="107" t="s">
        <v>860</v>
      </c>
      <c r="DO43" s="89" t="e">
        <f>VLOOKUP(DO$1,'Existing Customers'!$A:$AA,9,FALSE)</f>
        <v>#N/A</v>
      </c>
      <c r="DW43" s="107" t="s">
        <v>860</v>
      </c>
      <c r="DX43" s="89" t="e">
        <f>VLOOKUP(DX$1,'Existing Customers'!$A:$AA,9,FALSE)</f>
        <v>#N/A</v>
      </c>
    </row>
    <row r="44" spans="3:150" x14ac:dyDescent="0.25">
      <c r="L44" s="468">
        <f t="shared" si="33"/>
        <v>1</v>
      </c>
      <c r="M44" s="466" t="s">
        <v>115</v>
      </c>
      <c r="N44" s="469">
        <f>COUNTIF('Variable Costs (Back)'!$C$15:$C$24,M44)</f>
        <v>0</v>
      </c>
      <c r="AT44" s="107" t="s">
        <v>861</v>
      </c>
      <c r="AU44" s="89" t="e">
        <f>VLOOKUP(AU$1,'Existing Customers'!$A:$AA,27,FALSE)</f>
        <v>#N/A</v>
      </c>
      <c r="BC44" s="107" t="s">
        <v>861</v>
      </c>
      <c r="BD44" s="89" t="e">
        <f>VLOOKUP(BD$1,'Existing Customers'!$A:$AA,27,FALSE)</f>
        <v>#N/A</v>
      </c>
      <c r="BL44" s="107" t="s">
        <v>861</v>
      </c>
      <c r="BM44" s="89" t="e">
        <f>VLOOKUP(BM$1,'Existing Customers'!$A:$AA,27,FALSE)</f>
        <v>#N/A</v>
      </c>
      <c r="BU44" s="107" t="s">
        <v>861</v>
      </c>
      <c r="BV44" s="89" t="e">
        <f>VLOOKUP(BV$1,'Existing Customers'!$A:$AA,27,FALSE)</f>
        <v>#N/A</v>
      </c>
      <c r="CD44" s="107" t="s">
        <v>861</v>
      </c>
      <c r="CE44" s="89" t="e">
        <f>VLOOKUP(CE$1,'Existing Customers'!$A:$AA,27,FALSE)</f>
        <v>#N/A</v>
      </c>
      <c r="CM44" s="107" t="s">
        <v>861</v>
      </c>
      <c r="CN44" s="89" t="e">
        <f>VLOOKUP(CN$1,'Existing Customers'!$A:$AA,27,FALSE)</f>
        <v>#N/A</v>
      </c>
      <c r="CV44" s="107" t="s">
        <v>861</v>
      </c>
      <c r="CW44" s="89" t="e">
        <f>VLOOKUP(CW$1,'Existing Customers'!$A:$AA,27,FALSE)</f>
        <v>#N/A</v>
      </c>
      <c r="DE44" s="107" t="s">
        <v>861</v>
      </c>
      <c r="DF44" s="89" t="e">
        <f>VLOOKUP(DF$1,'Existing Customers'!$A:$AA,27,FALSE)</f>
        <v>#N/A</v>
      </c>
      <c r="DN44" s="107" t="s">
        <v>861</v>
      </c>
      <c r="DO44" s="89" t="e">
        <f>VLOOKUP(DO$1,'Existing Customers'!$A:$AA,27,FALSE)</f>
        <v>#N/A</v>
      </c>
      <c r="DW44" s="107" t="s">
        <v>861</v>
      </c>
      <c r="DX44" s="89" t="e">
        <f>VLOOKUP(DX$1,'Existing Customers'!$A:$AA,27,FALSE)</f>
        <v>#N/A</v>
      </c>
    </row>
    <row r="45" spans="3:150" x14ac:dyDescent="0.25">
      <c r="L45" s="468">
        <f t="shared" si="33"/>
        <v>1</v>
      </c>
      <c r="M45" s="466" t="s">
        <v>117</v>
      </c>
      <c r="N45" s="469">
        <f>COUNTIF('Variable Costs (Back)'!$C$15:$C$24,M45)</f>
        <v>0</v>
      </c>
      <c r="AT45" s="107" t="s">
        <v>1020</v>
      </c>
      <c r="AU45" s="89" t="e">
        <f>VLOOKUP(AU$1,'Existing Customers'!$A:$AA,4,FALSE)</f>
        <v>#N/A</v>
      </c>
      <c r="BC45" s="107" t="s">
        <v>107</v>
      </c>
      <c r="BD45" s="89" t="e">
        <f>VLOOKUP(BD$1,'Existing Customers'!$A:$AA,4,FALSE)</f>
        <v>#N/A</v>
      </c>
      <c r="BL45" s="107" t="s">
        <v>107</v>
      </c>
      <c r="BM45" s="89" t="e">
        <f>VLOOKUP(BM$1,'Existing Customers'!$A:$AA,4,FALSE)</f>
        <v>#N/A</v>
      </c>
      <c r="BU45" s="107" t="s">
        <v>107</v>
      </c>
      <c r="BV45" s="89" t="e">
        <f>VLOOKUP(BV$1,'Existing Customers'!$A:$AA,4,FALSE)</f>
        <v>#N/A</v>
      </c>
      <c r="CD45" s="107" t="s">
        <v>107</v>
      </c>
      <c r="CE45" s="89" t="e">
        <f>VLOOKUP(CE$1,'Existing Customers'!$A:$AA,4,FALSE)</f>
        <v>#N/A</v>
      </c>
      <c r="CM45" s="107" t="s">
        <v>107</v>
      </c>
      <c r="CN45" s="89" t="e">
        <f>VLOOKUP(CN$1,'Existing Customers'!$A:$AA,4,FALSE)</f>
        <v>#N/A</v>
      </c>
      <c r="CV45" s="107" t="s">
        <v>107</v>
      </c>
      <c r="CW45" s="89" t="e">
        <f>VLOOKUP(CW$1,'Existing Customers'!$A:$AA,4,FALSE)</f>
        <v>#N/A</v>
      </c>
      <c r="DE45" s="107" t="s">
        <v>107</v>
      </c>
      <c r="DF45" s="89" t="e">
        <f>VLOOKUP(DF$1,'Existing Customers'!$A:$AA,4,FALSE)</f>
        <v>#N/A</v>
      </c>
      <c r="DN45" s="107" t="s">
        <v>107</v>
      </c>
      <c r="DO45" s="89" t="e">
        <f>VLOOKUP(DO$1,'Existing Customers'!$A:$AA,4,FALSE)</f>
        <v>#N/A</v>
      </c>
      <c r="DW45" s="107" t="s">
        <v>107</v>
      </c>
      <c r="DX45" s="89" t="e">
        <f>VLOOKUP(DX$1,'Existing Customers'!$A:$AA,4,FALSE)</f>
        <v>#N/A</v>
      </c>
    </row>
    <row r="46" spans="3:150" x14ac:dyDescent="0.25">
      <c r="L46" s="143"/>
      <c r="N46" s="144"/>
      <c r="AT46" s="107" t="s">
        <v>867</v>
      </c>
      <c r="AU46" s="89">
        <f>IFERROR(VLOOKUP(AU$1,'Existing Customers'!$A:$AA,6,FALSE),AU6)</f>
        <v>0</v>
      </c>
      <c r="BC46" s="107" t="s">
        <v>867</v>
      </c>
      <c r="BD46" s="89">
        <f>IFERROR(VLOOKUP(BD$1,'Existing Customers'!$A:$AA,6,FALSE),BD5)</f>
        <v>0</v>
      </c>
      <c r="BL46" s="107" t="s">
        <v>867</v>
      </c>
      <c r="BM46" s="89">
        <f>IFERROR(VLOOKUP(BM$1,'Existing Customers'!$A:$AA,6,FALSE),BM6)</f>
        <v>0</v>
      </c>
      <c r="BU46" s="107" t="s">
        <v>867</v>
      </c>
      <c r="BV46" s="89">
        <f>IFERROR(VLOOKUP(BV$1,'Existing Customers'!$A:$AA,6,FALSE),BV6)</f>
        <v>0</v>
      </c>
      <c r="CD46" s="107" t="s">
        <v>867</v>
      </c>
      <c r="CE46" s="89">
        <f>IFERROR(VLOOKUP(CE$1,'Existing Customers'!$A:$AA,6,FALSE),CE6)</f>
        <v>0</v>
      </c>
      <c r="CM46" s="107" t="s">
        <v>867</v>
      </c>
      <c r="CN46" s="89">
        <f>IFERROR(VLOOKUP(CN$1,'Existing Customers'!$A:$AA,6,FALSE),CN6)</f>
        <v>0</v>
      </c>
      <c r="CV46" s="107" t="s">
        <v>867</v>
      </c>
      <c r="CW46" s="89">
        <f>IFERROR(VLOOKUP(CW$1,'Existing Customers'!$A:$AA,6,FALSE),CW6)</f>
        <v>0</v>
      </c>
      <c r="DE46" s="107" t="s">
        <v>867</v>
      </c>
      <c r="DF46" s="89">
        <f>IFERROR(VLOOKUP(DF$1,'Existing Customers'!$A:$AA,6,FALSE),DF6)</f>
        <v>0</v>
      </c>
      <c r="DN46" s="107" t="s">
        <v>867</v>
      </c>
      <c r="DO46" s="89">
        <f>IFERROR(VLOOKUP(DO$1,'Existing Customers'!$A:$AA,6,FALSE),DO6)</f>
        <v>0</v>
      </c>
      <c r="DW46" s="107" t="s">
        <v>867</v>
      </c>
      <c r="DX46" s="89">
        <f>IFERROR(VLOOKUP(DX$1,'Existing Customers'!$A:$AA,6,FALSE),DX6)</f>
        <v>0</v>
      </c>
    </row>
    <row r="47" spans="3:150" ht="15.75" thickBot="1" x14ac:dyDescent="0.3">
      <c r="L47" s="470">
        <v>1</v>
      </c>
      <c r="M47" s="471" t="str">
        <f>IF(COUNTIF($N$36:$N$45,"&gt;0")&gt;1,"MULTIPLE PYRAMID SEGMENTS",VLOOKUP(L47,$L$36:$M$45,2,FALSE))</f>
        <v>Enter Customer(s)</v>
      </c>
      <c r="N47" s="472"/>
      <c r="AT47" s="107" t="s">
        <v>1019</v>
      </c>
      <c r="AU47" s="89" t="str">
        <f>IFERROR(ROUND(VLOOKUP(AU36,'Existing Customer Variable Exp'!$B:$F,5,FALSE)/52,1),"Enter Drops &gt;")</f>
        <v>Enter Drops &gt;</v>
      </c>
      <c r="BC47" s="107" t="s">
        <v>872</v>
      </c>
      <c r="BD47" s="89" t="str">
        <f>IFERROR(ROUND(VLOOKUP(BD36,'Existing Customer Variable Exp'!$B:$F,5,FALSE)/52,1),"Enter Drops &gt;")</f>
        <v>Enter Drops &gt;</v>
      </c>
      <c r="BL47" s="107" t="s">
        <v>872</v>
      </c>
      <c r="BM47" s="89" t="str">
        <f>IFERROR(ROUND(VLOOKUP(BM36,'Existing Customer Variable Exp'!$B:$F,5,FALSE)/52,1),"Enter Drops &gt;")</f>
        <v>Enter Drops &gt;</v>
      </c>
      <c r="BU47" s="107" t="s">
        <v>872</v>
      </c>
      <c r="BV47" s="89" t="str">
        <f>IFERROR(ROUND(VLOOKUP(BV36,'Existing Customer Variable Exp'!$B:$F,5,FALSE)/52,1),"Enter Drops &gt;")</f>
        <v>Enter Drops &gt;</v>
      </c>
      <c r="CD47" s="107" t="s">
        <v>872</v>
      </c>
      <c r="CE47" s="89" t="str">
        <f>IFERROR(ROUND(VLOOKUP(CE36,'Existing Customer Variable Exp'!$B:$F,5,FALSE)/52,1),"Enter Drops &gt;")</f>
        <v>Enter Drops &gt;</v>
      </c>
      <c r="CM47" s="107" t="s">
        <v>872</v>
      </c>
      <c r="CN47" s="89" t="str">
        <f>IFERROR(ROUND(VLOOKUP(CN36,'Existing Customer Variable Exp'!$B:$F,5,FALSE)/52,1),"Enter Drops &gt;")</f>
        <v>Enter Drops &gt;</v>
      </c>
      <c r="CV47" s="107" t="s">
        <v>872</v>
      </c>
      <c r="CW47" s="89" t="str">
        <f>IFERROR(ROUND(VLOOKUP(CW36,'Existing Customer Variable Exp'!$B:$F,5,FALSE)/52,1),"Enter Drops &gt;")</f>
        <v>Enter Drops &gt;</v>
      </c>
      <c r="DE47" s="107" t="s">
        <v>872</v>
      </c>
      <c r="DF47" s="89" t="str">
        <f>IFERROR(ROUND(VLOOKUP(DF36,'Existing Customer Variable Exp'!$B:$F,5,FALSE)/52,1),"Enter Drops &gt;")</f>
        <v>Enter Drops &gt;</v>
      </c>
      <c r="DN47" s="107" t="s">
        <v>872</v>
      </c>
      <c r="DO47" s="89" t="str">
        <f>IFERROR(ROUND(VLOOKUP(DO36,'Existing Customer Variable Exp'!$B:$F,5,FALSE)/52,1),"Enter Drops &gt;")</f>
        <v>Enter Drops &gt;</v>
      </c>
      <c r="DW47" s="107" t="s">
        <v>872</v>
      </c>
      <c r="DX47" s="89" t="str">
        <f>IFERROR(ROUND(VLOOKUP(DX36,'Existing Customer Variable Exp'!$B:$F,5,FALSE)/52,1),"Enter Drops &gt;")</f>
        <v>Enter Drops &gt;</v>
      </c>
    </row>
    <row r="48" spans="3:150" ht="15.75" thickBot="1" x14ac:dyDescent="0.3">
      <c r="Q48" s="107"/>
      <c r="R48" s="132"/>
      <c r="AT48" s="107" t="s">
        <v>477</v>
      </c>
      <c r="AU48" s="133">
        <f>IF(AU2="Enter Spend&gt;&gt;&gt;","Enter EB % &gt;",AU$7)</f>
        <v>0</v>
      </c>
      <c r="BC48" s="107" t="s">
        <v>477</v>
      </c>
      <c r="BD48" s="133">
        <f>IF(BD2="Enter Spend&gt;&gt;&gt;","Enter EB % &gt;",BD$7)</f>
        <v>0</v>
      </c>
      <c r="BL48" s="107" t="s">
        <v>477</v>
      </c>
      <c r="BM48" s="133">
        <f>IF(BM2="Enter Spend&gt;&gt;&gt;","Enter EB % &gt;",BM$7)</f>
        <v>0</v>
      </c>
      <c r="BU48" s="107" t="s">
        <v>477</v>
      </c>
      <c r="BV48" s="133">
        <f>IF(BV2="Enter Spend&gt;&gt;&gt;","Enter EB % &gt;",BV$7)</f>
        <v>0</v>
      </c>
      <c r="CD48" s="107" t="s">
        <v>477</v>
      </c>
      <c r="CE48" s="133">
        <f>IF(CE2="Enter Spend&gt;&gt;&gt;","Enter EB % &gt;",CE$7)</f>
        <v>0</v>
      </c>
      <c r="CM48" s="107" t="s">
        <v>477</v>
      </c>
      <c r="CN48" s="133">
        <f>IF(CN2="Enter Spend&gt;&gt;&gt;","Enter EB % &gt;",CN$7)</f>
        <v>0</v>
      </c>
      <c r="CV48" s="107" t="s">
        <v>477</v>
      </c>
      <c r="CW48" s="133">
        <f>IF(CW2="Enter Spend&gt;&gt;&gt;","Enter EB % &gt;",CW$7)</f>
        <v>0</v>
      </c>
      <c r="DE48" s="107" t="s">
        <v>477</v>
      </c>
      <c r="DF48" s="133">
        <f>IF(DF2="Enter Spend&gt;&gt;&gt;","Enter EB % &gt;",DF$7)</f>
        <v>0</v>
      </c>
      <c r="DN48" s="107" t="s">
        <v>477</v>
      </c>
      <c r="DO48" s="133">
        <f>IF(DO2="Enter Spend&gt;&gt;&gt;","Enter EB % &gt;",DO$7)</f>
        <v>0</v>
      </c>
      <c r="DW48" s="107" t="s">
        <v>477</v>
      </c>
      <c r="DX48" s="133">
        <f>IF(DX2="Enter Spend&gt;&gt;&gt;","Enter EB % &gt;",DX$7)</f>
        <v>0</v>
      </c>
    </row>
    <row r="49" spans="12:128" x14ac:dyDescent="0.25">
      <c r="L49" s="473"/>
      <c r="M49" s="467" t="s">
        <v>869</v>
      </c>
      <c r="N49" s="474"/>
      <c r="Q49" s="107"/>
      <c r="R49" s="132"/>
      <c r="AT49" s="107" t="s">
        <v>1018</v>
      </c>
      <c r="AU49" s="111">
        <f>SUMIFS('Existing Customers'!$N:$N,'Existing Customers'!$A:$A,'Multi-Customer'!AU$36)</f>
        <v>0</v>
      </c>
      <c r="BC49" s="107" t="s">
        <v>1012</v>
      </c>
      <c r="BD49" s="111">
        <f>SUMIFS('Existing Customers'!$N:$N,'Existing Customers'!$A:$A,'Multi-Customer'!BD$36)</f>
        <v>0</v>
      </c>
      <c r="BL49" s="107" t="s">
        <v>1012</v>
      </c>
      <c r="BM49" s="111">
        <f>SUMIFS('Existing Customers'!$N:$N,'Existing Customers'!$A:$A,'Multi-Customer'!BM$36)</f>
        <v>0</v>
      </c>
      <c r="BU49" s="107" t="s">
        <v>1012</v>
      </c>
      <c r="BV49" s="111">
        <f>SUMIFS('Existing Customers'!$N:$N,'Existing Customers'!$A:$A,'Multi-Customer'!BV$36)</f>
        <v>0</v>
      </c>
      <c r="CD49" s="107" t="s">
        <v>1012</v>
      </c>
      <c r="CE49" s="111">
        <f>SUMIFS('Existing Customers'!$N:$N,'Existing Customers'!$A:$A,'Multi-Customer'!CE$36)</f>
        <v>0</v>
      </c>
      <c r="CM49" s="107" t="s">
        <v>1012</v>
      </c>
      <c r="CN49" s="111">
        <f>SUMIFS('Existing Customers'!$N:$N,'Existing Customers'!$A:$A,'Multi-Customer'!CN$36)</f>
        <v>0</v>
      </c>
      <c r="CV49" s="107" t="s">
        <v>1012</v>
      </c>
      <c r="CW49" s="111">
        <f>SUMIFS('Existing Customers'!$N:$N,'Existing Customers'!$A:$A,'Multi-Customer'!CW$36)</f>
        <v>0</v>
      </c>
      <c r="DE49" s="107" t="s">
        <v>1012</v>
      </c>
      <c r="DF49" s="111">
        <f>SUMIFS('Existing Customers'!$N:$N,'Existing Customers'!$A:$A,'Multi-Customer'!DF$36)</f>
        <v>0</v>
      </c>
      <c r="DN49" s="107" t="s">
        <v>1012</v>
      </c>
      <c r="DO49" s="111">
        <f>SUMIFS('Existing Customers'!$N:$N,'Existing Customers'!$A:$A,'Multi-Customer'!DO$36)</f>
        <v>0</v>
      </c>
      <c r="DW49" s="107" t="s">
        <v>1012</v>
      </c>
      <c r="DX49" s="111">
        <f>SUMIFS('Existing Customers'!$N:$N,'Existing Customers'!$A:$A,'Multi-Customer'!DX$36)</f>
        <v>0</v>
      </c>
    </row>
    <row r="50" spans="12:128" x14ac:dyDescent="0.25">
      <c r="L50" s="468">
        <f t="shared" ref="L50:L78" si="34">RANK(N50,$N$50:$N$78)</f>
        <v>1</v>
      </c>
      <c r="M50" s="466" t="s">
        <v>969</v>
      </c>
      <c r="N50" s="469">
        <f t="shared" ref="N50:N78" si="35">COUNTIF($AT$46:$DX$46,M50)</f>
        <v>0</v>
      </c>
      <c r="Q50" s="107"/>
      <c r="R50" s="133"/>
      <c r="AT50" s="107" t="s">
        <v>1017</v>
      </c>
      <c r="AU50" s="111">
        <f>IFERROR(VLOOKUP(AU$36,'Existing Customer Variable Exp'!$B:$F,5,FALSE),0)</f>
        <v>0</v>
      </c>
      <c r="BC50" s="107" t="s">
        <v>1017</v>
      </c>
      <c r="BD50" s="111">
        <f>IFERROR(VLOOKUP(BD$36,'Existing Customer Variable Exp'!$B:$F,5,FALSE),0)</f>
        <v>0</v>
      </c>
      <c r="BL50" s="107" t="s">
        <v>1017</v>
      </c>
      <c r="BM50" s="111">
        <f>IFERROR(VLOOKUP(BM$36,'Existing Customer Variable Exp'!$B:$F,5,FALSE),0)</f>
        <v>0</v>
      </c>
      <c r="BU50" s="107" t="s">
        <v>1017</v>
      </c>
      <c r="BV50" s="111">
        <f>IFERROR(VLOOKUP(BV$36,'Existing Customer Variable Exp'!$B:$F,5,FALSE),0)</f>
        <v>0</v>
      </c>
      <c r="CD50" s="107" t="s">
        <v>1017</v>
      </c>
      <c r="CE50" s="111">
        <f>IFERROR(VLOOKUP(CE$36,'Existing Customer Variable Exp'!$B:$F,5,FALSE),0)</f>
        <v>0</v>
      </c>
      <c r="CM50" s="107" t="s">
        <v>1017</v>
      </c>
      <c r="CN50" s="111">
        <f>IFERROR(VLOOKUP(CN$36,'Existing Customer Variable Exp'!$B:$F,5,FALSE),0)</f>
        <v>0</v>
      </c>
      <c r="CV50" s="107" t="s">
        <v>1017</v>
      </c>
      <c r="CW50" s="111">
        <f>IFERROR(VLOOKUP(CW$36,'Existing Customer Variable Exp'!$B:$F,5,FALSE),0)</f>
        <v>0</v>
      </c>
      <c r="DE50" s="107" t="s">
        <v>1017</v>
      </c>
      <c r="DF50" s="111">
        <f>IFERROR(VLOOKUP(DF$36,'Existing Customer Variable Exp'!$B:$F,5,FALSE),0)</f>
        <v>0</v>
      </c>
      <c r="DN50" s="107" t="s">
        <v>1017</v>
      </c>
      <c r="DO50" s="111">
        <f>IFERROR(VLOOKUP(DO$36,'Existing Customer Variable Exp'!$B:$F,5,FALSE),0)</f>
        <v>0</v>
      </c>
      <c r="DW50" s="107" t="s">
        <v>1017</v>
      </c>
      <c r="DX50" s="111">
        <f>IFERROR(VLOOKUP(DX$36,'Existing Customer Variable Exp'!$B:$F,5,FALSE),0)</f>
        <v>0</v>
      </c>
    </row>
    <row r="51" spans="12:128" x14ac:dyDescent="0.25">
      <c r="L51" s="468">
        <f t="shared" si="34"/>
        <v>1</v>
      </c>
      <c r="M51" s="466" t="s">
        <v>14</v>
      </c>
      <c r="N51" s="469">
        <f t="shared" si="35"/>
        <v>0</v>
      </c>
    </row>
    <row r="52" spans="12:128" x14ac:dyDescent="0.25">
      <c r="L52" s="468">
        <f t="shared" si="34"/>
        <v>1</v>
      </c>
      <c r="M52" s="466" t="s">
        <v>62</v>
      </c>
      <c r="N52" s="469">
        <f t="shared" si="35"/>
        <v>0</v>
      </c>
    </row>
    <row r="53" spans="12:128" x14ac:dyDescent="0.25">
      <c r="L53" s="468">
        <f t="shared" si="34"/>
        <v>1</v>
      </c>
      <c r="M53" s="466" t="s">
        <v>74</v>
      </c>
      <c r="N53" s="469">
        <f t="shared" si="35"/>
        <v>0</v>
      </c>
    </row>
    <row r="54" spans="12:128" x14ac:dyDescent="0.25">
      <c r="L54" s="468">
        <f t="shared" si="34"/>
        <v>1</v>
      </c>
      <c r="M54" s="466" t="s">
        <v>34</v>
      </c>
      <c r="N54" s="469">
        <f t="shared" si="35"/>
        <v>0</v>
      </c>
    </row>
    <row r="55" spans="12:128" x14ac:dyDescent="0.25">
      <c r="L55" s="468">
        <f t="shared" si="34"/>
        <v>1</v>
      </c>
      <c r="M55" s="466" t="s">
        <v>0</v>
      </c>
      <c r="N55" s="469">
        <f t="shared" si="35"/>
        <v>0</v>
      </c>
    </row>
    <row r="56" spans="12:128" x14ac:dyDescent="0.25">
      <c r="L56" s="468">
        <f t="shared" si="34"/>
        <v>1</v>
      </c>
      <c r="M56" s="466" t="s">
        <v>69</v>
      </c>
      <c r="N56" s="469">
        <f t="shared" si="35"/>
        <v>0</v>
      </c>
    </row>
    <row r="57" spans="12:128" x14ac:dyDescent="0.25">
      <c r="L57" s="468">
        <f t="shared" si="34"/>
        <v>1</v>
      </c>
      <c r="M57" s="466" t="s">
        <v>4</v>
      </c>
      <c r="N57" s="469">
        <f t="shared" si="35"/>
        <v>0</v>
      </c>
    </row>
    <row r="58" spans="12:128" x14ac:dyDescent="0.25">
      <c r="L58" s="468">
        <f t="shared" si="34"/>
        <v>1</v>
      </c>
      <c r="M58" s="466" t="s">
        <v>35</v>
      </c>
      <c r="N58" s="469">
        <f t="shared" si="35"/>
        <v>0</v>
      </c>
    </row>
    <row r="59" spans="12:128" x14ac:dyDescent="0.25">
      <c r="L59" s="468">
        <f t="shared" si="34"/>
        <v>1</v>
      </c>
      <c r="M59" s="466" t="s">
        <v>6</v>
      </c>
      <c r="N59" s="469">
        <f t="shared" si="35"/>
        <v>0</v>
      </c>
    </row>
    <row r="60" spans="12:128" x14ac:dyDescent="0.25">
      <c r="L60" s="468">
        <f t="shared" si="34"/>
        <v>1</v>
      </c>
      <c r="M60" s="466" t="s">
        <v>264</v>
      </c>
      <c r="N60" s="469">
        <f t="shared" si="35"/>
        <v>0</v>
      </c>
    </row>
    <row r="61" spans="12:128" x14ac:dyDescent="0.25">
      <c r="L61" s="468">
        <f t="shared" si="34"/>
        <v>1</v>
      </c>
      <c r="M61" s="466" t="s">
        <v>15</v>
      </c>
      <c r="N61" s="469">
        <f t="shared" si="35"/>
        <v>0</v>
      </c>
    </row>
    <row r="62" spans="12:128" x14ac:dyDescent="0.25">
      <c r="L62" s="468">
        <f t="shared" si="34"/>
        <v>1</v>
      </c>
      <c r="M62" s="466" t="s">
        <v>45</v>
      </c>
      <c r="N62" s="469">
        <f t="shared" si="35"/>
        <v>0</v>
      </c>
    </row>
    <row r="63" spans="12:128" x14ac:dyDescent="0.25">
      <c r="L63" s="468">
        <f t="shared" si="34"/>
        <v>1</v>
      </c>
      <c r="M63" s="466" t="s">
        <v>265</v>
      </c>
      <c r="N63" s="469">
        <f t="shared" si="35"/>
        <v>0</v>
      </c>
    </row>
    <row r="64" spans="12:128" x14ac:dyDescent="0.25">
      <c r="L64" s="468">
        <f t="shared" si="34"/>
        <v>1</v>
      </c>
      <c r="M64" s="466" t="s">
        <v>48</v>
      </c>
      <c r="N64" s="469">
        <f t="shared" si="35"/>
        <v>0</v>
      </c>
    </row>
    <row r="65" spans="12:14" x14ac:dyDescent="0.25">
      <c r="L65" s="468">
        <f t="shared" si="34"/>
        <v>1</v>
      </c>
      <c r="M65" s="466" t="s">
        <v>266</v>
      </c>
      <c r="N65" s="469">
        <f t="shared" si="35"/>
        <v>0</v>
      </c>
    </row>
    <row r="66" spans="12:14" x14ac:dyDescent="0.25">
      <c r="L66" s="468">
        <f t="shared" si="34"/>
        <v>1</v>
      </c>
      <c r="M66" s="466" t="s">
        <v>267</v>
      </c>
      <c r="N66" s="469">
        <f t="shared" si="35"/>
        <v>0</v>
      </c>
    </row>
    <row r="67" spans="12:14" x14ac:dyDescent="0.25">
      <c r="L67" s="468">
        <f t="shared" si="34"/>
        <v>1</v>
      </c>
      <c r="M67" s="466" t="s">
        <v>268</v>
      </c>
      <c r="N67" s="469">
        <f t="shared" si="35"/>
        <v>0</v>
      </c>
    </row>
    <row r="68" spans="12:14" x14ac:dyDescent="0.25">
      <c r="L68" s="468">
        <f t="shared" si="34"/>
        <v>1</v>
      </c>
      <c r="M68" s="466" t="s">
        <v>60</v>
      </c>
      <c r="N68" s="469">
        <f t="shared" si="35"/>
        <v>0</v>
      </c>
    </row>
    <row r="69" spans="12:14" x14ac:dyDescent="0.25">
      <c r="L69" s="468">
        <f t="shared" si="34"/>
        <v>1</v>
      </c>
      <c r="M69" s="466" t="s">
        <v>20</v>
      </c>
      <c r="N69" s="469">
        <f t="shared" si="35"/>
        <v>0</v>
      </c>
    </row>
    <row r="70" spans="12:14" x14ac:dyDescent="0.25">
      <c r="L70" s="468">
        <f t="shared" si="34"/>
        <v>1</v>
      </c>
      <c r="M70" s="466" t="s">
        <v>269</v>
      </c>
      <c r="N70" s="469">
        <f t="shared" si="35"/>
        <v>0</v>
      </c>
    </row>
    <row r="71" spans="12:14" x14ac:dyDescent="0.25">
      <c r="L71" s="468">
        <f t="shared" si="34"/>
        <v>1</v>
      </c>
      <c r="M71" s="466" t="s">
        <v>270</v>
      </c>
      <c r="N71" s="469">
        <f t="shared" si="35"/>
        <v>0</v>
      </c>
    </row>
    <row r="72" spans="12:14" x14ac:dyDescent="0.25">
      <c r="L72" s="468">
        <f t="shared" si="34"/>
        <v>1</v>
      </c>
      <c r="M72" s="466" t="s">
        <v>36</v>
      </c>
      <c r="N72" s="469">
        <f t="shared" si="35"/>
        <v>0</v>
      </c>
    </row>
    <row r="73" spans="12:14" x14ac:dyDescent="0.25">
      <c r="L73" s="468">
        <f t="shared" si="34"/>
        <v>1</v>
      </c>
      <c r="M73" s="466" t="s">
        <v>71</v>
      </c>
      <c r="N73" s="469">
        <f t="shared" si="35"/>
        <v>0</v>
      </c>
    </row>
    <row r="74" spans="12:14" x14ac:dyDescent="0.25">
      <c r="L74" s="468">
        <f t="shared" si="34"/>
        <v>1</v>
      </c>
      <c r="M74" s="466" t="s">
        <v>11</v>
      </c>
      <c r="N74" s="469">
        <f t="shared" si="35"/>
        <v>0</v>
      </c>
    </row>
    <row r="75" spans="12:14" x14ac:dyDescent="0.25">
      <c r="L75" s="468">
        <f t="shared" si="34"/>
        <v>1</v>
      </c>
      <c r="M75" s="466" t="s">
        <v>271</v>
      </c>
      <c r="N75" s="469">
        <f t="shared" si="35"/>
        <v>0</v>
      </c>
    </row>
    <row r="76" spans="12:14" x14ac:dyDescent="0.25">
      <c r="L76" s="468">
        <f t="shared" si="34"/>
        <v>1</v>
      </c>
      <c r="M76" s="466" t="s">
        <v>272</v>
      </c>
      <c r="N76" s="469">
        <f t="shared" si="35"/>
        <v>0</v>
      </c>
    </row>
    <row r="77" spans="12:14" x14ac:dyDescent="0.25">
      <c r="L77" s="468">
        <f t="shared" si="34"/>
        <v>1</v>
      </c>
      <c r="M77" s="466" t="s">
        <v>9</v>
      </c>
      <c r="N77" s="469">
        <f t="shared" si="35"/>
        <v>0</v>
      </c>
    </row>
    <row r="78" spans="12:14" x14ac:dyDescent="0.25">
      <c r="L78" s="468">
        <f t="shared" si="34"/>
        <v>1</v>
      </c>
      <c r="M78" s="466" t="s">
        <v>38</v>
      </c>
      <c r="N78" s="469">
        <f t="shared" si="35"/>
        <v>0</v>
      </c>
    </row>
    <row r="79" spans="12:14" x14ac:dyDescent="0.25">
      <c r="L79" s="143"/>
      <c r="N79" s="144"/>
    </row>
    <row r="80" spans="12:14" x14ac:dyDescent="0.25">
      <c r="L80" s="143">
        <v>1</v>
      </c>
      <c r="M80" s="475" t="str">
        <f>IF($M$81&gt;1,"MULTIPLE MENU TYPES",VLOOKUP(L80,$L$50:$M$78,2,FALSE))</f>
        <v>MULTIPLE MENU TYPES</v>
      </c>
      <c r="N80" s="144"/>
    </row>
    <row r="81" spans="12:14" x14ac:dyDescent="0.25">
      <c r="L81" s="476" t="s">
        <v>874</v>
      </c>
      <c r="M81" s="477">
        <f>COUNTIF($L$50:$L$78,1)</f>
        <v>29</v>
      </c>
      <c r="N81" s="144"/>
    </row>
    <row r="82" spans="12:14" x14ac:dyDescent="0.25">
      <c r="L82" s="476" t="s">
        <v>873</v>
      </c>
      <c r="M82" s="477" t="str">
        <f>VLOOKUP(L80,$L$50:$M$78,2,FALSE)</f>
        <v>Enter Customer(s)</v>
      </c>
      <c r="N82" s="144"/>
    </row>
    <row r="83" spans="12:14" ht="15.75" thickBot="1" x14ac:dyDescent="0.3">
      <c r="L83" s="478" t="s">
        <v>991</v>
      </c>
      <c r="M83" s="479" t="str">
        <f>IF(COUNTIF($N$51:$N$78,"&gt;0")&gt;1,"MULTIPLE MENU TYPES",$M$80)</f>
        <v>MULTIPLE MENU TYPES</v>
      </c>
      <c r="N83" s="293"/>
    </row>
    <row r="85" spans="12:14" x14ac:dyDescent="0.25">
      <c r="M85" s="107"/>
    </row>
  </sheetData>
  <mergeCells count="4">
    <mergeCell ref="N1:O1"/>
    <mergeCell ref="N5:O5"/>
    <mergeCell ref="N6:O6"/>
    <mergeCell ref="AO9:AO11"/>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N1" workbookViewId="0">
      <selection activeCell="AV32" sqref="AV3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8" t="s">
        <v>970</v>
      </c>
      <c r="AU2" s="41" t="e">
        <f>$AL$33</f>
        <v>#DIV/0!</v>
      </c>
      <c r="AY2" s="537" t="s">
        <v>1009</v>
      </c>
      <c r="AZ2" s="292"/>
      <c r="BA2" s="292"/>
      <c r="BB2" s="292"/>
      <c r="BC2" s="292"/>
      <c r="BD2" s="292"/>
      <c r="BE2" s="292"/>
      <c r="BF2" s="292"/>
      <c r="BK2" s="537" t="s">
        <v>1009</v>
      </c>
    </row>
    <row r="3" spans="1:70" x14ac:dyDescent="0.25">
      <c r="AT3" s="88" t="s">
        <v>477</v>
      </c>
      <c r="AU3" s="24">
        <f>'Customer Inputs'!$W$16</f>
        <v>0</v>
      </c>
      <c r="AY3" s="539">
        <v>334319</v>
      </c>
      <c r="AZ3" s="538" t="s">
        <v>218</v>
      </c>
      <c r="BA3" s="55" t="s">
        <v>218</v>
      </c>
      <c r="BB3" s="531">
        <v>0.04</v>
      </c>
      <c r="BC3" s="531">
        <v>0.08</v>
      </c>
      <c r="BD3" s="531">
        <v>9.2999999999999999E-2</v>
      </c>
      <c r="BE3" s="531">
        <v>0.11</v>
      </c>
      <c r="BF3" s="532">
        <v>0.153</v>
      </c>
      <c r="BK3" s="539">
        <v>301441</v>
      </c>
      <c r="BL3" s="538" t="s">
        <v>218</v>
      </c>
      <c r="BM3" s="55" t="s">
        <v>218</v>
      </c>
      <c r="BN3" s="531">
        <v>4.5999999999999999E-2</v>
      </c>
      <c r="BO3" s="531">
        <v>8.8999999999999996E-2</v>
      </c>
      <c r="BP3" s="531">
        <v>0.107</v>
      </c>
      <c r="BQ3" s="531">
        <v>0.127</v>
      </c>
      <c r="BR3" s="531">
        <v>0.17100000000000001</v>
      </c>
    </row>
    <row r="4" spans="1:70" ht="15.75" thickBot="1" x14ac:dyDescent="0.3">
      <c r="AY4" s="540">
        <v>723899</v>
      </c>
      <c r="AZ4" s="318" t="s">
        <v>219</v>
      </c>
      <c r="BA4" s="1" t="s">
        <v>219</v>
      </c>
      <c r="BB4" s="533">
        <v>4.2000000000000003E-2</v>
      </c>
      <c r="BC4" s="533">
        <v>7.4999999999999997E-2</v>
      </c>
      <c r="BD4" s="533">
        <v>8.6999999999999994E-2</v>
      </c>
      <c r="BE4" s="533">
        <v>0.1</v>
      </c>
      <c r="BF4" s="534">
        <v>0.13600000000000001</v>
      </c>
      <c r="BK4" s="540">
        <v>684993</v>
      </c>
      <c r="BL4" s="318" t="s">
        <v>219</v>
      </c>
      <c r="BM4" s="1" t="s">
        <v>219</v>
      </c>
      <c r="BN4" s="533">
        <v>4.8000000000000001E-2</v>
      </c>
      <c r="BO4" s="533">
        <v>8.3000000000000004E-2</v>
      </c>
      <c r="BP4" s="533">
        <v>0.1</v>
      </c>
      <c r="BQ4" s="533">
        <v>0.115</v>
      </c>
      <c r="BR4" s="533">
        <v>0.152</v>
      </c>
    </row>
    <row r="5" spans="1:70" ht="15.75" thickBot="1" x14ac:dyDescent="0.3">
      <c r="AW5" s="1174" t="s">
        <v>1007</v>
      </c>
      <c r="AX5" s="1175"/>
      <c r="AY5" s="540">
        <v>1757315</v>
      </c>
      <c r="AZ5" s="318" t="s">
        <v>220</v>
      </c>
      <c r="BA5" s="1" t="s">
        <v>220</v>
      </c>
      <c r="BB5" s="533">
        <v>3.2000000000000001E-2</v>
      </c>
      <c r="BC5" s="533">
        <v>6.9000000000000006E-2</v>
      </c>
      <c r="BD5" s="533">
        <v>8.2000000000000003E-2</v>
      </c>
      <c r="BE5" s="533">
        <v>9.6000000000000002E-2</v>
      </c>
      <c r="BF5" s="534">
        <v>0.13300000000000001</v>
      </c>
      <c r="BI5" s="1174" t="s">
        <v>1008</v>
      </c>
      <c r="BJ5" s="1175"/>
      <c r="BK5" s="540">
        <v>1554219</v>
      </c>
      <c r="BL5" s="318" t="s">
        <v>220</v>
      </c>
      <c r="BM5" s="1" t="s">
        <v>220</v>
      </c>
      <c r="BN5" s="533">
        <v>3.6999999999999998E-2</v>
      </c>
      <c r="BO5" s="533">
        <v>7.8E-2</v>
      </c>
      <c r="BP5" s="533">
        <v>9.4E-2</v>
      </c>
      <c r="BQ5" s="533">
        <v>0.11</v>
      </c>
      <c r="BR5" s="533">
        <v>0.151</v>
      </c>
    </row>
    <row r="6" spans="1:70" ht="15.75" thickBot="1" x14ac:dyDescent="0.3">
      <c r="AW6" s="51" t="s">
        <v>510</v>
      </c>
      <c r="AX6" s="52" t="e">
        <f>IF($AU$2&lt;$AY$3,$AZ$3,IF($AU$2&lt;$AY$4,$AZ$4,IF($AU$2&lt;$AY$5,$AZ$5,IF($AU$2&lt;$AY$6,$AZ$6,$AZ$7))))</f>
        <v>#DIV/0!</v>
      </c>
      <c r="AY6" s="540">
        <v>3873056</v>
      </c>
      <c r="AZ6" s="318" t="s">
        <v>274</v>
      </c>
      <c r="BA6" s="1" t="s">
        <v>274</v>
      </c>
      <c r="BB6" s="533">
        <v>2.5000000000000001E-2</v>
      </c>
      <c r="BC6" s="533">
        <v>6.3E-2</v>
      </c>
      <c r="BD6" s="533">
        <v>7.5999999999999998E-2</v>
      </c>
      <c r="BE6" s="533">
        <v>0.09</v>
      </c>
      <c r="BF6" s="534">
        <v>0.13</v>
      </c>
      <c r="BI6" s="51" t="s">
        <v>510</v>
      </c>
      <c r="BJ6" s="52" t="e">
        <f>IF($AU$2&lt;$AY$3,$AZ$3,IF($AU$2&lt;$AY$4,$AZ$4,IF($AU$2&lt;$AY$5,$AZ$5,IF($AU$2&lt;$AY$6,$AZ$6,$AZ$7))))</f>
        <v>#DIV/0!</v>
      </c>
      <c r="BK6" s="540">
        <v>3316405</v>
      </c>
      <c r="BL6" s="318" t="s">
        <v>274</v>
      </c>
      <c r="BM6" s="1" t="s">
        <v>274</v>
      </c>
      <c r="BN6" s="533">
        <v>3.1E-2</v>
      </c>
      <c r="BO6" s="533">
        <v>7.0000000000000007E-2</v>
      </c>
      <c r="BP6" s="533">
        <v>8.6999999999999994E-2</v>
      </c>
      <c r="BQ6" s="533">
        <v>0.104</v>
      </c>
      <c r="BR6" s="533">
        <v>0.14899999999999999</v>
      </c>
    </row>
    <row r="7" spans="1:70" ht="15.75" thickBot="1" x14ac:dyDescent="0.3">
      <c r="AW7" s="51" t="s">
        <v>511</v>
      </c>
      <c r="AX7" s="53" t="e">
        <f>VLOOKUP($AX$6,$BA$3:$BF$7,3,FALSE)</f>
        <v>#DIV/0!</v>
      </c>
      <c r="AY7" s="541"/>
      <c r="AZ7" s="457" t="s">
        <v>275</v>
      </c>
      <c r="BA7" s="36" t="s">
        <v>275</v>
      </c>
      <c r="BB7" s="535">
        <v>2.5999999999999999E-2</v>
      </c>
      <c r="BC7" s="535">
        <v>5.6000000000000001E-2</v>
      </c>
      <c r="BD7" s="535">
        <v>6.8000000000000005E-2</v>
      </c>
      <c r="BE7" s="535">
        <v>8.3000000000000004E-2</v>
      </c>
      <c r="BF7" s="536">
        <v>0.114</v>
      </c>
      <c r="BI7" s="51" t="s">
        <v>511</v>
      </c>
      <c r="BJ7" s="53" t="e">
        <f>VLOOKUP($BJ$6,$BM$3:$BO$7,3,FALSE)</f>
        <v>#DIV/0!</v>
      </c>
      <c r="BK7" s="542"/>
      <c r="BL7" s="457" t="s">
        <v>275</v>
      </c>
      <c r="BM7" s="36" t="s">
        <v>275</v>
      </c>
      <c r="BN7" s="535">
        <v>0.03</v>
      </c>
      <c r="BO7" s="535">
        <v>6.4000000000000001E-2</v>
      </c>
      <c r="BP7" s="535">
        <v>7.8E-2</v>
      </c>
      <c r="BQ7" s="535">
        <v>9.5000000000000001E-2</v>
      </c>
      <c r="BR7" s="535">
        <v>0.13100000000000001</v>
      </c>
    </row>
    <row r="8" spans="1:70" x14ac:dyDescent="0.25">
      <c r="AU8" s="42"/>
    </row>
    <row r="10" spans="1:70" ht="15.75" x14ac:dyDescent="0.25">
      <c r="C10" s="509" t="s">
        <v>997</v>
      </c>
      <c r="D10" s="2" t="s">
        <v>476</v>
      </c>
      <c r="E10" s="2" t="s">
        <v>476</v>
      </c>
      <c r="F10" s="2" t="s">
        <v>476</v>
      </c>
      <c r="G10" s="2" t="s">
        <v>476</v>
      </c>
      <c r="H10" s="2" t="s">
        <v>476</v>
      </c>
      <c r="I10" s="2" t="s">
        <v>476</v>
      </c>
      <c r="J10" s="2"/>
      <c r="K10" s="2"/>
      <c r="L10" s="2"/>
      <c r="N10" s="509" t="s">
        <v>998</v>
      </c>
      <c r="O10" s="2" t="s">
        <v>476</v>
      </c>
      <c r="P10" s="2" t="s">
        <v>476</v>
      </c>
      <c r="Q10" s="2" t="s">
        <v>476</v>
      </c>
      <c r="R10" s="2" t="s">
        <v>476</v>
      </c>
      <c r="S10" s="2" t="s">
        <v>476</v>
      </c>
      <c r="T10" s="2" t="s">
        <v>476</v>
      </c>
      <c r="U10" s="2"/>
      <c r="V10" s="2"/>
      <c r="W10" s="408" t="str">
        <f>IF('Multi-Customer'!$M$80="MULTIPLE MENU TYPES","INDEPENDENT RESTAURATEURS (PYR)",'Multi-Customer'!$M$80)</f>
        <v>INDEPENDENT RESTAURATEURS (PYR)</v>
      </c>
      <c r="X10" s="2"/>
      <c r="Y10" s="2"/>
      <c r="Z10" s="2"/>
      <c r="AA10" s="2"/>
      <c r="AB10" s="2"/>
      <c r="AC10" s="2"/>
      <c r="AD10" s="2" t="s">
        <v>1045</v>
      </c>
      <c r="AE10" s="2"/>
      <c r="AF10" s="2"/>
      <c r="AG10" s="2"/>
      <c r="AH10" s="2"/>
      <c r="AI10" s="2"/>
      <c r="AJ10" s="2"/>
      <c r="AK10" s="509" t="s">
        <v>1000</v>
      </c>
      <c r="AL10" s="43" t="s">
        <v>476</v>
      </c>
      <c r="AM10" s="43" t="s">
        <v>476</v>
      </c>
      <c r="AN10" s="43" t="s">
        <v>476</v>
      </c>
      <c r="AO10" s="43" t="s">
        <v>476</v>
      </c>
      <c r="AP10" s="43" t="s">
        <v>476</v>
      </c>
      <c r="AQ10" s="1177" t="s">
        <v>1005</v>
      </c>
      <c r="AR10" s="1177"/>
      <c r="AW10" s="1176" t="s">
        <v>1003</v>
      </c>
      <c r="AX10" s="1176"/>
      <c r="AY10" s="1176"/>
      <c r="AZ10" s="1176"/>
      <c r="BA10" s="1176"/>
      <c r="BD10" s="1176" t="s">
        <v>1004</v>
      </c>
      <c r="BE10" s="1176"/>
      <c r="BF10" s="1176"/>
      <c r="BG10" s="1176"/>
      <c r="BH10" s="1176"/>
    </row>
    <row r="11" spans="1:70" x14ac:dyDescent="0.25">
      <c r="A11" s="2" t="s">
        <v>943</v>
      </c>
      <c r="C11" t="s">
        <v>261</v>
      </c>
      <c r="D11" s="2" t="s">
        <v>408</v>
      </c>
      <c r="E11" s="2" t="s">
        <v>83</v>
      </c>
      <c r="F11" s="2" t="s">
        <v>411</v>
      </c>
      <c r="G11" s="2" t="s">
        <v>518</v>
      </c>
      <c r="H11" s="2" t="s">
        <v>521</v>
      </c>
      <c r="I11" s="2" t="s">
        <v>519</v>
      </c>
      <c r="J11" s="2"/>
      <c r="K11" s="2"/>
      <c r="L11" s="2" t="s">
        <v>943</v>
      </c>
      <c r="N11" s="2" t="s">
        <v>261</v>
      </c>
      <c r="O11" s="2" t="s">
        <v>408</v>
      </c>
      <c r="P11" s="2" t="s">
        <v>83</v>
      </c>
      <c r="Q11" s="2" t="s">
        <v>411</v>
      </c>
      <c r="R11" s="2" t="s">
        <v>518</v>
      </c>
      <c r="S11" s="2" t="s">
        <v>521</v>
      </c>
      <c r="T11" s="2" t="s">
        <v>519</v>
      </c>
      <c r="U11" s="2"/>
      <c r="V11" s="2" t="s">
        <v>1039</v>
      </c>
      <c r="W11" s="2" t="s">
        <v>1040</v>
      </c>
      <c r="X11" s="2" t="s">
        <v>1041</v>
      </c>
      <c r="Y11" s="2"/>
      <c r="Z11" s="2"/>
      <c r="AA11" s="2" t="s">
        <v>999</v>
      </c>
      <c r="AB11" s="2" t="s">
        <v>1044</v>
      </c>
      <c r="AC11" s="2" t="s">
        <v>1042</v>
      </c>
      <c r="AD11" s="2" t="s">
        <v>1043</v>
      </c>
      <c r="AE11" s="2"/>
      <c r="AF11" s="2" t="s">
        <v>999</v>
      </c>
      <c r="AG11" s="2"/>
      <c r="AH11" s="2"/>
      <c r="AI11" s="2"/>
      <c r="AJ11" s="2"/>
      <c r="AK11" s="43" t="s">
        <v>261</v>
      </c>
      <c r="AL11" s="43" t="s">
        <v>408</v>
      </c>
      <c r="AM11" s="43" t="s">
        <v>83</v>
      </c>
      <c r="AN11" s="43" t="s">
        <v>518</v>
      </c>
      <c r="AO11" s="43" t="s">
        <v>521</v>
      </c>
      <c r="AP11" s="43" t="s">
        <v>519</v>
      </c>
      <c r="AQ11" s="522" t="s">
        <v>382</v>
      </c>
      <c r="AR11" s="522" t="s">
        <v>1038</v>
      </c>
      <c r="AV11" s="2"/>
      <c r="AW11" s="56" t="s">
        <v>261</v>
      </c>
      <c r="AX11" s="15" t="s">
        <v>218</v>
      </c>
      <c r="AY11" s="15" t="s">
        <v>219</v>
      </c>
      <c r="AZ11" s="15" t="s">
        <v>220</v>
      </c>
      <c r="BA11" s="15" t="s">
        <v>274</v>
      </c>
      <c r="BC11" s="2"/>
      <c r="BD11" s="56" t="s">
        <v>261</v>
      </c>
      <c r="BE11" s="15" t="s">
        <v>218</v>
      </c>
      <c r="BF11" s="15" t="s">
        <v>219</v>
      </c>
      <c r="BG11" s="15" t="s">
        <v>220</v>
      </c>
      <c r="BH11" s="15" t="s">
        <v>274</v>
      </c>
      <c r="BO11" s="58"/>
    </row>
    <row r="12" spans="1:70" x14ac:dyDescent="0.25">
      <c r="A12" t="e">
        <f>D12/$D$33</f>
        <v>#DIV/0!</v>
      </c>
      <c r="B12">
        <v>3</v>
      </c>
      <c r="C12" t="s">
        <v>99</v>
      </c>
      <c r="D12" s="25">
        <f>'Multi-Customer'!C12</f>
        <v>0</v>
      </c>
      <c r="E12">
        <f>'Multi-Customer'!D12</f>
        <v>0</v>
      </c>
      <c r="F12">
        <f>'Multi-Customer'!E12</f>
        <v>0</v>
      </c>
      <c r="G12" s="355">
        <f>'Multi-Customer'!F12</f>
        <v>0</v>
      </c>
      <c r="H12" s="19">
        <f>IFERROR(D12/E12,0)</f>
        <v>0</v>
      </c>
      <c r="I12" s="19">
        <f>IFERROR(D12/G12,0)</f>
        <v>0</v>
      </c>
      <c r="J12" s="355"/>
      <c r="K12" s="355" t="str">
        <f>'PIM Model'!E10</f>
        <v>INCLUDE</v>
      </c>
      <c r="L12" s="355" t="e">
        <f t="shared" ref="L12:L32" si="0">IF($K12="Exclude",0,$A12)</f>
        <v>#DIV/0!</v>
      </c>
      <c r="M12">
        <v>3</v>
      </c>
      <c r="N12" s="355" t="s">
        <v>99</v>
      </c>
      <c r="O12" s="355" t="e">
        <f t="shared" ref="O12:O32" si="1">IF($K12="Exclude",0,D12/$L$33)</f>
        <v>#DIV/0!</v>
      </c>
      <c r="P12" s="355" t="e">
        <f t="shared" ref="P12:P32" si="2">IF($K12="Exclude",0,E12/$L$33)</f>
        <v>#DIV/0!</v>
      </c>
      <c r="Q12" s="355" t="e">
        <f t="shared" ref="Q12:Q32" si="3">IF($K12="Exclude",0,F12/$L$33)</f>
        <v>#DIV/0!</v>
      </c>
      <c r="R12" s="355" t="e">
        <f t="shared" ref="R12:R32" si="4">IF($K12="Exclude",0,G12/$L$33)</f>
        <v>#DIV/0!</v>
      </c>
      <c r="S12" s="355">
        <f>IFERROR($O12/P12,VLOOKUP($W$10,'Basket Composition'!$A$34:$W$62,'PIM Ranges'!$M12,FALSE))</f>
        <v>29.444267788744497</v>
      </c>
      <c r="T12" s="19">
        <f>IFERROR(O12/R12,VLOOKUP($W$10,'Basket Composition'!$A$65:$W$92,'PIM Ranges'!$M12,FALSE))</f>
        <v>1.2233220733848114</v>
      </c>
      <c r="U12" s="19"/>
      <c r="V12" s="2">
        <f>'PIM Model'!$C$10</f>
        <v>0</v>
      </c>
      <c r="W12" s="659">
        <f>VLOOKUP($W$10,'Basket Composition'!$A$3:$W$30,'PIM Ranges'!$AJ12)</f>
        <v>7.8799999999999995E-2</v>
      </c>
      <c r="X12" s="19" t="e">
        <f>$W12*$Z$33</f>
        <v>#DIV/0!</v>
      </c>
      <c r="Y12" s="355" t="e">
        <f>IF(V12="AVG",X12,O12)</f>
        <v>#DIV/0!</v>
      </c>
      <c r="Z12" s="355" t="e">
        <f>IF($V12="AVG",0,$Y12)</f>
        <v>#DIV/0!</v>
      </c>
      <c r="AA12" s="355">
        <f>IF($V12="AVG",IF($O12=0,$Y12,$Y12-$O12),0)</f>
        <v>0</v>
      </c>
      <c r="AB12" s="660" t="e">
        <f>$Y12/$Y$33</f>
        <v>#DIV/0!</v>
      </c>
      <c r="AC12" s="660" t="e">
        <f>IF($AA12=0,AB12,0)</f>
        <v>#DIV/0!</v>
      </c>
      <c r="AD12" s="355" t="e">
        <f t="shared" ref="AD12:AD32" si="5">IF($AA12=0,$O12-($AA$33*($AC12/$AC$33)),$Y12)</f>
        <v>#DIV/0!</v>
      </c>
      <c r="AE12" s="355"/>
      <c r="AF12" s="355" t="e">
        <f>AD12*(1+$AG12)-AD12</f>
        <v>#DIV/0!</v>
      </c>
      <c r="AG12" s="42">
        <f>'PIM Model'!B10</f>
        <v>0</v>
      </c>
      <c r="AH12" s="510" t="e">
        <f t="shared" ref="AH12:AH32" si="6">L12*(1+AG12)</f>
        <v>#DIV/0!</v>
      </c>
      <c r="AI12" s="510" t="e">
        <f>IF(AF12=0,AH12,0)</f>
        <v>#DIV/0!</v>
      </c>
      <c r="AJ12">
        <v>3</v>
      </c>
      <c r="AK12" s="511" t="s">
        <v>99</v>
      </c>
      <c r="AL12" s="511" t="e">
        <f t="shared" ref="AL12:AL32" si="7">IF($AG12=0,$AD12-($AF$33*($AI12/$AI$33)),$AD12+$AF12)</f>
        <v>#DIV/0!</v>
      </c>
      <c r="AM12" s="511">
        <f t="shared" ref="AM12:AM32" si="8">IFERROR($AL12/AO12,0)</f>
        <v>0</v>
      </c>
      <c r="AN12" s="511">
        <f t="shared" ref="AN12:AN32" si="9">IFERROR($AL12/AP12,0)</f>
        <v>0</v>
      </c>
      <c r="AO12" s="512">
        <f t="shared" ref="AO12:AO32" si="10">S12</f>
        <v>29.444267788744497</v>
      </c>
      <c r="AP12" s="512">
        <f t="shared" ref="AP12:AP32" si="11">T12</f>
        <v>1.2233220733848114</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43"/>
      <c r="AW12" s="56" t="s">
        <v>99</v>
      </c>
      <c r="AX12" s="544">
        <v>6992</v>
      </c>
      <c r="AY12" s="544">
        <v>18976</v>
      </c>
      <c r="AZ12" s="544">
        <v>35942</v>
      </c>
      <c r="BA12" s="544">
        <v>79246</v>
      </c>
      <c r="BC12" s="2"/>
      <c r="BD12" s="56" t="s">
        <v>99</v>
      </c>
      <c r="BE12" s="544">
        <v>13830</v>
      </c>
      <c r="BF12" s="544">
        <v>40121</v>
      </c>
      <c r="BG12" s="544">
        <v>106847</v>
      </c>
      <c r="BH12" s="544">
        <v>246211</v>
      </c>
    </row>
    <row r="13" spans="1:70" x14ac:dyDescent="0.25">
      <c r="A13" t="e">
        <f t="shared" ref="A13:A32" si="13">D13/$D$33</f>
        <v>#DIV/0!</v>
      </c>
      <c r="B13">
        <v>4</v>
      </c>
      <c r="C13" t="s">
        <v>529</v>
      </c>
      <c r="D13" s="25">
        <f>'Multi-Customer'!C13</f>
        <v>0</v>
      </c>
      <c r="E13">
        <f>'Multi-Customer'!D13</f>
        <v>0</v>
      </c>
      <c r="F13">
        <f>'Multi-Customer'!E13</f>
        <v>0</v>
      </c>
      <c r="G13" s="355">
        <f>'Multi-Customer'!F13</f>
        <v>0</v>
      </c>
      <c r="H13" s="19">
        <f t="shared" ref="H13:H32" si="14">IFERROR(D13/E13,0)</f>
        <v>0</v>
      </c>
      <c r="I13" s="19">
        <f t="shared" ref="I13:I32" si="15">IFERROR(D13/G13,0)</f>
        <v>0</v>
      </c>
      <c r="J13" s="355"/>
      <c r="K13" s="355" t="str">
        <f>'PIM Model'!E11</f>
        <v>INCLUDE</v>
      </c>
      <c r="L13" s="355" t="e">
        <f t="shared" si="0"/>
        <v>#DIV/0!</v>
      </c>
      <c r="M13">
        <v>4</v>
      </c>
      <c r="N13" s="355" t="s">
        <v>529</v>
      </c>
      <c r="O13" s="355" t="e">
        <f t="shared" si="1"/>
        <v>#DIV/0!</v>
      </c>
      <c r="P13" s="355" t="e">
        <f t="shared" si="2"/>
        <v>#DIV/0!</v>
      </c>
      <c r="Q13" s="355" t="e">
        <f t="shared" si="3"/>
        <v>#DIV/0!</v>
      </c>
      <c r="R13" s="355" t="e">
        <f t="shared" si="4"/>
        <v>#DIV/0!</v>
      </c>
      <c r="S13" s="355">
        <f>IFERROR($O13/P13,VLOOKUP($W$10,'Basket Composition'!$A$34:$W$62,'PIM Ranges'!$M13,FALSE))</f>
        <v>146.33698845030094</v>
      </c>
      <c r="T13" s="19">
        <f>IFERROR(O13/R13,VLOOKUP($W$10,'Basket Composition'!$A$65:$W$92,'PIM Ranges'!$M13,FALSE))</f>
        <v>5.7994021851904813</v>
      </c>
      <c r="U13" s="19"/>
      <c r="V13" s="2">
        <f>'PIM Model'!$C$11</f>
        <v>0</v>
      </c>
      <c r="W13" s="659">
        <f>VLOOKUP($W$10,'Basket Composition'!$A$3:$W$30,'PIM Ranges'!$AJ13)</f>
        <v>3.6499999999999998E-2</v>
      </c>
      <c r="X13" s="19" t="e">
        <f t="shared" ref="X13:X32" si="16">$W13*$Z$33</f>
        <v>#DIV/0!</v>
      </c>
      <c r="Y13" s="355" t="e">
        <f t="shared" ref="Y13:Y32" si="17">IF(V13="AVG",X13,O13)</f>
        <v>#DIV/0!</v>
      </c>
      <c r="Z13" s="355" t="e">
        <f t="shared" ref="Z13:Z32" si="18">IF($V13="AVG",0,$Y13)</f>
        <v>#DIV/0!</v>
      </c>
      <c r="AA13" s="355">
        <f t="shared" ref="AA13:AA32" si="19">IF($V13="AVG",IF($O13=0,$Y13,$Y13-$O13),0)</f>
        <v>0</v>
      </c>
      <c r="AB13" s="660" t="e">
        <f t="shared" ref="AB13:AB32" si="20">$Y13/$Y$33</f>
        <v>#DIV/0!</v>
      </c>
      <c r="AC13" s="660" t="e">
        <f t="shared" ref="AC13:AC32" si="21">IF($AA13=0,AB13,0)</f>
        <v>#DIV/0!</v>
      </c>
      <c r="AD13" s="355" t="e">
        <f t="shared" si="5"/>
        <v>#DIV/0!</v>
      </c>
      <c r="AE13" s="355"/>
      <c r="AF13" s="355" t="e">
        <f t="shared" ref="AF13:AF32" si="22">AD13*(1+$AG13)-AD13</f>
        <v>#DIV/0!</v>
      </c>
      <c r="AG13" s="42">
        <f>'PIM Model'!B11</f>
        <v>0</v>
      </c>
      <c r="AH13" s="510" t="e">
        <f t="shared" si="6"/>
        <v>#DIV/0!</v>
      </c>
      <c r="AI13" s="510" t="e">
        <f t="shared" ref="AI13:AI32" si="23">IF(AF13=0,AH13,0)</f>
        <v>#DIV/0!</v>
      </c>
      <c r="AJ13">
        <v>4</v>
      </c>
      <c r="AK13" s="511" t="s">
        <v>529</v>
      </c>
      <c r="AL13" s="511" t="e">
        <f t="shared" si="7"/>
        <v>#DIV/0!</v>
      </c>
      <c r="AM13" s="511">
        <f t="shared" si="8"/>
        <v>0</v>
      </c>
      <c r="AN13" s="511">
        <f t="shared" si="9"/>
        <v>0</v>
      </c>
      <c r="AO13" s="512">
        <f>S13</f>
        <v>146.33698845030094</v>
      </c>
      <c r="AP13" s="512">
        <f t="shared" si="11"/>
        <v>5.7994021851904813</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43"/>
      <c r="AW13" s="60" t="s">
        <v>529</v>
      </c>
      <c r="AX13" s="544">
        <v>9726</v>
      </c>
      <c r="AY13" s="544">
        <v>36145</v>
      </c>
      <c r="AZ13" s="544">
        <v>112255</v>
      </c>
      <c r="BA13" s="544">
        <v>235495</v>
      </c>
      <c r="BD13" s="60" t="s">
        <v>529</v>
      </c>
      <c r="BE13" s="544">
        <v>10238</v>
      </c>
      <c r="BF13" s="544">
        <v>41074</v>
      </c>
      <c r="BG13" s="544">
        <v>127563</v>
      </c>
      <c r="BH13" s="544">
        <v>301917</v>
      </c>
    </row>
    <row r="14" spans="1:70" x14ac:dyDescent="0.25">
      <c r="A14" t="e">
        <f t="shared" si="13"/>
        <v>#DIV/0!</v>
      </c>
      <c r="B14">
        <v>5</v>
      </c>
      <c r="C14" t="s">
        <v>530</v>
      </c>
      <c r="D14" s="25">
        <f>'Multi-Customer'!C14</f>
        <v>0</v>
      </c>
      <c r="E14">
        <f>'Multi-Customer'!D14</f>
        <v>0</v>
      </c>
      <c r="F14">
        <f>'Multi-Customer'!E14</f>
        <v>0</v>
      </c>
      <c r="G14" s="355">
        <f>'Multi-Customer'!F14</f>
        <v>0</v>
      </c>
      <c r="H14" s="19">
        <f t="shared" si="14"/>
        <v>0</v>
      </c>
      <c r="I14" s="19">
        <f t="shared" si="15"/>
        <v>0</v>
      </c>
      <c r="J14" s="355"/>
      <c r="K14" s="355" t="str">
        <f>'PIM Model'!E12</f>
        <v>INCLUDE</v>
      </c>
      <c r="L14" s="355" t="e">
        <f t="shared" si="0"/>
        <v>#DIV/0!</v>
      </c>
      <c r="M14">
        <v>5</v>
      </c>
      <c r="N14" s="355" t="s">
        <v>530</v>
      </c>
      <c r="O14" s="355" t="e">
        <f t="shared" si="1"/>
        <v>#DIV/0!</v>
      </c>
      <c r="P14" s="355" t="e">
        <f t="shared" si="2"/>
        <v>#DIV/0!</v>
      </c>
      <c r="Q14" s="355" t="e">
        <f t="shared" si="3"/>
        <v>#DIV/0!</v>
      </c>
      <c r="R14" s="355" t="e">
        <f t="shared" si="4"/>
        <v>#DIV/0!</v>
      </c>
      <c r="S14" s="355">
        <f>IFERROR($O14/P14,VLOOKUP($W$10,'Basket Composition'!$A$34:$W$62,'PIM Ranges'!$M14,FALSE))</f>
        <v>58.168459152386369</v>
      </c>
      <c r="T14" s="19">
        <f>IFERROR(O14/R14,VLOOKUP($W$10,'Basket Composition'!$A$65:$W$92,'PIM Ranges'!$M14,FALSE))</f>
        <v>2.963710449233258</v>
      </c>
      <c r="U14" s="19"/>
      <c r="V14" s="2">
        <f>'PIM Model'!$C$12</f>
        <v>0</v>
      </c>
      <c r="W14" s="659">
        <f>VLOOKUP($W$10,'Basket Composition'!$A$3:$W$30,'PIM Ranges'!$AJ14)</f>
        <v>0.08</v>
      </c>
      <c r="X14" s="19" t="e">
        <f t="shared" si="16"/>
        <v>#DIV/0!</v>
      </c>
      <c r="Y14" s="355" t="e">
        <f t="shared" si="17"/>
        <v>#DIV/0!</v>
      </c>
      <c r="Z14" s="355" t="e">
        <f t="shared" si="18"/>
        <v>#DIV/0!</v>
      </c>
      <c r="AA14" s="355">
        <f t="shared" si="19"/>
        <v>0</v>
      </c>
      <c r="AB14" s="660" t="e">
        <f t="shared" si="20"/>
        <v>#DIV/0!</v>
      </c>
      <c r="AC14" s="660" t="e">
        <f t="shared" si="21"/>
        <v>#DIV/0!</v>
      </c>
      <c r="AD14" s="355" t="e">
        <f t="shared" si="5"/>
        <v>#DIV/0!</v>
      </c>
      <c r="AE14" s="355"/>
      <c r="AF14" s="355" t="e">
        <f t="shared" si="22"/>
        <v>#DIV/0!</v>
      </c>
      <c r="AG14" s="42">
        <f>'PIM Model'!B12</f>
        <v>0</v>
      </c>
      <c r="AH14" s="510" t="e">
        <f t="shared" si="6"/>
        <v>#DIV/0!</v>
      </c>
      <c r="AI14" s="510" t="e">
        <f t="shared" si="23"/>
        <v>#DIV/0!</v>
      </c>
      <c r="AJ14">
        <v>5</v>
      </c>
      <c r="AK14" s="511" t="s">
        <v>530</v>
      </c>
      <c r="AL14" s="511" t="e">
        <f t="shared" si="7"/>
        <v>#DIV/0!</v>
      </c>
      <c r="AM14" s="511">
        <f t="shared" si="8"/>
        <v>0</v>
      </c>
      <c r="AN14" s="511">
        <f t="shared" si="9"/>
        <v>0</v>
      </c>
      <c r="AO14" s="512">
        <f t="shared" si="10"/>
        <v>58.168459152386369</v>
      </c>
      <c r="AP14" s="512">
        <f t="shared" si="11"/>
        <v>2.963710449233258</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43"/>
      <c r="AW14" s="60" t="s">
        <v>530</v>
      </c>
      <c r="AX14" s="544">
        <v>7627</v>
      </c>
      <c r="AY14" s="544">
        <v>25048</v>
      </c>
      <c r="AZ14" s="544">
        <v>65918</v>
      </c>
      <c r="BA14" s="544">
        <v>149490</v>
      </c>
      <c r="BD14" s="60" t="s">
        <v>530</v>
      </c>
      <c r="BE14" s="544">
        <v>8381</v>
      </c>
      <c r="BF14" s="544">
        <v>27692</v>
      </c>
      <c r="BG14" s="544">
        <v>73242</v>
      </c>
      <c r="BH14" s="544">
        <v>169875</v>
      </c>
    </row>
    <row r="15" spans="1:70" x14ac:dyDescent="0.25">
      <c r="A15" t="e">
        <f t="shared" si="13"/>
        <v>#DIV/0!</v>
      </c>
      <c r="B15">
        <v>6</v>
      </c>
      <c r="C15" t="s">
        <v>102</v>
      </c>
      <c r="D15" s="25">
        <f>'Multi-Customer'!C15</f>
        <v>0</v>
      </c>
      <c r="E15">
        <f>'Multi-Customer'!D15</f>
        <v>0</v>
      </c>
      <c r="F15">
        <f>'Multi-Customer'!E15</f>
        <v>0</v>
      </c>
      <c r="G15" s="355">
        <f>'Multi-Customer'!F15</f>
        <v>0</v>
      </c>
      <c r="H15" s="19">
        <f t="shared" si="14"/>
        <v>0</v>
      </c>
      <c r="I15" s="19">
        <f t="shared" si="15"/>
        <v>0</v>
      </c>
      <c r="J15" s="355"/>
      <c r="K15" s="355" t="str">
        <f>'PIM Model'!E13</f>
        <v>INCLUDE</v>
      </c>
      <c r="L15" s="355" t="e">
        <f t="shared" si="0"/>
        <v>#DIV/0!</v>
      </c>
      <c r="M15">
        <v>6</v>
      </c>
      <c r="N15" s="355" t="s">
        <v>102</v>
      </c>
      <c r="O15" s="355" t="e">
        <f t="shared" si="1"/>
        <v>#DIV/0!</v>
      </c>
      <c r="P15" s="355" t="e">
        <f t="shared" si="2"/>
        <v>#DIV/0!</v>
      </c>
      <c r="Q15" s="355" t="e">
        <f t="shared" si="3"/>
        <v>#DIV/0!</v>
      </c>
      <c r="R15" s="355" t="e">
        <f t="shared" si="4"/>
        <v>#DIV/0!</v>
      </c>
      <c r="S15" s="355">
        <f>IFERROR($O15/P15,VLOOKUP($W$10,'Basket Composition'!$A$34:$W$62,'PIM Ranges'!$M15,FALSE))</f>
        <v>27.482278379307612</v>
      </c>
      <c r="T15" s="19">
        <f>IFERROR(O15/R15,VLOOKUP($W$10,'Basket Composition'!$A$65:$W$92,'PIM Ranges'!$M15,FALSE))</f>
        <v>0.9944838741260712</v>
      </c>
      <c r="U15" s="19"/>
      <c r="V15" s="2">
        <f>'PIM Model'!$C$13</f>
        <v>0</v>
      </c>
      <c r="W15" s="659">
        <f>VLOOKUP($W$10,'Basket Composition'!$A$3:$W$30,'PIM Ranges'!$AJ15)</f>
        <v>3.1600000000000003E-2</v>
      </c>
      <c r="X15" s="19" t="e">
        <f t="shared" si="16"/>
        <v>#DIV/0!</v>
      </c>
      <c r="Y15" s="355" t="e">
        <f t="shared" si="17"/>
        <v>#DIV/0!</v>
      </c>
      <c r="Z15" s="355" t="e">
        <f t="shared" si="18"/>
        <v>#DIV/0!</v>
      </c>
      <c r="AA15" s="355">
        <f t="shared" si="19"/>
        <v>0</v>
      </c>
      <c r="AB15" s="660" t="e">
        <f t="shared" si="20"/>
        <v>#DIV/0!</v>
      </c>
      <c r="AC15" s="660" t="e">
        <f t="shared" si="21"/>
        <v>#DIV/0!</v>
      </c>
      <c r="AD15" s="355" t="e">
        <f t="shared" si="5"/>
        <v>#DIV/0!</v>
      </c>
      <c r="AE15" s="355"/>
      <c r="AF15" s="355" t="e">
        <f t="shared" si="22"/>
        <v>#DIV/0!</v>
      </c>
      <c r="AG15" s="42">
        <f>'PIM Model'!B13</f>
        <v>0</v>
      </c>
      <c r="AH15" s="510" t="e">
        <f t="shared" si="6"/>
        <v>#DIV/0!</v>
      </c>
      <c r="AI15" s="510" t="e">
        <f t="shared" si="23"/>
        <v>#DIV/0!</v>
      </c>
      <c r="AJ15">
        <v>6</v>
      </c>
      <c r="AK15" s="511" t="s">
        <v>102</v>
      </c>
      <c r="AL15" s="511" t="e">
        <f t="shared" si="7"/>
        <v>#DIV/0!</v>
      </c>
      <c r="AM15" s="511">
        <f t="shared" si="8"/>
        <v>0</v>
      </c>
      <c r="AN15" s="511">
        <f t="shared" si="9"/>
        <v>0</v>
      </c>
      <c r="AO15" s="512">
        <f t="shared" si="10"/>
        <v>27.482278379307612</v>
      </c>
      <c r="AP15" s="512">
        <f t="shared" si="11"/>
        <v>0.9944838741260712</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43"/>
      <c r="AW15" s="56" t="s">
        <v>102</v>
      </c>
      <c r="AX15" s="544">
        <v>2926</v>
      </c>
      <c r="AY15" s="544">
        <v>7075</v>
      </c>
      <c r="AZ15" s="544">
        <v>14145</v>
      </c>
      <c r="BA15" s="544">
        <v>30916</v>
      </c>
      <c r="BD15" s="56" t="s">
        <v>102</v>
      </c>
      <c r="BE15" s="544">
        <v>5828</v>
      </c>
      <c r="BF15" s="544">
        <v>18598</v>
      </c>
      <c r="BG15" s="544">
        <v>52273</v>
      </c>
      <c r="BH15" s="544">
        <v>121106</v>
      </c>
    </row>
    <row r="16" spans="1:70" x14ac:dyDescent="0.25">
      <c r="A16" t="e">
        <f t="shared" si="13"/>
        <v>#DIV/0!</v>
      </c>
      <c r="B16">
        <v>7</v>
      </c>
      <c r="C16" t="s">
        <v>100</v>
      </c>
      <c r="D16" s="25">
        <f>'Multi-Customer'!C16</f>
        <v>0</v>
      </c>
      <c r="E16">
        <f>'Multi-Customer'!D16</f>
        <v>0</v>
      </c>
      <c r="F16">
        <f>'Multi-Customer'!E16</f>
        <v>0</v>
      </c>
      <c r="G16" s="355">
        <f>'Multi-Customer'!F16</f>
        <v>0</v>
      </c>
      <c r="H16" s="19">
        <f t="shared" si="14"/>
        <v>0</v>
      </c>
      <c r="I16" s="19">
        <f t="shared" si="15"/>
        <v>0</v>
      </c>
      <c r="J16" s="355"/>
      <c r="K16" s="355" t="str">
        <f>'PIM Model'!E14</f>
        <v>INCLUDE</v>
      </c>
      <c r="L16" s="355" t="e">
        <f t="shared" si="0"/>
        <v>#DIV/0!</v>
      </c>
      <c r="M16">
        <v>7</v>
      </c>
      <c r="N16" s="355" t="s">
        <v>100</v>
      </c>
      <c r="O16" s="355" t="e">
        <f t="shared" si="1"/>
        <v>#DIV/0!</v>
      </c>
      <c r="P16" s="355" t="e">
        <f t="shared" si="2"/>
        <v>#DIV/0!</v>
      </c>
      <c r="Q16" s="355" t="e">
        <f t="shared" si="3"/>
        <v>#DIV/0!</v>
      </c>
      <c r="R16" s="355" t="e">
        <f t="shared" si="4"/>
        <v>#DIV/0!</v>
      </c>
      <c r="S16" s="355">
        <f>IFERROR($O16/P16,VLOOKUP($W$10,'Basket Composition'!$A$34:$W$62,'PIM Ranges'!$M16,FALSE))</f>
        <v>48.296778113414874</v>
      </c>
      <c r="T16" s="19">
        <f>IFERROR(O16/R16,VLOOKUP($W$10,'Basket Composition'!$A$65:$W$92,'PIM Ranges'!$M16,FALSE))</f>
        <v>2.8964940253859632</v>
      </c>
      <c r="U16" s="19"/>
      <c r="V16" s="2">
        <f>'PIM Model'!$C$14</f>
        <v>0</v>
      </c>
      <c r="W16" s="659">
        <f>VLOOKUP($W$10,'Basket Composition'!$A$3:$W$30,'PIM Ranges'!$AJ16)</f>
        <v>6.1499999999999999E-2</v>
      </c>
      <c r="X16" s="19" t="e">
        <f t="shared" si="16"/>
        <v>#DIV/0!</v>
      </c>
      <c r="Y16" s="355" t="e">
        <f t="shared" si="17"/>
        <v>#DIV/0!</v>
      </c>
      <c r="Z16" s="355" t="e">
        <f t="shared" si="18"/>
        <v>#DIV/0!</v>
      </c>
      <c r="AA16" s="355">
        <f t="shared" si="19"/>
        <v>0</v>
      </c>
      <c r="AB16" s="660" t="e">
        <f t="shared" si="20"/>
        <v>#DIV/0!</v>
      </c>
      <c r="AC16" s="660" t="e">
        <f t="shared" si="21"/>
        <v>#DIV/0!</v>
      </c>
      <c r="AD16" s="355" t="e">
        <f t="shared" si="5"/>
        <v>#DIV/0!</v>
      </c>
      <c r="AE16" s="355"/>
      <c r="AF16" s="355" t="e">
        <f t="shared" si="22"/>
        <v>#DIV/0!</v>
      </c>
      <c r="AG16" s="42">
        <f>'PIM Model'!B14</f>
        <v>0</v>
      </c>
      <c r="AH16" s="510" t="e">
        <f t="shared" si="6"/>
        <v>#DIV/0!</v>
      </c>
      <c r="AI16" s="510" t="e">
        <f t="shared" si="23"/>
        <v>#DIV/0!</v>
      </c>
      <c r="AJ16">
        <v>7</v>
      </c>
      <c r="AK16" s="511" t="s">
        <v>100</v>
      </c>
      <c r="AL16" s="511" t="e">
        <f t="shared" si="7"/>
        <v>#DIV/0!</v>
      </c>
      <c r="AM16" s="511">
        <f t="shared" si="8"/>
        <v>0</v>
      </c>
      <c r="AN16" s="511">
        <f t="shared" si="9"/>
        <v>0</v>
      </c>
      <c r="AO16" s="512">
        <f t="shared" si="10"/>
        <v>48.296778113414874</v>
      </c>
      <c r="AP16" s="512">
        <f t="shared" si="11"/>
        <v>2.8964940253859632</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43"/>
      <c r="AW16" s="56" t="s">
        <v>100</v>
      </c>
      <c r="AX16" s="544">
        <v>9661</v>
      </c>
      <c r="AY16" s="544">
        <v>18992</v>
      </c>
      <c r="AZ16" s="544">
        <v>36524</v>
      </c>
      <c r="BA16" s="544">
        <v>76773</v>
      </c>
      <c r="BD16" s="56" t="s">
        <v>100</v>
      </c>
      <c r="BE16" s="544">
        <v>14922</v>
      </c>
      <c r="BF16" s="544">
        <v>36880</v>
      </c>
      <c r="BG16" s="544">
        <v>97878</v>
      </c>
      <c r="BH16" s="544">
        <v>221341</v>
      </c>
    </row>
    <row r="17" spans="1:60" x14ac:dyDescent="0.25">
      <c r="A17" t="e">
        <f t="shared" si="13"/>
        <v>#DIV/0!</v>
      </c>
      <c r="B17">
        <v>8</v>
      </c>
      <c r="C17" t="s">
        <v>104</v>
      </c>
      <c r="D17" s="25">
        <f>'Multi-Customer'!C17</f>
        <v>0</v>
      </c>
      <c r="E17">
        <f>'Multi-Customer'!D17</f>
        <v>0</v>
      </c>
      <c r="F17">
        <f>'Multi-Customer'!E17</f>
        <v>0</v>
      </c>
      <c r="G17" s="355">
        <f>'Multi-Customer'!F17</f>
        <v>0</v>
      </c>
      <c r="H17" s="19">
        <f t="shared" si="14"/>
        <v>0</v>
      </c>
      <c r="I17" s="19">
        <f t="shared" si="15"/>
        <v>0</v>
      </c>
      <c r="J17" s="355"/>
      <c r="K17" s="355" t="str">
        <f>'PIM Model'!E15</f>
        <v>INCLUDE</v>
      </c>
      <c r="L17" s="355" t="e">
        <f t="shared" si="0"/>
        <v>#DIV/0!</v>
      </c>
      <c r="M17">
        <v>8</v>
      </c>
      <c r="N17" s="355" t="s">
        <v>104</v>
      </c>
      <c r="O17" s="355" t="e">
        <f t="shared" si="1"/>
        <v>#DIV/0!</v>
      </c>
      <c r="P17" s="355" t="e">
        <f t="shared" si="2"/>
        <v>#DIV/0!</v>
      </c>
      <c r="Q17" s="355" t="e">
        <f t="shared" si="3"/>
        <v>#DIV/0!</v>
      </c>
      <c r="R17" s="355" t="e">
        <f t="shared" si="4"/>
        <v>#DIV/0!</v>
      </c>
      <c r="S17" s="355">
        <f>IFERROR($O17/P17,VLOOKUP($W$10,'Basket Composition'!$A$34:$W$62,'PIM Ranges'!$M17,FALSE))</f>
        <v>52.756914724105769</v>
      </c>
      <c r="T17" s="19">
        <f>IFERROR(O17/R17,VLOOKUP($W$10,'Basket Composition'!$A$65:$W$92,'PIM Ranges'!$M17,FALSE))</f>
        <v>2.0540328215042263</v>
      </c>
      <c r="U17" s="19"/>
      <c r="V17" s="2">
        <f>'PIM Model'!$C$15</f>
        <v>0</v>
      </c>
      <c r="W17" s="659">
        <f>VLOOKUP($W$10,'Basket Composition'!$A$3:$W$30,'PIM Ranges'!$AJ17)</f>
        <v>2.1399999999999999E-2</v>
      </c>
      <c r="X17" s="19" t="e">
        <f t="shared" si="16"/>
        <v>#DIV/0!</v>
      </c>
      <c r="Y17" s="355" t="e">
        <f t="shared" si="17"/>
        <v>#DIV/0!</v>
      </c>
      <c r="Z17" s="355" t="e">
        <f t="shared" si="18"/>
        <v>#DIV/0!</v>
      </c>
      <c r="AA17" s="355">
        <f t="shared" si="19"/>
        <v>0</v>
      </c>
      <c r="AB17" s="660" t="e">
        <f t="shared" si="20"/>
        <v>#DIV/0!</v>
      </c>
      <c r="AC17" s="660" t="e">
        <f t="shared" si="21"/>
        <v>#DIV/0!</v>
      </c>
      <c r="AD17" s="355" t="e">
        <f t="shared" si="5"/>
        <v>#DIV/0!</v>
      </c>
      <c r="AE17" s="355"/>
      <c r="AF17" s="355" t="e">
        <f t="shared" si="22"/>
        <v>#DIV/0!</v>
      </c>
      <c r="AG17" s="42">
        <f>'PIM Model'!B15</f>
        <v>0</v>
      </c>
      <c r="AH17" s="510" t="e">
        <f t="shared" si="6"/>
        <v>#DIV/0!</v>
      </c>
      <c r="AI17" s="510" t="e">
        <f t="shared" si="23"/>
        <v>#DIV/0!</v>
      </c>
      <c r="AJ17">
        <v>8</v>
      </c>
      <c r="AK17" s="511" t="s">
        <v>104</v>
      </c>
      <c r="AL17" s="511" t="e">
        <f t="shared" si="7"/>
        <v>#DIV/0!</v>
      </c>
      <c r="AM17" s="511">
        <f t="shared" si="8"/>
        <v>0</v>
      </c>
      <c r="AN17" s="511">
        <f t="shared" si="9"/>
        <v>0</v>
      </c>
      <c r="AO17" s="512">
        <f t="shared" si="10"/>
        <v>52.756914724105769</v>
      </c>
      <c r="AP17" s="512">
        <f t="shared" si="11"/>
        <v>2.0540328215042263</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43"/>
      <c r="AW17" s="56" t="s">
        <v>104</v>
      </c>
      <c r="AX17" s="544">
        <v>1374</v>
      </c>
      <c r="AY17" s="544">
        <v>4152</v>
      </c>
      <c r="AZ17" s="544">
        <v>8859</v>
      </c>
      <c r="BA17" s="544">
        <v>20083</v>
      </c>
      <c r="BD17" s="56" t="s">
        <v>104</v>
      </c>
      <c r="BE17" s="544">
        <v>2515</v>
      </c>
      <c r="BF17" s="544">
        <v>9191</v>
      </c>
      <c r="BG17" s="544">
        <v>28229</v>
      </c>
      <c r="BH17" s="544">
        <v>66332</v>
      </c>
    </row>
    <row r="18" spans="1:60" x14ac:dyDescent="0.25">
      <c r="A18" t="e">
        <f t="shared" si="13"/>
        <v>#DIV/0!</v>
      </c>
      <c r="B18">
        <v>9</v>
      </c>
      <c r="C18" t="s">
        <v>98</v>
      </c>
      <c r="D18" s="25">
        <f>'Multi-Customer'!C18</f>
        <v>0</v>
      </c>
      <c r="E18">
        <f>'Multi-Customer'!D18</f>
        <v>0</v>
      </c>
      <c r="F18">
        <f>'Multi-Customer'!E18</f>
        <v>0</v>
      </c>
      <c r="G18" s="355">
        <f>'Multi-Customer'!F18</f>
        <v>0</v>
      </c>
      <c r="H18" s="19">
        <f t="shared" si="14"/>
        <v>0</v>
      </c>
      <c r="I18" s="19">
        <f t="shared" si="15"/>
        <v>0</v>
      </c>
      <c r="J18" s="355"/>
      <c r="K18" s="355" t="str">
        <f>'PIM Model'!E16</f>
        <v>INCLUDE</v>
      </c>
      <c r="L18" s="355" t="e">
        <f t="shared" si="0"/>
        <v>#DIV/0!</v>
      </c>
      <c r="M18">
        <v>9</v>
      </c>
      <c r="N18" s="355" t="s">
        <v>98</v>
      </c>
      <c r="O18" s="355" t="e">
        <f t="shared" si="1"/>
        <v>#DIV/0!</v>
      </c>
      <c r="P18" s="355" t="e">
        <f t="shared" si="2"/>
        <v>#DIV/0!</v>
      </c>
      <c r="Q18" s="355" t="e">
        <f t="shared" si="3"/>
        <v>#DIV/0!</v>
      </c>
      <c r="R18" s="355" t="e">
        <f t="shared" si="4"/>
        <v>#DIV/0!</v>
      </c>
      <c r="S18" s="355">
        <f>IFERROR($O18/P18,VLOOKUP($W$10,'Basket Composition'!$A$34:$W$62,'PIM Ranges'!$M18,FALSE))</f>
        <v>31.155029763574035</v>
      </c>
      <c r="T18" s="19">
        <f>IFERROR(O18/R18,VLOOKUP($W$10,'Basket Composition'!$A$65:$W$92,'PIM Ranges'!$M18,FALSE))</f>
        <v>1.2404461672684504</v>
      </c>
      <c r="U18" s="19"/>
      <c r="V18" s="2">
        <f>'PIM Model'!$C$16</f>
        <v>0</v>
      </c>
      <c r="W18" s="659">
        <f>VLOOKUP($W$10,'Basket Composition'!$A$3:$W$30,'PIM Ranges'!$AJ18)</f>
        <v>3.8899999999999997E-2</v>
      </c>
      <c r="X18" s="19" t="e">
        <f t="shared" si="16"/>
        <v>#DIV/0!</v>
      </c>
      <c r="Y18" s="355" t="e">
        <f t="shared" si="17"/>
        <v>#DIV/0!</v>
      </c>
      <c r="Z18" s="355" t="e">
        <f t="shared" si="18"/>
        <v>#DIV/0!</v>
      </c>
      <c r="AA18" s="355">
        <f t="shared" si="19"/>
        <v>0</v>
      </c>
      <c r="AB18" s="660" t="e">
        <f t="shared" si="20"/>
        <v>#DIV/0!</v>
      </c>
      <c r="AC18" s="660" t="e">
        <f t="shared" si="21"/>
        <v>#DIV/0!</v>
      </c>
      <c r="AD18" s="355" t="e">
        <f t="shared" si="5"/>
        <v>#DIV/0!</v>
      </c>
      <c r="AE18" s="355"/>
      <c r="AF18" s="355" t="e">
        <f t="shared" si="22"/>
        <v>#DIV/0!</v>
      </c>
      <c r="AG18" s="42">
        <f>'PIM Model'!B16</f>
        <v>0</v>
      </c>
      <c r="AH18" s="510" t="e">
        <f t="shared" si="6"/>
        <v>#DIV/0!</v>
      </c>
      <c r="AI18" s="510" t="e">
        <f t="shared" si="23"/>
        <v>#DIV/0!</v>
      </c>
      <c r="AJ18">
        <v>9</v>
      </c>
      <c r="AK18" s="511" t="s">
        <v>98</v>
      </c>
      <c r="AL18" s="511" t="e">
        <f t="shared" si="7"/>
        <v>#DIV/0!</v>
      </c>
      <c r="AM18" s="511">
        <f t="shared" si="8"/>
        <v>0</v>
      </c>
      <c r="AN18" s="511">
        <f t="shared" si="9"/>
        <v>0</v>
      </c>
      <c r="AO18" s="512">
        <f t="shared" si="10"/>
        <v>31.155029763574035</v>
      </c>
      <c r="AP18" s="512">
        <f t="shared" si="11"/>
        <v>1.2404461672684504</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43"/>
      <c r="AW18" s="56" t="s">
        <v>98</v>
      </c>
      <c r="AX18" s="544">
        <v>5735</v>
      </c>
      <c r="AY18" s="544">
        <v>12048</v>
      </c>
      <c r="AZ18" s="544">
        <v>22223</v>
      </c>
      <c r="BA18" s="544">
        <v>46885</v>
      </c>
      <c r="BD18" s="56" t="s">
        <v>98</v>
      </c>
      <c r="BE18" s="544">
        <v>11588</v>
      </c>
      <c r="BF18" s="544">
        <v>31399</v>
      </c>
      <c r="BG18" s="544">
        <v>78180</v>
      </c>
      <c r="BH18" s="544">
        <v>177577</v>
      </c>
    </row>
    <row r="19" spans="1:60" x14ac:dyDescent="0.25">
      <c r="A19" t="e">
        <f t="shared" si="13"/>
        <v>#DIV/0!</v>
      </c>
      <c r="B19">
        <v>10</v>
      </c>
      <c r="C19" t="s">
        <v>95</v>
      </c>
      <c r="D19" s="25">
        <f>'Multi-Customer'!C19</f>
        <v>0</v>
      </c>
      <c r="E19">
        <f>'Multi-Customer'!D19</f>
        <v>0</v>
      </c>
      <c r="F19">
        <f>'Multi-Customer'!E19</f>
        <v>0</v>
      </c>
      <c r="G19" s="355">
        <f>'Multi-Customer'!F19</f>
        <v>0</v>
      </c>
      <c r="H19" s="19">
        <f t="shared" si="14"/>
        <v>0</v>
      </c>
      <c r="I19" s="19">
        <f t="shared" si="15"/>
        <v>0</v>
      </c>
      <c r="J19" s="355"/>
      <c r="K19" s="355" t="str">
        <f>'PIM Model'!E17</f>
        <v>INCLUDE</v>
      </c>
      <c r="L19" s="355" t="e">
        <f t="shared" si="0"/>
        <v>#DIV/0!</v>
      </c>
      <c r="M19">
        <v>10</v>
      </c>
      <c r="N19" s="355" t="s">
        <v>95</v>
      </c>
      <c r="O19" s="355" t="e">
        <f t="shared" si="1"/>
        <v>#DIV/0!</v>
      </c>
      <c r="P19" s="355" t="e">
        <f t="shared" si="2"/>
        <v>#DIV/0!</v>
      </c>
      <c r="Q19" s="355" t="e">
        <f t="shared" si="3"/>
        <v>#DIV/0!</v>
      </c>
      <c r="R19" s="355" t="e">
        <f t="shared" si="4"/>
        <v>#DIV/0!</v>
      </c>
      <c r="S19" s="355">
        <f>IFERROR($O19/P19,VLOOKUP($W$10,'Basket Composition'!$A$34:$W$62,'PIM Ranges'!$M19,FALSE))</f>
        <v>35.422053469258316</v>
      </c>
      <c r="T19" s="19">
        <f>IFERROR(O19/R19,VLOOKUP($W$10,'Basket Composition'!$A$65:$W$92,'PIM Ranges'!$M19,FALSE))</f>
        <v>2.725036798587368</v>
      </c>
      <c r="U19" s="19"/>
      <c r="V19" s="2">
        <f>'PIM Model'!$C$17</f>
        <v>0</v>
      </c>
      <c r="W19" s="659">
        <f>VLOOKUP($W$10,'Basket Composition'!$A$3:$W$30,'PIM Ranges'!$AJ19)</f>
        <v>5.74E-2</v>
      </c>
      <c r="X19" s="19" t="e">
        <f t="shared" si="16"/>
        <v>#DIV/0!</v>
      </c>
      <c r="Y19" s="355" t="e">
        <f t="shared" si="17"/>
        <v>#DIV/0!</v>
      </c>
      <c r="Z19" s="355" t="e">
        <f t="shared" si="18"/>
        <v>#DIV/0!</v>
      </c>
      <c r="AA19" s="355">
        <f t="shared" si="19"/>
        <v>0</v>
      </c>
      <c r="AB19" s="660" t="e">
        <f t="shared" si="20"/>
        <v>#DIV/0!</v>
      </c>
      <c r="AC19" s="660" t="e">
        <f t="shared" si="21"/>
        <v>#DIV/0!</v>
      </c>
      <c r="AD19" s="355" t="e">
        <f t="shared" si="5"/>
        <v>#DIV/0!</v>
      </c>
      <c r="AE19" s="355"/>
      <c r="AF19" s="355" t="e">
        <f t="shared" si="22"/>
        <v>#DIV/0!</v>
      </c>
      <c r="AG19" s="42">
        <f>'PIM Model'!B17</f>
        <v>0</v>
      </c>
      <c r="AH19" s="510" t="e">
        <f t="shared" si="6"/>
        <v>#DIV/0!</v>
      </c>
      <c r="AI19" s="510" t="e">
        <f t="shared" si="23"/>
        <v>#DIV/0!</v>
      </c>
      <c r="AJ19">
        <v>10</v>
      </c>
      <c r="AK19" s="511" t="s">
        <v>95</v>
      </c>
      <c r="AL19" s="511" t="e">
        <f t="shared" si="7"/>
        <v>#DIV/0!</v>
      </c>
      <c r="AM19" s="511">
        <f t="shared" si="8"/>
        <v>0</v>
      </c>
      <c r="AN19" s="511">
        <f t="shared" si="9"/>
        <v>0</v>
      </c>
      <c r="AO19" s="512">
        <f t="shared" si="10"/>
        <v>35.422053469258316</v>
      </c>
      <c r="AP19" s="512">
        <f t="shared" si="11"/>
        <v>2.725036798587368</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43"/>
      <c r="AW19" s="56" t="s">
        <v>95</v>
      </c>
      <c r="AX19" s="544">
        <v>5783</v>
      </c>
      <c r="AY19" s="544">
        <v>15190</v>
      </c>
      <c r="AZ19" s="544">
        <v>28191</v>
      </c>
      <c r="BA19" s="544">
        <v>61587</v>
      </c>
      <c r="BD19" s="56" t="s">
        <v>95</v>
      </c>
      <c r="BE19" s="544">
        <v>11697</v>
      </c>
      <c r="BF19" s="544">
        <v>35019</v>
      </c>
      <c r="BG19" s="544">
        <v>103570</v>
      </c>
      <c r="BH19" s="544">
        <v>238698</v>
      </c>
    </row>
    <row r="20" spans="1:60" x14ac:dyDescent="0.25">
      <c r="A20" t="e">
        <f t="shared" si="13"/>
        <v>#DIV/0!</v>
      </c>
      <c r="B20">
        <v>11</v>
      </c>
      <c r="C20" t="s">
        <v>96</v>
      </c>
      <c r="D20" s="25">
        <f>'Multi-Customer'!C20</f>
        <v>0</v>
      </c>
      <c r="E20">
        <f>'Multi-Customer'!D20</f>
        <v>0</v>
      </c>
      <c r="F20">
        <f>'Multi-Customer'!E20</f>
        <v>0</v>
      </c>
      <c r="G20" s="355">
        <f>'Multi-Customer'!F20</f>
        <v>0</v>
      </c>
      <c r="H20" s="19">
        <f t="shared" si="14"/>
        <v>0</v>
      </c>
      <c r="I20" s="19">
        <f t="shared" si="15"/>
        <v>0</v>
      </c>
      <c r="J20" s="355"/>
      <c r="K20" s="355" t="str">
        <f>'PIM Model'!E18</f>
        <v>INCLUDE</v>
      </c>
      <c r="L20" s="355" t="e">
        <f t="shared" si="0"/>
        <v>#DIV/0!</v>
      </c>
      <c r="M20">
        <v>11</v>
      </c>
      <c r="N20" s="355" t="s">
        <v>96</v>
      </c>
      <c r="O20" s="355" t="e">
        <f t="shared" si="1"/>
        <v>#DIV/0!</v>
      </c>
      <c r="P20" s="355" t="e">
        <f t="shared" si="2"/>
        <v>#DIV/0!</v>
      </c>
      <c r="Q20" s="355" t="e">
        <f t="shared" si="3"/>
        <v>#DIV/0!</v>
      </c>
      <c r="R20" s="355" t="e">
        <f t="shared" si="4"/>
        <v>#DIV/0!</v>
      </c>
      <c r="S20" s="355">
        <f>IFERROR($O20/P20,VLOOKUP($W$10,'Basket Composition'!$A$34:$W$62,'PIM Ranges'!$M20,FALSE))</f>
        <v>36.021242068094658</v>
      </c>
      <c r="T20" s="19">
        <f>IFERROR(O20/R20,VLOOKUP($W$10,'Basket Composition'!$A$65:$W$92,'PIM Ranges'!$M20,FALSE))</f>
        <v>6.3330094511885084</v>
      </c>
      <c r="U20" s="19"/>
      <c r="V20" s="2">
        <f>'PIM Model'!$C$18</f>
        <v>0</v>
      </c>
      <c r="W20" s="659">
        <f>VLOOKUP($W$10,'Basket Composition'!$A$3:$W$30,'PIM Ranges'!$AJ20)</f>
        <v>2.1499999999999998E-2</v>
      </c>
      <c r="X20" s="19" t="e">
        <f t="shared" si="16"/>
        <v>#DIV/0!</v>
      </c>
      <c r="Y20" s="355" t="e">
        <f t="shared" si="17"/>
        <v>#DIV/0!</v>
      </c>
      <c r="Z20" s="355" t="e">
        <f t="shared" si="18"/>
        <v>#DIV/0!</v>
      </c>
      <c r="AA20" s="355">
        <f t="shared" si="19"/>
        <v>0</v>
      </c>
      <c r="AB20" s="660" t="e">
        <f t="shared" si="20"/>
        <v>#DIV/0!</v>
      </c>
      <c r="AC20" s="660" t="e">
        <f t="shared" si="21"/>
        <v>#DIV/0!</v>
      </c>
      <c r="AD20" s="355" t="e">
        <f t="shared" si="5"/>
        <v>#DIV/0!</v>
      </c>
      <c r="AE20" s="355"/>
      <c r="AF20" s="355" t="e">
        <f t="shared" si="22"/>
        <v>#DIV/0!</v>
      </c>
      <c r="AG20" s="42">
        <f>'PIM Model'!B18</f>
        <v>0</v>
      </c>
      <c r="AH20" s="510" t="e">
        <f t="shared" si="6"/>
        <v>#DIV/0!</v>
      </c>
      <c r="AI20" s="510" t="e">
        <f t="shared" si="23"/>
        <v>#DIV/0!</v>
      </c>
      <c r="AJ20">
        <v>11</v>
      </c>
      <c r="AK20" s="511" t="s">
        <v>96</v>
      </c>
      <c r="AL20" s="511" t="e">
        <f t="shared" si="7"/>
        <v>#DIV/0!</v>
      </c>
      <c r="AM20" s="511">
        <f t="shared" si="8"/>
        <v>0</v>
      </c>
      <c r="AN20" s="511">
        <f t="shared" si="9"/>
        <v>0</v>
      </c>
      <c r="AO20" s="512">
        <f t="shared" si="10"/>
        <v>36.021242068094658</v>
      </c>
      <c r="AP20" s="512">
        <f t="shared" si="11"/>
        <v>6.3330094511885084</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43"/>
      <c r="AW20" s="56" t="s">
        <v>96</v>
      </c>
      <c r="AX20" s="544">
        <v>830</v>
      </c>
      <c r="AY20" s="544">
        <v>2480</v>
      </c>
      <c r="AZ20" s="544">
        <v>6004</v>
      </c>
      <c r="BA20" s="544">
        <v>13761</v>
      </c>
      <c r="BD20" s="56" t="s">
        <v>96</v>
      </c>
      <c r="BE20" s="544">
        <v>1562</v>
      </c>
      <c r="BF20" s="544">
        <v>5701</v>
      </c>
      <c r="BG20" s="544">
        <v>19578</v>
      </c>
      <c r="BH20" s="544">
        <v>45979</v>
      </c>
    </row>
    <row r="21" spans="1:60" x14ac:dyDescent="0.25">
      <c r="A21" t="e">
        <f t="shared" si="13"/>
        <v>#DIV/0!</v>
      </c>
      <c r="B21">
        <v>12</v>
      </c>
      <c r="C21" t="s">
        <v>101</v>
      </c>
      <c r="D21" s="25">
        <f>'Multi-Customer'!C21</f>
        <v>0</v>
      </c>
      <c r="E21">
        <f>'Multi-Customer'!D21</f>
        <v>0</v>
      </c>
      <c r="F21">
        <f>'Multi-Customer'!E21</f>
        <v>0</v>
      </c>
      <c r="G21" s="355">
        <f>'Multi-Customer'!F21</f>
        <v>0</v>
      </c>
      <c r="H21" s="19">
        <f t="shared" si="14"/>
        <v>0</v>
      </c>
      <c r="I21" s="19">
        <f t="shared" si="15"/>
        <v>0</v>
      </c>
      <c r="J21" s="355"/>
      <c r="K21" s="355" t="str">
        <f>'PIM Model'!E19</f>
        <v>INCLUDE</v>
      </c>
      <c r="L21" s="355" t="e">
        <f t="shared" si="0"/>
        <v>#DIV/0!</v>
      </c>
      <c r="M21">
        <v>12</v>
      </c>
      <c r="N21" s="355" t="s">
        <v>101</v>
      </c>
      <c r="O21" s="355" t="e">
        <f t="shared" si="1"/>
        <v>#DIV/0!</v>
      </c>
      <c r="P21" s="355" t="e">
        <f t="shared" si="2"/>
        <v>#DIV/0!</v>
      </c>
      <c r="Q21" s="355" t="e">
        <f t="shared" si="3"/>
        <v>#DIV/0!</v>
      </c>
      <c r="R21" s="355" t="e">
        <f t="shared" si="4"/>
        <v>#DIV/0!</v>
      </c>
      <c r="S21" s="355">
        <f>IFERROR($O21/P21,VLOOKUP($W$10,'Basket Composition'!$A$34:$W$62,'PIM Ranges'!$M21,FALSE))</f>
        <v>29.637424115670608</v>
      </c>
      <c r="T21" s="19">
        <f>IFERROR(O21/R21,VLOOKUP($W$10,'Basket Composition'!$A$65:$W$92,'PIM Ranges'!$M21,FALSE))</f>
        <v>0.89090153310810105</v>
      </c>
      <c r="U21" s="19"/>
      <c r="V21" s="2">
        <f>'PIM Model'!$C$19</f>
        <v>0</v>
      </c>
      <c r="W21" s="659">
        <f>VLOOKUP($W$10,'Basket Composition'!$A$3:$W$30,'PIM Ranges'!$AJ21)</f>
        <v>1.2200000000000001E-2</v>
      </c>
      <c r="X21" s="19" t="e">
        <f t="shared" si="16"/>
        <v>#DIV/0!</v>
      </c>
      <c r="Y21" s="355" t="e">
        <f t="shared" si="17"/>
        <v>#DIV/0!</v>
      </c>
      <c r="Z21" s="355" t="e">
        <f t="shared" si="18"/>
        <v>#DIV/0!</v>
      </c>
      <c r="AA21" s="355">
        <f t="shared" si="19"/>
        <v>0</v>
      </c>
      <c r="AB21" s="660" t="e">
        <f t="shared" si="20"/>
        <v>#DIV/0!</v>
      </c>
      <c r="AC21" s="660" t="e">
        <f t="shared" si="21"/>
        <v>#DIV/0!</v>
      </c>
      <c r="AD21" s="355" t="e">
        <f t="shared" si="5"/>
        <v>#DIV/0!</v>
      </c>
      <c r="AE21" s="355"/>
      <c r="AF21" s="355" t="e">
        <f t="shared" si="22"/>
        <v>#DIV/0!</v>
      </c>
      <c r="AG21" s="42">
        <f>'PIM Model'!B19</f>
        <v>0</v>
      </c>
      <c r="AH21" s="510" t="e">
        <f t="shared" si="6"/>
        <v>#DIV/0!</v>
      </c>
      <c r="AI21" s="510" t="e">
        <f t="shared" si="23"/>
        <v>#DIV/0!</v>
      </c>
      <c r="AJ21">
        <v>12</v>
      </c>
      <c r="AK21" s="511" t="s">
        <v>101</v>
      </c>
      <c r="AL21" s="511" t="e">
        <f t="shared" si="7"/>
        <v>#DIV/0!</v>
      </c>
      <c r="AM21" s="511">
        <f t="shared" si="8"/>
        <v>0</v>
      </c>
      <c r="AN21" s="511">
        <f t="shared" si="9"/>
        <v>0</v>
      </c>
      <c r="AO21" s="512">
        <f t="shared" si="10"/>
        <v>29.637424115670608</v>
      </c>
      <c r="AP21" s="512">
        <f t="shared" si="11"/>
        <v>0.89090153310810105</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43"/>
      <c r="AW21" s="56" t="s">
        <v>101</v>
      </c>
      <c r="AX21" s="544">
        <v>2353</v>
      </c>
      <c r="AY21" s="544">
        <v>5189</v>
      </c>
      <c r="AZ21" s="544">
        <v>10687</v>
      </c>
      <c r="BA21" s="544">
        <v>23163</v>
      </c>
      <c r="BD21" s="56" t="s">
        <v>101</v>
      </c>
      <c r="BE21" s="544">
        <v>3473</v>
      </c>
      <c r="BF21" s="544">
        <v>9790</v>
      </c>
      <c r="BG21" s="544">
        <v>29037</v>
      </c>
      <c r="BH21" s="544">
        <v>66663</v>
      </c>
    </row>
    <row r="22" spans="1:60" x14ac:dyDescent="0.25">
      <c r="A22" t="e">
        <f t="shared" si="13"/>
        <v>#DIV/0!</v>
      </c>
      <c r="B22">
        <v>13</v>
      </c>
      <c r="C22" t="s">
        <v>97</v>
      </c>
      <c r="D22" s="25">
        <f>'Multi-Customer'!C22</f>
        <v>0</v>
      </c>
      <c r="E22">
        <f>'Multi-Customer'!D22</f>
        <v>0</v>
      </c>
      <c r="F22">
        <f>'Multi-Customer'!E22</f>
        <v>0</v>
      </c>
      <c r="G22" s="355">
        <f>'Multi-Customer'!F22</f>
        <v>0</v>
      </c>
      <c r="H22" s="19">
        <f t="shared" si="14"/>
        <v>0</v>
      </c>
      <c r="I22" s="19">
        <f t="shared" si="15"/>
        <v>0</v>
      </c>
      <c r="J22" s="355"/>
      <c r="K22" s="355" t="str">
        <f>'PIM Model'!E20</f>
        <v>INCLUDE</v>
      </c>
      <c r="L22" s="355" t="e">
        <f t="shared" si="0"/>
        <v>#DIV/0!</v>
      </c>
      <c r="M22">
        <v>13</v>
      </c>
      <c r="N22" s="355" t="s">
        <v>97</v>
      </c>
      <c r="O22" s="355" t="e">
        <f t="shared" si="1"/>
        <v>#DIV/0!</v>
      </c>
      <c r="P22" s="355" t="e">
        <f t="shared" si="2"/>
        <v>#DIV/0!</v>
      </c>
      <c r="Q22" s="355" t="e">
        <f t="shared" si="3"/>
        <v>#DIV/0!</v>
      </c>
      <c r="R22" s="355" t="e">
        <f t="shared" si="4"/>
        <v>#DIV/0!</v>
      </c>
      <c r="S22" s="355">
        <f>IFERROR($O22/P22,VLOOKUP($W$10,'Basket Composition'!$A$34:$W$62,'PIM Ranges'!$M22,FALSE))</f>
        <v>29.61257625386931</v>
      </c>
      <c r="T22" s="19">
        <f>IFERROR(O22/R22,VLOOKUP($W$10,'Basket Composition'!$A$65:$W$92,'PIM Ranges'!$M22,FALSE))</f>
        <v>1.3102443941917017</v>
      </c>
      <c r="U22" s="19"/>
      <c r="V22" s="2">
        <f>'PIM Model'!$C$20</f>
        <v>0</v>
      </c>
      <c r="W22" s="659">
        <f>VLOOKUP($W$10,'Basket Composition'!$A$3:$W$30,'PIM Ranges'!$AJ22)</f>
        <v>0.10654999999999992</v>
      </c>
      <c r="X22" s="19" t="e">
        <f t="shared" si="16"/>
        <v>#DIV/0!</v>
      </c>
      <c r="Y22" s="355" t="e">
        <f t="shared" si="17"/>
        <v>#DIV/0!</v>
      </c>
      <c r="Z22" s="355" t="e">
        <f t="shared" si="18"/>
        <v>#DIV/0!</v>
      </c>
      <c r="AA22" s="355">
        <f t="shared" si="19"/>
        <v>0</v>
      </c>
      <c r="AB22" s="660" t="e">
        <f t="shared" si="20"/>
        <v>#DIV/0!</v>
      </c>
      <c r="AC22" s="660" t="e">
        <f t="shared" si="21"/>
        <v>#DIV/0!</v>
      </c>
      <c r="AD22" s="355" t="e">
        <f t="shared" si="5"/>
        <v>#DIV/0!</v>
      </c>
      <c r="AE22" s="355"/>
      <c r="AF22" s="355" t="e">
        <f t="shared" si="22"/>
        <v>#DIV/0!</v>
      </c>
      <c r="AG22" s="42">
        <f>'PIM Model'!B20</f>
        <v>0</v>
      </c>
      <c r="AH22" s="510" t="e">
        <f t="shared" si="6"/>
        <v>#DIV/0!</v>
      </c>
      <c r="AI22" s="510" t="e">
        <f t="shared" si="23"/>
        <v>#DIV/0!</v>
      </c>
      <c r="AJ22">
        <v>13</v>
      </c>
      <c r="AK22" s="511" t="s">
        <v>97</v>
      </c>
      <c r="AL22" s="511" t="e">
        <f t="shared" si="7"/>
        <v>#DIV/0!</v>
      </c>
      <c r="AM22" s="511">
        <f t="shared" si="8"/>
        <v>0</v>
      </c>
      <c r="AN22" s="511">
        <f t="shared" si="9"/>
        <v>0</v>
      </c>
      <c r="AO22" s="512">
        <f t="shared" si="10"/>
        <v>29.61257625386931</v>
      </c>
      <c r="AP22" s="512">
        <f t="shared" si="11"/>
        <v>1.3102443941917017</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43"/>
      <c r="AW22" s="56" t="s">
        <v>97</v>
      </c>
      <c r="AX22" s="544">
        <v>26250</v>
      </c>
      <c r="AY22" s="544">
        <v>37715</v>
      </c>
      <c r="AZ22" s="544">
        <v>54986</v>
      </c>
      <c r="BA22" s="544">
        <v>98006</v>
      </c>
      <c r="BD22" s="56" t="s">
        <v>97</v>
      </c>
      <c r="BE22" s="544">
        <v>34732</v>
      </c>
      <c r="BF22" s="544">
        <v>78310</v>
      </c>
      <c r="BG22" s="544">
        <v>203159</v>
      </c>
      <c r="BH22" s="544">
        <v>451886</v>
      </c>
    </row>
    <row r="23" spans="1:60" x14ac:dyDescent="0.25">
      <c r="A23" t="e">
        <f t="shared" si="13"/>
        <v>#DIV/0!</v>
      </c>
      <c r="B23">
        <v>14</v>
      </c>
      <c r="C23" t="s">
        <v>93</v>
      </c>
      <c r="D23" s="25">
        <f>'Multi-Customer'!C23</f>
        <v>0</v>
      </c>
      <c r="E23">
        <f>'Multi-Customer'!D23</f>
        <v>0</v>
      </c>
      <c r="F23">
        <f>'Multi-Customer'!E23</f>
        <v>0</v>
      </c>
      <c r="G23" s="355">
        <f>'Multi-Customer'!F23</f>
        <v>0</v>
      </c>
      <c r="H23" s="19">
        <f t="shared" si="14"/>
        <v>0</v>
      </c>
      <c r="I23" s="19">
        <f t="shared" si="15"/>
        <v>0</v>
      </c>
      <c r="J23" s="355"/>
      <c r="K23" s="355" t="str">
        <f>'PIM Model'!E21</f>
        <v>INCLUDE</v>
      </c>
      <c r="L23" s="355" t="e">
        <f t="shared" si="0"/>
        <v>#DIV/0!</v>
      </c>
      <c r="M23">
        <v>14</v>
      </c>
      <c r="N23" s="355" t="s">
        <v>93</v>
      </c>
      <c r="O23" s="355" t="e">
        <f t="shared" si="1"/>
        <v>#DIV/0!</v>
      </c>
      <c r="P23" s="355" t="e">
        <f t="shared" si="2"/>
        <v>#DIV/0!</v>
      </c>
      <c r="Q23" s="355" t="e">
        <f t="shared" si="3"/>
        <v>#DIV/0!</v>
      </c>
      <c r="R23" s="355" t="e">
        <f t="shared" si="4"/>
        <v>#DIV/0!</v>
      </c>
      <c r="S23" s="355">
        <f>IFERROR($O23/P23,VLOOKUP($W$10,'Basket Composition'!$A$34:$W$62,'PIM Ranges'!$M23,FALSE))</f>
        <v>31.237457327451125</v>
      </c>
      <c r="T23" s="19">
        <f>IFERROR(O23/R23,VLOOKUP($W$10,'Basket Composition'!$A$65:$W$92,'PIM Ranges'!$M23,FALSE))</f>
        <v>1.8734967774112981</v>
      </c>
      <c r="U23" s="19"/>
      <c r="V23" s="2">
        <f>'PIM Model'!$C$21</f>
        <v>0</v>
      </c>
      <c r="W23" s="659">
        <f>VLOOKUP($W$10,'Basket Composition'!$A$3:$W$30,'PIM Ranges'!$AJ23)</f>
        <v>7.3700000000000002E-2</v>
      </c>
      <c r="X23" s="19" t="e">
        <f t="shared" si="16"/>
        <v>#DIV/0!</v>
      </c>
      <c r="Y23" s="355" t="e">
        <f t="shared" si="17"/>
        <v>#DIV/0!</v>
      </c>
      <c r="Z23" s="355" t="e">
        <f t="shared" si="18"/>
        <v>#DIV/0!</v>
      </c>
      <c r="AA23" s="355">
        <f t="shared" si="19"/>
        <v>0</v>
      </c>
      <c r="AB23" s="660" t="e">
        <f t="shared" si="20"/>
        <v>#DIV/0!</v>
      </c>
      <c r="AC23" s="660" t="e">
        <f t="shared" si="21"/>
        <v>#DIV/0!</v>
      </c>
      <c r="AD23" s="355" t="e">
        <f t="shared" si="5"/>
        <v>#DIV/0!</v>
      </c>
      <c r="AE23" s="355"/>
      <c r="AF23" s="355" t="e">
        <f t="shared" si="22"/>
        <v>#DIV/0!</v>
      </c>
      <c r="AG23" s="42">
        <f>'PIM Model'!B21</f>
        <v>0</v>
      </c>
      <c r="AH23" s="510" t="e">
        <f t="shared" si="6"/>
        <v>#DIV/0!</v>
      </c>
      <c r="AI23" s="510" t="e">
        <f t="shared" si="23"/>
        <v>#DIV/0!</v>
      </c>
      <c r="AJ23">
        <v>14</v>
      </c>
      <c r="AK23" s="511" t="s">
        <v>93</v>
      </c>
      <c r="AL23" s="511" t="e">
        <f t="shared" si="7"/>
        <v>#DIV/0!</v>
      </c>
      <c r="AM23" s="511">
        <f t="shared" si="8"/>
        <v>0</v>
      </c>
      <c r="AN23" s="511">
        <f t="shared" si="9"/>
        <v>0</v>
      </c>
      <c r="AO23" s="512">
        <f t="shared" si="10"/>
        <v>31.237457327451125</v>
      </c>
      <c r="AP23" s="512">
        <f t="shared" si="11"/>
        <v>1.8734967774112981</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43"/>
      <c r="AW23" s="56" t="s">
        <v>93</v>
      </c>
      <c r="AX23" s="544">
        <v>9242</v>
      </c>
      <c r="AY23" s="544">
        <v>18705</v>
      </c>
      <c r="AZ23" s="544">
        <v>31626</v>
      </c>
      <c r="BA23" s="544">
        <v>65192</v>
      </c>
      <c r="BD23" s="56" t="s">
        <v>93</v>
      </c>
      <c r="BE23" s="544">
        <v>19767</v>
      </c>
      <c r="BF23" s="544">
        <v>50065</v>
      </c>
      <c r="BG23" s="544">
        <v>124322</v>
      </c>
      <c r="BH23" s="544">
        <v>278212</v>
      </c>
    </row>
    <row r="24" spans="1:60" x14ac:dyDescent="0.25">
      <c r="A24" t="e">
        <f t="shared" si="13"/>
        <v>#DIV/0!</v>
      </c>
      <c r="B24">
        <v>15</v>
      </c>
      <c r="C24" t="s">
        <v>105</v>
      </c>
      <c r="D24" s="25">
        <f>'Multi-Customer'!C24</f>
        <v>0</v>
      </c>
      <c r="E24">
        <f>'Multi-Customer'!D24</f>
        <v>0</v>
      </c>
      <c r="F24">
        <f>'Multi-Customer'!E24</f>
        <v>0</v>
      </c>
      <c r="G24" s="355">
        <f>'Multi-Customer'!F24</f>
        <v>0</v>
      </c>
      <c r="H24" s="19">
        <f t="shared" si="14"/>
        <v>0</v>
      </c>
      <c r="I24" s="19">
        <f t="shared" si="15"/>
        <v>0</v>
      </c>
      <c r="J24" s="355"/>
      <c r="K24" s="355" t="str">
        <f>'PIM Model'!E22</f>
        <v>INCLUDE</v>
      </c>
      <c r="L24" s="355" t="e">
        <f t="shared" si="0"/>
        <v>#DIV/0!</v>
      </c>
      <c r="M24">
        <v>15</v>
      </c>
      <c r="N24" s="355" t="s">
        <v>105</v>
      </c>
      <c r="O24" s="355" t="e">
        <f t="shared" si="1"/>
        <v>#DIV/0!</v>
      </c>
      <c r="P24" s="355" t="e">
        <f t="shared" si="2"/>
        <v>#DIV/0!</v>
      </c>
      <c r="Q24" s="355" t="e">
        <f t="shared" si="3"/>
        <v>#DIV/0!</v>
      </c>
      <c r="R24" s="355" t="e">
        <f t="shared" si="4"/>
        <v>#DIV/0!</v>
      </c>
      <c r="S24" s="355">
        <f>IFERROR($O24/P24,VLOOKUP($W$10,'Basket Composition'!$A$34:$W$62,'PIM Ranges'!$M24,FALSE))</f>
        <v>49.136316232127818</v>
      </c>
      <c r="T24" s="19">
        <f>IFERROR(O24/R24,VLOOKUP($W$10,'Basket Composition'!$A$65:$W$92,'PIM Ranges'!$M24,FALSE))</f>
        <v>4.6773675222707647</v>
      </c>
      <c r="U24" s="19"/>
      <c r="V24" s="2">
        <f>'PIM Model'!$C$22</f>
        <v>0</v>
      </c>
      <c r="W24" s="659">
        <f>VLOOKUP($W$10,'Basket Composition'!$A$3:$W$30,'PIM Ranges'!$AJ24)</f>
        <v>3.0000000000000001E-3</v>
      </c>
      <c r="X24" s="19" t="e">
        <f t="shared" si="16"/>
        <v>#DIV/0!</v>
      </c>
      <c r="Y24" s="355" t="e">
        <f t="shared" si="17"/>
        <v>#DIV/0!</v>
      </c>
      <c r="Z24" s="355" t="e">
        <f t="shared" si="18"/>
        <v>#DIV/0!</v>
      </c>
      <c r="AA24" s="355">
        <f t="shared" si="19"/>
        <v>0</v>
      </c>
      <c r="AB24" s="660" t="e">
        <f t="shared" si="20"/>
        <v>#DIV/0!</v>
      </c>
      <c r="AC24" s="660" t="e">
        <f t="shared" si="21"/>
        <v>#DIV/0!</v>
      </c>
      <c r="AD24" s="355" t="e">
        <f t="shared" si="5"/>
        <v>#DIV/0!</v>
      </c>
      <c r="AE24" s="355"/>
      <c r="AF24" s="355" t="e">
        <f t="shared" si="22"/>
        <v>#DIV/0!</v>
      </c>
      <c r="AG24" s="42">
        <f>'PIM Model'!B22</f>
        <v>0</v>
      </c>
      <c r="AH24" s="510" t="e">
        <f t="shared" si="6"/>
        <v>#DIV/0!</v>
      </c>
      <c r="AI24" s="510" t="e">
        <f t="shared" si="23"/>
        <v>#DIV/0!</v>
      </c>
      <c r="AJ24">
        <v>15</v>
      </c>
      <c r="AK24" s="511" t="s">
        <v>105</v>
      </c>
      <c r="AL24" s="511" t="e">
        <f t="shared" si="7"/>
        <v>#DIV/0!</v>
      </c>
      <c r="AM24" s="511">
        <f t="shared" si="8"/>
        <v>0</v>
      </c>
      <c r="AN24" s="511">
        <f t="shared" si="9"/>
        <v>0</v>
      </c>
      <c r="AO24" s="512">
        <f t="shared" si="10"/>
        <v>49.136316232127818</v>
      </c>
      <c r="AP24" s="512">
        <f t="shared" si="11"/>
        <v>4.6773675222707647</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43"/>
      <c r="AW24" s="56" t="s">
        <v>105</v>
      </c>
      <c r="AX24" s="544">
        <v>142</v>
      </c>
      <c r="AY24" s="544">
        <v>469</v>
      </c>
      <c r="AZ24" s="544">
        <v>1089</v>
      </c>
      <c r="BA24" s="544">
        <v>2473</v>
      </c>
      <c r="BD24" s="56" t="s">
        <v>105</v>
      </c>
      <c r="BE24" s="544">
        <v>179</v>
      </c>
      <c r="BF24" s="544">
        <v>732</v>
      </c>
      <c r="BG24" s="544">
        <v>2385</v>
      </c>
      <c r="BH24" s="544">
        <v>5645</v>
      </c>
    </row>
    <row r="25" spans="1:60" x14ac:dyDescent="0.25">
      <c r="A25" t="e">
        <f t="shared" si="13"/>
        <v>#DIV/0!</v>
      </c>
      <c r="B25">
        <v>16</v>
      </c>
      <c r="C25" t="s">
        <v>92</v>
      </c>
      <c r="D25" s="25">
        <f>'Multi-Customer'!C25</f>
        <v>0</v>
      </c>
      <c r="E25">
        <f>'Multi-Customer'!D25</f>
        <v>0</v>
      </c>
      <c r="F25">
        <f>'Multi-Customer'!E25</f>
        <v>0</v>
      </c>
      <c r="G25" s="355">
        <f>'Multi-Customer'!F25</f>
        <v>0</v>
      </c>
      <c r="H25" s="19">
        <f>IFERROR(D25/E25,0)</f>
        <v>0</v>
      </c>
      <c r="I25" s="19">
        <f>IFERROR(D25/G25,0)</f>
        <v>0</v>
      </c>
      <c r="J25" s="355"/>
      <c r="K25" s="355" t="str">
        <f>'PIM Model'!E23</f>
        <v>INCLUDE</v>
      </c>
      <c r="L25" s="355" t="e">
        <f t="shared" si="0"/>
        <v>#DIV/0!</v>
      </c>
      <c r="M25">
        <v>16</v>
      </c>
      <c r="N25" s="355" t="s">
        <v>92</v>
      </c>
      <c r="O25" s="355" t="e">
        <f t="shared" si="1"/>
        <v>#DIV/0!</v>
      </c>
      <c r="P25" s="355" t="e">
        <f t="shared" si="2"/>
        <v>#DIV/0!</v>
      </c>
      <c r="Q25" s="355" t="e">
        <f t="shared" si="3"/>
        <v>#DIV/0!</v>
      </c>
      <c r="R25" s="355" t="e">
        <f t="shared" si="4"/>
        <v>#DIV/0!</v>
      </c>
      <c r="S25" s="355">
        <f>IFERROR($O25/P25,VLOOKUP($W$10,'Basket Composition'!$A$34:$W$62,'PIM Ranges'!$M25,FALSE))</f>
        <v>28.048706517032524</v>
      </c>
      <c r="T25" s="19">
        <f>IFERROR(O25/R25,VLOOKUP($W$10,'Basket Composition'!$A$65:$W$92,'PIM Ranges'!$M25,FALSE))</f>
        <v>0.85361497628588379</v>
      </c>
      <c r="U25" s="19"/>
      <c r="V25" s="2">
        <f>'PIM Model'!$C$23</f>
        <v>0</v>
      </c>
      <c r="W25" s="659">
        <f>VLOOKUP($W$10,'Basket Composition'!$A$3:$W$30,'PIM Ranges'!$AJ25)</f>
        <v>3.1699999999999999E-2</v>
      </c>
      <c r="X25" s="19" t="e">
        <f t="shared" si="16"/>
        <v>#DIV/0!</v>
      </c>
      <c r="Y25" s="355" t="e">
        <f t="shared" si="17"/>
        <v>#DIV/0!</v>
      </c>
      <c r="Z25" s="355" t="e">
        <f t="shared" si="18"/>
        <v>#DIV/0!</v>
      </c>
      <c r="AA25" s="355">
        <f t="shared" si="19"/>
        <v>0</v>
      </c>
      <c r="AB25" s="660" t="e">
        <f t="shared" si="20"/>
        <v>#DIV/0!</v>
      </c>
      <c r="AC25" s="660" t="e">
        <f t="shared" si="21"/>
        <v>#DIV/0!</v>
      </c>
      <c r="AD25" s="355" t="e">
        <f t="shared" si="5"/>
        <v>#DIV/0!</v>
      </c>
      <c r="AE25" s="355"/>
      <c r="AF25" s="355" t="e">
        <f t="shared" si="22"/>
        <v>#DIV/0!</v>
      </c>
      <c r="AG25" s="42">
        <f>'PIM Model'!B23</f>
        <v>0</v>
      </c>
      <c r="AH25" s="510" t="e">
        <f t="shared" si="6"/>
        <v>#DIV/0!</v>
      </c>
      <c r="AI25" s="510" t="e">
        <f t="shared" si="23"/>
        <v>#DIV/0!</v>
      </c>
      <c r="AJ25">
        <v>16</v>
      </c>
      <c r="AK25" s="511" t="s">
        <v>92</v>
      </c>
      <c r="AL25" s="511" t="e">
        <f t="shared" si="7"/>
        <v>#DIV/0!</v>
      </c>
      <c r="AM25" s="511">
        <f t="shared" si="8"/>
        <v>0</v>
      </c>
      <c r="AN25" s="511">
        <f t="shared" si="9"/>
        <v>0</v>
      </c>
      <c r="AO25" s="512">
        <f t="shared" si="10"/>
        <v>28.048706517032524</v>
      </c>
      <c r="AP25" s="512">
        <f t="shared" si="11"/>
        <v>0.85361497628588379</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43"/>
      <c r="AW25" s="56" t="s">
        <v>92</v>
      </c>
      <c r="AX25" s="544">
        <v>6610</v>
      </c>
      <c r="AY25" s="544">
        <v>11026</v>
      </c>
      <c r="AZ25" s="544">
        <v>16902</v>
      </c>
      <c r="BA25" s="544">
        <v>32235</v>
      </c>
      <c r="BD25" s="56" t="s">
        <v>92</v>
      </c>
      <c r="BE25" s="544">
        <v>7323</v>
      </c>
      <c r="BF25" s="544">
        <v>19194</v>
      </c>
      <c r="BG25" s="544">
        <v>47517</v>
      </c>
      <c r="BH25" s="544">
        <v>107183</v>
      </c>
    </row>
    <row r="26" spans="1:60" x14ac:dyDescent="0.25">
      <c r="A26" t="e">
        <f t="shared" si="13"/>
        <v>#DIV/0!</v>
      </c>
      <c r="B26">
        <v>17</v>
      </c>
      <c r="C26" t="s">
        <v>91</v>
      </c>
      <c r="D26" s="25">
        <f>'Multi-Customer'!C26</f>
        <v>0</v>
      </c>
      <c r="E26">
        <f>'Multi-Customer'!D26</f>
        <v>0</v>
      </c>
      <c r="F26">
        <f>'Multi-Customer'!E26</f>
        <v>0</v>
      </c>
      <c r="G26" s="355">
        <f>'Multi-Customer'!F26</f>
        <v>0</v>
      </c>
      <c r="H26" s="19">
        <f t="shared" si="14"/>
        <v>0</v>
      </c>
      <c r="I26" s="19">
        <f t="shared" si="15"/>
        <v>0</v>
      </c>
      <c r="J26" s="355"/>
      <c r="K26" s="355" t="str">
        <f>'PIM Model'!E24</f>
        <v>INCLUDE</v>
      </c>
      <c r="L26" s="355" t="e">
        <f t="shared" si="0"/>
        <v>#DIV/0!</v>
      </c>
      <c r="M26">
        <v>17</v>
      </c>
      <c r="N26" s="355" t="s">
        <v>91</v>
      </c>
      <c r="O26" s="355" t="e">
        <f t="shared" si="1"/>
        <v>#DIV/0!</v>
      </c>
      <c r="P26" s="355" t="e">
        <f t="shared" si="2"/>
        <v>#DIV/0!</v>
      </c>
      <c r="Q26" s="355" t="e">
        <f t="shared" si="3"/>
        <v>#DIV/0!</v>
      </c>
      <c r="R26" s="355" t="e">
        <f t="shared" si="4"/>
        <v>#DIV/0!</v>
      </c>
      <c r="S26" s="355">
        <f>IFERROR($O26/P26,VLOOKUP($W$10,'Basket Composition'!$A$34:$W$62,'PIM Ranges'!$M26,FALSE))</f>
        <v>58.888145085624338</v>
      </c>
      <c r="T26" s="19">
        <f>IFERROR(O26/R26,VLOOKUP($W$10,'Basket Composition'!$A$65:$W$92,'PIM Ranges'!$M26,FALSE))</f>
        <v>3.0802914229741019</v>
      </c>
      <c r="U26" s="19"/>
      <c r="V26" s="2">
        <f>'PIM Model'!$C$24</f>
        <v>0</v>
      </c>
      <c r="W26" s="659">
        <f>VLOOKUP($W$10,'Basket Composition'!$A$3:$W$30,'PIM Ranges'!$AJ26)</f>
        <v>5.21E-2</v>
      </c>
      <c r="X26" s="19" t="e">
        <f t="shared" si="16"/>
        <v>#DIV/0!</v>
      </c>
      <c r="Y26" s="355" t="e">
        <f t="shared" si="17"/>
        <v>#DIV/0!</v>
      </c>
      <c r="Z26" s="355" t="e">
        <f t="shared" si="18"/>
        <v>#DIV/0!</v>
      </c>
      <c r="AA26" s="355">
        <f t="shared" si="19"/>
        <v>0</v>
      </c>
      <c r="AB26" s="660" t="e">
        <f t="shared" si="20"/>
        <v>#DIV/0!</v>
      </c>
      <c r="AC26" s="660" t="e">
        <f t="shared" si="21"/>
        <v>#DIV/0!</v>
      </c>
      <c r="AD26" s="355" t="e">
        <f t="shared" si="5"/>
        <v>#DIV/0!</v>
      </c>
      <c r="AE26" s="355"/>
      <c r="AF26" s="355" t="e">
        <f t="shared" si="22"/>
        <v>#DIV/0!</v>
      </c>
      <c r="AG26" s="42">
        <f>'PIM Model'!B24</f>
        <v>0</v>
      </c>
      <c r="AH26" s="510" t="e">
        <f t="shared" si="6"/>
        <v>#DIV/0!</v>
      </c>
      <c r="AI26" s="510" t="e">
        <f t="shared" si="23"/>
        <v>#DIV/0!</v>
      </c>
      <c r="AJ26">
        <v>17</v>
      </c>
      <c r="AK26" s="511" t="s">
        <v>91</v>
      </c>
      <c r="AL26" s="511" t="e">
        <f t="shared" si="7"/>
        <v>#DIV/0!</v>
      </c>
      <c r="AM26" s="511">
        <f t="shared" si="8"/>
        <v>0</v>
      </c>
      <c r="AN26" s="511">
        <f t="shared" si="9"/>
        <v>0</v>
      </c>
      <c r="AO26" s="512">
        <f t="shared" si="10"/>
        <v>58.888145085624338</v>
      </c>
      <c r="AP26" s="512">
        <f t="shared" si="11"/>
        <v>3.0802914229741019</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43"/>
      <c r="AW26" s="56" t="s">
        <v>91</v>
      </c>
      <c r="AX26" s="544">
        <v>7459</v>
      </c>
      <c r="AY26" s="544">
        <v>15542</v>
      </c>
      <c r="AZ26" s="544">
        <v>28734</v>
      </c>
      <c r="BA26" s="544">
        <v>60450</v>
      </c>
      <c r="BD26" s="56" t="s">
        <v>91</v>
      </c>
      <c r="BE26" s="544">
        <v>13315</v>
      </c>
      <c r="BF26" s="544">
        <v>33760</v>
      </c>
      <c r="BG26" s="544">
        <v>91382</v>
      </c>
      <c r="BH26" s="544">
        <v>208294</v>
      </c>
    </row>
    <row r="27" spans="1:60" x14ac:dyDescent="0.25">
      <c r="A27" t="e">
        <f t="shared" si="13"/>
        <v>#DIV/0!</v>
      </c>
      <c r="B27">
        <v>18</v>
      </c>
      <c r="C27" t="s">
        <v>90</v>
      </c>
      <c r="D27" s="25">
        <f>'Multi-Customer'!C27</f>
        <v>0</v>
      </c>
      <c r="E27">
        <f>'Multi-Customer'!D27</f>
        <v>0</v>
      </c>
      <c r="F27">
        <f>'Multi-Customer'!E27</f>
        <v>0</v>
      </c>
      <c r="G27" s="355">
        <f>'Multi-Customer'!F27</f>
        <v>0</v>
      </c>
      <c r="H27" s="19">
        <f t="shared" si="14"/>
        <v>0</v>
      </c>
      <c r="I27" s="19">
        <f t="shared" si="15"/>
        <v>0</v>
      </c>
      <c r="J27" s="355"/>
      <c r="K27" s="355" t="str">
        <f>'PIM Model'!E25</f>
        <v>INCLUDE</v>
      </c>
      <c r="L27" s="355" t="e">
        <f t="shared" si="0"/>
        <v>#DIV/0!</v>
      </c>
      <c r="M27">
        <v>18</v>
      </c>
      <c r="N27" s="355" t="s">
        <v>90</v>
      </c>
      <c r="O27" s="355" t="e">
        <f t="shared" si="1"/>
        <v>#DIV/0!</v>
      </c>
      <c r="P27" s="355" t="e">
        <f t="shared" si="2"/>
        <v>#DIV/0!</v>
      </c>
      <c r="Q27" s="355" t="e">
        <f t="shared" si="3"/>
        <v>#DIV/0!</v>
      </c>
      <c r="R27" s="355" t="e">
        <f t="shared" si="4"/>
        <v>#DIV/0!</v>
      </c>
      <c r="S27" s="355">
        <f>IFERROR($O27/P27,VLOOKUP($W$10,'Basket Composition'!$A$34:$W$62,'PIM Ranges'!$M27,FALSE))</f>
        <v>59.971758416975703</v>
      </c>
      <c r="T27" s="19">
        <f>IFERROR(O27/R27,VLOOKUP($W$10,'Basket Composition'!$A$65:$W$92,'PIM Ranges'!$M27,FALSE))</f>
        <v>2.2174786981467705</v>
      </c>
      <c r="U27" s="19"/>
      <c r="V27" s="2">
        <f>'PIM Model'!$C$25</f>
        <v>0</v>
      </c>
      <c r="W27" s="659">
        <f>VLOOKUP($W$10,'Basket Composition'!$A$3:$W$30,'PIM Ranges'!$AJ27)</f>
        <v>0.1333</v>
      </c>
      <c r="X27" s="19" t="e">
        <f t="shared" si="16"/>
        <v>#DIV/0!</v>
      </c>
      <c r="Y27" s="355" t="e">
        <f t="shared" si="17"/>
        <v>#DIV/0!</v>
      </c>
      <c r="Z27" s="355" t="e">
        <f t="shared" si="18"/>
        <v>#DIV/0!</v>
      </c>
      <c r="AA27" s="355">
        <f t="shared" si="19"/>
        <v>0</v>
      </c>
      <c r="AB27" s="660" t="e">
        <f t="shared" si="20"/>
        <v>#DIV/0!</v>
      </c>
      <c r="AC27" s="660" t="e">
        <f t="shared" si="21"/>
        <v>#DIV/0!</v>
      </c>
      <c r="AD27" s="355" t="e">
        <f t="shared" si="5"/>
        <v>#DIV/0!</v>
      </c>
      <c r="AE27" s="355"/>
      <c r="AF27" s="355" t="e">
        <f t="shared" si="22"/>
        <v>#DIV/0!</v>
      </c>
      <c r="AG27" s="42">
        <f>'PIM Model'!B25</f>
        <v>0</v>
      </c>
      <c r="AH27" s="510" t="e">
        <f t="shared" si="6"/>
        <v>#DIV/0!</v>
      </c>
      <c r="AI27" s="510" t="e">
        <f t="shared" si="23"/>
        <v>#DIV/0!</v>
      </c>
      <c r="AJ27">
        <v>18</v>
      </c>
      <c r="AK27" s="511" t="s">
        <v>90</v>
      </c>
      <c r="AL27" s="511" t="e">
        <f t="shared" si="7"/>
        <v>#DIV/0!</v>
      </c>
      <c r="AM27" s="511">
        <f t="shared" si="8"/>
        <v>0</v>
      </c>
      <c r="AN27" s="511">
        <f t="shared" si="9"/>
        <v>0</v>
      </c>
      <c r="AO27" s="512">
        <f t="shared" si="10"/>
        <v>59.971758416975703</v>
      </c>
      <c r="AP27" s="512">
        <f t="shared" si="11"/>
        <v>2.2174786981467705</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43"/>
      <c r="AW27" s="56" t="s">
        <v>90</v>
      </c>
      <c r="AX27" s="544">
        <v>17969</v>
      </c>
      <c r="AY27" s="544">
        <v>34626</v>
      </c>
      <c r="AZ27" s="544">
        <v>59214</v>
      </c>
      <c r="BA27" s="544">
        <v>120996</v>
      </c>
      <c r="BD27" s="56" t="s">
        <v>90</v>
      </c>
      <c r="BE27" s="544">
        <v>25337</v>
      </c>
      <c r="BF27" s="544">
        <v>62445</v>
      </c>
      <c r="BG27" s="544">
        <v>178249</v>
      </c>
      <c r="BH27" s="544">
        <v>407116</v>
      </c>
    </row>
    <row r="28" spans="1:60" x14ac:dyDescent="0.25">
      <c r="A28" t="e">
        <f t="shared" si="13"/>
        <v>#DIV/0!</v>
      </c>
      <c r="B28">
        <v>19</v>
      </c>
      <c r="C28" t="s">
        <v>89</v>
      </c>
      <c r="D28" s="25">
        <f>'Multi-Customer'!C28</f>
        <v>0</v>
      </c>
      <c r="E28">
        <f>'Multi-Customer'!D28</f>
        <v>0</v>
      </c>
      <c r="F28">
        <f>'Multi-Customer'!E28</f>
        <v>0</v>
      </c>
      <c r="G28" s="355">
        <f>'Multi-Customer'!F28</f>
        <v>0</v>
      </c>
      <c r="H28" s="19">
        <f t="shared" si="14"/>
        <v>0</v>
      </c>
      <c r="I28" s="19">
        <f t="shared" si="15"/>
        <v>0</v>
      </c>
      <c r="J28" s="355"/>
      <c r="K28" s="355" t="str">
        <f>'PIM Model'!E26</f>
        <v>INCLUDE</v>
      </c>
      <c r="L28" s="355" t="e">
        <f t="shared" si="0"/>
        <v>#DIV/0!</v>
      </c>
      <c r="M28">
        <v>19</v>
      </c>
      <c r="N28" s="355" t="s">
        <v>89</v>
      </c>
      <c r="O28" s="355" t="e">
        <f t="shared" si="1"/>
        <v>#DIV/0!</v>
      </c>
      <c r="P28" s="355" t="e">
        <f t="shared" si="2"/>
        <v>#DIV/0!</v>
      </c>
      <c r="Q28" s="355" t="e">
        <f t="shared" si="3"/>
        <v>#DIV/0!</v>
      </c>
      <c r="R28" s="355" t="e">
        <f t="shared" si="4"/>
        <v>#DIV/0!</v>
      </c>
      <c r="S28" s="355">
        <f>IFERROR($O28/P28,VLOOKUP($W$10,'Basket Composition'!$A$34:$W$62,'PIM Ranges'!$M28,FALSE))</f>
        <v>33.134513765170311</v>
      </c>
      <c r="T28" s="19">
        <f>IFERROR(O28/R28,VLOOKUP($W$10,'Basket Composition'!$A$65:$W$92,'PIM Ranges'!$M28,FALSE))</f>
        <v>2.9108915488241602</v>
      </c>
      <c r="U28" s="19"/>
      <c r="V28" s="2">
        <f>'PIM Model'!$C$26</f>
        <v>0</v>
      </c>
      <c r="W28" s="659">
        <f>VLOOKUP($W$10,'Basket Composition'!$A$3:$W$30,'PIM Ranges'!$AJ28)</f>
        <v>8.8000000000000005E-3</v>
      </c>
      <c r="X28" s="19" t="e">
        <f t="shared" si="16"/>
        <v>#DIV/0!</v>
      </c>
      <c r="Y28" s="355" t="e">
        <f t="shared" si="17"/>
        <v>#DIV/0!</v>
      </c>
      <c r="Z28" s="355" t="e">
        <f t="shared" si="18"/>
        <v>#DIV/0!</v>
      </c>
      <c r="AA28" s="355">
        <f t="shared" si="19"/>
        <v>0</v>
      </c>
      <c r="AB28" s="660" t="e">
        <f t="shared" si="20"/>
        <v>#DIV/0!</v>
      </c>
      <c r="AC28" s="660" t="e">
        <f t="shared" si="21"/>
        <v>#DIV/0!</v>
      </c>
      <c r="AD28" s="355" t="e">
        <f t="shared" si="5"/>
        <v>#DIV/0!</v>
      </c>
      <c r="AE28" s="355"/>
      <c r="AF28" s="355" t="e">
        <f t="shared" si="22"/>
        <v>#DIV/0!</v>
      </c>
      <c r="AG28" s="42">
        <f>'PIM Model'!B26</f>
        <v>0</v>
      </c>
      <c r="AH28" s="510" t="e">
        <f t="shared" si="6"/>
        <v>#DIV/0!</v>
      </c>
      <c r="AI28" s="510" t="e">
        <f t="shared" si="23"/>
        <v>#DIV/0!</v>
      </c>
      <c r="AJ28">
        <v>19</v>
      </c>
      <c r="AK28" s="511" t="s">
        <v>89</v>
      </c>
      <c r="AL28" s="511" t="e">
        <f t="shared" si="7"/>
        <v>#DIV/0!</v>
      </c>
      <c r="AM28" s="511">
        <f t="shared" si="8"/>
        <v>0</v>
      </c>
      <c r="AN28" s="511">
        <f t="shared" si="9"/>
        <v>0</v>
      </c>
      <c r="AO28" s="512">
        <f t="shared" si="10"/>
        <v>33.134513765170311</v>
      </c>
      <c r="AP28" s="512">
        <f t="shared" si="11"/>
        <v>2.9108915488241602</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43"/>
      <c r="AW28" s="56" t="s">
        <v>89</v>
      </c>
      <c r="AX28" s="544">
        <v>1058</v>
      </c>
      <c r="AY28" s="544">
        <v>3034</v>
      </c>
      <c r="AZ28" s="544">
        <v>8013</v>
      </c>
      <c r="BA28" s="544">
        <v>18443</v>
      </c>
      <c r="BD28" s="56" t="s">
        <v>89</v>
      </c>
      <c r="BE28" s="544">
        <v>2315</v>
      </c>
      <c r="BF28" s="544">
        <v>7746</v>
      </c>
      <c r="BG28" s="544">
        <v>24790</v>
      </c>
      <c r="BH28" s="544">
        <v>58388</v>
      </c>
    </row>
    <row r="29" spans="1:60" x14ac:dyDescent="0.25">
      <c r="A29" t="e">
        <f t="shared" si="13"/>
        <v>#DIV/0!</v>
      </c>
      <c r="B29">
        <v>20</v>
      </c>
      <c r="C29" t="s">
        <v>94</v>
      </c>
      <c r="D29" s="25">
        <f>'Multi-Customer'!C29</f>
        <v>0</v>
      </c>
      <c r="E29">
        <f>'Multi-Customer'!D29</f>
        <v>0</v>
      </c>
      <c r="F29">
        <f>'Multi-Customer'!E29</f>
        <v>0</v>
      </c>
      <c r="G29" s="355">
        <f>'Multi-Customer'!F29</f>
        <v>0</v>
      </c>
      <c r="H29" s="19">
        <f t="shared" si="14"/>
        <v>0</v>
      </c>
      <c r="I29" s="19">
        <f t="shared" si="15"/>
        <v>0</v>
      </c>
      <c r="J29" s="355"/>
      <c r="K29" s="355" t="str">
        <f>'PIM Model'!E27</f>
        <v>INCLUDE</v>
      </c>
      <c r="L29" s="355" t="e">
        <f t="shared" si="0"/>
        <v>#DIV/0!</v>
      </c>
      <c r="M29">
        <v>20</v>
      </c>
      <c r="N29" s="355" t="s">
        <v>94</v>
      </c>
      <c r="O29" s="355" t="e">
        <f t="shared" si="1"/>
        <v>#DIV/0!</v>
      </c>
      <c r="P29" s="355" t="e">
        <f t="shared" si="2"/>
        <v>#DIV/0!</v>
      </c>
      <c r="Q29" s="355" t="e">
        <f t="shared" si="3"/>
        <v>#DIV/0!</v>
      </c>
      <c r="R29" s="355" t="e">
        <f t="shared" si="4"/>
        <v>#DIV/0!</v>
      </c>
      <c r="S29" s="355">
        <f>IFERROR($O29/P29,VLOOKUP($W$10,'Basket Composition'!$A$34:$W$62,'PIM Ranges'!$M29,FALSE))</f>
        <v>20.785127262184727</v>
      </c>
      <c r="T29" s="19">
        <f>IFERROR(O29/R29,VLOOKUP($W$10,'Basket Composition'!$A$65:$W$92,'PIM Ranges'!$M29,FALSE))</f>
        <v>1.0168718711926215</v>
      </c>
      <c r="U29" s="19"/>
      <c r="V29" s="2">
        <f>'PIM Model'!$C$27</f>
        <v>0</v>
      </c>
      <c r="W29" s="659">
        <f>VLOOKUP($W$10,'Basket Composition'!$A$3:$W$30,'PIM Ranges'!$AJ29)</f>
        <v>7.5300000000000006E-2</v>
      </c>
      <c r="X29" s="19" t="e">
        <f t="shared" si="16"/>
        <v>#DIV/0!</v>
      </c>
      <c r="Y29" s="355" t="e">
        <f t="shared" si="17"/>
        <v>#DIV/0!</v>
      </c>
      <c r="Z29" s="355" t="e">
        <f t="shared" si="18"/>
        <v>#DIV/0!</v>
      </c>
      <c r="AA29" s="355">
        <f t="shared" si="19"/>
        <v>0</v>
      </c>
      <c r="AB29" s="660" t="e">
        <f t="shared" si="20"/>
        <v>#DIV/0!</v>
      </c>
      <c r="AC29" s="660" t="e">
        <f t="shared" si="21"/>
        <v>#DIV/0!</v>
      </c>
      <c r="AD29" s="355" t="e">
        <f t="shared" si="5"/>
        <v>#DIV/0!</v>
      </c>
      <c r="AE29" s="355"/>
      <c r="AF29" s="355" t="e">
        <f t="shared" si="22"/>
        <v>#DIV/0!</v>
      </c>
      <c r="AG29" s="42">
        <f>'PIM Model'!B27</f>
        <v>0</v>
      </c>
      <c r="AH29" s="510" t="e">
        <f t="shared" si="6"/>
        <v>#DIV/0!</v>
      </c>
      <c r="AI29" s="510" t="e">
        <f t="shared" si="23"/>
        <v>#DIV/0!</v>
      </c>
      <c r="AJ29">
        <v>20</v>
      </c>
      <c r="AK29" s="511" t="s">
        <v>94</v>
      </c>
      <c r="AL29" s="511" t="e">
        <f t="shared" si="7"/>
        <v>#DIV/0!</v>
      </c>
      <c r="AM29" s="511">
        <f t="shared" si="8"/>
        <v>0</v>
      </c>
      <c r="AN29" s="511">
        <f t="shared" si="9"/>
        <v>0</v>
      </c>
      <c r="AO29" s="512">
        <f t="shared" si="10"/>
        <v>20.785127262184727</v>
      </c>
      <c r="AP29" s="512">
        <f t="shared" si="11"/>
        <v>1.0168718711926215</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43"/>
      <c r="AW29" s="56" t="s">
        <v>94</v>
      </c>
      <c r="AX29" s="544">
        <v>6052</v>
      </c>
      <c r="AY29" s="544">
        <v>19330</v>
      </c>
      <c r="AZ29" s="544">
        <v>36449</v>
      </c>
      <c r="BA29" s="544">
        <v>81904</v>
      </c>
      <c r="BD29" s="56" t="s">
        <v>94</v>
      </c>
      <c r="BE29" s="544">
        <v>8676</v>
      </c>
      <c r="BF29" s="544">
        <v>33383</v>
      </c>
      <c r="BG29" s="544">
        <v>87871</v>
      </c>
      <c r="BH29" s="544">
        <v>205967</v>
      </c>
    </row>
    <row r="30" spans="1:60" x14ac:dyDescent="0.25">
      <c r="A30" t="e">
        <f t="shared" si="13"/>
        <v>#DIV/0!</v>
      </c>
      <c r="B30">
        <v>21</v>
      </c>
      <c r="C30" t="s">
        <v>86</v>
      </c>
      <c r="D30" s="25">
        <f>'Multi-Customer'!C30</f>
        <v>0</v>
      </c>
      <c r="E30">
        <f>'Multi-Customer'!D30</f>
        <v>0</v>
      </c>
      <c r="F30">
        <f>'Multi-Customer'!E30</f>
        <v>0</v>
      </c>
      <c r="G30" s="355">
        <f>'Multi-Customer'!F30</f>
        <v>0</v>
      </c>
      <c r="H30" s="19">
        <f t="shared" si="14"/>
        <v>0</v>
      </c>
      <c r="I30" s="19">
        <f t="shared" si="15"/>
        <v>0</v>
      </c>
      <c r="J30" s="355"/>
      <c r="K30" s="355" t="str">
        <f>'PIM Model'!E28</f>
        <v>INCLUDE</v>
      </c>
      <c r="L30" s="355" t="e">
        <f t="shared" si="0"/>
        <v>#DIV/0!</v>
      </c>
      <c r="M30">
        <v>21</v>
      </c>
      <c r="N30" s="355" t="s">
        <v>86</v>
      </c>
      <c r="O30" s="355" t="e">
        <f t="shared" si="1"/>
        <v>#DIV/0!</v>
      </c>
      <c r="P30" s="355" t="e">
        <f t="shared" si="2"/>
        <v>#DIV/0!</v>
      </c>
      <c r="Q30" s="355" t="e">
        <f t="shared" si="3"/>
        <v>#DIV/0!</v>
      </c>
      <c r="R30" s="355" t="e">
        <f t="shared" si="4"/>
        <v>#DIV/0!</v>
      </c>
      <c r="S30" s="355">
        <f>IFERROR($O30/P30,VLOOKUP($W$10,'Basket Composition'!$A$34:$W$62,'PIM Ranges'!$M30,FALSE))</f>
        <v>27.809452383144958</v>
      </c>
      <c r="T30" s="19">
        <f>IFERROR(O30/R30,VLOOKUP($W$10,'Basket Composition'!$A$65:$W$92,'PIM Ranges'!$M30,FALSE))</f>
        <v>2.0278426047912248</v>
      </c>
      <c r="U30" s="19"/>
      <c r="V30" s="2">
        <f>'PIM Model'!$C$28</f>
        <v>0</v>
      </c>
      <c r="W30" s="659">
        <f>VLOOKUP($W$10,'Basket Composition'!$A$3:$W$30,'PIM Ranges'!$AJ30)</f>
        <v>7.5000000000000002E-4</v>
      </c>
      <c r="X30" s="19" t="e">
        <f t="shared" si="16"/>
        <v>#DIV/0!</v>
      </c>
      <c r="Y30" s="355" t="e">
        <f t="shared" si="17"/>
        <v>#DIV/0!</v>
      </c>
      <c r="Z30" s="355" t="e">
        <f t="shared" si="18"/>
        <v>#DIV/0!</v>
      </c>
      <c r="AA30" s="355">
        <f t="shared" si="19"/>
        <v>0</v>
      </c>
      <c r="AB30" s="660" t="e">
        <f t="shared" si="20"/>
        <v>#DIV/0!</v>
      </c>
      <c r="AC30" s="660" t="e">
        <f t="shared" si="21"/>
        <v>#DIV/0!</v>
      </c>
      <c r="AD30" s="355" t="e">
        <f t="shared" si="5"/>
        <v>#DIV/0!</v>
      </c>
      <c r="AE30" s="355"/>
      <c r="AF30" s="355" t="e">
        <f t="shared" si="22"/>
        <v>#DIV/0!</v>
      </c>
      <c r="AG30" s="42">
        <f>'PIM Model'!B28</f>
        <v>0</v>
      </c>
      <c r="AH30" s="510" t="e">
        <f t="shared" si="6"/>
        <v>#DIV/0!</v>
      </c>
      <c r="AI30" s="510" t="e">
        <f t="shared" si="23"/>
        <v>#DIV/0!</v>
      </c>
      <c r="AJ30">
        <v>21</v>
      </c>
      <c r="AK30" s="511" t="s">
        <v>86</v>
      </c>
      <c r="AL30" s="511" t="e">
        <f t="shared" si="7"/>
        <v>#DIV/0!</v>
      </c>
      <c r="AM30" s="511">
        <f t="shared" si="8"/>
        <v>0</v>
      </c>
      <c r="AN30" s="511">
        <f t="shared" si="9"/>
        <v>0</v>
      </c>
      <c r="AO30" s="512">
        <f t="shared" si="10"/>
        <v>27.809452383144958</v>
      </c>
      <c r="AP30" s="512">
        <f t="shared" si="11"/>
        <v>2.0278426047912248</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43"/>
      <c r="AW30" s="56" t="s">
        <v>86</v>
      </c>
      <c r="AX30" s="544">
        <v>88</v>
      </c>
      <c r="AY30" s="544">
        <v>544</v>
      </c>
      <c r="AZ30" s="544">
        <v>2063</v>
      </c>
      <c r="BA30" s="544">
        <v>4981</v>
      </c>
      <c r="BD30" s="56" t="s">
        <v>86</v>
      </c>
      <c r="BE30" s="544">
        <v>151</v>
      </c>
      <c r="BF30" s="544">
        <v>808</v>
      </c>
      <c r="BG30" s="544">
        <v>4097</v>
      </c>
      <c r="BH30" s="544">
        <v>9886</v>
      </c>
    </row>
    <row r="31" spans="1:60" x14ac:dyDescent="0.25">
      <c r="A31" t="e">
        <f t="shared" si="13"/>
        <v>#DIV/0!</v>
      </c>
      <c r="B31">
        <v>22</v>
      </c>
      <c r="C31" t="s">
        <v>88</v>
      </c>
      <c r="D31" s="25">
        <f>'Multi-Customer'!C31</f>
        <v>0</v>
      </c>
      <c r="E31">
        <f>'Multi-Customer'!D31</f>
        <v>0</v>
      </c>
      <c r="F31">
        <f>'Multi-Customer'!E31</f>
        <v>0</v>
      </c>
      <c r="G31" s="355">
        <f>'Multi-Customer'!F31</f>
        <v>0</v>
      </c>
      <c r="H31" s="19">
        <f t="shared" si="14"/>
        <v>0</v>
      </c>
      <c r="I31" s="19">
        <f t="shared" si="15"/>
        <v>0</v>
      </c>
      <c r="J31" s="355"/>
      <c r="K31" s="355" t="str">
        <f>'PIM Model'!E29</f>
        <v>INCLUDE</v>
      </c>
      <c r="L31" s="355" t="e">
        <f t="shared" si="0"/>
        <v>#DIV/0!</v>
      </c>
      <c r="M31">
        <v>22</v>
      </c>
      <c r="N31" s="355" t="s">
        <v>88</v>
      </c>
      <c r="O31" s="355" t="e">
        <f t="shared" si="1"/>
        <v>#DIV/0!</v>
      </c>
      <c r="P31" s="355" t="e">
        <f t="shared" si="2"/>
        <v>#DIV/0!</v>
      </c>
      <c r="Q31" s="355" t="e">
        <f t="shared" si="3"/>
        <v>#DIV/0!</v>
      </c>
      <c r="R31" s="355" t="e">
        <f t="shared" si="4"/>
        <v>#DIV/0!</v>
      </c>
      <c r="S31" s="355">
        <f>IFERROR($O31/P31,VLOOKUP($W$10,'Basket Composition'!$A$34:$W$62,'PIM Ranges'!$M31,FALSE))</f>
        <v>75.081846414901534</v>
      </c>
      <c r="T31" s="19">
        <f>IFERROR(O31/R31,VLOOKUP($W$10,'Basket Composition'!$A$65:$W$92,'PIM Ranges'!$M31,FALSE))</f>
        <v>5.7776900855121935</v>
      </c>
      <c r="U31" s="19"/>
      <c r="V31" s="2">
        <f>'PIM Model'!$C$29</f>
        <v>0</v>
      </c>
      <c r="W31" s="659">
        <f>VLOOKUP($W$10,'Basket Composition'!$A$3:$W$30,'PIM Ranges'!$AJ31)</f>
        <v>6.7100000000000007E-2</v>
      </c>
      <c r="X31" s="19" t="e">
        <f t="shared" si="16"/>
        <v>#DIV/0!</v>
      </c>
      <c r="Y31" s="355" t="e">
        <f t="shared" si="17"/>
        <v>#DIV/0!</v>
      </c>
      <c r="Z31" s="355" t="e">
        <f t="shared" si="18"/>
        <v>#DIV/0!</v>
      </c>
      <c r="AA31" s="355">
        <f t="shared" si="19"/>
        <v>0</v>
      </c>
      <c r="AB31" s="660" t="e">
        <f t="shared" si="20"/>
        <v>#DIV/0!</v>
      </c>
      <c r="AC31" s="660" t="e">
        <f t="shared" si="21"/>
        <v>#DIV/0!</v>
      </c>
      <c r="AD31" s="355" t="e">
        <f t="shared" si="5"/>
        <v>#DIV/0!</v>
      </c>
      <c r="AE31" s="355"/>
      <c r="AF31" s="355" t="e">
        <f t="shared" si="22"/>
        <v>#DIV/0!</v>
      </c>
      <c r="AG31" s="42">
        <f>'PIM Model'!B29</f>
        <v>0</v>
      </c>
      <c r="AH31" s="510" t="e">
        <f t="shared" si="6"/>
        <v>#DIV/0!</v>
      </c>
      <c r="AI31" s="510" t="e">
        <f t="shared" si="23"/>
        <v>#DIV/0!</v>
      </c>
      <c r="AJ31">
        <v>22</v>
      </c>
      <c r="AK31" s="511" t="s">
        <v>88</v>
      </c>
      <c r="AL31" s="511" t="e">
        <f t="shared" si="7"/>
        <v>#DIV/0!</v>
      </c>
      <c r="AM31" s="511">
        <f t="shared" si="8"/>
        <v>0</v>
      </c>
      <c r="AN31" s="511">
        <f t="shared" si="9"/>
        <v>0</v>
      </c>
      <c r="AO31" s="512">
        <f t="shared" si="10"/>
        <v>75.081846414901534</v>
      </c>
      <c r="AP31" s="512">
        <f t="shared" si="11"/>
        <v>5.7776900855121935</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43"/>
      <c r="AW31" s="56" t="s">
        <v>88</v>
      </c>
      <c r="AX31" s="544">
        <v>6782</v>
      </c>
      <c r="AY31" s="544">
        <v>19966</v>
      </c>
      <c r="AZ31" s="544">
        <v>43486</v>
      </c>
      <c r="BA31" s="544">
        <v>97858</v>
      </c>
      <c r="BD31" s="56" t="s">
        <v>88</v>
      </c>
      <c r="BE31" s="544">
        <v>8688</v>
      </c>
      <c r="BF31" s="544">
        <v>30144</v>
      </c>
      <c r="BG31" s="544">
        <v>100469</v>
      </c>
      <c r="BH31" s="544">
        <v>234604</v>
      </c>
    </row>
    <row r="32" spans="1:60" x14ac:dyDescent="0.25">
      <c r="A32" t="e">
        <f t="shared" si="13"/>
        <v>#DIV/0!</v>
      </c>
      <c r="B32">
        <v>23</v>
      </c>
      <c r="C32" t="s">
        <v>87</v>
      </c>
      <c r="D32" s="25">
        <f>'Multi-Customer'!C32</f>
        <v>0</v>
      </c>
      <c r="E32">
        <f>'Multi-Customer'!D32</f>
        <v>0</v>
      </c>
      <c r="F32">
        <f>'Multi-Customer'!E32</f>
        <v>0</v>
      </c>
      <c r="G32" s="355">
        <f>'Multi-Customer'!F32</f>
        <v>0</v>
      </c>
      <c r="H32" s="19">
        <f t="shared" si="14"/>
        <v>0</v>
      </c>
      <c r="I32" s="19">
        <f t="shared" si="15"/>
        <v>0</v>
      </c>
      <c r="J32" s="355"/>
      <c r="K32" s="355" t="str">
        <f>'PIM Model'!E30</f>
        <v>INCLUDE</v>
      </c>
      <c r="L32" s="355" t="e">
        <f t="shared" si="0"/>
        <v>#DIV/0!</v>
      </c>
      <c r="M32">
        <v>23</v>
      </c>
      <c r="N32" s="355" t="s">
        <v>87</v>
      </c>
      <c r="O32" s="355" t="e">
        <f t="shared" si="1"/>
        <v>#DIV/0!</v>
      </c>
      <c r="P32" s="355" t="e">
        <f t="shared" si="2"/>
        <v>#DIV/0!</v>
      </c>
      <c r="Q32" s="355" t="e">
        <f t="shared" si="3"/>
        <v>#DIV/0!</v>
      </c>
      <c r="R32" s="355" t="e">
        <f t="shared" si="4"/>
        <v>#DIV/0!</v>
      </c>
      <c r="S32" s="355">
        <f>IFERROR($O32/P32,VLOOKUP($W$10,'Basket Composition'!$A$34:$W$62,'PIM Ranges'!$M32,FALSE))</f>
        <v>94.577997866657739</v>
      </c>
      <c r="T32" s="19">
        <f>IFERROR(O32/R32,VLOOKUP($W$10,'Basket Composition'!$A$65:$W$92,'PIM Ranges'!$M32,FALSE))</f>
        <v>5.3941529955175316</v>
      </c>
      <c r="U32" s="19"/>
      <c r="V32" s="2">
        <f>'PIM Model'!$C$30</f>
        <v>0</v>
      </c>
      <c r="W32" s="659">
        <f>VLOOKUP($W$10,'Basket Composition'!$A$3:$W$30,'PIM Ranges'!$AJ32)</f>
        <v>7.9000000000000008E-3</v>
      </c>
      <c r="X32" s="19" t="e">
        <f t="shared" si="16"/>
        <v>#DIV/0!</v>
      </c>
      <c r="Y32" s="355" t="e">
        <f t="shared" si="17"/>
        <v>#DIV/0!</v>
      </c>
      <c r="Z32" s="355" t="e">
        <f t="shared" si="18"/>
        <v>#DIV/0!</v>
      </c>
      <c r="AA32" s="355">
        <f t="shared" si="19"/>
        <v>0</v>
      </c>
      <c r="AB32" s="660" t="e">
        <f t="shared" si="20"/>
        <v>#DIV/0!</v>
      </c>
      <c r="AC32" s="660" t="e">
        <f t="shared" si="21"/>
        <v>#DIV/0!</v>
      </c>
      <c r="AD32" s="355" t="e">
        <f t="shared" si="5"/>
        <v>#DIV/0!</v>
      </c>
      <c r="AE32" s="355"/>
      <c r="AF32" s="355" t="e">
        <f t="shared" si="22"/>
        <v>#DIV/0!</v>
      </c>
      <c r="AG32" s="42">
        <f>'PIM Model'!B30</f>
        <v>0</v>
      </c>
      <c r="AH32" s="510" t="e">
        <f t="shared" si="6"/>
        <v>#DIV/0!</v>
      </c>
      <c r="AI32" s="510" t="e">
        <f t="shared" si="23"/>
        <v>#DIV/0!</v>
      </c>
      <c r="AJ32">
        <v>23</v>
      </c>
      <c r="AK32" s="511" t="s">
        <v>87</v>
      </c>
      <c r="AL32" s="511" t="e">
        <f t="shared" si="7"/>
        <v>#DIV/0!</v>
      </c>
      <c r="AM32" s="511">
        <f t="shared" si="8"/>
        <v>0</v>
      </c>
      <c r="AN32" s="511">
        <f t="shared" si="9"/>
        <v>0</v>
      </c>
      <c r="AO32" s="512">
        <f t="shared" si="10"/>
        <v>94.577997866657739</v>
      </c>
      <c r="AP32" s="512">
        <f t="shared" si="11"/>
        <v>5.3941529955175316</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43"/>
      <c r="AW32" s="56" t="s">
        <v>87</v>
      </c>
      <c r="AX32" s="544">
        <v>317</v>
      </c>
      <c r="AY32" s="544">
        <v>1177</v>
      </c>
      <c r="AZ32" s="544">
        <v>4361</v>
      </c>
      <c r="BA32" s="544">
        <v>10380</v>
      </c>
      <c r="BD32" s="56" t="s">
        <v>87</v>
      </c>
      <c r="BE32" s="544">
        <v>496</v>
      </c>
      <c r="BF32" s="544">
        <v>2401</v>
      </c>
      <c r="BG32" s="544">
        <v>10817</v>
      </c>
      <c r="BH32" s="544">
        <v>25725</v>
      </c>
    </row>
    <row r="33" spans="1:60" x14ac:dyDescent="0.25">
      <c r="A33" t="e">
        <f>SUM(A12:A32)</f>
        <v>#DIV/0!</v>
      </c>
      <c r="D33" s="25">
        <f>SUM(D$12:D$32)</f>
        <v>0</v>
      </c>
      <c r="E33">
        <f>SUM(E$12:E$32)</f>
        <v>0</v>
      </c>
      <c r="F33">
        <f>SUM(F$12:F$32)</f>
        <v>0</v>
      </c>
      <c r="G33">
        <f>SUM(G$12:G$32)</f>
        <v>0</v>
      </c>
      <c r="L33" s="355" t="e">
        <f>SUM(L12:L32)</f>
        <v>#DIV/0!</v>
      </c>
      <c r="O33" s="25" t="e">
        <f>SUM(O$12:O$32)</f>
        <v>#DIV/0!</v>
      </c>
      <c r="P33" t="e">
        <f>SUM(P$12:P$32)</f>
        <v>#DIV/0!</v>
      </c>
      <c r="Q33" t="e">
        <f>SUM(Q$12:Q$32)</f>
        <v>#DIV/0!</v>
      </c>
      <c r="R33" t="e">
        <f>SUM(R$12:R$32)</f>
        <v>#DIV/0!</v>
      </c>
      <c r="W33" s="355">
        <f>SUM($W$12:$W$32)</f>
        <v>1</v>
      </c>
      <c r="Y33" s="355" t="e">
        <f>SUM(Y12:Y32)</f>
        <v>#DIV/0!</v>
      </c>
      <c r="Z33" s="355" t="e">
        <f>SUM($Z$12:$Z$32)</f>
        <v>#DIV/0!</v>
      </c>
      <c r="AA33" s="355">
        <f>SUM(AA12:AA32)</f>
        <v>0</v>
      </c>
      <c r="AB33" s="660" t="e">
        <f>SUM(AB12:AB32)</f>
        <v>#DIV/0!</v>
      </c>
      <c r="AC33" s="660" t="e">
        <f>SUM(AC12:AC32)</f>
        <v>#DIV/0!</v>
      </c>
      <c r="AD33" s="355" t="e">
        <f>SUM(AD12:AD32)</f>
        <v>#DIV/0!</v>
      </c>
      <c r="AF33" s="355" t="e">
        <f>SUM(AF12:AF32)</f>
        <v>#DIV/0!</v>
      </c>
      <c r="AH33" s="355" t="e">
        <f>SUM(AH12:AH32)</f>
        <v>#DIV/0!</v>
      </c>
      <c r="AI33" s="355" t="e">
        <f>SUM(AI12:AI32)</f>
        <v>#DIV/0!</v>
      </c>
      <c r="AL33" s="355" t="e">
        <f>SUM(AL12:AL32)</f>
        <v>#DIV/0!</v>
      </c>
      <c r="AM33" s="355">
        <f t="shared" ref="AM33:AN33" si="24">SUM(AM12:AM32)</f>
        <v>0</v>
      </c>
      <c r="AN33" s="355">
        <f t="shared" si="24"/>
        <v>0</v>
      </c>
      <c r="AV33" s="543"/>
      <c r="AW33" s="56" t="s">
        <v>262</v>
      </c>
      <c r="AX33" s="544">
        <v>3824</v>
      </c>
      <c r="AY33" s="544">
        <v>15819</v>
      </c>
      <c r="AZ33" s="544">
        <v>31421</v>
      </c>
      <c r="BA33" s="544">
        <v>38852</v>
      </c>
      <c r="BD33" s="56" t="s">
        <v>262</v>
      </c>
      <c r="BE33" s="544">
        <v>3824</v>
      </c>
      <c r="BF33" s="544">
        <v>15819</v>
      </c>
      <c r="BG33" s="544">
        <v>31421</v>
      </c>
      <c r="BH33" s="544">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61"/>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7"/>
      <c r="AW60" s="57"/>
      <c r="AX60" s="24"/>
      <c r="AY60" s="24"/>
      <c r="AZ60" s="24"/>
      <c r="BA60" s="24"/>
      <c r="BB60" s="24"/>
      <c r="BC60" s="24"/>
      <c r="BD60" s="24"/>
      <c r="BE60" s="24"/>
      <c r="BF60" s="24"/>
      <c r="BG60" s="24"/>
    </row>
    <row r="61" spans="47:59" x14ac:dyDescent="0.25">
      <c r="AU61" s="25"/>
      <c r="AV61" s="57"/>
      <c r="AW61" s="57"/>
      <c r="AX61" s="24"/>
      <c r="AY61" s="24"/>
      <c r="AZ61" s="24"/>
      <c r="BA61" s="24"/>
      <c r="BB61" s="24"/>
      <c r="BC61" s="24"/>
      <c r="BD61" s="24"/>
      <c r="BE61" s="24"/>
      <c r="BF61" s="24"/>
      <c r="BG61" s="24"/>
    </row>
    <row r="62" spans="47:59" x14ac:dyDescent="0.25">
      <c r="AU62" s="25"/>
      <c r="AV62" s="57"/>
      <c r="AW62" s="57"/>
      <c r="AX62" s="24"/>
      <c r="AY62" s="24"/>
      <c r="AZ62" s="24"/>
      <c r="BA62" s="24"/>
      <c r="BB62" s="24"/>
      <c r="BC62" s="24"/>
      <c r="BD62" s="24"/>
      <c r="BE62" s="24"/>
      <c r="BF62" s="24"/>
      <c r="BG62" s="24"/>
    </row>
    <row r="63" spans="47:59" x14ac:dyDescent="0.25">
      <c r="AU63" s="25"/>
      <c r="AV63" s="57"/>
      <c r="AW63" s="57"/>
      <c r="AX63" s="24"/>
      <c r="AY63" s="24"/>
      <c r="AZ63" s="24"/>
      <c r="BA63" s="24"/>
      <c r="BB63" s="24"/>
      <c r="BC63" s="24"/>
      <c r="BD63" s="24"/>
      <c r="BE63" s="24"/>
      <c r="BF63" s="24"/>
      <c r="BG63" s="24"/>
    </row>
    <row r="64" spans="47:59" x14ac:dyDescent="0.25">
      <c r="AU64" s="25"/>
      <c r="AV64" s="57"/>
      <c r="AW64" s="57"/>
      <c r="AX64" s="24"/>
      <c r="AY64" s="24"/>
      <c r="AZ64" s="24"/>
      <c r="BA64" s="24"/>
      <c r="BB64" s="24"/>
      <c r="BC64" s="24"/>
      <c r="BD64" s="24"/>
      <c r="BE64" s="24"/>
      <c r="BF64" s="24"/>
      <c r="BG64" s="24"/>
    </row>
    <row r="65" spans="47:59" x14ac:dyDescent="0.25">
      <c r="AU65" s="25"/>
      <c r="AV65" s="57"/>
      <c r="AW65" s="57"/>
      <c r="AX65" s="24"/>
      <c r="AY65" s="24"/>
      <c r="AZ65" s="24"/>
      <c r="BA65" s="24"/>
      <c r="BB65" s="24"/>
      <c r="BC65" s="24"/>
      <c r="BD65" s="24"/>
      <c r="BE65" s="24"/>
      <c r="BF65" s="24"/>
      <c r="BG65" s="24"/>
    </row>
    <row r="66" spans="47:59" x14ac:dyDescent="0.25">
      <c r="AU66" s="25"/>
      <c r="AV66" s="57"/>
      <c r="AW66" s="57"/>
      <c r="AX66" s="24"/>
      <c r="AY66" s="24"/>
      <c r="AZ66" s="24"/>
      <c r="BA66" s="24"/>
      <c r="BB66" s="24"/>
      <c r="BC66" s="24"/>
      <c r="BD66" s="24"/>
      <c r="BE66" s="24"/>
      <c r="BF66" s="24"/>
      <c r="BG66" s="24"/>
    </row>
    <row r="67" spans="47:59" x14ac:dyDescent="0.25">
      <c r="AV67" s="57"/>
      <c r="AW67" s="57"/>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3">
    <tabColor rgb="FFFF0000"/>
    <pageSetUpPr fitToPage="1"/>
  </sheetPr>
  <dimension ref="A1:W84"/>
  <sheetViews>
    <sheetView zoomScaleNormal="100" workbookViewId="0">
      <selection sqref="A1:D1"/>
    </sheetView>
  </sheetViews>
  <sheetFormatPr defaultColWidth="8.85546875" defaultRowHeight="15" x14ac:dyDescent="0.25"/>
  <cols>
    <col min="1" max="1" width="16.85546875" bestFit="1" customWidth="1"/>
    <col min="2" max="2" width="23.5703125" bestFit="1" customWidth="1"/>
    <col min="3" max="3" width="18.7109375" customWidth="1"/>
    <col min="4" max="4" width="16.5703125" bestFit="1" customWidth="1"/>
    <col min="5" max="5" width="1.7109375" style="311" customWidth="1"/>
    <col min="6" max="6" width="14.140625" customWidth="1"/>
    <col min="7" max="7" width="11.5703125" bestFit="1" customWidth="1"/>
    <col min="8" max="8" width="1.7109375" style="312" customWidth="1"/>
    <col min="9" max="9" width="8.140625" customWidth="1"/>
    <col min="10" max="10" width="20.28515625" bestFit="1" customWidth="1"/>
    <col min="11" max="11" width="20.7109375" bestFit="1" customWidth="1"/>
    <col min="12" max="12" width="12.5703125" customWidth="1"/>
    <col min="13" max="13" width="1.7109375" style="312" customWidth="1"/>
    <col min="14" max="14" width="9.5703125" customWidth="1"/>
    <col min="15" max="15" width="13.7109375" customWidth="1"/>
    <col min="16" max="17" width="14.7109375" customWidth="1"/>
    <col min="18" max="18" width="1.7109375" style="312" customWidth="1"/>
    <col min="19" max="19" width="8.140625" customWidth="1"/>
    <col min="20" max="20" width="15.85546875" customWidth="1"/>
    <col min="21" max="21" width="12.140625" bestFit="1" customWidth="1"/>
    <col min="22" max="22" width="14.7109375" customWidth="1"/>
    <col min="23" max="23" width="1.7109375" style="312" customWidth="1"/>
  </cols>
  <sheetData>
    <row r="1" spans="1:23" ht="29.25" thickBot="1" x14ac:dyDescent="0.5">
      <c r="A1" s="1213" t="s">
        <v>830</v>
      </c>
      <c r="B1" s="1213"/>
      <c r="C1" s="1213"/>
      <c r="D1" s="1213"/>
      <c r="F1" s="1214" t="s">
        <v>759</v>
      </c>
      <c r="G1" s="1214"/>
      <c r="I1" s="1215" t="s">
        <v>829</v>
      </c>
      <c r="J1" s="1216"/>
      <c r="K1" s="1216"/>
      <c r="L1" s="1216"/>
      <c r="M1" s="1216"/>
      <c r="N1" s="1216"/>
      <c r="O1" s="1216"/>
      <c r="P1" s="1216"/>
      <c r="Q1" s="1216"/>
      <c r="R1" s="1216"/>
      <c r="S1" s="1216"/>
      <c r="T1" s="1216"/>
      <c r="U1" s="1216"/>
      <c r="V1" s="1217"/>
    </row>
    <row r="2" spans="1:23" x14ac:dyDescent="0.25">
      <c r="I2" s="362"/>
      <c r="J2" s="141"/>
      <c r="K2" s="141"/>
      <c r="L2" s="141"/>
      <c r="M2" s="141"/>
      <c r="N2" s="141"/>
      <c r="O2" s="141"/>
      <c r="P2" s="141"/>
      <c r="Q2" s="141"/>
      <c r="R2" s="141"/>
      <c r="S2" s="141"/>
      <c r="T2" s="141"/>
      <c r="U2" s="141"/>
      <c r="V2" s="365"/>
    </row>
    <row r="3" spans="1:23" x14ac:dyDescent="0.25">
      <c r="A3" t="s">
        <v>252</v>
      </c>
      <c r="B3" s="1187">
        <f>Welcome!$D$4</f>
        <v>0</v>
      </c>
      <c r="C3" s="1187"/>
      <c r="I3" s="357">
        <v>1</v>
      </c>
      <c r="J3" t="s">
        <v>785</v>
      </c>
      <c r="L3" s="1187" t="str">
        <f>"ALC "&amp;'Required Info to Submit'!$F$6</f>
        <v xml:space="preserve">ALC </v>
      </c>
      <c r="M3" s="1187"/>
      <c r="N3" s="1187"/>
      <c r="O3" s="1187"/>
      <c r="P3" s="1187"/>
      <c r="R3"/>
      <c r="V3" s="144"/>
    </row>
    <row r="4" spans="1:23" ht="45" x14ac:dyDescent="0.25">
      <c r="A4" t="s">
        <v>766</v>
      </c>
      <c r="B4" s="1218">
        <f>'Required Info to Submit'!$F$6</f>
        <v>0</v>
      </c>
      <c r="C4" s="1218"/>
      <c r="D4" s="2" t="s">
        <v>922</v>
      </c>
      <c r="F4" s="272" t="s">
        <v>760</v>
      </c>
      <c r="G4" s="694">
        <f>Incentives!$H$9</f>
        <v>0</v>
      </c>
      <c r="H4" s="314"/>
      <c r="I4" s="357">
        <v>2</v>
      </c>
      <c r="J4" t="s">
        <v>761</v>
      </c>
      <c r="L4" s="366">
        <f>'Required Info to Submit'!$F$14</f>
        <v>44332</v>
      </c>
      <c r="M4" s="366"/>
      <c r="N4" s="366"/>
      <c r="O4" s="367">
        <v>3</v>
      </c>
      <c r="P4" s="1187" t="s">
        <v>763</v>
      </c>
      <c r="Q4" s="1187"/>
      <c r="R4" s="1187"/>
      <c r="S4" s="1220">
        <f>$L$4+(364*$G$5)+6</f>
        <v>44338</v>
      </c>
      <c r="T4" s="1220"/>
      <c r="U4" s="366"/>
      <c r="V4" s="144"/>
    </row>
    <row r="5" spans="1:23" x14ac:dyDescent="0.25">
      <c r="A5" t="s">
        <v>1064</v>
      </c>
      <c r="B5" s="1222">
        <f>'Required Info to Submit'!$F$8</f>
        <v>0</v>
      </c>
      <c r="C5" s="1222"/>
      <c r="D5">
        <f>G5*12</f>
        <v>0</v>
      </c>
      <c r="F5" s="272" t="s">
        <v>762</v>
      </c>
      <c r="G5" s="313">
        <f>Welcome!$D$12</f>
        <v>0</v>
      </c>
      <c r="H5" s="314"/>
      <c r="I5" s="358"/>
      <c r="M5"/>
      <c r="O5" s="2"/>
      <c r="P5" s="304"/>
      <c r="Q5" s="304"/>
      <c r="R5" s="304"/>
      <c r="S5" s="304"/>
      <c r="T5" s="304"/>
      <c r="V5" s="144"/>
    </row>
    <row r="6" spans="1:23" x14ac:dyDescent="0.25">
      <c r="A6" t="s">
        <v>824</v>
      </c>
      <c r="B6" s="1219">
        <f>'Required Info to Submit'!$F$14</f>
        <v>44332</v>
      </c>
      <c r="C6" s="1219"/>
      <c r="F6" t="s">
        <v>764</v>
      </c>
      <c r="G6" s="793">
        <f>IF(L4&lt;43827,43827-L4+1,IF(L4&lt;43918,43918-L4+1,IF(L4&lt;44009,44009-L4+1,IF(L4&lt;44198,44198-L4+1,IF(L4&lt;44289,44289-L4+1,IF(L4&lt;44380,44380-L4+1,IF(L4&lt;44471,44471-L4+1,44562-L4+1)))))))/7</f>
        <v>7</v>
      </c>
      <c r="H6" s="315"/>
      <c r="I6" s="357">
        <v>5</v>
      </c>
      <c r="J6" t="s">
        <v>765</v>
      </c>
      <c r="L6" s="304">
        <f>'MDA Worksheet'!$D$95</f>
        <v>0</v>
      </c>
      <c r="M6"/>
      <c r="O6" s="367">
        <v>7</v>
      </c>
      <c r="P6" s="1187" t="s">
        <v>786</v>
      </c>
      <c r="Q6" s="1187"/>
      <c r="R6" s="1187"/>
      <c r="S6" s="1221">
        <f>-('Tracking &amp; Profitability'!$E$22)</f>
        <v>0</v>
      </c>
      <c r="T6" s="1221"/>
      <c r="U6" s="20"/>
      <c r="V6" s="144"/>
    </row>
    <row r="7" spans="1:23" x14ac:dyDescent="0.25">
      <c r="A7" t="s">
        <v>825</v>
      </c>
      <c r="B7" s="1187">
        <f>'Required Info to Submit'!$F$10</f>
        <v>0</v>
      </c>
      <c r="C7" s="1187"/>
      <c r="F7" s="902" t="str">
        <f>IF(Incentives!E15="Yes","VB","")</f>
        <v/>
      </c>
      <c r="G7" s="902" t="str">
        <f>IF(Incentives!E26="YES","DS","")</f>
        <v/>
      </c>
      <c r="I7" s="357">
        <v>6</v>
      </c>
      <c r="J7" t="s">
        <v>787</v>
      </c>
      <c r="L7" s="1187" t="str">
        <f>'MDA Worksheet'!$K$95</f>
        <v/>
      </c>
      <c r="M7" s="1187"/>
      <c r="N7" s="1187"/>
      <c r="O7" s="367">
        <v>8</v>
      </c>
      <c r="P7" s="1187" t="s">
        <v>902</v>
      </c>
      <c r="Q7" s="1187"/>
      <c r="R7" s="1187"/>
      <c r="S7" s="1187">
        <f>'Required Info to Submit'!$F$10</f>
        <v>0</v>
      </c>
      <c r="T7" s="1187"/>
      <c r="V7" s="144"/>
    </row>
    <row r="8" spans="1:23" x14ac:dyDescent="0.25">
      <c r="A8" t="s">
        <v>826</v>
      </c>
      <c r="B8" s="1187">
        <f>'Required Info to Submit'!$F$9</f>
        <v>0</v>
      </c>
      <c r="C8" s="1187"/>
      <c r="F8" s="902" t="str">
        <f>IF(Incentives!E37="Yes","EB","")</f>
        <v/>
      </c>
      <c r="G8" s="902" t="str">
        <f>IF(Incentives!E48="Yes","SG","")</f>
        <v/>
      </c>
      <c r="I8" s="143"/>
      <c r="M8"/>
      <c r="R8"/>
      <c r="V8" s="144"/>
    </row>
    <row r="9" spans="1:23" x14ac:dyDescent="0.25">
      <c r="A9" t="s">
        <v>682</v>
      </c>
      <c r="B9" s="1187">
        <f>'Required Info to Submit'!$F$12</f>
        <v>0</v>
      </c>
      <c r="C9" s="1187"/>
      <c r="F9" s="902" t="str">
        <f>IF(Incentives!E56="Yes","EC","")</f>
        <v/>
      </c>
      <c r="G9" s="902" t="str">
        <f>IF(Incentives!E89="Yes","CC","")</f>
        <v/>
      </c>
      <c r="I9" s="368" t="s">
        <v>904</v>
      </c>
      <c r="J9" s="317" t="s">
        <v>968</v>
      </c>
      <c r="K9" s="316" t="s">
        <v>893</v>
      </c>
      <c r="L9" s="317" t="s">
        <v>905</v>
      </c>
      <c r="M9" s="317"/>
      <c r="N9" s="317"/>
      <c r="O9" s="316" t="s">
        <v>906</v>
      </c>
      <c r="P9" s="317"/>
      <c r="Q9" s="318"/>
      <c r="R9"/>
      <c r="V9" s="144"/>
    </row>
    <row r="10" spans="1:23" ht="15.75" thickBot="1" x14ac:dyDescent="0.3">
      <c r="A10" t="s">
        <v>827</v>
      </c>
      <c r="B10" s="1187">
        <f>'Required Info to Submit'!$F$11</f>
        <v>0</v>
      </c>
      <c r="C10" s="1187"/>
      <c r="F10" s="902" t="str">
        <f>IF(Incentives!E64="Yes","PP","")</f>
        <v/>
      </c>
      <c r="G10" s="902" t="str">
        <f>IF(Incentives!E81="Yes","CBT","")</f>
        <v/>
      </c>
      <c r="I10" s="291"/>
      <c r="J10" s="292"/>
      <c r="K10" s="292"/>
      <c r="L10" s="292"/>
      <c r="M10" s="292"/>
      <c r="N10" s="292"/>
      <c r="O10" s="292"/>
      <c r="P10" s="292"/>
      <c r="Q10" s="292"/>
      <c r="R10" s="292"/>
      <c r="S10" s="292"/>
      <c r="T10" s="292"/>
      <c r="U10" s="292"/>
      <c r="V10" s="293"/>
    </row>
    <row r="11" spans="1:23" ht="16.5" thickBot="1" x14ac:dyDescent="0.3">
      <c r="B11" s="1212"/>
      <c r="C11" s="1212"/>
      <c r="F11" s="976" t="str">
        <f>IF(Incentives!E72="Yes","Roll","")</f>
        <v/>
      </c>
      <c r="I11" s="1188" t="s">
        <v>767</v>
      </c>
      <c r="J11" s="1189"/>
      <c r="K11" s="1189"/>
      <c r="L11" s="1190"/>
      <c r="M11" s="320"/>
      <c r="N11" s="1188" t="s">
        <v>491</v>
      </c>
      <c r="O11" s="1189"/>
      <c r="P11" s="1189"/>
      <c r="Q11" s="1190"/>
      <c r="R11" s="320"/>
      <c r="S11" s="1188" t="s">
        <v>555</v>
      </c>
      <c r="T11" s="1189"/>
      <c r="U11" s="1189"/>
      <c r="V11" s="1190"/>
    </row>
    <row r="12" spans="1:23" ht="15.75" thickBot="1" x14ac:dyDescent="0.3">
      <c r="A12" s="1184" t="s">
        <v>767</v>
      </c>
      <c r="B12" s="1185"/>
      <c r="C12" s="1185"/>
      <c r="D12" s="1186"/>
      <c r="E12" s="942"/>
      <c r="F12" s="141"/>
      <c r="G12" s="141"/>
      <c r="H12" s="863"/>
      <c r="I12" s="1191" t="s">
        <v>768</v>
      </c>
      <c r="J12" s="1192"/>
      <c r="K12" s="1192"/>
      <c r="L12" s="1193"/>
      <c r="M12" s="320"/>
      <c r="N12" s="1191" t="s">
        <v>769</v>
      </c>
      <c r="O12" s="1192"/>
      <c r="P12" s="1192"/>
      <c r="Q12" s="1193"/>
      <c r="R12" s="320"/>
      <c r="S12" s="1191" t="s">
        <v>770</v>
      </c>
      <c r="T12" s="1192"/>
      <c r="U12" s="1192"/>
      <c r="V12" s="1193"/>
    </row>
    <row r="13" spans="1:23" x14ac:dyDescent="0.25">
      <c r="A13" s="321" t="s">
        <v>771</v>
      </c>
      <c r="B13" s="322">
        <f>$L$4</f>
        <v>44332</v>
      </c>
      <c r="C13" s="323" t="s">
        <v>772</v>
      </c>
      <c r="D13" s="327">
        <f>$S$4</f>
        <v>44338</v>
      </c>
      <c r="E13" s="324"/>
      <c r="F13" s="323"/>
      <c r="G13" s="323"/>
      <c r="H13" s="325"/>
      <c r="I13" s="359" t="s">
        <v>773</v>
      </c>
      <c r="J13" s="322">
        <f>L4</f>
        <v>44332</v>
      </c>
      <c r="K13" s="326" t="s">
        <v>774</v>
      </c>
      <c r="L13" s="327">
        <f>D13</f>
        <v>44338</v>
      </c>
      <c r="M13" s="325"/>
      <c r="N13" s="351" t="s">
        <v>773</v>
      </c>
      <c r="O13" s="329">
        <f>$L$4</f>
        <v>44332</v>
      </c>
      <c r="P13" s="88" t="s">
        <v>774</v>
      </c>
      <c r="Q13" s="352">
        <f>$S$4</f>
        <v>44338</v>
      </c>
      <c r="R13" s="325"/>
      <c r="S13" s="143" t="s">
        <v>773</v>
      </c>
      <c r="T13" s="329">
        <f>$L$4</f>
        <v>44332</v>
      </c>
      <c r="U13" s="88" t="s">
        <v>774</v>
      </c>
      <c r="V13" s="352">
        <f>$S$4</f>
        <v>44338</v>
      </c>
      <c r="W13" s="314"/>
    </row>
    <row r="14" spans="1:23" ht="45" x14ac:dyDescent="0.25">
      <c r="A14" s="328" t="s">
        <v>906</v>
      </c>
      <c r="B14" s="843" t="str">
        <f>Incentives!$I$14</f>
        <v>Select Payment Method</v>
      </c>
      <c r="C14" s="903"/>
      <c r="D14" s="333"/>
      <c r="E14" s="330"/>
      <c r="F14" s="272"/>
      <c r="G14" s="272"/>
      <c r="H14" s="314"/>
      <c r="I14" s="360" t="s">
        <v>924</v>
      </c>
      <c r="J14" s="329" t="str">
        <f>Incentives!$I$14</f>
        <v>Select Payment Method</v>
      </c>
      <c r="K14" s="332" t="str">
        <f>IF(J14="Check","Check","Credit Memo")</f>
        <v>Credit Memo</v>
      </c>
      <c r="L14" s="695">
        <f>Incentives!$K$14</f>
        <v>0</v>
      </c>
      <c r="M14" s="314"/>
      <c r="N14" s="360" t="s">
        <v>925</v>
      </c>
      <c r="O14" s="329" t="str">
        <f>Incentives!$I$25</f>
        <v>Select Payment Method</v>
      </c>
      <c r="P14" s="332" t="str">
        <f>IF(O14="Check","Check","Credit Memo")</f>
        <v>Credit Memo</v>
      </c>
      <c r="Q14" s="695">
        <f>Incentives!$K$25</f>
        <v>0</v>
      </c>
      <c r="R14" s="314"/>
      <c r="S14" s="328" t="s">
        <v>925</v>
      </c>
      <c r="T14" s="329" t="str">
        <f>Incentives!$I$36</f>
        <v>Select Payment Method</v>
      </c>
      <c r="U14" s="332" t="str">
        <f>IF(T14="Check","Check","Credit Memo")</f>
        <v>Credit Memo</v>
      </c>
      <c r="V14" s="695">
        <f>Incentives!$K$36</f>
        <v>0</v>
      </c>
      <c r="W14" s="314"/>
    </row>
    <row r="15" spans="1:23" x14ac:dyDescent="0.25">
      <c r="A15" s="328" t="s">
        <v>1249</v>
      </c>
      <c r="B15" s="843" t="str">
        <f>Incentives!$G$14</f>
        <v>Quarterly</v>
      </c>
      <c r="C15" s="903"/>
      <c r="D15" s="333"/>
      <c r="E15" s="330"/>
      <c r="F15" s="272"/>
      <c r="G15" s="272"/>
      <c r="H15" s="314"/>
      <c r="I15" s="784" t="s">
        <v>1249</v>
      </c>
      <c r="J15" s="329" t="str">
        <f>B15</f>
        <v>Quarterly</v>
      </c>
      <c r="K15" s="332"/>
      <c r="L15" s="333"/>
      <c r="M15" s="314"/>
      <c r="N15" s="143"/>
      <c r="O15" s="88" t="s">
        <v>918</v>
      </c>
      <c r="P15" t="s">
        <v>919</v>
      </c>
      <c r="Q15" s="144"/>
      <c r="R15" s="314"/>
      <c r="S15" s="143"/>
      <c r="T15" s="88" t="s">
        <v>918</v>
      </c>
      <c r="U15" t="s">
        <v>919</v>
      </c>
      <c r="V15" s="144"/>
      <c r="W15" s="314"/>
    </row>
    <row r="16" spans="1:23" x14ac:dyDescent="0.25">
      <c r="A16" s="328"/>
      <c r="B16" s="843"/>
      <c r="C16" s="903"/>
      <c r="D16" s="333"/>
      <c r="E16" s="330"/>
      <c r="F16" s="272"/>
      <c r="G16" s="272"/>
      <c r="H16" s="314"/>
      <c r="I16" s="360"/>
      <c r="J16" s="88" t="s">
        <v>917</v>
      </c>
      <c r="K16" s="331">
        <f>Incentives!$I$18</f>
        <v>0.01</v>
      </c>
      <c r="L16" s="333"/>
      <c r="M16" s="314"/>
      <c r="N16" s="784" t="s">
        <v>1249</v>
      </c>
      <c r="O16" s="920" t="str">
        <f>B27</f>
        <v>Quarterly</v>
      </c>
      <c r="P16" s="332"/>
      <c r="Q16" s="333"/>
      <c r="R16" s="314"/>
      <c r="S16" s="784" t="s">
        <v>1249</v>
      </c>
      <c r="T16" s="920" t="str">
        <f>B37</f>
        <v>Quarterly</v>
      </c>
      <c r="U16" s="332"/>
      <c r="V16" s="333"/>
      <c r="W16" s="314"/>
    </row>
    <row r="17" spans="1:23" x14ac:dyDescent="0.25">
      <c r="A17" s="143"/>
      <c r="B17" s="818"/>
      <c r="C17" s="818"/>
      <c r="D17" s="144"/>
      <c r="I17" s="143"/>
      <c r="J17" s="88" t="s">
        <v>918</v>
      </c>
      <c r="K17" t="s">
        <v>919</v>
      </c>
      <c r="L17" s="144"/>
      <c r="M17" s="334"/>
      <c r="N17" s="143"/>
      <c r="Q17" s="361"/>
      <c r="S17" s="143"/>
      <c r="V17" s="144"/>
    </row>
    <row r="18" spans="1:23" ht="30" x14ac:dyDescent="0.25">
      <c r="A18" s="335"/>
      <c r="B18" s="336" t="s">
        <v>775</v>
      </c>
      <c r="C18" s="336" t="s">
        <v>776</v>
      </c>
      <c r="D18" s="769" t="s">
        <v>777</v>
      </c>
      <c r="E18" s="337"/>
      <c r="F18" s="338"/>
      <c r="G18" s="338" t="s">
        <v>778</v>
      </c>
      <c r="H18" s="339"/>
      <c r="I18" s="784">
        <v>3</v>
      </c>
      <c r="J18" s="338"/>
      <c r="K18" s="785" t="s">
        <v>1101</v>
      </c>
      <c r="L18" s="786" t="s">
        <v>1102</v>
      </c>
      <c r="M18" s="339"/>
      <c r="N18" s="784">
        <v>3</v>
      </c>
      <c r="P18" s="785" t="s">
        <v>1101</v>
      </c>
      <c r="Q18" s="786" t="s">
        <v>1102</v>
      </c>
      <c r="R18" s="339"/>
      <c r="S18" s="784">
        <v>2</v>
      </c>
      <c r="U18" s="785" t="s">
        <v>1103</v>
      </c>
      <c r="V18" s="786" t="s">
        <v>1104</v>
      </c>
      <c r="W18" s="339"/>
    </row>
    <row r="19" spans="1:23" x14ac:dyDescent="0.25">
      <c r="A19" s="143"/>
      <c r="B19" s="929">
        <v>0</v>
      </c>
      <c r="C19" s="377">
        <f>IF(ISERROR(B20-0.01),"",B20-0.01)</f>
        <v>-0.01</v>
      </c>
      <c r="D19" s="943">
        <f>Incentives!$I$17</f>
        <v>0</v>
      </c>
      <c r="E19" s="341"/>
      <c r="I19" s="358" t="s">
        <v>1097</v>
      </c>
      <c r="K19">
        <v>0</v>
      </c>
      <c r="L19" s="773">
        <f>D19</f>
        <v>0</v>
      </c>
      <c r="N19" s="358" t="s">
        <v>1097</v>
      </c>
      <c r="P19" s="374">
        <f>B29</f>
        <v>0</v>
      </c>
      <c r="Q19" s="774">
        <f>D29</f>
        <v>0</v>
      </c>
      <c r="S19" s="358" t="s">
        <v>1097</v>
      </c>
      <c r="U19" s="24">
        <f>B39</f>
        <v>0</v>
      </c>
      <c r="V19" s="774">
        <f>D39</f>
        <v>0</v>
      </c>
    </row>
    <row r="20" spans="1:23" x14ac:dyDescent="0.25">
      <c r="A20" s="143"/>
      <c r="B20" s="371">
        <f>ROUND(Incentives!$G$18,0)</f>
        <v>0</v>
      </c>
      <c r="C20" s="377">
        <f>IF(ISERROR(B21-0.01),"",B21-0.01)</f>
        <v>-0.01</v>
      </c>
      <c r="D20" s="943">
        <f>Incentives!$I$18</f>
        <v>0.01</v>
      </c>
      <c r="E20" s="341"/>
      <c r="F20">
        <v>1</v>
      </c>
      <c r="G20" s="342">
        <f>Incentives!$E$18</f>
        <v>0</v>
      </c>
      <c r="H20" s="343"/>
      <c r="I20" s="358" t="s">
        <v>1098</v>
      </c>
      <c r="J20" t="str">
        <f>IF(AND($B$20=0, B21=0),"Flat Rate",0)</f>
        <v>Flat Rate</v>
      </c>
      <c r="K20" t="str">
        <f>IF($B$20=0,"",ROUND($B$20,0))</f>
        <v/>
      </c>
      <c r="L20" s="774">
        <f t="shared" ref="L20:L22" si="0">D20</f>
        <v>0.01</v>
      </c>
      <c r="N20" s="358" t="s">
        <v>1098</v>
      </c>
      <c r="P20" s="375">
        <f>B30</f>
        <v>0</v>
      </c>
      <c r="Q20" s="774">
        <f>D30</f>
        <v>0.01</v>
      </c>
      <c r="S20" s="358" t="s">
        <v>1098</v>
      </c>
      <c r="U20" s="24">
        <f>B40</f>
        <v>0</v>
      </c>
      <c r="V20" s="774">
        <f>D40</f>
        <v>0.01</v>
      </c>
    </row>
    <row r="21" spans="1:23" x14ac:dyDescent="0.25">
      <c r="A21" s="143"/>
      <c r="B21" s="371">
        <f>IF(D21=0,"",ROUND(Incentives!$G$19,0))</f>
        <v>0</v>
      </c>
      <c r="C21" s="377" t="str">
        <f>IF(OR(ISERROR(B22-0.01),B22=0),"",B22-0.01)</f>
        <v/>
      </c>
      <c r="D21" s="943">
        <f>Incentives!$I$19</f>
        <v>1.4999999999999999E-2</v>
      </c>
      <c r="E21" s="341"/>
      <c r="F21">
        <v>2</v>
      </c>
      <c r="G21" s="342">
        <f>Incentives!$E$19</f>
        <v>0</v>
      </c>
      <c r="H21" s="343"/>
      <c r="I21" s="358" t="s">
        <v>1099</v>
      </c>
      <c r="K21">
        <f>IF($B$21="","",ROUND($B$21,0))</f>
        <v>0</v>
      </c>
      <c r="L21" s="774">
        <f t="shared" si="0"/>
        <v>1.4999999999999999E-2</v>
      </c>
      <c r="N21" s="358" t="s">
        <v>1099</v>
      </c>
      <c r="P21" s="375">
        <f>B31</f>
        <v>0</v>
      </c>
      <c r="Q21" s="774">
        <f>D31</f>
        <v>1.4999999999999999E-2</v>
      </c>
      <c r="S21" s="358" t="s">
        <v>1099</v>
      </c>
      <c r="U21" s="59">
        <f>B41</f>
        <v>0</v>
      </c>
      <c r="V21" s="773">
        <f>D41</f>
        <v>1.4999999999999999E-2</v>
      </c>
    </row>
    <row r="22" spans="1:23" ht="15.75" thickBot="1" x14ac:dyDescent="0.3">
      <c r="A22" s="291"/>
      <c r="B22" s="372">
        <f>IF(D22=0,"",Incentives!$G$20)</f>
        <v>0</v>
      </c>
      <c r="C22" s="345">
        <v>999999.99</v>
      </c>
      <c r="D22" s="944">
        <f>Incentives!$I$20</f>
        <v>0.02</v>
      </c>
      <c r="E22" s="347"/>
      <c r="F22" s="292">
        <v>3</v>
      </c>
      <c r="G22" s="348">
        <f>Incentives!$E$20</f>
        <v>0</v>
      </c>
      <c r="H22" s="349"/>
      <c r="I22" s="358" t="s">
        <v>1100</v>
      </c>
      <c r="J22" s="292"/>
      <c r="K22" s="292">
        <f>IF($B$22="","",ROUND($B$22,0))</f>
        <v>0</v>
      </c>
      <c r="L22" s="872">
        <f t="shared" si="0"/>
        <v>0.02</v>
      </c>
      <c r="M22" s="350"/>
      <c r="N22" s="358" t="s">
        <v>1100</v>
      </c>
      <c r="O22" s="292"/>
      <c r="P22" s="376">
        <f>B32</f>
        <v>0</v>
      </c>
      <c r="Q22" s="872">
        <f>D32</f>
        <v>0.02</v>
      </c>
      <c r="R22" s="350"/>
      <c r="S22" s="358" t="s">
        <v>1100</v>
      </c>
      <c r="U22" s="59">
        <f>B42</f>
        <v>0</v>
      </c>
      <c r="V22" s="773">
        <f>D42</f>
        <v>0.02</v>
      </c>
    </row>
    <row r="23" spans="1:23" ht="16.5" thickBot="1" x14ac:dyDescent="0.3">
      <c r="E23" s="937"/>
      <c r="H23" s="863"/>
      <c r="I23" s="1188" t="s">
        <v>1236</v>
      </c>
      <c r="J23" s="1189"/>
      <c r="K23" s="1189"/>
      <c r="L23" s="1190"/>
      <c r="M23" s="862"/>
      <c r="N23" s="1203" t="s">
        <v>1237</v>
      </c>
      <c r="O23" s="1204"/>
      <c r="P23" s="1204"/>
      <c r="Q23" s="1205"/>
      <c r="R23" s="862"/>
      <c r="S23" s="1188" t="s">
        <v>1223</v>
      </c>
      <c r="T23" s="1189"/>
      <c r="U23" s="1189"/>
      <c r="V23" s="1190"/>
    </row>
    <row r="24" spans="1:23" ht="15.75" thickBot="1" x14ac:dyDescent="0.3">
      <c r="A24" s="1184" t="s">
        <v>491</v>
      </c>
      <c r="B24" s="1185"/>
      <c r="C24" s="1185"/>
      <c r="D24" s="1186"/>
      <c r="E24" s="319"/>
      <c r="F24" s="141"/>
      <c r="G24" s="141"/>
      <c r="H24" s="320"/>
      <c r="I24" s="1191" t="s">
        <v>779</v>
      </c>
      <c r="J24" s="1192"/>
      <c r="K24" s="1192"/>
      <c r="L24" s="1193"/>
      <c r="M24" s="862"/>
      <c r="N24" s="1209" t="s">
        <v>779</v>
      </c>
      <c r="O24" s="1210"/>
      <c r="P24" s="1210"/>
      <c r="Q24" s="1211"/>
      <c r="R24" s="862"/>
      <c r="S24" s="1191" t="s">
        <v>780</v>
      </c>
      <c r="T24" s="1192"/>
      <c r="U24" s="1192"/>
      <c r="V24" s="1193"/>
    </row>
    <row r="25" spans="1:23" x14ac:dyDescent="0.25">
      <c r="A25" s="328" t="s">
        <v>761</v>
      </c>
      <c r="B25" s="843">
        <f>$L$4</f>
        <v>44332</v>
      </c>
      <c r="C25" s="903" t="s">
        <v>772</v>
      </c>
      <c r="D25" s="333">
        <f>$S$4</f>
        <v>44338</v>
      </c>
      <c r="I25" s="963" t="s">
        <v>773</v>
      </c>
      <c r="J25" s="322">
        <f>$L$4</f>
        <v>44332</v>
      </c>
      <c r="K25" s="363" t="s">
        <v>774</v>
      </c>
      <c r="L25" s="364">
        <f>$S$4</f>
        <v>44338</v>
      </c>
      <c r="N25" s="143"/>
      <c r="O25" s="818"/>
      <c r="P25" s="818"/>
      <c r="Q25" s="144"/>
      <c r="S25" s="143" t="s">
        <v>773</v>
      </c>
      <c r="T25" s="843">
        <f>$L$4</f>
        <v>44332</v>
      </c>
      <c r="U25" s="845" t="s">
        <v>774</v>
      </c>
      <c r="V25" s="352">
        <f>$S$4</f>
        <v>44338</v>
      </c>
    </row>
    <row r="26" spans="1:23" ht="30" x14ac:dyDescent="0.25">
      <c r="A26" s="328" t="s">
        <v>906</v>
      </c>
      <c r="B26" s="843" t="str">
        <f>Incentives!$I$25</f>
        <v>Select Payment Method</v>
      </c>
      <c r="C26" s="903"/>
      <c r="D26" s="333"/>
      <c r="I26" s="957"/>
      <c r="J26" s="845" t="str">
        <f>IF(Incentives!$I$63="Check","Check","Credit Memo")</f>
        <v>Credit Memo</v>
      </c>
      <c r="K26" s="818">
        <f>Incentives!$K$63</f>
        <v>0</v>
      </c>
      <c r="L26" s="352"/>
      <c r="N26" s="143"/>
      <c r="O26" s="849" t="s">
        <v>1215</v>
      </c>
      <c r="P26" s="849"/>
      <c r="Q26" s="850">
        <f>D62</f>
        <v>0</v>
      </c>
      <c r="S26" s="328" t="s">
        <v>925</v>
      </c>
      <c r="T26" s="843" t="str">
        <f>Incentives!$I$80</f>
        <v>Select Payment Method</v>
      </c>
      <c r="U26" s="844" t="str">
        <f>IF($T$26="Check","Check","Credit Memo")</f>
        <v>Credit Memo</v>
      </c>
      <c r="V26" s="695">
        <f>Incentives!$K$80</f>
        <v>0</v>
      </c>
    </row>
    <row r="27" spans="1:23" x14ac:dyDescent="0.25">
      <c r="A27" s="143" t="s">
        <v>1249</v>
      </c>
      <c r="B27" s="818" t="str">
        <f>Incentives!$G$25</f>
        <v>Quarterly</v>
      </c>
      <c r="C27" s="818"/>
      <c r="D27" s="144"/>
      <c r="I27" s="143"/>
      <c r="J27" s="818"/>
      <c r="K27" s="818"/>
      <c r="L27" s="144"/>
      <c r="N27" s="851" t="s">
        <v>1214</v>
      </c>
      <c r="O27" s="849" t="s">
        <v>773</v>
      </c>
      <c r="P27" s="849" t="s">
        <v>774</v>
      </c>
      <c r="Q27" s="852"/>
      <c r="S27" s="143"/>
      <c r="T27" s="818" t="s">
        <v>903</v>
      </c>
      <c r="U27" s="818"/>
      <c r="V27" s="144"/>
    </row>
    <row r="28" spans="1:23" ht="30" x14ac:dyDescent="0.25">
      <c r="A28" s="143"/>
      <c r="B28" s="336" t="s">
        <v>127</v>
      </c>
      <c r="C28" s="336" t="s">
        <v>129</v>
      </c>
      <c r="D28" s="769" t="s">
        <v>777</v>
      </c>
      <c r="E28" s="353"/>
      <c r="I28" s="143"/>
      <c r="J28" s="818"/>
      <c r="K28" s="818"/>
      <c r="L28" s="144"/>
      <c r="N28" s="853" t="s">
        <v>1218</v>
      </c>
      <c r="O28" s="854">
        <f>L4</f>
        <v>44332</v>
      </c>
      <c r="P28" s="854">
        <f>O28+363</f>
        <v>44695</v>
      </c>
      <c r="Q28" s="855" t="e">
        <f>$C$62/$B$62</f>
        <v>#VALUE!</v>
      </c>
      <c r="S28" s="143"/>
      <c r="T28" s="818"/>
      <c r="U28" s="818"/>
      <c r="V28" s="144"/>
    </row>
    <row r="29" spans="1:23" ht="30" x14ac:dyDescent="0.25">
      <c r="A29" s="143"/>
      <c r="B29" s="373">
        <v>0</v>
      </c>
      <c r="C29" s="377">
        <f>ROUND(IF(ISERROR(B30-0.01),"",B30-0.01),2)</f>
        <v>-0.01</v>
      </c>
      <c r="D29" s="772">
        <f>Incentives!$I$28</f>
        <v>0</v>
      </c>
      <c r="I29" s="357">
        <v>1</v>
      </c>
      <c r="J29" s="846" t="s">
        <v>782</v>
      </c>
      <c r="K29" s="847">
        <f>IF(B60="YES - Purchase Commitment",Incentives!$M$66,Incentives!$K$66)</f>
        <v>0</v>
      </c>
      <c r="L29" s="144"/>
      <c r="N29" s="853" t="s">
        <v>1219</v>
      </c>
      <c r="O29" s="854">
        <f>P28+1</f>
        <v>44696</v>
      </c>
      <c r="P29" s="854">
        <f>O29+370</f>
        <v>45066</v>
      </c>
      <c r="Q29" s="855" t="e">
        <f>$C$62/$B$62</f>
        <v>#VALUE!</v>
      </c>
      <c r="S29" s="357">
        <v>2</v>
      </c>
      <c r="T29" s="846" t="s">
        <v>782</v>
      </c>
      <c r="U29" s="847">
        <f>Incentives!$K$83</f>
        <v>3</v>
      </c>
      <c r="V29" s="144"/>
    </row>
    <row r="30" spans="1:23" x14ac:dyDescent="0.25">
      <c r="A30" s="143"/>
      <c r="B30" s="371">
        <f>ROUND(Incentives!$G$29,0)</f>
        <v>0</v>
      </c>
      <c r="C30" s="377">
        <f t="shared" ref="C30:C31" si="1">ROUND(IF(ISERROR(B31-0.01),"",B31-0.01),2)</f>
        <v>-0.01</v>
      </c>
      <c r="D30" s="772">
        <f>Incentives!$I$29</f>
        <v>0.01</v>
      </c>
      <c r="I30" s="964" t="str">
        <f>IF($B$60="YES - Purchase Commitment",3,"")</f>
        <v/>
      </c>
      <c r="J30" s="846" t="str">
        <f>IF($B$60="YES - Purchase Commitment","Min Sales Required","")</f>
        <v/>
      </c>
      <c r="K30" s="848">
        <f>$G$4</f>
        <v>0</v>
      </c>
      <c r="L30" s="144" t="s">
        <v>907</v>
      </c>
      <c r="N30" s="853" t="s">
        <v>1220</v>
      </c>
      <c r="O30" s="854">
        <f>P29+1</f>
        <v>45067</v>
      </c>
      <c r="P30" s="854">
        <f>O30+363</f>
        <v>45430</v>
      </c>
      <c r="Q30" s="855" t="e">
        <f>$C$62/$B$62</f>
        <v>#VALUE!</v>
      </c>
      <c r="S30" s="143"/>
      <c r="T30" s="818"/>
      <c r="U30" s="818"/>
      <c r="V30" s="144"/>
    </row>
    <row r="31" spans="1:23" x14ac:dyDescent="0.25">
      <c r="A31" s="143"/>
      <c r="B31" s="371">
        <f>ROUND(Incentives!$G$30,0)</f>
        <v>0</v>
      </c>
      <c r="C31" s="377">
        <f t="shared" si="1"/>
        <v>-0.01</v>
      </c>
      <c r="D31" s="772">
        <f>Incentives!$I$30</f>
        <v>1.4999999999999999E-2</v>
      </c>
      <c r="I31" s="964">
        <f>IF($B$60="YES - Purchase Commitment"," ",3)</f>
        <v>3</v>
      </c>
      <c r="J31" s="846" t="str">
        <f>IF($B$60="YES - Purchase Commitment"," ","Min Sales Required")</f>
        <v>Min Sales Required</v>
      </c>
      <c r="K31" s="848">
        <f>IF($B$60="YES - Purchase Commitment","",$G$4*$G$5)</f>
        <v>0</v>
      </c>
      <c r="L31" s="695" t="s">
        <v>788</v>
      </c>
      <c r="N31" s="853" t="s">
        <v>1221</v>
      </c>
      <c r="O31" s="854">
        <f>P30+1</f>
        <v>45431</v>
      </c>
      <c r="P31" s="854">
        <f>O31+363</f>
        <v>45794</v>
      </c>
      <c r="Q31" s="855" t="e">
        <f>$C$62/$B$62</f>
        <v>#VALUE!</v>
      </c>
      <c r="S31" s="143"/>
      <c r="T31" s="818"/>
      <c r="U31" s="818"/>
      <c r="V31" s="144"/>
    </row>
    <row r="32" spans="1:23" ht="15.75" thickBot="1" x14ac:dyDescent="0.3">
      <c r="A32" s="291"/>
      <c r="B32" s="372">
        <f>ROUND(Incentives!$G$31,0)</f>
        <v>0</v>
      </c>
      <c r="C32" s="345">
        <v>999999.99</v>
      </c>
      <c r="D32" s="771">
        <f>Incentives!$I$31</f>
        <v>0.02</v>
      </c>
      <c r="E32" s="354"/>
      <c r="F32" s="292"/>
      <c r="G32" s="292"/>
      <c r="H32" s="350"/>
      <c r="I32" s="291"/>
      <c r="J32" s="292"/>
      <c r="K32" s="292"/>
      <c r="L32" s="293"/>
      <c r="N32" s="856" t="s">
        <v>1222</v>
      </c>
      <c r="O32" s="857">
        <f>P31+1</f>
        <v>45795</v>
      </c>
      <c r="P32" s="857">
        <f>O32+363</f>
        <v>46158</v>
      </c>
      <c r="Q32" s="858" t="e">
        <f>$C$62/$B$62</f>
        <v>#VALUE!</v>
      </c>
      <c r="S32" s="291"/>
      <c r="T32" s="292"/>
      <c r="U32" s="292"/>
      <c r="V32" s="293"/>
    </row>
    <row r="33" spans="1:22" ht="16.5" thickBot="1" x14ac:dyDescent="0.3">
      <c r="E33" s="937"/>
      <c r="H33" s="863"/>
      <c r="I33" s="1206" t="s">
        <v>781</v>
      </c>
      <c r="J33" s="1207"/>
      <c r="K33" s="1207"/>
      <c r="L33" s="1208"/>
      <c r="M33" s="863"/>
      <c r="N33" s="1197" t="s">
        <v>1109</v>
      </c>
      <c r="O33" s="1198"/>
      <c r="P33" s="1198"/>
      <c r="Q33" s="1199"/>
      <c r="R33" s="863"/>
      <c r="S33" s="1197" t="s">
        <v>1250</v>
      </c>
      <c r="T33" s="1198"/>
      <c r="U33" s="1198"/>
      <c r="V33" s="1199"/>
    </row>
    <row r="34" spans="1:22" ht="15.75" thickBot="1" x14ac:dyDescent="0.3">
      <c r="A34" s="1184" t="s">
        <v>555</v>
      </c>
      <c r="B34" s="1185"/>
      <c r="C34" s="1185"/>
      <c r="D34" s="1186"/>
      <c r="E34" s="319"/>
      <c r="F34" s="141"/>
      <c r="G34" s="141"/>
      <c r="H34" s="320"/>
      <c r="I34" s="1194" t="s">
        <v>784</v>
      </c>
      <c r="J34" s="1195"/>
      <c r="K34" s="1195"/>
      <c r="L34" s="1196"/>
      <c r="M34" s="863"/>
      <c r="N34" s="1200" t="s">
        <v>783</v>
      </c>
      <c r="O34" s="1201"/>
      <c r="P34" s="1201"/>
      <c r="Q34" s="1202"/>
      <c r="R34" s="863"/>
      <c r="S34" s="1191" t="s">
        <v>1258</v>
      </c>
      <c r="T34" s="1192"/>
      <c r="U34" s="1192"/>
      <c r="V34" s="1193"/>
    </row>
    <row r="35" spans="1:22" x14ac:dyDescent="0.25">
      <c r="A35" s="328" t="s">
        <v>761</v>
      </c>
      <c r="B35" s="329">
        <f>$L$4</f>
        <v>44332</v>
      </c>
      <c r="C35" s="272" t="s">
        <v>772</v>
      </c>
      <c r="D35" s="333">
        <f>$S$4</f>
        <v>44338</v>
      </c>
      <c r="I35" s="362" t="s">
        <v>773</v>
      </c>
      <c r="J35" s="322">
        <f>$L$4</f>
        <v>44332</v>
      </c>
      <c r="K35" s="363" t="s">
        <v>774</v>
      </c>
      <c r="L35" s="364">
        <f>$S$4</f>
        <v>44338</v>
      </c>
      <c r="N35" s="143" t="s">
        <v>1110</v>
      </c>
      <c r="O35" s="366">
        <f>$L$4</f>
        <v>44332</v>
      </c>
      <c r="P35" t="s">
        <v>774</v>
      </c>
      <c r="Q35" s="352">
        <f>$S$4</f>
        <v>44338</v>
      </c>
      <c r="S35" s="883" t="s">
        <v>832</v>
      </c>
      <c r="T35" s="889">
        <f>$L$4</f>
        <v>44332</v>
      </c>
      <c r="U35" s="891" t="s">
        <v>774</v>
      </c>
      <c r="V35" s="890">
        <f>$S$4</f>
        <v>44338</v>
      </c>
    </row>
    <row r="36" spans="1:22" ht="45" x14ac:dyDescent="0.25">
      <c r="A36" s="328" t="s">
        <v>926</v>
      </c>
      <c r="B36" s="329" t="str">
        <f>Incentives!$I$36</f>
        <v>Select Payment Method</v>
      </c>
      <c r="C36" s="272"/>
      <c r="D36" s="333"/>
      <c r="I36" s="328" t="s">
        <v>925</v>
      </c>
      <c r="J36" s="843" t="str">
        <f>Incentives!$I$55</f>
        <v>Select Payment Method</v>
      </c>
      <c r="K36" s="844" t="str">
        <f>IF(J36="Check","Check","Credit Memo")</f>
        <v>Credit Memo</v>
      </c>
      <c r="L36" s="695">
        <f>Incentives!$K$55</f>
        <v>0</v>
      </c>
      <c r="N36" s="328" t="s">
        <v>925</v>
      </c>
      <c r="O36" s="272" t="str">
        <f>$B$82</f>
        <v>Select Payment Method</v>
      </c>
      <c r="Q36" s="144"/>
      <c r="S36" s="892" t="s">
        <v>1252</v>
      </c>
      <c r="T36" s="893" t="str">
        <f>$B$46</f>
        <v>Select Payment Method</v>
      </c>
      <c r="U36" s="884"/>
      <c r="V36" s="885"/>
    </row>
    <row r="37" spans="1:22" x14ac:dyDescent="0.25">
      <c r="A37" s="883" t="s">
        <v>1249</v>
      </c>
      <c r="B37" s="932" t="str">
        <f>Incentives!$G$36</f>
        <v>Quarterly</v>
      </c>
      <c r="D37" s="144"/>
      <c r="I37" s="784" t="s">
        <v>1249</v>
      </c>
      <c r="J37" s="920" t="str">
        <f>B54</f>
        <v>Quarterly</v>
      </c>
      <c r="K37" s="818"/>
      <c r="L37" s="144"/>
      <c r="N37" s="143"/>
      <c r="Q37" s="144"/>
      <c r="S37" s="883" t="s">
        <v>1253</v>
      </c>
      <c r="T37" s="884" t="str">
        <f>$B$47</f>
        <v>Quarterly</v>
      </c>
      <c r="U37" s="884"/>
      <c r="V37" s="885"/>
    </row>
    <row r="38" spans="1:22" ht="30" x14ac:dyDescent="0.25">
      <c r="A38" s="143"/>
      <c r="B38" s="336" t="s">
        <v>127</v>
      </c>
      <c r="C38" s="336" t="s">
        <v>129</v>
      </c>
      <c r="D38" s="769" t="s">
        <v>543</v>
      </c>
      <c r="I38" s="784">
        <v>3</v>
      </c>
      <c r="J38" s="846" t="s">
        <v>1257</v>
      </c>
      <c r="K38" s="874">
        <f>D55</f>
        <v>0</v>
      </c>
      <c r="L38" s="144"/>
      <c r="N38" s="143"/>
      <c r="O38" t="s">
        <v>782</v>
      </c>
      <c r="P38" s="22">
        <f>D84</f>
        <v>0</v>
      </c>
      <c r="Q38" s="144"/>
      <c r="S38" s="883"/>
      <c r="T38" s="884"/>
      <c r="U38" s="884" t="s">
        <v>1246</v>
      </c>
      <c r="V38" s="895">
        <f>$C$48</f>
        <v>0</v>
      </c>
    </row>
    <row r="39" spans="1:22" x14ac:dyDescent="0.25">
      <c r="A39" s="143"/>
      <c r="B39" s="767">
        <v>0</v>
      </c>
      <c r="C39" s="768">
        <f>IF(ISERROR(B40-0.01),"",(B40-0.0001))</f>
        <v>-1E-4</v>
      </c>
      <c r="D39" s="770">
        <v>0</v>
      </c>
      <c r="I39" s="784">
        <v>4</v>
      </c>
      <c r="J39" s="846" t="s">
        <v>1256</v>
      </c>
      <c r="K39" s="874">
        <f>$C$55</f>
        <v>0</v>
      </c>
      <c r="L39" s="144"/>
      <c r="N39" s="143"/>
      <c r="Q39" s="144"/>
      <c r="S39" s="883"/>
      <c r="T39" s="884"/>
      <c r="U39" s="884" t="s">
        <v>1248</v>
      </c>
      <c r="V39" s="894">
        <f>D48</f>
        <v>0</v>
      </c>
    </row>
    <row r="40" spans="1:22" ht="15.75" thickBot="1" x14ac:dyDescent="0.3">
      <c r="A40" s="143"/>
      <c r="B40" s="340">
        <f>Incentives!$G$40</f>
        <v>0</v>
      </c>
      <c r="C40" s="768" t="str">
        <f>IF(OR(ISERROR(B41-0.01),B41=0),"",(B41-0.0001))</f>
        <v/>
      </c>
      <c r="D40" s="772">
        <f>Incentives!$I$40</f>
        <v>0.01</v>
      </c>
      <c r="F40" s="928"/>
      <c r="G40" s="928"/>
      <c r="I40" s="291"/>
      <c r="J40" s="292"/>
      <c r="K40" s="292"/>
      <c r="L40" s="293"/>
      <c r="N40" s="291"/>
      <c r="O40" s="292"/>
      <c r="P40" s="292"/>
      <c r="Q40" s="293"/>
      <c r="S40" s="886"/>
      <c r="T40" s="887"/>
      <c r="U40" s="887"/>
      <c r="V40" s="888"/>
    </row>
    <row r="41" spans="1:22" ht="16.5" thickBot="1" x14ac:dyDescent="0.3">
      <c r="A41" s="143"/>
      <c r="B41" s="340">
        <f>Incentives!$G$41</f>
        <v>0</v>
      </c>
      <c r="C41" s="768" t="str">
        <f>IF(OR(ISERROR(B42-0.01),B42=0),"",(B42-0.0001))</f>
        <v/>
      </c>
      <c r="D41" s="772">
        <f>Incentives!$I$41</f>
        <v>1.4999999999999999E-2</v>
      </c>
      <c r="F41" s="928"/>
      <c r="G41" s="928"/>
      <c r="H41" s="933"/>
      <c r="I41" s="818"/>
      <c r="N41" s="1188" t="s">
        <v>1301</v>
      </c>
      <c r="O41" s="1189"/>
      <c r="P41" s="1189"/>
      <c r="Q41" s="1190"/>
      <c r="S41" s="1188" t="s">
        <v>1302</v>
      </c>
      <c r="T41" s="1189"/>
      <c r="U41" s="1189"/>
      <c r="V41" s="1190"/>
    </row>
    <row r="42" spans="1:22" ht="15.75" thickBot="1" x14ac:dyDescent="0.3">
      <c r="A42" s="291"/>
      <c r="B42" s="346">
        <f>Incentives!$G$42</f>
        <v>0</v>
      </c>
      <c r="C42" s="356">
        <v>1</v>
      </c>
      <c r="D42" s="771">
        <f>Incentives!$I$42</f>
        <v>0.02</v>
      </c>
      <c r="E42" s="354"/>
      <c r="F42" s="818"/>
      <c r="G42" s="818"/>
      <c r="H42" s="934"/>
      <c r="I42" s="818"/>
      <c r="N42" s="1191" t="s">
        <v>1303</v>
      </c>
      <c r="O42" s="1192"/>
      <c r="P42" s="1192"/>
      <c r="Q42" s="1193"/>
      <c r="R42" s="985"/>
      <c r="S42" s="1191" t="s">
        <v>1303</v>
      </c>
      <c r="T42" s="1192"/>
      <c r="U42" s="1192"/>
      <c r="V42" s="1193"/>
    </row>
    <row r="43" spans="1:22" ht="15.75" thickBot="1" x14ac:dyDescent="0.3">
      <c r="E43" s="937"/>
      <c r="F43" s="938"/>
      <c r="G43" s="940"/>
      <c r="H43" s="863"/>
      <c r="I43" s="859"/>
      <c r="J43" s="370" t="s">
        <v>765</v>
      </c>
      <c r="K43" s="860" t="s">
        <v>766</v>
      </c>
      <c r="L43" s="861"/>
      <c r="N43" s="963" t="s">
        <v>773</v>
      </c>
      <c r="O43" s="322">
        <f>$L$4</f>
        <v>44332</v>
      </c>
      <c r="P43" s="363" t="s">
        <v>774</v>
      </c>
      <c r="Q43" s="364">
        <f>$S$4</f>
        <v>44338</v>
      </c>
      <c r="S43" s="963" t="s">
        <v>773</v>
      </c>
      <c r="T43" s="322">
        <f>$L$4</f>
        <v>44332</v>
      </c>
      <c r="U43" s="363" t="s">
        <v>774</v>
      </c>
      <c r="V43" s="364">
        <f>$S$4</f>
        <v>44338</v>
      </c>
    </row>
    <row r="44" spans="1:22" x14ac:dyDescent="0.25">
      <c r="A44" s="1184" t="s">
        <v>1250</v>
      </c>
      <c r="B44" s="1185"/>
      <c r="C44" s="1185"/>
      <c r="D44" s="1186"/>
      <c r="E44" s="319"/>
      <c r="F44" s="818"/>
      <c r="G44" s="818"/>
      <c r="I44" s="935">
        <v>1</v>
      </c>
      <c r="J44" s="297">
        <f>IFERROR('MDA Worksheet'!D95,"")</f>
        <v>0</v>
      </c>
      <c r="K44" s="757" t="str">
        <f>IFERROR('MDA Worksheet'!$K$95,"")</f>
        <v/>
      </c>
      <c r="N44" s="143"/>
      <c r="O44" s="818"/>
      <c r="P44" s="818"/>
      <c r="Q44" s="144"/>
      <c r="S44" s="143"/>
      <c r="T44" s="818"/>
      <c r="U44" s="818"/>
      <c r="V44" s="144"/>
    </row>
    <row r="45" spans="1:22" x14ac:dyDescent="0.25">
      <c r="A45" s="143" t="s">
        <v>771</v>
      </c>
      <c r="B45" s="843">
        <f>$L$4</f>
        <v>44332</v>
      </c>
      <c r="C45" s="818"/>
      <c r="D45" s="333">
        <f>$S$4</f>
        <v>44338</v>
      </c>
      <c r="I45" s="936">
        <v>2</v>
      </c>
      <c r="J45" s="298">
        <f>IFERROR('MDA Worksheet'!D96,"")</f>
        <v>0</v>
      </c>
      <c r="K45" s="1" t="str">
        <f>IFERROR('MDA Worksheet'!K96,"")</f>
        <v/>
      </c>
      <c r="N45" s="143"/>
      <c r="O45" s="818" t="str">
        <f>B68</f>
        <v>Select Payment Method</v>
      </c>
      <c r="P45" s="818"/>
      <c r="Q45" s="144"/>
      <c r="S45" s="143"/>
      <c r="T45" s="818"/>
      <c r="U45" s="818"/>
      <c r="V45" s="144"/>
    </row>
    <row r="46" spans="1:22" x14ac:dyDescent="0.25">
      <c r="A46" s="906" t="s">
        <v>906</v>
      </c>
      <c r="B46" s="818" t="str">
        <f>Incentives!$I$47</f>
        <v>Select Payment Method</v>
      </c>
      <c r="C46" s="818"/>
      <c r="D46" s="144"/>
      <c r="I46" s="936">
        <v>3</v>
      </c>
      <c r="J46" s="298">
        <f>IFERROR('MDA Worksheet'!D97,"")</f>
        <v>0</v>
      </c>
      <c r="K46" s="1" t="str">
        <f>IFERROR('MDA Worksheet'!K97,"")</f>
        <v/>
      </c>
      <c r="N46" s="143"/>
      <c r="O46" s="818"/>
      <c r="P46" s="818"/>
      <c r="Q46" s="144"/>
      <c r="S46" s="143"/>
      <c r="T46" s="818"/>
      <c r="U46" s="818"/>
      <c r="V46" s="144"/>
    </row>
    <row r="47" spans="1:22" ht="30" x14ac:dyDescent="0.25">
      <c r="A47" s="906" t="s">
        <v>1249</v>
      </c>
      <c r="B47" s="818" t="str">
        <f>Incentives!$G$47</f>
        <v>Quarterly</v>
      </c>
      <c r="C47" s="907" t="s">
        <v>1246</v>
      </c>
      <c r="D47" s="908" t="s">
        <v>1248</v>
      </c>
      <c r="F47" s="928"/>
      <c r="G47" s="928"/>
      <c r="H47" s="934"/>
      <c r="I47" s="936">
        <v>4</v>
      </c>
      <c r="J47" s="298">
        <f>IFERROR('MDA Worksheet'!D98,"")</f>
        <v>0</v>
      </c>
      <c r="K47" s="1" t="str">
        <f>IFERROR('MDA Worksheet'!K98,"")</f>
        <v/>
      </c>
      <c r="N47" s="357">
        <v>1</v>
      </c>
      <c r="O47" s="846" t="s">
        <v>782</v>
      </c>
      <c r="P47" s="987">
        <f>B69</f>
        <v>0</v>
      </c>
      <c r="Q47" s="144"/>
      <c r="S47" s="357">
        <v>1</v>
      </c>
      <c r="T47" s="846" t="s">
        <v>782</v>
      </c>
      <c r="U47" s="988">
        <f>-D71</f>
        <v>0</v>
      </c>
      <c r="V47" s="144"/>
    </row>
    <row r="48" spans="1:22" x14ac:dyDescent="0.25">
      <c r="A48" s="143"/>
      <c r="B48" s="818"/>
      <c r="C48" s="848">
        <f>Incentives!$G$50</f>
        <v>0</v>
      </c>
      <c r="D48" s="774">
        <f>Incentives!$I$50</f>
        <v>0</v>
      </c>
      <c r="H48" s="934"/>
      <c r="I48" s="936">
        <v>5</v>
      </c>
      <c r="J48" s="298">
        <f>IFERROR('MDA Worksheet'!D99,"")</f>
        <v>0</v>
      </c>
      <c r="K48" s="1" t="str">
        <f>IFERROR('MDA Worksheet'!K99,"")</f>
        <v/>
      </c>
      <c r="N48" s="964" t="str">
        <f>IF($B$60="YES - Purchase Commitment",3,"")</f>
        <v/>
      </c>
      <c r="O48" s="846" t="str">
        <f>IF($B$60="YES - Purchase Commitment","Min Sales Required","")</f>
        <v/>
      </c>
      <c r="P48" s="848">
        <f>$G$4</f>
        <v>0</v>
      </c>
      <c r="Q48" s="144" t="s">
        <v>907</v>
      </c>
      <c r="S48" s="964" t="str">
        <f>IF($B$60="YES - Purchase Commitment",3,"")</f>
        <v/>
      </c>
      <c r="T48" s="846" t="str">
        <f>IF($B$60="YES - Purchase Commitment","Min Sales Required","")</f>
        <v/>
      </c>
      <c r="U48" s="848">
        <f>$G$4</f>
        <v>0</v>
      </c>
      <c r="V48" s="144" t="s">
        <v>907</v>
      </c>
    </row>
    <row r="49" spans="1:23" ht="30.75" thickBot="1" x14ac:dyDescent="0.3">
      <c r="A49" s="291"/>
      <c r="B49" s="292"/>
      <c r="C49" s="292"/>
      <c r="D49" s="293"/>
      <c r="E49" s="354"/>
      <c r="F49" s="818"/>
      <c r="G49" s="818"/>
      <c r="H49" s="934"/>
      <c r="I49" s="936">
        <v>6</v>
      </c>
      <c r="J49" s="298">
        <f>IFERROR('MDA Worksheet'!D100,"")</f>
        <v>0</v>
      </c>
      <c r="K49" s="1" t="str">
        <f>IFERROR('MDA Worksheet'!K100,"")</f>
        <v/>
      </c>
      <c r="N49" s="986">
        <f>IF($B$60="YES - Purchase Commitment"," ",3)</f>
        <v>3</v>
      </c>
      <c r="O49" s="846" t="str">
        <f>IF($B$60="YES - Purchase Commitment"," ","Min Sales Required")</f>
        <v>Min Sales Required</v>
      </c>
      <c r="P49" s="848">
        <f>$D$72</f>
        <v>0</v>
      </c>
      <c r="Q49" s="695" t="s">
        <v>788</v>
      </c>
      <c r="S49" s="986">
        <f>IF($B$60="YES - Purchase Commitment"," ",3)</f>
        <v>3</v>
      </c>
      <c r="T49" s="846" t="str">
        <f>IF($B$60="YES - Purchase Commitment"," ","Min Sales Required")</f>
        <v>Min Sales Required</v>
      </c>
      <c r="U49" s="848">
        <f>$D$72</f>
        <v>0</v>
      </c>
      <c r="V49" s="695" t="s">
        <v>788</v>
      </c>
    </row>
    <row r="50" spans="1:23" ht="15.75" thickBot="1" x14ac:dyDescent="0.3">
      <c r="A50" s="901"/>
      <c r="B50" s="901"/>
      <c r="C50" s="901"/>
      <c r="D50" s="901"/>
      <c r="E50" s="937"/>
      <c r="F50" s="938"/>
      <c r="G50" s="940"/>
      <c r="H50" s="863"/>
      <c r="I50" s="936">
        <v>7</v>
      </c>
      <c r="J50" s="298">
        <f>IFERROR('MDA Worksheet'!D101,"")</f>
        <v>0</v>
      </c>
      <c r="K50" s="1" t="str">
        <f>IFERROR('MDA Worksheet'!K101,"")</f>
        <v/>
      </c>
      <c r="N50" s="143"/>
      <c r="O50" s="818"/>
      <c r="P50" s="818"/>
      <c r="Q50" s="144"/>
      <c r="S50" s="143"/>
      <c r="T50" s="818"/>
      <c r="U50" s="818"/>
      <c r="V50" s="144"/>
    </row>
    <row r="51" spans="1:23" x14ac:dyDescent="0.25">
      <c r="A51" s="1184" t="s">
        <v>781</v>
      </c>
      <c r="B51" s="1185"/>
      <c r="C51" s="1185"/>
      <c r="D51" s="1186"/>
      <c r="E51" s="319"/>
      <c r="F51" s="818"/>
      <c r="G51" s="818"/>
      <c r="I51" s="936">
        <v>8</v>
      </c>
      <c r="J51" s="298">
        <f>IFERROR('MDA Worksheet'!D102,"")</f>
        <v>0</v>
      </c>
      <c r="K51" s="1" t="str">
        <f>IFERROR('MDA Worksheet'!K102,"")</f>
        <v/>
      </c>
      <c r="N51" s="143" t="s">
        <v>1305</v>
      </c>
      <c r="O51" s="1182" t="str">
        <f>"Amount to be paid to the customer $ "&amp;TEXT(D69,"#,###,###.00")</f>
        <v>Amount to be paid to the customer $ .00</v>
      </c>
      <c r="P51" s="1182"/>
      <c r="Q51" s="1183"/>
      <c r="S51" s="143" t="s">
        <v>1305</v>
      </c>
      <c r="T51" s="1178" t="s">
        <v>1325</v>
      </c>
      <c r="U51" s="1178"/>
      <c r="V51" s="1179"/>
    </row>
    <row r="52" spans="1:23" x14ac:dyDescent="0.25">
      <c r="A52" s="328" t="s">
        <v>761</v>
      </c>
      <c r="B52" s="843">
        <f>$L$4</f>
        <v>44332</v>
      </c>
      <c r="C52" s="903" t="s">
        <v>772</v>
      </c>
      <c r="D52" s="333">
        <f>$S$4</f>
        <v>44338</v>
      </c>
      <c r="E52" s="905"/>
      <c r="I52" s="936">
        <v>9</v>
      </c>
      <c r="J52" s="298">
        <f>IFERROR('MDA Worksheet'!D103,"")</f>
        <v>0</v>
      </c>
      <c r="K52" s="1" t="str">
        <f>IFERROR('MDA Worksheet'!K103,"")</f>
        <v/>
      </c>
      <c r="N52" s="143"/>
      <c r="O52" s="1182" t="str">
        <f>"Claw Back Amount $ "&amp;TEXT(D71,"#,###,###.00")</f>
        <v>Claw Back Amount $ .00</v>
      </c>
      <c r="P52" s="1182"/>
      <c r="Q52" s="1183"/>
      <c r="S52" s="143"/>
      <c r="T52" s="1178"/>
      <c r="U52" s="1178"/>
      <c r="V52" s="1179"/>
    </row>
    <row r="53" spans="1:23" ht="15.75" thickBot="1" x14ac:dyDescent="0.3">
      <c r="A53" s="143" t="s">
        <v>906</v>
      </c>
      <c r="B53" s="818" t="str">
        <f>Incentives!$I$55</f>
        <v>Select Payment Method</v>
      </c>
      <c r="C53" s="818"/>
      <c r="D53" s="144"/>
      <c r="H53" s="934"/>
      <c r="I53" s="541">
        <v>10</v>
      </c>
      <c r="J53" s="300">
        <f>IFERROR('MDA Worksheet'!D104,"")</f>
        <v>0</v>
      </c>
      <c r="K53" s="36" t="str">
        <f>IFERROR('MDA Worksheet'!K104,"")</f>
        <v/>
      </c>
      <c r="L53" s="292"/>
      <c r="M53" s="350"/>
      <c r="N53" s="291"/>
      <c r="O53" s="989"/>
      <c r="P53" s="989"/>
      <c r="Q53" s="990"/>
      <c r="R53" s="350"/>
      <c r="S53" s="291"/>
      <c r="T53" s="1180"/>
      <c r="U53" s="1180"/>
      <c r="V53" s="1181"/>
    </row>
    <row r="54" spans="1:23" x14ac:dyDescent="0.25">
      <c r="A54" s="143" t="s">
        <v>1249</v>
      </c>
      <c r="B54" s="920" t="str">
        <f>Incentives!$G$55</f>
        <v>Quarterly</v>
      </c>
      <c r="C54" s="336" t="s">
        <v>543</v>
      </c>
      <c r="D54" s="904" t="s">
        <v>236</v>
      </c>
      <c r="H54" s="934"/>
    </row>
    <row r="55" spans="1:23" ht="15.75" thickBot="1" x14ac:dyDescent="0.3">
      <c r="A55" s="291"/>
      <c r="B55" s="292"/>
      <c r="C55" s="876">
        <f>Incentives!$K$58</f>
        <v>0</v>
      </c>
      <c r="D55" s="771">
        <f>Incentives!$G$58</f>
        <v>0</v>
      </c>
      <c r="F55" s="818"/>
      <c r="G55" s="818"/>
      <c r="H55" s="934"/>
    </row>
    <row r="56" spans="1:23" ht="15.75" thickBot="1" x14ac:dyDescent="0.3">
      <c r="E56" s="937"/>
      <c r="F56" s="938"/>
      <c r="G56" s="940"/>
      <c r="H56" s="863"/>
    </row>
    <row r="57" spans="1:23" x14ac:dyDescent="0.25">
      <c r="A57" s="1184" t="s">
        <v>1236</v>
      </c>
      <c r="B57" s="1185"/>
      <c r="C57" s="1185"/>
      <c r="D57" s="1186"/>
      <c r="F57" s="818"/>
      <c r="G57" s="818"/>
    </row>
    <row r="58" spans="1:23" x14ac:dyDescent="0.25">
      <c r="A58" s="328" t="s">
        <v>761</v>
      </c>
      <c r="B58" s="843">
        <f>$L$4</f>
        <v>44332</v>
      </c>
      <c r="C58" s="903" t="s">
        <v>772</v>
      </c>
      <c r="D58" s="333">
        <f>$S$4</f>
        <v>44338</v>
      </c>
      <c r="E58" s="905"/>
    </row>
    <row r="59" spans="1:23" x14ac:dyDescent="0.25">
      <c r="A59" s="143" t="s">
        <v>906</v>
      </c>
      <c r="B59" s="818" t="str">
        <f>Incentives!$I$63</f>
        <v>Select Payment Method</v>
      </c>
      <c r="C59" s="818"/>
      <c r="D59" s="144"/>
      <c r="H59" s="934"/>
    </row>
    <row r="60" spans="1:23" x14ac:dyDescent="0.25">
      <c r="A60" s="143" t="s">
        <v>1194</v>
      </c>
      <c r="B60" s="818" t="str">
        <f>Incentives!G63</f>
        <v>NO</v>
      </c>
      <c r="C60" s="818"/>
      <c r="D60" s="144"/>
    </row>
    <row r="61" spans="1:23" x14ac:dyDescent="0.25">
      <c r="A61" s="143"/>
      <c r="B61" s="977" t="s">
        <v>1299</v>
      </c>
      <c r="C61" s="977" t="s">
        <v>782</v>
      </c>
      <c r="D61" s="904" t="s">
        <v>828</v>
      </c>
      <c r="F61" s="818"/>
      <c r="G61" s="818"/>
    </row>
    <row r="62" spans="1:23" s="954" customFormat="1" x14ac:dyDescent="0.25">
      <c r="A62" s="883"/>
      <c r="B62" s="975" t="str">
        <f>IF(B60="No","",Welcome!D12)</f>
        <v/>
      </c>
      <c r="C62" s="982">
        <f>IF($B$60="YES - Purchase Commitment",Incentives!$K$66/$G$5,Incentives!$K$66)</f>
        <v>0</v>
      </c>
      <c r="D62" s="983">
        <f>$G$4</f>
        <v>0</v>
      </c>
      <c r="E62" s="311"/>
      <c r="F62" s="818"/>
      <c r="G62" s="818"/>
      <c r="H62" s="312"/>
      <c r="M62" s="312"/>
      <c r="R62" s="312"/>
      <c r="W62" s="312"/>
    </row>
    <row r="63" spans="1:23" s="954" customFormat="1" x14ac:dyDescent="0.25">
      <c r="A63" s="883"/>
      <c r="B63" s="884"/>
      <c r="C63" s="967"/>
      <c r="D63" s="984" t="s">
        <v>1300</v>
      </c>
      <c r="E63" s="311"/>
      <c r="F63" s="818"/>
      <c r="G63" s="818"/>
      <c r="H63" s="312"/>
      <c r="M63" s="312"/>
      <c r="R63" s="312"/>
      <c r="W63" s="312"/>
    </row>
    <row r="64" spans="1:23" s="954" customFormat="1" x14ac:dyDescent="0.25">
      <c r="A64" s="883"/>
      <c r="B64" s="884"/>
      <c r="C64" s="967"/>
      <c r="D64" s="772" t="e">
        <f>Incentives!$K$66/(Incentives!$G$5*Incentives!$G$4)</f>
        <v>#DIV/0!</v>
      </c>
      <c r="E64" s="311"/>
      <c r="F64" s="818"/>
      <c r="G64" s="818"/>
      <c r="H64" s="312"/>
      <c r="M64" s="312"/>
      <c r="R64" s="312"/>
      <c r="W64" s="312"/>
    </row>
    <row r="65" spans="1:23" ht="15.75" thickBot="1" x14ac:dyDescent="0.3">
      <c r="A65" s="291"/>
      <c r="B65" s="292"/>
      <c r="C65" s="292"/>
      <c r="D65" s="293"/>
      <c r="F65" s="818"/>
      <c r="G65" s="818"/>
      <c r="I65" s="954"/>
    </row>
    <row r="66" spans="1:23" s="948" customFormat="1" ht="15.75" thickBot="1" x14ac:dyDescent="0.3">
      <c r="A66" s="1184" t="s">
        <v>1286</v>
      </c>
      <c r="B66" s="1185"/>
      <c r="C66" s="1185"/>
      <c r="D66" s="1186"/>
      <c r="E66" s="937"/>
      <c r="F66" s="938"/>
      <c r="G66" s="940"/>
      <c r="H66" s="863"/>
      <c r="I66"/>
      <c r="M66" s="312"/>
      <c r="R66" s="312"/>
      <c r="W66" s="312"/>
    </row>
    <row r="67" spans="1:23" s="948" customFormat="1" x14ac:dyDescent="0.25">
      <c r="A67" s="321" t="s">
        <v>761</v>
      </c>
      <c r="B67" s="322">
        <f>$L$4</f>
        <v>44332</v>
      </c>
      <c r="C67" s="323" t="s">
        <v>772</v>
      </c>
      <c r="D67" s="327">
        <f>$S$4</f>
        <v>44338</v>
      </c>
      <c r="E67" s="905"/>
      <c r="F67" s="818"/>
      <c r="G67" s="818"/>
      <c r="H67" s="934"/>
      <c r="M67" s="312"/>
      <c r="R67" s="312"/>
      <c r="W67" s="312"/>
    </row>
    <row r="68" spans="1:23" s="948" customFormat="1" x14ac:dyDescent="0.25">
      <c r="A68" s="143" t="s">
        <v>906</v>
      </c>
      <c r="B68" s="956" t="str">
        <f>Incentives!$I$71</f>
        <v>Select Payment Method</v>
      </c>
      <c r="C68" s="818"/>
      <c r="D68" s="144"/>
      <c r="E68" s="905"/>
      <c r="F68" s="818"/>
      <c r="G68" s="818"/>
      <c r="H68" s="934"/>
      <c r="M68" s="312"/>
      <c r="R68" s="312"/>
      <c r="W68" s="312"/>
    </row>
    <row r="69" spans="1:23" s="948" customFormat="1" x14ac:dyDescent="0.25">
      <c r="A69" s="978" t="s">
        <v>1297</v>
      </c>
      <c r="B69" s="969">
        <f>Incentives!$M$71</f>
        <v>0</v>
      </c>
      <c r="C69" s="979" t="s">
        <v>1293</v>
      </c>
      <c r="D69" s="972">
        <f>Incentives!$G$71</f>
        <v>0</v>
      </c>
      <c r="E69" s="905"/>
      <c r="F69" s="818"/>
      <c r="G69" s="818"/>
      <c r="H69" s="934"/>
      <c r="M69" s="312"/>
      <c r="R69" s="312"/>
      <c r="W69" s="312"/>
    </row>
    <row r="70" spans="1:23" s="948" customFormat="1" x14ac:dyDescent="0.25">
      <c r="A70" s="978" t="s">
        <v>1294</v>
      </c>
      <c r="B70" s="970">
        <f>Incentives!$G$75</f>
        <v>0</v>
      </c>
      <c r="C70" s="980" t="s">
        <v>824</v>
      </c>
      <c r="D70" s="973">
        <f>Incentives!$I$75</f>
        <v>0</v>
      </c>
      <c r="E70" s="905"/>
      <c r="F70" s="818"/>
      <c r="G70" s="818"/>
      <c r="H70" s="934"/>
      <c r="M70" s="312"/>
      <c r="R70" s="312"/>
      <c r="W70" s="312"/>
    </row>
    <row r="71" spans="1:23" s="954" customFormat="1" x14ac:dyDescent="0.25">
      <c r="A71" s="978" t="s">
        <v>1295</v>
      </c>
      <c r="B71" s="971">
        <f>Incentives!$K$75</f>
        <v>0</v>
      </c>
      <c r="C71" s="980" t="s">
        <v>1296</v>
      </c>
      <c r="D71" s="972">
        <f>Incentives!$K$71</f>
        <v>0</v>
      </c>
      <c r="E71" s="905"/>
      <c r="F71" s="818"/>
      <c r="G71" s="818"/>
      <c r="H71" s="934"/>
      <c r="M71" s="312"/>
      <c r="R71" s="312"/>
      <c r="W71" s="312"/>
    </row>
    <row r="72" spans="1:23" s="948" customFormat="1" ht="15.75" thickBot="1" x14ac:dyDescent="0.3">
      <c r="A72" s="291"/>
      <c r="B72" s="292"/>
      <c r="C72" s="981" t="s">
        <v>1298</v>
      </c>
      <c r="D72" s="974">
        <f>Incentives!$G$5*Incentives!$G$4</f>
        <v>0</v>
      </c>
      <c r="E72" s="905"/>
      <c r="F72" s="818"/>
      <c r="G72" s="818"/>
      <c r="H72" s="934"/>
      <c r="M72" s="312"/>
      <c r="R72" s="312"/>
      <c r="W72" s="312"/>
    </row>
    <row r="73" spans="1:23" ht="15.75" thickBot="1" x14ac:dyDescent="0.3">
      <c r="A73" s="948"/>
      <c r="B73" s="948"/>
      <c r="C73" s="948"/>
      <c r="D73" s="948"/>
      <c r="E73" s="905"/>
      <c r="F73" s="818"/>
      <c r="G73" s="818"/>
      <c r="H73" s="934"/>
      <c r="I73" s="948"/>
    </row>
    <row r="74" spans="1:23" x14ac:dyDescent="0.25">
      <c r="A74" s="1184" t="str">
        <f>Incentives!G80</f>
        <v>CHECK Business Tools (General)</v>
      </c>
      <c r="B74" s="1185"/>
      <c r="C74" s="1185"/>
      <c r="D74" s="1185"/>
      <c r="E74" s="905"/>
      <c r="F74" s="818"/>
      <c r="G74" s="818"/>
      <c r="H74" s="934"/>
    </row>
    <row r="75" spans="1:23" x14ac:dyDescent="0.25">
      <c r="A75" s="328" t="s">
        <v>761</v>
      </c>
      <c r="B75" s="329">
        <f>$L$4</f>
        <v>44332</v>
      </c>
      <c r="C75" s="272" t="s">
        <v>772</v>
      </c>
      <c r="D75" s="329">
        <f>$S$4</f>
        <v>44338</v>
      </c>
    </row>
    <row r="76" spans="1:23" x14ac:dyDescent="0.25">
      <c r="A76" s="143" t="s">
        <v>906</v>
      </c>
      <c r="B76" t="str">
        <f>Incentives!$I$80</f>
        <v>Select Payment Method</v>
      </c>
    </row>
    <row r="77" spans="1:23" x14ac:dyDescent="0.25">
      <c r="A77" s="143"/>
      <c r="C77" s="1" t="s">
        <v>828</v>
      </c>
      <c r="D77" s="1" t="s">
        <v>782</v>
      </c>
    </row>
    <row r="78" spans="1:23" ht="15.75" thickBot="1" x14ac:dyDescent="0.3">
      <c r="A78" s="291"/>
      <c r="B78" s="292"/>
      <c r="C78" s="369">
        <f>Incentives!$H$9</f>
        <v>0</v>
      </c>
      <c r="D78" s="344">
        <f>Incentives!$K$83</f>
        <v>3</v>
      </c>
    </row>
    <row r="79" spans="1:23" ht="15.75" thickBot="1" x14ac:dyDescent="0.3"/>
    <row r="80" spans="1:23" ht="15.75" thickBot="1" x14ac:dyDescent="0.3">
      <c r="A80" s="1184" t="s">
        <v>1106</v>
      </c>
      <c r="B80" s="1185"/>
      <c r="C80" s="1185"/>
      <c r="D80" s="1186"/>
      <c r="E80" s="937"/>
      <c r="F80" s="938"/>
      <c r="G80" s="939"/>
      <c r="H80" s="941"/>
    </row>
    <row r="81" spans="1:4" x14ac:dyDescent="0.25">
      <c r="A81" s="143" t="s">
        <v>761</v>
      </c>
      <c r="B81" s="818"/>
      <c r="C81" s="818" t="s">
        <v>763</v>
      </c>
      <c r="D81" s="144"/>
    </row>
    <row r="82" spans="1:4" x14ac:dyDescent="0.25">
      <c r="A82" s="143" t="s">
        <v>926</v>
      </c>
      <c r="B82" s="818" t="str">
        <f>Incentives!$I$88</f>
        <v>Select Payment Method</v>
      </c>
      <c r="C82" s="818"/>
      <c r="D82" s="144"/>
    </row>
    <row r="83" spans="1:4" x14ac:dyDescent="0.25">
      <c r="A83" s="143"/>
      <c r="B83" s="818"/>
      <c r="C83" s="929"/>
      <c r="D83" s="931" t="s">
        <v>782</v>
      </c>
    </row>
    <row r="84" spans="1:4" ht="15.75" thickBot="1" x14ac:dyDescent="0.3">
      <c r="A84" s="291"/>
      <c r="B84" s="292"/>
      <c r="C84" s="930"/>
      <c r="D84" s="945">
        <f>Incentives!$G$91</f>
        <v>0</v>
      </c>
    </row>
  </sheetData>
  <sheetProtection algorithmName="SHA-512" hashValue="G22nv6keIQ2vFjoJ4wHrnAikbOrM4tuvpsHxNUd/jX4pA3hzAPlt9nK/s0z709eTiIMZm/6EnV68UdtFiLbPqA==" saltValue="5LDMLZfnlmipOUp2ljFvEg==" spinCount="100000" sheet="1" objects="1" scenarios="1"/>
  <mergeCells count="54">
    <mergeCell ref="B11:C11"/>
    <mergeCell ref="I11:L11"/>
    <mergeCell ref="A1:D1"/>
    <mergeCell ref="F1:G1"/>
    <mergeCell ref="I1:V1"/>
    <mergeCell ref="B7:C7"/>
    <mergeCell ref="B3:C3"/>
    <mergeCell ref="B4:C4"/>
    <mergeCell ref="B6:C6"/>
    <mergeCell ref="L3:P3"/>
    <mergeCell ref="S4:T4"/>
    <mergeCell ref="S6:T6"/>
    <mergeCell ref="B5:C5"/>
    <mergeCell ref="P6:R6"/>
    <mergeCell ref="P7:R7"/>
    <mergeCell ref="L7:N7"/>
    <mergeCell ref="P4:R4"/>
    <mergeCell ref="S23:V23"/>
    <mergeCell ref="I34:L34"/>
    <mergeCell ref="N33:Q33"/>
    <mergeCell ref="N34:Q34"/>
    <mergeCell ref="N23:Q23"/>
    <mergeCell ref="S33:V33"/>
    <mergeCell ref="I23:L23"/>
    <mergeCell ref="S24:V24"/>
    <mergeCell ref="I33:L33"/>
    <mergeCell ref="S34:V34"/>
    <mergeCell ref="S12:V12"/>
    <mergeCell ref="I24:L24"/>
    <mergeCell ref="N24:Q24"/>
    <mergeCell ref="I12:L12"/>
    <mergeCell ref="N11:Q11"/>
    <mergeCell ref="A34:D34"/>
    <mergeCell ref="A51:D51"/>
    <mergeCell ref="A44:D44"/>
    <mergeCell ref="A66:D66"/>
    <mergeCell ref="S7:T7"/>
    <mergeCell ref="A24:D24"/>
    <mergeCell ref="B8:C8"/>
    <mergeCell ref="B9:C9"/>
    <mergeCell ref="N41:Q41"/>
    <mergeCell ref="N42:Q42"/>
    <mergeCell ref="S41:V41"/>
    <mergeCell ref="S42:V42"/>
    <mergeCell ref="B10:C10"/>
    <mergeCell ref="A12:D12"/>
    <mergeCell ref="S11:V11"/>
    <mergeCell ref="N12:Q12"/>
    <mergeCell ref="T51:V53"/>
    <mergeCell ref="O51:Q51"/>
    <mergeCell ref="O52:Q52"/>
    <mergeCell ref="A80:D80"/>
    <mergeCell ref="A74:D74"/>
    <mergeCell ref="A57:D57"/>
  </mergeCells>
  <conditionalFormatting sqref="I25:L26 K37:L37 I29:L31">
    <cfRule type="expression" dxfId="85" priority="99">
      <formula>$B$60="YES - Annual"</formula>
    </cfRule>
  </conditionalFormatting>
  <conditionalFormatting sqref="B60">
    <cfRule type="cellIs" dxfId="84" priority="126" operator="equal">
      <formula>"YES"</formula>
    </cfRule>
  </conditionalFormatting>
  <conditionalFormatting sqref="N23:Q23">
    <cfRule type="expression" dxfId="83" priority="97">
      <formula>$B$60="Yes"</formula>
    </cfRule>
  </conditionalFormatting>
  <conditionalFormatting sqref="B15 J15">
    <cfRule type="expression" dxfId="82" priority="130">
      <formula>$B$15="Annually"</formula>
    </cfRule>
  </conditionalFormatting>
  <conditionalFormatting sqref="B47">
    <cfRule type="expression" dxfId="81" priority="58">
      <formula>$B$47="Annually"</formula>
    </cfRule>
  </conditionalFormatting>
  <conditionalFormatting sqref="S36:V36">
    <cfRule type="expression" dxfId="80" priority="59">
      <formula>$T$36="Check"</formula>
    </cfRule>
  </conditionalFormatting>
  <conditionalFormatting sqref="B27">
    <cfRule type="cellIs" dxfId="79" priority="46" operator="equal">
      <formula>"Annually"</formula>
    </cfRule>
  </conditionalFormatting>
  <conditionalFormatting sqref="B37">
    <cfRule type="cellIs" dxfId="78" priority="128" operator="equal">
      <formula>"Annually"</formula>
    </cfRule>
  </conditionalFormatting>
  <conditionalFormatting sqref="B54">
    <cfRule type="cellIs" dxfId="77" priority="127" operator="equal">
      <formula>"Annually"</formula>
    </cfRule>
  </conditionalFormatting>
  <conditionalFormatting sqref="O16">
    <cfRule type="cellIs" dxfId="76" priority="39" operator="equal">
      <formula>"Annually"</formula>
    </cfRule>
  </conditionalFormatting>
  <conditionalFormatting sqref="T16">
    <cfRule type="cellIs" dxfId="75" priority="36" operator="equal">
      <formula>"Annually"</formula>
    </cfRule>
  </conditionalFormatting>
  <conditionalFormatting sqref="J37">
    <cfRule type="cellIs" dxfId="74" priority="116" operator="equal">
      <formula>"Annually"</formula>
    </cfRule>
  </conditionalFormatting>
  <conditionalFormatting sqref="T37">
    <cfRule type="expression" dxfId="73" priority="31">
      <formula>$B$47="Annually"</formula>
    </cfRule>
  </conditionalFormatting>
  <conditionalFormatting sqref="I30">
    <cfRule type="expression" dxfId="72" priority="24">
      <formula>$I$30=3</formula>
    </cfRule>
  </conditionalFormatting>
  <conditionalFormatting sqref="I31">
    <cfRule type="expression" dxfId="71" priority="23">
      <formula>$I$31=3</formula>
    </cfRule>
  </conditionalFormatting>
  <conditionalFormatting sqref="B62:B64">
    <cfRule type="expression" dxfId="70" priority="22">
      <formula>$B$60="YES - Annual"</formula>
    </cfRule>
    <cfRule type="expression" dxfId="69" priority="100">
      <formula>$B$60="No"</formula>
    </cfRule>
  </conditionalFormatting>
  <conditionalFormatting sqref="N32:Q32">
    <cfRule type="expression" dxfId="68" priority="67">
      <formula>$B$62=4</formula>
    </cfRule>
  </conditionalFormatting>
  <conditionalFormatting sqref="N31:Q32">
    <cfRule type="expression" dxfId="67" priority="142">
      <formula>$B$62=3</formula>
    </cfRule>
  </conditionalFormatting>
  <conditionalFormatting sqref="N30:Q32">
    <cfRule type="expression" dxfId="66" priority="143">
      <formula>$B$62=2</formula>
    </cfRule>
  </conditionalFormatting>
  <conditionalFormatting sqref="B61:B62">
    <cfRule type="expression" dxfId="65" priority="21">
      <formula>$B$60="NO"</formula>
    </cfRule>
  </conditionalFormatting>
  <conditionalFormatting sqref="B61">
    <cfRule type="expression" dxfId="64" priority="19">
      <formula>$B$60="YES - Annual"</formula>
    </cfRule>
  </conditionalFormatting>
  <conditionalFormatting sqref="D63:D64">
    <cfRule type="expression" dxfId="63" priority="18">
      <formula>$B$60&lt;&gt;"Yes - Purchase Commitment"</formula>
    </cfRule>
  </conditionalFormatting>
  <conditionalFormatting sqref="O45">
    <cfRule type="expression" dxfId="62" priority="1">
      <formula>$O$45="Check"</formula>
    </cfRule>
  </conditionalFormatting>
  <printOptions horizontalCentered="1"/>
  <pageMargins left="0.25" right="0.25" top="0.75" bottom="0.75" header="0.3" footer="0.3"/>
  <pageSetup scale="52" orientation="landscape" errors="dash" r:id="rId1"/>
  <headerFooter scaleWithDoc="0">
    <oddHeader>&amp;C&amp;F&amp;R&amp;D</oddHeader>
    <oddFooter>&amp;L&amp;P&amp;CWelcome | US Foods Confidential</oddFooter>
  </headerFooter>
  <legacyDrawing r:id="rId2"/>
  <extLst>
    <ext xmlns:x14="http://schemas.microsoft.com/office/spreadsheetml/2009/9/main" uri="{78C0D931-6437-407d-A8EE-F0AAD7539E65}">
      <x14:conditionalFormattings>
        <x14:conditionalFormatting xmlns:xm="http://schemas.microsoft.com/office/excel/2006/main">
          <x14:cfRule type="expression" priority="140" id="{85AFC805-D9D2-486E-900A-8D1F247BCA42}">
            <xm:f>Incentives!$E$36="NO"</xm:f>
            <x14:dxf>
              <font>
                <strike/>
              </font>
            </x14:dxf>
          </x14:cfRule>
          <xm:sqref>I24:L24</xm:sqref>
        </x14:conditionalFormatting>
        <x14:conditionalFormatting xmlns:xm="http://schemas.microsoft.com/office/excel/2006/main">
          <x14:cfRule type="expression" priority="138" id="{3D5FF556-B0B7-4B29-AD33-392964C5DB35}">
            <xm:f>Incentives!$B$61="NO"</xm:f>
            <x14:dxf>
              <font>
                <strike/>
              </font>
            </x14:dxf>
          </x14:cfRule>
          <xm:sqref>N24:Q24</xm:sqref>
        </x14:conditionalFormatting>
        <x14:conditionalFormatting xmlns:xm="http://schemas.microsoft.com/office/excel/2006/main">
          <x14:cfRule type="expression" priority="136" id="{5E53A66A-3644-45EF-A3DF-7E7A300D5D31}">
            <xm:f>Incentives!$E$81</xm:f>
            <x14:dxf>
              <font>
                <strike/>
              </font>
            </x14:dxf>
          </x14:cfRule>
          <xm:sqref>S24:V24 I33:L33</xm:sqref>
        </x14:conditionalFormatting>
        <x14:conditionalFormatting xmlns:xm="http://schemas.microsoft.com/office/excel/2006/main">
          <x14:cfRule type="expression" priority="32" id="{C29FE038-1440-45A8-BA51-7E60D6D3D945}">
            <xm:f>Incentives!$E$56="NO"</xm:f>
            <x14:dxf>
              <font>
                <color theme="0"/>
              </font>
              <fill>
                <patternFill patternType="none">
                  <bgColor auto="1"/>
                </patternFill>
              </fill>
            </x14:dxf>
          </x14:cfRule>
          <xm:sqref>I35:L40</xm:sqref>
        </x14:conditionalFormatting>
        <x14:conditionalFormatting xmlns:xm="http://schemas.microsoft.com/office/excel/2006/main">
          <x14:cfRule type="expression" priority="134" id="{5EC75B7A-6615-4B9C-BE6B-2ACE99EC6DA0}">
            <xm:f>Incentives!$E$56="NO"</xm:f>
            <x14:dxf>
              <font>
                <strike/>
              </font>
            </x14:dxf>
          </x14:cfRule>
          <xm:sqref>I33:L34</xm:sqref>
        </x14:conditionalFormatting>
        <x14:conditionalFormatting xmlns:xm="http://schemas.microsoft.com/office/excel/2006/main">
          <x14:cfRule type="expression" priority="133" id="{9F46BA46-96FF-41F0-82A4-6274DC11F025}">
            <xm:f>Incentives!$E$64="NO"</xm:f>
            <x14:dxf>
              <font>
                <color theme="0"/>
              </font>
              <fill>
                <patternFill patternType="none">
                  <bgColor auto="1"/>
                </patternFill>
              </fill>
            </x14:dxf>
          </x14:cfRule>
          <xm:sqref>I25:L26 K37:L37 I29:L31</xm:sqref>
        </x14:conditionalFormatting>
        <x14:conditionalFormatting xmlns:xm="http://schemas.microsoft.com/office/excel/2006/main">
          <x14:cfRule type="expression" priority="132" id="{150A25ED-C049-4022-B832-77D3107793B8}">
            <xm:f>Incentives!$E$81="NO"</xm:f>
            <x14:dxf>
              <font>
                <strike/>
              </font>
            </x14:dxf>
          </x14:cfRule>
          <xm:sqref>S23:V23</xm:sqref>
        </x14:conditionalFormatting>
        <x14:conditionalFormatting xmlns:xm="http://schemas.microsoft.com/office/excel/2006/main">
          <x14:cfRule type="expression" priority="115" id="{F208DEBA-544E-48AB-8F5E-2E709D27F248}">
            <xm:f>Incentives!$E$81="NO"</xm:f>
            <x14:dxf>
              <font>
                <color theme="0"/>
              </font>
              <fill>
                <patternFill patternType="none">
                  <bgColor auto="1"/>
                </patternFill>
              </fill>
            </x14:dxf>
          </x14:cfRule>
          <xm:sqref>S25:V27 S29:V29</xm:sqref>
        </x14:conditionalFormatting>
        <x14:conditionalFormatting xmlns:xm="http://schemas.microsoft.com/office/excel/2006/main">
          <x14:cfRule type="expression" priority="61" id="{3B3C44F2-9DF5-4826-B8C8-796F072B8323}">
            <xm:f>Incentives!$E$15="NO"</xm:f>
            <x14:dxf>
              <fill>
                <patternFill>
                  <bgColor theme="0" tint="-0.24994659260841701"/>
                </patternFill>
              </fill>
            </x14:dxf>
          </x14:cfRule>
          <xm:sqref>A13:D22</xm:sqref>
        </x14:conditionalFormatting>
        <x14:conditionalFormatting xmlns:xm="http://schemas.microsoft.com/office/excel/2006/main">
          <x14:cfRule type="expression" priority="129" id="{D02E1C07-7214-45A0-8D8B-DC05AB7AB8FA}">
            <xm:f>Incentives!$E$26="NO"</xm:f>
            <x14:dxf>
              <fill>
                <patternFill>
                  <bgColor theme="0" tint="-0.24994659260841701"/>
                </patternFill>
              </fill>
            </x14:dxf>
          </x14:cfRule>
          <xm:sqref>A25:D32</xm:sqref>
        </x14:conditionalFormatting>
        <x14:conditionalFormatting xmlns:xm="http://schemas.microsoft.com/office/excel/2006/main">
          <x14:cfRule type="expression" priority="44" id="{F5A86492-7CD8-44E3-AC13-7E32F2E43C5C}">
            <xm:f>Incentives!$E$37="NO"</xm:f>
            <x14:dxf>
              <fill>
                <patternFill>
                  <bgColor theme="0" tint="-0.24994659260841701"/>
                </patternFill>
              </fill>
            </x14:dxf>
          </x14:cfRule>
          <xm:sqref>A35:D42</xm:sqref>
        </x14:conditionalFormatting>
        <x14:conditionalFormatting xmlns:xm="http://schemas.microsoft.com/office/excel/2006/main">
          <x14:cfRule type="expression" priority="41" id="{E26E775A-9E8C-4595-9496-495AC4CE043F}">
            <xm:f>Incentives!$E$56="NO"</xm:f>
            <x14:dxf>
              <fill>
                <patternFill>
                  <bgColor theme="0" tint="-0.24994659260841701"/>
                </patternFill>
              </fill>
            </x14:dxf>
          </x14:cfRule>
          <xm:sqref>A52:D55</xm:sqref>
        </x14:conditionalFormatting>
        <x14:conditionalFormatting xmlns:xm="http://schemas.microsoft.com/office/excel/2006/main">
          <x14:cfRule type="expression" priority="17" id="{871BF669-AA33-4FF8-8384-72AE752D0F89}">
            <xm:f>Incentives!$E$64="NO"</xm:f>
            <x14:dxf>
              <font>
                <color auto="1"/>
              </font>
              <fill>
                <patternFill>
                  <bgColor theme="0" tint="-0.24994659260841701"/>
                </patternFill>
              </fill>
            </x14:dxf>
          </x14:cfRule>
          <xm:sqref>A58:D65</xm:sqref>
        </x14:conditionalFormatting>
        <x14:conditionalFormatting xmlns:xm="http://schemas.microsoft.com/office/excel/2006/main">
          <x14:cfRule type="expression" priority="91" id="{C497DB98-81F9-4590-ACAA-DD743E969FE2}">
            <xm:f>Incentives!$G$80="Toast POS (Specific)"</xm:f>
            <x14:dxf>
              <fill>
                <patternFill>
                  <bgColor theme="9" tint="0.79998168889431442"/>
                </patternFill>
              </fill>
            </x14:dxf>
          </x14:cfRule>
          <x14:cfRule type="expression" priority="125" id="{9D4A13A1-05F5-4967-91BB-FC73016C8603}">
            <xm:f>Incentives!$E$81="NO"</xm:f>
            <x14:dxf>
              <fill>
                <patternFill>
                  <bgColor theme="0" tint="-0.24994659260841701"/>
                </patternFill>
              </fill>
            </x14:dxf>
          </x14:cfRule>
          <xm:sqref>A75:D78</xm:sqref>
        </x14:conditionalFormatting>
        <x14:conditionalFormatting xmlns:xm="http://schemas.microsoft.com/office/excel/2006/main">
          <x14:cfRule type="expression" priority="135" id="{F626339D-E55C-43F9-B24E-2C3013827C5C}">
            <xm:f>Incentives!$I$55="Check"</xm:f>
            <x14:dxf>
              <fill>
                <patternFill>
                  <bgColor theme="4" tint="0.39994506668294322"/>
                </patternFill>
              </fill>
            </x14:dxf>
          </x14:cfRule>
          <xm:sqref>I36:L36</xm:sqref>
        </x14:conditionalFormatting>
        <x14:conditionalFormatting xmlns:xm="http://schemas.microsoft.com/office/excel/2006/main">
          <x14:cfRule type="expression" priority="131" id="{2CC54069-093C-45D4-BE33-84E51BBBE837}">
            <xm:f>Incentives!$I$80="Check"</xm:f>
            <x14:dxf>
              <fill>
                <patternFill>
                  <bgColor theme="4" tint="0.39994506668294322"/>
                </patternFill>
              </fill>
            </x14:dxf>
          </x14:cfRule>
          <xm:sqref>S26:V26</xm:sqref>
        </x14:conditionalFormatting>
        <x14:conditionalFormatting xmlns:xm="http://schemas.microsoft.com/office/excel/2006/main">
          <x14:cfRule type="expression" priority="114" id="{3D4E1CAF-5B04-427D-866A-00A01E7BA103}">
            <xm:f>Incentives!$I$63="Check"</xm:f>
            <x14:dxf>
              <fill>
                <patternFill>
                  <bgColor theme="8" tint="0.59996337778862885"/>
                </patternFill>
              </fill>
            </x14:dxf>
          </x14:cfRule>
          <xm:sqref>J26:K26</xm:sqref>
        </x14:conditionalFormatting>
        <x14:conditionalFormatting xmlns:xm="http://schemas.microsoft.com/office/excel/2006/main">
          <x14:cfRule type="expression" priority="113" id="{E63332A2-58C0-448C-9A8B-F82CC5BAB0B0}">
            <xm:f>Incentives!$E$37="NO"</xm:f>
            <x14:dxf>
              <fill>
                <patternFill>
                  <bgColor theme="0" tint="-0.24994659260841701"/>
                </patternFill>
              </fill>
            </x14:dxf>
          </x14:cfRule>
          <xm:sqref>B42:D42</xm:sqref>
        </x14:conditionalFormatting>
        <x14:conditionalFormatting xmlns:xm="http://schemas.microsoft.com/office/excel/2006/main">
          <x14:cfRule type="expression" priority="106" id="{F8CDE5E1-E7DA-4917-AC4A-C3EDE5A0AF6D}">
            <xm:f>Incentives!$E$89="No"</xm:f>
            <x14:dxf>
              <fill>
                <patternFill>
                  <bgColor theme="0" tint="-0.24994659260841701"/>
                </patternFill>
              </fill>
            </x14:dxf>
          </x14:cfRule>
          <xm:sqref>A81:D84</xm:sqref>
        </x14:conditionalFormatting>
        <x14:conditionalFormatting xmlns:xm="http://schemas.microsoft.com/office/excel/2006/main">
          <x14:cfRule type="expression" priority="105" id="{211780EF-D5C8-4705-BF83-3899DBF4B253}">
            <xm:f>Incentives!E89="No"</xm:f>
            <x14:dxf>
              <font>
                <strike/>
              </font>
            </x14:dxf>
          </x14:cfRule>
          <xm:sqref>N33:Q34</xm:sqref>
        </x14:conditionalFormatting>
        <x14:conditionalFormatting xmlns:xm="http://schemas.microsoft.com/office/excel/2006/main">
          <x14:cfRule type="expression" priority="103" id="{799FA6FD-05EC-4263-AAF4-997CBC295F04}">
            <xm:f>Incentives!$I$88="Check"</xm:f>
            <x14:dxf>
              <font>
                <color theme="1"/>
              </font>
              <fill>
                <patternFill>
                  <bgColor theme="4" tint="0.39994506668294322"/>
                </patternFill>
              </fill>
            </x14:dxf>
          </x14:cfRule>
          <xm:sqref>N36:Q36</xm:sqref>
        </x14:conditionalFormatting>
        <x14:conditionalFormatting xmlns:xm="http://schemas.microsoft.com/office/excel/2006/main">
          <x14:cfRule type="expression" priority="102" id="{3393305D-FC1E-4CCC-8023-9A6095A5E924}">
            <xm:f>Incentives!$E$89="No"</xm:f>
            <x14:dxf>
              <font>
                <strike/>
              </font>
            </x14:dxf>
          </x14:cfRule>
          <xm:sqref>N34:Q34</xm:sqref>
        </x14:conditionalFormatting>
        <x14:conditionalFormatting xmlns:xm="http://schemas.microsoft.com/office/excel/2006/main">
          <x14:cfRule type="expression" priority="101" id="{C3D22A38-E5E7-4DC7-A2BE-7EEE7BAFB7C4}">
            <xm:f>Incentives!$E$89="No"</xm:f>
            <x14:dxf>
              <font>
                <color theme="0"/>
              </font>
              <fill>
                <patternFill patternType="none">
                  <bgColor auto="1"/>
                </patternFill>
              </fill>
            </x14:dxf>
          </x14:cfRule>
          <xm:sqref>N35:Q40</xm:sqref>
        </x14:conditionalFormatting>
        <x14:conditionalFormatting xmlns:xm="http://schemas.microsoft.com/office/excel/2006/main">
          <x14:cfRule type="expression" priority="90" id="{4E24D0E9-5BF4-4E94-B352-6178EBAE2D38}">
            <xm:f>Incentives!$E$64="NO"</xm:f>
            <x14:dxf>
              <font>
                <strike/>
              </font>
            </x14:dxf>
          </x14:cfRule>
          <xm:sqref>I23:L23</xm:sqref>
        </x14:conditionalFormatting>
        <x14:conditionalFormatting xmlns:xm="http://schemas.microsoft.com/office/excel/2006/main">
          <x14:cfRule type="expression" priority="88" id="{BA13ABB7-3198-47C8-B0D8-2C46DF234DCF}">
            <xm:f>Incentives!$E$15="NO"</xm:f>
            <x14:dxf>
              <font>
                <strike/>
              </font>
            </x14:dxf>
          </x14:cfRule>
          <xm:sqref>M11</xm:sqref>
        </x14:conditionalFormatting>
        <x14:conditionalFormatting xmlns:xm="http://schemas.microsoft.com/office/excel/2006/main">
          <x14:cfRule type="expression" priority="87" id="{7E6FBC49-8817-49EC-85A4-4588F0EE7155}">
            <xm:f>Incentives!$E$15="NO"</xm:f>
            <x14:dxf>
              <font>
                <strike/>
              </font>
            </x14:dxf>
          </x14:cfRule>
          <xm:sqref>R11</xm:sqref>
        </x14:conditionalFormatting>
        <x14:conditionalFormatting xmlns:xm="http://schemas.microsoft.com/office/excel/2006/main">
          <x14:cfRule type="expression" priority="82" id="{8A365E9A-3627-4B46-9C27-67D99B682A34}">
            <xm:f>Incentives!$E$64="NO"</xm:f>
            <x14:dxf>
              <font>
                <strike/>
              </font>
            </x14:dxf>
          </x14:cfRule>
          <xm:sqref>N23:Q24</xm:sqref>
        </x14:conditionalFormatting>
        <x14:conditionalFormatting xmlns:xm="http://schemas.microsoft.com/office/excel/2006/main">
          <x14:cfRule type="expression" priority="80" id="{09D75212-F3C3-4B39-986F-8686286E7A87}">
            <xm:f>Incentives!$E$15="NO"</xm:f>
            <x14:dxf>
              <font>
                <strike/>
              </font>
            </x14:dxf>
          </x14:cfRule>
          <xm:sqref>I11:L12</xm:sqref>
        </x14:conditionalFormatting>
        <x14:conditionalFormatting xmlns:xm="http://schemas.microsoft.com/office/excel/2006/main">
          <x14:cfRule type="expression" priority="78" id="{BECA3C5C-78E3-41F5-AF09-7812CDD660DC}">
            <xm:f>Incentives!$E$15="NO"</xm:f>
            <x14:dxf>
              <font>
                <color theme="0"/>
              </font>
              <fill>
                <patternFill patternType="none">
                  <bgColor auto="1"/>
                </patternFill>
              </fill>
            </x14:dxf>
          </x14:cfRule>
          <xm:sqref>I13:L22</xm:sqref>
        </x14:conditionalFormatting>
        <x14:conditionalFormatting xmlns:xm="http://schemas.microsoft.com/office/excel/2006/main">
          <x14:cfRule type="expression" priority="79" id="{8E8F5846-7C75-4192-B383-CA4A04CE93B8}">
            <xm:f>Incentives!$I$14="Check"</xm:f>
            <x14:dxf>
              <fill>
                <patternFill>
                  <bgColor theme="4" tint="0.39994506668294322"/>
                </patternFill>
              </fill>
            </x14:dxf>
          </x14:cfRule>
          <xm:sqref>I14:L14</xm:sqref>
        </x14:conditionalFormatting>
        <x14:conditionalFormatting xmlns:xm="http://schemas.microsoft.com/office/excel/2006/main">
          <x14:cfRule type="expression" priority="77" id="{B845C628-0539-4BA3-BD79-0710EFC0CA05}">
            <xm:f>Incentives!$E$26="NO"</xm:f>
            <x14:dxf>
              <font>
                <strike/>
              </font>
            </x14:dxf>
          </x14:cfRule>
          <xm:sqref>N11:Q12</xm:sqref>
        </x14:conditionalFormatting>
        <x14:conditionalFormatting xmlns:xm="http://schemas.microsoft.com/office/excel/2006/main">
          <x14:cfRule type="expression" priority="38" id="{32FA4350-2634-421B-80FE-22068BF4DB7E}">
            <xm:f>Incentives!$E$26="NO"</xm:f>
            <x14:dxf>
              <font>
                <color theme="0"/>
              </font>
              <fill>
                <patternFill patternType="none">
                  <bgColor auto="1"/>
                </patternFill>
              </fill>
            </x14:dxf>
          </x14:cfRule>
          <xm:sqref>N13:Q22</xm:sqref>
        </x14:conditionalFormatting>
        <x14:conditionalFormatting xmlns:xm="http://schemas.microsoft.com/office/excel/2006/main">
          <x14:cfRule type="expression" priority="76" id="{54F4C19C-4ECF-460C-9AF0-B5458EC94AE9}">
            <xm:f>Incentives!$I$25="Check"</xm:f>
            <x14:dxf>
              <fill>
                <patternFill>
                  <bgColor theme="4" tint="0.39994506668294322"/>
                </patternFill>
              </fill>
            </x14:dxf>
          </x14:cfRule>
          <xm:sqref>N14:Q14</xm:sqref>
        </x14:conditionalFormatting>
        <x14:conditionalFormatting xmlns:xm="http://schemas.microsoft.com/office/excel/2006/main">
          <x14:cfRule type="expression" priority="74" id="{5A5B7AA1-2AD8-4328-8DF5-AFD16552225D}">
            <xm:f>Incentives!$E$37="NO"</xm:f>
            <x14:dxf>
              <font>
                <strike/>
              </font>
            </x14:dxf>
          </x14:cfRule>
          <xm:sqref>S11:V12</xm:sqref>
        </x14:conditionalFormatting>
        <x14:conditionalFormatting xmlns:xm="http://schemas.microsoft.com/office/excel/2006/main">
          <x14:cfRule type="expression" priority="35" id="{E264E20B-D0C8-4832-8C8C-517412AB0404}">
            <xm:f>Incentives!$E$37="NO"</xm:f>
            <x14:dxf>
              <font>
                <color theme="0"/>
              </font>
              <fill>
                <patternFill patternType="none">
                  <bgColor auto="1"/>
                </patternFill>
              </fill>
            </x14:dxf>
          </x14:cfRule>
          <xm:sqref>S13:V22</xm:sqref>
        </x14:conditionalFormatting>
        <x14:conditionalFormatting xmlns:xm="http://schemas.microsoft.com/office/excel/2006/main">
          <x14:cfRule type="expression" priority="73" id="{812923A4-C211-4275-B7E8-9CC44C0F0731}">
            <xm:f>Incentives!$I$36="Check"</xm:f>
            <x14:dxf>
              <fill>
                <patternFill>
                  <bgColor theme="4" tint="0.39994506668294322"/>
                </patternFill>
              </fill>
            </x14:dxf>
          </x14:cfRule>
          <xm:sqref>S14:V14</xm:sqref>
        </x14:conditionalFormatting>
        <x14:conditionalFormatting xmlns:xm="http://schemas.microsoft.com/office/excel/2006/main">
          <x14:cfRule type="expression" priority="69" id="{7A055F6A-1F38-4A85-85DC-12CDC8826B71}">
            <xm:f>Incentives!$G$63="NO"</xm:f>
            <x14:dxf>
              <fill>
                <patternFill patternType="none">
                  <bgColor auto="1"/>
                </patternFill>
              </fill>
            </x14:dxf>
          </x14:cfRule>
          <x14:cfRule type="expression" priority="70" id="{339EE4D0-BA7E-4207-82CC-ED3AA4CC7B88}">
            <xm:f>Incentives!$I$63="Check"</xm:f>
            <x14:dxf>
              <fill>
                <patternFill>
                  <bgColor theme="4" tint="0.39994506668294322"/>
                </patternFill>
              </fill>
            </x14:dxf>
          </x14:cfRule>
          <xm:sqref>O26:Q26</xm:sqref>
        </x14:conditionalFormatting>
        <x14:conditionalFormatting xmlns:xm="http://schemas.microsoft.com/office/excel/2006/main">
          <x14:cfRule type="expression" priority="144" id="{E2CB0568-D022-495C-897D-D970724BFDCD}">
            <xm:f>Incentives!$G$63="Yes - Annual"</xm:f>
            <x14:dxf>
              <font>
                <color auto="1"/>
              </font>
            </x14:dxf>
          </x14:cfRule>
          <xm:sqref>N23:Q32</xm:sqref>
        </x14:conditionalFormatting>
        <x14:conditionalFormatting xmlns:xm="http://schemas.microsoft.com/office/excel/2006/main">
          <x14:cfRule type="expression" priority="60" id="{4DCA3878-59BE-4C9E-8F3A-E18A98877D80}">
            <xm:f>Incentives!$E$48="No"</xm:f>
            <x14:dxf>
              <font>
                <strike/>
              </font>
            </x14:dxf>
          </x14:cfRule>
          <xm:sqref>S33:V34</xm:sqref>
        </x14:conditionalFormatting>
        <x14:conditionalFormatting xmlns:xm="http://schemas.microsoft.com/office/excel/2006/main">
          <x14:cfRule type="expression" priority="57" stopIfTrue="1" id="{F6021DC0-AAEA-4386-A564-DADE74F0E380}">
            <xm:f>Incentives!$E$48="No"</xm:f>
            <x14:dxf>
              <font>
                <color theme="0"/>
              </font>
            </x14:dxf>
          </x14:cfRule>
          <xm:sqref>S35:V40</xm:sqref>
        </x14:conditionalFormatting>
        <x14:conditionalFormatting xmlns:xm="http://schemas.microsoft.com/office/excel/2006/main">
          <x14:cfRule type="expression" priority="56" id="{4AEF1933-86A6-4F46-9A8F-0810CA2F26D1}">
            <xm:f>Incentives!$E$48="no"</xm:f>
            <x14:dxf>
              <fill>
                <patternFill>
                  <bgColor theme="0" tint="-0.24994659260841701"/>
                </patternFill>
              </fill>
            </x14:dxf>
          </x14:cfRule>
          <xm:sqref>A45:D49</xm:sqref>
        </x14:conditionalFormatting>
        <x14:conditionalFormatting xmlns:xm="http://schemas.microsoft.com/office/excel/2006/main">
          <x14:cfRule type="expression" priority="55" id="{D661936E-9494-411E-B035-8DD3AB4F3607}">
            <xm:f>Incentives!$E$64="NO"</xm:f>
            <x14:dxf>
              <font>
                <color theme="0"/>
              </font>
              <fill>
                <patternFill patternType="none">
                  <bgColor auto="1"/>
                </patternFill>
              </fill>
            </x14:dxf>
          </x14:cfRule>
          <xm:sqref>N25:Q32</xm:sqref>
        </x14:conditionalFormatting>
        <x14:conditionalFormatting xmlns:xm="http://schemas.microsoft.com/office/excel/2006/main">
          <x14:cfRule type="expression" priority="54" id="{DEDC29C5-CF14-492F-9136-C7870455E212}">
            <xm:f>Incentives!$E$56="NO"</xm:f>
            <x14:dxf>
              <font>
                <color theme="0"/>
              </font>
              <fill>
                <patternFill patternType="none">
                  <bgColor auto="1"/>
                </patternFill>
              </fill>
            </x14:dxf>
          </x14:cfRule>
          <xm:sqref>J39:K39</xm:sqref>
        </x14:conditionalFormatting>
        <x14:conditionalFormatting xmlns:xm="http://schemas.microsoft.com/office/excel/2006/main">
          <x14:cfRule type="expression" priority="53" id="{377937C1-13A9-4E68-983A-7C7345FC5C36}">
            <xm:f>Incentives!$E$15="NO"</xm:f>
            <x14:dxf>
              <font>
                <color theme="0"/>
              </font>
              <fill>
                <patternFill patternType="none">
                  <bgColor auto="1"/>
                </patternFill>
              </fill>
            </x14:dxf>
          </x14:cfRule>
          <xm:sqref>I38</xm:sqref>
        </x14:conditionalFormatting>
        <x14:conditionalFormatting xmlns:xm="http://schemas.microsoft.com/office/excel/2006/main">
          <x14:cfRule type="expression" priority="52" id="{A15F2389-51CF-4092-A7C5-2D52BF6F022E}">
            <xm:f>Incentives!$E$15="NO"</xm:f>
            <x14:dxf>
              <font>
                <color theme="0"/>
              </font>
              <fill>
                <patternFill patternType="none">
                  <bgColor auto="1"/>
                </patternFill>
              </fill>
            </x14:dxf>
          </x14:cfRule>
          <xm:sqref>I39</xm:sqref>
        </x14:conditionalFormatting>
        <x14:conditionalFormatting xmlns:xm="http://schemas.microsoft.com/office/excel/2006/main">
          <x14:cfRule type="expression" priority="50" id="{DF48203E-D35A-45EC-B18B-239F0EF658A2}">
            <xm:f>Incentives!$E$56="NO"</xm:f>
            <x14:dxf>
              <fill>
                <patternFill>
                  <bgColor theme="0" tint="-0.24994659260841701"/>
                </patternFill>
              </fill>
            </x14:dxf>
          </x14:cfRule>
          <xm:sqref>B55</xm:sqref>
        </x14:conditionalFormatting>
        <x14:conditionalFormatting xmlns:xm="http://schemas.microsoft.com/office/excel/2006/main">
          <x14:cfRule type="expression" priority="49" id="{D4BB29B7-388F-4EBF-805B-2DCCFD6147AE}">
            <xm:f>Incentives!E64="Yes"</xm:f>
            <x14:dxf>
              <fill>
                <patternFill>
                  <bgColor theme="7" tint="0.59996337778862885"/>
                </patternFill>
              </fill>
            </x14:dxf>
          </x14:cfRule>
          <xm:sqref>F10</xm:sqref>
        </x14:conditionalFormatting>
        <x14:conditionalFormatting xmlns:xm="http://schemas.microsoft.com/office/excel/2006/main">
          <x14:cfRule type="expression" priority="48" id="{F8BE90E1-74A1-475F-AB07-203EB6D9DBE9}">
            <xm:f>Incentives!E81="Yes"</xm:f>
            <x14:dxf>
              <fill>
                <patternFill>
                  <bgColor theme="7" tint="0.59996337778862885"/>
                </patternFill>
              </fill>
            </x14:dxf>
          </x14:cfRule>
          <xm:sqref>G10</xm:sqref>
        </x14:conditionalFormatting>
        <x14:conditionalFormatting xmlns:xm="http://schemas.microsoft.com/office/excel/2006/main">
          <x14:cfRule type="expression" priority="40" id="{1561D092-6432-4197-82B5-DC7F61BC03EA}">
            <xm:f>Incentives!$E$15="NO"</xm:f>
            <x14:dxf>
              <font>
                <color theme="0"/>
              </font>
              <fill>
                <patternFill patternType="none">
                  <bgColor auto="1"/>
                </patternFill>
              </fill>
            </x14:dxf>
          </x14:cfRule>
          <xm:sqref>N16</xm:sqref>
        </x14:conditionalFormatting>
        <x14:conditionalFormatting xmlns:xm="http://schemas.microsoft.com/office/excel/2006/main">
          <x14:cfRule type="expression" priority="75" id="{959808AE-5AEB-4574-AA96-50762DFE5812}">
            <xm:f>Incentives!$E$26="NO"</xm:f>
            <x14:dxf>
              <fill>
                <patternFill>
                  <bgColor theme="0" tint="-0.24994659260841701"/>
                </patternFill>
              </fill>
            </x14:dxf>
          </x14:cfRule>
          <xm:sqref>O16</xm:sqref>
        </x14:conditionalFormatting>
        <x14:conditionalFormatting xmlns:xm="http://schemas.microsoft.com/office/excel/2006/main">
          <x14:cfRule type="expression" priority="37" id="{BD7FD410-F026-4472-AE14-BD0895A4EE53}">
            <xm:f>Incentives!$E$15="NO"</xm:f>
            <x14:dxf>
              <font>
                <color theme="0"/>
              </font>
              <fill>
                <patternFill patternType="none">
                  <bgColor auto="1"/>
                </patternFill>
              </fill>
            </x14:dxf>
          </x14:cfRule>
          <xm:sqref>S16</xm:sqref>
        </x14:conditionalFormatting>
        <x14:conditionalFormatting xmlns:xm="http://schemas.microsoft.com/office/excel/2006/main">
          <x14:cfRule type="expression" priority="72" id="{F4A97F36-2D67-4123-8E29-ACE3CD937E9B}">
            <xm:f>Incentives!$E$26="NO"</xm:f>
            <x14:dxf>
              <fill>
                <patternFill>
                  <bgColor theme="0" tint="-0.24994659260841701"/>
                </patternFill>
              </fill>
            </x14:dxf>
          </x14:cfRule>
          <xm:sqref>T16</xm:sqref>
        </x14:conditionalFormatting>
        <x14:conditionalFormatting xmlns:xm="http://schemas.microsoft.com/office/excel/2006/main">
          <x14:cfRule type="expression" priority="34" id="{1D6F9B14-6AA1-4227-9763-5FC8FEE316FA}">
            <xm:f>Incentives!$E$15="NO"</xm:f>
            <x14:dxf>
              <font>
                <color theme="0"/>
              </font>
              <fill>
                <patternFill patternType="none">
                  <bgColor auto="1"/>
                </patternFill>
              </fill>
            </x14:dxf>
          </x14:cfRule>
          <xm:sqref>I37</xm:sqref>
        </x14:conditionalFormatting>
        <x14:conditionalFormatting xmlns:xm="http://schemas.microsoft.com/office/excel/2006/main">
          <x14:cfRule type="expression" priority="20" id="{1385AABB-1D91-4AA5-B99F-AD3675F59DC5}">
            <xm:f>Incentives!$E$72="NO"</xm:f>
            <x14:dxf>
              <fill>
                <patternFill>
                  <bgColor theme="0" tint="-0.24994659260841701"/>
                </patternFill>
              </fill>
            </x14:dxf>
          </x14:cfRule>
          <xm:sqref>A67:D72</xm:sqref>
        </x14:conditionalFormatting>
        <x14:conditionalFormatting xmlns:xm="http://schemas.microsoft.com/office/excel/2006/main">
          <x14:cfRule type="expression" priority="4" id="{E4B3AE2D-4564-4E1E-848B-99DDEEC49D77}">
            <xm:f>Incentives!$E$72="NO"</xm:f>
            <x14:dxf>
              <font>
                <color theme="0"/>
              </font>
              <fill>
                <patternFill patternType="none">
                  <bgColor auto="1"/>
                </patternFill>
              </fill>
            </x14:dxf>
          </x14:cfRule>
          <xm:sqref>N43:Q53 S43:V53</xm:sqref>
        </x14:conditionalFormatting>
        <x14:conditionalFormatting xmlns:xm="http://schemas.microsoft.com/office/excel/2006/main">
          <x14:cfRule type="expression" priority="3" id="{36F3507D-8469-4898-8C8C-6D2EC5124AA0}">
            <xm:f>Incentives!$E$72="NO"</xm:f>
            <x14:dxf>
              <font>
                <strike/>
              </font>
            </x14:dxf>
          </x14:cfRule>
          <xm:sqref>N41:Q42 S41:V42</xm:sqref>
        </x14:conditionalFormatting>
        <x14:conditionalFormatting xmlns:xm="http://schemas.microsoft.com/office/excel/2006/main">
          <x14:cfRule type="expression" priority="2" id="{0795FFD2-1D7A-4D5A-BD3A-14A4BC5CA3F4}">
            <xm:f>Incentives!E72="Yes"</xm:f>
            <x14:dxf>
              <fill>
                <patternFill>
                  <bgColor theme="7" tint="0.59996337778862885"/>
                </patternFill>
              </fill>
            </x14:dxf>
          </x14:cfRule>
          <xm:sqref>F11</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AV24" sqref="AV24:BD24"/>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62"/>
      <c r="C1" s="141"/>
      <c r="D1" s="141"/>
      <c r="E1" s="141"/>
      <c r="F1" s="141"/>
      <c r="G1" s="141"/>
      <c r="H1" s="141"/>
      <c r="I1" s="141"/>
      <c r="J1" s="141"/>
      <c r="K1" s="141"/>
      <c r="L1" s="141"/>
      <c r="M1" s="141"/>
      <c r="N1" s="141"/>
      <c r="O1" s="141"/>
      <c r="P1" s="141"/>
      <c r="Q1" s="141"/>
      <c r="R1" s="141"/>
      <c r="S1" s="141"/>
      <c r="T1" s="141"/>
      <c r="U1" s="141"/>
      <c r="V1" s="141"/>
      <c r="W1" s="141"/>
      <c r="X1" s="141"/>
      <c r="Y1" s="141"/>
      <c r="Z1" s="141"/>
      <c r="AA1" s="141"/>
      <c r="AB1" s="141"/>
      <c r="AC1" s="141"/>
      <c r="AD1" s="141"/>
      <c r="AE1" s="141"/>
      <c r="AF1" s="141"/>
      <c r="AG1" s="141"/>
      <c r="AH1" s="141"/>
      <c r="AI1" s="141"/>
      <c r="AJ1" s="141"/>
      <c r="AK1" s="141"/>
      <c r="AL1" s="141"/>
      <c r="AM1" s="141"/>
      <c r="AN1" s="141"/>
      <c r="AO1" s="141"/>
      <c r="AP1" s="141"/>
      <c r="AQ1" s="141"/>
      <c r="AR1" s="141"/>
      <c r="AS1" s="141"/>
      <c r="AT1" s="141"/>
      <c r="AU1" s="141"/>
      <c r="AV1" s="141"/>
      <c r="AW1" s="141"/>
      <c r="AX1" s="141"/>
      <c r="AY1" s="141"/>
      <c r="AZ1" s="141"/>
      <c r="BA1" s="141"/>
      <c r="BB1" s="141"/>
      <c r="BC1" s="141"/>
      <c r="BD1" s="141"/>
      <c r="BE1" s="141"/>
      <c r="BF1" s="365"/>
    </row>
    <row r="2" spans="2:68" ht="36" x14ac:dyDescent="0.55000000000000004">
      <c r="B2" s="1261" t="s">
        <v>750</v>
      </c>
      <c r="C2" s="1262"/>
      <c r="D2" s="1262"/>
      <c r="E2" s="1262"/>
      <c r="F2" s="1262"/>
      <c r="G2" s="1262"/>
      <c r="H2" s="1262"/>
      <c r="I2" s="1262"/>
      <c r="J2" s="1262"/>
      <c r="K2" s="1262"/>
      <c r="L2" s="1262"/>
      <c r="M2" s="1262"/>
      <c r="N2" s="1262"/>
      <c r="O2" s="1262"/>
      <c r="P2" s="1262"/>
      <c r="Q2" s="1262"/>
      <c r="R2" s="1262"/>
      <c r="S2" s="1262"/>
      <c r="T2" s="1262"/>
      <c r="U2" s="1262"/>
      <c r="V2" s="1262"/>
      <c r="W2" s="1262"/>
      <c r="X2" s="1262"/>
      <c r="Y2" s="1262"/>
      <c r="Z2" s="1262"/>
      <c r="AA2" s="1262"/>
      <c r="AB2" s="1262"/>
      <c r="AC2" s="1262"/>
      <c r="AD2" s="1262"/>
      <c r="AE2" s="1262"/>
      <c r="AF2" s="1262"/>
      <c r="AG2" s="1262"/>
      <c r="AH2" s="1262"/>
      <c r="AI2" s="1262"/>
      <c r="AJ2" s="1262"/>
      <c r="AK2" s="1262"/>
      <c r="AL2" s="1262"/>
      <c r="AM2" s="1262"/>
      <c r="AN2" s="1262"/>
      <c r="AO2" s="1262"/>
      <c r="AP2" s="1262"/>
      <c r="AQ2" s="1262"/>
      <c r="AR2" s="1262"/>
      <c r="AS2" s="1262"/>
      <c r="AT2" s="1262"/>
      <c r="AU2" s="1262"/>
      <c r="AV2" s="1262"/>
      <c r="AW2" s="1262"/>
      <c r="AX2" s="1262"/>
      <c r="AY2" s="1262"/>
      <c r="AZ2" s="1262"/>
      <c r="BA2" s="1262"/>
      <c r="BB2" s="1262"/>
      <c r="BC2" s="1262"/>
      <c r="BD2" s="1262"/>
      <c r="BE2" s="1262"/>
      <c r="BF2" s="1263"/>
    </row>
    <row r="3" spans="2:68" x14ac:dyDescent="0.25">
      <c r="B3" s="1264"/>
      <c r="C3" s="1265"/>
      <c r="D3" s="1265"/>
      <c r="E3" s="1265"/>
      <c r="F3" s="1265"/>
      <c r="G3" s="1265"/>
      <c r="H3" s="1265"/>
      <c r="I3" s="1265"/>
      <c r="J3" s="1265"/>
      <c r="K3" s="1265"/>
      <c r="L3" s="1265"/>
      <c r="M3" s="1265"/>
      <c r="N3" s="1265"/>
      <c r="O3" s="1265"/>
      <c r="P3" s="1265"/>
      <c r="Q3" s="1265"/>
      <c r="R3" s="1265"/>
      <c r="S3" s="1265"/>
      <c r="T3" s="1265"/>
      <c r="U3" s="1265"/>
      <c r="V3" s="1265"/>
      <c r="W3" s="1265"/>
      <c r="X3" s="1265"/>
      <c r="Y3" s="1265"/>
      <c r="Z3" s="1265"/>
      <c r="AA3" s="1265"/>
      <c r="AB3" s="1265"/>
      <c r="AC3" s="1265"/>
      <c r="AD3" s="1265"/>
      <c r="AE3" s="1265"/>
      <c r="AF3" s="1265"/>
      <c r="AG3" s="1265"/>
      <c r="AH3" s="1265"/>
      <c r="AI3" s="1265"/>
      <c r="AJ3" s="1265"/>
      <c r="AK3" s="1265"/>
      <c r="AL3" s="1265"/>
      <c r="AM3" s="1265"/>
      <c r="AN3" s="1265"/>
      <c r="AO3" s="1265"/>
      <c r="AP3" s="1265"/>
      <c r="AQ3" s="1265"/>
      <c r="AR3" s="1265"/>
      <c r="AS3" s="1265"/>
      <c r="AT3" s="1265"/>
      <c r="AU3" s="1265"/>
      <c r="AV3" s="1265"/>
      <c r="AW3" s="1265"/>
      <c r="AX3" s="1265"/>
      <c r="AY3" s="1265"/>
      <c r="AZ3" s="1265"/>
      <c r="BA3" s="1265"/>
      <c r="BB3" s="1265"/>
      <c r="BC3" s="1265"/>
      <c r="BD3" s="1265"/>
      <c r="BE3" s="1265"/>
      <c r="BF3" s="1266"/>
    </row>
    <row r="4" spans="2:68" x14ac:dyDescent="0.25">
      <c r="B4" s="143"/>
      <c r="BF4" s="144"/>
    </row>
    <row r="5" spans="2:68" x14ac:dyDescent="0.25">
      <c r="B5" s="143"/>
      <c r="BF5" s="144"/>
    </row>
    <row r="6" spans="2:68" x14ac:dyDescent="0.25">
      <c r="B6" s="143"/>
      <c r="BF6" s="144"/>
    </row>
    <row r="7" spans="2:68" x14ac:dyDescent="0.25">
      <c r="B7" s="143"/>
      <c r="BF7" s="144"/>
    </row>
    <row r="8" spans="2:68" ht="18.75" x14ac:dyDescent="0.3">
      <c r="B8" s="1223" t="s">
        <v>677</v>
      </c>
      <c r="C8" s="1224"/>
      <c r="D8" s="1224"/>
      <c r="E8" s="1224"/>
      <c r="F8" s="1224"/>
      <c r="G8" s="1224"/>
      <c r="H8" s="1224"/>
      <c r="I8" s="1224"/>
      <c r="J8" s="1224"/>
      <c r="K8" s="1224"/>
      <c r="L8" s="1224"/>
      <c r="M8" s="1224"/>
      <c r="N8" s="1224"/>
      <c r="O8" s="1224"/>
      <c r="P8" s="1224"/>
      <c r="Q8" s="1224"/>
      <c r="R8" s="1224"/>
      <c r="S8" s="1224"/>
      <c r="T8" s="1224"/>
      <c r="U8" s="1224"/>
      <c r="V8" s="1224"/>
      <c r="W8" s="1224"/>
      <c r="X8" s="1224"/>
      <c r="Y8" s="1224"/>
      <c r="Z8" s="1224"/>
      <c r="AA8" s="1224"/>
      <c r="AB8" s="1224"/>
      <c r="AC8" s="1224"/>
      <c r="AD8" s="1224"/>
      <c r="AE8" s="1224"/>
      <c r="AF8" s="1224"/>
      <c r="AG8" s="1224"/>
      <c r="AH8" s="1224"/>
      <c r="AI8" s="1224"/>
      <c r="AJ8" s="1224"/>
      <c r="AK8" s="1224"/>
      <c r="AL8" s="1224"/>
      <c r="AM8" s="1224"/>
      <c r="AN8" s="1224"/>
      <c r="AO8" s="1224"/>
      <c r="AP8" s="1224"/>
      <c r="AQ8" s="1224"/>
      <c r="AR8" s="1224"/>
      <c r="AS8" s="1224"/>
      <c r="AT8" s="1224"/>
      <c r="AU8" s="1224"/>
      <c r="AV8" s="1224"/>
      <c r="AW8" s="1224"/>
      <c r="AX8" s="1224"/>
      <c r="AY8" s="1224"/>
      <c r="AZ8" s="1224"/>
      <c r="BA8" s="1224"/>
      <c r="BB8" s="1224"/>
      <c r="BC8" s="1224"/>
      <c r="BD8" s="1224"/>
      <c r="BE8" s="1224"/>
      <c r="BF8" s="1225"/>
    </row>
    <row r="9" spans="2:68" x14ac:dyDescent="0.25">
      <c r="B9" s="736"/>
      <c r="C9" s="299"/>
      <c r="D9" s="299"/>
      <c r="E9" s="299"/>
      <c r="F9" s="299"/>
      <c r="G9" s="299"/>
      <c r="H9" s="299"/>
      <c r="I9" s="299"/>
      <c r="J9" s="299"/>
      <c r="K9" s="299"/>
      <c r="L9" s="299"/>
      <c r="M9" s="299"/>
      <c r="N9" s="299"/>
      <c r="O9" s="299"/>
      <c r="P9" s="299"/>
      <c r="Q9" s="299"/>
      <c r="R9" s="299"/>
      <c r="S9" s="299"/>
      <c r="T9" s="299"/>
      <c r="U9" s="299"/>
      <c r="V9" s="299"/>
      <c r="W9" s="299"/>
      <c r="X9" s="299"/>
      <c r="Y9" s="299"/>
      <c r="Z9" s="299"/>
      <c r="AA9" s="299"/>
      <c r="AB9" s="299"/>
      <c r="AC9" s="299"/>
      <c r="AD9" s="299"/>
      <c r="AE9" s="299"/>
      <c r="AF9" s="299"/>
      <c r="AG9" s="299"/>
      <c r="AH9" s="299"/>
      <c r="AI9" s="299"/>
      <c r="AJ9" s="299"/>
      <c r="AK9" s="299"/>
      <c r="AL9" s="296"/>
      <c r="AM9" s="296"/>
      <c r="AN9" s="296"/>
      <c r="AO9" s="296"/>
      <c r="AP9" s="296"/>
      <c r="AQ9" s="296"/>
      <c r="AR9" s="296"/>
      <c r="AS9" s="296"/>
      <c r="AT9" s="296"/>
      <c r="AU9" s="296"/>
      <c r="AV9" s="296"/>
      <c r="AW9" s="296"/>
      <c r="AX9" s="296"/>
      <c r="AY9" s="296"/>
      <c r="AZ9" s="296"/>
      <c r="BA9" s="296"/>
      <c r="BB9" s="296"/>
      <c r="BC9" s="299"/>
      <c r="BD9" s="299"/>
      <c r="BE9" s="299"/>
      <c r="BF9" s="737"/>
    </row>
    <row r="10" spans="2:68" x14ac:dyDescent="0.25">
      <c r="B10" s="1280" t="s">
        <v>914</v>
      </c>
      <c r="C10" s="1172"/>
      <c r="D10" s="1172"/>
      <c r="E10" s="1172"/>
      <c r="F10" s="1172"/>
      <c r="G10" s="1172"/>
      <c r="H10" s="1172"/>
      <c r="I10" s="1172"/>
      <c r="J10" s="1172"/>
      <c r="K10" s="1271">
        <f>'Tracking &amp; Profitability'!$H$5</f>
        <v>0</v>
      </c>
      <c r="L10" s="1271"/>
      <c r="M10" s="1271"/>
      <c r="N10" s="1271"/>
      <c r="O10" s="1271"/>
      <c r="P10" s="1271"/>
      <c r="Q10" s="1271"/>
      <c r="R10" s="1271"/>
      <c r="S10" s="1271"/>
      <c r="T10" s="1271"/>
      <c r="U10" s="1271"/>
      <c r="V10" s="1271"/>
      <c r="W10" s="1271"/>
      <c r="X10" s="1271"/>
      <c r="Y10" s="1271"/>
      <c r="Z10" s="1271"/>
      <c r="AA10" s="1271"/>
      <c r="AB10" s="1271"/>
      <c r="AC10" s="1271"/>
      <c r="AD10" s="1271"/>
      <c r="AE10" s="1271"/>
      <c r="AI10" s="1172" t="s">
        <v>749</v>
      </c>
      <c r="AJ10" s="1172"/>
      <c r="AK10" s="1172"/>
      <c r="AL10" s="1172"/>
      <c r="AM10" s="1172"/>
      <c r="AN10" s="1172"/>
      <c r="AO10" s="1172"/>
      <c r="AP10" s="1172"/>
      <c r="AQ10" s="1172"/>
      <c r="AR10" s="1172"/>
      <c r="AT10" s="1279"/>
      <c r="AU10" s="1279"/>
      <c r="AV10" s="1279"/>
      <c r="AW10" s="1279"/>
      <c r="AX10" s="1279"/>
      <c r="AY10" s="1279"/>
      <c r="AZ10" s="1279"/>
      <c r="BA10" s="1279"/>
      <c r="BB10" s="1279"/>
      <c r="BC10" s="1279"/>
      <c r="BD10" s="1279"/>
      <c r="BF10" s="144"/>
    </row>
    <row r="11" spans="2:68" x14ac:dyDescent="0.25">
      <c r="B11" s="143"/>
      <c r="AL11" s="2"/>
      <c r="AM11" s="2"/>
      <c r="AN11" s="2"/>
      <c r="AO11" s="2"/>
      <c r="AP11" s="2"/>
      <c r="AQ11" s="2"/>
      <c r="AR11" s="2"/>
      <c r="AS11" s="2"/>
      <c r="AT11" s="2"/>
      <c r="AU11" s="2"/>
      <c r="AV11" s="2"/>
      <c r="BF11" s="144"/>
    </row>
    <row r="12" spans="2:68" x14ac:dyDescent="0.25">
      <c r="B12" s="1273" t="s">
        <v>915</v>
      </c>
      <c r="C12" s="1270"/>
      <c r="D12" s="1270"/>
      <c r="E12" s="1270"/>
      <c r="F12" s="1270"/>
      <c r="G12" s="1270"/>
      <c r="H12" s="1270"/>
      <c r="I12" s="1270"/>
      <c r="J12" s="1270"/>
      <c r="K12" s="1281">
        <f>'Required Info to Submit'!$F$4</f>
        <v>0</v>
      </c>
      <c r="L12" s="1281"/>
      <c r="M12" s="1281"/>
      <c r="N12" s="1281"/>
      <c r="O12" s="1281"/>
      <c r="P12" s="1281"/>
      <c r="Q12" s="1281"/>
      <c r="R12" s="1281"/>
      <c r="S12" s="1281"/>
      <c r="T12" s="1281"/>
      <c r="U12" s="1281"/>
      <c r="V12" s="1281"/>
      <c r="W12" s="1281"/>
      <c r="X12" s="1281"/>
      <c r="Y12" s="1281"/>
      <c r="Z12" s="1281"/>
      <c r="AA12" s="1281"/>
      <c r="AB12" s="1281"/>
      <c r="AC12" s="1281"/>
      <c r="AD12" s="1281"/>
      <c r="AE12" s="1281"/>
      <c r="AL12" s="2"/>
      <c r="AM12" s="2"/>
      <c r="AN12" s="2"/>
      <c r="AO12" s="2"/>
      <c r="AP12" s="2"/>
      <c r="AQ12" s="2"/>
      <c r="AR12" s="2"/>
      <c r="AS12" s="2"/>
      <c r="AT12" s="2"/>
      <c r="AU12" s="2"/>
      <c r="AV12" s="2"/>
      <c r="BF12" s="144"/>
    </row>
    <row r="13" spans="2:68" x14ac:dyDescent="0.25">
      <c r="B13" s="143"/>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44"/>
    </row>
    <row r="14" spans="2:68" x14ac:dyDescent="0.25">
      <c r="B14" s="1273" t="s">
        <v>937</v>
      </c>
      <c r="C14" s="1270"/>
      <c r="D14" s="1270"/>
      <c r="E14" s="1270"/>
      <c r="F14" s="1270"/>
      <c r="G14" s="1270"/>
      <c r="H14" s="1270"/>
      <c r="I14" s="1270"/>
      <c r="J14" s="1270"/>
      <c r="K14" s="1270"/>
      <c r="L14" s="1270"/>
      <c r="M14" s="1270"/>
      <c r="N14" s="1270"/>
      <c r="O14" s="1270"/>
      <c r="P14" s="1270"/>
      <c r="Q14" s="1270"/>
      <c r="R14" s="1272">
        <f>'Required Info to Submit'!$F$6</f>
        <v>0</v>
      </c>
      <c r="S14" s="1272"/>
      <c r="T14" s="1272"/>
      <c r="U14" s="1272"/>
      <c r="V14" s="1272"/>
      <c r="W14" s="1272"/>
      <c r="X14" s="1272"/>
      <c r="Y14" s="1272"/>
      <c r="Z14" s="1272"/>
      <c r="AA14" s="1272"/>
      <c r="AB14" s="1272"/>
      <c r="AC14" s="1272"/>
      <c r="AD14" s="1272"/>
      <c r="AE14" s="1272"/>
      <c r="AF14" s="1272"/>
      <c r="AG14" s="1272"/>
      <c r="AH14" s="1272"/>
      <c r="AI14" s="1272"/>
      <c r="AJ14" s="1272"/>
      <c r="AK14" s="1272"/>
      <c r="AL14" s="1272"/>
      <c r="AM14" s="1272"/>
      <c r="AN14" s="1272"/>
      <c r="AO14" s="1272"/>
      <c r="AP14" s="1272"/>
      <c r="AQ14" s="1272"/>
      <c r="AR14" s="1272"/>
      <c r="AS14" s="1272"/>
      <c r="AT14" s="1272"/>
      <c r="AU14" s="1272"/>
      <c r="AV14" s="1272"/>
      <c r="AW14" s="1272"/>
      <c r="AX14" s="1272"/>
      <c r="AY14" s="1272"/>
      <c r="AZ14" s="1272"/>
      <c r="BA14" s="1272"/>
      <c r="BB14" s="1272"/>
      <c r="BC14" s="1272"/>
      <c r="BD14" s="1272"/>
      <c r="BF14" s="144"/>
    </row>
    <row r="15" spans="2:68" x14ac:dyDescent="0.25">
      <c r="B15" s="680"/>
      <c r="C15" s="140"/>
      <c r="D15" s="140"/>
      <c r="E15" s="140"/>
      <c r="F15" s="140"/>
      <c r="G15" s="140"/>
      <c r="H15" s="140"/>
      <c r="I15" s="140"/>
      <c r="J15" s="140"/>
      <c r="K15" s="140"/>
      <c r="L15" s="140"/>
      <c r="M15" s="140"/>
      <c r="N15" s="140"/>
      <c r="O15" s="140"/>
      <c r="P15" s="140"/>
      <c r="Q15" s="140"/>
      <c r="BF15" s="144"/>
    </row>
    <row r="16" spans="2:68" x14ac:dyDescent="0.25">
      <c r="B16" s="1273" t="s">
        <v>748</v>
      </c>
      <c r="C16" s="1270"/>
      <c r="D16" s="1270"/>
      <c r="E16" s="1270"/>
      <c r="F16" s="1270"/>
      <c r="G16" s="1270"/>
      <c r="H16" s="1270"/>
      <c r="I16" s="1270"/>
      <c r="J16" s="1270"/>
      <c r="K16" s="1270"/>
      <c r="L16" s="1270"/>
      <c r="M16" s="1270"/>
      <c r="N16" s="1270"/>
      <c r="O16" s="1270"/>
      <c r="P16" s="1270"/>
      <c r="Q16" s="1270"/>
      <c r="R16" s="1281" t="s">
        <v>248</v>
      </c>
      <c r="S16" s="1281"/>
      <c r="T16" s="1265" t="s">
        <v>678</v>
      </c>
      <c r="U16" s="1265"/>
      <c r="V16" s="1265"/>
      <c r="W16" s="1265"/>
      <c r="X16" s="1265"/>
      <c r="Y16" s="1265"/>
      <c r="Z16" s="1265"/>
      <c r="AA16" s="1265"/>
      <c r="AB16" s="1265"/>
      <c r="AC16" s="1265"/>
      <c r="AD16" s="1265"/>
      <c r="AE16" s="1265"/>
      <c r="AF16" s="1265"/>
      <c r="AG16" s="1265"/>
      <c r="AH16" s="1265"/>
      <c r="AI16" s="1265"/>
      <c r="AJ16" s="1265"/>
      <c r="AK16" s="1265"/>
      <c r="AL16" s="1265"/>
      <c r="AO16" s="1265"/>
      <c r="AP16" s="1265"/>
      <c r="BF16" s="144"/>
      <c r="BP16" s="301"/>
    </row>
    <row r="17" spans="2:68" x14ac:dyDescent="0.25">
      <c r="B17" s="680"/>
      <c r="C17" s="140"/>
      <c r="D17" s="140"/>
      <c r="E17" s="140"/>
      <c r="F17" s="140"/>
      <c r="G17" s="140"/>
      <c r="H17" s="140"/>
      <c r="I17" s="140"/>
      <c r="J17" s="140"/>
      <c r="K17" s="140"/>
      <c r="L17" s="140"/>
      <c r="M17" s="140"/>
      <c r="N17" s="140"/>
      <c r="O17" s="140"/>
      <c r="P17" s="140"/>
      <c r="Q17" s="140"/>
      <c r="BF17" s="144"/>
    </row>
    <row r="18" spans="2:68" x14ac:dyDescent="0.25">
      <c r="B18" s="1274" t="s">
        <v>908</v>
      </c>
      <c r="C18" s="1275"/>
      <c r="D18" s="1275"/>
      <c r="E18" s="1275"/>
      <c r="F18" s="1275"/>
      <c r="G18" s="1275"/>
      <c r="H18" s="1275"/>
      <c r="I18" s="1275"/>
      <c r="J18" s="1275"/>
      <c r="K18" s="1275"/>
      <c r="L18" s="1275"/>
      <c r="M18" s="1275"/>
      <c r="N18" s="1275"/>
      <c r="O18" s="1275"/>
      <c r="P18" s="1275"/>
      <c r="Q18" s="1275"/>
      <c r="R18" s="1271">
        <f>'Required Info to Submit'!$F$8</f>
        <v>0</v>
      </c>
      <c r="S18" s="1271"/>
      <c r="T18" s="1271"/>
      <c r="U18" s="1271"/>
      <c r="V18" s="1271"/>
      <c r="W18" s="1271"/>
      <c r="X18" s="1271"/>
      <c r="Y18" s="1271"/>
      <c r="Z18" s="1271"/>
      <c r="AA18" s="1271"/>
      <c r="AB18" s="1271"/>
      <c r="AC18" s="1271"/>
      <c r="AD18" s="1271"/>
      <c r="AE18" s="1271"/>
      <c r="AF18" s="1271"/>
      <c r="AG18" s="1271"/>
      <c r="AH18" s="1271"/>
      <c r="AI18" s="1271"/>
      <c r="AJ18" s="1271"/>
      <c r="AK18" s="1271"/>
      <c r="AL18" s="1271"/>
      <c r="AN18" s="1270" t="s">
        <v>910</v>
      </c>
      <c r="AO18" s="1270"/>
      <c r="AP18" s="1270"/>
      <c r="AQ18" s="1270"/>
      <c r="AR18" s="1270"/>
      <c r="AS18" s="1270"/>
      <c r="AT18" s="1270"/>
      <c r="AU18" s="1270"/>
      <c r="AV18" s="1271">
        <f>'Required Info to Submit'!F10</f>
        <v>0</v>
      </c>
      <c r="AW18" s="1271"/>
      <c r="AX18" s="1271"/>
      <c r="AY18" s="1271"/>
      <c r="AZ18" s="1271"/>
      <c r="BA18" s="1271"/>
      <c r="BB18" s="1271"/>
      <c r="BC18" s="1271"/>
      <c r="BD18" s="1271"/>
      <c r="BF18" s="144"/>
      <c r="BP18" s="301"/>
    </row>
    <row r="19" spans="2:68" x14ac:dyDescent="0.25">
      <c r="B19" s="680"/>
      <c r="C19" s="140"/>
      <c r="D19" s="140"/>
      <c r="E19" s="140"/>
      <c r="F19" s="140"/>
      <c r="G19" s="140"/>
      <c r="H19" s="140"/>
      <c r="I19" s="140"/>
      <c r="J19" s="140"/>
      <c r="K19" s="140"/>
      <c r="L19" s="140"/>
      <c r="M19" s="140"/>
      <c r="N19" s="140"/>
      <c r="O19" s="140"/>
      <c r="P19" s="140"/>
      <c r="Q19" s="140"/>
      <c r="AN19" s="140"/>
      <c r="AO19" s="140"/>
      <c r="AP19" s="140"/>
      <c r="AQ19" s="140"/>
      <c r="AR19" s="140"/>
      <c r="AS19" s="140"/>
      <c r="AT19" s="140"/>
      <c r="AU19" s="140"/>
      <c r="BF19" s="144"/>
    </row>
    <row r="20" spans="2:68" x14ac:dyDescent="0.25">
      <c r="B20" s="1273" t="s">
        <v>909</v>
      </c>
      <c r="C20" s="1270"/>
      <c r="D20" s="1270"/>
      <c r="E20" s="1270"/>
      <c r="F20" s="1270"/>
      <c r="G20" s="1270"/>
      <c r="H20" s="1270"/>
      <c r="I20" s="1270"/>
      <c r="J20" s="1270"/>
      <c r="K20" s="1270"/>
      <c r="L20" s="1270"/>
      <c r="M20" s="1270"/>
      <c r="N20" s="1270"/>
      <c r="O20" s="1270"/>
      <c r="P20" s="1270"/>
      <c r="Q20" s="1270"/>
      <c r="R20" s="1271">
        <f>'Required Info to Submit'!F9</f>
        <v>0</v>
      </c>
      <c r="S20" s="1271"/>
      <c r="T20" s="1271"/>
      <c r="U20" s="1271"/>
      <c r="V20" s="1271"/>
      <c r="W20" s="1271"/>
      <c r="X20" s="1271"/>
      <c r="Y20" s="1271"/>
      <c r="Z20" s="1271"/>
      <c r="AA20" s="1271"/>
      <c r="AB20" s="1271"/>
      <c r="AC20" s="1271"/>
      <c r="AD20" s="1271"/>
      <c r="AE20" s="1271"/>
      <c r="AF20" s="1271"/>
      <c r="AG20" s="1271"/>
      <c r="AH20" s="1271"/>
      <c r="AI20" s="1271"/>
      <c r="AJ20" s="1271"/>
      <c r="AK20" s="1271"/>
      <c r="AL20" s="1271"/>
      <c r="AN20" s="1270" t="s">
        <v>861</v>
      </c>
      <c r="AO20" s="1270"/>
      <c r="AP20" s="1270"/>
      <c r="AQ20" s="1270"/>
      <c r="AR20" s="1270"/>
      <c r="AS20" s="1270"/>
      <c r="AT20" s="1270"/>
      <c r="AU20" s="1270"/>
      <c r="AV20" s="1271">
        <f>'Required Info to Submit'!F11</f>
        <v>0</v>
      </c>
      <c r="AW20" s="1271"/>
      <c r="AX20" s="1271"/>
      <c r="AY20" s="1271"/>
      <c r="AZ20" s="1271"/>
      <c r="BA20" s="1271"/>
      <c r="BB20" s="1271"/>
      <c r="BC20" s="1271"/>
      <c r="BD20" s="1271"/>
      <c r="BF20" s="144"/>
      <c r="BP20" s="301"/>
    </row>
    <row r="21" spans="2:68" x14ac:dyDescent="0.25">
      <c r="B21" s="680"/>
      <c r="C21" s="140"/>
      <c r="D21" s="140"/>
      <c r="E21" s="140"/>
      <c r="F21" s="140"/>
      <c r="G21" s="140"/>
      <c r="H21" s="140"/>
      <c r="I21" s="140"/>
      <c r="J21" s="140"/>
      <c r="K21" s="140"/>
      <c r="L21" s="140"/>
      <c r="M21" s="140"/>
      <c r="N21" s="140"/>
      <c r="O21" s="140"/>
      <c r="P21" s="140"/>
      <c r="Q21" s="140"/>
      <c r="AN21" s="140"/>
      <c r="AO21" s="140"/>
      <c r="AP21" s="140"/>
      <c r="AQ21" s="140"/>
      <c r="AR21" s="140"/>
      <c r="AS21" s="140"/>
      <c r="AT21" s="140"/>
      <c r="AU21" s="140"/>
      <c r="BF21" s="144"/>
    </row>
    <row r="22" spans="2:68" x14ac:dyDescent="0.25">
      <c r="B22" s="1273" t="s">
        <v>911</v>
      </c>
      <c r="C22" s="1270"/>
      <c r="D22" s="1270"/>
      <c r="E22" s="1270"/>
      <c r="F22" s="1270"/>
      <c r="G22" s="1270"/>
      <c r="H22" s="1270"/>
      <c r="I22" s="1270"/>
      <c r="J22" s="1270"/>
      <c r="K22" s="1270"/>
      <c r="L22" s="1270"/>
      <c r="M22" s="1270"/>
      <c r="N22" s="1270"/>
      <c r="O22" s="1270"/>
      <c r="P22" s="1270"/>
      <c r="Q22" s="1270"/>
      <c r="R22" s="1271">
        <f>'Required Info to Submit'!F12</f>
        <v>0</v>
      </c>
      <c r="S22" s="1271"/>
      <c r="T22" s="1271"/>
      <c r="U22" s="1271"/>
      <c r="V22" s="1271"/>
      <c r="W22" s="1271"/>
      <c r="X22" s="1271"/>
      <c r="Y22" s="1271"/>
      <c r="Z22" s="1271"/>
      <c r="AA22" s="1271"/>
      <c r="AB22" s="1271"/>
      <c r="AC22" s="1271"/>
      <c r="AD22" s="1271"/>
      <c r="AE22" s="1271"/>
      <c r="AF22" s="1271"/>
      <c r="AG22" s="1271"/>
      <c r="AH22" s="1271"/>
      <c r="AI22" s="1271"/>
      <c r="AJ22" s="1271"/>
      <c r="AK22" s="1271"/>
      <c r="AL22" s="1271"/>
      <c r="AN22" s="1270"/>
      <c r="AO22" s="1270"/>
      <c r="AP22" s="1270"/>
      <c r="AQ22" s="1270"/>
      <c r="AR22" s="1270"/>
      <c r="AS22" s="1270"/>
      <c r="AT22" s="1270"/>
      <c r="AU22" s="1270"/>
      <c r="AV22" s="1277"/>
      <c r="AW22" s="1277"/>
      <c r="AX22" s="1277"/>
      <c r="AY22" s="1277"/>
      <c r="AZ22" s="1277"/>
      <c r="BA22" s="1277"/>
      <c r="BB22" s="1277"/>
      <c r="BC22" s="1277"/>
      <c r="BD22" s="1277"/>
      <c r="BF22" s="144"/>
      <c r="BP22" s="301"/>
    </row>
    <row r="23" spans="2:68" x14ac:dyDescent="0.25">
      <c r="B23" s="680"/>
      <c r="C23" s="140"/>
      <c r="D23" s="140"/>
      <c r="E23" s="140"/>
      <c r="F23" s="140"/>
      <c r="G23" s="140"/>
      <c r="H23" s="140"/>
      <c r="I23" s="140"/>
      <c r="J23" s="140"/>
      <c r="K23" s="140"/>
      <c r="L23" s="140"/>
      <c r="M23" s="140"/>
      <c r="N23" s="140"/>
      <c r="O23" s="140"/>
      <c r="P23" s="140"/>
      <c r="Q23" s="140"/>
      <c r="BF23" s="144"/>
    </row>
    <row r="24" spans="2:68" x14ac:dyDescent="0.25">
      <c r="B24" s="1273" t="s">
        <v>912</v>
      </c>
      <c r="C24" s="1270"/>
      <c r="D24" s="1270"/>
      <c r="E24" s="1270"/>
      <c r="F24" s="1270"/>
      <c r="G24" s="1270"/>
      <c r="H24" s="1270"/>
      <c r="I24" s="1270"/>
      <c r="J24" s="1270"/>
      <c r="K24" s="1270"/>
      <c r="L24" s="1270"/>
      <c r="M24" s="1270"/>
      <c r="N24" s="1270"/>
      <c r="O24" s="1270"/>
      <c r="P24" s="1270"/>
      <c r="Q24" s="1270"/>
      <c r="R24" s="1282">
        <f>'Required Info to Submit'!$F$14</f>
        <v>44332</v>
      </c>
      <c r="S24" s="1282"/>
      <c r="T24" s="1282"/>
      <c r="U24" s="1282"/>
      <c r="V24" s="1282"/>
      <c r="W24" s="1282"/>
      <c r="X24" s="1282"/>
      <c r="Y24" s="1282"/>
      <c r="Z24" s="1282"/>
      <c r="AA24" s="1282"/>
      <c r="AB24" s="1282"/>
      <c r="AC24" s="1282"/>
      <c r="AN24" s="1172" t="s">
        <v>916</v>
      </c>
      <c r="AO24" s="1172"/>
      <c r="AP24" s="1172"/>
      <c r="AQ24" s="1172"/>
      <c r="AR24" s="1172"/>
      <c r="AS24" s="1172"/>
      <c r="AT24" s="1172"/>
      <c r="AU24" s="1172"/>
      <c r="AV24" s="1278">
        <f>'Incentive Setup'!$S$4</f>
        <v>44338</v>
      </c>
      <c r="AW24" s="1278"/>
      <c r="AX24" s="1278"/>
      <c r="AY24" s="1278"/>
      <c r="AZ24" s="1278"/>
      <c r="BA24" s="1278"/>
      <c r="BB24" s="1278"/>
      <c r="BC24" s="1278"/>
      <c r="BD24" s="1278"/>
      <c r="BF24" s="144"/>
    </row>
    <row r="25" spans="2:68" ht="17.25" x14ac:dyDescent="0.25">
      <c r="B25" s="143"/>
      <c r="C25" s="302"/>
      <c r="D25" s="302"/>
      <c r="E25" s="302"/>
      <c r="F25" s="302"/>
      <c r="G25" s="302"/>
      <c r="H25" s="1276" t="s">
        <v>747</v>
      </c>
      <c r="I25" s="1276"/>
      <c r="J25" s="1276"/>
      <c r="K25" s="1276"/>
      <c r="L25" s="1276"/>
      <c r="M25" s="1276"/>
      <c r="N25" s="1276"/>
      <c r="O25" s="1276"/>
      <c r="P25" s="1276"/>
      <c r="Q25" s="302"/>
      <c r="AN25" s="1276" t="s">
        <v>746</v>
      </c>
      <c r="AO25" s="1276"/>
      <c r="AP25" s="1276"/>
      <c r="AQ25" s="1276"/>
      <c r="AR25" s="1276"/>
      <c r="AS25" s="1276"/>
      <c r="AT25" s="1276"/>
      <c r="BF25" s="144"/>
    </row>
    <row r="26" spans="2:68" ht="18.75" x14ac:dyDescent="0.3">
      <c r="B26" s="1223" t="s">
        <v>683</v>
      </c>
      <c r="C26" s="1224"/>
      <c r="D26" s="1224"/>
      <c r="E26" s="1224"/>
      <c r="F26" s="1224"/>
      <c r="G26" s="1224"/>
      <c r="H26" s="1224"/>
      <c r="I26" s="1224"/>
      <c r="J26" s="1224"/>
      <c r="K26" s="1224"/>
      <c r="L26" s="1224"/>
      <c r="M26" s="1224"/>
      <c r="N26" s="1224"/>
      <c r="O26" s="1224"/>
      <c r="P26" s="1224"/>
      <c r="Q26" s="1224"/>
      <c r="R26" s="1224"/>
      <c r="S26" s="1224"/>
      <c r="T26" s="1224"/>
      <c r="U26" s="1224"/>
      <c r="V26" s="1224"/>
      <c r="W26" s="1224"/>
      <c r="X26" s="1224"/>
      <c r="Y26" s="1224"/>
      <c r="Z26" s="1224"/>
      <c r="AA26" s="1224"/>
      <c r="AB26" s="1224"/>
      <c r="AC26" s="1224"/>
      <c r="AD26" s="1224"/>
      <c r="AE26" s="1224"/>
      <c r="AF26" s="1224"/>
      <c r="AG26" s="1224"/>
      <c r="AH26" s="1224"/>
      <c r="AI26" s="1224"/>
      <c r="AJ26" s="1224"/>
      <c r="AK26" s="1224"/>
      <c r="AL26" s="1224"/>
      <c r="AM26" s="1224"/>
      <c r="AN26" s="1224"/>
      <c r="AO26" s="1224"/>
      <c r="AP26" s="1224"/>
      <c r="AQ26" s="1224"/>
      <c r="AR26" s="1224"/>
      <c r="AS26" s="1224"/>
      <c r="AT26" s="1224"/>
      <c r="AU26" s="1224"/>
      <c r="AV26" s="1224"/>
      <c r="AW26" s="1224"/>
      <c r="AX26" s="1224"/>
      <c r="AY26" s="1224"/>
      <c r="AZ26" s="1224"/>
      <c r="BA26" s="1224"/>
      <c r="BB26" s="1224"/>
      <c r="BC26" s="1224"/>
      <c r="BD26" s="1224"/>
      <c r="BE26" s="1224"/>
      <c r="BF26" s="1225"/>
      <c r="BP26" s="301"/>
    </row>
    <row r="27" spans="2:68" x14ac:dyDescent="0.25">
      <c r="B27" s="673"/>
      <c r="C27" s="296"/>
      <c r="D27" s="296"/>
      <c r="E27" s="296"/>
      <c r="F27" s="296"/>
      <c r="G27" s="296"/>
      <c r="H27" s="296"/>
      <c r="I27" s="296"/>
      <c r="J27" s="296"/>
      <c r="K27" s="296"/>
      <c r="L27" s="296"/>
      <c r="M27" s="296"/>
      <c r="N27" s="296"/>
      <c r="O27" s="296"/>
      <c r="P27" s="296"/>
      <c r="Q27" s="296"/>
      <c r="R27" s="296"/>
      <c r="S27" s="296"/>
      <c r="T27" s="296"/>
      <c r="U27" s="296"/>
      <c r="V27" s="296"/>
      <c r="W27" s="296"/>
      <c r="X27" s="296"/>
      <c r="Y27" s="296"/>
      <c r="Z27" s="296"/>
      <c r="AA27" s="296"/>
      <c r="AB27" s="296"/>
      <c r="AC27" s="296"/>
      <c r="AD27" s="296"/>
      <c r="AE27" s="296"/>
      <c r="AF27" s="296"/>
      <c r="AG27" s="296"/>
      <c r="AH27" s="296"/>
      <c r="AI27" s="296"/>
      <c r="AJ27" s="296"/>
      <c r="AK27" s="296"/>
      <c r="AL27" s="296"/>
      <c r="AM27" s="296"/>
      <c r="AN27" s="296"/>
      <c r="AO27" s="296"/>
      <c r="AP27" s="296"/>
      <c r="AQ27" s="296"/>
      <c r="AR27" s="296"/>
      <c r="AS27" s="296"/>
      <c r="AT27" s="296"/>
      <c r="AU27" s="296"/>
      <c r="AV27" s="296"/>
      <c r="AW27" s="296"/>
      <c r="AX27" s="296"/>
      <c r="AY27" s="296"/>
      <c r="AZ27" s="296"/>
      <c r="BA27" s="296"/>
      <c r="BB27" s="296"/>
      <c r="BC27" s="296"/>
      <c r="BD27" s="296"/>
      <c r="BE27" s="296"/>
      <c r="BF27" s="674"/>
    </row>
    <row r="28" spans="2:68" x14ac:dyDescent="0.25">
      <c r="B28" s="1286" t="s">
        <v>684</v>
      </c>
      <c r="C28" s="1287"/>
      <c r="D28" s="1287"/>
      <c r="E28" s="1287"/>
      <c r="F28" s="1287"/>
      <c r="G28" s="1287"/>
      <c r="H28" s="1287"/>
      <c r="I28" s="1287"/>
      <c r="J28" s="1287"/>
      <c r="K28" s="1287"/>
      <c r="L28" s="1287"/>
      <c r="M28" s="1287"/>
      <c r="N28" s="1287"/>
      <c r="O28" s="1287"/>
      <c r="P28" s="1287"/>
      <c r="Q28" s="1287"/>
      <c r="T28" s="1283">
        <f>'Tracking &amp; Profitability'!$E$6</f>
        <v>0</v>
      </c>
      <c r="U28" s="1283"/>
      <c r="V28" s="1283"/>
      <c r="W28" s="1283"/>
      <c r="X28" s="1283"/>
      <c r="Y28" s="1283"/>
      <c r="Z28" s="1283"/>
      <c r="AA28" s="1283"/>
      <c r="AB28" s="1283"/>
      <c r="AF28" t="s">
        <v>745</v>
      </c>
      <c r="AO28" s="1281">
        <v>5</v>
      </c>
      <c r="AP28" s="1281"/>
      <c r="AQ28" s="1281"/>
      <c r="AR28" s="1265" t="s">
        <v>685</v>
      </c>
      <c r="AS28" s="1265"/>
      <c r="AU28" s="1281">
        <v>5</v>
      </c>
      <c r="AV28" s="1281"/>
      <c r="AW28" s="1281"/>
      <c r="AX28" s="1265" t="s">
        <v>744</v>
      </c>
      <c r="AY28" s="1265"/>
      <c r="BA28" s="1281">
        <v>5</v>
      </c>
      <c r="BB28" s="1281"/>
      <c r="BC28" s="1281"/>
      <c r="BD28" s="1265" t="s">
        <v>686</v>
      </c>
      <c r="BE28" s="1265"/>
      <c r="BF28" s="144"/>
    </row>
    <row r="29" spans="2:68" ht="17.25" x14ac:dyDescent="0.25">
      <c r="B29" s="143"/>
      <c r="T29" s="140"/>
      <c r="U29" s="140"/>
      <c r="V29" s="140"/>
      <c r="W29" s="140"/>
      <c r="X29" s="140"/>
      <c r="Y29" s="140"/>
      <c r="Z29" s="140"/>
      <c r="AA29" s="140"/>
      <c r="AB29" s="140"/>
      <c r="AF29" s="1276" t="s">
        <v>743</v>
      </c>
      <c r="AG29" s="1276"/>
      <c r="AH29" s="1276"/>
      <c r="AI29" s="1276"/>
      <c r="AJ29" s="1276"/>
      <c r="AK29" s="1276"/>
      <c r="AL29" s="1276"/>
      <c r="AM29" s="1276"/>
      <c r="AN29" s="1276"/>
      <c r="AO29" s="1276"/>
      <c r="AP29" s="1276"/>
      <c r="AQ29" s="1276"/>
      <c r="AR29" s="1276"/>
      <c r="AS29" s="1276"/>
      <c r="AT29" s="1276"/>
      <c r="AU29" s="1276"/>
      <c r="AV29" s="1276"/>
      <c r="AW29" s="1276"/>
      <c r="AX29" s="1276"/>
      <c r="AY29" s="1276"/>
      <c r="AZ29" s="1276"/>
      <c r="BA29" s="1276"/>
      <c r="BB29" s="1276"/>
      <c r="BC29" s="1276"/>
      <c r="BD29" s="1276"/>
      <c r="BE29" s="1276"/>
      <c r="BF29" s="144"/>
    </row>
    <row r="30" spans="2:68" x14ac:dyDescent="0.25">
      <c r="B30" s="1280" t="s">
        <v>740</v>
      </c>
      <c r="C30" s="1172"/>
      <c r="D30" s="1172"/>
      <c r="E30" s="1172"/>
      <c r="F30" s="1172"/>
      <c r="G30" s="1172"/>
      <c r="H30" s="1172"/>
      <c r="I30" s="1172"/>
      <c r="J30" s="1172"/>
      <c r="K30" s="1172"/>
      <c r="L30" s="1172"/>
      <c r="M30" s="1172"/>
      <c r="N30" s="1172"/>
      <c r="O30" s="1172"/>
      <c r="P30" s="1172"/>
      <c r="Q30" s="1172"/>
      <c r="T30" s="1290">
        <v>1</v>
      </c>
      <c r="U30" s="1290"/>
      <c r="V30" s="1290"/>
      <c r="W30" s="1290"/>
      <c r="AF30" s="1187" t="s">
        <v>742</v>
      </c>
      <c r="AG30" s="1187"/>
      <c r="AH30" s="1187"/>
      <c r="AI30" s="1187"/>
      <c r="AJ30" s="1187"/>
      <c r="AK30" s="1187"/>
      <c r="AL30" s="1187"/>
      <c r="AM30" s="1187"/>
      <c r="AN30" s="1187"/>
      <c r="AO30" s="1187"/>
      <c r="AP30" s="1281" t="s">
        <v>1093</v>
      </c>
      <c r="AQ30" s="1281"/>
      <c r="AR30" s="1281"/>
      <c r="AT30" s="1187" t="s">
        <v>741</v>
      </c>
      <c r="AU30" s="1187"/>
      <c r="AV30" s="1187"/>
      <c r="AW30" s="1187"/>
      <c r="AX30" s="1187"/>
      <c r="AY30" s="1187"/>
      <c r="AZ30" s="1187"/>
      <c r="BA30" s="1187"/>
      <c r="BB30" s="1187"/>
      <c r="BC30" s="1187"/>
      <c r="BF30" s="144"/>
    </row>
    <row r="31" spans="2:68" x14ac:dyDescent="0.25">
      <c r="B31" s="143"/>
      <c r="BF31" s="144"/>
      <c r="BP31" s="301"/>
    </row>
    <row r="32" spans="2:68" x14ac:dyDescent="0.25">
      <c r="B32" s="1280" t="s">
        <v>737</v>
      </c>
      <c r="C32" s="1172"/>
      <c r="D32" s="1172"/>
      <c r="E32" s="1172"/>
      <c r="F32" s="1172"/>
      <c r="G32" s="1172"/>
      <c r="H32" s="1172"/>
      <c r="I32" s="1172"/>
      <c r="J32" s="1172"/>
      <c r="K32" s="1172"/>
      <c r="L32" s="1172"/>
      <c r="M32" s="1172"/>
      <c r="N32" s="1172"/>
      <c r="O32" s="1172"/>
      <c r="P32" s="1172"/>
      <c r="Q32" s="1172"/>
      <c r="T32" s="1284" t="s">
        <v>1065</v>
      </c>
      <c r="U32" s="1284"/>
      <c r="V32" s="1284"/>
      <c r="W32" s="1284"/>
      <c r="X32" s="1284"/>
      <c r="Y32" s="1284"/>
      <c r="Z32" s="1284"/>
      <c r="AA32" s="1284"/>
      <c r="AB32" s="1284"/>
      <c r="AC32" s="1284"/>
      <c r="AD32" s="1284"/>
      <c r="AE32" s="1284"/>
      <c r="AF32" s="1284"/>
      <c r="AG32" s="1284"/>
      <c r="AH32" s="1284"/>
      <c r="AI32" s="1284"/>
      <c r="AJ32" s="1284"/>
      <c r="AK32" s="1284"/>
      <c r="AL32" s="1284"/>
      <c r="AM32" s="1284"/>
      <c r="AN32" s="1284"/>
      <c r="AO32" s="1284"/>
      <c r="BF32" s="144"/>
    </row>
    <row r="33" spans="2:92" x14ac:dyDescent="0.25">
      <c r="B33" s="143"/>
      <c r="BF33" s="144"/>
    </row>
    <row r="34" spans="2:92" x14ac:dyDescent="0.25">
      <c r="B34" s="143"/>
      <c r="C34" s="88"/>
      <c r="D34" s="88"/>
      <c r="E34" s="88"/>
      <c r="F34" s="88"/>
      <c r="G34" s="88"/>
      <c r="H34" s="88"/>
      <c r="I34" s="1281"/>
      <c r="J34" s="1281"/>
      <c r="K34" s="1265" t="s">
        <v>499</v>
      </c>
      <c r="L34" s="1265"/>
      <c r="M34" s="1265"/>
      <c r="N34" s="1265"/>
      <c r="O34" s="1265"/>
      <c r="P34" s="1265"/>
      <c r="Q34" s="1265"/>
      <c r="R34" s="1281" t="s">
        <v>248</v>
      </c>
      <c r="S34" s="1281"/>
      <c r="T34" s="1265" t="s">
        <v>498</v>
      </c>
      <c r="U34" s="1265"/>
      <c r="V34" s="1265"/>
      <c r="W34" s="1265"/>
      <c r="X34" s="1281"/>
      <c r="Y34" s="1281"/>
      <c r="Z34" s="1265" t="s">
        <v>497</v>
      </c>
      <c r="AA34" s="1265"/>
      <c r="AB34" s="1265"/>
      <c r="AF34" t="s">
        <v>739</v>
      </c>
      <c r="AL34" s="1281">
        <v>5</v>
      </c>
      <c r="AM34" s="1281"/>
      <c r="AN34" s="1281"/>
      <c r="AO34" t="s">
        <v>738</v>
      </c>
      <c r="BF34" s="144"/>
    </row>
    <row r="35" spans="2:92" x14ac:dyDescent="0.25">
      <c r="B35" s="143"/>
      <c r="BF35" s="144"/>
      <c r="BP35" s="303"/>
      <c r="CN35" s="301"/>
    </row>
    <row r="36" spans="2:92" x14ac:dyDescent="0.25">
      <c r="B36" s="1286" t="s">
        <v>736</v>
      </c>
      <c r="C36" s="1287"/>
      <c r="D36" s="1287"/>
      <c r="E36" s="1287"/>
      <c r="F36" s="1287"/>
      <c r="G36" s="1287"/>
      <c r="H36" s="1287"/>
      <c r="I36" s="1287"/>
      <c r="J36" s="1287"/>
      <c r="K36" s="1287"/>
      <c r="L36" s="1287"/>
      <c r="M36" s="1287"/>
      <c r="N36" s="1287"/>
      <c r="O36" s="1287"/>
      <c r="P36" s="1287"/>
      <c r="Q36" s="1287"/>
      <c r="R36" s="1287"/>
      <c r="T36" s="1296" t="str">
        <f>IFERROR($T$28/('Tracking &amp; Profitability'!$E$7*52*Welcome!$D$14),"Error on A La Carte")</f>
        <v>Error on A La Carte</v>
      </c>
      <c r="U36" s="1296"/>
      <c r="V36" s="1296"/>
      <c r="W36" s="1296"/>
      <c r="X36" s="1296"/>
      <c r="Y36" s="1296"/>
      <c r="Z36" s="1296"/>
      <c r="AA36" s="1296"/>
      <c r="AB36" s="1296"/>
      <c r="AF36" s="1287" t="s">
        <v>494</v>
      </c>
      <c r="AG36" s="1287"/>
      <c r="AH36" s="1287"/>
      <c r="AI36" s="1287"/>
      <c r="AJ36" s="1287"/>
      <c r="AK36" s="1287"/>
      <c r="AL36" s="1287"/>
      <c r="AM36" s="1287"/>
      <c r="AN36" s="1287"/>
      <c r="AO36" s="1287"/>
      <c r="AP36" s="1287"/>
      <c r="AQ36" s="1287"/>
      <c r="AR36" s="1287"/>
      <c r="AS36" s="1287"/>
      <c r="AU36" s="1281" t="e">
        <f>ROUND(((1-(('PIM Model'!$G$15+'PIM Model'!$G$17+'PIM Model'!$G$18)/'PIM Model'!$G$31))*100),0)&amp;"%/"&amp;ROUND((('PIM Model'!$G$15+'PIM Model'!$G$17+'PIM Model'!$G$18)/'PIM Model'!$G$31*100),0)&amp;"%"</f>
        <v>#DIV/0!</v>
      </c>
      <c r="AV36" s="1281"/>
      <c r="AW36" s="1281"/>
      <c r="AX36" s="1281"/>
      <c r="AY36" s="1281"/>
      <c r="AZ36" s="1281"/>
      <c r="BF36" s="144"/>
    </row>
    <row r="37" spans="2:92" x14ac:dyDescent="0.25">
      <c r="B37" s="351"/>
      <c r="C37" s="88"/>
      <c r="D37" s="88"/>
      <c r="E37" s="88"/>
      <c r="F37" s="88"/>
      <c r="G37" s="88"/>
      <c r="H37" s="88"/>
      <c r="I37" s="88"/>
      <c r="J37" s="88"/>
      <c r="K37" s="88"/>
      <c r="L37" s="88"/>
      <c r="M37" s="88"/>
      <c r="N37" s="88"/>
      <c r="O37" s="88"/>
      <c r="P37" s="88"/>
      <c r="Q37" s="88"/>
      <c r="T37" s="304"/>
      <c r="U37" s="304"/>
      <c r="V37" s="304"/>
      <c r="W37" s="304"/>
      <c r="X37" s="304"/>
      <c r="Y37" s="304"/>
      <c r="Z37" s="304"/>
      <c r="AA37" s="304"/>
      <c r="AB37" s="304"/>
      <c r="AC37" s="304"/>
      <c r="AD37" s="304"/>
      <c r="AF37" s="2"/>
      <c r="AG37" s="2"/>
      <c r="AH37" s="2"/>
      <c r="AI37" s="2"/>
      <c r="AJ37" s="2"/>
      <c r="AK37" s="2"/>
      <c r="AL37" s="2"/>
      <c r="AM37" s="2"/>
      <c r="AN37" s="2"/>
      <c r="AO37" s="2"/>
      <c r="AP37" s="2"/>
      <c r="AQ37" s="2"/>
      <c r="AR37" s="2"/>
      <c r="AS37" s="2"/>
      <c r="AT37" s="2"/>
      <c r="AU37" s="2"/>
      <c r="AV37" s="2"/>
      <c r="AW37" s="2"/>
      <c r="AX37" s="2"/>
      <c r="AY37" s="2"/>
      <c r="BF37" s="144"/>
      <c r="BP37" s="303"/>
      <c r="CN37" s="301"/>
    </row>
    <row r="38" spans="2:92" x14ac:dyDescent="0.25">
      <c r="B38" s="1286" t="s">
        <v>734</v>
      </c>
      <c r="C38" s="1287"/>
      <c r="D38" s="1287"/>
      <c r="E38" s="1287"/>
      <c r="F38" s="1287"/>
      <c r="G38" s="1287"/>
      <c r="H38" s="1287"/>
      <c r="I38" s="1287"/>
      <c r="J38" s="1287"/>
      <c r="K38" s="1287"/>
      <c r="L38" s="1287"/>
      <c r="M38" s="1287"/>
      <c r="N38" s="1287"/>
      <c r="O38" s="1287"/>
      <c r="P38" s="1287"/>
      <c r="Q38" s="1287"/>
      <c r="R38" s="1287"/>
      <c r="T38" s="1297" t="str">
        <f>IFERROR('PIM Model'!$H$31/('PIM Model'!$E$6*52*Welcome!$D$14),"Error on A La Carte")</f>
        <v>Error on A La Carte</v>
      </c>
      <c r="U38" s="1297"/>
      <c r="V38" s="1297"/>
      <c r="W38" s="1297"/>
      <c r="X38" s="1297"/>
      <c r="Y38" s="1297"/>
      <c r="Z38" s="1297"/>
      <c r="AA38" s="1297"/>
      <c r="AB38" s="1297"/>
      <c r="AC38" s="304"/>
      <c r="AD38" s="304"/>
      <c r="AF38" s="1172" t="s">
        <v>687</v>
      </c>
      <c r="AG38" s="1172"/>
      <c r="AH38" s="1172"/>
      <c r="AI38" s="1172"/>
      <c r="AJ38" s="1172"/>
      <c r="AK38" s="1172"/>
      <c r="AL38" s="1172"/>
      <c r="AM38" s="1172"/>
      <c r="AN38" s="1172"/>
      <c r="AO38" s="1172"/>
      <c r="AP38" s="1172"/>
      <c r="AQ38" s="1172"/>
      <c r="AR38" s="1172"/>
      <c r="AS38" s="1172"/>
      <c r="AU38" s="1281">
        <f>COUNTIF('PIM Model'!$E$10:$E$30,"Include")</f>
        <v>21</v>
      </c>
      <c r="AV38" s="1281"/>
      <c r="AW38" s="1281"/>
      <c r="AX38" s="1281"/>
      <c r="AY38" s="1281"/>
      <c r="AZ38" s="1281"/>
      <c r="BF38" s="144"/>
    </row>
    <row r="39" spans="2:92" x14ac:dyDescent="0.25">
      <c r="B39" s="143"/>
      <c r="BF39" s="144"/>
    </row>
    <row r="40" spans="2:92" x14ac:dyDescent="0.25">
      <c r="B40" s="1286" t="s">
        <v>732</v>
      </c>
      <c r="C40" s="1287"/>
      <c r="D40" s="1287"/>
      <c r="E40" s="1287"/>
      <c r="F40" s="1287"/>
      <c r="G40" s="1287"/>
      <c r="H40" s="1287"/>
      <c r="I40" s="1287"/>
      <c r="J40" s="1287"/>
      <c r="K40" s="1287"/>
      <c r="L40" s="1287"/>
      <c r="M40" s="1287"/>
      <c r="N40" s="1287"/>
      <c r="O40" s="1287"/>
      <c r="P40" s="1287"/>
      <c r="Q40" s="1287"/>
      <c r="R40" s="1287"/>
      <c r="T40" s="1283">
        <f>IFERROR('PIM Model'!$G$31/'PIM Model'!$H$31,0)</f>
        <v>0</v>
      </c>
      <c r="U40" s="1283"/>
      <c r="V40" s="1283"/>
      <c r="W40" s="1283"/>
      <c r="X40" s="1283"/>
      <c r="Y40" s="1283"/>
      <c r="Z40" s="1283"/>
      <c r="AA40" s="1283"/>
      <c r="AB40" s="1283"/>
      <c r="AF40" s="1172" t="s">
        <v>735</v>
      </c>
      <c r="AG40" s="1172"/>
      <c r="AH40" s="1172"/>
      <c r="AI40" s="1172"/>
      <c r="AJ40" s="1172"/>
      <c r="AK40" s="1172"/>
      <c r="AL40" s="1172"/>
      <c r="AM40" s="1172"/>
      <c r="AN40" s="1172"/>
      <c r="AO40" s="1172"/>
      <c r="AP40" s="1172"/>
      <c r="AQ40" s="1172"/>
      <c r="AR40" s="1172"/>
      <c r="AS40" s="1172"/>
      <c r="AU40" s="1281">
        <f>$AO$28+$AU$28+$BA$28</f>
        <v>15</v>
      </c>
      <c r="AV40" s="1281"/>
      <c r="AW40" s="1281"/>
      <c r="BC40" s="1265"/>
      <c r="BD40" s="1265"/>
      <c r="BE40" s="1265"/>
      <c r="BF40" s="144"/>
    </row>
    <row r="41" spans="2:92" x14ac:dyDescent="0.25">
      <c r="B41" s="143"/>
      <c r="BF41" s="144"/>
      <c r="BP41" s="301"/>
      <c r="CN41" s="303"/>
    </row>
    <row r="42" spans="2:92" x14ac:dyDescent="0.25">
      <c r="B42" s="1280" t="s">
        <v>730</v>
      </c>
      <c r="C42" s="1172"/>
      <c r="D42" s="1172"/>
      <c r="E42" s="1172"/>
      <c r="F42" s="1172"/>
      <c r="G42" s="1172"/>
      <c r="H42" s="1172"/>
      <c r="I42" s="1172"/>
      <c r="J42" s="1172"/>
      <c r="K42" s="1172"/>
      <c r="L42" s="1172"/>
      <c r="M42" s="1172"/>
      <c r="N42" s="1172"/>
      <c r="O42" s="1172"/>
      <c r="P42" s="1172"/>
      <c r="Q42" s="1172"/>
      <c r="R42" s="1172"/>
      <c r="T42" s="1283" t="s">
        <v>789</v>
      </c>
      <c r="U42" s="1283"/>
      <c r="V42" s="1283"/>
      <c r="W42" s="1283"/>
      <c r="X42" s="1283"/>
      <c r="Y42" s="1283"/>
      <c r="Z42" s="1283"/>
      <c r="AA42" s="1283"/>
      <c r="AB42" s="1283"/>
      <c r="AF42" s="1172" t="s">
        <v>733</v>
      </c>
      <c r="AG42" s="1172"/>
      <c r="AH42" s="1172"/>
      <c r="AI42" s="1172"/>
      <c r="AJ42" s="1172"/>
      <c r="AK42" s="1172"/>
      <c r="AL42" s="1172"/>
      <c r="AM42" s="1172"/>
      <c r="AN42" s="1172"/>
      <c r="AO42" s="1172"/>
      <c r="AP42" s="1172"/>
      <c r="AQ42" s="1172"/>
      <c r="AR42" s="1172"/>
      <c r="AS42" s="1172"/>
      <c r="AU42" s="1281" t="s">
        <v>679</v>
      </c>
      <c r="AV42" s="1281"/>
      <c r="AW42" s="1281"/>
      <c r="BC42" s="1265"/>
      <c r="BD42" s="1265"/>
      <c r="BE42" s="1265"/>
      <c r="BF42" s="144"/>
    </row>
    <row r="43" spans="2:92" x14ac:dyDescent="0.25">
      <c r="B43" s="143"/>
      <c r="BF43" s="144"/>
      <c r="BP43" s="301"/>
      <c r="CN43" s="303"/>
    </row>
    <row r="44" spans="2:92" x14ac:dyDescent="0.25">
      <c r="B44" s="1286" t="s">
        <v>728</v>
      </c>
      <c r="C44" s="1287"/>
      <c r="D44" s="1287"/>
      <c r="E44" s="1287"/>
      <c r="F44" s="1287"/>
      <c r="G44" s="1287"/>
      <c r="H44" s="1287"/>
      <c r="I44" s="1287"/>
      <c r="J44" s="1287"/>
      <c r="K44" s="1287"/>
      <c r="L44" s="1287"/>
      <c r="M44" s="1287"/>
      <c r="N44" s="1287"/>
      <c r="O44" s="1287"/>
      <c r="P44" s="1287"/>
      <c r="Q44" s="1287"/>
      <c r="R44" s="1287"/>
      <c r="T44" s="1289">
        <f>'Tracking &amp; Profitability'!$E$7</f>
        <v>0</v>
      </c>
      <c r="U44" s="1289"/>
      <c r="V44" s="1289"/>
      <c r="W44" s="1289"/>
      <c r="X44" s="1289"/>
      <c r="Y44" s="1289"/>
      <c r="Z44" s="1289"/>
      <c r="AA44" s="1289"/>
      <c r="AB44" s="1289"/>
      <c r="AF44" s="1172" t="s">
        <v>731</v>
      </c>
      <c r="AG44" s="1172"/>
      <c r="AH44" s="1172"/>
      <c r="AI44" s="1172"/>
      <c r="AJ44" s="1172"/>
      <c r="AK44" s="1172"/>
      <c r="AL44" s="1172"/>
      <c r="AM44" s="1172"/>
      <c r="AN44" s="1172"/>
      <c r="AO44" s="1172"/>
      <c r="AP44" s="1172"/>
      <c r="AQ44" s="1172"/>
      <c r="AR44" s="1172"/>
      <c r="AS44" s="1172"/>
      <c r="AU44" s="1281" t="s">
        <v>679</v>
      </c>
      <c r="AV44" s="1281"/>
      <c r="AW44" s="1281"/>
      <c r="BC44" s="1265"/>
      <c r="BD44" s="1265"/>
      <c r="BE44" s="1265"/>
      <c r="BF44" s="144"/>
    </row>
    <row r="45" spans="2:92" x14ac:dyDescent="0.25">
      <c r="B45" s="143"/>
      <c r="BF45" s="144"/>
      <c r="CN45" s="303"/>
    </row>
    <row r="46" spans="2:92" x14ac:dyDescent="0.25">
      <c r="B46" s="1291" t="s">
        <v>688</v>
      </c>
      <c r="C46" s="1292"/>
      <c r="D46" s="1292"/>
      <c r="E46" s="1292"/>
      <c r="F46" s="1292"/>
      <c r="G46" s="1292"/>
      <c r="H46" s="1292"/>
      <c r="I46" s="1292"/>
      <c r="J46" s="1292"/>
      <c r="K46" s="1292"/>
      <c r="L46" s="1292"/>
      <c r="M46" s="1292"/>
      <c r="N46" s="1292"/>
      <c r="O46" s="1292"/>
      <c r="P46" s="1292"/>
      <c r="Q46" s="1292"/>
      <c r="R46" s="1292"/>
      <c r="T46" s="1271">
        <v>150</v>
      </c>
      <c r="U46" s="1271"/>
      <c r="V46" s="1271"/>
      <c r="W46" s="1271"/>
      <c r="X46" s="1271"/>
      <c r="Y46" s="1271"/>
      <c r="Z46" s="1271"/>
      <c r="AA46" s="1271"/>
      <c r="AB46" s="1271"/>
      <c r="AF46" s="1285" t="s">
        <v>729</v>
      </c>
      <c r="AG46" s="1285"/>
      <c r="AH46" s="1285"/>
      <c r="AI46" s="1285"/>
      <c r="AJ46" s="1285"/>
      <c r="AK46" s="1285"/>
      <c r="AL46" s="1285"/>
      <c r="AM46" s="1285"/>
      <c r="AN46" s="1285"/>
      <c r="AO46" s="1285"/>
      <c r="AP46" s="1285"/>
      <c r="AQ46" s="1285"/>
      <c r="AR46" s="1285"/>
      <c r="AS46" s="1285"/>
      <c r="AU46" s="1301">
        <v>0.25</v>
      </c>
      <c r="AV46" s="1301"/>
      <c r="AW46" s="1301"/>
      <c r="AX46" s="1301"/>
      <c r="AY46" s="1301"/>
      <c r="AZ46" s="1301"/>
      <c r="BF46" s="144"/>
    </row>
    <row r="47" spans="2:92" x14ac:dyDescent="0.25">
      <c r="B47" s="143"/>
      <c r="BF47" s="144"/>
      <c r="CN47" s="303"/>
    </row>
    <row r="48" spans="2:92" x14ac:dyDescent="0.25">
      <c r="B48" s="1286" t="s">
        <v>495</v>
      </c>
      <c r="C48" s="1287"/>
      <c r="D48" s="1287"/>
      <c r="E48" s="1287"/>
      <c r="F48" s="1287"/>
      <c r="G48" s="1287"/>
      <c r="H48" s="1287"/>
      <c r="I48" s="1287"/>
      <c r="J48" s="1287"/>
      <c r="K48" s="1287"/>
      <c r="L48" s="1287"/>
      <c r="M48" s="1287"/>
      <c r="N48" s="1287"/>
      <c r="O48" s="1287"/>
      <c r="P48" s="1287"/>
      <c r="Q48" s="1287"/>
      <c r="R48" s="1287"/>
      <c r="T48" s="1271">
        <f>$K$10</f>
        <v>0</v>
      </c>
      <c r="U48" s="1271"/>
      <c r="V48" s="1271"/>
      <c r="W48" s="1271"/>
      <c r="X48" s="1271"/>
      <c r="Y48" s="1271"/>
      <c r="Z48" s="1271"/>
      <c r="AA48" s="1271"/>
      <c r="AB48" s="1271"/>
      <c r="AF48" s="1285" t="s">
        <v>727</v>
      </c>
      <c r="AG48" s="1285"/>
      <c r="AH48" s="1285"/>
      <c r="AI48" s="1285"/>
      <c r="AJ48" s="1285"/>
      <c r="AK48" s="1285"/>
      <c r="AL48" s="1285"/>
      <c r="AM48" s="1285"/>
      <c r="AN48" s="1285"/>
      <c r="AO48" s="1285"/>
      <c r="AP48" s="1285"/>
      <c r="AQ48" s="1285"/>
      <c r="AR48" s="1285"/>
      <c r="AS48" s="1285"/>
      <c r="AU48" s="1305">
        <v>1.75</v>
      </c>
      <c r="AV48" s="1306"/>
      <c r="AW48" s="1306"/>
      <c r="AX48" s="1306"/>
      <c r="AY48" s="1306"/>
      <c r="AZ48" s="1306"/>
      <c r="BF48" s="144"/>
    </row>
    <row r="49" spans="2:92" x14ac:dyDescent="0.25">
      <c r="B49" s="143"/>
      <c r="BF49" s="144"/>
      <c r="CN49" s="303"/>
    </row>
    <row r="50" spans="2:92" x14ac:dyDescent="0.25">
      <c r="B50" s="1295" t="s">
        <v>726</v>
      </c>
      <c r="C50" s="1285"/>
      <c r="D50" s="1285"/>
      <c r="E50" s="1285"/>
      <c r="F50" s="1285"/>
      <c r="G50" s="1285"/>
      <c r="H50" s="1285"/>
      <c r="I50" s="1285"/>
      <c r="J50" s="1285"/>
      <c r="K50" s="1285"/>
      <c r="L50" s="1285"/>
      <c r="M50" s="1285"/>
      <c r="N50" s="1285"/>
      <c r="O50" s="1285"/>
      <c r="P50" s="1285"/>
      <c r="Q50" s="1285"/>
      <c r="R50" s="1285"/>
      <c r="T50" s="1293">
        <v>500</v>
      </c>
      <c r="U50" s="1293"/>
      <c r="V50" s="1293"/>
      <c r="W50" s="1293"/>
      <c r="X50" s="1293"/>
      <c r="Y50" s="1293"/>
      <c r="Z50" s="1172" t="s">
        <v>725</v>
      </c>
      <c r="AA50" s="1172"/>
      <c r="AB50" s="1172"/>
      <c r="AC50" s="1293">
        <v>25</v>
      </c>
      <c r="AD50" s="1293"/>
      <c r="AE50" s="1293"/>
      <c r="AF50" s="1293"/>
      <c r="AG50" s="1293"/>
      <c r="BF50" s="144"/>
    </row>
    <row r="51" spans="2:92" x14ac:dyDescent="0.25">
      <c r="B51" s="143"/>
      <c r="BF51" s="144"/>
      <c r="BP51" s="301"/>
      <c r="CN51" s="303"/>
    </row>
    <row r="52" spans="2:92" ht="15.75" thickBot="1" x14ac:dyDescent="0.3">
      <c r="B52" s="291"/>
      <c r="C52" s="292"/>
      <c r="D52" s="292"/>
      <c r="E52" s="292"/>
      <c r="F52" s="292"/>
      <c r="G52" s="292"/>
      <c r="H52" s="292"/>
      <c r="I52" s="292"/>
      <c r="J52" s="292"/>
      <c r="K52" s="292"/>
      <c r="L52" s="292"/>
      <c r="M52" s="292"/>
      <c r="N52" s="292"/>
      <c r="O52" s="292"/>
      <c r="P52" s="292"/>
      <c r="Q52" s="292"/>
      <c r="R52" s="292"/>
      <c r="S52" s="292"/>
      <c r="T52" s="292"/>
      <c r="U52" s="292"/>
      <c r="V52" s="292"/>
      <c r="W52" s="292"/>
      <c r="X52" s="292"/>
      <c r="Y52" s="292"/>
      <c r="Z52" s="292"/>
      <c r="AA52" s="292"/>
      <c r="AB52" s="292"/>
      <c r="AC52" s="292"/>
      <c r="AD52" s="292"/>
      <c r="AE52" s="292"/>
      <c r="AF52" s="292"/>
      <c r="AG52" s="292"/>
      <c r="AH52" s="292"/>
      <c r="AI52" s="292"/>
      <c r="AJ52" s="292"/>
      <c r="AK52" s="292"/>
      <c r="AL52" s="292"/>
      <c r="AM52" s="292"/>
      <c r="AN52" s="292"/>
      <c r="AO52" s="292"/>
      <c r="AP52" s="292"/>
      <c r="AQ52" s="292"/>
      <c r="AR52" s="292"/>
      <c r="AS52" s="292"/>
      <c r="AT52" s="292"/>
      <c r="AU52" s="292"/>
      <c r="AV52" s="292"/>
      <c r="AW52" s="292"/>
      <c r="AX52" s="292"/>
      <c r="AY52" s="292"/>
      <c r="AZ52" s="292"/>
      <c r="BA52" s="292"/>
      <c r="BB52" s="292"/>
      <c r="BC52" s="292"/>
      <c r="BD52" s="292"/>
      <c r="BE52" s="292"/>
      <c r="BF52" s="293"/>
    </row>
    <row r="53" spans="2:92" ht="18.75" x14ac:dyDescent="0.3">
      <c r="B53" s="1298" t="s">
        <v>709</v>
      </c>
      <c r="C53" s="1299"/>
      <c r="D53" s="1299"/>
      <c r="E53" s="1299"/>
      <c r="F53" s="1299"/>
      <c r="G53" s="1299"/>
      <c r="H53" s="1299"/>
      <c r="I53" s="1299"/>
      <c r="J53" s="1299"/>
      <c r="K53" s="1299"/>
      <c r="L53" s="1299"/>
      <c r="M53" s="1299"/>
      <c r="N53" s="1299"/>
      <c r="O53" s="1299"/>
      <c r="P53" s="1299"/>
      <c r="Q53" s="1299"/>
      <c r="R53" s="1299"/>
      <c r="S53" s="1299"/>
      <c r="T53" s="1299"/>
      <c r="U53" s="1299"/>
      <c r="V53" s="1299"/>
      <c r="W53" s="1299"/>
      <c r="X53" s="1299"/>
      <c r="Y53" s="1299"/>
      <c r="Z53" s="1299"/>
      <c r="AA53" s="1299"/>
      <c r="AB53" s="1299"/>
      <c r="AC53" s="1299"/>
      <c r="AD53" s="1299"/>
      <c r="AE53" s="1299"/>
      <c r="AF53" s="1299"/>
      <c r="AG53" s="1299"/>
      <c r="AH53" s="1299"/>
      <c r="AI53" s="1299"/>
      <c r="AJ53" s="1299"/>
      <c r="AK53" s="1299"/>
      <c r="AL53" s="1299"/>
      <c r="AM53" s="1299"/>
      <c r="AN53" s="1299"/>
      <c r="AO53" s="1299"/>
      <c r="AP53" s="1299"/>
      <c r="AQ53" s="1299"/>
      <c r="AR53" s="1299"/>
      <c r="AS53" s="1299"/>
      <c r="AT53" s="1299"/>
      <c r="AU53" s="1299"/>
      <c r="AV53" s="1299"/>
      <c r="AW53" s="1299"/>
      <c r="AX53" s="1299"/>
      <c r="AY53" s="1299"/>
      <c r="AZ53" s="1299"/>
      <c r="BA53" s="1299"/>
      <c r="BB53" s="1299"/>
      <c r="BC53" s="1299"/>
      <c r="BD53" s="1299"/>
      <c r="BE53" s="1299"/>
      <c r="BF53" s="1300"/>
    </row>
    <row r="54" spans="2:92" x14ac:dyDescent="0.25">
      <c r="B54" s="1302" t="s">
        <v>724</v>
      </c>
      <c r="C54" s="1303"/>
      <c r="D54" s="1303"/>
      <c r="E54" s="1303"/>
      <c r="F54" s="1303"/>
      <c r="G54" s="1303"/>
      <c r="H54" s="1303"/>
      <c r="I54" s="1303"/>
      <c r="J54" s="1303"/>
      <c r="K54" s="1303"/>
      <c r="L54" s="1303"/>
      <c r="M54" s="1303"/>
      <c r="N54" s="1303"/>
      <c r="O54" s="1303"/>
      <c r="P54" s="1303"/>
      <c r="Q54" s="1303"/>
      <c r="R54" s="1303"/>
      <c r="S54" s="1303"/>
      <c r="T54" s="1303"/>
      <c r="U54" s="1303"/>
      <c r="V54" s="1303"/>
      <c r="W54" s="1303"/>
      <c r="X54" s="1303"/>
      <c r="Y54" s="1303"/>
      <c r="Z54" s="1303"/>
      <c r="AA54" s="1303"/>
      <c r="AB54" s="1303"/>
      <c r="AC54" s="1303"/>
      <c r="AD54" s="1303"/>
      <c r="AE54" s="1303"/>
      <c r="AF54" s="1303"/>
      <c r="AG54" s="1303"/>
      <c r="AH54" s="1303"/>
      <c r="AI54" s="1303"/>
      <c r="AJ54" s="1303"/>
      <c r="AK54" s="1303"/>
      <c r="AL54" s="1303"/>
      <c r="AM54" s="1303"/>
      <c r="AN54" s="1303"/>
      <c r="AO54" s="1303"/>
      <c r="AP54" s="1303"/>
      <c r="AQ54" s="1303"/>
      <c r="AR54" s="1303"/>
      <c r="AS54" s="1303"/>
      <c r="AT54" s="1303"/>
      <c r="AU54" s="1303"/>
      <c r="AV54" s="1303"/>
      <c r="AW54" s="1303"/>
      <c r="AX54" s="1303"/>
      <c r="AY54" s="1303"/>
      <c r="AZ54" s="1303"/>
      <c r="BA54" s="1303"/>
      <c r="BB54" s="1303"/>
      <c r="BC54" s="1303"/>
      <c r="BD54" s="1303"/>
      <c r="BE54" s="1303"/>
      <c r="BF54" s="1304"/>
      <c r="BP54" s="301"/>
    </row>
    <row r="55" spans="2:92" x14ac:dyDescent="0.25">
      <c r="B55" s="143"/>
      <c r="AC55" s="306"/>
      <c r="AD55" s="306"/>
      <c r="AE55" s="306"/>
      <c r="AF55" s="306"/>
      <c r="AG55" s="306"/>
      <c r="AH55" s="306"/>
      <c r="AK55" s="1270"/>
      <c r="AL55" s="1270"/>
      <c r="AM55" s="1270"/>
      <c r="AN55" s="1270"/>
      <c r="AO55" s="1162"/>
      <c r="AP55" s="1162"/>
      <c r="AQ55" s="1162"/>
      <c r="AR55" s="140"/>
      <c r="AS55" s="140"/>
      <c r="AT55" s="1162"/>
      <c r="AU55" s="1162"/>
      <c r="AV55" s="1162"/>
      <c r="AW55" s="140"/>
      <c r="AX55" s="140"/>
      <c r="AY55" s="1162"/>
      <c r="AZ55" s="1162"/>
      <c r="BA55" s="1162"/>
      <c r="BB55" s="140"/>
      <c r="BC55" s="140"/>
      <c r="BD55" s="1162"/>
      <c r="BE55" s="1162"/>
      <c r="BF55" s="1288"/>
      <c r="BP55" s="307"/>
    </row>
    <row r="56" spans="2:92" x14ac:dyDescent="0.25">
      <c r="B56" s="143"/>
      <c r="C56" s="1187" t="s">
        <v>103</v>
      </c>
      <c r="D56" s="1187"/>
      <c r="E56" s="1187"/>
      <c r="F56" s="1187"/>
      <c r="G56" s="1187"/>
      <c r="H56" s="1187"/>
      <c r="I56" s="1187"/>
      <c r="J56" s="1187"/>
      <c r="K56" s="1187"/>
      <c r="L56" s="1187"/>
      <c r="M56" s="1187"/>
      <c r="N56" s="1187"/>
      <c r="O56" s="1187"/>
      <c r="P56" s="1187"/>
      <c r="Q56" s="1187"/>
      <c r="R56" s="1187"/>
      <c r="S56" s="1187"/>
      <c r="T56" s="1187"/>
      <c r="U56" s="1187"/>
      <c r="V56" s="1187"/>
      <c r="W56" s="1187"/>
      <c r="X56" s="1187"/>
      <c r="Y56" s="1187"/>
      <c r="Z56" s="1187"/>
      <c r="AC56" s="1281" t="str">
        <f>'PIM Model'!$AD$11</f>
        <v/>
      </c>
      <c r="AD56" s="1281"/>
      <c r="AE56" s="1281" t="str">
        <f>'PIM Model'!$D$11</f>
        <v>%</v>
      </c>
      <c r="AF56" s="1281"/>
      <c r="AG56" s="1281" t="str">
        <f>'PIM Model'!$D$11</f>
        <v>%</v>
      </c>
      <c r="AH56" s="1281"/>
      <c r="AI56" s="1265" t="str">
        <f>'PIM Model'!$D$11</f>
        <v>%</v>
      </c>
      <c r="AJ56" s="1265"/>
      <c r="AK56" s="140"/>
      <c r="AL56" s="140"/>
      <c r="AM56" s="140"/>
      <c r="AN56" s="140"/>
      <c r="AO56" s="1162"/>
      <c r="AP56" s="1162"/>
      <c r="AQ56" s="1162"/>
      <c r="AR56" s="140"/>
      <c r="AS56" s="140"/>
      <c r="AT56" s="1162"/>
      <c r="AU56" s="1162"/>
      <c r="AV56" s="1162"/>
      <c r="AW56" s="140"/>
      <c r="AX56" s="140"/>
      <c r="AY56" s="1162"/>
      <c r="AZ56" s="1162"/>
      <c r="BA56" s="1162"/>
      <c r="BB56" s="140"/>
      <c r="BC56" s="140"/>
      <c r="BD56" s="1162"/>
      <c r="BE56" s="1162"/>
      <c r="BF56" s="1288"/>
      <c r="BP56" s="301"/>
    </row>
    <row r="57" spans="2:92" x14ac:dyDescent="0.25">
      <c r="B57" s="143"/>
      <c r="C57" s="1187" t="s">
        <v>102</v>
      </c>
      <c r="D57" s="1187"/>
      <c r="E57" s="1187"/>
      <c r="F57" s="1187"/>
      <c r="G57" s="1187"/>
      <c r="H57" s="1187"/>
      <c r="I57" s="1187"/>
      <c r="J57" s="1187"/>
      <c r="K57" s="1187"/>
      <c r="L57" s="1187"/>
      <c r="M57" s="1187"/>
      <c r="N57" s="1187"/>
      <c r="O57" s="1187"/>
      <c r="P57" s="1187"/>
      <c r="Q57" s="1187"/>
      <c r="R57" s="1187"/>
      <c r="S57" s="1187"/>
      <c r="T57" s="1187"/>
      <c r="U57" s="1187"/>
      <c r="V57" s="1187"/>
      <c r="W57" s="1187"/>
      <c r="X57" s="1187"/>
      <c r="Y57" s="1187"/>
      <c r="Z57" s="1187"/>
      <c r="AC57" s="1268" t="str">
        <f>'PIM Model'!$AD$13</f>
        <v/>
      </c>
      <c r="AD57" s="1268"/>
      <c r="AE57" s="1268" t="str">
        <f>'PIM Model'!$D$13</f>
        <v>%</v>
      </c>
      <c r="AF57" s="1268"/>
      <c r="AG57" s="1268" t="str">
        <f>'PIM Model'!$D$13</f>
        <v>%</v>
      </c>
      <c r="AH57" s="1268"/>
      <c r="AI57" s="1265" t="str">
        <f>'PIM Model'!$D$13</f>
        <v>%</v>
      </c>
      <c r="AJ57" s="1265"/>
      <c r="AK57" s="140"/>
      <c r="AL57" s="140"/>
      <c r="AM57" s="140"/>
      <c r="AN57" s="140"/>
      <c r="AO57" s="140"/>
      <c r="AP57" s="140"/>
      <c r="AQ57" s="140"/>
      <c r="AR57" s="140"/>
      <c r="AS57" s="140"/>
      <c r="AT57" s="140"/>
      <c r="AU57" s="140"/>
      <c r="AV57" s="140"/>
      <c r="AW57" s="140"/>
      <c r="AX57" s="140"/>
      <c r="AY57" s="140"/>
      <c r="AZ57" s="140"/>
      <c r="BA57" s="140"/>
      <c r="BB57" s="140"/>
      <c r="BC57" s="140"/>
      <c r="BD57" s="140"/>
      <c r="BE57" s="140"/>
      <c r="BF57" s="681"/>
    </row>
    <row r="58" spans="2:92" x14ac:dyDescent="0.25">
      <c r="B58" s="143"/>
      <c r="C58" s="1187" t="s">
        <v>101</v>
      </c>
      <c r="D58" s="1187"/>
      <c r="E58" s="1187"/>
      <c r="F58" s="1187"/>
      <c r="G58" s="1187"/>
      <c r="H58" s="1187"/>
      <c r="I58" s="1187"/>
      <c r="J58" s="1187"/>
      <c r="K58" s="1187"/>
      <c r="L58" s="1187"/>
      <c r="M58" s="1187"/>
      <c r="N58" s="1187"/>
      <c r="O58" s="1187"/>
      <c r="P58" s="1187"/>
      <c r="Q58" s="1187"/>
      <c r="R58" s="1187"/>
      <c r="S58" s="1187"/>
      <c r="T58" s="1187"/>
      <c r="U58" s="1187"/>
      <c r="V58" s="1187"/>
      <c r="W58" s="1187"/>
      <c r="X58" s="1187"/>
      <c r="Y58" s="1187"/>
      <c r="Z58" s="1187"/>
      <c r="AC58" s="1268" t="str">
        <f>'PIM Model'!$AD$19</f>
        <v/>
      </c>
      <c r="AD58" s="1268"/>
      <c r="AE58" s="1268" t="str">
        <f>'PIM Model'!$D$19</f>
        <v>%</v>
      </c>
      <c r="AF58" s="1268"/>
      <c r="AG58" s="1268" t="str">
        <f>'PIM Model'!$D$19</f>
        <v>%</v>
      </c>
      <c r="AH58" s="1268"/>
      <c r="AI58" s="1265" t="str">
        <f>'PIM Model'!$D$19</f>
        <v>%</v>
      </c>
      <c r="AJ58" s="1265"/>
      <c r="AK58" s="140"/>
      <c r="AL58" s="140"/>
      <c r="AM58" s="140"/>
      <c r="AN58" s="140"/>
      <c r="AO58" s="140"/>
      <c r="AP58" s="140"/>
      <c r="AQ58" s="140"/>
      <c r="AR58" s="140"/>
      <c r="AS58" s="140"/>
      <c r="AT58" s="140"/>
      <c r="AU58" s="140"/>
      <c r="AV58" s="140"/>
      <c r="AW58" s="140"/>
      <c r="AX58" s="140"/>
      <c r="AY58" s="140"/>
      <c r="AZ58" s="140"/>
      <c r="BA58" s="140"/>
      <c r="BB58" s="140"/>
      <c r="BC58" s="140"/>
      <c r="BD58" s="140"/>
      <c r="BE58" s="140"/>
      <c r="BF58" s="681"/>
      <c r="BP58" s="301"/>
    </row>
    <row r="59" spans="2:92" x14ac:dyDescent="0.25">
      <c r="B59" s="143"/>
      <c r="C59" s="1187" t="s">
        <v>100</v>
      </c>
      <c r="D59" s="1187"/>
      <c r="E59" s="1187"/>
      <c r="F59" s="1187"/>
      <c r="G59" s="1187"/>
      <c r="H59" s="1187"/>
      <c r="I59" s="1187"/>
      <c r="J59" s="1187"/>
      <c r="K59" s="1187"/>
      <c r="L59" s="1187"/>
      <c r="M59" s="1187"/>
      <c r="N59" s="1187"/>
      <c r="O59" s="1187"/>
      <c r="P59" s="1187"/>
      <c r="Q59" s="1187"/>
      <c r="R59" s="1187"/>
      <c r="S59" s="1187"/>
      <c r="T59" s="1187"/>
      <c r="U59" s="1187"/>
      <c r="V59" s="1187"/>
      <c r="W59" s="1187"/>
      <c r="X59" s="1187"/>
      <c r="Y59" s="1187"/>
      <c r="Z59" s="1187"/>
      <c r="AC59" s="1268" t="str">
        <f>'PIM Model'!$AD$14</f>
        <v/>
      </c>
      <c r="AD59" s="1268"/>
      <c r="AE59" s="1268" t="str">
        <f>'PIM Model'!$D$14</f>
        <v>%</v>
      </c>
      <c r="AF59" s="1268"/>
      <c r="AG59" s="1268" t="str">
        <f>'PIM Model'!$D$14</f>
        <v>%</v>
      </c>
      <c r="AH59" s="1268"/>
      <c r="AI59" s="1265" t="str">
        <f>'PIM Model'!$D$14</f>
        <v>%</v>
      </c>
      <c r="AJ59" s="1265"/>
      <c r="AK59" s="140"/>
      <c r="AL59" s="140"/>
      <c r="AM59" s="140"/>
      <c r="AN59" s="140"/>
      <c r="AO59" s="140"/>
      <c r="AP59" s="140"/>
      <c r="AQ59" s="140"/>
      <c r="AR59" s="140"/>
      <c r="AS59" s="140"/>
      <c r="AT59" s="140"/>
      <c r="AU59" s="140"/>
      <c r="AV59" s="140"/>
      <c r="AW59" s="140"/>
      <c r="AX59" s="140"/>
      <c r="AY59" s="140"/>
      <c r="AZ59" s="140"/>
      <c r="BA59" s="140"/>
      <c r="BB59" s="140"/>
      <c r="BC59" s="140"/>
      <c r="BD59" s="140"/>
      <c r="BE59" s="140"/>
      <c r="BF59" s="681"/>
    </row>
    <row r="60" spans="2:92" x14ac:dyDescent="0.25">
      <c r="B60" s="143"/>
      <c r="C60" s="1187" t="s">
        <v>104</v>
      </c>
      <c r="D60" s="1187"/>
      <c r="E60" s="1187"/>
      <c r="F60" s="1187"/>
      <c r="G60" s="1187"/>
      <c r="H60" s="1187"/>
      <c r="I60" s="1187"/>
      <c r="J60" s="1187"/>
      <c r="K60" s="1187"/>
      <c r="L60" s="1187"/>
      <c r="M60" s="1187"/>
      <c r="N60" s="1187"/>
      <c r="O60" s="1187"/>
      <c r="P60" s="1187"/>
      <c r="Q60" s="1187"/>
      <c r="R60" s="1187"/>
      <c r="S60" s="1187"/>
      <c r="T60" s="1187"/>
      <c r="U60" s="1187"/>
      <c r="V60" s="1187"/>
      <c r="W60" s="1187"/>
      <c r="X60" s="1187"/>
      <c r="Y60" s="1187"/>
      <c r="Z60" s="1187"/>
      <c r="AC60" s="1268" t="str">
        <f>'PIM Model'!$AD$15</f>
        <v/>
      </c>
      <c r="AD60" s="1268"/>
      <c r="AE60" s="1268" t="str">
        <f>'PIM Model'!$D$15</f>
        <v>%</v>
      </c>
      <c r="AF60" s="1268"/>
      <c r="AG60" s="1268" t="str">
        <f>'PIM Model'!$D$15</f>
        <v>%</v>
      </c>
      <c r="AH60" s="1268"/>
      <c r="AI60" s="1265" t="str">
        <f>'PIM Model'!$D$15</f>
        <v>%</v>
      </c>
      <c r="AJ60" s="1265"/>
      <c r="AK60" s="140"/>
      <c r="AL60" s="140"/>
      <c r="AM60" s="140"/>
      <c r="AN60" s="140"/>
      <c r="AO60" s="140"/>
      <c r="AP60" s="140"/>
      <c r="AQ60" s="140"/>
      <c r="AR60" s="140"/>
      <c r="AS60" s="140"/>
      <c r="AT60" s="140"/>
      <c r="AU60" s="140"/>
      <c r="AV60" s="140"/>
      <c r="AW60" s="140"/>
      <c r="AX60" s="140"/>
      <c r="AY60" s="140"/>
      <c r="AZ60" s="140"/>
      <c r="BA60" s="140"/>
      <c r="BB60" s="140"/>
      <c r="BC60" s="140"/>
      <c r="BD60" s="140"/>
      <c r="BE60" s="140"/>
      <c r="BF60" s="681"/>
    </row>
    <row r="61" spans="2:92" x14ac:dyDescent="0.25">
      <c r="B61" s="143"/>
      <c r="C61" s="1187" t="s">
        <v>99</v>
      </c>
      <c r="D61" s="1187"/>
      <c r="E61" s="1187"/>
      <c r="F61" s="1187"/>
      <c r="G61" s="1187"/>
      <c r="H61" s="1187"/>
      <c r="I61" s="1187"/>
      <c r="J61" s="1187"/>
      <c r="K61" s="1187"/>
      <c r="L61" s="1187"/>
      <c r="M61" s="1187"/>
      <c r="N61" s="1187"/>
      <c r="O61" s="1187"/>
      <c r="P61" s="1187"/>
      <c r="Q61" s="1187"/>
      <c r="R61" s="1187"/>
      <c r="S61" s="1187"/>
      <c r="T61" s="1187"/>
      <c r="U61" s="1187"/>
      <c r="V61" s="1187"/>
      <c r="W61" s="1187"/>
      <c r="X61" s="1187"/>
      <c r="Y61" s="1187"/>
      <c r="Z61" s="1187"/>
      <c r="AC61" s="1268" t="str">
        <f>'PIM Model'!$AD$10</f>
        <v/>
      </c>
      <c r="AD61" s="1268"/>
      <c r="AE61" s="1268" t="str">
        <f>'PIM Model'!$D$10</f>
        <v>%</v>
      </c>
      <c r="AF61" s="1268"/>
      <c r="AG61" s="1268" t="str">
        <f>'PIM Model'!$D$10</f>
        <v>%</v>
      </c>
      <c r="AH61" s="1268"/>
      <c r="AI61" s="1265" t="str">
        <f>'PIM Model'!$D$10</f>
        <v>%</v>
      </c>
      <c r="AJ61" s="1265"/>
      <c r="AK61" s="140"/>
      <c r="AL61" s="140"/>
      <c r="AM61" s="140"/>
      <c r="AN61" s="140"/>
      <c r="AO61" s="140"/>
      <c r="AP61" s="140"/>
      <c r="AQ61" s="140"/>
      <c r="AR61" s="140"/>
      <c r="AS61" s="140"/>
      <c r="AT61" s="140"/>
      <c r="AU61" s="140"/>
      <c r="AV61" s="140"/>
      <c r="AW61" s="140"/>
      <c r="AX61" s="140"/>
      <c r="AY61" s="140"/>
      <c r="AZ61" s="140"/>
      <c r="BA61" s="140"/>
      <c r="BB61" s="140"/>
      <c r="BC61" s="140"/>
      <c r="BD61" s="140"/>
      <c r="BE61" s="140"/>
      <c r="BF61" s="681"/>
    </row>
    <row r="62" spans="2:92" x14ac:dyDescent="0.25">
      <c r="B62" s="143"/>
      <c r="C62" s="1115" t="s">
        <v>98</v>
      </c>
      <c r="D62" s="1115"/>
      <c r="E62" s="1115"/>
      <c r="F62" s="1115"/>
      <c r="G62" s="1115"/>
      <c r="H62" s="1115"/>
      <c r="I62" s="1115"/>
      <c r="J62" s="1115"/>
      <c r="K62" s="1115"/>
      <c r="L62" s="1115"/>
      <c r="M62" s="1115"/>
      <c r="N62" s="1115"/>
      <c r="O62" s="1115"/>
      <c r="P62" s="1115"/>
      <c r="Q62" s="1115"/>
      <c r="R62" s="1115"/>
      <c r="S62" s="1115"/>
      <c r="T62" s="1115"/>
      <c r="U62" s="1115"/>
      <c r="V62" s="1115"/>
      <c r="W62" s="1115"/>
      <c r="X62" s="1115"/>
      <c r="Y62" s="1115"/>
      <c r="Z62" s="1115"/>
      <c r="AC62" s="1268" t="str">
        <f>'PIM Model'!$AD$16</f>
        <v/>
      </c>
      <c r="AD62" s="1268"/>
      <c r="AE62" s="1268" t="str">
        <f>'PIM Model'!$D$16</f>
        <v>%</v>
      </c>
      <c r="AF62" s="1268"/>
      <c r="AG62" s="1268" t="str">
        <f>'PIM Model'!$D$16</f>
        <v>%</v>
      </c>
      <c r="AH62" s="1268"/>
      <c r="AI62" s="1265" t="str">
        <f>'PIM Model'!$D$16</f>
        <v>%</v>
      </c>
      <c r="AJ62" s="1265"/>
      <c r="AK62" s="140"/>
      <c r="AL62" s="140"/>
      <c r="AM62" s="140"/>
      <c r="AN62" s="140"/>
      <c r="AO62" s="140"/>
      <c r="AP62" s="140"/>
      <c r="AQ62" s="140"/>
      <c r="AR62" s="140"/>
      <c r="AS62" s="140"/>
      <c r="AT62" s="140"/>
      <c r="AU62" s="140"/>
      <c r="AV62" s="140"/>
      <c r="AW62" s="140"/>
      <c r="AX62" s="140"/>
      <c r="AY62" s="140"/>
      <c r="AZ62" s="140"/>
      <c r="BA62" s="140"/>
      <c r="BB62" s="140"/>
      <c r="BC62" s="140"/>
      <c r="BD62" s="140"/>
      <c r="BE62" s="140"/>
      <c r="BF62" s="681"/>
    </row>
    <row r="63" spans="2:92" x14ac:dyDescent="0.25">
      <c r="B63" s="143"/>
      <c r="C63" s="1115" t="s">
        <v>97</v>
      </c>
      <c r="D63" s="1115"/>
      <c r="E63" s="1115"/>
      <c r="F63" s="1115"/>
      <c r="G63" s="1115"/>
      <c r="H63" s="1115"/>
      <c r="I63" s="1115"/>
      <c r="J63" s="1115"/>
      <c r="K63" s="1115"/>
      <c r="L63" s="1115"/>
      <c r="M63" s="1115"/>
      <c r="N63" s="1115"/>
      <c r="O63" s="1115"/>
      <c r="P63" s="1115"/>
      <c r="Q63" s="1115"/>
      <c r="R63" s="1115"/>
      <c r="S63" s="1115"/>
      <c r="T63" s="1115"/>
      <c r="U63" s="1115"/>
      <c r="V63" s="1115"/>
      <c r="W63" s="1115"/>
      <c r="X63" s="1115"/>
      <c r="Y63" s="1115"/>
      <c r="Z63" s="1115"/>
      <c r="AC63" s="1268" t="str">
        <f>'PIM Model'!$AD$20</f>
        <v/>
      </c>
      <c r="AD63" s="1268"/>
      <c r="AE63" s="1268" t="str">
        <f>'PIM Model'!$D$20</f>
        <v>%</v>
      </c>
      <c r="AF63" s="1268"/>
      <c r="AG63" s="1268" t="str">
        <f>'PIM Model'!$D$20</f>
        <v>%</v>
      </c>
      <c r="AH63" s="1268"/>
      <c r="AI63" s="1265" t="str">
        <f>'PIM Model'!$D$20</f>
        <v>%</v>
      </c>
      <c r="AJ63" s="1265"/>
      <c r="AK63" s="140"/>
      <c r="AL63" s="140"/>
      <c r="AM63" s="140"/>
      <c r="AN63" s="140"/>
      <c r="AO63" s="140"/>
      <c r="AP63" s="140"/>
      <c r="AQ63" s="140"/>
      <c r="AR63" s="140"/>
      <c r="AS63" s="140"/>
      <c r="AT63" s="140"/>
      <c r="AU63" s="140"/>
      <c r="AV63" s="140"/>
      <c r="AW63" s="140"/>
      <c r="AX63" s="140"/>
      <c r="AY63" s="140"/>
      <c r="AZ63" s="140"/>
      <c r="BA63" s="140"/>
      <c r="BB63" s="140"/>
      <c r="BC63" s="140"/>
      <c r="BD63" s="140"/>
      <c r="BE63" s="140"/>
      <c r="BF63" s="681"/>
    </row>
    <row r="64" spans="2:92" x14ac:dyDescent="0.25">
      <c r="B64" s="143"/>
      <c r="C64" s="1115" t="s">
        <v>96</v>
      </c>
      <c r="D64" s="1115"/>
      <c r="E64" s="1115"/>
      <c r="F64" s="1115"/>
      <c r="G64" s="1115"/>
      <c r="H64" s="1115"/>
      <c r="I64" s="1115"/>
      <c r="J64" s="1115"/>
      <c r="K64" s="1115"/>
      <c r="L64" s="1115"/>
      <c r="M64" s="1115"/>
      <c r="N64" s="1115"/>
      <c r="O64" s="1115"/>
      <c r="P64" s="1115"/>
      <c r="Q64" s="1115"/>
      <c r="R64" s="1115"/>
      <c r="S64" s="1115"/>
      <c r="T64" s="1115"/>
      <c r="U64" s="1115"/>
      <c r="V64" s="1115"/>
      <c r="W64" s="1115"/>
      <c r="X64" s="1115"/>
      <c r="Y64" s="1115"/>
      <c r="Z64" s="1115"/>
      <c r="AC64" s="1268" t="str">
        <f>'PIM Model'!$AD$18</f>
        <v/>
      </c>
      <c r="AD64" s="1268"/>
      <c r="AE64" s="1268" t="str">
        <f>'PIM Model'!$D$18</f>
        <v>%</v>
      </c>
      <c r="AF64" s="1268"/>
      <c r="AG64" s="1268" t="str">
        <f>'PIM Model'!$D$18</f>
        <v>%</v>
      </c>
      <c r="AH64" s="1268"/>
      <c r="AI64" s="1265" t="str">
        <f>'PIM Model'!$D$18</f>
        <v>%</v>
      </c>
      <c r="AJ64" s="1265"/>
      <c r="AK64" s="140"/>
      <c r="AL64" s="140"/>
      <c r="AM64" s="140"/>
      <c r="AN64" s="140"/>
      <c r="AO64" s="140"/>
      <c r="AP64" s="140"/>
      <c r="AQ64" s="140"/>
      <c r="AR64" s="140"/>
      <c r="AS64" s="140"/>
      <c r="AT64" s="140"/>
      <c r="AU64" s="140"/>
      <c r="AV64" s="140"/>
      <c r="AW64" s="140"/>
      <c r="AX64" s="140"/>
      <c r="AY64" s="140"/>
      <c r="AZ64" s="140"/>
      <c r="BA64" s="140"/>
      <c r="BB64" s="140"/>
      <c r="BC64" s="140"/>
      <c r="BD64" s="140"/>
      <c r="BE64" s="140"/>
      <c r="BF64" s="681"/>
    </row>
    <row r="65" spans="2:70" x14ac:dyDescent="0.25">
      <c r="B65" s="143"/>
      <c r="C65" s="1115" t="s">
        <v>95</v>
      </c>
      <c r="D65" s="1115"/>
      <c r="E65" s="1115"/>
      <c r="F65" s="1115"/>
      <c r="G65" s="1115"/>
      <c r="H65" s="1115"/>
      <c r="I65" s="1115"/>
      <c r="J65" s="1115"/>
      <c r="K65" s="1115"/>
      <c r="L65" s="1115"/>
      <c r="M65" s="1115"/>
      <c r="N65" s="1115"/>
      <c r="O65" s="1115"/>
      <c r="P65" s="1115"/>
      <c r="Q65" s="1115"/>
      <c r="R65" s="1115"/>
      <c r="S65" s="1115"/>
      <c r="T65" s="1115"/>
      <c r="U65" s="1115"/>
      <c r="V65" s="1115"/>
      <c r="W65" s="1115"/>
      <c r="X65" s="1115"/>
      <c r="Y65" s="1115"/>
      <c r="Z65" s="1115"/>
      <c r="AC65" s="1268" t="str">
        <f>'PIM Model'!$AD$17</f>
        <v/>
      </c>
      <c r="AD65" s="1268"/>
      <c r="AE65" s="1268" t="str">
        <f>'PIM Model'!$D$17</f>
        <v>%</v>
      </c>
      <c r="AF65" s="1268"/>
      <c r="AG65" s="1268" t="str">
        <f>'PIM Model'!$D$17</f>
        <v>%</v>
      </c>
      <c r="AH65" s="1268"/>
      <c r="AI65" s="1265" t="str">
        <f>'PIM Model'!$D$17</f>
        <v>%</v>
      </c>
      <c r="AJ65" s="1265"/>
      <c r="AK65" s="140"/>
      <c r="AL65" s="140"/>
      <c r="AM65" s="140"/>
      <c r="AN65" s="140"/>
      <c r="AO65" s="140"/>
      <c r="AP65" s="140"/>
      <c r="AQ65" s="140"/>
      <c r="AR65" s="140"/>
      <c r="AS65" s="140"/>
      <c r="AT65" s="140"/>
      <c r="AU65" s="140"/>
      <c r="AV65" s="140"/>
      <c r="AW65" s="140"/>
      <c r="AX65" s="140"/>
      <c r="AY65" s="140"/>
      <c r="AZ65" s="140"/>
      <c r="BA65" s="140"/>
      <c r="BB65" s="140"/>
      <c r="BC65" s="140"/>
      <c r="BD65" s="140"/>
      <c r="BE65" s="140"/>
      <c r="BF65" s="681"/>
    </row>
    <row r="66" spans="2:70" x14ac:dyDescent="0.25">
      <c r="B66" s="143"/>
      <c r="C66" s="1115" t="s">
        <v>94</v>
      </c>
      <c r="D66" s="1115"/>
      <c r="E66" s="1115"/>
      <c r="F66" s="1115"/>
      <c r="G66" s="1115"/>
      <c r="H66" s="1115"/>
      <c r="I66" s="1115"/>
      <c r="J66" s="1115"/>
      <c r="K66" s="1115"/>
      <c r="L66" s="1115"/>
      <c r="M66" s="1115"/>
      <c r="N66" s="1115"/>
      <c r="O66" s="1115"/>
      <c r="P66" s="1115"/>
      <c r="Q66" s="1115"/>
      <c r="R66" s="1115"/>
      <c r="S66" s="1115"/>
      <c r="T66" s="1115"/>
      <c r="U66" s="1115"/>
      <c r="V66" s="1115"/>
      <c r="W66" s="1115"/>
      <c r="X66" s="1115"/>
      <c r="Y66" s="1115"/>
      <c r="Z66" s="1115"/>
      <c r="AC66" s="1268" t="str">
        <f>'PIM Model'!$AD$27</f>
        <v/>
      </c>
      <c r="AD66" s="1268"/>
      <c r="AE66" s="1268" t="str">
        <f>'PIM Model'!$D$27</f>
        <v>%</v>
      </c>
      <c r="AF66" s="1268"/>
      <c r="AG66" s="1268" t="str">
        <f>'PIM Model'!$D$27</f>
        <v>%</v>
      </c>
      <c r="AH66" s="1268"/>
      <c r="AI66" s="1265" t="str">
        <f>'PIM Model'!$D$27</f>
        <v>%</v>
      </c>
      <c r="AJ66" s="1265"/>
      <c r="AK66" s="140"/>
      <c r="AL66" s="140"/>
      <c r="AM66" s="140"/>
      <c r="AN66" s="140"/>
      <c r="AO66" s="140"/>
      <c r="AP66" s="140"/>
      <c r="AQ66" s="140"/>
      <c r="AR66" s="140"/>
      <c r="AS66" s="140"/>
      <c r="AT66" s="140"/>
      <c r="AU66" s="140"/>
      <c r="AV66" s="140"/>
      <c r="AW66" s="140"/>
      <c r="AX66" s="140"/>
      <c r="AY66" s="140"/>
      <c r="AZ66" s="140"/>
      <c r="BA66" s="140"/>
      <c r="BB66" s="140"/>
      <c r="BC66" s="140"/>
      <c r="BD66" s="140"/>
      <c r="BE66" s="140"/>
      <c r="BF66" s="681"/>
    </row>
    <row r="67" spans="2:70" x14ac:dyDescent="0.25">
      <c r="B67" s="143"/>
      <c r="E67" s="1265" t="s">
        <v>723</v>
      </c>
      <c r="F67" s="1265"/>
      <c r="G67" s="1265"/>
      <c r="H67" s="1265"/>
      <c r="I67" s="1265"/>
      <c r="J67" s="1265"/>
      <c r="K67" s="1265"/>
      <c r="M67" s="1269" t="s">
        <v>248</v>
      </c>
      <c r="N67" s="1269"/>
      <c r="O67" s="1269"/>
      <c r="P67" t="s">
        <v>679</v>
      </c>
      <c r="S67" s="1267"/>
      <c r="T67" s="1267"/>
      <c r="U67" s="1267"/>
      <c r="V67" s="1265" t="s">
        <v>681</v>
      </c>
      <c r="W67" s="1265"/>
      <c r="AJ67" s="140"/>
      <c r="AK67" s="140"/>
      <c r="AL67" s="140"/>
      <c r="AM67" s="140"/>
      <c r="AN67" s="140"/>
      <c r="AO67" s="140"/>
      <c r="AP67" s="140"/>
      <c r="AQ67" s="140"/>
      <c r="AR67" s="140"/>
      <c r="AS67" s="140"/>
      <c r="AT67" s="140"/>
      <c r="AU67" s="140"/>
      <c r="AV67" s="140"/>
      <c r="AW67" s="140"/>
      <c r="AX67" s="140"/>
      <c r="AY67" s="140"/>
      <c r="AZ67" s="140"/>
      <c r="BA67" s="140"/>
      <c r="BB67" s="140"/>
      <c r="BC67" s="140"/>
      <c r="BD67" s="140"/>
      <c r="BE67" s="140"/>
      <c r="BF67" s="681"/>
    </row>
    <row r="68" spans="2:70" x14ac:dyDescent="0.25">
      <c r="B68" s="143"/>
      <c r="C68" s="1115" t="s">
        <v>93</v>
      </c>
      <c r="D68" s="1115"/>
      <c r="E68" s="1115"/>
      <c r="F68" s="1115"/>
      <c r="G68" s="1115"/>
      <c r="H68" s="1115"/>
      <c r="I68" s="1115"/>
      <c r="J68" s="1115"/>
      <c r="K68" s="1115"/>
      <c r="L68" s="1115"/>
      <c r="M68" s="1115"/>
      <c r="N68" s="1115"/>
      <c r="O68" s="1115"/>
      <c r="P68" s="1115"/>
      <c r="Q68" s="1115"/>
      <c r="R68" s="1115"/>
      <c r="S68" s="1115"/>
      <c r="T68" s="1115"/>
      <c r="U68" s="1115"/>
      <c r="V68" s="1115"/>
      <c r="W68" s="1115"/>
      <c r="X68" s="1115"/>
      <c r="Y68" s="1115"/>
      <c r="Z68" s="1115"/>
      <c r="AC68" s="1268" t="str">
        <f>'PIM Model'!$AD$21</f>
        <v/>
      </c>
      <c r="AD68" s="1268"/>
      <c r="AE68" s="1268" t="str">
        <f>'PIM Model'!$D$21</f>
        <v>%</v>
      </c>
      <c r="AF68" s="1268"/>
      <c r="AG68" s="1268" t="str">
        <f>'PIM Model'!$D$21</f>
        <v>%</v>
      </c>
      <c r="AH68" s="1268"/>
      <c r="AI68" s="1265" t="str">
        <f>'PIM Model'!$D$21</f>
        <v>%</v>
      </c>
      <c r="AJ68" s="1265"/>
      <c r="AK68" s="140"/>
      <c r="AL68" s="140"/>
      <c r="AM68" s="140"/>
      <c r="AN68" s="140"/>
      <c r="AO68" s="140"/>
      <c r="AP68" s="140"/>
      <c r="AQ68" s="140"/>
      <c r="AR68" s="140"/>
      <c r="AS68" s="140"/>
      <c r="AT68" s="140"/>
      <c r="AU68" s="140"/>
      <c r="AV68" s="140"/>
      <c r="AW68" s="140"/>
      <c r="AX68" s="140"/>
      <c r="AY68" s="140"/>
      <c r="AZ68" s="140"/>
      <c r="BA68" s="140"/>
      <c r="BB68" s="140"/>
      <c r="BC68" s="140"/>
      <c r="BD68" s="140"/>
      <c r="BE68" s="140"/>
      <c r="BF68" s="681"/>
    </row>
    <row r="69" spans="2:70" x14ac:dyDescent="0.25">
      <c r="B69" s="143"/>
      <c r="C69" s="1115" t="s">
        <v>92</v>
      </c>
      <c r="D69" s="1115"/>
      <c r="E69" s="1115"/>
      <c r="F69" s="1115"/>
      <c r="G69" s="1115"/>
      <c r="H69" s="1115"/>
      <c r="I69" s="1115"/>
      <c r="J69" s="1115"/>
      <c r="K69" s="1115"/>
      <c r="L69" s="1115"/>
      <c r="M69" s="1115"/>
      <c r="N69" s="1115"/>
      <c r="O69" s="1115"/>
      <c r="P69" s="1115"/>
      <c r="Q69" s="1115"/>
      <c r="R69" s="1115"/>
      <c r="S69" s="1115"/>
      <c r="T69" s="1115"/>
      <c r="U69" s="1115"/>
      <c r="V69" s="1115"/>
      <c r="W69" s="1115"/>
      <c r="X69" s="1115"/>
      <c r="Y69" s="1115"/>
      <c r="Z69" s="1115"/>
      <c r="AC69" s="1268" t="str">
        <f>'PIM Model'!$AD$23</f>
        <v/>
      </c>
      <c r="AD69" s="1268"/>
      <c r="AE69" s="1268" t="str">
        <f>'PIM Model'!$D$23</f>
        <v>%</v>
      </c>
      <c r="AF69" s="1268"/>
      <c r="AG69" s="1268" t="str">
        <f>'PIM Model'!$D$23</f>
        <v>%</v>
      </c>
      <c r="AH69" s="1268"/>
      <c r="AI69" s="1265" t="str">
        <f>'PIM Model'!$D$23</f>
        <v>%</v>
      </c>
      <c r="AJ69" s="1265"/>
      <c r="AK69" s="140"/>
      <c r="AL69" s="140"/>
      <c r="AM69" s="140"/>
      <c r="AN69" s="140"/>
      <c r="AO69" s="140"/>
      <c r="AP69" s="140"/>
      <c r="AQ69" s="140"/>
      <c r="AR69" s="140"/>
      <c r="AS69" s="140"/>
      <c r="AT69" s="140"/>
      <c r="AU69" s="140"/>
      <c r="AV69" s="140"/>
      <c r="AW69" s="140"/>
      <c r="AX69" s="140"/>
      <c r="AY69" s="140"/>
      <c r="AZ69" s="140"/>
      <c r="BA69" s="140"/>
      <c r="BB69" s="140"/>
      <c r="BC69" s="140"/>
      <c r="BD69" s="140"/>
      <c r="BE69" s="140"/>
      <c r="BF69" s="681"/>
    </row>
    <row r="70" spans="2:70" x14ac:dyDescent="0.25">
      <c r="B70" s="143"/>
      <c r="C70" s="1115" t="s">
        <v>91</v>
      </c>
      <c r="D70" s="1115"/>
      <c r="E70" s="1115"/>
      <c r="F70" s="1115"/>
      <c r="G70" s="1115"/>
      <c r="H70" s="1115"/>
      <c r="I70" s="1115"/>
      <c r="J70" s="1115"/>
      <c r="K70" s="1115"/>
      <c r="L70" s="1115"/>
      <c r="M70" s="1115"/>
      <c r="N70" s="1115"/>
      <c r="O70" s="1115"/>
      <c r="P70" s="1115"/>
      <c r="Q70" s="1115"/>
      <c r="R70" s="1115"/>
      <c r="S70" s="1115"/>
      <c r="T70" s="1115"/>
      <c r="U70" s="1115"/>
      <c r="V70" s="1115"/>
      <c r="W70" s="1115"/>
      <c r="X70" s="1115"/>
      <c r="Y70" s="1115"/>
      <c r="Z70" s="1115"/>
      <c r="AC70" s="1268" t="str">
        <f>'PIM Model'!$AD$24</f>
        <v/>
      </c>
      <c r="AD70" s="1268"/>
      <c r="AE70" s="1268" t="str">
        <f>'PIM Model'!$D$24</f>
        <v>%</v>
      </c>
      <c r="AF70" s="1268"/>
      <c r="AG70" s="1268" t="str">
        <f>'PIM Model'!$D$24</f>
        <v>%</v>
      </c>
      <c r="AH70" s="1268"/>
      <c r="AI70" s="1265" t="str">
        <f>'PIM Model'!$D$24</f>
        <v>%</v>
      </c>
      <c r="AJ70" s="1265"/>
      <c r="AK70" s="140"/>
      <c r="AL70" s="140"/>
      <c r="AM70" s="140"/>
      <c r="AN70" s="140"/>
      <c r="AO70" s="1162"/>
      <c r="AP70" s="1162"/>
      <c r="AQ70" s="1162"/>
      <c r="AR70" s="140"/>
      <c r="AS70" s="140"/>
      <c r="AT70" s="1162"/>
      <c r="AU70" s="1162"/>
      <c r="AV70" s="1162"/>
      <c r="AW70" s="140"/>
      <c r="AX70" s="140"/>
      <c r="AY70" s="1162"/>
      <c r="AZ70" s="1162"/>
      <c r="BA70" s="1162"/>
      <c r="BB70" s="140"/>
      <c r="BC70" s="140"/>
      <c r="BD70" s="1162"/>
      <c r="BE70" s="1162"/>
      <c r="BF70" s="1288"/>
    </row>
    <row r="71" spans="2:70" x14ac:dyDescent="0.25">
      <c r="B71" s="143"/>
      <c r="C71" s="1115" t="s">
        <v>90</v>
      </c>
      <c r="D71" s="1115"/>
      <c r="E71" s="1115"/>
      <c r="F71" s="1115"/>
      <c r="G71" s="1115"/>
      <c r="H71" s="1115"/>
      <c r="I71" s="1115"/>
      <c r="J71" s="1115"/>
      <c r="K71" s="1115"/>
      <c r="L71" s="1115"/>
      <c r="M71" s="1115"/>
      <c r="N71" s="1115"/>
      <c r="O71" s="1115"/>
      <c r="P71" s="1115"/>
      <c r="Q71" s="1115"/>
      <c r="R71" s="1115"/>
      <c r="S71" s="1115"/>
      <c r="T71" s="1115"/>
      <c r="U71" s="1115"/>
      <c r="V71" s="1115"/>
      <c r="W71" s="1115"/>
      <c r="X71" s="1115"/>
      <c r="Y71" s="1115"/>
      <c r="Z71" s="1115"/>
      <c r="AC71" s="1268" t="str">
        <f>'PIM Model'!$AD$25</f>
        <v/>
      </c>
      <c r="AD71" s="1268"/>
      <c r="AE71" s="1268" t="str">
        <f>'PIM Model'!$D$25</f>
        <v>%</v>
      </c>
      <c r="AF71" s="1268"/>
      <c r="AG71" s="1268" t="str">
        <f>'PIM Model'!$D$25</f>
        <v>%</v>
      </c>
      <c r="AH71" s="1268"/>
      <c r="AI71" s="1265" t="str">
        <f>'PIM Model'!$D$25</f>
        <v>%</v>
      </c>
      <c r="AJ71" s="1265"/>
      <c r="AK71" s="140"/>
      <c r="AL71" s="140"/>
      <c r="AM71" s="140"/>
      <c r="AN71" s="140"/>
      <c r="AO71" s="1162"/>
      <c r="AP71" s="1162"/>
      <c r="AQ71" s="1162"/>
      <c r="AR71" s="140"/>
      <c r="AS71" s="140"/>
      <c r="AT71" s="1162"/>
      <c r="AU71" s="1162"/>
      <c r="AV71" s="1162"/>
      <c r="AW71" s="140"/>
      <c r="AX71" s="140"/>
      <c r="AY71" s="1162"/>
      <c r="AZ71" s="1162"/>
      <c r="BA71" s="1162"/>
      <c r="BB71" s="140"/>
      <c r="BC71" s="140"/>
      <c r="BD71" s="1162"/>
      <c r="BE71" s="1162"/>
      <c r="BF71" s="1288"/>
    </row>
    <row r="72" spans="2:70" x14ac:dyDescent="0.25">
      <c r="B72" s="143"/>
      <c r="C72" s="1115" t="s">
        <v>89</v>
      </c>
      <c r="D72" s="1115"/>
      <c r="E72" s="1115"/>
      <c r="F72" s="1115"/>
      <c r="G72" s="1115"/>
      <c r="H72" s="1115"/>
      <c r="I72" s="1115"/>
      <c r="J72" s="1115"/>
      <c r="K72" s="1115"/>
      <c r="L72" s="1115"/>
      <c r="M72" s="1115"/>
      <c r="N72" s="1115"/>
      <c r="O72" s="1115"/>
      <c r="P72" s="1115"/>
      <c r="Q72" s="1115"/>
      <c r="R72" s="1115"/>
      <c r="S72" s="1115"/>
      <c r="T72" s="1115"/>
      <c r="U72" s="1115"/>
      <c r="V72" s="1115"/>
      <c r="W72" s="1115"/>
      <c r="X72" s="1115"/>
      <c r="Y72" s="1115"/>
      <c r="Z72" s="1115"/>
      <c r="AC72" s="1268" t="str">
        <f>'PIM Model'!$AD$26</f>
        <v/>
      </c>
      <c r="AD72" s="1268"/>
      <c r="AE72" s="1268" t="str">
        <f>'PIM Model'!$D$26</f>
        <v>%</v>
      </c>
      <c r="AF72" s="1268"/>
      <c r="AG72" s="1268" t="str">
        <f>'PIM Model'!$D$26</f>
        <v>%</v>
      </c>
      <c r="AH72" s="1268"/>
      <c r="AI72" s="1265" t="str">
        <f>'PIM Model'!$D$26</f>
        <v>%</v>
      </c>
      <c r="AJ72" s="1265"/>
      <c r="AK72" s="140"/>
      <c r="AL72" s="140"/>
      <c r="AM72" s="140"/>
      <c r="AN72" s="140"/>
      <c r="AO72" s="1162"/>
      <c r="AP72" s="1162"/>
      <c r="AQ72" s="1162"/>
      <c r="AR72" s="140"/>
      <c r="AS72" s="140"/>
      <c r="AT72" s="1162"/>
      <c r="AU72" s="1162"/>
      <c r="AV72" s="1162"/>
      <c r="AW72" s="140"/>
      <c r="AX72" s="140"/>
      <c r="AY72" s="1162"/>
      <c r="AZ72" s="1162"/>
      <c r="BA72" s="1162"/>
      <c r="BB72" s="140"/>
      <c r="BC72" s="140"/>
      <c r="BD72" s="1162"/>
      <c r="BE72" s="1162"/>
      <c r="BF72" s="1288"/>
    </row>
    <row r="73" spans="2:70" x14ac:dyDescent="0.25">
      <c r="B73" s="143"/>
      <c r="C73" s="1115" t="s">
        <v>88</v>
      </c>
      <c r="D73" s="1115"/>
      <c r="E73" s="1115"/>
      <c r="F73" s="1115"/>
      <c r="G73" s="1115"/>
      <c r="H73" s="1115"/>
      <c r="I73" s="1115"/>
      <c r="J73" s="1115"/>
      <c r="K73" s="1115"/>
      <c r="L73" s="1115"/>
      <c r="M73" s="1115"/>
      <c r="N73" s="1115"/>
      <c r="O73" s="1115"/>
      <c r="P73" s="1115"/>
      <c r="Q73" s="1115"/>
      <c r="R73" s="1115"/>
      <c r="S73" s="1115"/>
      <c r="T73" s="1115"/>
      <c r="U73" s="1115"/>
      <c r="V73" s="1115"/>
      <c r="W73" s="1115"/>
      <c r="X73" s="1115"/>
      <c r="Y73" s="1115"/>
      <c r="Z73" s="1115"/>
      <c r="AC73" s="1268" t="str">
        <f>'PIM Model'!$AD$29</f>
        <v/>
      </c>
      <c r="AD73" s="1268"/>
      <c r="AE73" s="1268" t="str">
        <f>'PIM Model'!$D$29</f>
        <v>%</v>
      </c>
      <c r="AF73" s="1268"/>
      <c r="AG73" s="1268" t="str">
        <f>'PIM Model'!$D$29</f>
        <v>%</v>
      </c>
      <c r="AH73" s="1268"/>
      <c r="AI73" s="1265" t="str">
        <f>'PIM Model'!$D$29</f>
        <v>%</v>
      </c>
      <c r="AJ73" s="1265"/>
      <c r="AK73" s="140"/>
      <c r="AL73" s="140"/>
      <c r="AM73" s="140"/>
      <c r="AN73" s="140"/>
      <c r="AO73" s="1162"/>
      <c r="AP73" s="1162"/>
      <c r="AQ73" s="1162"/>
      <c r="AR73" s="140"/>
      <c r="AS73" s="140"/>
      <c r="AT73" s="1162"/>
      <c r="AU73" s="1162"/>
      <c r="AV73" s="1162"/>
      <c r="AW73" s="140"/>
      <c r="AX73" s="140"/>
      <c r="AY73" s="1162"/>
      <c r="AZ73" s="1162"/>
      <c r="BA73" s="1162"/>
      <c r="BB73" s="140"/>
      <c r="BC73" s="140"/>
      <c r="BD73" s="1162"/>
      <c r="BE73" s="1162"/>
      <c r="BF73" s="1288"/>
    </row>
    <row r="74" spans="2:70" x14ac:dyDescent="0.25">
      <c r="B74" s="143"/>
      <c r="C74" s="1115" t="s">
        <v>87</v>
      </c>
      <c r="D74" s="1115"/>
      <c r="E74" s="1115"/>
      <c r="F74" s="1115"/>
      <c r="G74" s="1115"/>
      <c r="H74" s="1115"/>
      <c r="I74" s="1115"/>
      <c r="J74" s="1115"/>
      <c r="K74" s="1115"/>
      <c r="L74" s="1115"/>
      <c r="M74" s="1115"/>
      <c r="N74" s="1115"/>
      <c r="O74" s="1115"/>
      <c r="P74" s="1115"/>
      <c r="Q74" s="1115"/>
      <c r="R74" s="1115"/>
      <c r="S74" s="1115"/>
      <c r="T74" s="1115"/>
      <c r="U74" s="1115"/>
      <c r="V74" s="1115"/>
      <c r="W74" s="1115"/>
      <c r="X74" s="1115"/>
      <c r="Y74" s="1115"/>
      <c r="Z74" s="1115"/>
      <c r="AC74" s="1268" t="str">
        <f>'PIM Model'!$AD$30</f>
        <v/>
      </c>
      <c r="AD74" s="1268"/>
      <c r="AE74" s="1268" t="str">
        <f>'PIM Model'!$D$30</f>
        <v>%</v>
      </c>
      <c r="AF74" s="1268"/>
      <c r="AG74" s="1268" t="str">
        <f>'PIM Model'!$D$30</f>
        <v>%</v>
      </c>
      <c r="AH74" s="1268"/>
      <c r="AI74" s="1265" t="str">
        <f>'PIM Model'!$D$30</f>
        <v>%</v>
      </c>
      <c r="AJ74" s="1265"/>
      <c r="AK74" s="140"/>
      <c r="AL74" s="140"/>
      <c r="AM74" s="140"/>
      <c r="AN74" s="140"/>
      <c r="AO74" s="1162"/>
      <c r="AP74" s="1162"/>
      <c r="AQ74" s="1162"/>
      <c r="AR74" s="140"/>
      <c r="AS74" s="140"/>
      <c r="AT74" s="1162"/>
      <c r="AU74" s="1162"/>
      <c r="AV74" s="1162"/>
      <c r="AW74" s="140"/>
      <c r="AX74" s="140"/>
      <c r="AY74" s="1162"/>
      <c r="AZ74" s="1162"/>
      <c r="BA74" s="1162"/>
      <c r="BB74" s="140"/>
      <c r="BC74" s="140"/>
      <c r="BD74" s="1162"/>
      <c r="BE74" s="1162"/>
      <c r="BF74" s="1288"/>
    </row>
    <row r="75" spans="2:70" x14ac:dyDescent="0.25">
      <c r="B75" s="143"/>
      <c r="C75" s="1115" t="s">
        <v>86</v>
      </c>
      <c r="D75" s="1115"/>
      <c r="E75" s="1115"/>
      <c r="F75" s="1115"/>
      <c r="G75" s="1115"/>
      <c r="H75" s="1115"/>
      <c r="I75" s="1115"/>
      <c r="J75" s="1115"/>
      <c r="K75" s="1115"/>
      <c r="L75" s="1115"/>
      <c r="M75" s="1115"/>
      <c r="N75" s="1115"/>
      <c r="O75" s="1115"/>
      <c r="P75" s="1115"/>
      <c r="Q75" s="1115"/>
      <c r="R75" s="1115"/>
      <c r="S75" s="1115"/>
      <c r="T75" s="1115"/>
      <c r="U75" s="1115"/>
      <c r="V75" s="1115"/>
      <c r="W75" s="1115"/>
      <c r="X75" s="1115"/>
      <c r="Y75" s="1115"/>
      <c r="Z75" s="1115"/>
      <c r="AC75" s="1268" t="str">
        <f>'PIM Model'!$AD$28</f>
        <v/>
      </c>
      <c r="AD75" s="1268"/>
      <c r="AE75" s="1268" t="str">
        <f>'PIM Model'!$D$28</f>
        <v>%</v>
      </c>
      <c r="AF75" s="1268"/>
      <c r="AG75" s="1268" t="str">
        <f>'PIM Model'!$D$28</f>
        <v>%</v>
      </c>
      <c r="AH75" s="1268"/>
      <c r="AI75" s="1265" t="str">
        <f>'PIM Model'!$D$28</f>
        <v>%</v>
      </c>
      <c r="AJ75" s="1265"/>
      <c r="BF75" s="144"/>
    </row>
    <row r="76" spans="2:70" x14ac:dyDescent="0.25">
      <c r="B76" s="143"/>
      <c r="C76" s="1115" t="s">
        <v>105</v>
      </c>
      <c r="D76" s="1115"/>
      <c r="E76" s="1115"/>
      <c r="F76" s="1115"/>
      <c r="G76" s="1115"/>
      <c r="H76" s="1115"/>
      <c r="I76" s="1115"/>
      <c r="J76" s="1115"/>
      <c r="K76" s="1115"/>
      <c r="L76" s="1115"/>
      <c r="M76" s="1115"/>
      <c r="N76" s="1115"/>
      <c r="O76" s="1115"/>
      <c r="P76" s="1115"/>
      <c r="Q76" s="1115"/>
      <c r="R76" s="1115"/>
      <c r="S76" s="1115"/>
      <c r="T76" s="1115"/>
      <c r="U76" s="1115"/>
      <c r="V76" s="1115"/>
      <c r="W76" s="1115"/>
      <c r="X76" s="1115"/>
      <c r="Y76" s="1115"/>
      <c r="Z76" s="1115"/>
      <c r="AC76" s="1268" t="str">
        <f>'PIM Model'!$AD$22</f>
        <v/>
      </c>
      <c r="AD76" s="1268"/>
      <c r="AE76" s="1268" t="str">
        <f>'PIM Model'!$D$22</f>
        <v>%</v>
      </c>
      <c r="AF76" s="1268"/>
      <c r="AG76" s="1268" t="str">
        <f>'PIM Model'!$D$22</f>
        <v>%</v>
      </c>
      <c r="AH76" s="1268"/>
      <c r="AI76" s="1265" t="str">
        <f>'PIM Model'!$D$22</f>
        <v>%</v>
      </c>
      <c r="AJ76" s="1265"/>
      <c r="BF76" s="144"/>
    </row>
    <row r="77" spans="2:70" x14ac:dyDescent="0.25">
      <c r="B77" s="738"/>
      <c r="C77" s="1294" t="s">
        <v>757</v>
      </c>
      <c r="D77" s="1294"/>
      <c r="E77" s="1294"/>
      <c r="F77" s="1294"/>
      <c r="G77" s="1294"/>
      <c r="H77" s="1294"/>
      <c r="I77" s="1294"/>
      <c r="J77" s="1294"/>
      <c r="K77" s="1294"/>
      <c r="L77" s="1294"/>
      <c r="M77" s="1294"/>
      <c r="N77" s="1294"/>
      <c r="O77" s="1294"/>
      <c r="P77" s="1294"/>
      <c r="Q77" s="1294"/>
      <c r="R77" s="1294"/>
      <c r="S77" s="1294"/>
      <c r="T77" s="1294"/>
      <c r="U77" s="1294"/>
      <c r="V77" s="1294"/>
      <c r="W77" s="1294"/>
      <c r="X77" s="1294"/>
      <c r="Y77" s="1294"/>
      <c r="Z77" s="1294"/>
      <c r="AC77" s="1268" t="str">
        <f>'PIM Model'!$AD$12</f>
        <v/>
      </c>
      <c r="AD77" s="1268"/>
      <c r="AE77" s="1268" t="str">
        <f>'PIM Model'!$D$12</f>
        <v>%</v>
      </c>
      <c r="AF77" s="1268"/>
      <c r="AG77" s="1268" t="str">
        <f>'PIM Model'!$D$12</f>
        <v>%</v>
      </c>
      <c r="AH77" s="1268"/>
      <c r="AI77" s="1265" t="str">
        <f>'PIM Model'!$D$12</f>
        <v>%</v>
      </c>
      <c r="AJ77" s="1265"/>
      <c r="BF77" s="144"/>
    </row>
    <row r="78" spans="2:70" x14ac:dyDescent="0.25">
      <c r="B78" s="143"/>
      <c r="C78" s="1294" t="s">
        <v>758</v>
      </c>
      <c r="D78" s="1294"/>
      <c r="E78" s="1294"/>
      <c r="F78" s="1294"/>
      <c r="G78" s="1294"/>
      <c r="H78" s="1294"/>
      <c r="I78" s="1294"/>
      <c r="J78" s="1294"/>
      <c r="K78" s="1294"/>
      <c r="L78" s="1294"/>
      <c r="M78" s="1294"/>
      <c r="N78" s="1294"/>
      <c r="O78" s="1294"/>
      <c r="P78" s="1294"/>
      <c r="Q78" s="1294"/>
      <c r="R78" s="1294"/>
      <c r="S78" s="1294"/>
      <c r="T78" s="1294"/>
      <c r="U78" s="1294"/>
      <c r="V78" s="1294"/>
      <c r="W78" s="1294"/>
      <c r="X78" s="1294"/>
      <c r="Y78" s="1294"/>
      <c r="Z78" s="1294"/>
      <c r="AC78" s="720"/>
      <c r="AD78" s="720"/>
      <c r="AE78" s="720"/>
      <c r="AF78" s="720"/>
      <c r="AG78" s="720"/>
      <c r="AH78" s="720"/>
      <c r="BF78" s="144"/>
      <c r="BR78" s="301"/>
    </row>
    <row r="79" spans="2:70" x14ac:dyDescent="0.25">
      <c r="B79" s="143"/>
      <c r="BF79" s="144"/>
    </row>
    <row r="80" spans="2:70" x14ac:dyDescent="0.25">
      <c r="B80" s="143"/>
      <c r="BF80" s="144"/>
    </row>
    <row r="81" spans="1:70" x14ac:dyDescent="0.25">
      <c r="B81" s="143"/>
      <c r="D81" s="1265" t="s">
        <v>722</v>
      </c>
      <c r="E81" s="1265"/>
      <c r="F81" s="1265"/>
      <c r="G81" s="1265"/>
      <c r="H81" s="1265"/>
      <c r="I81" s="1265"/>
      <c r="J81" s="1265"/>
      <c r="K81" s="1265"/>
      <c r="L81" s="1265"/>
      <c r="M81" s="1265"/>
      <c r="N81" s="1265"/>
      <c r="O81" s="1265"/>
      <c r="P81" s="1265"/>
      <c r="Q81" s="1265"/>
      <c r="R81" s="1265"/>
      <c r="S81" s="1265"/>
      <c r="T81" s="1265"/>
      <c r="U81" s="1265"/>
      <c r="V81" s="1265"/>
      <c r="W81" s="1265"/>
      <c r="X81" s="1265"/>
      <c r="Y81" s="1265"/>
      <c r="Z81" s="1265"/>
      <c r="AA81" s="1265"/>
      <c r="AB81" s="1265"/>
      <c r="AC81" s="1265"/>
      <c r="AD81" s="1265"/>
      <c r="AE81" s="1265"/>
      <c r="AF81" s="1265"/>
      <c r="AG81" s="1265"/>
      <c r="AH81" s="1265"/>
      <c r="AI81" s="1265"/>
      <c r="AJ81" s="1265"/>
      <c r="AK81" s="1265"/>
      <c r="AL81" s="1265"/>
      <c r="AM81" s="1265"/>
      <c r="AN81" s="1265"/>
      <c r="AO81" s="1265"/>
      <c r="AP81" s="1265"/>
      <c r="AQ81" s="1265"/>
      <c r="AR81" s="1265"/>
      <c r="AS81" s="1265"/>
      <c r="AT81" s="1265"/>
      <c r="AU81" s="1265"/>
      <c r="AV81" s="1265"/>
      <c r="AW81" s="1265"/>
      <c r="AX81" s="1265"/>
      <c r="AY81" s="1265"/>
      <c r="AZ81" s="1265"/>
      <c r="BA81" s="1265"/>
      <c r="BB81" s="1265"/>
      <c r="BC81" s="1265"/>
      <c r="BD81" s="1265"/>
      <c r="BF81" s="144"/>
    </row>
    <row r="82" spans="1:70" x14ac:dyDescent="0.25">
      <c r="B82" s="143"/>
      <c r="D82" s="1269" t="s">
        <v>248</v>
      </c>
      <c r="E82" s="1269"/>
      <c r="F82" s="1265" t="s">
        <v>721</v>
      </c>
      <c r="G82" s="1265"/>
      <c r="H82" s="1265"/>
      <c r="I82" s="1265"/>
      <c r="J82" s="1265"/>
      <c r="K82" s="1265"/>
      <c r="L82" s="1265"/>
      <c r="M82" s="1265"/>
      <c r="N82" s="1265"/>
      <c r="O82" s="1265"/>
      <c r="P82" s="1265"/>
      <c r="Q82" s="1265"/>
      <c r="R82" s="1265"/>
      <c r="S82" s="1265"/>
      <c r="T82" s="1265"/>
      <c r="U82" s="1265"/>
      <c r="V82" s="1265"/>
      <c r="W82" s="1265"/>
      <c r="X82" s="1265"/>
      <c r="Y82" s="1265"/>
      <c r="Z82" s="1265"/>
      <c r="AA82" s="1265"/>
      <c r="AB82" s="1265"/>
      <c r="AC82" s="1265"/>
      <c r="AD82" s="1265"/>
      <c r="AE82" s="1265"/>
      <c r="AF82" s="1265"/>
      <c r="AG82" s="1265"/>
      <c r="AH82" s="1265"/>
      <c r="AI82" s="1265"/>
      <c r="AJ82" s="1265"/>
      <c r="AK82" s="1265"/>
      <c r="AL82" s="1265"/>
      <c r="AM82" s="1265"/>
      <c r="AN82" s="1265"/>
      <c r="AO82" s="1265"/>
      <c r="AP82" s="1265"/>
      <c r="AQ82" s="1265"/>
      <c r="AR82" s="1265"/>
      <c r="AS82" s="1265"/>
      <c r="AT82" s="1265"/>
      <c r="AU82" s="1265"/>
      <c r="AV82" s="1265"/>
      <c r="AW82" s="1265"/>
      <c r="AX82" s="1265"/>
      <c r="AY82" s="1265"/>
      <c r="AZ82" s="1265"/>
      <c r="BA82" s="1265"/>
      <c r="BB82" s="1265"/>
      <c r="BC82" s="1265"/>
      <c r="BD82" s="1265"/>
      <c r="BF82" s="144"/>
    </row>
    <row r="83" spans="1:70" x14ac:dyDescent="0.25">
      <c r="B83" s="143"/>
      <c r="D83" s="1267"/>
      <c r="E83" s="1267"/>
      <c r="F83" s="1265" t="s">
        <v>720</v>
      </c>
      <c r="G83" s="1265"/>
      <c r="H83" s="1265"/>
      <c r="I83" s="1265"/>
      <c r="J83" s="1265"/>
      <c r="K83" s="1265"/>
      <c r="L83" s="1265"/>
      <c r="M83" s="1265"/>
      <c r="N83" s="1265"/>
      <c r="O83" s="1265"/>
      <c r="P83" s="1265"/>
      <c r="Q83" s="1265"/>
      <c r="R83" s="1265"/>
      <c r="S83" s="1265"/>
      <c r="T83" s="1265"/>
      <c r="U83" s="1265"/>
      <c r="V83" s="1265"/>
      <c r="W83" s="1265"/>
      <c r="X83" s="1265"/>
      <c r="Y83" s="1265"/>
      <c r="Z83" s="1265"/>
      <c r="AA83" s="1265"/>
      <c r="AB83" s="1265"/>
      <c r="AC83" s="1265"/>
      <c r="AD83" s="1265"/>
      <c r="AE83" s="1265"/>
      <c r="AF83" s="1265"/>
      <c r="AG83" s="1265"/>
      <c r="AH83" s="1265"/>
      <c r="AI83" s="1265"/>
      <c r="AJ83" s="1265"/>
      <c r="AK83" s="1265"/>
      <c r="AL83" s="1265"/>
      <c r="AM83" s="1265"/>
      <c r="AN83" s="1265"/>
      <c r="AO83" s="1265"/>
      <c r="AP83" s="1265"/>
      <c r="AQ83" s="1265"/>
      <c r="AR83" s="1265"/>
      <c r="AS83" s="1265"/>
      <c r="AT83" s="1265"/>
      <c r="AU83" s="1265"/>
      <c r="AV83" s="1265"/>
      <c r="AW83" s="1265"/>
      <c r="AX83" s="1265"/>
      <c r="AY83" s="1265"/>
      <c r="AZ83" s="1265"/>
      <c r="BA83" s="1265"/>
      <c r="BB83" s="1265"/>
      <c r="BC83" s="1265"/>
      <c r="BD83" s="1265"/>
      <c r="BF83" s="144"/>
    </row>
    <row r="84" spans="1:70" x14ac:dyDescent="0.25">
      <c r="A84" s="308"/>
      <c r="B84" s="143"/>
      <c r="D84" s="1267"/>
      <c r="E84" s="1267"/>
      <c r="F84" s="1265" t="s">
        <v>719</v>
      </c>
      <c r="G84" s="1265"/>
      <c r="H84" s="1265"/>
      <c r="I84" s="1265"/>
      <c r="J84" s="1265"/>
      <c r="K84" s="1265"/>
      <c r="L84" s="1265"/>
      <c r="M84" s="1265"/>
      <c r="N84" s="1265"/>
      <c r="O84" s="1265"/>
      <c r="P84" s="1265"/>
      <c r="Q84" s="1265"/>
      <c r="R84" s="1265"/>
      <c r="S84" s="1265"/>
      <c r="T84" s="1265"/>
      <c r="U84" s="1265"/>
      <c r="V84" s="1265"/>
      <c r="W84" s="1265"/>
      <c r="X84" s="1265"/>
      <c r="Y84" s="1265"/>
      <c r="Z84" s="1265"/>
      <c r="AA84" s="1265"/>
      <c r="AB84" s="1265"/>
      <c r="AC84" s="1265"/>
      <c r="AD84" s="1265"/>
      <c r="AE84" s="1265"/>
      <c r="AF84" s="1265"/>
      <c r="AG84" s="1265"/>
      <c r="AH84" s="1265"/>
      <c r="AI84" s="1265"/>
      <c r="AJ84" s="1265"/>
      <c r="AK84" s="1265"/>
      <c r="AL84" s="1265"/>
      <c r="AM84" s="1265"/>
      <c r="AN84" s="1265"/>
      <c r="AO84" s="1265"/>
      <c r="AP84" s="1265"/>
      <c r="AQ84" s="1265"/>
      <c r="AR84" s="1265"/>
      <c r="AS84" s="1265"/>
      <c r="AT84" s="1265"/>
      <c r="AU84" s="1265"/>
      <c r="AV84" s="1265"/>
      <c r="AW84" s="1265"/>
      <c r="AX84" s="1265"/>
      <c r="AY84" s="1265"/>
      <c r="AZ84" s="1265"/>
      <c r="BA84" s="1265"/>
      <c r="BB84" s="1265"/>
      <c r="BC84" s="1265"/>
      <c r="BD84" s="1265"/>
      <c r="BF84" s="144"/>
    </row>
    <row r="85" spans="1:70" x14ac:dyDescent="0.25">
      <c r="B85" s="143"/>
      <c r="BF85" s="144"/>
    </row>
    <row r="86" spans="1:70" x14ac:dyDescent="0.25">
      <c r="B86" s="143"/>
      <c r="D86" s="1265" t="s">
        <v>718</v>
      </c>
      <c r="E86" s="1265"/>
      <c r="F86" s="1265"/>
      <c r="G86" s="1265"/>
      <c r="H86" s="1265"/>
      <c r="I86" s="1265"/>
      <c r="J86" s="1265"/>
      <c r="K86" s="1265"/>
      <c r="L86" s="1265"/>
      <c r="M86" s="1265"/>
      <c r="N86" s="1265"/>
      <c r="O86" s="1265"/>
      <c r="P86" s="1265"/>
      <c r="Q86" s="1265"/>
      <c r="R86" s="1265"/>
      <c r="S86" s="1265"/>
      <c r="T86" s="1265"/>
      <c r="U86" s="1265"/>
      <c r="V86" s="1265"/>
      <c r="W86" s="1265"/>
      <c r="X86" s="1265"/>
      <c r="Y86" s="1265"/>
      <c r="Z86" s="1265"/>
      <c r="AA86" s="1265"/>
      <c r="AB86" s="1265"/>
      <c r="AC86" s="1265"/>
      <c r="AD86" s="1265"/>
      <c r="AE86" s="1265"/>
      <c r="AF86" s="1265"/>
      <c r="AG86" s="1265"/>
      <c r="AH86" s="1265"/>
      <c r="AI86" s="1265"/>
      <c r="AJ86" s="1265"/>
      <c r="AK86" s="1265"/>
      <c r="AL86" s="1265"/>
      <c r="AM86" s="1265"/>
      <c r="AN86" s="1265"/>
      <c r="AO86" s="1265"/>
      <c r="AP86" s="1265"/>
      <c r="AQ86" s="1265"/>
      <c r="AR86" s="1265"/>
      <c r="AS86" s="1265"/>
      <c r="AT86" s="1265"/>
      <c r="AU86" s="1265"/>
      <c r="AV86" s="1265"/>
      <c r="AW86" s="1265"/>
      <c r="AX86" s="1265"/>
      <c r="AY86" s="1265"/>
      <c r="AZ86" s="1265"/>
      <c r="BA86" s="1265"/>
      <c r="BB86" s="1265"/>
      <c r="BC86" s="1265"/>
      <c r="BD86" s="1265"/>
      <c r="BF86" s="144"/>
    </row>
    <row r="87" spans="1:70" x14ac:dyDescent="0.25">
      <c r="B87" s="143"/>
      <c r="D87" s="1269" t="s">
        <v>248</v>
      </c>
      <c r="E87" s="1269"/>
      <c r="F87" s="1265" t="s">
        <v>717</v>
      </c>
      <c r="G87" s="1265"/>
      <c r="H87" s="1265"/>
      <c r="I87" s="1265"/>
      <c r="J87" s="1265"/>
      <c r="K87" s="1265"/>
      <c r="L87" s="1265"/>
      <c r="M87" s="1265"/>
      <c r="N87" s="1265"/>
      <c r="O87" s="1265"/>
      <c r="P87" s="1265"/>
      <c r="Q87" s="1265"/>
      <c r="R87" s="1265"/>
      <c r="S87" s="1265"/>
      <c r="T87" s="1265"/>
      <c r="U87" s="1265"/>
      <c r="V87" s="1265"/>
      <c r="W87" s="1265"/>
      <c r="X87" s="1265"/>
      <c r="Y87" s="1265"/>
      <c r="Z87" s="1265"/>
      <c r="AA87" s="1265"/>
      <c r="AB87" s="1265"/>
      <c r="AC87" s="1265"/>
      <c r="AD87" s="1265"/>
      <c r="AE87" s="1265"/>
      <c r="AF87" s="1265"/>
      <c r="AG87" s="1265"/>
      <c r="AH87" s="1265"/>
      <c r="AI87" s="1265"/>
      <c r="AJ87" s="1265"/>
      <c r="AK87" s="1265"/>
      <c r="AL87" s="1265"/>
      <c r="AM87" s="1265"/>
      <c r="AN87" s="1265"/>
      <c r="AO87" s="1265"/>
      <c r="AP87" s="1265"/>
      <c r="AQ87" s="1265"/>
      <c r="AR87" s="1265"/>
      <c r="AS87" s="1265"/>
      <c r="AT87" s="1265"/>
      <c r="AU87" s="1265"/>
      <c r="AV87" s="1265"/>
      <c r="AW87" s="1265"/>
      <c r="AX87" s="1265"/>
      <c r="AY87" s="1265"/>
      <c r="AZ87" s="1265"/>
      <c r="BA87" s="1265"/>
      <c r="BB87" s="1265"/>
      <c r="BC87" s="1265"/>
      <c r="BD87" s="1265"/>
      <c r="BF87" s="144"/>
    </row>
    <row r="88" spans="1:70" x14ac:dyDescent="0.25">
      <c r="B88" s="143"/>
      <c r="D88" s="1267"/>
      <c r="E88" s="1267"/>
      <c r="F88" s="1265" t="s">
        <v>716</v>
      </c>
      <c r="G88" s="1265"/>
      <c r="H88" s="1265"/>
      <c r="I88" s="1265"/>
      <c r="J88" s="1265"/>
      <c r="K88" s="1265"/>
      <c r="L88" s="1265"/>
      <c r="M88" s="1265"/>
      <c r="N88" s="1265"/>
      <c r="O88" s="1265"/>
      <c r="P88" s="1265"/>
      <c r="Q88" s="1265"/>
      <c r="R88" s="1265"/>
      <c r="S88" s="1265"/>
      <c r="T88" s="1265"/>
      <c r="U88" s="1265"/>
      <c r="V88" s="1265"/>
      <c r="W88" s="1265"/>
      <c r="X88" s="1265"/>
      <c r="Y88" s="1265"/>
      <c r="Z88" s="1265"/>
      <c r="AA88" s="1265"/>
      <c r="AB88" s="1265"/>
      <c r="AC88" s="1265"/>
      <c r="AD88" s="1265"/>
      <c r="AE88" s="1265"/>
      <c r="AF88" s="1265"/>
      <c r="AG88" s="1265"/>
      <c r="AH88" s="1265"/>
      <c r="AI88" s="1265"/>
      <c r="AJ88" s="1265"/>
      <c r="AK88" s="1265"/>
      <c r="AL88" s="1265"/>
      <c r="AM88" s="1265"/>
      <c r="AN88" s="1265"/>
      <c r="AO88" s="1265"/>
      <c r="AP88" s="1265"/>
      <c r="AQ88" s="1265"/>
      <c r="AR88" s="1265"/>
      <c r="AS88" s="1265"/>
      <c r="AT88" s="1265"/>
      <c r="AU88" s="1265"/>
      <c r="AV88" s="1265"/>
      <c r="AW88" s="1265"/>
      <c r="AX88" s="1265"/>
      <c r="AY88" s="1265"/>
      <c r="AZ88" s="1265"/>
      <c r="BA88" s="1265"/>
      <c r="BB88" s="1265"/>
      <c r="BC88" s="1265"/>
      <c r="BD88" s="1265"/>
      <c r="BF88" s="144"/>
    </row>
    <row r="89" spans="1:70" x14ac:dyDescent="0.25">
      <c r="B89" s="143"/>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44"/>
    </row>
    <row r="90" spans="1:70" x14ac:dyDescent="0.25">
      <c r="B90" s="739"/>
      <c r="C90" s="305"/>
      <c r="D90" s="305"/>
      <c r="E90" s="305"/>
      <c r="F90" s="305"/>
      <c r="G90" s="305"/>
      <c r="H90" s="305"/>
      <c r="I90" s="305"/>
      <c r="J90" s="305"/>
      <c r="K90" s="305"/>
      <c r="L90" s="305"/>
      <c r="M90" s="305"/>
      <c r="N90" s="305"/>
      <c r="O90" s="305"/>
      <c r="P90" s="305"/>
      <c r="Q90" s="305"/>
      <c r="R90" s="305"/>
      <c r="S90" s="305"/>
      <c r="T90" s="305"/>
      <c r="U90" s="305"/>
      <c r="V90" s="305"/>
      <c r="W90" s="305"/>
      <c r="X90" s="305"/>
      <c r="Y90" s="305"/>
      <c r="Z90" s="305"/>
      <c r="AA90" s="305"/>
      <c r="AB90" s="305"/>
      <c r="AC90" s="305"/>
      <c r="AD90" s="305"/>
      <c r="AE90" s="305"/>
      <c r="AF90" s="305"/>
      <c r="AG90" s="305"/>
      <c r="AH90" s="305"/>
      <c r="AI90" s="305"/>
      <c r="AJ90" s="305"/>
      <c r="AK90" s="305"/>
      <c r="AL90" s="305"/>
      <c r="AM90" s="305"/>
      <c r="AN90" s="305"/>
      <c r="AO90" s="305"/>
      <c r="AP90" s="305"/>
      <c r="AQ90" s="305"/>
      <c r="AR90" s="305"/>
      <c r="AS90" s="305"/>
      <c r="AT90" s="305"/>
      <c r="AU90" s="305"/>
      <c r="AV90" s="305"/>
      <c r="AW90" s="305"/>
      <c r="AX90" s="305"/>
      <c r="AY90" s="305"/>
      <c r="AZ90" s="305"/>
      <c r="BA90" s="305"/>
      <c r="BB90" s="305"/>
      <c r="BC90" s="305"/>
      <c r="BD90" s="305"/>
      <c r="BE90" s="305"/>
      <c r="BF90" s="719"/>
    </row>
    <row r="91" spans="1:70" x14ac:dyDescent="0.25">
      <c r="B91" s="143"/>
      <c r="BF91" s="144"/>
    </row>
    <row r="92" spans="1:70" ht="18.75" x14ac:dyDescent="0.3">
      <c r="B92" s="1223" t="s">
        <v>1054</v>
      </c>
      <c r="C92" s="1224"/>
      <c r="D92" s="1224"/>
      <c r="E92" s="1224"/>
      <c r="F92" s="1224"/>
      <c r="G92" s="1224"/>
      <c r="H92" s="1224"/>
      <c r="I92" s="1224"/>
      <c r="J92" s="1224"/>
      <c r="K92" s="1224"/>
      <c r="L92" s="1224"/>
      <c r="M92" s="1224"/>
      <c r="N92" s="1224"/>
      <c r="O92" s="1224"/>
      <c r="P92" s="1224"/>
      <c r="Q92" s="1224"/>
      <c r="R92" s="1224"/>
      <c r="S92" s="1224"/>
      <c r="T92" s="1224"/>
      <c r="U92" s="1224"/>
      <c r="V92" s="1224"/>
      <c r="W92" s="1224"/>
      <c r="X92" s="1224"/>
      <c r="Y92" s="1224"/>
      <c r="Z92" s="1224"/>
      <c r="AA92" s="1224"/>
      <c r="AB92" s="1224"/>
      <c r="AC92" s="1224"/>
      <c r="AD92" s="1224"/>
      <c r="AE92" s="1224"/>
      <c r="AF92" s="1224"/>
      <c r="AG92" s="1224"/>
      <c r="AH92" s="1224"/>
      <c r="AI92" s="1224"/>
      <c r="AJ92" s="1224"/>
      <c r="AK92" s="1224"/>
      <c r="AL92" s="1224"/>
      <c r="AM92" s="1224"/>
      <c r="AN92" s="1224"/>
      <c r="AO92" s="1224"/>
      <c r="AP92" s="1224"/>
      <c r="AQ92" s="1224"/>
      <c r="AR92" s="1224"/>
      <c r="AS92" s="1224"/>
      <c r="AT92" s="1224"/>
      <c r="AU92" s="1224"/>
      <c r="AV92" s="1224"/>
      <c r="AW92" s="1224"/>
      <c r="AX92" s="1224"/>
      <c r="AY92" s="1224"/>
      <c r="AZ92" s="1224"/>
      <c r="BA92" s="1224"/>
      <c r="BB92" s="1224"/>
      <c r="BC92" s="1224"/>
      <c r="BD92" s="1224"/>
      <c r="BE92" s="1224"/>
      <c r="BF92" s="1225"/>
    </row>
    <row r="93" spans="1:70" ht="15.75" thickBot="1" x14ac:dyDescent="0.3">
      <c r="B93" s="143"/>
      <c r="BF93" s="144"/>
      <c r="BR93" s="301"/>
    </row>
    <row r="94" spans="1:70" ht="15.75" thickBot="1" x14ac:dyDescent="0.3">
      <c r="B94" s="143"/>
      <c r="D94" s="1260" t="s">
        <v>765</v>
      </c>
      <c r="E94" s="1230"/>
      <c r="F94" s="1230"/>
      <c r="G94" s="1230"/>
      <c r="H94" s="1230"/>
      <c r="I94" s="1230"/>
      <c r="J94" s="1230"/>
      <c r="K94" s="1229" t="s">
        <v>766</v>
      </c>
      <c r="L94" s="1230"/>
      <c r="M94" s="1230"/>
      <c r="N94" s="1230"/>
      <c r="O94" s="1230"/>
      <c r="P94" s="1230"/>
      <c r="Q94" s="1230"/>
      <c r="R94" s="1230"/>
      <c r="S94" s="1230"/>
      <c r="T94" s="1230"/>
      <c r="U94" s="1229" t="s">
        <v>826</v>
      </c>
      <c r="V94" s="1230"/>
      <c r="W94" s="1230"/>
      <c r="X94" s="1230"/>
      <c r="Y94" s="1230"/>
      <c r="Z94" s="1230"/>
      <c r="AA94" s="1230"/>
      <c r="AB94" s="1230"/>
      <c r="AC94" s="1230"/>
      <c r="AD94" s="1230"/>
      <c r="AE94" s="1230"/>
      <c r="AF94" s="1230"/>
      <c r="AG94" s="1230"/>
      <c r="AH94" s="1230"/>
      <c r="AI94" s="1230"/>
      <c r="AJ94" s="1229" t="s">
        <v>831</v>
      </c>
      <c r="AK94" s="1230"/>
      <c r="AL94" s="1230"/>
      <c r="AM94" s="1230"/>
      <c r="AN94" s="1230"/>
      <c r="AO94" s="1230"/>
      <c r="AP94" s="1230"/>
      <c r="AQ94" s="1230"/>
      <c r="AR94" s="1230"/>
      <c r="AS94" s="1230"/>
      <c r="AT94" s="1231"/>
      <c r="AU94" s="1229" t="s">
        <v>832</v>
      </c>
      <c r="AV94" s="1230"/>
      <c r="AW94" s="1230"/>
      <c r="AX94" s="1231"/>
      <c r="AY94" s="1229" t="s">
        <v>878</v>
      </c>
      <c r="AZ94" s="1230"/>
      <c r="BA94" s="1230"/>
      <c r="BB94" s="1230"/>
      <c r="BC94" s="1241"/>
      <c r="BF94" s="144"/>
    </row>
    <row r="95" spans="1:70" x14ac:dyDescent="0.25">
      <c r="B95" s="143"/>
      <c r="C95" s="689">
        <v>1</v>
      </c>
      <c r="D95" s="1259">
        <f>'Customer Inputs'!$B$6</f>
        <v>0</v>
      </c>
      <c r="E95" s="1259"/>
      <c r="F95" s="1259"/>
      <c r="G95" s="1259"/>
      <c r="H95" s="1259"/>
      <c r="I95" s="1259"/>
      <c r="J95" s="1259"/>
      <c r="K95" s="1246" t="str">
        <f>IFERROR(IFERROR('Multi-Customer'!$AU$37,VLOOKUP($D95,'Required Info to Submit'!$E$20:$J$29,2,FALSE)),"")</f>
        <v/>
      </c>
      <c r="L95" s="1246"/>
      <c r="M95" s="1246"/>
      <c r="N95" s="1246"/>
      <c r="O95" s="1246"/>
      <c r="P95" s="1246"/>
      <c r="Q95" s="1246"/>
      <c r="R95" s="1246"/>
      <c r="S95" s="1246"/>
      <c r="T95" s="1246"/>
      <c r="U95" s="1246" t="str">
        <f>IFERROR(IFERROR('Multi-Customer'!$AU$39&amp;" "&amp;'Multi-Customer'!$AU$40,VLOOKUP($D95,'Required Info to Submit'!$E$20:$J$29,3,FALSE)),"")</f>
        <v/>
      </c>
      <c r="V95" s="1246"/>
      <c r="W95" s="1246"/>
      <c r="X95" s="1246"/>
      <c r="Y95" s="1246"/>
      <c r="Z95" s="1246"/>
      <c r="AA95" s="1246"/>
      <c r="AB95" s="1246"/>
      <c r="AC95" s="1246"/>
      <c r="AD95" s="1246"/>
      <c r="AE95" s="1246"/>
      <c r="AF95" s="1246"/>
      <c r="AG95" s="1246"/>
      <c r="AH95" s="1246"/>
      <c r="AI95" s="1246"/>
      <c r="AJ95" s="1253" t="str">
        <f>IFERROR(IFERROR('Multi-Customer'!$AU$41,VLOOKUP($D95,'Required Info to Submit'!$E$20:$J$29,4,FALSE)),"")</f>
        <v/>
      </c>
      <c r="AK95" s="1254"/>
      <c r="AL95" s="1254"/>
      <c r="AM95" s="1254"/>
      <c r="AN95" s="1254"/>
      <c r="AO95" s="1254"/>
      <c r="AP95" s="1254"/>
      <c r="AQ95" s="1254"/>
      <c r="AR95" s="1254"/>
      <c r="AS95" s="1254"/>
      <c r="AT95" s="1255"/>
      <c r="AU95" s="1226" t="str">
        <f>IFERROR(IFERROR('Multi-Customer'!$AU$42,VLOOKUP($D95,'Required Info to Submit'!$E$20:$J$29,5,FALSE)),"")</f>
        <v/>
      </c>
      <c r="AV95" s="1227"/>
      <c r="AW95" s="1227"/>
      <c r="AX95" s="1228"/>
      <c r="AY95" s="1238" t="str">
        <f>IFERROR(IFERROR('Multi-Customer'!$AU$43,VLOOKUP($D95,'Required Info to Submit'!$E$20:$J$29,6,FALSE)),"")</f>
        <v/>
      </c>
      <c r="AZ95" s="1239"/>
      <c r="BA95" s="1239"/>
      <c r="BB95" s="1239"/>
      <c r="BC95" s="1240"/>
      <c r="BF95" s="144"/>
    </row>
    <row r="96" spans="1:70" x14ac:dyDescent="0.25">
      <c r="B96" s="143"/>
      <c r="C96" s="690">
        <v>2</v>
      </c>
      <c r="D96" s="1258">
        <f>'Customer Inputs'!$B$7</f>
        <v>0</v>
      </c>
      <c r="E96" s="1258"/>
      <c r="F96" s="1258"/>
      <c r="G96" s="1258"/>
      <c r="H96" s="1258"/>
      <c r="I96" s="1258"/>
      <c r="J96" s="1258"/>
      <c r="K96" s="1245" t="str">
        <f>IFERROR(IFERROR('Multi-Customer'!$BD$37,VLOOKUP($D96,'Required Info to Submit'!$E$20:$J$29,2,FALSE)),"")</f>
        <v/>
      </c>
      <c r="L96" s="1245"/>
      <c r="M96" s="1245"/>
      <c r="N96" s="1245"/>
      <c r="O96" s="1245"/>
      <c r="P96" s="1245"/>
      <c r="Q96" s="1245"/>
      <c r="R96" s="1245"/>
      <c r="S96" s="1245"/>
      <c r="T96" s="1245"/>
      <c r="U96" s="1245" t="str">
        <f>IFERROR(IFERROR('Multi-Customer'!$BD$39&amp;" "&amp;'Multi-Customer'!$BD$40,VLOOKUP($D96,'Required Info to Submit'!$E$20:$J$29,3,FALSE)),"")</f>
        <v/>
      </c>
      <c r="V96" s="1245"/>
      <c r="W96" s="1245"/>
      <c r="X96" s="1245"/>
      <c r="Y96" s="1245"/>
      <c r="Z96" s="1245"/>
      <c r="AA96" s="1245"/>
      <c r="AB96" s="1245"/>
      <c r="AC96" s="1245"/>
      <c r="AD96" s="1245"/>
      <c r="AE96" s="1245"/>
      <c r="AF96" s="1245"/>
      <c r="AG96" s="1245"/>
      <c r="AH96" s="1245"/>
      <c r="AI96" s="1245"/>
      <c r="AJ96" s="1250" t="str">
        <f>IFERROR(IFERROR('Multi-Customer'!$BD$41,VLOOKUP($D96,'Required Info to Submit'!$E$20:$J$29,4,FALSE)),"")</f>
        <v/>
      </c>
      <c r="AK96" s="1251"/>
      <c r="AL96" s="1251"/>
      <c r="AM96" s="1251"/>
      <c r="AN96" s="1251"/>
      <c r="AO96" s="1251"/>
      <c r="AP96" s="1251"/>
      <c r="AQ96" s="1251"/>
      <c r="AR96" s="1251"/>
      <c r="AS96" s="1251"/>
      <c r="AT96" s="1252"/>
      <c r="AU96" s="1169" t="str">
        <f>IFERROR(IFERROR('Multi-Customer'!$BD$42,VLOOKUP($D96,'Required Info to Submit'!$E$20:$J$29,5,FALSE)),"")</f>
        <v/>
      </c>
      <c r="AV96" s="1170"/>
      <c r="AW96" s="1170"/>
      <c r="AX96" s="1171"/>
      <c r="AY96" s="1235" t="str">
        <f>IFERROR(IFERROR('Multi-Customer'!$BD$43,VLOOKUP($D96,'Required Info to Submit'!$E$20:$J$29,6,FALSE)),"")</f>
        <v/>
      </c>
      <c r="AZ96" s="1236"/>
      <c r="BA96" s="1236"/>
      <c r="BB96" s="1236"/>
      <c r="BC96" s="1237"/>
      <c r="BF96" s="144"/>
    </row>
    <row r="97" spans="2:58" x14ac:dyDescent="0.25">
      <c r="B97" s="143"/>
      <c r="C97" s="690">
        <v>3</v>
      </c>
      <c r="D97" s="1258">
        <f>'Customer Inputs'!$B$8</f>
        <v>0</v>
      </c>
      <c r="E97" s="1258"/>
      <c r="F97" s="1258"/>
      <c r="G97" s="1258"/>
      <c r="H97" s="1258"/>
      <c r="I97" s="1258"/>
      <c r="J97" s="1258"/>
      <c r="K97" s="1245" t="str">
        <f>IFERROR(IFERROR('Multi-Customer'!$BM$37,VLOOKUP($D97,'Required Info to Submit'!$E$20:$J$29,2,FALSE)),"")</f>
        <v/>
      </c>
      <c r="L97" s="1245"/>
      <c r="M97" s="1245"/>
      <c r="N97" s="1245"/>
      <c r="O97" s="1245"/>
      <c r="P97" s="1245"/>
      <c r="Q97" s="1245"/>
      <c r="R97" s="1245"/>
      <c r="S97" s="1245"/>
      <c r="T97" s="1245"/>
      <c r="U97" s="1245" t="str">
        <f>IFERROR(IFERROR('Multi-Customer'!$BM$39&amp;" "&amp;'Multi-Customer'!$BM$40,VLOOKUP($D97,'Required Info to Submit'!$E$20:$J$29,3,FALSE)),"")</f>
        <v/>
      </c>
      <c r="V97" s="1245"/>
      <c r="W97" s="1245"/>
      <c r="X97" s="1245"/>
      <c r="Y97" s="1245"/>
      <c r="Z97" s="1245"/>
      <c r="AA97" s="1245"/>
      <c r="AB97" s="1245"/>
      <c r="AC97" s="1245"/>
      <c r="AD97" s="1245"/>
      <c r="AE97" s="1245"/>
      <c r="AF97" s="1245"/>
      <c r="AG97" s="1245"/>
      <c r="AH97" s="1245"/>
      <c r="AI97" s="1245"/>
      <c r="AJ97" s="1250" t="str">
        <f>IFERROR(IFERROR('Multi-Customer'!$BM$41,VLOOKUP($D97,'Required Info to Submit'!$E$20:$J$29,4,FALSE)),"")</f>
        <v/>
      </c>
      <c r="AK97" s="1251"/>
      <c r="AL97" s="1251"/>
      <c r="AM97" s="1251"/>
      <c r="AN97" s="1251"/>
      <c r="AO97" s="1251"/>
      <c r="AP97" s="1251"/>
      <c r="AQ97" s="1251"/>
      <c r="AR97" s="1251"/>
      <c r="AS97" s="1251"/>
      <c r="AT97" s="1252"/>
      <c r="AU97" s="1169" t="str">
        <f>IFERROR(IFERROR('Multi-Customer'!$BM$42,VLOOKUP($D97,'Required Info to Submit'!$E$20:$J$29,5,FALSE)),"")</f>
        <v/>
      </c>
      <c r="AV97" s="1170"/>
      <c r="AW97" s="1170"/>
      <c r="AX97" s="1171"/>
      <c r="AY97" s="1235" t="str">
        <f>IFERROR(IFERROR('Multi-Customer'!$BM$43,VLOOKUP($D97,'Required Info to Submit'!$E$20:$J$29,6,FALSE)),"")</f>
        <v/>
      </c>
      <c r="AZ97" s="1236"/>
      <c r="BA97" s="1236"/>
      <c r="BB97" s="1236"/>
      <c r="BC97" s="1237"/>
      <c r="BF97" s="144"/>
    </row>
    <row r="98" spans="2:58" x14ac:dyDescent="0.25">
      <c r="B98" s="143"/>
      <c r="C98" s="690">
        <v>4</v>
      </c>
      <c r="D98" s="1258">
        <f>'Customer Inputs'!$B$9</f>
        <v>0</v>
      </c>
      <c r="E98" s="1258"/>
      <c r="F98" s="1258"/>
      <c r="G98" s="1258"/>
      <c r="H98" s="1258"/>
      <c r="I98" s="1258"/>
      <c r="J98" s="1258"/>
      <c r="K98" s="1245" t="str">
        <f>IFERROR(IFERROR('Multi-Customer'!$BV$37,VLOOKUP($D98,'Required Info to Submit'!$E$20:$J$29,2,FALSE)),"")</f>
        <v/>
      </c>
      <c r="L98" s="1245"/>
      <c r="M98" s="1245"/>
      <c r="N98" s="1245"/>
      <c r="O98" s="1245"/>
      <c r="P98" s="1245"/>
      <c r="Q98" s="1245"/>
      <c r="R98" s="1245"/>
      <c r="S98" s="1245"/>
      <c r="T98" s="1245"/>
      <c r="U98" s="1245" t="str">
        <f>IFERROR(IFERROR('Multi-Customer'!$BV$39&amp;" "&amp;'Multi-Customer'!$BV$40,VLOOKUP($D98,'Required Info to Submit'!$E$20:$J$29,3,FALSE)),"")</f>
        <v/>
      </c>
      <c r="V98" s="1245"/>
      <c r="W98" s="1245"/>
      <c r="X98" s="1245"/>
      <c r="Y98" s="1245"/>
      <c r="Z98" s="1245"/>
      <c r="AA98" s="1245"/>
      <c r="AB98" s="1245"/>
      <c r="AC98" s="1245"/>
      <c r="AD98" s="1245"/>
      <c r="AE98" s="1245"/>
      <c r="AF98" s="1245"/>
      <c r="AG98" s="1245"/>
      <c r="AH98" s="1245"/>
      <c r="AI98" s="1245"/>
      <c r="AJ98" s="1250" t="str">
        <f>IFERROR(IFERROR('Multi-Customer'!$BV$41,VLOOKUP($D98,'Required Info to Submit'!$E$20:$J$29,4,FALSE)),"")</f>
        <v/>
      </c>
      <c r="AK98" s="1251"/>
      <c r="AL98" s="1251"/>
      <c r="AM98" s="1251"/>
      <c r="AN98" s="1251"/>
      <c r="AO98" s="1251"/>
      <c r="AP98" s="1251"/>
      <c r="AQ98" s="1251"/>
      <c r="AR98" s="1251"/>
      <c r="AS98" s="1251"/>
      <c r="AT98" s="1252"/>
      <c r="AU98" s="1169" t="str">
        <f>IFERROR(IFERROR('Multi-Customer'!$BV$42,VLOOKUP($D98,'Required Info to Submit'!$E$20:$J$29,5,FALSE)),"")</f>
        <v/>
      </c>
      <c r="AV98" s="1170"/>
      <c r="AW98" s="1170"/>
      <c r="AX98" s="1171"/>
      <c r="AY98" s="1235" t="str">
        <f>IFERROR(IFERROR('Multi-Customer'!$BV$43,VLOOKUP($D98,'Required Info to Submit'!$E$20:$J$29,6,FALSE)),"")</f>
        <v/>
      </c>
      <c r="AZ98" s="1236"/>
      <c r="BA98" s="1236"/>
      <c r="BB98" s="1236"/>
      <c r="BC98" s="1237"/>
      <c r="BF98" s="144"/>
    </row>
    <row r="99" spans="2:58" x14ac:dyDescent="0.25">
      <c r="B99" s="143"/>
      <c r="C99" s="690">
        <v>5</v>
      </c>
      <c r="D99" s="1258">
        <f>'Customer Inputs'!$B$10</f>
        <v>0</v>
      </c>
      <c r="E99" s="1258"/>
      <c r="F99" s="1258"/>
      <c r="G99" s="1258"/>
      <c r="H99" s="1258"/>
      <c r="I99" s="1258"/>
      <c r="J99" s="1258"/>
      <c r="K99" s="1245" t="str">
        <f>IFERROR(IFERROR('Multi-Customer'!$CE$37,VLOOKUP($D99,'Required Info to Submit'!$E$20:$J$29,2,FALSE)),"")</f>
        <v/>
      </c>
      <c r="L99" s="1245"/>
      <c r="M99" s="1245"/>
      <c r="N99" s="1245"/>
      <c r="O99" s="1245"/>
      <c r="P99" s="1245"/>
      <c r="Q99" s="1245"/>
      <c r="R99" s="1245"/>
      <c r="S99" s="1245"/>
      <c r="T99" s="1245"/>
      <c r="U99" s="1245" t="str">
        <f>IFERROR(IFERROR('Multi-Customer'!$CE$39&amp;" "&amp;'Multi-Customer'!$CE$40,VLOOKUP($D99,'Required Info to Submit'!$E$20:$J$29,3,FALSE)),"")</f>
        <v/>
      </c>
      <c r="V99" s="1245"/>
      <c r="W99" s="1245"/>
      <c r="X99" s="1245"/>
      <c r="Y99" s="1245"/>
      <c r="Z99" s="1245"/>
      <c r="AA99" s="1245"/>
      <c r="AB99" s="1245"/>
      <c r="AC99" s="1245"/>
      <c r="AD99" s="1245"/>
      <c r="AE99" s="1245"/>
      <c r="AF99" s="1245"/>
      <c r="AG99" s="1245"/>
      <c r="AH99" s="1245"/>
      <c r="AI99" s="1245"/>
      <c r="AJ99" s="1250" t="str">
        <f>IFERROR(IFERROR('Multi-Customer'!$CE$41,VLOOKUP($D99,'Required Info to Submit'!$E$20:$J$29,4,FALSE)),"")</f>
        <v/>
      </c>
      <c r="AK99" s="1251"/>
      <c r="AL99" s="1251"/>
      <c r="AM99" s="1251"/>
      <c r="AN99" s="1251"/>
      <c r="AO99" s="1251"/>
      <c r="AP99" s="1251"/>
      <c r="AQ99" s="1251"/>
      <c r="AR99" s="1251"/>
      <c r="AS99" s="1251"/>
      <c r="AT99" s="1252"/>
      <c r="AU99" s="1169" t="str">
        <f>IFERROR(IFERROR('Multi-Customer'!$CE$42,VLOOKUP($D99,'Required Info to Submit'!$E$20:$J$29,5,FALSE)),"")</f>
        <v/>
      </c>
      <c r="AV99" s="1170"/>
      <c r="AW99" s="1170"/>
      <c r="AX99" s="1171"/>
      <c r="AY99" s="1235" t="str">
        <f>IFERROR(IFERROR('Multi-Customer'!$CE$43,VLOOKUP($D99,'Required Info to Submit'!$E$20:$J$29,6,FALSE)),"")</f>
        <v/>
      </c>
      <c r="AZ99" s="1236"/>
      <c r="BA99" s="1236"/>
      <c r="BB99" s="1236"/>
      <c r="BC99" s="1237"/>
      <c r="BF99" s="144"/>
    </row>
    <row r="100" spans="2:58" x14ac:dyDescent="0.25">
      <c r="B100" s="143"/>
      <c r="C100" s="690">
        <v>6</v>
      </c>
      <c r="D100" s="1258">
        <f>'Customer Inputs'!$B$11</f>
        <v>0</v>
      </c>
      <c r="E100" s="1258"/>
      <c r="F100" s="1258"/>
      <c r="G100" s="1258"/>
      <c r="H100" s="1258"/>
      <c r="I100" s="1258"/>
      <c r="J100" s="1258"/>
      <c r="K100" s="1245" t="str">
        <f>IFERROR(IFERROR('Multi-Customer'!$CN$37,VLOOKUP($D100,'Required Info to Submit'!$E$20:$J$29,2,FALSE)),"")</f>
        <v/>
      </c>
      <c r="L100" s="1245"/>
      <c r="M100" s="1245"/>
      <c r="N100" s="1245"/>
      <c r="O100" s="1245"/>
      <c r="P100" s="1245"/>
      <c r="Q100" s="1245"/>
      <c r="R100" s="1245"/>
      <c r="S100" s="1245"/>
      <c r="T100" s="1245"/>
      <c r="U100" s="1245" t="str">
        <f>IFERROR(IFERROR('Multi-Customer'!$CN$39&amp;" "&amp;'Multi-Customer'!$CN$40,VLOOKUP($D100,'Required Info to Submit'!$E$20:$J$29,3,FALSE)),"")</f>
        <v/>
      </c>
      <c r="V100" s="1245"/>
      <c r="W100" s="1245"/>
      <c r="X100" s="1245"/>
      <c r="Y100" s="1245"/>
      <c r="Z100" s="1245"/>
      <c r="AA100" s="1245"/>
      <c r="AB100" s="1245"/>
      <c r="AC100" s="1245"/>
      <c r="AD100" s="1245"/>
      <c r="AE100" s="1245"/>
      <c r="AF100" s="1245"/>
      <c r="AG100" s="1245"/>
      <c r="AH100" s="1245"/>
      <c r="AI100" s="1245"/>
      <c r="AJ100" s="1250" t="str">
        <f>IFERROR(IFERROR('Multi-Customer'!$CN$41,VLOOKUP($D100,'Required Info to Submit'!$E$20:$J$29,4,FALSE)),"")</f>
        <v/>
      </c>
      <c r="AK100" s="1251"/>
      <c r="AL100" s="1251"/>
      <c r="AM100" s="1251"/>
      <c r="AN100" s="1251"/>
      <c r="AO100" s="1251"/>
      <c r="AP100" s="1251"/>
      <c r="AQ100" s="1251"/>
      <c r="AR100" s="1251"/>
      <c r="AS100" s="1251"/>
      <c r="AT100" s="1252"/>
      <c r="AU100" s="1169" t="str">
        <f>IFERROR(IFERROR('Multi-Customer'!$CN$42,VLOOKUP($D100,'Required Info to Submit'!$E$20:$J$29,5,FALSE)),"")</f>
        <v/>
      </c>
      <c r="AV100" s="1170"/>
      <c r="AW100" s="1170"/>
      <c r="AX100" s="1171"/>
      <c r="AY100" s="1235" t="str">
        <f>IFERROR(IFERROR('Multi-Customer'!$CN$43,VLOOKUP($D100,'Required Info to Submit'!$E$20:$J$29,6,FALSE)),"")</f>
        <v/>
      </c>
      <c r="AZ100" s="1236"/>
      <c r="BA100" s="1236"/>
      <c r="BB100" s="1236"/>
      <c r="BC100" s="1237"/>
      <c r="BF100" s="144"/>
    </row>
    <row r="101" spans="2:58" x14ac:dyDescent="0.25">
      <c r="B101" s="143"/>
      <c r="C101" s="690">
        <v>7</v>
      </c>
      <c r="D101" s="1258">
        <f>'Customer Inputs'!$B$12</f>
        <v>0</v>
      </c>
      <c r="E101" s="1258"/>
      <c r="F101" s="1258"/>
      <c r="G101" s="1258"/>
      <c r="H101" s="1258"/>
      <c r="I101" s="1258"/>
      <c r="J101" s="1258"/>
      <c r="K101" s="1245" t="str">
        <f>IFERROR(IFERROR('Multi-Customer'!$CW$37,VLOOKUP($D101,'Required Info to Submit'!$E$20:$J$29,2,FALSE)),"")</f>
        <v/>
      </c>
      <c r="L101" s="1245"/>
      <c r="M101" s="1245"/>
      <c r="N101" s="1245"/>
      <c r="O101" s="1245"/>
      <c r="P101" s="1245"/>
      <c r="Q101" s="1245"/>
      <c r="R101" s="1245"/>
      <c r="S101" s="1245"/>
      <c r="T101" s="1245"/>
      <c r="U101" s="1245" t="str">
        <f>IFERROR(IFERROR('Multi-Customer'!$CW$39&amp;" "&amp;'Multi-Customer'!$CW$40,VLOOKUP($D101,'Required Info to Submit'!$E$20:$J$29,3,FALSE)),"")</f>
        <v/>
      </c>
      <c r="V101" s="1245"/>
      <c r="W101" s="1245"/>
      <c r="X101" s="1245"/>
      <c r="Y101" s="1245"/>
      <c r="Z101" s="1245"/>
      <c r="AA101" s="1245"/>
      <c r="AB101" s="1245"/>
      <c r="AC101" s="1245"/>
      <c r="AD101" s="1245"/>
      <c r="AE101" s="1245"/>
      <c r="AF101" s="1245"/>
      <c r="AG101" s="1245"/>
      <c r="AH101" s="1245"/>
      <c r="AI101" s="1245"/>
      <c r="AJ101" s="1250" t="str">
        <f>IFERROR(IFERROR('Multi-Customer'!$CW$41,VLOOKUP($D101,'Required Info to Submit'!$E$20:$J$29,4,FALSE)),"")</f>
        <v/>
      </c>
      <c r="AK101" s="1251"/>
      <c r="AL101" s="1251"/>
      <c r="AM101" s="1251"/>
      <c r="AN101" s="1251"/>
      <c r="AO101" s="1251"/>
      <c r="AP101" s="1251"/>
      <c r="AQ101" s="1251"/>
      <c r="AR101" s="1251"/>
      <c r="AS101" s="1251"/>
      <c r="AT101" s="1252"/>
      <c r="AU101" s="1169" t="str">
        <f>IFERROR(IFERROR('Multi-Customer'!$CW$42,VLOOKUP($D101,'Required Info to Submit'!$E$20:$J$29,5,FALSE)),"")</f>
        <v/>
      </c>
      <c r="AV101" s="1170"/>
      <c r="AW101" s="1170"/>
      <c r="AX101" s="1171"/>
      <c r="AY101" s="1235" t="str">
        <f>IFERROR(IFERROR('Multi-Customer'!$CW$43,VLOOKUP($D101,'Required Info to Submit'!$E$20:$J$29,6,FALSE)),"")</f>
        <v/>
      </c>
      <c r="AZ101" s="1236"/>
      <c r="BA101" s="1236"/>
      <c r="BB101" s="1236"/>
      <c r="BC101" s="1237"/>
      <c r="BF101" s="144"/>
    </row>
    <row r="102" spans="2:58" x14ac:dyDescent="0.25">
      <c r="B102" s="143"/>
      <c r="C102" s="690">
        <v>8</v>
      </c>
      <c r="D102" s="1258">
        <f>'Customer Inputs'!$B$13</f>
        <v>0</v>
      </c>
      <c r="E102" s="1258"/>
      <c r="F102" s="1258"/>
      <c r="G102" s="1258"/>
      <c r="H102" s="1258"/>
      <c r="I102" s="1258"/>
      <c r="J102" s="1258"/>
      <c r="K102" s="1245" t="str">
        <f>IFERROR(IFERROR('Multi-Customer'!$DF$37,VLOOKUP($D102,'Required Info to Submit'!$E$20:$J$29,2,FALSE)),"")</f>
        <v/>
      </c>
      <c r="L102" s="1245"/>
      <c r="M102" s="1245"/>
      <c r="N102" s="1245"/>
      <c r="O102" s="1245"/>
      <c r="P102" s="1245"/>
      <c r="Q102" s="1245"/>
      <c r="R102" s="1245"/>
      <c r="S102" s="1245"/>
      <c r="T102" s="1245"/>
      <c r="U102" s="1245" t="str">
        <f>IFERROR(IFERROR('Multi-Customer'!$DF$39&amp;" "&amp;'Multi-Customer'!$DF$40,VLOOKUP($D102,'Required Info to Submit'!$E$20:$J$29,3,FALSE)),"")</f>
        <v/>
      </c>
      <c r="V102" s="1245"/>
      <c r="W102" s="1245"/>
      <c r="X102" s="1245"/>
      <c r="Y102" s="1245"/>
      <c r="Z102" s="1245"/>
      <c r="AA102" s="1245"/>
      <c r="AB102" s="1245"/>
      <c r="AC102" s="1245"/>
      <c r="AD102" s="1245"/>
      <c r="AE102" s="1245"/>
      <c r="AF102" s="1245"/>
      <c r="AG102" s="1245"/>
      <c r="AH102" s="1245"/>
      <c r="AI102" s="1245"/>
      <c r="AJ102" s="1250" t="str">
        <f>IFERROR(IFERROR('Multi-Customer'!$DF$41,VLOOKUP($D102,'Required Info to Submit'!$E$20:$J$29,4,FALSE)),"")</f>
        <v/>
      </c>
      <c r="AK102" s="1251"/>
      <c r="AL102" s="1251"/>
      <c r="AM102" s="1251"/>
      <c r="AN102" s="1251"/>
      <c r="AO102" s="1251"/>
      <c r="AP102" s="1251"/>
      <c r="AQ102" s="1251"/>
      <c r="AR102" s="1251"/>
      <c r="AS102" s="1251"/>
      <c r="AT102" s="1252"/>
      <c r="AU102" s="1169" t="str">
        <f>IFERROR(IFERROR('Multi-Customer'!$DF$42,VLOOKUP($D102,'Required Info to Submit'!$E$20:$J$29,5,FALSE)),"")</f>
        <v/>
      </c>
      <c r="AV102" s="1170"/>
      <c r="AW102" s="1170"/>
      <c r="AX102" s="1171"/>
      <c r="AY102" s="1235" t="str">
        <f>IFERROR(IFERROR('Multi-Customer'!$DF$43,VLOOKUP($D102,'Required Info to Submit'!$E$20:$J$29,6,FALSE)),"")</f>
        <v/>
      </c>
      <c r="AZ102" s="1236"/>
      <c r="BA102" s="1236"/>
      <c r="BB102" s="1236"/>
      <c r="BC102" s="1237"/>
      <c r="BF102" s="144"/>
    </row>
    <row r="103" spans="2:58" x14ac:dyDescent="0.25">
      <c r="B103" s="143"/>
      <c r="C103" s="690">
        <v>9</v>
      </c>
      <c r="D103" s="1258">
        <f>'Customer Inputs'!$B$14</f>
        <v>0</v>
      </c>
      <c r="E103" s="1258"/>
      <c r="F103" s="1258"/>
      <c r="G103" s="1258"/>
      <c r="H103" s="1258"/>
      <c r="I103" s="1258"/>
      <c r="J103" s="1258"/>
      <c r="K103" s="1245" t="str">
        <f>IFERROR(IFERROR('Multi-Customer'!$DO$37,VLOOKUP($D103,'Required Info to Submit'!$E$20:$J$29,2,FALSE)),"")</f>
        <v/>
      </c>
      <c r="L103" s="1245"/>
      <c r="M103" s="1245"/>
      <c r="N103" s="1245"/>
      <c r="O103" s="1245"/>
      <c r="P103" s="1245"/>
      <c r="Q103" s="1245"/>
      <c r="R103" s="1245"/>
      <c r="S103" s="1245"/>
      <c r="T103" s="1245"/>
      <c r="U103" s="1245" t="str">
        <f>IFERROR(IFERROR('Multi-Customer'!$DO$39&amp;" "&amp;'Multi-Customer'!$DO$40,VLOOKUP($D103,'Required Info to Submit'!$E$20:$J$29,3,FALSE)),"")</f>
        <v/>
      </c>
      <c r="V103" s="1245"/>
      <c r="W103" s="1245"/>
      <c r="X103" s="1245"/>
      <c r="Y103" s="1245"/>
      <c r="Z103" s="1245"/>
      <c r="AA103" s="1245"/>
      <c r="AB103" s="1245"/>
      <c r="AC103" s="1245"/>
      <c r="AD103" s="1245"/>
      <c r="AE103" s="1245"/>
      <c r="AF103" s="1245"/>
      <c r="AG103" s="1245"/>
      <c r="AH103" s="1245"/>
      <c r="AI103" s="1245"/>
      <c r="AJ103" s="1250" t="str">
        <f>IFERROR(IFERROR('Multi-Customer'!$DO$41,VLOOKUP($D103,'Required Info to Submit'!$E$20:$J$29,4,FALSE)),"")</f>
        <v/>
      </c>
      <c r="AK103" s="1251"/>
      <c r="AL103" s="1251"/>
      <c r="AM103" s="1251"/>
      <c r="AN103" s="1251"/>
      <c r="AO103" s="1251"/>
      <c r="AP103" s="1251"/>
      <c r="AQ103" s="1251"/>
      <c r="AR103" s="1251"/>
      <c r="AS103" s="1251"/>
      <c r="AT103" s="1252"/>
      <c r="AU103" s="1169" t="str">
        <f>IFERROR(IFERROR('Multi-Customer'!$DO$42,VLOOKUP($D103,'Required Info to Submit'!$E$20:$J$29,5,FALSE)),"")</f>
        <v/>
      </c>
      <c r="AV103" s="1170"/>
      <c r="AW103" s="1170"/>
      <c r="AX103" s="1171"/>
      <c r="AY103" s="1235" t="str">
        <f>IFERROR(IFERROR('Multi-Customer'!$DO$43,VLOOKUP($D103,'Required Info to Submit'!$E$20:$J$29,6,FALSE)),"")</f>
        <v/>
      </c>
      <c r="AZ103" s="1236"/>
      <c r="BA103" s="1236"/>
      <c r="BB103" s="1236"/>
      <c r="BC103" s="1237"/>
      <c r="BF103" s="144"/>
    </row>
    <row r="104" spans="2:58" ht="15.75" thickBot="1" x14ac:dyDescent="0.3">
      <c r="B104" s="143"/>
      <c r="C104" s="691">
        <v>10</v>
      </c>
      <c r="D104" s="1257">
        <f>'Customer Inputs'!$B$15</f>
        <v>0</v>
      </c>
      <c r="E104" s="1257"/>
      <c r="F104" s="1257"/>
      <c r="G104" s="1257"/>
      <c r="H104" s="1257"/>
      <c r="I104" s="1257"/>
      <c r="J104" s="1257"/>
      <c r="K104" s="1256" t="str">
        <f>IFERROR(IFERROR('Multi-Customer'!$DX$37,VLOOKUP($D104,'Required Info to Submit'!$E$20:$J$29,2,FALSE)),"")</f>
        <v/>
      </c>
      <c r="L104" s="1256"/>
      <c r="M104" s="1256"/>
      <c r="N104" s="1256"/>
      <c r="O104" s="1256"/>
      <c r="P104" s="1256"/>
      <c r="Q104" s="1256"/>
      <c r="R104" s="1256"/>
      <c r="S104" s="1256"/>
      <c r="T104" s="1256"/>
      <c r="U104" s="1256" t="str">
        <f>IFERROR(IFERROR('Multi-Customer'!$DX$39&amp;" "&amp;'Multi-Customer'!$DX$40,VLOOKUP($D104,'Required Info to Submit'!$E$20:$J$29,3,FALSE)),"")</f>
        <v/>
      </c>
      <c r="V104" s="1256"/>
      <c r="W104" s="1256"/>
      <c r="X104" s="1256"/>
      <c r="Y104" s="1256"/>
      <c r="Z104" s="1256"/>
      <c r="AA104" s="1256"/>
      <c r="AB104" s="1256"/>
      <c r="AC104" s="1256"/>
      <c r="AD104" s="1256"/>
      <c r="AE104" s="1256"/>
      <c r="AF104" s="1256"/>
      <c r="AG104" s="1256"/>
      <c r="AH104" s="1256"/>
      <c r="AI104" s="1256"/>
      <c r="AJ104" s="1247" t="str">
        <f>IFERROR(IFERROR('Multi-Customer'!$DX$41,VLOOKUP($D104,'Required Info to Submit'!$E$20:$J$29,4,FALSE)),"")</f>
        <v/>
      </c>
      <c r="AK104" s="1248"/>
      <c r="AL104" s="1248"/>
      <c r="AM104" s="1248"/>
      <c r="AN104" s="1248"/>
      <c r="AO104" s="1248"/>
      <c r="AP104" s="1248"/>
      <c r="AQ104" s="1248"/>
      <c r="AR104" s="1248"/>
      <c r="AS104" s="1248"/>
      <c r="AT104" s="1249"/>
      <c r="AU104" s="1242" t="str">
        <f>IFERROR(IFERROR('Multi-Customer'!$DX$42,VLOOKUP($D104,'Required Info to Submit'!$E$20:$J$29,5,FALSE)),"")</f>
        <v/>
      </c>
      <c r="AV104" s="1243"/>
      <c r="AW104" s="1243"/>
      <c r="AX104" s="1244"/>
      <c r="AY104" s="1232" t="str">
        <f>IFERROR(IFERROR('Multi-Customer'!$DX$43,VLOOKUP($D104,'Required Info to Submit'!$E$20:$J$29,6,FALSE)),"")</f>
        <v/>
      </c>
      <c r="AZ104" s="1233"/>
      <c r="BA104" s="1233"/>
      <c r="BB104" s="1233"/>
      <c r="BC104" s="1234"/>
      <c r="BF104" s="144"/>
    </row>
    <row r="105" spans="2:58" x14ac:dyDescent="0.25">
      <c r="B105" s="143"/>
      <c r="BF105" s="144"/>
    </row>
    <row r="106" spans="2:58" x14ac:dyDescent="0.25">
      <c r="B106" s="143"/>
      <c r="BF106" s="144"/>
    </row>
    <row r="107" spans="2:58" ht="18.75" x14ac:dyDescent="0.3">
      <c r="B107" s="1223" t="s">
        <v>1062</v>
      </c>
      <c r="C107" s="1224"/>
      <c r="D107" s="1224"/>
      <c r="E107" s="1224"/>
      <c r="F107" s="1224"/>
      <c r="G107" s="1224"/>
      <c r="H107" s="1224"/>
      <c r="I107" s="1224"/>
      <c r="J107" s="1224"/>
      <c r="K107" s="1224"/>
      <c r="L107" s="1224"/>
      <c r="M107" s="1224"/>
      <c r="N107" s="1224"/>
      <c r="O107" s="1224"/>
      <c r="P107" s="1224"/>
      <c r="Q107" s="1224"/>
      <c r="R107" s="1224"/>
      <c r="S107" s="1224"/>
      <c r="T107" s="1224"/>
      <c r="U107" s="1224"/>
      <c r="V107" s="1224"/>
      <c r="W107" s="1224"/>
      <c r="X107" s="1224"/>
      <c r="Y107" s="1224"/>
      <c r="Z107" s="1224"/>
      <c r="AA107" s="1224"/>
      <c r="AB107" s="1224"/>
      <c r="AC107" s="1224"/>
      <c r="AD107" s="1224"/>
      <c r="AE107" s="1224"/>
      <c r="AF107" s="1224"/>
      <c r="AG107" s="1224"/>
      <c r="AH107" s="1224"/>
      <c r="AI107" s="1224"/>
      <c r="AJ107" s="1224"/>
      <c r="AK107" s="1224"/>
      <c r="AL107" s="1224"/>
      <c r="AM107" s="1224"/>
      <c r="AN107" s="1224"/>
      <c r="AO107" s="1224"/>
      <c r="AP107" s="1224"/>
      <c r="AQ107" s="1224"/>
      <c r="AR107" s="1224"/>
      <c r="AS107" s="1224"/>
      <c r="AT107" s="1224"/>
      <c r="AU107" s="1224"/>
      <c r="AV107" s="1224"/>
      <c r="AW107" s="1224"/>
      <c r="AX107" s="1224"/>
      <c r="AY107" s="1224"/>
      <c r="AZ107" s="1224"/>
      <c r="BA107" s="1224"/>
      <c r="BB107" s="1224"/>
      <c r="BC107" s="1224"/>
      <c r="BD107" s="1224"/>
      <c r="BE107" s="1224"/>
      <c r="BF107" s="1225"/>
    </row>
    <row r="108" spans="2:58" ht="15.75" thickBot="1" x14ac:dyDescent="0.3">
      <c r="B108" s="143"/>
      <c r="BF108" s="144"/>
    </row>
    <row r="109" spans="2:58" ht="29.45" customHeight="1" thickBot="1" x14ac:dyDescent="0.3">
      <c r="B109" s="740" t="s">
        <v>1055</v>
      </c>
      <c r="D109" s="272"/>
      <c r="E109" s="272"/>
      <c r="F109" s="272"/>
      <c r="G109" s="272"/>
      <c r="H109" s="272"/>
      <c r="I109" s="272"/>
      <c r="J109" s="272"/>
      <c r="K109" s="272"/>
      <c r="L109" s="272"/>
      <c r="M109" s="272"/>
      <c r="N109" s="272"/>
      <c r="O109" s="272"/>
      <c r="P109" s="272"/>
      <c r="Q109" s="272"/>
      <c r="R109" s="272"/>
      <c r="S109" s="272"/>
      <c r="T109" s="272"/>
      <c r="U109" s="1311" t="s">
        <v>1063</v>
      </c>
      <c r="V109" s="1312"/>
      <c r="W109" s="1312"/>
      <c r="X109" s="1312"/>
      <c r="Y109" s="1312"/>
      <c r="Z109" s="1312" t="s">
        <v>1056</v>
      </c>
      <c r="AA109" s="1312"/>
      <c r="AB109" s="1312"/>
      <c r="AC109" s="1312"/>
      <c r="AD109" s="1312"/>
      <c r="AE109" s="1312"/>
      <c r="AF109" s="1312" t="s">
        <v>1057</v>
      </c>
      <c r="AG109" s="1312"/>
      <c r="AH109" s="1312"/>
      <c r="AI109" s="1312"/>
      <c r="AJ109" s="1312"/>
      <c r="AK109" s="1312"/>
      <c r="AL109" s="1312"/>
      <c r="AM109" s="1312" t="s">
        <v>1060</v>
      </c>
      <c r="AN109" s="1312"/>
      <c r="AO109" s="1312"/>
      <c r="AP109" s="1312"/>
      <c r="AQ109" s="1312"/>
      <c r="AR109" s="1312"/>
      <c r="AS109" s="1338"/>
      <c r="AT109" s="272"/>
      <c r="AU109" s="272"/>
      <c r="AV109" s="272"/>
      <c r="AW109" s="272"/>
      <c r="AX109" s="272"/>
      <c r="AY109" s="272"/>
      <c r="AZ109" s="272"/>
      <c r="BA109" s="272"/>
      <c r="BB109" s="272"/>
      <c r="BC109" s="272"/>
      <c r="BD109" s="272"/>
      <c r="BE109" s="272"/>
      <c r="BF109" s="695"/>
    </row>
    <row r="110" spans="2:58" x14ac:dyDescent="0.25">
      <c r="B110" s="143"/>
      <c r="D110" s="1307" t="s">
        <v>99</v>
      </c>
      <c r="E110" s="1246"/>
      <c r="F110" s="1246"/>
      <c r="G110" s="1246"/>
      <c r="H110" s="1246"/>
      <c r="I110" s="1246"/>
      <c r="J110" s="1246"/>
      <c r="K110" s="1246"/>
      <c r="L110" s="1246"/>
      <c r="M110" s="1246"/>
      <c r="N110" s="1246"/>
      <c r="O110" s="1246"/>
      <c r="P110" s="1246"/>
      <c r="Q110" s="1246"/>
      <c r="R110" s="1246"/>
      <c r="S110" s="1246"/>
      <c r="T110" s="1308"/>
      <c r="U110" s="1316" t="str">
        <f>IF('PIM Model'!$B$10=0,"",'PIM Model'!$B$10)</f>
        <v/>
      </c>
      <c r="V110" s="1313"/>
      <c r="W110" s="1313"/>
      <c r="X110" s="1313"/>
      <c r="Y110" s="1313"/>
      <c r="Z110" s="1313" t="str">
        <f>'PIM Model'!$AF$10</f>
        <v/>
      </c>
      <c r="AA110" s="1313"/>
      <c r="AB110" s="1313"/>
      <c r="AC110" s="1313"/>
      <c r="AD110" s="1313"/>
      <c r="AE110" s="1313"/>
      <c r="AF110" s="1325" t="str">
        <f>'PIM Model'!$AG$10</f>
        <v/>
      </c>
      <c r="AG110" s="1326"/>
      <c r="AH110" s="1326"/>
      <c r="AI110" s="1326"/>
      <c r="AJ110" s="1326"/>
      <c r="AK110" s="1326"/>
      <c r="AL110" s="1327"/>
      <c r="AM110" s="1325" t="str">
        <f>'PIM Model'!$AH$10</f>
        <v/>
      </c>
      <c r="AN110" s="1326"/>
      <c r="AO110" s="1326"/>
      <c r="AP110" s="1326"/>
      <c r="AQ110" s="1326"/>
      <c r="AR110" s="1326"/>
      <c r="AS110" s="1339"/>
      <c r="BF110" s="144"/>
    </row>
    <row r="111" spans="2:58" x14ac:dyDescent="0.25">
      <c r="B111" s="143"/>
      <c r="D111" s="1309" t="s">
        <v>529</v>
      </c>
      <c r="E111" s="1245"/>
      <c r="F111" s="1245"/>
      <c r="G111" s="1245"/>
      <c r="H111" s="1245"/>
      <c r="I111" s="1245"/>
      <c r="J111" s="1245"/>
      <c r="K111" s="1245"/>
      <c r="L111" s="1245"/>
      <c r="M111" s="1245"/>
      <c r="N111" s="1245"/>
      <c r="O111" s="1245"/>
      <c r="P111" s="1245"/>
      <c r="Q111" s="1245"/>
      <c r="R111" s="1245"/>
      <c r="S111" s="1245"/>
      <c r="T111" s="1310"/>
      <c r="U111" s="1317" t="str">
        <f>IF('PIM Model'!$B$11=0,"",'PIM Model'!$B$11)</f>
        <v/>
      </c>
      <c r="V111" s="1168"/>
      <c r="W111" s="1168"/>
      <c r="X111" s="1168"/>
      <c r="Y111" s="1168"/>
      <c r="Z111" s="1168" t="str">
        <f>'PIM Model'!$AF$11</f>
        <v/>
      </c>
      <c r="AA111" s="1168"/>
      <c r="AB111" s="1168"/>
      <c r="AC111" s="1168"/>
      <c r="AD111" s="1168"/>
      <c r="AE111" s="1168"/>
      <c r="AF111" s="1235" t="str">
        <f>'PIM Model'!$AG$11</f>
        <v/>
      </c>
      <c r="AG111" s="1236"/>
      <c r="AH111" s="1236"/>
      <c r="AI111" s="1236"/>
      <c r="AJ111" s="1236"/>
      <c r="AK111" s="1236"/>
      <c r="AL111" s="1321"/>
      <c r="AM111" s="1235" t="str">
        <f>'PIM Model'!$AH$11</f>
        <v/>
      </c>
      <c r="AN111" s="1236"/>
      <c r="AO111" s="1236"/>
      <c r="AP111" s="1236"/>
      <c r="AQ111" s="1236"/>
      <c r="AR111" s="1236"/>
      <c r="AS111" s="1237"/>
      <c r="BF111" s="144"/>
    </row>
    <row r="112" spans="2:58" x14ac:dyDescent="0.25">
      <c r="B112" s="143"/>
      <c r="D112" s="1309" t="s">
        <v>530</v>
      </c>
      <c r="E112" s="1245"/>
      <c r="F112" s="1245"/>
      <c r="G112" s="1245"/>
      <c r="H112" s="1245"/>
      <c r="I112" s="1245"/>
      <c r="J112" s="1245"/>
      <c r="K112" s="1245"/>
      <c r="L112" s="1245"/>
      <c r="M112" s="1245"/>
      <c r="N112" s="1245"/>
      <c r="O112" s="1245"/>
      <c r="P112" s="1245"/>
      <c r="Q112" s="1245"/>
      <c r="R112" s="1245"/>
      <c r="S112" s="1245"/>
      <c r="T112" s="1310"/>
      <c r="U112" s="1317" t="str">
        <f>IF('PIM Model'!$B$12=0,"",'PIM Model'!$B$12)</f>
        <v/>
      </c>
      <c r="V112" s="1168"/>
      <c r="W112" s="1168"/>
      <c r="X112" s="1168"/>
      <c r="Y112" s="1168"/>
      <c r="Z112" s="1168" t="str">
        <f>'PIM Model'!$AF$12</f>
        <v/>
      </c>
      <c r="AA112" s="1168"/>
      <c r="AB112" s="1168"/>
      <c r="AC112" s="1168"/>
      <c r="AD112" s="1168"/>
      <c r="AE112" s="1168"/>
      <c r="AF112" s="1235" t="str">
        <f>'PIM Model'!$AG$12</f>
        <v/>
      </c>
      <c r="AG112" s="1236"/>
      <c r="AH112" s="1236"/>
      <c r="AI112" s="1236"/>
      <c r="AJ112" s="1236"/>
      <c r="AK112" s="1236"/>
      <c r="AL112" s="1321"/>
      <c r="AM112" s="1235" t="str">
        <f>'PIM Model'!$AH$12</f>
        <v/>
      </c>
      <c r="AN112" s="1236"/>
      <c r="AO112" s="1236"/>
      <c r="AP112" s="1236"/>
      <c r="AQ112" s="1236"/>
      <c r="AR112" s="1236"/>
      <c r="AS112" s="1237"/>
      <c r="BF112" s="144"/>
    </row>
    <row r="113" spans="2:58" x14ac:dyDescent="0.25">
      <c r="B113" s="143"/>
      <c r="D113" s="1309" t="s">
        <v>102</v>
      </c>
      <c r="E113" s="1245"/>
      <c r="F113" s="1245"/>
      <c r="G113" s="1245"/>
      <c r="H113" s="1245"/>
      <c r="I113" s="1245"/>
      <c r="J113" s="1245"/>
      <c r="K113" s="1245"/>
      <c r="L113" s="1245"/>
      <c r="M113" s="1245"/>
      <c r="N113" s="1245"/>
      <c r="O113" s="1245"/>
      <c r="P113" s="1245"/>
      <c r="Q113" s="1245"/>
      <c r="R113" s="1245"/>
      <c r="S113" s="1245"/>
      <c r="T113" s="1310"/>
      <c r="U113" s="1317" t="str">
        <f>IF('PIM Model'!$B$13=0,"",'PIM Model'!$B$13)</f>
        <v/>
      </c>
      <c r="V113" s="1168"/>
      <c r="W113" s="1168"/>
      <c r="X113" s="1168"/>
      <c r="Y113" s="1168"/>
      <c r="Z113" s="1168" t="str">
        <f>'PIM Model'!$AF$13</f>
        <v/>
      </c>
      <c r="AA113" s="1168"/>
      <c r="AB113" s="1168"/>
      <c r="AC113" s="1168"/>
      <c r="AD113" s="1168"/>
      <c r="AE113" s="1168"/>
      <c r="AF113" s="1235" t="str">
        <f>'PIM Model'!$AG$13</f>
        <v/>
      </c>
      <c r="AG113" s="1236"/>
      <c r="AH113" s="1236"/>
      <c r="AI113" s="1236"/>
      <c r="AJ113" s="1236"/>
      <c r="AK113" s="1236"/>
      <c r="AL113" s="1321"/>
      <c r="AM113" s="1235" t="str">
        <f>'PIM Model'!$AH$13</f>
        <v/>
      </c>
      <c r="AN113" s="1236"/>
      <c r="AO113" s="1236"/>
      <c r="AP113" s="1236"/>
      <c r="AQ113" s="1236"/>
      <c r="AR113" s="1236"/>
      <c r="AS113" s="1237"/>
      <c r="BF113" s="144"/>
    </row>
    <row r="114" spans="2:58" x14ac:dyDescent="0.25">
      <c r="B114" s="143"/>
      <c r="D114" s="1309" t="s">
        <v>100</v>
      </c>
      <c r="E114" s="1245"/>
      <c r="F114" s="1245"/>
      <c r="G114" s="1245"/>
      <c r="H114" s="1245"/>
      <c r="I114" s="1245"/>
      <c r="J114" s="1245"/>
      <c r="K114" s="1245"/>
      <c r="L114" s="1245"/>
      <c r="M114" s="1245"/>
      <c r="N114" s="1245"/>
      <c r="O114" s="1245"/>
      <c r="P114" s="1245"/>
      <c r="Q114" s="1245"/>
      <c r="R114" s="1245"/>
      <c r="S114" s="1245"/>
      <c r="T114" s="1310"/>
      <c r="U114" s="1317" t="str">
        <f>IF('PIM Model'!$B$14=0,"",'PIM Model'!$B$14)</f>
        <v/>
      </c>
      <c r="V114" s="1168"/>
      <c r="W114" s="1168"/>
      <c r="X114" s="1168"/>
      <c r="Y114" s="1168"/>
      <c r="Z114" s="1168" t="str">
        <f>'PIM Model'!$AF$14</f>
        <v/>
      </c>
      <c r="AA114" s="1168"/>
      <c r="AB114" s="1168"/>
      <c r="AC114" s="1168"/>
      <c r="AD114" s="1168"/>
      <c r="AE114" s="1168"/>
      <c r="AF114" s="1235" t="str">
        <f>'PIM Model'!$AG$14</f>
        <v/>
      </c>
      <c r="AG114" s="1236"/>
      <c r="AH114" s="1236"/>
      <c r="AI114" s="1236"/>
      <c r="AJ114" s="1236"/>
      <c r="AK114" s="1236"/>
      <c r="AL114" s="1321"/>
      <c r="AM114" s="1235" t="str">
        <f>'PIM Model'!$AH$14</f>
        <v/>
      </c>
      <c r="AN114" s="1236"/>
      <c r="AO114" s="1236"/>
      <c r="AP114" s="1236"/>
      <c r="AQ114" s="1236"/>
      <c r="AR114" s="1236"/>
      <c r="AS114" s="1237"/>
      <c r="BF114" s="144"/>
    </row>
    <row r="115" spans="2:58" x14ac:dyDescent="0.25">
      <c r="B115" s="143"/>
      <c r="D115" s="1309" t="s">
        <v>104</v>
      </c>
      <c r="E115" s="1245"/>
      <c r="F115" s="1245"/>
      <c r="G115" s="1245"/>
      <c r="H115" s="1245"/>
      <c r="I115" s="1245"/>
      <c r="J115" s="1245"/>
      <c r="K115" s="1245"/>
      <c r="L115" s="1245"/>
      <c r="M115" s="1245"/>
      <c r="N115" s="1245"/>
      <c r="O115" s="1245"/>
      <c r="P115" s="1245"/>
      <c r="Q115" s="1245"/>
      <c r="R115" s="1245"/>
      <c r="S115" s="1245"/>
      <c r="T115" s="1310"/>
      <c r="U115" s="1317" t="str">
        <f>IF('PIM Model'!$B$15=0,"",'PIM Model'!$B$15)</f>
        <v/>
      </c>
      <c r="V115" s="1168"/>
      <c r="W115" s="1168"/>
      <c r="X115" s="1168"/>
      <c r="Y115" s="1168"/>
      <c r="Z115" s="1168" t="str">
        <f>'PIM Model'!$AF$15</f>
        <v/>
      </c>
      <c r="AA115" s="1168"/>
      <c r="AB115" s="1168"/>
      <c r="AC115" s="1168"/>
      <c r="AD115" s="1168"/>
      <c r="AE115" s="1168"/>
      <c r="AF115" s="1235" t="str">
        <f>'PIM Model'!$AG$15</f>
        <v/>
      </c>
      <c r="AG115" s="1236"/>
      <c r="AH115" s="1236"/>
      <c r="AI115" s="1236"/>
      <c r="AJ115" s="1236"/>
      <c r="AK115" s="1236"/>
      <c r="AL115" s="1321"/>
      <c r="AM115" s="1235" t="str">
        <f>'PIM Model'!$AH$15</f>
        <v/>
      </c>
      <c r="AN115" s="1236"/>
      <c r="AO115" s="1236"/>
      <c r="AP115" s="1236"/>
      <c r="AQ115" s="1236"/>
      <c r="AR115" s="1236"/>
      <c r="AS115" s="1237"/>
      <c r="BF115" s="144"/>
    </row>
    <row r="116" spans="2:58" x14ac:dyDescent="0.25">
      <c r="B116" s="143"/>
      <c r="D116" s="1309" t="s">
        <v>98</v>
      </c>
      <c r="E116" s="1245"/>
      <c r="F116" s="1245"/>
      <c r="G116" s="1245"/>
      <c r="H116" s="1245"/>
      <c r="I116" s="1245"/>
      <c r="J116" s="1245"/>
      <c r="K116" s="1245"/>
      <c r="L116" s="1245"/>
      <c r="M116" s="1245"/>
      <c r="N116" s="1245"/>
      <c r="O116" s="1245"/>
      <c r="P116" s="1245"/>
      <c r="Q116" s="1245"/>
      <c r="R116" s="1245"/>
      <c r="S116" s="1245"/>
      <c r="T116" s="1310"/>
      <c r="U116" s="1317" t="str">
        <f>IF('PIM Model'!$B$16=0,"",'PIM Model'!$B$16)</f>
        <v/>
      </c>
      <c r="V116" s="1168"/>
      <c r="W116" s="1168"/>
      <c r="X116" s="1168"/>
      <c r="Y116" s="1168"/>
      <c r="Z116" s="1168" t="str">
        <f>'PIM Model'!$AF$16</f>
        <v/>
      </c>
      <c r="AA116" s="1168"/>
      <c r="AB116" s="1168"/>
      <c r="AC116" s="1168"/>
      <c r="AD116" s="1168"/>
      <c r="AE116" s="1168"/>
      <c r="AF116" s="1235" t="str">
        <f>'PIM Model'!$AG$16</f>
        <v/>
      </c>
      <c r="AG116" s="1236"/>
      <c r="AH116" s="1236"/>
      <c r="AI116" s="1236"/>
      <c r="AJ116" s="1236"/>
      <c r="AK116" s="1236"/>
      <c r="AL116" s="1321"/>
      <c r="AM116" s="1235" t="str">
        <f>'PIM Model'!$AH$16</f>
        <v/>
      </c>
      <c r="AN116" s="1236"/>
      <c r="AO116" s="1236"/>
      <c r="AP116" s="1236"/>
      <c r="AQ116" s="1236"/>
      <c r="AR116" s="1236"/>
      <c r="AS116" s="1237"/>
      <c r="BF116" s="144"/>
    </row>
    <row r="117" spans="2:58" x14ac:dyDescent="0.25">
      <c r="B117" s="143"/>
      <c r="D117" s="1309" t="s">
        <v>95</v>
      </c>
      <c r="E117" s="1245"/>
      <c r="F117" s="1245"/>
      <c r="G117" s="1245"/>
      <c r="H117" s="1245"/>
      <c r="I117" s="1245"/>
      <c r="J117" s="1245"/>
      <c r="K117" s="1245"/>
      <c r="L117" s="1245"/>
      <c r="M117" s="1245"/>
      <c r="N117" s="1245"/>
      <c r="O117" s="1245"/>
      <c r="P117" s="1245"/>
      <c r="Q117" s="1245"/>
      <c r="R117" s="1245"/>
      <c r="S117" s="1245"/>
      <c r="T117" s="1310"/>
      <c r="U117" s="1317" t="str">
        <f>IF('PIM Model'!$B$17=0,"",'PIM Model'!$B$17)</f>
        <v/>
      </c>
      <c r="V117" s="1168"/>
      <c r="W117" s="1168"/>
      <c r="X117" s="1168"/>
      <c r="Y117" s="1168"/>
      <c r="Z117" s="1168" t="str">
        <f>'PIM Model'!$AF$17</f>
        <v/>
      </c>
      <c r="AA117" s="1168"/>
      <c r="AB117" s="1168"/>
      <c r="AC117" s="1168"/>
      <c r="AD117" s="1168"/>
      <c r="AE117" s="1168"/>
      <c r="AF117" s="1235" t="str">
        <f>'PIM Model'!$AG$17</f>
        <v/>
      </c>
      <c r="AG117" s="1236"/>
      <c r="AH117" s="1236"/>
      <c r="AI117" s="1236"/>
      <c r="AJ117" s="1236"/>
      <c r="AK117" s="1236"/>
      <c r="AL117" s="1321"/>
      <c r="AM117" s="1235" t="str">
        <f>'PIM Model'!$AH$17</f>
        <v/>
      </c>
      <c r="AN117" s="1236"/>
      <c r="AO117" s="1236"/>
      <c r="AP117" s="1236"/>
      <c r="AQ117" s="1236"/>
      <c r="AR117" s="1236"/>
      <c r="AS117" s="1237"/>
      <c r="BF117" s="144"/>
    </row>
    <row r="118" spans="2:58" x14ac:dyDescent="0.25">
      <c r="B118" s="143"/>
      <c r="D118" s="1309" t="s">
        <v>96</v>
      </c>
      <c r="E118" s="1245"/>
      <c r="F118" s="1245"/>
      <c r="G118" s="1245"/>
      <c r="H118" s="1245"/>
      <c r="I118" s="1245"/>
      <c r="J118" s="1245"/>
      <c r="K118" s="1245"/>
      <c r="L118" s="1245"/>
      <c r="M118" s="1245"/>
      <c r="N118" s="1245"/>
      <c r="O118" s="1245"/>
      <c r="P118" s="1245"/>
      <c r="Q118" s="1245"/>
      <c r="R118" s="1245"/>
      <c r="S118" s="1245"/>
      <c r="T118" s="1310"/>
      <c r="U118" s="1317" t="str">
        <f>IF('PIM Model'!$B$18=0,"",'PIM Model'!$B$18)</f>
        <v/>
      </c>
      <c r="V118" s="1168"/>
      <c r="W118" s="1168"/>
      <c r="X118" s="1168"/>
      <c r="Y118" s="1168"/>
      <c r="Z118" s="1168" t="str">
        <f>'PIM Model'!$AF$18</f>
        <v/>
      </c>
      <c r="AA118" s="1168"/>
      <c r="AB118" s="1168"/>
      <c r="AC118" s="1168"/>
      <c r="AD118" s="1168"/>
      <c r="AE118" s="1168"/>
      <c r="AF118" s="1235" t="str">
        <f>'PIM Model'!$AG$18</f>
        <v/>
      </c>
      <c r="AG118" s="1236"/>
      <c r="AH118" s="1236"/>
      <c r="AI118" s="1236"/>
      <c r="AJ118" s="1236"/>
      <c r="AK118" s="1236"/>
      <c r="AL118" s="1321"/>
      <c r="AM118" s="1235" t="str">
        <f>'PIM Model'!$AH$18</f>
        <v/>
      </c>
      <c r="AN118" s="1236"/>
      <c r="AO118" s="1236"/>
      <c r="AP118" s="1236"/>
      <c r="AQ118" s="1236"/>
      <c r="AR118" s="1236"/>
      <c r="AS118" s="1237"/>
      <c r="BF118" s="144"/>
    </row>
    <row r="119" spans="2:58" x14ac:dyDescent="0.25">
      <c r="B119" s="143"/>
      <c r="D119" s="1309" t="s">
        <v>101</v>
      </c>
      <c r="E119" s="1245"/>
      <c r="F119" s="1245"/>
      <c r="G119" s="1245"/>
      <c r="H119" s="1245"/>
      <c r="I119" s="1245"/>
      <c r="J119" s="1245"/>
      <c r="K119" s="1245"/>
      <c r="L119" s="1245"/>
      <c r="M119" s="1245"/>
      <c r="N119" s="1245"/>
      <c r="O119" s="1245"/>
      <c r="P119" s="1245"/>
      <c r="Q119" s="1245"/>
      <c r="R119" s="1245"/>
      <c r="S119" s="1245"/>
      <c r="T119" s="1310"/>
      <c r="U119" s="1317" t="str">
        <f>IF('PIM Model'!$B$19=0,"",'PIM Model'!$B$19)</f>
        <v/>
      </c>
      <c r="V119" s="1168"/>
      <c r="W119" s="1168"/>
      <c r="X119" s="1168"/>
      <c r="Y119" s="1168"/>
      <c r="Z119" s="1168" t="str">
        <f>'PIM Model'!$AF$19</f>
        <v/>
      </c>
      <c r="AA119" s="1168"/>
      <c r="AB119" s="1168"/>
      <c r="AC119" s="1168"/>
      <c r="AD119" s="1168"/>
      <c r="AE119" s="1168"/>
      <c r="AF119" s="1235" t="str">
        <f>'PIM Model'!$AG$19</f>
        <v/>
      </c>
      <c r="AG119" s="1236"/>
      <c r="AH119" s="1236"/>
      <c r="AI119" s="1236"/>
      <c r="AJ119" s="1236"/>
      <c r="AK119" s="1236"/>
      <c r="AL119" s="1321"/>
      <c r="AM119" s="1235" t="str">
        <f>'PIM Model'!$AH$19</f>
        <v/>
      </c>
      <c r="AN119" s="1236"/>
      <c r="AO119" s="1236"/>
      <c r="AP119" s="1236"/>
      <c r="AQ119" s="1236"/>
      <c r="AR119" s="1236"/>
      <c r="AS119" s="1237"/>
      <c r="BF119" s="144"/>
    </row>
    <row r="120" spans="2:58" x14ac:dyDescent="0.25">
      <c r="B120" s="143"/>
      <c r="D120" s="1309" t="s">
        <v>97</v>
      </c>
      <c r="E120" s="1245"/>
      <c r="F120" s="1245"/>
      <c r="G120" s="1245"/>
      <c r="H120" s="1245"/>
      <c r="I120" s="1245"/>
      <c r="J120" s="1245"/>
      <c r="K120" s="1245"/>
      <c r="L120" s="1245"/>
      <c r="M120" s="1245"/>
      <c r="N120" s="1245"/>
      <c r="O120" s="1245"/>
      <c r="P120" s="1245"/>
      <c r="Q120" s="1245"/>
      <c r="R120" s="1245"/>
      <c r="S120" s="1245"/>
      <c r="T120" s="1310"/>
      <c r="U120" s="1317" t="str">
        <f>IF('PIM Model'!$B$20=0,"",'PIM Model'!$B$20)</f>
        <v/>
      </c>
      <c r="V120" s="1168"/>
      <c r="W120" s="1168"/>
      <c r="X120" s="1168"/>
      <c r="Y120" s="1168"/>
      <c r="Z120" s="1168" t="str">
        <f>'PIM Model'!$AF$20</f>
        <v/>
      </c>
      <c r="AA120" s="1168"/>
      <c r="AB120" s="1168"/>
      <c r="AC120" s="1168"/>
      <c r="AD120" s="1168"/>
      <c r="AE120" s="1168"/>
      <c r="AF120" s="1235" t="str">
        <f>'PIM Model'!$AG$20</f>
        <v/>
      </c>
      <c r="AG120" s="1236"/>
      <c r="AH120" s="1236"/>
      <c r="AI120" s="1236"/>
      <c r="AJ120" s="1236"/>
      <c r="AK120" s="1236"/>
      <c r="AL120" s="1321"/>
      <c r="AM120" s="1235" t="str">
        <f>'PIM Model'!$AH$20</f>
        <v/>
      </c>
      <c r="AN120" s="1236"/>
      <c r="AO120" s="1236"/>
      <c r="AP120" s="1236"/>
      <c r="AQ120" s="1236"/>
      <c r="AR120" s="1236"/>
      <c r="AS120" s="1237"/>
      <c r="BF120" s="144"/>
    </row>
    <row r="121" spans="2:58" x14ac:dyDescent="0.25">
      <c r="B121" s="143"/>
      <c r="D121" s="1309" t="s">
        <v>93</v>
      </c>
      <c r="E121" s="1245"/>
      <c r="F121" s="1245"/>
      <c r="G121" s="1245"/>
      <c r="H121" s="1245"/>
      <c r="I121" s="1245"/>
      <c r="J121" s="1245"/>
      <c r="K121" s="1245"/>
      <c r="L121" s="1245"/>
      <c r="M121" s="1245"/>
      <c r="N121" s="1245"/>
      <c r="O121" s="1245"/>
      <c r="P121" s="1245"/>
      <c r="Q121" s="1245"/>
      <c r="R121" s="1245"/>
      <c r="S121" s="1245"/>
      <c r="T121" s="1310"/>
      <c r="U121" s="1317" t="str">
        <f>IF('PIM Model'!$B$21=0,"",'PIM Model'!$B$21)</f>
        <v/>
      </c>
      <c r="V121" s="1168"/>
      <c r="W121" s="1168"/>
      <c r="X121" s="1168"/>
      <c r="Y121" s="1168"/>
      <c r="Z121" s="1168" t="str">
        <f>'PIM Model'!$AF$21</f>
        <v/>
      </c>
      <c r="AA121" s="1168"/>
      <c r="AB121" s="1168"/>
      <c r="AC121" s="1168"/>
      <c r="AD121" s="1168"/>
      <c r="AE121" s="1168"/>
      <c r="AF121" s="1235" t="str">
        <f>'PIM Model'!$AG$21</f>
        <v/>
      </c>
      <c r="AG121" s="1236"/>
      <c r="AH121" s="1236"/>
      <c r="AI121" s="1236"/>
      <c r="AJ121" s="1236"/>
      <c r="AK121" s="1236"/>
      <c r="AL121" s="1321"/>
      <c r="AM121" s="1235" t="str">
        <f>'PIM Model'!$AH$21</f>
        <v/>
      </c>
      <c r="AN121" s="1236"/>
      <c r="AO121" s="1236"/>
      <c r="AP121" s="1236"/>
      <c r="AQ121" s="1236"/>
      <c r="AR121" s="1236"/>
      <c r="AS121" s="1237"/>
      <c r="BF121" s="144"/>
    </row>
    <row r="122" spans="2:58" x14ac:dyDescent="0.25">
      <c r="B122" s="143"/>
      <c r="D122" s="1309" t="s">
        <v>105</v>
      </c>
      <c r="E122" s="1245"/>
      <c r="F122" s="1245"/>
      <c r="G122" s="1245"/>
      <c r="H122" s="1245"/>
      <c r="I122" s="1245"/>
      <c r="J122" s="1245"/>
      <c r="K122" s="1245"/>
      <c r="L122" s="1245"/>
      <c r="M122" s="1245"/>
      <c r="N122" s="1245"/>
      <c r="O122" s="1245"/>
      <c r="P122" s="1245"/>
      <c r="Q122" s="1245"/>
      <c r="R122" s="1245"/>
      <c r="S122" s="1245"/>
      <c r="T122" s="1310"/>
      <c r="U122" s="1317" t="str">
        <f>IF('PIM Model'!$B$22=0,"",'PIM Model'!$B$22)</f>
        <v/>
      </c>
      <c r="V122" s="1168"/>
      <c r="W122" s="1168"/>
      <c r="X122" s="1168"/>
      <c r="Y122" s="1168"/>
      <c r="Z122" s="1168" t="str">
        <f>'PIM Model'!$AF$22</f>
        <v/>
      </c>
      <c r="AA122" s="1168"/>
      <c r="AB122" s="1168"/>
      <c r="AC122" s="1168"/>
      <c r="AD122" s="1168"/>
      <c r="AE122" s="1168"/>
      <c r="AF122" s="1235" t="str">
        <f>'PIM Model'!$AG$22</f>
        <v/>
      </c>
      <c r="AG122" s="1236"/>
      <c r="AH122" s="1236"/>
      <c r="AI122" s="1236"/>
      <c r="AJ122" s="1236"/>
      <c r="AK122" s="1236"/>
      <c r="AL122" s="1321"/>
      <c r="AM122" s="1235" t="str">
        <f>'PIM Model'!$AH$22</f>
        <v/>
      </c>
      <c r="AN122" s="1236"/>
      <c r="AO122" s="1236"/>
      <c r="AP122" s="1236"/>
      <c r="AQ122" s="1236"/>
      <c r="AR122" s="1236"/>
      <c r="AS122" s="1237"/>
      <c r="BF122" s="144"/>
    </row>
    <row r="123" spans="2:58" x14ac:dyDescent="0.25">
      <c r="B123" s="143"/>
      <c r="D123" s="1309" t="s">
        <v>92</v>
      </c>
      <c r="E123" s="1245"/>
      <c r="F123" s="1245"/>
      <c r="G123" s="1245"/>
      <c r="H123" s="1245"/>
      <c r="I123" s="1245"/>
      <c r="J123" s="1245"/>
      <c r="K123" s="1245"/>
      <c r="L123" s="1245"/>
      <c r="M123" s="1245"/>
      <c r="N123" s="1245"/>
      <c r="O123" s="1245"/>
      <c r="P123" s="1245"/>
      <c r="Q123" s="1245"/>
      <c r="R123" s="1245"/>
      <c r="S123" s="1245"/>
      <c r="T123" s="1310"/>
      <c r="U123" s="1317" t="str">
        <f>IF('PIM Model'!$B$23=0,"",'PIM Model'!$B$23)</f>
        <v/>
      </c>
      <c r="V123" s="1168"/>
      <c r="W123" s="1168"/>
      <c r="X123" s="1168"/>
      <c r="Y123" s="1168"/>
      <c r="Z123" s="1168" t="str">
        <f>'PIM Model'!$AF$23</f>
        <v/>
      </c>
      <c r="AA123" s="1168"/>
      <c r="AB123" s="1168"/>
      <c r="AC123" s="1168"/>
      <c r="AD123" s="1168"/>
      <c r="AE123" s="1168"/>
      <c r="AF123" s="1235" t="str">
        <f>'PIM Model'!$AG$23</f>
        <v/>
      </c>
      <c r="AG123" s="1236"/>
      <c r="AH123" s="1236"/>
      <c r="AI123" s="1236"/>
      <c r="AJ123" s="1236"/>
      <c r="AK123" s="1236"/>
      <c r="AL123" s="1321"/>
      <c r="AM123" s="1235" t="str">
        <f>'PIM Model'!$AH$23</f>
        <v/>
      </c>
      <c r="AN123" s="1236"/>
      <c r="AO123" s="1236"/>
      <c r="AP123" s="1236"/>
      <c r="AQ123" s="1236"/>
      <c r="AR123" s="1236"/>
      <c r="AS123" s="1237"/>
      <c r="BF123" s="144"/>
    </row>
    <row r="124" spans="2:58" x14ac:dyDescent="0.25">
      <c r="B124" s="143"/>
      <c r="D124" s="1309" t="s">
        <v>91</v>
      </c>
      <c r="E124" s="1245"/>
      <c r="F124" s="1245"/>
      <c r="G124" s="1245"/>
      <c r="H124" s="1245"/>
      <c r="I124" s="1245"/>
      <c r="J124" s="1245"/>
      <c r="K124" s="1245"/>
      <c r="L124" s="1245"/>
      <c r="M124" s="1245"/>
      <c r="N124" s="1245"/>
      <c r="O124" s="1245"/>
      <c r="P124" s="1245"/>
      <c r="Q124" s="1245"/>
      <c r="R124" s="1245"/>
      <c r="S124" s="1245"/>
      <c r="T124" s="1310"/>
      <c r="U124" s="1317" t="str">
        <f>IF('PIM Model'!$B$24=0,"",'PIM Model'!$B$24)</f>
        <v/>
      </c>
      <c r="V124" s="1168"/>
      <c r="W124" s="1168"/>
      <c r="X124" s="1168"/>
      <c r="Y124" s="1168"/>
      <c r="Z124" s="1168" t="str">
        <f>'PIM Model'!$AF$24</f>
        <v/>
      </c>
      <c r="AA124" s="1168"/>
      <c r="AB124" s="1168"/>
      <c r="AC124" s="1168"/>
      <c r="AD124" s="1168"/>
      <c r="AE124" s="1168"/>
      <c r="AF124" s="1235" t="str">
        <f>'PIM Model'!$AG$24</f>
        <v/>
      </c>
      <c r="AG124" s="1236"/>
      <c r="AH124" s="1236"/>
      <c r="AI124" s="1236"/>
      <c r="AJ124" s="1236"/>
      <c r="AK124" s="1236"/>
      <c r="AL124" s="1321"/>
      <c r="AM124" s="1235" t="str">
        <f>'PIM Model'!$AH$24</f>
        <v/>
      </c>
      <c r="AN124" s="1236"/>
      <c r="AO124" s="1236"/>
      <c r="AP124" s="1236"/>
      <c r="AQ124" s="1236"/>
      <c r="AR124" s="1236"/>
      <c r="AS124" s="1237"/>
      <c r="BF124" s="144"/>
    </row>
    <row r="125" spans="2:58" x14ac:dyDescent="0.25">
      <c r="B125" s="143"/>
      <c r="D125" s="1309" t="s">
        <v>90</v>
      </c>
      <c r="E125" s="1245"/>
      <c r="F125" s="1245"/>
      <c r="G125" s="1245"/>
      <c r="H125" s="1245"/>
      <c r="I125" s="1245"/>
      <c r="J125" s="1245"/>
      <c r="K125" s="1245"/>
      <c r="L125" s="1245"/>
      <c r="M125" s="1245"/>
      <c r="N125" s="1245"/>
      <c r="O125" s="1245"/>
      <c r="P125" s="1245"/>
      <c r="Q125" s="1245"/>
      <c r="R125" s="1245"/>
      <c r="S125" s="1245"/>
      <c r="T125" s="1310"/>
      <c r="U125" s="1317" t="str">
        <f>IF('PIM Model'!$B$25=0,"",'PIM Model'!$B$25)</f>
        <v/>
      </c>
      <c r="V125" s="1168"/>
      <c r="W125" s="1168"/>
      <c r="X125" s="1168"/>
      <c r="Y125" s="1168"/>
      <c r="Z125" s="1168" t="str">
        <f>'PIM Model'!$AF$25</f>
        <v/>
      </c>
      <c r="AA125" s="1168"/>
      <c r="AB125" s="1168"/>
      <c r="AC125" s="1168"/>
      <c r="AD125" s="1168"/>
      <c r="AE125" s="1168"/>
      <c r="AF125" s="1235" t="str">
        <f>'PIM Model'!$AG$25</f>
        <v/>
      </c>
      <c r="AG125" s="1236"/>
      <c r="AH125" s="1236"/>
      <c r="AI125" s="1236"/>
      <c r="AJ125" s="1236"/>
      <c r="AK125" s="1236"/>
      <c r="AL125" s="1321"/>
      <c r="AM125" s="1235" t="str">
        <f>'PIM Model'!$AH$25</f>
        <v/>
      </c>
      <c r="AN125" s="1236"/>
      <c r="AO125" s="1236"/>
      <c r="AP125" s="1236"/>
      <c r="AQ125" s="1236"/>
      <c r="AR125" s="1236"/>
      <c r="AS125" s="1237"/>
      <c r="BF125" s="144"/>
    </row>
    <row r="126" spans="2:58" x14ac:dyDescent="0.25">
      <c r="B126" s="143"/>
      <c r="D126" s="1309" t="s">
        <v>89</v>
      </c>
      <c r="E126" s="1245"/>
      <c r="F126" s="1245"/>
      <c r="G126" s="1245"/>
      <c r="H126" s="1245"/>
      <c r="I126" s="1245"/>
      <c r="J126" s="1245"/>
      <c r="K126" s="1245"/>
      <c r="L126" s="1245"/>
      <c r="M126" s="1245"/>
      <c r="N126" s="1245"/>
      <c r="O126" s="1245"/>
      <c r="P126" s="1245"/>
      <c r="Q126" s="1245"/>
      <c r="R126" s="1245"/>
      <c r="S126" s="1245"/>
      <c r="T126" s="1310"/>
      <c r="U126" s="1317" t="str">
        <f>IF('PIM Model'!$B$26=0,"",'PIM Model'!$B$26)</f>
        <v/>
      </c>
      <c r="V126" s="1168"/>
      <c r="W126" s="1168"/>
      <c r="X126" s="1168"/>
      <c r="Y126" s="1168"/>
      <c r="Z126" s="1168" t="str">
        <f>'PIM Model'!$AF$26</f>
        <v/>
      </c>
      <c r="AA126" s="1168"/>
      <c r="AB126" s="1168"/>
      <c r="AC126" s="1168"/>
      <c r="AD126" s="1168"/>
      <c r="AE126" s="1168"/>
      <c r="AF126" s="1235" t="str">
        <f>'PIM Model'!$AG$26</f>
        <v/>
      </c>
      <c r="AG126" s="1236"/>
      <c r="AH126" s="1236"/>
      <c r="AI126" s="1236"/>
      <c r="AJ126" s="1236"/>
      <c r="AK126" s="1236"/>
      <c r="AL126" s="1321"/>
      <c r="AM126" s="1235" t="str">
        <f>'PIM Model'!$AH$26</f>
        <v/>
      </c>
      <c r="AN126" s="1236"/>
      <c r="AO126" s="1236"/>
      <c r="AP126" s="1236"/>
      <c r="AQ126" s="1236"/>
      <c r="AR126" s="1236"/>
      <c r="AS126" s="1237"/>
      <c r="BF126" s="144"/>
    </row>
    <row r="127" spans="2:58" x14ac:dyDescent="0.25">
      <c r="B127" s="143"/>
      <c r="D127" s="1309" t="s">
        <v>94</v>
      </c>
      <c r="E127" s="1245"/>
      <c r="F127" s="1245"/>
      <c r="G127" s="1245"/>
      <c r="H127" s="1245"/>
      <c r="I127" s="1245"/>
      <c r="J127" s="1245"/>
      <c r="K127" s="1245"/>
      <c r="L127" s="1245"/>
      <c r="M127" s="1245"/>
      <c r="N127" s="1245"/>
      <c r="O127" s="1245"/>
      <c r="P127" s="1245"/>
      <c r="Q127" s="1245"/>
      <c r="R127" s="1245"/>
      <c r="S127" s="1245"/>
      <c r="T127" s="1310"/>
      <c r="U127" s="1317" t="str">
        <f>IF('PIM Model'!$B$27=0,"",'PIM Model'!$B$27)</f>
        <v/>
      </c>
      <c r="V127" s="1168"/>
      <c r="W127" s="1168"/>
      <c r="X127" s="1168"/>
      <c r="Y127" s="1168"/>
      <c r="Z127" s="1168" t="str">
        <f>'PIM Model'!$AF$27</f>
        <v/>
      </c>
      <c r="AA127" s="1168"/>
      <c r="AB127" s="1168"/>
      <c r="AC127" s="1168"/>
      <c r="AD127" s="1168"/>
      <c r="AE127" s="1168"/>
      <c r="AF127" s="1235" t="str">
        <f>'PIM Model'!$AG$27</f>
        <v/>
      </c>
      <c r="AG127" s="1236"/>
      <c r="AH127" s="1236"/>
      <c r="AI127" s="1236"/>
      <c r="AJ127" s="1236"/>
      <c r="AK127" s="1236"/>
      <c r="AL127" s="1321"/>
      <c r="AM127" s="1235" t="str">
        <f>'PIM Model'!$AH$27</f>
        <v/>
      </c>
      <c r="AN127" s="1236"/>
      <c r="AO127" s="1236"/>
      <c r="AP127" s="1236"/>
      <c r="AQ127" s="1236"/>
      <c r="AR127" s="1236"/>
      <c r="AS127" s="1237"/>
      <c r="BF127" s="144"/>
    </row>
    <row r="128" spans="2:58" x14ac:dyDescent="0.25">
      <c r="B128" s="143"/>
      <c r="D128" s="1309" t="s">
        <v>86</v>
      </c>
      <c r="E128" s="1245"/>
      <c r="F128" s="1245"/>
      <c r="G128" s="1245"/>
      <c r="H128" s="1245"/>
      <c r="I128" s="1245"/>
      <c r="J128" s="1245"/>
      <c r="K128" s="1245"/>
      <c r="L128" s="1245"/>
      <c r="M128" s="1245"/>
      <c r="N128" s="1245"/>
      <c r="O128" s="1245"/>
      <c r="P128" s="1245"/>
      <c r="Q128" s="1245"/>
      <c r="R128" s="1245"/>
      <c r="S128" s="1245"/>
      <c r="T128" s="1310"/>
      <c r="U128" s="1317" t="str">
        <f>IF('PIM Model'!$B$28=0,"",'PIM Model'!$B$28)</f>
        <v/>
      </c>
      <c r="V128" s="1168"/>
      <c r="W128" s="1168"/>
      <c r="X128" s="1168"/>
      <c r="Y128" s="1168"/>
      <c r="Z128" s="1168" t="str">
        <f>'PIM Model'!$AF$28</f>
        <v/>
      </c>
      <c r="AA128" s="1168"/>
      <c r="AB128" s="1168"/>
      <c r="AC128" s="1168"/>
      <c r="AD128" s="1168"/>
      <c r="AE128" s="1168"/>
      <c r="AF128" s="1235" t="str">
        <f>'PIM Model'!$AG$28</f>
        <v/>
      </c>
      <c r="AG128" s="1236"/>
      <c r="AH128" s="1236"/>
      <c r="AI128" s="1236"/>
      <c r="AJ128" s="1236"/>
      <c r="AK128" s="1236"/>
      <c r="AL128" s="1321"/>
      <c r="AM128" s="1235" t="str">
        <f>'PIM Model'!$AH$28</f>
        <v/>
      </c>
      <c r="AN128" s="1236"/>
      <c r="AO128" s="1236"/>
      <c r="AP128" s="1236"/>
      <c r="AQ128" s="1236"/>
      <c r="AR128" s="1236"/>
      <c r="AS128" s="1237"/>
      <c r="BF128" s="144"/>
    </row>
    <row r="129" spans="2:58" x14ac:dyDescent="0.25">
      <c r="B129" s="143"/>
      <c r="D129" s="1309" t="s">
        <v>88</v>
      </c>
      <c r="E129" s="1245"/>
      <c r="F129" s="1245"/>
      <c r="G129" s="1245"/>
      <c r="H129" s="1245"/>
      <c r="I129" s="1245"/>
      <c r="J129" s="1245"/>
      <c r="K129" s="1245"/>
      <c r="L129" s="1245"/>
      <c r="M129" s="1245"/>
      <c r="N129" s="1245"/>
      <c r="O129" s="1245"/>
      <c r="P129" s="1245"/>
      <c r="Q129" s="1245"/>
      <c r="R129" s="1245"/>
      <c r="S129" s="1245"/>
      <c r="T129" s="1310"/>
      <c r="U129" s="1317" t="str">
        <f>IF('PIM Model'!$B$29=0,"",'PIM Model'!$B$29)</f>
        <v/>
      </c>
      <c r="V129" s="1168"/>
      <c r="W129" s="1168"/>
      <c r="X129" s="1168"/>
      <c r="Y129" s="1168"/>
      <c r="Z129" s="1168" t="str">
        <f>'PIM Model'!$AF$29</f>
        <v/>
      </c>
      <c r="AA129" s="1168"/>
      <c r="AB129" s="1168"/>
      <c r="AC129" s="1168"/>
      <c r="AD129" s="1168"/>
      <c r="AE129" s="1168"/>
      <c r="AF129" s="1235" t="str">
        <f>'PIM Model'!$AG$29</f>
        <v/>
      </c>
      <c r="AG129" s="1236"/>
      <c r="AH129" s="1236"/>
      <c r="AI129" s="1236"/>
      <c r="AJ129" s="1236"/>
      <c r="AK129" s="1236"/>
      <c r="AL129" s="1321"/>
      <c r="AM129" s="1235" t="str">
        <f>'PIM Model'!$AH$29</f>
        <v/>
      </c>
      <c r="AN129" s="1236"/>
      <c r="AO129" s="1236"/>
      <c r="AP129" s="1236"/>
      <c r="AQ129" s="1236"/>
      <c r="AR129" s="1236"/>
      <c r="AS129" s="1237"/>
      <c r="BF129" s="144"/>
    </row>
    <row r="130" spans="2:58" ht="15.75" thickBot="1" x14ac:dyDescent="0.3">
      <c r="B130" s="143"/>
      <c r="D130" s="1318" t="s">
        <v>87</v>
      </c>
      <c r="E130" s="1319"/>
      <c r="F130" s="1319"/>
      <c r="G130" s="1319"/>
      <c r="H130" s="1319"/>
      <c r="I130" s="1319"/>
      <c r="J130" s="1319"/>
      <c r="K130" s="1319"/>
      <c r="L130" s="1319"/>
      <c r="M130" s="1319"/>
      <c r="N130" s="1319"/>
      <c r="O130" s="1319"/>
      <c r="P130" s="1319"/>
      <c r="Q130" s="1319"/>
      <c r="R130" s="1319"/>
      <c r="S130" s="1319"/>
      <c r="T130" s="1320"/>
      <c r="U130" s="1314" t="str">
        <f>IF('PIM Model'!$B$30=0,"",'PIM Model'!$B$30)</f>
        <v/>
      </c>
      <c r="V130" s="1315"/>
      <c r="W130" s="1315"/>
      <c r="X130" s="1315"/>
      <c r="Y130" s="1315"/>
      <c r="Z130" s="1315" t="str">
        <f>'PIM Model'!$AF$30</f>
        <v/>
      </c>
      <c r="AA130" s="1315"/>
      <c r="AB130" s="1315"/>
      <c r="AC130" s="1315"/>
      <c r="AD130" s="1315"/>
      <c r="AE130" s="1315"/>
      <c r="AF130" s="1322" t="str">
        <f>'PIM Model'!$AG$30</f>
        <v/>
      </c>
      <c r="AG130" s="1323"/>
      <c r="AH130" s="1323"/>
      <c r="AI130" s="1323"/>
      <c r="AJ130" s="1323"/>
      <c r="AK130" s="1323"/>
      <c r="AL130" s="1337"/>
      <c r="AM130" s="1322" t="str">
        <f>'PIM Model'!$AH$30</f>
        <v/>
      </c>
      <c r="AN130" s="1323"/>
      <c r="AO130" s="1323"/>
      <c r="AP130" s="1323"/>
      <c r="AQ130" s="1323"/>
      <c r="AR130" s="1323"/>
      <c r="AS130" s="1324"/>
      <c r="BF130" s="144"/>
    </row>
    <row r="131" spans="2:58" ht="16.5" thickTop="1" thickBot="1" x14ac:dyDescent="0.3">
      <c r="B131" s="143"/>
      <c r="D131" s="1328" t="s">
        <v>1061</v>
      </c>
      <c r="E131" s="1329"/>
      <c r="F131" s="1329"/>
      <c r="G131" s="1329"/>
      <c r="H131" s="1329"/>
      <c r="I131" s="1329"/>
      <c r="J131" s="1329"/>
      <c r="K131" s="1329"/>
      <c r="L131" s="1329"/>
      <c r="M131" s="1329"/>
      <c r="N131" s="1329"/>
      <c r="O131" s="1329"/>
      <c r="P131" s="1329"/>
      <c r="Q131" s="1329"/>
      <c r="R131" s="1329"/>
      <c r="S131" s="1329"/>
      <c r="T131" s="1330"/>
      <c r="U131" s="1331">
        <f>COUNT($U$110:$Y$130)</f>
        <v>0</v>
      </c>
      <c r="V131" s="1332"/>
      <c r="W131" s="1332"/>
      <c r="X131" s="1332"/>
      <c r="Y131" s="1332"/>
      <c r="Z131" s="1329">
        <f>COUNTIF($Z$110:$AE$130,"ABOVE")+COUNTIF($Z$110:$AE$130,"BELOW")</f>
        <v>0</v>
      </c>
      <c r="AA131" s="1329"/>
      <c r="AB131" s="1329"/>
      <c r="AC131" s="1329"/>
      <c r="AD131" s="1329"/>
      <c r="AE131" s="1329"/>
      <c r="AF131" s="1333"/>
      <c r="AG131" s="1334"/>
      <c r="AH131" s="1334"/>
      <c r="AI131" s="1334"/>
      <c r="AJ131" s="1334"/>
      <c r="AK131" s="1334"/>
      <c r="AL131" s="1335"/>
      <c r="AM131" s="1333"/>
      <c r="AN131" s="1334"/>
      <c r="AO131" s="1334"/>
      <c r="AP131" s="1334"/>
      <c r="AQ131" s="1334"/>
      <c r="AR131" s="1334"/>
      <c r="AS131" s="1336"/>
      <c r="BF131" s="144"/>
    </row>
    <row r="132" spans="2:58" ht="15.75" thickBot="1" x14ac:dyDescent="0.3">
      <c r="B132" s="291"/>
      <c r="C132" s="292"/>
      <c r="D132" s="292"/>
      <c r="E132" s="292"/>
      <c r="F132" s="292"/>
      <c r="G132" s="292"/>
      <c r="H132" s="292"/>
      <c r="I132" s="292"/>
      <c r="J132" s="292"/>
      <c r="K132" s="292"/>
      <c r="L132" s="292"/>
      <c r="M132" s="292"/>
      <c r="N132" s="292"/>
      <c r="O132" s="292"/>
      <c r="P132" s="292"/>
      <c r="Q132" s="292"/>
      <c r="R132" s="292"/>
      <c r="S132" s="292"/>
      <c r="T132" s="292"/>
      <c r="U132" s="292"/>
      <c r="V132" s="292"/>
      <c r="W132" s="292"/>
      <c r="X132" s="292"/>
      <c r="Y132" s="292"/>
      <c r="Z132" s="292"/>
      <c r="AA132" s="292"/>
      <c r="AB132" s="292"/>
      <c r="AC132" s="292"/>
      <c r="AD132" s="292"/>
      <c r="AE132" s="292"/>
      <c r="AF132" s="292"/>
      <c r="AG132" s="292"/>
      <c r="AH132" s="292"/>
      <c r="AI132" s="292"/>
      <c r="AJ132" s="292"/>
      <c r="AK132" s="292"/>
      <c r="AL132" s="292"/>
      <c r="AM132" s="292"/>
      <c r="AN132" s="292"/>
      <c r="AO132" s="292"/>
      <c r="AP132" s="292"/>
      <c r="AQ132" s="292"/>
      <c r="AR132" s="292"/>
      <c r="AS132" s="292"/>
      <c r="AT132" s="292"/>
      <c r="AU132" s="292"/>
      <c r="AV132" s="292"/>
      <c r="AW132" s="292"/>
      <c r="AX132" s="292"/>
      <c r="AY132" s="292"/>
      <c r="AZ132" s="292"/>
      <c r="BA132" s="292"/>
      <c r="BB132" s="292"/>
      <c r="BC132" s="292"/>
      <c r="BD132" s="292"/>
      <c r="BE132" s="292"/>
      <c r="BF132" s="293"/>
    </row>
  </sheetData>
  <sheetProtection algorithmName="SHA-512" hashValue="z3tE+WtMORmbvvHFCPeEFdPvXav+R2ezgFK9vaycRHjZcLxGAzRMVeQRQBioyePF721lp5GZQVEsspL+rez8jw==" saltValue="O4OPTIoKlDncKxlwIxHhFQ==" spinCount="100000" sheet="1" objects="1" scenarios="1"/>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2" priority="6">
      <formula>LEN(TRIM(U110))&gt;0</formula>
    </cfRule>
  </conditionalFormatting>
  <conditionalFormatting sqref="Z110:AE130">
    <cfRule type="containsText" dxfId="1" priority="4" operator="containsText" text="BELOW">
      <formula>NOT(ISERROR(SEARCH("BELOW",Z110)))</formula>
    </cfRule>
    <cfRule type="containsText" dxfId="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scaleWithDoc="0">
    <oddHeader>&amp;C&amp;F&amp;R&amp;D</oddHeader>
    <oddFooter>&amp;L&amp;P&amp;CWelcome | US Foods Confidential</oddFooter>
  </headerFooter>
  <rowBreaks count="3" manualBreakCount="3">
    <brk id="25" min="1" max="57" man="1"/>
    <brk id="52" min="1" max="57" man="1"/>
    <brk id="91" min="1" max="57" man="1"/>
  </row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E8" sqref="E8"/>
    </sheetView>
  </sheetViews>
  <sheetFormatPr defaultColWidth="8.85546875" defaultRowHeight="15" x14ac:dyDescent="0.25"/>
  <cols>
    <col min="1" max="1" width="20.7109375" style="63" bestFit="1" customWidth="1"/>
    <col min="2" max="2" width="9" style="63" bestFit="1" customWidth="1"/>
    <col min="3" max="3" width="6.5703125" style="63" bestFit="1" customWidth="1"/>
    <col min="4" max="4" width="5.7109375" style="63" bestFit="1" customWidth="1"/>
    <col min="5" max="5" width="10.7109375" style="63" bestFit="1" customWidth="1"/>
    <col min="6" max="6" width="14.85546875" style="63" bestFit="1" customWidth="1"/>
    <col min="7" max="7" width="18.140625" style="63" bestFit="1" customWidth="1"/>
    <col min="8" max="8" width="16.85546875" style="63" bestFit="1" customWidth="1"/>
    <col min="9" max="9" width="4.7109375" style="63" bestFit="1" customWidth="1"/>
    <col min="10" max="10" width="18.5703125" style="63" bestFit="1" customWidth="1"/>
    <col min="11" max="11" width="19.85546875" style="63" bestFit="1" customWidth="1"/>
    <col min="12" max="12" width="16" style="63" bestFit="1" customWidth="1"/>
    <col min="13" max="16" width="19" style="63" bestFit="1" customWidth="1"/>
    <col min="17" max="16384" width="8.85546875" style="63"/>
  </cols>
  <sheetData>
    <row r="1" spans="1:16" x14ac:dyDescent="0.25">
      <c r="A1" s="64" t="s">
        <v>710</v>
      </c>
      <c r="B1" s="64" t="s">
        <v>709</v>
      </c>
      <c r="C1" s="64" t="s">
        <v>756</v>
      </c>
      <c r="D1" s="64" t="s">
        <v>708</v>
      </c>
      <c r="E1" s="64" t="s">
        <v>707</v>
      </c>
      <c r="F1" s="66" t="s">
        <v>706</v>
      </c>
      <c r="G1" s="66" t="s">
        <v>705</v>
      </c>
      <c r="H1" s="64" t="s">
        <v>704</v>
      </c>
      <c r="I1" s="64" t="s">
        <v>703</v>
      </c>
      <c r="J1" s="64" t="s">
        <v>702</v>
      </c>
      <c r="K1" s="65" t="s">
        <v>701</v>
      </c>
      <c r="L1" s="64" t="s">
        <v>700</v>
      </c>
      <c r="M1" s="64" t="s">
        <v>699</v>
      </c>
      <c r="N1" s="64" t="s">
        <v>698</v>
      </c>
      <c r="O1" s="64" t="s">
        <v>697</v>
      </c>
      <c r="P1" s="64" t="s">
        <v>696</v>
      </c>
    </row>
    <row r="2" spans="1:16" x14ac:dyDescent="0.25">
      <c r="A2" s="63">
        <v>15</v>
      </c>
      <c r="B2" s="63">
        <v>0</v>
      </c>
      <c r="C2" s="63">
        <v>0</v>
      </c>
      <c r="D2" s="63" t="s">
        <v>693</v>
      </c>
      <c r="E2" s="63" t="s">
        <v>692</v>
      </c>
      <c r="F2" s="76" t="str">
        <f>'PIM Model'!$AD$11</f>
        <v/>
      </c>
      <c r="G2" s="69" t="str">
        <f>F2</f>
        <v/>
      </c>
      <c r="H2" s="76" t="str">
        <f>IF('PIM Model'!$D$11="$/LB","#","%")</f>
        <v>%</v>
      </c>
      <c r="I2" s="72" t="s">
        <v>695</v>
      </c>
      <c r="J2">
        <v>1.75</v>
      </c>
      <c r="K2" s="71">
        <v>25</v>
      </c>
      <c r="L2" s="63" t="s">
        <v>496</v>
      </c>
    </row>
    <row r="3" spans="1:16" x14ac:dyDescent="0.25">
      <c r="A3" s="63">
        <v>15</v>
      </c>
      <c r="B3" s="63">
        <v>131</v>
      </c>
      <c r="C3" s="63">
        <v>0</v>
      </c>
      <c r="D3" s="63" t="s">
        <v>693</v>
      </c>
      <c r="E3" s="63" t="s">
        <v>692</v>
      </c>
      <c r="F3" s="76" t="str">
        <f>'PIM Model'!$AD$12</f>
        <v/>
      </c>
      <c r="G3" s="69" t="str">
        <f t="shared" ref="G3:G68" si="0">F3</f>
        <v/>
      </c>
      <c r="H3" s="76" t="str">
        <f>IF('PIM Model'!$D$12="$/LB","#","%")</f>
        <v>%</v>
      </c>
      <c r="I3" s="72" t="s">
        <v>695</v>
      </c>
      <c r="J3">
        <v>1.75</v>
      </c>
      <c r="K3" s="71">
        <v>25</v>
      </c>
      <c r="L3" s="63" t="s">
        <v>496</v>
      </c>
    </row>
    <row r="4" spans="1:16" x14ac:dyDescent="0.25">
      <c r="A4" s="63">
        <v>15</v>
      </c>
      <c r="B4" s="63">
        <v>254</v>
      </c>
      <c r="C4" s="63">
        <v>0</v>
      </c>
      <c r="D4" s="63" t="s">
        <v>693</v>
      </c>
      <c r="E4" s="63" t="s">
        <v>692</v>
      </c>
      <c r="F4" s="76" t="str">
        <f>'PIM Model'!$AD$12</f>
        <v/>
      </c>
      <c r="G4" s="69" t="str">
        <f t="shared" si="0"/>
        <v/>
      </c>
      <c r="H4" s="76" t="str">
        <f>IF('PIM Model'!$D$12="$/LB","#","%")</f>
        <v>%</v>
      </c>
      <c r="I4" s="72" t="s">
        <v>695</v>
      </c>
      <c r="J4">
        <v>1.75</v>
      </c>
      <c r="K4" s="71">
        <v>25</v>
      </c>
      <c r="L4" s="63" t="s">
        <v>496</v>
      </c>
    </row>
    <row r="5" spans="1:16" x14ac:dyDescent="0.25">
      <c r="A5" s="63">
        <v>15</v>
      </c>
      <c r="B5" s="63">
        <v>373</v>
      </c>
      <c r="C5" s="63">
        <v>0</v>
      </c>
      <c r="D5" s="63" t="s">
        <v>693</v>
      </c>
      <c r="E5" s="63" t="s">
        <v>692</v>
      </c>
      <c r="F5" s="76" t="str">
        <f>'PIM Model'!$AD$12</f>
        <v/>
      </c>
      <c r="G5" s="69" t="str">
        <f t="shared" si="0"/>
        <v/>
      </c>
      <c r="H5" s="76" t="str">
        <f>IF('PIM Model'!$D$12="$/LB","#","%")</f>
        <v>%</v>
      </c>
      <c r="I5" s="72" t="s">
        <v>695</v>
      </c>
      <c r="J5">
        <v>1.75</v>
      </c>
      <c r="K5" s="71">
        <v>25</v>
      </c>
      <c r="L5" s="63" t="s">
        <v>496</v>
      </c>
    </row>
    <row r="6" spans="1:16" x14ac:dyDescent="0.25">
      <c r="A6" s="63">
        <v>15</v>
      </c>
      <c r="B6" s="63">
        <v>132</v>
      </c>
      <c r="C6" s="63">
        <v>0</v>
      </c>
      <c r="D6" s="63" t="s">
        <v>693</v>
      </c>
      <c r="E6" s="63" t="s">
        <v>692</v>
      </c>
      <c r="F6" s="76" t="str">
        <f>'PIM Model'!$AD$12</f>
        <v/>
      </c>
      <c r="G6" s="69" t="str">
        <f t="shared" si="0"/>
        <v/>
      </c>
      <c r="H6" s="76" t="str">
        <f>IF('PIM Model'!$D$12="$/LB","#","%")</f>
        <v>%</v>
      </c>
      <c r="I6" s="72" t="s">
        <v>695</v>
      </c>
      <c r="J6">
        <v>1.75</v>
      </c>
      <c r="K6" s="71">
        <v>25</v>
      </c>
      <c r="L6" s="63" t="s">
        <v>496</v>
      </c>
    </row>
    <row r="7" spans="1:16" x14ac:dyDescent="0.25">
      <c r="A7" s="63">
        <v>15</v>
      </c>
      <c r="B7" s="63">
        <v>368</v>
      </c>
      <c r="C7" s="63">
        <v>0</v>
      </c>
      <c r="D7" s="63" t="s">
        <v>693</v>
      </c>
      <c r="E7" s="63" t="s">
        <v>692</v>
      </c>
      <c r="F7" s="76" t="str">
        <f>'PIM Model'!$AD$12</f>
        <v/>
      </c>
      <c r="G7" s="69" t="str">
        <f t="shared" si="0"/>
        <v/>
      </c>
      <c r="H7" s="76" t="str">
        <f>IF('PIM Model'!$D$12="$/LB","#","%")</f>
        <v>%</v>
      </c>
      <c r="I7" s="72" t="s">
        <v>695</v>
      </c>
      <c r="J7">
        <v>1.75</v>
      </c>
      <c r="K7" s="71">
        <v>25</v>
      </c>
      <c r="L7" s="63" t="s">
        <v>496</v>
      </c>
    </row>
    <row r="8" spans="1:16" x14ac:dyDescent="0.25">
      <c r="A8" s="63">
        <v>15</v>
      </c>
      <c r="B8" s="63">
        <v>369</v>
      </c>
      <c r="C8" s="63">
        <v>0</v>
      </c>
      <c r="D8" s="63" t="s">
        <v>693</v>
      </c>
      <c r="E8" s="63" t="s">
        <v>692</v>
      </c>
      <c r="F8" s="76" t="str">
        <f>'PIM Model'!$AD$12</f>
        <v/>
      </c>
      <c r="G8" s="69" t="str">
        <f t="shared" si="0"/>
        <v/>
      </c>
      <c r="H8" s="76" t="str">
        <f>IF('PIM Model'!$D$12="$/LB","#","%")</f>
        <v>%</v>
      </c>
      <c r="I8" s="72" t="s">
        <v>695</v>
      </c>
      <c r="J8">
        <v>1.75</v>
      </c>
      <c r="K8" s="71">
        <v>25</v>
      </c>
      <c r="L8" s="63" t="s">
        <v>496</v>
      </c>
    </row>
    <row r="9" spans="1:16" x14ac:dyDescent="0.25">
      <c r="A9" s="63">
        <v>15</v>
      </c>
      <c r="B9" s="63">
        <v>384</v>
      </c>
      <c r="C9" s="63">
        <v>0</v>
      </c>
      <c r="D9" s="63" t="s">
        <v>693</v>
      </c>
      <c r="E9" s="63" t="s">
        <v>692</v>
      </c>
      <c r="F9" s="76" t="str">
        <f>'PIM Model'!$AD$12</f>
        <v/>
      </c>
      <c r="G9" s="69" t="str">
        <f t="shared" si="0"/>
        <v/>
      </c>
      <c r="H9" s="76" t="str">
        <f>IF('PIM Model'!$D$12="$/LB","#","%")</f>
        <v>%</v>
      </c>
      <c r="I9" s="72" t="s">
        <v>695</v>
      </c>
      <c r="J9">
        <v>1.75</v>
      </c>
      <c r="K9" s="71">
        <v>25</v>
      </c>
      <c r="L9" s="63" t="s">
        <v>496</v>
      </c>
    </row>
    <row r="10" spans="1:16" x14ac:dyDescent="0.25">
      <c r="A10" s="63">
        <v>15</v>
      </c>
      <c r="B10" s="63">
        <v>381</v>
      </c>
      <c r="C10" s="63">
        <v>0</v>
      </c>
      <c r="D10" s="63" t="s">
        <v>693</v>
      </c>
      <c r="E10" s="63" t="s">
        <v>692</v>
      </c>
      <c r="F10" s="76" t="str">
        <f>'PIM Model'!$AD$12</f>
        <v/>
      </c>
      <c r="G10" s="69" t="str">
        <f t="shared" si="0"/>
        <v/>
      </c>
      <c r="H10" s="76" t="str">
        <f>IF('PIM Model'!$D$12="$/LB","#","%")</f>
        <v>%</v>
      </c>
      <c r="I10" s="72" t="s">
        <v>695</v>
      </c>
      <c r="J10">
        <v>1.75</v>
      </c>
      <c r="K10" s="71">
        <v>25</v>
      </c>
      <c r="L10" s="63" t="s">
        <v>496</v>
      </c>
    </row>
    <row r="11" spans="1:16" x14ac:dyDescent="0.25">
      <c r="A11" s="63">
        <v>15</v>
      </c>
      <c r="B11" s="63">
        <v>377</v>
      </c>
      <c r="C11" s="63">
        <v>0</v>
      </c>
      <c r="D11" s="63" t="s">
        <v>693</v>
      </c>
      <c r="E11" s="63" t="s">
        <v>692</v>
      </c>
      <c r="F11" s="76" t="str">
        <f>'PIM Model'!$AD$12</f>
        <v/>
      </c>
      <c r="G11" s="69" t="str">
        <f t="shared" si="0"/>
        <v/>
      </c>
      <c r="H11" s="76" t="str">
        <f>IF('PIM Model'!$D$12="$/LB","#","%")</f>
        <v>%</v>
      </c>
      <c r="I11" s="72" t="s">
        <v>695</v>
      </c>
      <c r="J11">
        <v>1.75</v>
      </c>
      <c r="K11" s="71">
        <v>25</v>
      </c>
      <c r="L11" s="63" t="s">
        <v>496</v>
      </c>
    </row>
    <row r="12" spans="1:16" x14ac:dyDescent="0.25">
      <c r="A12" s="63">
        <v>15</v>
      </c>
      <c r="B12" s="63">
        <v>388</v>
      </c>
      <c r="C12" s="63">
        <v>0</v>
      </c>
      <c r="D12" s="63" t="s">
        <v>693</v>
      </c>
      <c r="E12" s="63" t="s">
        <v>692</v>
      </c>
      <c r="F12" s="76" t="str">
        <f>'PIM Model'!$AD$12</f>
        <v/>
      </c>
      <c r="G12" s="69" t="str">
        <f t="shared" si="0"/>
        <v/>
      </c>
      <c r="H12" s="76" t="str">
        <f>IF('PIM Model'!$D$12="$/LB","#","%")</f>
        <v>%</v>
      </c>
      <c r="I12" s="72" t="s">
        <v>695</v>
      </c>
      <c r="J12">
        <v>1.75</v>
      </c>
      <c r="K12" s="71">
        <v>25</v>
      </c>
      <c r="L12" s="63" t="s">
        <v>496</v>
      </c>
    </row>
    <row r="13" spans="1:16" x14ac:dyDescent="0.25">
      <c r="A13" s="63">
        <v>16</v>
      </c>
      <c r="B13" s="63">
        <v>0</v>
      </c>
      <c r="C13" s="63">
        <v>0</v>
      </c>
      <c r="D13" s="63" t="s">
        <v>691</v>
      </c>
      <c r="E13" s="63" t="str">
        <f>IF('PRIME Headers'!$C$20="No","PWW","P07")</f>
        <v>P07</v>
      </c>
      <c r="F13" s="70" t="str">
        <f>'PIM Model'!$AD$13</f>
        <v/>
      </c>
      <c r="G13" s="69" t="str">
        <f t="shared" si="0"/>
        <v/>
      </c>
      <c r="H13" s="76" t="str">
        <f>'PIM Model'!$D$13</f>
        <v>%</v>
      </c>
      <c r="I13" s="72" t="s">
        <v>695</v>
      </c>
      <c r="J13">
        <v>1.75</v>
      </c>
      <c r="K13" s="71">
        <v>25</v>
      </c>
      <c r="L13" s="63" t="s">
        <v>496</v>
      </c>
    </row>
    <row r="14" spans="1:16" x14ac:dyDescent="0.25">
      <c r="A14" s="63">
        <v>16</v>
      </c>
      <c r="B14" s="63">
        <v>135</v>
      </c>
      <c r="C14" s="63">
        <v>0</v>
      </c>
      <c r="D14" s="63" t="s">
        <v>693</v>
      </c>
      <c r="E14" s="63" t="s">
        <v>692</v>
      </c>
      <c r="F14" s="70" t="str">
        <f>'PIM Model'!$AD$13</f>
        <v/>
      </c>
      <c r="G14" s="69" t="str">
        <f t="shared" si="0"/>
        <v/>
      </c>
      <c r="H14" s="76" t="str">
        <f>'PIM Model'!$D$13</f>
        <v>%</v>
      </c>
      <c r="I14" s="72" t="s">
        <v>695</v>
      </c>
      <c r="J14">
        <v>1.75</v>
      </c>
      <c r="K14" s="71">
        <v>25</v>
      </c>
      <c r="L14" s="63" t="s">
        <v>496</v>
      </c>
    </row>
    <row r="15" spans="1:16" x14ac:dyDescent="0.25">
      <c r="A15" s="63">
        <v>16</v>
      </c>
      <c r="B15" s="63">
        <v>136</v>
      </c>
      <c r="C15" s="63">
        <v>7626</v>
      </c>
      <c r="D15" s="63" t="s">
        <v>693</v>
      </c>
      <c r="E15" s="63" t="s">
        <v>692</v>
      </c>
      <c r="F15" s="70" t="str">
        <f>'PIM Model'!$AD$13</f>
        <v/>
      </c>
      <c r="G15" s="69" t="str">
        <f t="shared" si="0"/>
        <v/>
      </c>
      <c r="H15" s="76" t="str">
        <f>'PIM Model'!$D$13</f>
        <v>%</v>
      </c>
      <c r="I15" s="72" t="s">
        <v>695</v>
      </c>
      <c r="J15">
        <v>1.75</v>
      </c>
      <c r="K15" s="71">
        <v>25</v>
      </c>
      <c r="L15" s="63" t="s">
        <v>496</v>
      </c>
    </row>
    <row r="16" spans="1:16" x14ac:dyDescent="0.25">
      <c r="A16" s="63">
        <v>16</v>
      </c>
      <c r="B16" s="63">
        <v>136</v>
      </c>
      <c r="C16" s="63">
        <v>7627</v>
      </c>
      <c r="D16" s="63" t="s">
        <v>693</v>
      </c>
      <c r="E16" s="63" t="s">
        <v>692</v>
      </c>
      <c r="F16" s="70" t="str">
        <f>'PIM Model'!$AD$13</f>
        <v/>
      </c>
      <c r="G16" s="69" t="str">
        <f t="shared" si="0"/>
        <v/>
      </c>
      <c r="H16" s="76" t="str">
        <f>'PIM Model'!$D$13</f>
        <v>%</v>
      </c>
      <c r="I16" s="72" t="s">
        <v>695</v>
      </c>
      <c r="J16">
        <v>1.75</v>
      </c>
      <c r="K16" s="71">
        <v>25</v>
      </c>
      <c r="L16" s="63" t="s">
        <v>496</v>
      </c>
    </row>
    <row r="17" spans="1:12" x14ac:dyDescent="0.25">
      <c r="A17" s="63">
        <v>16</v>
      </c>
      <c r="B17" s="63">
        <v>136</v>
      </c>
      <c r="C17" s="63">
        <v>7628</v>
      </c>
      <c r="D17" s="63" t="s">
        <v>693</v>
      </c>
      <c r="E17" s="63" t="s">
        <v>692</v>
      </c>
      <c r="F17" s="70" t="str">
        <f>'PIM Model'!$AD$13</f>
        <v/>
      </c>
      <c r="G17" s="69" t="str">
        <f t="shared" si="0"/>
        <v/>
      </c>
      <c r="H17" s="76" t="str">
        <f>'PIM Model'!$D$13</f>
        <v>%</v>
      </c>
      <c r="I17" s="72" t="s">
        <v>695</v>
      </c>
      <c r="J17">
        <v>1.75</v>
      </c>
      <c r="K17" s="71">
        <v>25</v>
      </c>
      <c r="L17" s="63" t="s">
        <v>496</v>
      </c>
    </row>
    <row r="18" spans="1:12" x14ac:dyDescent="0.25">
      <c r="A18" s="63">
        <v>16</v>
      </c>
      <c r="B18" s="63">
        <v>136</v>
      </c>
      <c r="C18" s="63">
        <v>7629</v>
      </c>
      <c r="D18" s="63" t="s">
        <v>693</v>
      </c>
      <c r="E18" s="63" t="s">
        <v>692</v>
      </c>
      <c r="F18" s="70" t="str">
        <f>'PIM Model'!$AD$13</f>
        <v/>
      </c>
      <c r="G18" s="69" t="str">
        <f t="shared" si="0"/>
        <v/>
      </c>
      <c r="H18" s="76" t="str">
        <f>'PIM Model'!$D$13</f>
        <v>%</v>
      </c>
      <c r="I18" s="72" t="s">
        <v>695</v>
      </c>
      <c r="J18">
        <v>1.75</v>
      </c>
      <c r="K18" s="71">
        <v>25</v>
      </c>
      <c r="L18" s="63" t="s">
        <v>496</v>
      </c>
    </row>
    <row r="19" spans="1:12" x14ac:dyDescent="0.25">
      <c r="A19" s="63">
        <v>16</v>
      </c>
      <c r="B19" s="63">
        <v>136</v>
      </c>
      <c r="C19" s="63">
        <v>7643</v>
      </c>
      <c r="D19" s="63" t="s">
        <v>693</v>
      </c>
      <c r="E19" s="63" t="s">
        <v>692</v>
      </c>
      <c r="F19" s="70" t="str">
        <f>'PIM Model'!$AD$13</f>
        <v/>
      </c>
      <c r="G19" s="69" t="str">
        <f t="shared" si="0"/>
        <v/>
      </c>
      <c r="H19" s="76" t="str">
        <f>'PIM Model'!$D$13</f>
        <v>%</v>
      </c>
      <c r="I19" s="72" t="s">
        <v>695</v>
      </c>
      <c r="J19">
        <v>1.75</v>
      </c>
      <c r="K19" s="71">
        <v>25</v>
      </c>
      <c r="L19" s="63" t="s">
        <v>496</v>
      </c>
    </row>
    <row r="20" spans="1:12" x14ac:dyDescent="0.25">
      <c r="A20" s="63">
        <v>16</v>
      </c>
      <c r="B20" s="63">
        <v>136</v>
      </c>
      <c r="C20" s="63">
        <v>7644</v>
      </c>
      <c r="D20" s="63" t="s">
        <v>693</v>
      </c>
      <c r="E20" s="63" t="s">
        <v>692</v>
      </c>
      <c r="F20" s="70" t="str">
        <f>'PIM Model'!$AD$13</f>
        <v/>
      </c>
      <c r="G20" s="69" t="str">
        <f t="shared" si="0"/>
        <v/>
      </c>
      <c r="H20" s="76" t="str">
        <f>'PIM Model'!$D$13</f>
        <v>%</v>
      </c>
      <c r="I20" s="72" t="s">
        <v>695</v>
      </c>
      <c r="J20">
        <v>1.75</v>
      </c>
      <c r="K20" s="71">
        <v>25</v>
      </c>
      <c r="L20" s="63" t="s">
        <v>496</v>
      </c>
    </row>
    <row r="21" spans="1:12" x14ac:dyDescent="0.25">
      <c r="A21" s="63">
        <v>16</v>
      </c>
      <c r="B21" s="63">
        <v>136</v>
      </c>
      <c r="C21" s="63">
        <v>7645</v>
      </c>
      <c r="D21" s="63" t="s">
        <v>693</v>
      </c>
      <c r="E21" s="63" t="s">
        <v>692</v>
      </c>
      <c r="F21" s="70" t="str">
        <f>'PIM Model'!$AD$13</f>
        <v/>
      </c>
      <c r="G21" s="69" t="str">
        <f t="shared" si="0"/>
        <v/>
      </c>
      <c r="H21" s="76" t="str">
        <f>'PIM Model'!$D$13</f>
        <v>%</v>
      </c>
      <c r="I21" s="72" t="s">
        <v>695</v>
      </c>
      <c r="J21">
        <v>1.75</v>
      </c>
      <c r="K21" s="71">
        <v>25</v>
      </c>
      <c r="L21" s="63" t="s">
        <v>496</v>
      </c>
    </row>
    <row r="22" spans="1:12" x14ac:dyDescent="0.25">
      <c r="A22" s="63">
        <v>16</v>
      </c>
      <c r="B22" s="63">
        <v>136</v>
      </c>
      <c r="C22" s="63">
        <v>7646</v>
      </c>
      <c r="D22" s="63" t="s">
        <v>693</v>
      </c>
      <c r="E22" s="63" t="s">
        <v>692</v>
      </c>
      <c r="F22" s="70" t="str">
        <f>'PIM Model'!$AD$13</f>
        <v/>
      </c>
      <c r="G22" s="69" t="str">
        <f t="shared" si="0"/>
        <v/>
      </c>
      <c r="H22" s="76" t="str">
        <f>'PIM Model'!$D$13</f>
        <v>%</v>
      </c>
      <c r="I22" s="72" t="s">
        <v>695</v>
      </c>
      <c r="J22">
        <v>1.75</v>
      </c>
      <c r="K22" s="71">
        <v>25</v>
      </c>
      <c r="L22" s="63" t="s">
        <v>496</v>
      </c>
    </row>
    <row r="23" spans="1:12" x14ac:dyDescent="0.25">
      <c r="A23" s="63">
        <v>16</v>
      </c>
      <c r="B23" s="63">
        <v>136</v>
      </c>
      <c r="C23" s="63">
        <v>7647</v>
      </c>
      <c r="D23" s="63" t="s">
        <v>693</v>
      </c>
      <c r="E23" s="63" t="s">
        <v>692</v>
      </c>
      <c r="F23" s="70" t="str">
        <f>'PIM Model'!$AD$13</f>
        <v/>
      </c>
      <c r="G23" s="69" t="str">
        <f t="shared" si="0"/>
        <v/>
      </c>
      <c r="H23" s="76" t="str">
        <f>'PIM Model'!$D$13</f>
        <v>%</v>
      </c>
      <c r="I23" s="72" t="s">
        <v>695</v>
      </c>
      <c r="J23">
        <v>1.75</v>
      </c>
      <c r="K23" s="71">
        <v>25</v>
      </c>
      <c r="L23" s="63" t="s">
        <v>496</v>
      </c>
    </row>
    <row r="24" spans="1:12" x14ac:dyDescent="0.25">
      <c r="A24" s="63">
        <v>16</v>
      </c>
      <c r="B24" s="63">
        <v>136</v>
      </c>
      <c r="C24" s="63">
        <v>7648</v>
      </c>
      <c r="D24" s="63" t="s">
        <v>693</v>
      </c>
      <c r="E24" s="63" t="s">
        <v>692</v>
      </c>
      <c r="F24" s="70" t="str">
        <f>'PIM Model'!$AD$13</f>
        <v/>
      </c>
      <c r="G24" s="69" t="str">
        <f t="shared" si="0"/>
        <v/>
      </c>
      <c r="H24" s="76" t="str">
        <f>'PIM Model'!$D$13</f>
        <v>%</v>
      </c>
      <c r="I24" s="72" t="s">
        <v>695</v>
      </c>
      <c r="J24">
        <v>1.75</v>
      </c>
      <c r="K24" s="71">
        <v>25</v>
      </c>
      <c r="L24" s="63" t="s">
        <v>496</v>
      </c>
    </row>
    <row r="25" spans="1:12" x14ac:dyDescent="0.25">
      <c r="A25" s="63">
        <v>16</v>
      </c>
      <c r="B25" s="63">
        <v>136</v>
      </c>
      <c r="C25" s="63">
        <v>7649</v>
      </c>
      <c r="D25" s="63" t="s">
        <v>693</v>
      </c>
      <c r="E25" s="63" t="s">
        <v>692</v>
      </c>
      <c r="F25" s="70" t="str">
        <f>'PIM Model'!$AD$13</f>
        <v/>
      </c>
      <c r="G25" s="69" t="str">
        <f t="shared" si="0"/>
        <v/>
      </c>
      <c r="H25" s="76" t="str">
        <f>'PIM Model'!$D$13</f>
        <v>%</v>
      </c>
      <c r="I25" s="72" t="s">
        <v>695</v>
      </c>
      <c r="J25">
        <v>1.75</v>
      </c>
      <c r="K25" s="71">
        <v>25</v>
      </c>
      <c r="L25" s="63" t="s">
        <v>496</v>
      </c>
    </row>
    <row r="26" spans="1:12" x14ac:dyDescent="0.25">
      <c r="A26" s="63">
        <v>16</v>
      </c>
      <c r="B26" s="63">
        <v>136</v>
      </c>
      <c r="C26" s="63">
        <v>7738</v>
      </c>
      <c r="D26" s="63" t="s">
        <v>693</v>
      </c>
      <c r="E26" s="63" t="s">
        <v>692</v>
      </c>
      <c r="F26" s="70" t="str">
        <f>'PIM Model'!$AD$13</f>
        <v/>
      </c>
      <c r="G26" s="69" t="str">
        <f t="shared" si="0"/>
        <v/>
      </c>
      <c r="H26" s="76" t="str">
        <f>'PIM Model'!$D$13</f>
        <v>%</v>
      </c>
      <c r="I26" s="72" t="s">
        <v>695</v>
      </c>
      <c r="J26">
        <v>1.75</v>
      </c>
      <c r="K26" s="71">
        <v>25</v>
      </c>
      <c r="L26" s="63" t="s">
        <v>496</v>
      </c>
    </row>
    <row r="27" spans="1:12" x14ac:dyDescent="0.25">
      <c r="A27" s="63">
        <v>16</v>
      </c>
      <c r="B27" s="63">
        <v>136</v>
      </c>
      <c r="C27" s="63">
        <v>7739</v>
      </c>
      <c r="D27" s="63" t="s">
        <v>693</v>
      </c>
      <c r="E27" s="63" t="s">
        <v>692</v>
      </c>
      <c r="F27" s="70" t="str">
        <f>'PIM Model'!$AD$13</f>
        <v/>
      </c>
      <c r="G27" s="69" t="str">
        <f t="shared" si="0"/>
        <v/>
      </c>
      <c r="H27" s="76" t="str">
        <f>'PIM Model'!$D$13</f>
        <v>%</v>
      </c>
      <c r="I27" s="72" t="s">
        <v>695</v>
      </c>
      <c r="J27">
        <v>1.75</v>
      </c>
      <c r="K27" s="71">
        <v>25</v>
      </c>
      <c r="L27" s="63" t="s">
        <v>496</v>
      </c>
    </row>
    <row r="28" spans="1:12" x14ac:dyDescent="0.25">
      <c r="A28" s="63">
        <v>16</v>
      </c>
      <c r="B28" s="63">
        <v>136</v>
      </c>
      <c r="C28" s="63">
        <v>7744</v>
      </c>
      <c r="D28" s="63" t="s">
        <v>693</v>
      </c>
      <c r="E28" s="63" t="s">
        <v>692</v>
      </c>
      <c r="F28" s="70" t="str">
        <f>'PIM Model'!$AD$13</f>
        <v/>
      </c>
      <c r="G28" s="69" t="str">
        <f t="shared" si="0"/>
        <v/>
      </c>
      <c r="H28" s="76" t="str">
        <f>'PIM Model'!$D$13</f>
        <v>%</v>
      </c>
      <c r="I28" s="72" t="s">
        <v>695</v>
      </c>
      <c r="J28">
        <v>1.75</v>
      </c>
      <c r="K28" s="71">
        <v>25</v>
      </c>
      <c r="L28" s="63" t="s">
        <v>496</v>
      </c>
    </row>
    <row r="29" spans="1:12" x14ac:dyDescent="0.25">
      <c r="A29" s="63">
        <v>16</v>
      </c>
      <c r="B29" s="63">
        <v>136</v>
      </c>
      <c r="C29" s="63">
        <v>7745</v>
      </c>
      <c r="D29" s="63" t="s">
        <v>693</v>
      </c>
      <c r="E29" s="63" t="s">
        <v>692</v>
      </c>
      <c r="F29" s="70" t="str">
        <f>'PIM Model'!$AD$13</f>
        <v/>
      </c>
      <c r="G29" s="69" t="str">
        <f t="shared" si="0"/>
        <v/>
      </c>
      <c r="H29" s="76" t="str">
        <f>'PIM Model'!$D$13</f>
        <v>%</v>
      </c>
      <c r="I29" s="72" t="s">
        <v>695</v>
      </c>
      <c r="J29">
        <v>1.75</v>
      </c>
      <c r="K29" s="71">
        <v>25</v>
      </c>
      <c r="L29" s="63" t="s">
        <v>496</v>
      </c>
    </row>
    <row r="30" spans="1:12" x14ac:dyDescent="0.25">
      <c r="A30" s="63">
        <v>16</v>
      </c>
      <c r="B30" s="63">
        <v>136</v>
      </c>
      <c r="C30" s="63">
        <v>7746</v>
      </c>
      <c r="D30" s="63" t="s">
        <v>693</v>
      </c>
      <c r="E30" s="63" t="s">
        <v>692</v>
      </c>
      <c r="F30" s="70" t="str">
        <f>'PIM Model'!$AD$13</f>
        <v/>
      </c>
      <c r="G30" s="69" t="str">
        <f t="shared" si="0"/>
        <v/>
      </c>
      <c r="H30" s="76" t="str">
        <f>'PIM Model'!$D$13</f>
        <v>%</v>
      </c>
      <c r="I30" s="72" t="s">
        <v>695</v>
      </c>
      <c r="J30">
        <v>1.75</v>
      </c>
      <c r="K30" s="71">
        <v>25</v>
      </c>
      <c r="L30" s="63" t="s">
        <v>496</v>
      </c>
    </row>
    <row r="31" spans="1:12" x14ac:dyDescent="0.25">
      <c r="A31" s="63">
        <v>16</v>
      </c>
      <c r="B31" s="63">
        <v>136</v>
      </c>
      <c r="C31" s="63">
        <v>8216</v>
      </c>
      <c r="D31" s="63" t="s">
        <v>693</v>
      </c>
      <c r="E31" s="63" t="s">
        <v>692</v>
      </c>
      <c r="F31" s="70" t="str">
        <f>'PIM Model'!$AD$13</f>
        <v/>
      </c>
      <c r="G31" s="69" t="str">
        <f t="shared" ref="G31:G32" si="1">F31</f>
        <v/>
      </c>
      <c r="H31" s="76" t="str">
        <f>'PIM Model'!$D$13</f>
        <v>%</v>
      </c>
      <c r="I31" s="72" t="s">
        <v>695</v>
      </c>
      <c r="J31">
        <v>1.75</v>
      </c>
      <c r="K31" s="71">
        <v>25</v>
      </c>
      <c r="L31" s="63" t="s">
        <v>496</v>
      </c>
    </row>
    <row r="32" spans="1:12" x14ac:dyDescent="0.25">
      <c r="A32" s="63">
        <v>16</v>
      </c>
      <c r="B32" s="63">
        <v>136</v>
      </c>
      <c r="C32" s="63">
        <v>8219</v>
      </c>
      <c r="D32" s="63" t="s">
        <v>693</v>
      </c>
      <c r="E32" s="63" t="s">
        <v>692</v>
      </c>
      <c r="F32" s="70" t="str">
        <f>'PIM Model'!$AD$13</f>
        <v/>
      </c>
      <c r="G32" s="69" t="str">
        <f t="shared" si="1"/>
        <v/>
      </c>
      <c r="H32" s="76" t="str">
        <f>'PIM Model'!$D$13</f>
        <v>%</v>
      </c>
      <c r="I32" s="72" t="s">
        <v>695</v>
      </c>
      <c r="J32">
        <v>1.75</v>
      </c>
      <c r="K32" s="71">
        <v>25</v>
      </c>
      <c r="L32" s="63" t="s">
        <v>496</v>
      </c>
    </row>
    <row r="33" spans="1:12" x14ac:dyDescent="0.25">
      <c r="A33" s="63">
        <v>17</v>
      </c>
      <c r="B33" s="63">
        <v>0</v>
      </c>
      <c r="C33" s="63">
        <v>0</v>
      </c>
      <c r="D33" s="63" t="s">
        <v>691</v>
      </c>
      <c r="E33" s="63" t="str">
        <f>IF('PRIME Headers'!$C$20="No","PWW","P07")</f>
        <v>P07</v>
      </c>
      <c r="F33" s="70" t="str">
        <f>'PIM Model'!$AD$19</f>
        <v/>
      </c>
      <c r="G33" s="69" t="str">
        <f t="shared" si="0"/>
        <v/>
      </c>
      <c r="H33" s="76" t="str">
        <f>'PIM Model'!$D$19</f>
        <v>%</v>
      </c>
      <c r="I33" s="72" t="s">
        <v>695</v>
      </c>
      <c r="J33">
        <v>1.75</v>
      </c>
      <c r="K33" s="71">
        <v>25</v>
      </c>
      <c r="L33" s="63" t="s">
        <v>496</v>
      </c>
    </row>
    <row r="34" spans="1:12" x14ac:dyDescent="0.25">
      <c r="A34" s="63">
        <v>18</v>
      </c>
      <c r="B34" s="63">
        <v>0</v>
      </c>
      <c r="C34" s="63">
        <v>0</v>
      </c>
      <c r="D34" s="63" t="s">
        <v>693</v>
      </c>
      <c r="E34" s="63" t="s">
        <v>692</v>
      </c>
      <c r="F34" s="70" t="str">
        <f>'PIM Model'!$AD$14</f>
        <v/>
      </c>
      <c r="G34" s="69" t="str">
        <f t="shared" si="0"/>
        <v/>
      </c>
      <c r="H34" s="76" t="str">
        <f>'PIM Model'!$D$14</f>
        <v>%</v>
      </c>
      <c r="I34" s="72" t="s">
        <v>695</v>
      </c>
      <c r="J34">
        <v>1.75</v>
      </c>
      <c r="K34" s="71">
        <v>25</v>
      </c>
      <c r="L34" s="63" t="s">
        <v>496</v>
      </c>
    </row>
    <row r="35" spans="1:12" x14ac:dyDescent="0.25">
      <c r="A35" s="63">
        <v>19</v>
      </c>
      <c r="B35" s="63">
        <v>0</v>
      </c>
      <c r="C35" s="63">
        <v>0</v>
      </c>
      <c r="D35" s="63" t="s">
        <v>691</v>
      </c>
      <c r="E35" s="63" t="str">
        <f>IF('PRIME Headers'!$C$20="No","PWW","P07")</f>
        <v>P07</v>
      </c>
      <c r="F35" s="70" t="str">
        <f>'PIM Model'!$AD$15</f>
        <v/>
      </c>
      <c r="G35" s="69" t="str">
        <f t="shared" si="0"/>
        <v/>
      </c>
      <c r="H35" s="76" t="str">
        <f>'PIM Model'!$D$15</f>
        <v>%</v>
      </c>
      <c r="I35" s="72" t="s">
        <v>695</v>
      </c>
      <c r="J35">
        <v>1.75</v>
      </c>
      <c r="K35" s="71">
        <v>25</v>
      </c>
      <c r="L35" s="63" t="s">
        <v>496</v>
      </c>
    </row>
    <row r="36" spans="1:12" x14ac:dyDescent="0.25">
      <c r="A36" s="63">
        <v>20</v>
      </c>
      <c r="B36" s="63">
        <v>0</v>
      </c>
      <c r="C36" s="63">
        <v>0</v>
      </c>
      <c r="D36" s="63" t="s">
        <v>691</v>
      </c>
      <c r="E36" s="63" t="str">
        <f>IF('PRIME Headers'!$C$20="No","PWW","P07")</f>
        <v>P07</v>
      </c>
      <c r="F36" s="69" t="str">
        <f>'PIM Model'!$AD$10</f>
        <v/>
      </c>
      <c r="G36" s="69" t="str">
        <f t="shared" si="0"/>
        <v/>
      </c>
      <c r="H36" s="76" t="str">
        <f>'PIM Model'!$D$10</f>
        <v>%</v>
      </c>
      <c r="I36" s="72" t="s">
        <v>695</v>
      </c>
      <c r="J36">
        <v>1.75</v>
      </c>
      <c r="K36" s="71">
        <v>25</v>
      </c>
      <c r="L36" s="63" t="s">
        <v>496</v>
      </c>
    </row>
    <row r="37" spans="1:12" x14ac:dyDescent="0.25">
      <c r="A37" s="63">
        <v>21</v>
      </c>
      <c r="B37" s="63">
        <v>0</v>
      </c>
      <c r="C37" s="63">
        <v>0</v>
      </c>
      <c r="D37" s="63" t="s">
        <v>693</v>
      </c>
      <c r="E37" s="63" t="s">
        <v>692</v>
      </c>
      <c r="F37" s="70" t="str">
        <f>'PIM Model'!$AD$16</f>
        <v/>
      </c>
      <c r="G37" s="69" t="str">
        <f>F37</f>
        <v/>
      </c>
      <c r="H37" s="76" t="str">
        <f>'PIM Model'!$D$16</f>
        <v>%</v>
      </c>
      <c r="I37" s="72" t="s">
        <v>695</v>
      </c>
      <c r="J37">
        <v>1.75</v>
      </c>
      <c r="K37" s="71">
        <v>25</v>
      </c>
      <c r="L37" s="63" t="s">
        <v>496</v>
      </c>
    </row>
    <row r="38" spans="1:12" x14ac:dyDescent="0.25">
      <c r="A38" s="63">
        <v>21</v>
      </c>
      <c r="B38" s="63">
        <v>158</v>
      </c>
      <c r="C38" s="63">
        <v>1957</v>
      </c>
      <c r="D38" s="63" t="s">
        <v>691</v>
      </c>
      <c r="E38" s="63" t="str">
        <f>IF('PRIME Headers'!$C$20="No","PWW","P07")</f>
        <v>P07</v>
      </c>
      <c r="F38" s="70" t="str">
        <f>'PIM Model'!$AD$16</f>
        <v/>
      </c>
      <c r="G38" s="69" t="str">
        <f t="shared" si="0"/>
        <v/>
      </c>
      <c r="H38" s="76" t="str">
        <f>'PIM Model'!$D$16</f>
        <v>%</v>
      </c>
      <c r="I38" s="72" t="s">
        <v>695</v>
      </c>
      <c r="J38">
        <v>1.75</v>
      </c>
      <c r="K38" s="71">
        <v>25</v>
      </c>
      <c r="L38" s="63" t="s">
        <v>496</v>
      </c>
    </row>
    <row r="39" spans="1:12" x14ac:dyDescent="0.25">
      <c r="A39" s="63">
        <v>21</v>
      </c>
      <c r="B39" s="63">
        <v>158</v>
      </c>
      <c r="C39" s="63">
        <v>5800</v>
      </c>
      <c r="D39" s="63" t="s">
        <v>691</v>
      </c>
      <c r="E39" s="63" t="str">
        <f>IF('PRIME Headers'!$C$20="No","PWW","P07")</f>
        <v>P07</v>
      </c>
      <c r="F39" s="70" t="str">
        <f>'PIM Model'!$AD$16</f>
        <v/>
      </c>
      <c r="G39" s="69" t="str">
        <f t="shared" si="0"/>
        <v/>
      </c>
      <c r="H39" s="76" t="str">
        <f>'PIM Model'!$D$16</f>
        <v>%</v>
      </c>
      <c r="I39" s="72" t="s">
        <v>695</v>
      </c>
      <c r="J39">
        <v>1.75</v>
      </c>
      <c r="K39" s="71">
        <v>25</v>
      </c>
      <c r="L39" s="63" t="s">
        <v>496</v>
      </c>
    </row>
    <row r="40" spans="1:12" x14ac:dyDescent="0.25">
      <c r="A40" s="63">
        <v>21</v>
      </c>
      <c r="B40" s="63">
        <v>161</v>
      </c>
      <c r="C40" s="63">
        <v>0</v>
      </c>
      <c r="D40" s="63" t="s">
        <v>691</v>
      </c>
      <c r="E40" s="63" t="str">
        <f>IF('PRIME Headers'!$C$20="No","PWW","P07")</f>
        <v>P07</v>
      </c>
      <c r="F40" s="70" t="str">
        <f>'PIM Model'!$AD$16</f>
        <v/>
      </c>
      <c r="G40" s="69" t="str">
        <f t="shared" si="0"/>
        <v/>
      </c>
      <c r="H40" s="76" t="str">
        <f>'PIM Model'!$D$16</f>
        <v>%</v>
      </c>
      <c r="I40" s="72" t="s">
        <v>695</v>
      </c>
      <c r="J40">
        <v>1.75</v>
      </c>
      <c r="K40" s="71">
        <v>25</v>
      </c>
      <c r="L40" s="63" t="s">
        <v>496</v>
      </c>
    </row>
    <row r="41" spans="1:12" x14ac:dyDescent="0.25">
      <c r="A41" s="63">
        <v>21</v>
      </c>
      <c r="B41" s="63">
        <v>162</v>
      </c>
      <c r="C41" s="63">
        <v>1622</v>
      </c>
      <c r="D41" s="63" t="s">
        <v>691</v>
      </c>
      <c r="E41" s="63" t="str">
        <f>IF('PRIME Headers'!$C$20="No","PWW","P07")</f>
        <v>P07</v>
      </c>
      <c r="F41" s="70" t="str">
        <f>'PIM Model'!$AD$16</f>
        <v/>
      </c>
      <c r="G41" s="69" t="str">
        <f t="shared" si="0"/>
        <v/>
      </c>
      <c r="H41" s="76" t="str">
        <f>'PIM Model'!$D$16</f>
        <v>%</v>
      </c>
      <c r="I41" s="72" t="s">
        <v>695</v>
      </c>
      <c r="J41">
        <v>1.75</v>
      </c>
      <c r="K41" s="71">
        <v>25</v>
      </c>
      <c r="L41" s="63" t="s">
        <v>496</v>
      </c>
    </row>
    <row r="42" spans="1:12" x14ac:dyDescent="0.25">
      <c r="A42" s="63">
        <v>21</v>
      </c>
      <c r="B42" s="63">
        <v>162</v>
      </c>
      <c r="C42" s="63">
        <v>1623</v>
      </c>
      <c r="D42" s="63" t="s">
        <v>691</v>
      </c>
      <c r="E42" s="63" t="str">
        <f>IF('PRIME Headers'!$C$20="No","PWW","P07")</f>
        <v>P07</v>
      </c>
      <c r="F42" s="70" t="str">
        <f>'PIM Model'!$AD$16</f>
        <v/>
      </c>
      <c r="G42" s="69" t="str">
        <f t="shared" si="0"/>
        <v/>
      </c>
      <c r="H42" s="76" t="str">
        <f>'PIM Model'!$D$16</f>
        <v>%</v>
      </c>
      <c r="I42" s="72" t="s">
        <v>695</v>
      </c>
      <c r="J42">
        <v>1.75</v>
      </c>
      <c r="K42" s="71">
        <v>25</v>
      </c>
      <c r="L42" s="63" t="s">
        <v>496</v>
      </c>
    </row>
    <row r="43" spans="1:12" x14ac:dyDescent="0.25">
      <c r="A43" s="63">
        <v>21</v>
      </c>
      <c r="B43" s="63">
        <v>162</v>
      </c>
      <c r="C43" s="63">
        <v>3490</v>
      </c>
      <c r="D43" s="63" t="s">
        <v>691</v>
      </c>
      <c r="E43" s="63" t="str">
        <f>IF('PRIME Headers'!$C$20="No","PWW","P07")</f>
        <v>P07</v>
      </c>
      <c r="F43" s="70" t="str">
        <f>'PIM Model'!$AD$16</f>
        <v/>
      </c>
      <c r="G43" s="69" t="str">
        <f t="shared" si="0"/>
        <v/>
      </c>
      <c r="H43" s="76" t="str">
        <f>'PIM Model'!$D$16</f>
        <v>%</v>
      </c>
      <c r="I43" s="72" t="s">
        <v>695</v>
      </c>
      <c r="J43">
        <v>1.75</v>
      </c>
      <c r="K43" s="71">
        <v>25</v>
      </c>
      <c r="L43" s="63" t="s">
        <v>496</v>
      </c>
    </row>
    <row r="44" spans="1:12" x14ac:dyDescent="0.25">
      <c r="A44" s="63">
        <v>21</v>
      </c>
      <c r="B44" s="63">
        <v>162</v>
      </c>
      <c r="C44" s="63">
        <v>3500</v>
      </c>
      <c r="D44" s="63" t="s">
        <v>691</v>
      </c>
      <c r="E44" s="63" t="str">
        <f>IF('PRIME Headers'!$C$20="No","PWW","P07")</f>
        <v>P07</v>
      </c>
      <c r="F44" s="70" t="str">
        <f>'PIM Model'!$AD$16</f>
        <v/>
      </c>
      <c r="G44" s="69" t="str">
        <f t="shared" si="0"/>
        <v/>
      </c>
      <c r="H44" s="76" t="str">
        <f>'PIM Model'!$D$16</f>
        <v>%</v>
      </c>
      <c r="I44" s="72" t="s">
        <v>695</v>
      </c>
      <c r="J44">
        <v>1.75</v>
      </c>
      <c r="K44" s="71">
        <v>25</v>
      </c>
      <c r="L44" s="63" t="s">
        <v>496</v>
      </c>
    </row>
    <row r="45" spans="1:12" x14ac:dyDescent="0.25">
      <c r="A45" s="63">
        <v>21</v>
      </c>
      <c r="B45" s="63">
        <v>162</v>
      </c>
      <c r="C45" s="63">
        <v>7625</v>
      </c>
      <c r="D45" s="63" t="s">
        <v>691</v>
      </c>
      <c r="E45" s="63" t="str">
        <f>IF('PRIME Headers'!$C$20="No","PWW","P07")</f>
        <v>P07</v>
      </c>
      <c r="F45" s="70" t="str">
        <f>'PIM Model'!$AD$16</f>
        <v/>
      </c>
      <c r="G45" s="69" t="str">
        <f t="shared" si="0"/>
        <v/>
      </c>
      <c r="H45" s="76" t="str">
        <f>'PIM Model'!$D$16</f>
        <v>%</v>
      </c>
      <c r="I45" s="72" t="s">
        <v>695</v>
      </c>
      <c r="J45">
        <v>1.75</v>
      </c>
      <c r="K45" s="71">
        <v>25</v>
      </c>
      <c r="L45" s="63" t="s">
        <v>496</v>
      </c>
    </row>
    <row r="46" spans="1:12" x14ac:dyDescent="0.25">
      <c r="A46" s="63">
        <v>21</v>
      </c>
      <c r="B46" s="63">
        <v>162</v>
      </c>
      <c r="C46" s="63">
        <v>7636</v>
      </c>
      <c r="D46" s="63" t="s">
        <v>691</v>
      </c>
      <c r="E46" s="63" t="str">
        <f>IF('PRIME Headers'!$C$20="No","PWW","P07")</f>
        <v>P07</v>
      </c>
      <c r="F46" s="70" t="str">
        <f>'PIM Model'!$AD$16</f>
        <v/>
      </c>
      <c r="G46" s="69" t="str">
        <f t="shared" si="0"/>
        <v/>
      </c>
      <c r="H46" s="76" t="str">
        <f>'PIM Model'!$D$16</f>
        <v>%</v>
      </c>
      <c r="I46" s="72" t="s">
        <v>695</v>
      </c>
      <c r="J46">
        <v>1.75</v>
      </c>
      <c r="K46" s="71">
        <v>25</v>
      </c>
      <c r="L46" s="63" t="s">
        <v>496</v>
      </c>
    </row>
    <row r="47" spans="1:12" x14ac:dyDescent="0.25">
      <c r="A47" s="63">
        <v>22</v>
      </c>
      <c r="B47" s="63">
        <v>0</v>
      </c>
      <c r="C47" s="63">
        <v>0</v>
      </c>
      <c r="D47" s="63" t="s">
        <v>691</v>
      </c>
      <c r="E47" s="63" t="str">
        <f>IF('PRIME Headers'!$C$20="No","PWW","P07")</f>
        <v>P07</v>
      </c>
      <c r="F47" s="70" t="str">
        <f>'PIM Model'!$AD$20</f>
        <v/>
      </c>
      <c r="G47" s="69" t="str">
        <f t="shared" si="0"/>
        <v/>
      </c>
      <c r="H47" s="76" t="str">
        <f>'PIM Model'!$D$20</f>
        <v>%</v>
      </c>
      <c r="I47" s="72" t="s">
        <v>695</v>
      </c>
      <c r="J47">
        <v>1.75</v>
      </c>
      <c r="K47" s="71">
        <v>25</v>
      </c>
      <c r="L47" s="63" t="s">
        <v>496</v>
      </c>
    </row>
    <row r="48" spans="1:12" x14ac:dyDescent="0.25">
      <c r="A48" s="63">
        <v>22</v>
      </c>
      <c r="B48" s="63">
        <v>171</v>
      </c>
      <c r="C48" s="63">
        <v>1400</v>
      </c>
      <c r="D48" s="63" t="s">
        <v>693</v>
      </c>
      <c r="E48" s="63" t="s">
        <v>692</v>
      </c>
      <c r="F48" s="70" t="str">
        <f>'PIM Model'!$AD$20</f>
        <v/>
      </c>
      <c r="G48" s="69" t="str">
        <f t="shared" si="0"/>
        <v/>
      </c>
      <c r="H48" s="76" t="str">
        <f>'PIM Model'!$D$20</f>
        <v>%</v>
      </c>
      <c r="I48" s="72" t="s">
        <v>695</v>
      </c>
      <c r="J48">
        <v>1.75</v>
      </c>
      <c r="K48" s="71">
        <v>25</v>
      </c>
      <c r="L48" s="63" t="s">
        <v>496</v>
      </c>
    </row>
    <row r="49" spans="1:12" x14ac:dyDescent="0.25">
      <c r="A49" s="63">
        <v>22</v>
      </c>
      <c r="B49" s="63">
        <v>174</v>
      </c>
      <c r="C49" s="63">
        <v>1414</v>
      </c>
      <c r="D49" s="63" t="s">
        <v>693</v>
      </c>
      <c r="E49" s="63" t="s">
        <v>692</v>
      </c>
      <c r="F49" s="70" t="str">
        <f>'PIM Model'!$AD$20</f>
        <v/>
      </c>
      <c r="G49" s="69" t="str">
        <f t="shared" si="0"/>
        <v/>
      </c>
      <c r="H49" s="76" t="str">
        <f>'PIM Model'!$D$20</f>
        <v>%</v>
      </c>
      <c r="I49" s="72" t="s">
        <v>695</v>
      </c>
      <c r="J49">
        <v>1.75</v>
      </c>
      <c r="K49" s="71">
        <v>25</v>
      </c>
      <c r="L49" s="63" t="s">
        <v>496</v>
      </c>
    </row>
    <row r="50" spans="1:12" x14ac:dyDescent="0.25">
      <c r="A50" s="63">
        <v>22</v>
      </c>
      <c r="B50" s="63">
        <v>176</v>
      </c>
      <c r="C50" s="63">
        <v>0</v>
      </c>
      <c r="D50" s="63" t="s">
        <v>693</v>
      </c>
      <c r="E50" s="63" t="s">
        <v>692</v>
      </c>
      <c r="F50" s="70" t="str">
        <f>'PIM Model'!$AD$20</f>
        <v/>
      </c>
      <c r="G50" s="69" t="str">
        <f t="shared" si="0"/>
        <v/>
      </c>
      <c r="H50" s="76" t="str">
        <f>'PIM Model'!$D$20</f>
        <v>%</v>
      </c>
      <c r="I50" s="72" t="s">
        <v>695</v>
      </c>
      <c r="J50">
        <v>1.75</v>
      </c>
      <c r="K50" s="71">
        <v>25</v>
      </c>
      <c r="L50" s="63" t="s">
        <v>496</v>
      </c>
    </row>
    <row r="51" spans="1:12" x14ac:dyDescent="0.25">
      <c r="A51" s="63">
        <v>22</v>
      </c>
      <c r="B51" s="63">
        <v>177</v>
      </c>
      <c r="C51" s="63">
        <v>1886</v>
      </c>
      <c r="D51" s="63" t="s">
        <v>691</v>
      </c>
      <c r="E51" s="63" t="str">
        <f>IF('PRIME Headers'!$C$20="No","PWW","P07")</f>
        <v>P07</v>
      </c>
      <c r="F51" s="70" t="str">
        <f>'PIM Model'!$AD$20</f>
        <v/>
      </c>
      <c r="G51" s="69" t="str">
        <f t="shared" si="0"/>
        <v/>
      </c>
      <c r="H51" s="76" t="str">
        <f>'PIM Model'!$D$20</f>
        <v>%</v>
      </c>
      <c r="I51" s="72" t="s">
        <v>695</v>
      </c>
      <c r="J51">
        <v>1.75</v>
      </c>
      <c r="K51" s="75">
        <v>0</v>
      </c>
      <c r="L51" s="75" t="s">
        <v>249</v>
      </c>
    </row>
    <row r="52" spans="1:12" x14ac:dyDescent="0.25">
      <c r="A52" s="63">
        <v>22</v>
      </c>
      <c r="B52" s="63">
        <v>177</v>
      </c>
      <c r="C52" s="63">
        <v>1908</v>
      </c>
      <c r="D52" s="63" t="s">
        <v>691</v>
      </c>
      <c r="E52" s="63" t="str">
        <f>IF('PRIME Headers'!$C$20="No","PWW","P07")</f>
        <v>P07</v>
      </c>
      <c r="F52" s="70" t="str">
        <f>'PIM Model'!$AD$20</f>
        <v/>
      </c>
      <c r="G52" s="69" t="str">
        <f t="shared" si="0"/>
        <v/>
      </c>
      <c r="H52" s="76" t="str">
        <f>'PIM Model'!$D$20</f>
        <v>%</v>
      </c>
      <c r="I52" s="72" t="s">
        <v>695</v>
      </c>
      <c r="J52">
        <v>1.75</v>
      </c>
      <c r="K52" s="75">
        <v>0</v>
      </c>
      <c r="L52" s="75" t="s">
        <v>249</v>
      </c>
    </row>
    <row r="53" spans="1:12" x14ac:dyDescent="0.25">
      <c r="A53" s="63">
        <v>22</v>
      </c>
      <c r="B53" s="63">
        <v>177</v>
      </c>
      <c r="C53" s="63">
        <v>3340</v>
      </c>
      <c r="D53" s="63" t="s">
        <v>691</v>
      </c>
      <c r="E53" s="63" t="str">
        <f>IF('PRIME Headers'!$C$20="No","PWW","P07")</f>
        <v>P07</v>
      </c>
      <c r="F53" s="70" t="str">
        <f>'PIM Model'!$AD$20</f>
        <v/>
      </c>
      <c r="G53" s="69" t="str">
        <f t="shared" si="0"/>
        <v/>
      </c>
      <c r="H53" s="76" t="str">
        <f>'PIM Model'!$D$20</f>
        <v>%</v>
      </c>
      <c r="I53" s="72" t="s">
        <v>695</v>
      </c>
      <c r="J53">
        <v>1.75</v>
      </c>
      <c r="K53" s="75">
        <v>0</v>
      </c>
      <c r="L53" s="75" t="s">
        <v>249</v>
      </c>
    </row>
    <row r="54" spans="1:12" x14ac:dyDescent="0.25">
      <c r="A54" s="63">
        <v>22</v>
      </c>
      <c r="B54" s="63">
        <v>177</v>
      </c>
      <c r="C54" s="63">
        <v>3820</v>
      </c>
      <c r="D54" s="63" t="s">
        <v>691</v>
      </c>
      <c r="E54" s="63" t="str">
        <f>IF('PRIME Headers'!$C$20="No","PWW","P07")</f>
        <v>P07</v>
      </c>
      <c r="F54" s="70" t="str">
        <f>'PIM Model'!$AD$20</f>
        <v/>
      </c>
      <c r="G54" s="69" t="str">
        <f t="shared" si="0"/>
        <v/>
      </c>
      <c r="H54" s="76" t="str">
        <f>'PIM Model'!$D$20</f>
        <v>%</v>
      </c>
      <c r="I54" s="72" t="s">
        <v>695</v>
      </c>
      <c r="J54">
        <v>1.75</v>
      </c>
      <c r="K54" s="75">
        <v>0</v>
      </c>
      <c r="L54" s="75" t="s">
        <v>249</v>
      </c>
    </row>
    <row r="55" spans="1:12" x14ac:dyDescent="0.25">
      <c r="A55" s="63">
        <v>22</v>
      </c>
      <c r="B55" s="63">
        <v>177</v>
      </c>
      <c r="C55" s="63">
        <v>7733</v>
      </c>
      <c r="D55" s="63" t="s">
        <v>691</v>
      </c>
      <c r="E55" s="63" t="str">
        <f>IF('PRIME Headers'!$C$20="No","PWW","P07")</f>
        <v>P07</v>
      </c>
      <c r="F55" s="70" t="str">
        <f>'PIM Model'!$AD$20</f>
        <v/>
      </c>
      <c r="G55" s="69" t="str">
        <f t="shared" si="0"/>
        <v/>
      </c>
      <c r="H55" s="76" t="str">
        <f>'PIM Model'!$D$20</f>
        <v>%</v>
      </c>
      <c r="I55" s="72" t="s">
        <v>695</v>
      </c>
      <c r="J55">
        <v>1.75</v>
      </c>
      <c r="K55" s="75">
        <v>0</v>
      </c>
      <c r="L55" s="75" t="s">
        <v>249</v>
      </c>
    </row>
    <row r="56" spans="1:12" x14ac:dyDescent="0.25">
      <c r="A56" s="63">
        <v>22</v>
      </c>
      <c r="B56" s="63">
        <v>180</v>
      </c>
      <c r="C56" s="63">
        <v>0</v>
      </c>
      <c r="D56" s="63" t="s">
        <v>693</v>
      </c>
      <c r="E56" s="63" t="s">
        <v>692</v>
      </c>
      <c r="F56" s="70" t="str">
        <f>'PIM Model'!$AD$20</f>
        <v/>
      </c>
      <c r="G56" s="69" t="str">
        <f t="shared" si="0"/>
        <v/>
      </c>
      <c r="H56" s="76" t="str">
        <f>'PIM Model'!$D$20</f>
        <v>%</v>
      </c>
      <c r="I56" s="72" t="s">
        <v>695</v>
      </c>
      <c r="J56">
        <v>1.75</v>
      </c>
      <c r="K56" s="71">
        <v>25</v>
      </c>
      <c r="L56" s="63" t="s">
        <v>496</v>
      </c>
    </row>
    <row r="57" spans="1:12" x14ac:dyDescent="0.25">
      <c r="A57" s="63">
        <v>22</v>
      </c>
      <c r="B57" s="63">
        <v>232</v>
      </c>
      <c r="C57" s="63">
        <v>1727</v>
      </c>
      <c r="D57" s="63" t="s">
        <v>693</v>
      </c>
      <c r="E57" s="63" t="s">
        <v>692</v>
      </c>
      <c r="F57" s="70" t="str">
        <f>'PIM Model'!$AD$20</f>
        <v/>
      </c>
      <c r="G57" s="69" t="str">
        <f t="shared" si="0"/>
        <v/>
      </c>
      <c r="H57" s="76" t="str">
        <f>'PIM Model'!$D$20</f>
        <v>%</v>
      </c>
      <c r="I57" s="72" t="s">
        <v>695</v>
      </c>
      <c r="J57">
        <v>1.75</v>
      </c>
      <c r="K57" s="71">
        <v>25</v>
      </c>
      <c r="L57" s="63" t="s">
        <v>496</v>
      </c>
    </row>
    <row r="58" spans="1:12" x14ac:dyDescent="0.25">
      <c r="A58" s="63">
        <v>22</v>
      </c>
      <c r="B58" s="63">
        <v>235</v>
      </c>
      <c r="C58" s="63">
        <v>1728</v>
      </c>
      <c r="D58" s="63" t="s">
        <v>693</v>
      </c>
      <c r="E58" s="63" t="s">
        <v>692</v>
      </c>
      <c r="F58" s="70" t="str">
        <f>'PIM Model'!$AD$20</f>
        <v/>
      </c>
      <c r="G58" s="69" t="str">
        <f t="shared" si="0"/>
        <v/>
      </c>
      <c r="H58" s="76" t="str">
        <f>'PIM Model'!$D$20</f>
        <v>%</v>
      </c>
      <c r="I58" s="72" t="s">
        <v>695</v>
      </c>
      <c r="J58">
        <v>1.75</v>
      </c>
      <c r="K58" s="71">
        <v>25</v>
      </c>
      <c r="L58" s="63" t="s">
        <v>496</v>
      </c>
    </row>
    <row r="59" spans="1:12" x14ac:dyDescent="0.25">
      <c r="A59" s="63">
        <v>23</v>
      </c>
      <c r="B59" s="63">
        <v>0</v>
      </c>
      <c r="C59" s="63">
        <v>0</v>
      </c>
      <c r="D59" s="63" t="s">
        <v>691</v>
      </c>
      <c r="E59" s="63" t="str">
        <f>IF('PRIME Headers'!$C$20="No","PWW","P07")</f>
        <v>P07</v>
      </c>
      <c r="F59" s="70" t="str">
        <f>'PIM Model'!$AD$18</f>
        <v/>
      </c>
      <c r="G59" s="69" t="str">
        <f>F59</f>
        <v/>
      </c>
      <c r="H59" s="76" t="str">
        <f>'PIM Model'!$D$18</f>
        <v>%</v>
      </c>
      <c r="I59" s="72" t="s">
        <v>695</v>
      </c>
      <c r="J59">
        <v>1.75</v>
      </c>
      <c r="K59" s="71">
        <v>25</v>
      </c>
      <c r="L59" s="63" t="s">
        <v>496</v>
      </c>
    </row>
    <row r="60" spans="1:12" x14ac:dyDescent="0.25">
      <c r="A60" s="63">
        <v>24</v>
      </c>
      <c r="B60" s="63">
        <v>0</v>
      </c>
      <c r="C60" s="63">
        <v>0</v>
      </c>
      <c r="D60" s="63" t="s">
        <v>691</v>
      </c>
      <c r="E60" s="63" t="str">
        <f>IF('PRIME Headers'!$C$20="No","PWW","P07")</f>
        <v>P07</v>
      </c>
      <c r="F60" s="70" t="str">
        <f>'PIM Model'!$AD$17</f>
        <v/>
      </c>
      <c r="G60" s="69" t="str">
        <f t="shared" si="0"/>
        <v/>
      </c>
      <c r="H60" s="76" t="str">
        <f>'PIM Model'!$D$17</f>
        <v>%</v>
      </c>
      <c r="I60" s="72" t="s">
        <v>695</v>
      </c>
      <c r="J60">
        <v>1.75</v>
      </c>
      <c r="K60" s="71">
        <v>25</v>
      </c>
      <c r="L60" s="63" t="s">
        <v>496</v>
      </c>
    </row>
    <row r="61" spans="1:12" x14ac:dyDescent="0.25">
      <c r="A61" s="63">
        <v>25</v>
      </c>
      <c r="B61" s="63">
        <v>0</v>
      </c>
      <c r="C61" s="63">
        <v>0</v>
      </c>
      <c r="D61" s="63" t="s">
        <v>693</v>
      </c>
      <c r="E61" s="63" t="s">
        <v>694</v>
      </c>
      <c r="F61" s="70" t="str">
        <f>'PIM Model'!$AD$27</f>
        <v/>
      </c>
      <c r="G61" s="69" t="str">
        <f t="shared" si="0"/>
        <v/>
      </c>
      <c r="H61" s="76" t="str">
        <f>IF('PIM Model'!$D$27="$/CS","$","%")</f>
        <v>%</v>
      </c>
      <c r="I61" s="72" t="s">
        <v>695</v>
      </c>
      <c r="J61">
        <v>1.75</v>
      </c>
      <c r="K61" s="71">
        <v>25</v>
      </c>
      <c r="L61" s="63" t="s">
        <v>496</v>
      </c>
    </row>
    <row r="62" spans="1:12" x14ac:dyDescent="0.25">
      <c r="A62" s="63">
        <v>26</v>
      </c>
      <c r="B62" s="63">
        <v>0</v>
      </c>
      <c r="C62" s="63">
        <v>0</v>
      </c>
      <c r="D62" s="63" t="s">
        <v>691</v>
      </c>
      <c r="E62" s="63" t="str">
        <f>IF('PRIME Headers'!$C$20="No","PWW","P07")</f>
        <v>P07</v>
      </c>
      <c r="F62" s="70" t="str">
        <f>'PIM Model'!$AD$21</f>
        <v/>
      </c>
      <c r="G62" s="69" t="str">
        <f t="shared" si="0"/>
        <v/>
      </c>
      <c r="H62" s="76" t="str">
        <f>'PIM Model'!$D$21</f>
        <v>%</v>
      </c>
      <c r="I62" s="72" t="s">
        <v>695</v>
      </c>
      <c r="J62">
        <v>1.75</v>
      </c>
      <c r="K62" s="71">
        <v>25</v>
      </c>
      <c r="L62" s="63" t="s">
        <v>496</v>
      </c>
    </row>
    <row r="63" spans="1:12" x14ac:dyDescent="0.25">
      <c r="A63" s="63">
        <v>26</v>
      </c>
      <c r="B63" s="63">
        <v>310</v>
      </c>
      <c r="C63" s="63">
        <v>5390</v>
      </c>
      <c r="D63" s="63" t="s">
        <v>693</v>
      </c>
      <c r="E63" s="63" t="s">
        <v>692</v>
      </c>
      <c r="F63" s="70" t="str">
        <f>'PIM Model'!$AD$21</f>
        <v/>
      </c>
      <c r="G63" s="69" t="str">
        <f t="shared" si="0"/>
        <v/>
      </c>
      <c r="H63" s="76" t="str">
        <f>'PIM Model'!$D$22</f>
        <v>%</v>
      </c>
      <c r="I63" s="72" t="s">
        <v>695</v>
      </c>
      <c r="J63">
        <v>1.75</v>
      </c>
      <c r="K63" s="71">
        <v>25</v>
      </c>
      <c r="L63" s="63" t="s">
        <v>496</v>
      </c>
    </row>
    <row r="64" spans="1:12" x14ac:dyDescent="0.25">
      <c r="A64" s="63">
        <v>29</v>
      </c>
      <c r="B64" s="63">
        <v>0</v>
      </c>
      <c r="C64" s="63">
        <v>0</v>
      </c>
      <c r="D64" s="63" t="s">
        <v>693</v>
      </c>
      <c r="E64" s="63" t="s">
        <v>692</v>
      </c>
      <c r="F64" s="70" t="str">
        <f>'PIM Model'!$AD$23</f>
        <v/>
      </c>
      <c r="G64" s="69" t="str">
        <f t="shared" si="0"/>
        <v/>
      </c>
      <c r="H64" s="76" t="str">
        <f>'PIM Model'!$D$23</f>
        <v>%</v>
      </c>
      <c r="I64" s="72" t="s">
        <v>695</v>
      </c>
      <c r="J64">
        <v>1.75</v>
      </c>
      <c r="K64" s="71">
        <v>25</v>
      </c>
      <c r="L64" s="63" t="s">
        <v>496</v>
      </c>
    </row>
    <row r="65" spans="1:12" x14ac:dyDescent="0.25">
      <c r="A65" s="63">
        <v>30</v>
      </c>
      <c r="B65" s="63">
        <v>0</v>
      </c>
      <c r="C65" s="63">
        <v>0</v>
      </c>
      <c r="D65" s="63" t="s">
        <v>693</v>
      </c>
      <c r="E65" s="63" t="s">
        <v>692</v>
      </c>
      <c r="F65" s="70" t="str">
        <f>'PIM Model'!$AD$24</f>
        <v/>
      </c>
      <c r="G65" s="69" t="str">
        <f t="shared" si="0"/>
        <v/>
      </c>
      <c r="H65" s="76" t="str">
        <f>IF('PIM Model'!$D$24="$/LB","#","%")</f>
        <v>%</v>
      </c>
      <c r="I65" s="72" t="s">
        <v>695</v>
      </c>
      <c r="J65">
        <v>1.75</v>
      </c>
      <c r="K65" s="71">
        <v>25</v>
      </c>
      <c r="L65" s="63" t="s">
        <v>496</v>
      </c>
    </row>
    <row r="66" spans="1:12" x14ac:dyDescent="0.25">
      <c r="A66" s="63">
        <v>31</v>
      </c>
      <c r="B66" s="63">
        <v>0</v>
      </c>
      <c r="C66" s="63">
        <v>0</v>
      </c>
      <c r="D66" s="63" t="s">
        <v>693</v>
      </c>
      <c r="E66" s="63" t="s">
        <v>692</v>
      </c>
      <c r="F66" s="70" t="str">
        <f>'PIM Model'!$AD$25</f>
        <v/>
      </c>
      <c r="G66" s="69" t="str">
        <f t="shared" si="0"/>
        <v/>
      </c>
      <c r="H66" s="76" t="str">
        <f>IF('PIM Model'!$D$25="$/LB","#","%")</f>
        <v>%</v>
      </c>
      <c r="I66" s="72" t="s">
        <v>695</v>
      </c>
      <c r="J66">
        <v>1.75</v>
      </c>
      <c r="K66" s="71">
        <v>25</v>
      </c>
      <c r="L66" s="63" t="s">
        <v>496</v>
      </c>
    </row>
    <row r="67" spans="1:12" x14ac:dyDescent="0.25">
      <c r="A67" s="63">
        <v>32</v>
      </c>
      <c r="B67" s="63">
        <v>0</v>
      </c>
      <c r="C67" s="63">
        <v>0</v>
      </c>
      <c r="D67" s="63" t="s">
        <v>693</v>
      </c>
      <c r="E67" s="63" t="s">
        <v>692</v>
      </c>
      <c r="F67" s="70" t="str">
        <f>'PIM Model'!$AD$26</f>
        <v/>
      </c>
      <c r="G67" s="69" t="str">
        <f t="shared" si="0"/>
        <v/>
      </c>
      <c r="H67" s="76" t="str">
        <f>IF('PIM Model'!$D$26="$/LB","#","%")</f>
        <v>%</v>
      </c>
      <c r="I67" s="72" t="s">
        <v>695</v>
      </c>
      <c r="J67">
        <v>1.75</v>
      </c>
      <c r="K67" s="71">
        <v>25</v>
      </c>
      <c r="L67" s="63" t="s">
        <v>496</v>
      </c>
    </row>
    <row r="68" spans="1:12" x14ac:dyDescent="0.25">
      <c r="A68" s="63">
        <v>33</v>
      </c>
      <c r="B68" s="63">
        <v>0</v>
      </c>
      <c r="C68" s="63">
        <v>0</v>
      </c>
      <c r="D68" s="63" t="s">
        <v>693</v>
      </c>
      <c r="E68" s="63" t="s">
        <v>692</v>
      </c>
      <c r="F68" s="70" t="str">
        <f>'PIM Model'!$AD$29</f>
        <v/>
      </c>
      <c r="G68" s="69" t="str">
        <f t="shared" si="0"/>
        <v/>
      </c>
      <c r="H68" s="76" t="str">
        <f>IF('PIM Model'!$D$29="$/LB","#","%")</f>
        <v>%</v>
      </c>
      <c r="I68" s="72" t="s">
        <v>695</v>
      </c>
      <c r="J68">
        <v>1.75</v>
      </c>
      <c r="K68" s="71">
        <v>25</v>
      </c>
      <c r="L68" s="63" t="s">
        <v>496</v>
      </c>
    </row>
    <row r="69" spans="1:12" x14ac:dyDescent="0.25">
      <c r="A69" s="63">
        <v>34</v>
      </c>
      <c r="B69" s="63">
        <v>0</v>
      </c>
      <c r="C69" s="63">
        <v>0</v>
      </c>
      <c r="D69" s="63" t="s">
        <v>693</v>
      </c>
      <c r="E69" s="63" t="s">
        <v>692</v>
      </c>
      <c r="F69" s="70" t="str">
        <f>'PIM Model'!$AD$30</f>
        <v/>
      </c>
      <c r="G69" s="69" t="str">
        <f t="shared" ref="G69:G72" si="2">F69</f>
        <v/>
      </c>
      <c r="H69" s="76" t="str">
        <f>IF('PIM Model'!$D$30="$/LB","#","%")</f>
        <v>%</v>
      </c>
      <c r="I69" s="72" t="s">
        <v>695</v>
      </c>
      <c r="J69">
        <v>1.75</v>
      </c>
      <c r="K69" s="71">
        <v>25</v>
      </c>
      <c r="L69" s="63" t="s">
        <v>496</v>
      </c>
    </row>
    <row r="70" spans="1:12" x14ac:dyDescent="0.25">
      <c r="A70" s="63">
        <v>35</v>
      </c>
      <c r="B70" s="63">
        <v>0</v>
      </c>
      <c r="C70" s="63">
        <v>0</v>
      </c>
      <c r="D70" s="63" t="s">
        <v>693</v>
      </c>
      <c r="E70" s="63" t="s">
        <v>692</v>
      </c>
      <c r="F70" s="70" t="str">
        <f>'PIM Model'!$AD$28</f>
        <v/>
      </c>
      <c r="G70" s="69" t="str">
        <f t="shared" si="2"/>
        <v/>
      </c>
      <c r="H70" s="76" t="str">
        <f>'PIM Model'!$D$28</f>
        <v>%</v>
      </c>
      <c r="I70" s="72" t="s">
        <v>695</v>
      </c>
      <c r="J70">
        <v>1.75</v>
      </c>
      <c r="K70" s="71">
        <v>25</v>
      </c>
      <c r="L70" s="63" t="s">
        <v>496</v>
      </c>
    </row>
    <row r="71" spans="1:12" x14ac:dyDescent="0.25">
      <c r="A71" s="63">
        <v>35</v>
      </c>
      <c r="B71" s="63">
        <v>272</v>
      </c>
      <c r="C71" s="63">
        <v>3470</v>
      </c>
      <c r="D71" s="63" t="s">
        <v>691</v>
      </c>
      <c r="E71" s="63" t="str">
        <f>IF('PRIME Headers'!$C$20="No","PWW","P07")</f>
        <v>P07</v>
      </c>
      <c r="F71" s="70" t="str">
        <f>'PIM Model'!$AD$28</f>
        <v/>
      </c>
      <c r="G71" s="69" t="str">
        <f t="shared" ref="G71" si="3">F71</f>
        <v/>
      </c>
      <c r="H71" s="76" t="str">
        <f>'PIM Model'!$D$28</f>
        <v>%</v>
      </c>
      <c r="I71" s="72" t="s">
        <v>695</v>
      </c>
      <c r="J71">
        <v>1.75</v>
      </c>
      <c r="K71" s="71">
        <v>25</v>
      </c>
      <c r="L71" s="63" t="s">
        <v>496</v>
      </c>
    </row>
    <row r="72" spans="1:12" x14ac:dyDescent="0.25">
      <c r="A72" s="63">
        <v>37</v>
      </c>
      <c r="B72" s="63">
        <v>0</v>
      </c>
      <c r="C72" s="63">
        <v>0</v>
      </c>
      <c r="D72" s="63" t="s">
        <v>691</v>
      </c>
      <c r="E72" s="63" t="str">
        <f>IF('PRIME Headers'!$C$20="No","PWW","P07")</f>
        <v>P07</v>
      </c>
      <c r="F72" s="70" t="str">
        <f>'PIM Model'!$AD$22</f>
        <v/>
      </c>
      <c r="G72" s="69" t="str">
        <f t="shared" si="2"/>
        <v/>
      </c>
      <c r="H72" s="76" t="str">
        <f>IF('PIM Model'!$D$22="$/LB","#","%")</f>
        <v>%</v>
      </c>
      <c r="I72" s="72" t="s">
        <v>695</v>
      </c>
      <c r="J72">
        <v>1.75</v>
      </c>
      <c r="K72" s="71">
        <v>25</v>
      </c>
      <c r="L72" s="63" t="s">
        <v>496</v>
      </c>
    </row>
    <row r="73" spans="1:12" x14ac:dyDescent="0.25">
      <c r="A73" s="63">
        <v>996</v>
      </c>
      <c r="B73" s="63">
        <v>0</v>
      </c>
      <c r="C73" s="63">
        <v>0</v>
      </c>
      <c r="D73" s="63" t="s">
        <v>691</v>
      </c>
      <c r="E73" s="63" t="str">
        <f>IF('PRIME Headers'!$C$20="No","PWW","P07")</f>
        <v>P07</v>
      </c>
      <c r="F73" s="70" t="str">
        <f>IF(COUNTIF('PIM Model'!$E$10:$E$30,"Exclude"),"",'PIM Model'!$AD$20)</f>
        <v/>
      </c>
      <c r="G73" s="69" t="str">
        <f>F73</f>
        <v/>
      </c>
      <c r="H73" s="76" t="str">
        <f>'PIM Model'!$D$20</f>
        <v>%</v>
      </c>
      <c r="I73" s="72" t="s">
        <v>695</v>
      </c>
      <c r="J73">
        <v>1.75</v>
      </c>
      <c r="K73" s="71">
        <v>25</v>
      </c>
      <c r="L73" s="63" t="s">
        <v>496</v>
      </c>
    </row>
    <row r="74" spans="1:12" x14ac:dyDescent="0.25">
      <c r="A74" s="63">
        <v>997</v>
      </c>
      <c r="B74" s="63">
        <v>0</v>
      </c>
      <c r="C74" s="63">
        <v>0</v>
      </c>
      <c r="D74" s="63" t="s">
        <v>691</v>
      </c>
      <c r="E74" s="63" t="str">
        <f>IF('PRIME Headers'!$C$20="No","PWW","P07")</f>
        <v>P07</v>
      </c>
      <c r="F74" s="70" t="str">
        <f>IF(COUNTIF('PIM Model'!$E$10:$E$30,"Exclude"),"",'PIM Model'!$AD$21)</f>
        <v/>
      </c>
      <c r="G74" s="69" t="str">
        <f t="shared" ref="G74:G76" si="4">F74</f>
        <v/>
      </c>
      <c r="H74" s="76" t="str">
        <f>'PIM Model'!$D$21</f>
        <v>%</v>
      </c>
      <c r="I74" s="72" t="s">
        <v>695</v>
      </c>
      <c r="J74">
        <v>1.75</v>
      </c>
      <c r="K74" s="71">
        <v>25</v>
      </c>
      <c r="L74" s="63" t="s">
        <v>496</v>
      </c>
    </row>
    <row r="75" spans="1:12" x14ac:dyDescent="0.25">
      <c r="A75" s="63">
        <v>998</v>
      </c>
      <c r="B75" s="63">
        <v>0</v>
      </c>
      <c r="C75" s="63">
        <v>0</v>
      </c>
      <c r="D75" s="63" t="s">
        <v>691</v>
      </c>
      <c r="E75" s="63" t="str">
        <f>IF('PRIME Headers'!$C$20="No","PWW","P07")</f>
        <v>P07</v>
      </c>
      <c r="F75" s="70" t="str">
        <f>IF(COUNTIF('PIM Model'!$E$10:$E$30,"Exclude"),"",'PIM Model'!$AD$21)</f>
        <v/>
      </c>
      <c r="G75" s="69" t="str">
        <f t="shared" si="4"/>
        <v/>
      </c>
      <c r="H75" s="76" t="str">
        <f>'PIM Model'!$D$21</f>
        <v>%</v>
      </c>
      <c r="I75" s="72" t="s">
        <v>695</v>
      </c>
      <c r="J75">
        <v>1.75</v>
      </c>
      <c r="K75" s="71">
        <v>25</v>
      </c>
      <c r="L75" s="63" t="s">
        <v>496</v>
      </c>
    </row>
    <row r="76" spans="1:12" x14ac:dyDescent="0.25">
      <c r="A76" s="63">
        <v>999</v>
      </c>
      <c r="B76" s="63">
        <v>0</v>
      </c>
      <c r="C76" s="63">
        <v>0</v>
      </c>
      <c r="D76" s="63" t="s">
        <v>690</v>
      </c>
      <c r="E76" s="63" t="s">
        <v>689</v>
      </c>
      <c r="F76" s="70" t="str">
        <f>IF(COUNTIF('PIM Model'!$E$10:$E$30,"Exclude"),"",'PIM Model'!$AD$20)</f>
        <v/>
      </c>
      <c r="G76" s="69" t="str">
        <f t="shared" si="4"/>
        <v/>
      </c>
      <c r="H76" s="76" t="str">
        <f>'PIM Model'!$D$20</f>
        <v>%</v>
      </c>
      <c r="I76" s="72" t="s">
        <v>695</v>
      </c>
      <c r="J76">
        <v>1.75</v>
      </c>
      <c r="K76" s="71">
        <v>25</v>
      </c>
      <c r="L76" s="63" t="s">
        <v>496</v>
      </c>
    </row>
    <row r="84" spans="1:7" x14ac:dyDescent="0.25">
      <c r="A84"/>
      <c r="F84" s="70"/>
      <c r="G84" s="71"/>
    </row>
    <row r="85" spans="1:7" x14ac:dyDescent="0.25">
      <c r="A85"/>
      <c r="F85" s="70"/>
      <c r="G85" s="71"/>
    </row>
    <row r="86" spans="1:7" x14ac:dyDescent="0.25">
      <c r="A86"/>
      <c r="F86" s="70"/>
      <c r="G86" s="71"/>
    </row>
    <row r="87" spans="1:7" x14ac:dyDescent="0.25">
      <c r="A87"/>
      <c r="F87" s="70"/>
      <c r="G87" s="71"/>
    </row>
  </sheetData>
  <sheetProtection algorithmName="SHA-512" hashValue="tFOIMh9i/1cVumbmizFb5AEBF4sqBNQ93mrTJw1Qe1cKVOGirHdTyJs70fs43Ba6ih4T7qUBN3hwEhMFpacUVA==" saltValue="qI0iAyGKdiNoU07ZhKCnGQ==" spinCount="100000" sheet="1" objects="1" scenarios="1"/>
  <pageMargins left="0.25" right="0.25" top="0.75" bottom="0.75" header="0.3" footer="0.3"/>
  <pageSetup orientation="landscape" errors="dash" r:id="rId1"/>
  <headerFooter scaleWithDoc="0">
    <oddHeader>&amp;C&amp;F&amp;R&amp;D</oddHeader>
    <oddFooter>&amp;L&amp;P&amp;CWelcome | US Foods Confidential</oddFooter>
  </headerFooter>
  <ignoredErrors>
    <ignoredError sqref="H72" formula="1"/>
  </ignoredError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topLeftCell="A5" workbookViewId="0">
      <selection activeCell="G21" sqref="G21"/>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263</v>
      </c>
      <c r="B2" s="1"/>
      <c r="C2" s="382" t="s">
        <v>99</v>
      </c>
      <c r="D2" s="382" t="s">
        <v>529</v>
      </c>
      <c r="E2" s="382" t="s">
        <v>530</v>
      </c>
      <c r="F2" s="382" t="s">
        <v>102</v>
      </c>
      <c r="G2" s="382" t="s">
        <v>100</v>
      </c>
      <c r="H2" s="382" t="s">
        <v>104</v>
      </c>
      <c r="I2" s="382" t="s">
        <v>98</v>
      </c>
      <c r="J2" s="382" t="s">
        <v>95</v>
      </c>
      <c r="K2" s="382" t="s">
        <v>96</v>
      </c>
      <c r="L2" s="382" t="s">
        <v>101</v>
      </c>
      <c r="M2" s="382" t="s">
        <v>97</v>
      </c>
      <c r="N2" s="382" t="s">
        <v>93</v>
      </c>
      <c r="O2" s="382" t="s">
        <v>105</v>
      </c>
      <c r="P2" s="382" t="s">
        <v>92</v>
      </c>
      <c r="Q2" s="382" t="s">
        <v>91</v>
      </c>
      <c r="R2" s="382" t="s">
        <v>90</v>
      </c>
      <c r="S2" s="382" t="s">
        <v>89</v>
      </c>
      <c r="T2" s="382" t="s">
        <v>94</v>
      </c>
      <c r="U2" s="382" t="s">
        <v>86</v>
      </c>
      <c r="V2" s="382" t="s">
        <v>88</v>
      </c>
      <c r="W2" s="382" t="s">
        <v>87</v>
      </c>
      <c r="X2" s="382" t="s">
        <v>273</v>
      </c>
    </row>
    <row r="3" spans="1:49" x14ac:dyDescent="0.25">
      <c r="A3" s="1" t="s">
        <v>14</v>
      </c>
      <c r="B3" s="1"/>
      <c r="C3" s="49">
        <v>8.1000000000000003E-2</v>
      </c>
      <c r="D3" s="49">
        <v>4.1300000000000003E-2</v>
      </c>
      <c r="E3" s="49">
        <v>0.1036</v>
      </c>
      <c r="F3" s="49">
        <v>3.27E-2</v>
      </c>
      <c r="G3" s="49">
        <v>5.5199999999999999E-2</v>
      </c>
      <c r="H3" s="49">
        <v>1.43E-2</v>
      </c>
      <c r="I3" s="49">
        <v>6.1800000000000001E-2</v>
      </c>
      <c r="J3" s="49">
        <v>4.5199999999999997E-2</v>
      </c>
      <c r="K3" s="49">
        <v>1.1900000000000001E-2</v>
      </c>
      <c r="L3" s="49">
        <v>1.35E-2</v>
      </c>
      <c r="M3" s="49">
        <v>0.10629999999999995</v>
      </c>
      <c r="N3" s="49">
        <v>8.3699999999999997E-2</v>
      </c>
      <c r="O3" s="49">
        <v>3.1999999999999997E-3</v>
      </c>
      <c r="P3" s="49">
        <v>3.0099999999999998E-2</v>
      </c>
      <c r="Q3" s="49">
        <v>7.1099999999999997E-2</v>
      </c>
      <c r="R3" s="49">
        <v>0.10340000000000001</v>
      </c>
      <c r="S3" s="49">
        <v>1.55E-2</v>
      </c>
      <c r="T3" s="49">
        <v>4.6100000000000002E-2</v>
      </c>
      <c r="U3" s="49">
        <v>3.0000000000000001E-3</v>
      </c>
      <c r="V3" s="49">
        <v>7.4499999999999997E-2</v>
      </c>
      <c r="W3" s="49">
        <v>2.5999999999999999E-3</v>
      </c>
      <c r="X3" s="3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9">
        <v>4.8300000000000003E-2</v>
      </c>
      <c r="D4" s="49">
        <v>0.06</v>
      </c>
      <c r="E4" s="49">
        <v>7.17E-2</v>
      </c>
      <c r="F4" s="49">
        <v>3.4299999999999997E-2</v>
      </c>
      <c r="G4" s="49">
        <v>5.57E-2</v>
      </c>
      <c r="H4" s="49">
        <v>1.61E-2</v>
      </c>
      <c r="I4" s="49">
        <v>4.2599999999999999E-2</v>
      </c>
      <c r="J4" s="49">
        <v>4.7E-2</v>
      </c>
      <c r="K4" s="49">
        <v>7.4000000000000003E-3</v>
      </c>
      <c r="L4" s="49">
        <v>2.3400000000000001E-2</v>
      </c>
      <c r="M4" s="49">
        <v>0.10860000000000028</v>
      </c>
      <c r="N4" s="49">
        <v>7.9299999999999995E-2</v>
      </c>
      <c r="O4" s="49">
        <v>2.5000000000000001E-3</v>
      </c>
      <c r="P4" s="49">
        <v>3.4500000000000003E-2</v>
      </c>
      <c r="Q4" s="49">
        <v>6.1899999999999997E-2</v>
      </c>
      <c r="R4" s="49">
        <v>0.105</v>
      </c>
      <c r="S4" s="49">
        <v>7.4999999999999997E-3</v>
      </c>
      <c r="T4" s="49">
        <v>5.2499999999999998E-2</v>
      </c>
      <c r="U4" s="49">
        <v>1.5E-3</v>
      </c>
      <c r="V4" s="49">
        <v>0.13550000000000001</v>
      </c>
      <c r="W4" s="49">
        <v>4.7000000000000002E-3</v>
      </c>
      <c r="X4" s="3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9">
        <v>8.2500000000000004E-2</v>
      </c>
      <c r="D5" s="49">
        <v>2.41E-2</v>
      </c>
      <c r="E5" s="49">
        <v>3.6499999999999998E-2</v>
      </c>
      <c r="F5" s="49">
        <v>4.4299999999999999E-2</v>
      </c>
      <c r="G5" s="49">
        <v>6.4100000000000004E-2</v>
      </c>
      <c r="H5" s="49">
        <v>1.9599999999999999E-2</v>
      </c>
      <c r="I5" s="49">
        <v>8.9700000000000002E-2</v>
      </c>
      <c r="J5" s="49">
        <v>5.8099999999999999E-2</v>
      </c>
      <c r="K5" s="49">
        <v>2.3999999999999998E-3</v>
      </c>
      <c r="L5" s="49">
        <v>1.7600000000000001E-2</v>
      </c>
      <c r="M5" s="49">
        <v>0.15635000000000018</v>
      </c>
      <c r="N5" s="49">
        <v>9.4299999999999995E-2</v>
      </c>
      <c r="O5" s="49">
        <v>2.2000000000000001E-3</v>
      </c>
      <c r="P5" s="49">
        <v>2.7E-2</v>
      </c>
      <c r="Q5" s="49">
        <v>5.6000000000000001E-2</v>
      </c>
      <c r="R5" s="49">
        <v>0.12770000000000001</v>
      </c>
      <c r="S5" s="49">
        <v>1.46E-2</v>
      </c>
      <c r="T5" s="49">
        <v>4.1599999999999998E-2</v>
      </c>
      <c r="U5" s="49">
        <v>1.3500000000000001E-3</v>
      </c>
      <c r="V5" s="49">
        <v>3.7999999999999999E-2</v>
      </c>
      <c r="W5" s="49">
        <v>2E-3</v>
      </c>
      <c r="X5" s="3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9">
        <v>8.0399999999999999E-2</v>
      </c>
      <c r="D6" s="49">
        <v>3.8800000000000001E-2</v>
      </c>
      <c r="E6" s="49">
        <v>8.9899999999999994E-2</v>
      </c>
      <c r="F6" s="49">
        <v>3.2599999999999997E-2</v>
      </c>
      <c r="G6" s="49">
        <v>6.2E-2</v>
      </c>
      <c r="H6" s="49">
        <v>2.01E-2</v>
      </c>
      <c r="I6" s="49">
        <v>3.7600000000000001E-2</v>
      </c>
      <c r="J6" s="49">
        <v>5.3400000000000003E-2</v>
      </c>
      <c r="K6" s="49">
        <v>1.5299999999999999E-2</v>
      </c>
      <c r="L6" s="49">
        <v>1.1299999999999999E-2</v>
      </c>
      <c r="M6" s="49">
        <v>0.10069999999999972</v>
      </c>
      <c r="N6" s="49">
        <v>7.2300000000000003E-2</v>
      </c>
      <c r="O6" s="49">
        <v>3.0000000000000001E-3</v>
      </c>
      <c r="P6" s="49">
        <v>2.8500000000000001E-2</v>
      </c>
      <c r="Q6" s="49">
        <v>4.5400000000000003E-2</v>
      </c>
      <c r="R6" s="49">
        <v>0.1694</v>
      </c>
      <c r="S6" s="49">
        <v>8.8999999999999999E-3</v>
      </c>
      <c r="T6" s="49">
        <v>5.8000000000000003E-2</v>
      </c>
      <c r="U6" s="49">
        <v>1E-3</v>
      </c>
      <c r="V6" s="49">
        <v>6.8099999999999994E-2</v>
      </c>
      <c r="W6" s="49">
        <v>3.3E-3</v>
      </c>
      <c r="X6" s="3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9">
        <v>4.6399999999999997E-2</v>
      </c>
      <c r="D7" s="49">
        <v>0.17730000000000001</v>
      </c>
      <c r="E7" s="49">
        <v>2.7699999999999999E-2</v>
      </c>
      <c r="F7" s="49">
        <v>2.7799999999999998E-2</v>
      </c>
      <c r="G7" s="49">
        <v>1.44E-2</v>
      </c>
      <c r="H7" s="49">
        <v>9.7999999999999997E-3</v>
      </c>
      <c r="I7" s="49">
        <v>2.24E-2</v>
      </c>
      <c r="J7" s="49">
        <v>8.3900000000000002E-2</v>
      </c>
      <c r="K7" s="49">
        <v>7.9000000000000008E-3</v>
      </c>
      <c r="L7" s="49">
        <v>2.2200000000000001E-2</v>
      </c>
      <c r="M7" s="49">
        <v>0.12330000000000024</v>
      </c>
      <c r="N7" s="49">
        <v>4.0099999999999997E-2</v>
      </c>
      <c r="O7" s="49">
        <v>2.3E-3</v>
      </c>
      <c r="P7" s="49">
        <v>1.83E-2</v>
      </c>
      <c r="Q7" s="49">
        <v>0.19289999999999999</v>
      </c>
      <c r="R7" s="49">
        <v>0.1009</v>
      </c>
      <c r="S7" s="49">
        <v>2.2599999999999999E-2</v>
      </c>
      <c r="T7" s="49">
        <v>0.03</v>
      </c>
      <c r="U7" s="49">
        <v>1.46E-2</v>
      </c>
      <c r="V7" s="49">
        <v>1.35E-2</v>
      </c>
      <c r="W7" s="49">
        <v>1.6999999999999999E-3</v>
      </c>
      <c r="X7" s="3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9">
        <v>5.4199999999999998E-2</v>
      </c>
      <c r="D8" s="49">
        <v>9.9000000000000008E-3</v>
      </c>
      <c r="E8" s="49">
        <v>1.7000000000000001E-2</v>
      </c>
      <c r="F8" s="49">
        <v>8.5800000000000001E-2</v>
      </c>
      <c r="G8" s="49">
        <v>3.2599999999999997E-2</v>
      </c>
      <c r="H8" s="49">
        <v>9.5999999999999992E-3</v>
      </c>
      <c r="I8" s="49">
        <v>0.1457</v>
      </c>
      <c r="J8" s="49">
        <v>0.1346</v>
      </c>
      <c r="K8" s="49">
        <v>1.03E-2</v>
      </c>
      <c r="L8" s="49">
        <v>7.3000000000000001E-3</v>
      </c>
      <c r="M8" s="49">
        <v>0.11985000000000007</v>
      </c>
      <c r="N8" s="49">
        <v>0.17269999999999999</v>
      </c>
      <c r="O8" s="49">
        <v>4.3999999999999994E-3</v>
      </c>
      <c r="P8" s="49">
        <v>9.7999999999999997E-3</v>
      </c>
      <c r="Q8" s="49">
        <v>3.1300000000000001E-2</v>
      </c>
      <c r="R8" s="49">
        <v>4.8000000000000001E-2</v>
      </c>
      <c r="S8" s="49">
        <v>1.15E-2</v>
      </c>
      <c r="T8" s="49">
        <v>8.3699999999999997E-2</v>
      </c>
      <c r="U8" s="49">
        <v>1.65E-3</v>
      </c>
      <c r="V8" s="49">
        <v>9.1000000000000004E-3</v>
      </c>
      <c r="W8" s="49">
        <v>1E-3</v>
      </c>
      <c r="X8" s="3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9">
        <v>5.5300000000000002E-2</v>
      </c>
      <c r="D9" s="49">
        <v>3.8999999999999998E-3</v>
      </c>
      <c r="E9" s="49">
        <v>1.6199999999999999E-2</v>
      </c>
      <c r="F9" s="49">
        <v>2.93E-2</v>
      </c>
      <c r="G9" s="49">
        <v>2.81E-2</v>
      </c>
      <c r="H9" s="49">
        <v>9.4000000000000004E-3</v>
      </c>
      <c r="I9" s="49">
        <v>1.6299999999999999E-2</v>
      </c>
      <c r="J9" s="49">
        <v>8.72E-2</v>
      </c>
      <c r="K9" s="49">
        <v>7.3000000000000001E-3</v>
      </c>
      <c r="L9" s="49">
        <v>9.7000000000000003E-3</v>
      </c>
      <c r="M9" s="49">
        <v>0.1449000000000002</v>
      </c>
      <c r="N9" s="49">
        <v>4.9399999999999999E-2</v>
      </c>
      <c r="O9" s="49">
        <v>2.0999999999999999E-3</v>
      </c>
      <c r="P9" s="49">
        <v>4.1000000000000002E-2</v>
      </c>
      <c r="Q9" s="49">
        <v>1.52E-2</v>
      </c>
      <c r="R9" s="49">
        <v>0.41470000000000001</v>
      </c>
      <c r="S9" s="49">
        <v>1.9E-3</v>
      </c>
      <c r="T9" s="49">
        <v>5.2699999999999997E-2</v>
      </c>
      <c r="U9" s="49">
        <v>3.0000000000000001E-3</v>
      </c>
      <c r="V9" s="49">
        <v>1.14E-2</v>
      </c>
      <c r="W9" s="49">
        <v>1E-3</v>
      </c>
      <c r="X9" s="3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9">
        <v>3.5999999999999997E-2</v>
      </c>
      <c r="D10" s="49">
        <v>6.9500000000000006E-2</v>
      </c>
      <c r="E10" s="49">
        <v>8.6599999999999996E-2</v>
      </c>
      <c r="F10" s="49">
        <v>9.5299999999999996E-2</v>
      </c>
      <c r="G10" s="49">
        <v>1.9900000000000001E-2</v>
      </c>
      <c r="H10" s="49">
        <v>1.3100000000000001E-2</v>
      </c>
      <c r="I10" s="49">
        <v>6.8000000000000005E-2</v>
      </c>
      <c r="J10" s="49">
        <v>6.7900000000000002E-2</v>
      </c>
      <c r="K10" s="49">
        <v>5.4999999999999997E-3</v>
      </c>
      <c r="L10" s="49">
        <v>7.9000000000000008E-3</v>
      </c>
      <c r="M10" s="49">
        <v>9.9100000000000091E-2</v>
      </c>
      <c r="N10" s="49">
        <v>7.3700000000000002E-2</v>
      </c>
      <c r="O10" s="49">
        <v>2E-3</v>
      </c>
      <c r="P10" s="49">
        <v>4.8399999999999999E-2</v>
      </c>
      <c r="Q10" s="49">
        <v>6.0499999999999998E-2</v>
      </c>
      <c r="R10" s="49">
        <v>0.12540000000000001</v>
      </c>
      <c r="S10" s="49">
        <v>3.5000000000000001E-3</v>
      </c>
      <c r="T10" s="49">
        <v>3.9699999999999999E-2</v>
      </c>
      <c r="U10" s="49">
        <v>1E-3</v>
      </c>
      <c r="V10" s="49">
        <v>7.5999999999999998E-2</v>
      </c>
      <c r="W10" s="49">
        <v>1E-3</v>
      </c>
      <c r="X10" s="3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9">
        <v>8.1100000000000005E-2</v>
      </c>
      <c r="D11" s="49">
        <v>3.5200000000000002E-2</v>
      </c>
      <c r="E11" s="49">
        <v>9.9500000000000005E-2</v>
      </c>
      <c r="F11" s="49">
        <v>4.2500000000000003E-2</v>
      </c>
      <c r="G11" s="49">
        <v>4.4900000000000002E-2</v>
      </c>
      <c r="H11" s="49">
        <v>1.78E-2</v>
      </c>
      <c r="I11" s="49">
        <v>5.8799999999999998E-2</v>
      </c>
      <c r="J11" s="49">
        <v>5.7599999999999998E-2</v>
      </c>
      <c r="K11" s="49">
        <v>7.9000000000000008E-3</v>
      </c>
      <c r="L11" s="49">
        <v>1.5699999999999999E-2</v>
      </c>
      <c r="M11" s="49">
        <v>0.11489999999999999</v>
      </c>
      <c r="N11" s="49">
        <v>9.8900000000000002E-2</v>
      </c>
      <c r="O11" s="49">
        <v>3.1999999999999997E-3</v>
      </c>
      <c r="P11" s="49">
        <v>2.8500000000000001E-2</v>
      </c>
      <c r="Q11" s="49">
        <v>6.6500000000000004E-2</v>
      </c>
      <c r="R11" s="49">
        <v>0.1021</v>
      </c>
      <c r="S11" s="49">
        <v>1.61E-2</v>
      </c>
      <c r="T11" s="49">
        <v>5.2200000000000003E-2</v>
      </c>
      <c r="U11" s="49">
        <v>2.4000000000000002E-3</v>
      </c>
      <c r="V11" s="49">
        <v>5.0900000000000001E-2</v>
      </c>
      <c r="W11" s="49">
        <v>3.3E-3</v>
      </c>
      <c r="X11" s="3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264</v>
      </c>
      <c r="B12" s="1"/>
      <c r="C12" s="49">
        <v>6.7000000000000004E-2</v>
      </c>
      <c r="D12" s="49">
        <v>9.2999999999999992E-3</v>
      </c>
      <c r="E12" s="49">
        <v>6.4100000000000004E-2</v>
      </c>
      <c r="F12" s="49">
        <v>3.7199999999999997E-2</v>
      </c>
      <c r="G12" s="49">
        <v>6.1499999999999999E-2</v>
      </c>
      <c r="H12" s="49">
        <v>1.8200000000000001E-2</v>
      </c>
      <c r="I12" s="49">
        <v>7.0499999999999993E-2</v>
      </c>
      <c r="J12" s="49">
        <v>4.3099999999999999E-2</v>
      </c>
      <c r="K12" s="49">
        <v>7.7000000000000002E-3</v>
      </c>
      <c r="L12" s="49">
        <v>3.85E-2</v>
      </c>
      <c r="M12" s="49">
        <v>0.18390000000000006</v>
      </c>
      <c r="N12" s="49">
        <v>0.11269999999999999</v>
      </c>
      <c r="O12" s="49">
        <v>5.3E-3</v>
      </c>
      <c r="P12" s="49">
        <v>1.8200000000000001E-2</v>
      </c>
      <c r="Q12" s="49">
        <v>4.2900000000000001E-2</v>
      </c>
      <c r="R12" s="49">
        <v>0.12130000000000001</v>
      </c>
      <c r="S12" s="49">
        <v>3.3000000000000002E-2</v>
      </c>
      <c r="T12" s="49">
        <v>3.9E-2</v>
      </c>
      <c r="U12" s="49">
        <v>2.0999999999999999E-3</v>
      </c>
      <c r="V12" s="49">
        <v>2.1700000000000001E-2</v>
      </c>
      <c r="W12" s="49">
        <v>2.8E-3</v>
      </c>
      <c r="X12" s="3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9">
        <v>5.67E-2</v>
      </c>
      <c r="D13" s="49">
        <v>3.8600000000000002E-2</v>
      </c>
      <c r="E13" s="49">
        <v>6.5600000000000006E-2</v>
      </c>
      <c r="F13" s="49">
        <v>2.9899999999999999E-2</v>
      </c>
      <c r="G13" s="49">
        <v>5.3400000000000003E-2</v>
      </c>
      <c r="H13" s="49">
        <v>1.6799999999999999E-2</v>
      </c>
      <c r="I13" s="49">
        <v>5.1400000000000001E-2</v>
      </c>
      <c r="J13" s="49">
        <v>7.0000000000000007E-2</v>
      </c>
      <c r="K13" s="49">
        <v>1.0200000000000001E-2</v>
      </c>
      <c r="L13" s="49">
        <v>1.6500000000000001E-2</v>
      </c>
      <c r="M13" s="49">
        <v>9.4700000000000048E-2</v>
      </c>
      <c r="N13" s="49">
        <v>0.1089</v>
      </c>
      <c r="O13" s="49">
        <v>2.5000000000000001E-3</v>
      </c>
      <c r="P13" s="49">
        <v>3.9800000000000002E-2</v>
      </c>
      <c r="Q13" s="49">
        <v>3.5000000000000003E-2</v>
      </c>
      <c r="R13" s="49">
        <v>9.6199999999999994E-2</v>
      </c>
      <c r="S13" s="49">
        <v>7.7999999999999996E-3</v>
      </c>
      <c r="T13" s="49">
        <v>6.8000000000000005E-2</v>
      </c>
      <c r="U13" s="49">
        <v>1.5E-3</v>
      </c>
      <c r="V13" s="49">
        <v>6.2399999999999997E-2</v>
      </c>
      <c r="W13" s="49">
        <v>7.4099999999999999E-2</v>
      </c>
      <c r="X13" s="3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9">
        <v>5.6000000000000001E-2</v>
      </c>
      <c r="D14" s="49">
        <v>6.3E-3</v>
      </c>
      <c r="E14" s="49">
        <v>9.1200000000000003E-2</v>
      </c>
      <c r="F14" s="49">
        <v>1.52E-2</v>
      </c>
      <c r="G14" s="49">
        <v>8.6999999999999994E-3</v>
      </c>
      <c r="H14" s="49">
        <v>5.8999999999999999E-3</v>
      </c>
      <c r="I14" s="49">
        <v>0.37090000000000001</v>
      </c>
      <c r="J14" s="49">
        <v>7.22E-2</v>
      </c>
      <c r="K14" s="49">
        <v>3.0000000000000001E-3</v>
      </c>
      <c r="L14" s="49">
        <v>8.3999999999999995E-3</v>
      </c>
      <c r="M14" s="49">
        <v>0.14455000000000001</v>
      </c>
      <c r="N14" s="49">
        <v>8.72E-2</v>
      </c>
      <c r="O14" s="49">
        <v>2.5000000000000001E-3</v>
      </c>
      <c r="P14" s="49">
        <v>1.0500000000000001E-2</v>
      </c>
      <c r="Q14" s="49">
        <v>1.5900000000000001E-2</v>
      </c>
      <c r="R14" s="49">
        <v>4.2900000000000001E-2</v>
      </c>
      <c r="S14" s="49">
        <v>1.18E-2</v>
      </c>
      <c r="T14" s="49">
        <v>2.1100000000000001E-2</v>
      </c>
      <c r="U14" s="49">
        <v>1.9499999999999999E-3</v>
      </c>
      <c r="V14" s="49">
        <v>2.2800000000000001E-2</v>
      </c>
      <c r="W14" s="49">
        <v>1E-3</v>
      </c>
      <c r="X14" s="3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265</v>
      </c>
      <c r="B15" s="1"/>
      <c r="C15" s="49">
        <v>7.8799999999999995E-2</v>
      </c>
      <c r="D15" s="49">
        <v>1.12E-2</v>
      </c>
      <c r="E15" s="49">
        <v>4.7500000000000001E-2</v>
      </c>
      <c r="F15" s="49">
        <v>4.3700000000000003E-2</v>
      </c>
      <c r="G15" s="49">
        <v>2.69E-2</v>
      </c>
      <c r="H15" s="49">
        <v>1.35E-2</v>
      </c>
      <c r="I15" s="49">
        <v>4.1399999999999999E-2</v>
      </c>
      <c r="J15" s="49">
        <v>0.1071</v>
      </c>
      <c r="K15" s="49">
        <v>8.8000000000000005E-3</v>
      </c>
      <c r="L15" s="49">
        <v>6.2E-2</v>
      </c>
      <c r="M15" s="49">
        <v>0.19440000000000007</v>
      </c>
      <c r="N15" s="49">
        <v>0.1578</v>
      </c>
      <c r="O15" s="49">
        <v>3.1999999999999997E-3</v>
      </c>
      <c r="P15" s="49">
        <v>1.2999999999999999E-2</v>
      </c>
      <c r="Q15" s="49">
        <v>3.2000000000000001E-2</v>
      </c>
      <c r="R15" s="49">
        <v>7.0400000000000004E-2</v>
      </c>
      <c r="S15" s="49">
        <v>2.87E-2</v>
      </c>
      <c r="T15" s="49">
        <v>4.5100000000000001E-2</v>
      </c>
      <c r="U15" s="49">
        <v>2.0999999999999999E-3</v>
      </c>
      <c r="V15" s="49">
        <v>1.14E-2</v>
      </c>
      <c r="W15" s="49">
        <v>1E-3</v>
      </c>
      <c r="X15" s="3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9">
        <v>9.3299999999999994E-2</v>
      </c>
      <c r="D16" s="49">
        <v>1.78E-2</v>
      </c>
      <c r="E16" s="49">
        <v>0.14399999999999999</v>
      </c>
      <c r="F16" s="49">
        <v>5.45E-2</v>
      </c>
      <c r="G16" s="49">
        <v>6.0900000000000003E-2</v>
      </c>
      <c r="H16" s="49">
        <v>1.34E-2</v>
      </c>
      <c r="I16" s="49">
        <v>5.0900000000000001E-2</v>
      </c>
      <c r="J16" s="49">
        <v>8.7499999999999994E-2</v>
      </c>
      <c r="K16" s="49">
        <v>9.5999999999999992E-3</v>
      </c>
      <c r="L16" s="49">
        <v>5.7999999999999996E-3</v>
      </c>
      <c r="M16" s="49">
        <v>0.10080000000000007</v>
      </c>
      <c r="N16" s="49">
        <v>6.7199999999999996E-2</v>
      </c>
      <c r="O16" s="49">
        <v>8.3000000000000001E-3</v>
      </c>
      <c r="P16" s="49">
        <v>3.5299999999999998E-2</v>
      </c>
      <c r="Q16" s="49">
        <v>4.5900000000000003E-2</v>
      </c>
      <c r="R16" s="49">
        <v>7.8100000000000003E-2</v>
      </c>
      <c r="S16" s="49">
        <v>8.3000000000000001E-3</v>
      </c>
      <c r="T16" s="49">
        <v>6.0100000000000001E-2</v>
      </c>
      <c r="U16" s="49">
        <v>1.8E-3</v>
      </c>
      <c r="V16" s="49">
        <v>2.0799999999999999E-2</v>
      </c>
      <c r="W16" s="49">
        <v>3.5700000000000003E-2</v>
      </c>
      <c r="X16" s="3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266</v>
      </c>
      <c r="B17" s="1"/>
      <c r="C17" s="49">
        <v>5.4100000000000002E-2</v>
      </c>
      <c r="D17" s="49">
        <v>1.6899999999999998E-2</v>
      </c>
      <c r="E17" s="49">
        <v>5.4800000000000001E-2</v>
      </c>
      <c r="F17" s="49">
        <v>0.1016</v>
      </c>
      <c r="G17" s="49">
        <v>2.07E-2</v>
      </c>
      <c r="H17" s="49">
        <v>1.89E-2</v>
      </c>
      <c r="I17" s="49">
        <v>7.8700000000000006E-2</v>
      </c>
      <c r="J17" s="49">
        <v>5.5300000000000002E-2</v>
      </c>
      <c r="K17" s="49">
        <v>1.2699999999999999E-2</v>
      </c>
      <c r="L17" s="49">
        <v>4.3299999999999998E-2</v>
      </c>
      <c r="M17" s="49">
        <v>0.15809999999999999</v>
      </c>
      <c r="N17" s="49">
        <v>0.1239</v>
      </c>
      <c r="O17" s="49">
        <v>3.0000000000000001E-3</v>
      </c>
      <c r="P17" s="49">
        <v>1.04E-2</v>
      </c>
      <c r="Q17" s="49">
        <v>3.9399999999999998E-2</v>
      </c>
      <c r="R17" s="49">
        <v>7.7899999999999997E-2</v>
      </c>
      <c r="S17" s="49">
        <v>2.75E-2</v>
      </c>
      <c r="T17" s="49">
        <v>6.7900000000000002E-2</v>
      </c>
      <c r="U17" s="49">
        <v>5.8999999999999999E-3</v>
      </c>
      <c r="V17" s="49">
        <v>2.7799999999999998E-2</v>
      </c>
      <c r="W17" s="49">
        <v>1.1999999999999999E-3</v>
      </c>
      <c r="X17" s="3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267</v>
      </c>
      <c r="B18" s="1"/>
      <c r="C18" s="49">
        <v>7.5600000000000001E-2</v>
      </c>
      <c r="D18" s="49">
        <v>2.4199999999999999E-2</v>
      </c>
      <c r="E18" s="49">
        <v>5.8200000000000002E-2</v>
      </c>
      <c r="F18" s="49">
        <v>7.1999999999999995E-2</v>
      </c>
      <c r="G18" s="49">
        <v>3.8899999999999997E-2</v>
      </c>
      <c r="H18" s="49">
        <v>1.8800000000000001E-2</v>
      </c>
      <c r="I18" s="49">
        <v>6.8599999999999994E-2</v>
      </c>
      <c r="J18" s="49">
        <v>6.6699999999999995E-2</v>
      </c>
      <c r="K18" s="49">
        <v>1.54E-2</v>
      </c>
      <c r="L18" s="49">
        <v>1.6E-2</v>
      </c>
      <c r="M18" s="49">
        <v>0.13115000000000007</v>
      </c>
      <c r="N18" s="49">
        <v>9.8900000000000002E-2</v>
      </c>
      <c r="O18" s="49">
        <v>3.0000000000000001E-3</v>
      </c>
      <c r="P18" s="49">
        <v>2.2800000000000001E-2</v>
      </c>
      <c r="Q18" s="49">
        <v>6.3700000000000007E-2</v>
      </c>
      <c r="R18" s="49">
        <v>9.3799999999999994E-2</v>
      </c>
      <c r="S18" s="49">
        <v>2.7300000000000001E-2</v>
      </c>
      <c r="T18" s="49">
        <v>2.92E-2</v>
      </c>
      <c r="U18" s="49">
        <v>2.5499999999999997E-3</v>
      </c>
      <c r="V18" s="49">
        <v>6.8099999999999994E-2</v>
      </c>
      <c r="W18" s="49">
        <v>5.1000000000000004E-3</v>
      </c>
      <c r="X18" s="3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268</v>
      </c>
      <c r="B19" s="1"/>
      <c r="C19" s="49">
        <v>7.8799999999999995E-2</v>
      </c>
      <c r="D19" s="49">
        <v>3.6499999999999998E-2</v>
      </c>
      <c r="E19" s="49">
        <v>0.08</v>
      </c>
      <c r="F19" s="49">
        <v>3.1600000000000003E-2</v>
      </c>
      <c r="G19" s="49">
        <v>6.1499999999999999E-2</v>
      </c>
      <c r="H19" s="49">
        <v>2.1399999999999999E-2</v>
      </c>
      <c r="I19" s="49">
        <v>3.8899999999999997E-2</v>
      </c>
      <c r="J19" s="49">
        <v>5.74E-2</v>
      </c>
      <c r="K19" s="49">
        <v>2.1499999999999998E-2</v>
      </c>
      <c r="L19" s="49">
        <v>1.2200000000000001E-2</v>
      </c>
      <c r="M19" s="49">
        <v>0.10654999999999992</v>
      </c>
      <c r="N19" s="49">
        <v>7.3700000000000002E-2</v>
      </c>
      <c r="O19" s="49">
        <v>3.0000000000000001E-3</v>
      </c>
      <c r="P19" s="49">
        <v>3.1699999999999999E-2</v>
      </c>
      <c r="Q19" s="49">
        <v>5.21E-2</v>
      </c>
      <c r="R19" s="49">
        <v>0.1333</v>
      </c>
      <c r="S19" s="49">
        <v>8.8000000000000005E-3</v>
      </c>
      <c r="T19" s="49">
        <v>7.5300000000000006E-2</v>
      </c>
      <c r="U19" s="49">
        <v>7.5000000000000002E-4</v>
      </c>
      <c r="V19" s="49">
        <v>6.7100000000000007E-2</v>
      </c>
      <c r="W19" s="49">
        <v>7.9000000000000008E-3</v>
      </c>
      <c r="X19" s="3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9">
        <v>5.5899999999999998E-2</v>
      </c>
      <c r="D20" s="49">
        <v>7.8100000000000003E-2</v>
      </c>
      <c r="E20" s="49">
        <v>4.1200000000000001E-2</v>
      </c>
      <c r="F20" s="49">
        <v>1.83E-2</v>
      </c>
      <c r="G20" s="49">
        <v>3.44E-2</v>
      </c>
      <c r="H20" s="49">
        <v>1.6799999999999999E-2</v>
      </c>
      <c r="I20" s="49">
        <v>2.58E-2</v>
      </c>
      <c r="J20" s="49">
        <v>0.1075</v>
      </c>
      <c r="K20" s="49">
        <v>2.18E-2</v>
      </c>
      <c r="L20" s="49">
        <v>1.47E-2</v>
      </c>
      <c r="M20" s="49">
        <v>8.679999999999978E-2</v>
      </c>
      <c r="N20" s="49">
        <v>8.5300000000000001E-2</v>
      </c>
      <c r="O20" s="49">
        <v>2E-3</v>
      </c>
      <c r="P20" s="49">
        <v>3.3099999999999997E-2</v>
      </c>
      <c r="Q20" s="49">
        <v>4.8399999999999999E-2</v>
      </c>
      <c r="R20" s="49">
        <v>0.185</v>
      </c>
      <c r="S20" s="49">
        <v>1.03E-2</v>
      </c>
      <c r="T20" s="49">
        <v>5.3900000000000003E-2</v>
      </c>
      <c r="U20" s="49">
        <v>1E-3</v>
      </c>
      <c r="V20" s="49">
        <v>6.5500000000000003E-2</v>
      </c>
      <c r="W20" s="49">
        <v>1.4200000000000001E-2</v>
      </c>
      <c r="X20" s="3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9">
        <v>2.2200000000000001E-2</v>
      </c>
      <c r="D21" s="49">
        <v>7.3499999999999996E-2</v>
      </c>
      <c r="E21" s="49">
        <v>0.1148</v>
      </c>
      <c r="F21" s="49">
        <v>5.4800000000000001E-2</v>
      </c>
      <c r="G21" s="49">
        <v>9.4500000000000001E-2</v>
      </c>
      <c r="H21" s="49">
        <v>1.61E-2</v>
      </c>
      <c r="I21" s="49">
        <v>3.44E-2</v>
      </c>
      <c r="J21" s="49">
        <v>8.7800000000000003E-2</v>
      </c>
      <c r="K21" s="49">
        <v>1.3299999999999999E-2</v>
      </c>
      <c r="L21" s="49">
        <v>4.3700000000000003E-2</v>
      </c>
      <c r="M21" s="49">
        <v>9.7600000000000117E-2</v>
      </c>
      <c r="N21" s="49">
        <v>6.2700000000000006E-2</v>
      </c>
      <c r="O21" s="49">
        <v>2.0999999999999999E-3</v>
      </c>
      <c r="P21" s="49">
        <v>3.2599999999999997E-2</v>
      </c>
      <c r="Q21" s="49">
        <v>2.9700000000000001E-2</v>
      </c>
      <c r="R21" s="49">
        <v>9.9400000000000002E-2</v>
      </c>
      <c r="S21" s="49">
        <v>4.8999999999999998E-3</v>
      </c>
      <c r="T21" s="49">
        <v>7.1499999999999994E-2</v>
      </c>
      <c r="U21" s="49">
        <v>1E-3</v>
      </c>
      <c r="V21" s="49">
        <v>4.24E-2</v>
      </c>
      <c r="W21" s="49">
        <v>1E-3</v>
      </c>
      <c r="X21" s="3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269</v>
      </c>
      <c r="B22" s="1"/>
      <c r="C22" s="49">
        <v>7.5899999999999995E-2</v>
      </c>
      <c r="D22" s="49">
        <v>1.29E-2</v>
      </c>
      <c r="E22" s="49">
        <v>9.8100000000000007E-2</v>
      </c>
      <c r="F22" s="49">
        <v>4.0300000000000002E-2</v>
      </c>
      <c r="G22" s="49">
        <v>7.3800000000000004E-2</v>
      </c>
      <c r="H22" s="49">
        <v>3.0099999999999998E-2</v>
      </c>
      <c r="I22" s="49">
        <v>3.0700000000000002E-2</v>
      </c>
      <c r="J22" s="49">
        <v>4.9000000000000002E-2</v>
      </c>
      <c r="K22" s="49">
        <v>1.5E-3</v>
      </c>
      <c r="L22" s="49">
        <v>1.0800000000000001E-2</v>
      </c>
      <c r="M22" s="49">
        <v>0.10574999999999997</v>
      </c>
      <c r="N22" s="49">
        <v>7.9500000000000001E-2</v>
      </c>
      <c r="O22" s="49">
        <v>5.4000000000000003E-3</v>
      </c>
      <c r="P22" s="49">
        <v>2.6499999999999999E-2</v>
      </c>
      <c r="Q22" s="49">
        <v>3.6999999999999998E-2</v>
      </c>
      <c r="R22" s="49">
        <v>0.14319999999999999</v>
      </c>
      <c r="S22" s="49">
        <v>3.2000000000000002E-3</v>
      </c>
      <c r="T22" s="49">
        <v>0.1086</v>
      </c>
      <c r="U22" s="49">
        <v>2.5499999999999997E-3</v>
      </c>
      <c r="V22" s="49">
        <v>6.4199999999999993E-2</v>
      </c>
      <c r="W22" s="49">
        <v>1E-3</v>
      </c>
      <c r="X22" s="3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270</v>
      </c>
      <c r="B23" s="1"/>
      <c r="C23" s="49">
        <v>5.7799999999999997E-2</v>
      </c>
      <c r="D23" s="49">
        <v>1.41E-2</v>
      </c>
      <c r="E23" s="49">
        <v>7.0000000000000007E-2</v>
      </c>
      <c r="F23" s="49">
        <v>4.1000000000000002E-2</v>
      </c>
      <c r="G23" s="49">
        <v>4.58E-2</v>
      </c>
      <c r="H23" s="49">
        <v>1.2500000000000001E-2</v>
      </c>
      <c r="I23" s="49">
        <v>5.4100000000000002E-2</v>
      </c>
      <c r="J23" s="49">
        <v>5.6000000000000001E-2</v>
      </c>
      <c r="K23" s="49">
        <v>1.3599999999999999E-2</v>
      </c>
      <c r="L23" s="49">
        <v>6.1699999999999998E-2</v>
      </c>
      <c r="M23" s="49">
        <v>0.1532</v>
      </c>
      <c r="N23" s="49">
        <v>0.1171</v>
      </c>
      <c r="O23" s="49">
        <v>2.8999999999999998E-3</v>
      </c>
      <c r="P23" s="49">
        <v>1.6199999999999999E-2</v>
      </c>
      <c r="Q23" s="49">
        <v>5.5300000000000002E-2</v>
      </c>
      <c r="R23" s="49">
        <v>0.1046</v>
      </c>
      <c r="S23" s="49">
        <v>3.1600000000000003E-2</v>
      </c>
      <c r="T23" s="49">
        <v>5.16E-2</v>
      </c>
      <c r="U23" s="49">
        <v>3.5999999999999999E-3</v>
      </c>
      <c r="V23" s="49">
        <v>3.4700000000000002E-2</v>
      </c>
      <c r="W23" s="49">
        <v>2.5999999999999999E-3</v>
      </c>
      <c r="X23" s="3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9">
        <v>6.7999999999999996E-3</v>
      </c>
      <c r="D24" s="49">
        <v>1.5599999999999999E-2</v>
      </c>
      <c r="E24" s="49">
        <v>0.1986</v>
      </c>
      <c r="F24" s="49">
        <v>4.24E-2</v>
      </c>
      <c r="G24" s="49">
        <v>3.3E-3</v>
      </c>
      <c r="H24" s="49">
        <v>1.1599999999999999E-2</v>
      </c>
      <c r="I24" s="49">
        <v>9.5999999999999992E-3</v>
      </c>
      <c r="J24" s="49">
        <v>0.11260000000000001</v>
      </c>
      <c r="K24" s="49">
        <v>5.4000000000000003E-3</v>
      </c>
      <c r="L24" s="49">
        <v>2.3999999999999998E-3</v>
      </c>
      <c r="M24" s="49">
        <v>0.10959999999999986</v>
      </c>
      <c r="N24" s="49">
        <v>0.02</v>
      </c>
      <c r="O24" s="49">
        <v>2.0999999999999999E-3</v>
      </c>
      <c r="P24" s="49">
        <v>1.2500000000000001E-2</v>
      </c>
      <c r="Q24" s="49">
        <v>4.8999999999999998E-3</v>
      </c>
      <c r="R24" s="49">
        <v>0.28660000000000002</v>
      </c>
      <c r="S24" s="49">
        <v>1.4E-3</v>
      </c>
      <c r="T24" s="49">
        <v>7.3999999999999996E-2</v>
      </c>
      <c r="U24" s="49">
        <v>1E-3</v>
      </c>
      <c r="V24" s="49">
        <v>7.7799999999999994E-2</v>
      </c>
      <c r="W24" s="49">
        <v>1.8E-3</v>
      </c>
      <c r="X24" s="3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9">
        <v>4.5900000000000003E-2</v>
      </c>
      <c r="D25" s="49">
        <v>6.1499999999999999E-2</v>
      </c>
      <c r="E25" s="49">
        <v>8.9700000000000002E-2</v>
      </c>
      <c r="F25" s="49">
        <v>2.3400000000000001E-2</v>
      </c>
      <c r="G25" s="49">
        <v>5.5E-2</v>
      </c>
      <c r="H25" s="49">
        <v>2.1899999999999999E-2</v>
      </c>
      <c r="I25" s="49">
        <v>4.5499999999999999E-2</v>
      </c>
      <c r="J25" s="49">
        <v>5.5899999999999998E-2</v>
      </c>
      <c r="K25" s="49">
        <v>3.7199999999999997E-2</v>
      </c>
      <c r="L25" s="49">
        <v>1.5900000000000001E-2</v>
      </c>
      <c r="M25" s="49">
        <v>0.10160000000000007</v>
      </c>
      <c r="N25" s="49">
        <v>7.9500000000000001E-2</v>
      </c>
      <c r="O25" s="49">
        <v>2.8999999999999998E-3</v>
      </c>
      <c r="P25" s="49">
        <v>3.2899999999999999E-2</v>
      </c>
      <c r="Q25" s="49">
        <v>3.0700000000000002E-2</v>
      </c>
      <c r="R25" s="49">
        <v>0.1022</v>
      </c>
      <c r="S25" s="49">
        <v>7.6E-3</v>
      </c>
      <c r="T25" s="49">
        <v>8.1000000000000003E-2</v>
      </c>
      <c r="U25" s="49">
        <v>1E-3</v>
      </c>
      <c r="V25" s="49">
        <v>6.88E-2</v>
      </c>
      <c r="W25" s="49">
        <v>3.9899999999999998E-2</v>
      </c>
      <c r="X25" s="3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9">
        <v>4.0099999999999997E-2</v>
      </c>
      <c r="D26" s="49">
        <v>1.4E-2</v>
      </c>
      <c r="E26" s="49">
        <v>5.3499999999999999E-2</v>
      </c>
      <c r="F26" s="49">
        <v>2.2100000000000002E-2</v>
      </c>
      <c r="G26" s="49">
        <v>0.1794</v>
      </c>
      <c r="H26" s="49">
        <v>1.2999999999999999E-2</v>
      </c>
      <c r="I26" s="49">
        <v>3.2099999999999997E-2</v>
      </c>
      <c r="J26" s="49">
        <v>7.3499999999999996E-2</v>
      </c>
      <c r="K26" s="49">
        <v>7.7999999999999996E-3</v>
      </c>
      <c r="L26" s="49">
        <v>2.6700000000000002E-2</v>
      </c>
      <c r="M26" s="49">
        <v>0.12039999999999998</v>
      </c>
      <c r="N26" s="49">
        <v>8.2199999999999995E-2</v>
      </c>
      <c r="O26" s="49">
        <v>2.5000000000000001E-3</v>
      </c>
      <c r="P26" s="49">
        <v>2.9600000000000001E-2</v>
      </c>
      <c r="Q26" s="49">
        <v>4.3700000000000003E-2</v>
      </c>
      <c r="R26" s="49">
        <v>0.1285</v>
      </c>
      <c r="S26" s="49">
        <v>3.73E-2</v>
      </c>
      <c r="T26" s="49">
        <v>5.3999999999999999E-2</v>
      </c>
      <c r="U26" s="49">
        <v>1E-3</v>
      </c>
      <c r="V26" s="49">
        <v>3.5299999999999998E-2</v>
      </c>
      <c r="W26" s="49">
        <v>3.3E-3</v>
      </c>
      <c r="X26" s="3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271</v>
      </c>
      <c r="B27" s="1"/>
      <c r="C27" s="49">
        <v>7.7499999999999999E-2</v>
      </c>
      <c r="D27" s="49">
        <v>2.7900000000000001E-2</v>
      </c>
      <c r="E27" s="49">
        <v>5.45E-2</v>
      </c>
      <c r="F27" s="49">
        <v>3.7999999999999999E-2</v>
      </c>
      <c r="G27" s="49">
        <v>4.7399999999999998E-2</v>
      </c>
      <c r="H27" s="49">
        <v>2.5899999999999999E-2</v>
      </c>
      <c r="I27" s="49">
        <v>3.6700000000000003E-2</v>
      </c>
      <c r="J27" s="49">
        <v>6.9699999999999998E-2</v>
      </c>
      <c r="K27" s="49">
        <v>1.61E-2</v>
      </c>
      <c r="L27" s="49">
        <v>1.3299999999999999E-2</v>
      </c>
      <c r="M27" s="49">
        <v>0.10560000000000001</v>
      </c>
      <c r="N27" s="49">
        <v>8.9099999999999999E-2</v>
      </c>
      <c r="O27" s="49">
        <v>2.8999999999999998E-3</v>
      </c>
      <c r="P27" s="49">
        <v>1.8800000000000001E-2</v>
      </c>
      <c r="Q27" s="49">
        <v>4.8500000000000001E-2</v>
      </c>
      <c r="R27" s="49">
        <v>0.1903</v>
      </c>
      <c r="S27" s="49">
        <v>9.4000000000000004E-3</v>
      </c>
      <c r="T27" s="49">
        <v>5.8099999999999999E-2</v>
      </c>
      <c r="U27" s="49">
        <v>3.3E-3</v>
      </c>
      <c r="V27" s="49">
        <v>6.1699999999999998E-2</v>
      </c>
      <c r="W27" s="49">
        <v>5.3E-3</v>
      </c>
      <c r="X27" s="3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272</v>
      </c>
      <c r="B28" s="1"/>
      <c r="C28" s="49">
        <v>8.5900000000000004E-2</v>
      </c>
      <c r="D28" s="49">
        <v>2.64E-2</v>
      </c>
      <c r="E28" s="49">
        <v>7.1199999999999999E-2</v>
      </c>
      <c r="F28" s="49">
        <v>1.2699999999999999E-2</v>
      </c>
      <c r="G28" s="49">
        <v>7.22E-2</v>
      </c>
      <c r="H28" s="49">
        <v>3.5000000000000001E-3</v>
      </c>
      <c r="I28" s="49">
        <v>3.8399999999999997E-2</v>
      </c>
      <c r="J28" s="49">
        <v>4.6100000000000002E-2</v>
      </c>
      <c r="K28" s="49">
        <v>4.7999999999999996E-3</v>
      </c>
      <c r="L28" s="49">
        <v>1.72E-2</v>
      </c>
      <c r="M28" s="49">
        <v>0.10229999999999989</v>
      </c>
      <c r="N28" s="49">
        <v>9.8000000000000004E-2</v>
      </c>
      <c r="O28" s="49">
        <v>2.5999999999999999E-3</v>
      </c>
      <c r="P28" s="49">
        <v>1.55E-2</v>
      </c>
      <c r="Q28" s="49">
        <v>5.9700000000000003E-2</v>
      </c>
      <c r="R28" s="49">
        <v>0.19650000000000001</v>
      </c>
      <c r="S28" s="49">
        <v>4.2999999999999997E-2</v>
      </c>
      <c r="T28" s="49">
        <v>6.0199999999999997E-2</v>
      </c>
      <c r="U28" s="49">
        <v>3.0999999999999999E-3</v>
      </c>
      <c r="V28" s="49">
        <v>3.8800000000000001E-2</v>
      </c>
      <c r="W28" s="49">
        <v>1.9E-3</v>
      </c>
      <c r="X28" s="3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9">
        <v>5.0500000000000003E-2</v>
      </c>
      <c r="D29" s="49">
        <v>2.5700000000000001E-2</v>
      </c>
      <c r="E29" s="49">
        <v>0.1205</v>
      </c>
      <c r="F29" s="49">
        <v>3.8399999999999997E-2</v>
      </c>
      <c r="G29" s="49">
        <v>7.5399999999999995E-2</v>
      </c>
      <c r="H29" s="49">
        <v>8.9999999999999993E-3</v>
      </c>
      <c r="I29" s="49">
        <v>1.9599999999999999E-2</v>
      </c>
      <c r="J29" s="49">
        <v>8.5400000000000004E-2</v>
      </c>
      <c r="K29" s="49">
        <v>4.8999999999999998E-3</v>
      </c>
      <c r="L29" s="49">
        <v>7.7999999999999996E-3</v>
      </c>
      <c r="M29" s="49">
        <v>0.10629999999999999</v>
      </c>
      <c r="N29" s="49">
        <v>0.1226</v>
      </c>
      <c r="O29" s="49">
        <v>2.7000000000000001E-3</v>
      </c>
      <c r="P29" s="49">
        <v>1.95E-2</v>
      </c>
      <c r="Q29" s="49">
        <v>5.5E-2</v>
      </c>
      <c r="R29" s="49">
        <v>0.1148</v>
      </c>
      <c r="S29" s="49">
        <v>3.09E-2</v>
      </c>
      <c r="T29" s="49">
        <v>9.2499999999999999E-2</v>
      </c>
      <c r="U29" s="49">
        <v>4.7999999999999996E-3</v>
      </c>
      <c r="V29" s="49">
        <v>1.03E-2</v>
      </c>
      <c r="W29" s="49">
        <v>3.3999999999999998E-3</v>
      </c>
      <c r="X29" s="3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9">
        <v>4.5699999999999998E-2</v>
      </c>
      <c r="D30" s="49">
        <v>0.12970000000000001</v>
      </c>
      <c r="E30" s="49">
        <v>7.9000000000000001E-2</v>
      </c>
      <c r="F30" s="49">
        <v>2.7300000000000001E-2</v>
      </c>
      <c r="G30" s="49">
        <v>2.7300000000000001E-2</v>
      </c>
      <c r="H30" s="49">
        <v>1.61E-2</v>
      </c>
      <c r="I30" s="49">
        <v>4.5499999999999999E-2</v>
      </c>
      <c r="J30" s="49">
        <v>4.3499999999999997E-2</v>
      </c>
      <c r="K30" s="49">
        <v>1.2699999999999999E-2</v>
      </c>
      <c r="L30" s="49">
        <v>9.9000000000000008E-3</v>
      </c>
      <c r="M30" s="49">
        <v>9.6300000000000233E-2</v>
      </c>
      <c r="N30" s="49">
        <v>6.1600000000000002E-2</v>
      </c>
      <c r="O30" s="49">
        <v>2.2000000000000001E-3</v>
      </c>
      <c r="P30" s="49">
        <v>2.69E-2</v>
      </c>
      <c r="Q30" s="49">
        <v>3.09E-2</v>
      </c>
      <c r="R30" s="49">
        <v>5.0799999999999998E-2</v>
      </c>
      <c r="S30" s="49">
        <v>4.4999999999999997E-3</v>
      </c>
      <c r="T30" s="49">
        <v>6.5600000000000006E-2</v>
      </c>
      <c r="U30" s="49">
        <v>1.2999999999999999E-3</v>
      </c>
      <c r="V30" s="49">
        <v>0.21829999999999999</v>
      </c>
      <c r="W30" s="49">
        <v>4.8999999999999998E-3</v>
      </c>
      <c r="X30" s="3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520</v>
      </c>
    </row>
    <row r="33" spans="1:23" ht="45" x14ac:dyDescent="0.25">
      <c r="A33" t="s">
        <v>263</v>
      </c>
      <c r="C33" t="s">
        <v>99</v>
      </c>
      <c r="D33" s="21" t="s">
        <v>529</v>
      </c>
      <c r="E33" s="21" t="s">
        <v>530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264</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265</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266</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267</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268</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269</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270</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271</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272</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519</v>
      </c>
    </row>
    <row r="64" spans="1:23" ht="60" x14ac:dyDescent="0.25">
      <c r="A64" t="s">
        <v>263</v>
      </c>
      <c r="C64" s="21" t="s">
        <v>99</v>
      </c>
      <c r="D64" s="21" t="s">
        <v>529</v>
      </c>
      <c r="E64" s="21" t="s">
        <v>530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264</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265</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266</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267</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268</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269</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270</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271</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272</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zoomScaleNormal="100" workbookViewId="0">
      <selection activeCell="B1" sqref="B1"/>
    </sheetView>
  </sheetViews>
  <sheetFormatPr defaultRowHeight="15" x14ac:dyDescent="0.25"/>
  <cols>
    <col min="1" max="1" width="2" customWidth="1"/>
    <col min="2" max="2" width="27.5703125" customWidth="1"/>
    <col min="3" max="3" width="22.85546875" style="88" bestFit="1" customWidth="1"/>
  </cols>
  <sheetData>
    <row r="1" spans="1:6" ht="15.75" thickBot="1" x14ac:dyDescent="0.3">
      <c r="A1" s="140"/>
      <c r="B1" s="140"/>
      <c r="C1" s="741"/>
      <c r="D1" s="140"/>
      <c r="E1" s="140"/>
      <c r="F1" s="140"/>
    </row>
    <row r="2" spans="1:6" ht="15.75" x14ac:dyDescent="0.25">
      <c r="A2" s="140"/>
      <c r="B2" s="1342" t="s">
        <v>1085</v>
      </c>
      <c r="C2" s="1343"/>
      <c r="D2" s="140"/>
      <c r="E2" s="140"/>
      <c r="F2" s="140"/>
    </row>
    <row r="3" spans="1:6" x14ac:dyDescent="0.25">
      <c r="A3" s="140"/>
      <c r="B3" s="680" t="s">
        <v>879</v>
      </c>
      <c r="C3" s="742" t="str">
        <f>IF(OR(Welcome!$D$8="PON Only",Welcome!$D$8="PON w/ Incentive"),"ALC PON "&amp;'MDA Worksheet'!$R$14,"ALCM "&amp;'MDA Worksheet'!$R$14)</f>
        <v>ALCM 0</v>
      </c>
      <c r="D3" s="140"/>
      <c r="E3" s="742"/>
      <c r="F3" s="140"/>
    </row>
    <row r="4" spans="1:6" x14ac:dyDescent="0.25">
      <c r="A4" s="140"/>
      <c r="B4" s="680" t="s">
        <v>882</v>
      </c>
      <c r="C4" s="743">
        <f>'Required Info to Submit'!$F$14</f>
        <v>44332</v>
      </c>
      <c r="D4" s="140"/>
      <c r="E4" s="140"/>
      <c r="F4" s="140"/>
    </row>
    <row r="5" spans="1:6" x14ac:dyDescent="0.25">
      <c r="A5" s="140"/>
      <c r="B5" s="680" t="s">
        <v>883</v>
      </c>
      <c r="C5" s="742" t="s">
        <v>884</v>
      </c>
      <c r="D5" s="140"/>
      <c r="E5" s="140"/>
      <c r="F5" s="140"/>
    </row>
    <row r="6" spans="1:6" x14ac:dyDescent="0.25">
      <c r="A6" s="140"/>
      <c r="B6" s="1340" t="s">
        <v>887</v>
      </c>
      <c r="C6" s="1341"/>
      <c r="D6" s="140"/>
      <c r="E6" s="140"/>
      <c r="F6" s="140"/>
    </row>
    <row r="7" spans="1:6" x14ac:dyDescent="0.25">
      <c r="A7" s="140"/>
      <c r="B7" s="680" t="s">
        <v>880</v>
      </c>
      <c r="C7" s="742" t="s">
        <v>1251</v>
      </c>
      <c r="D7" s="140"/>
      <c r="E7" s="140"/>
      <c r="F7" s="140"/>
    </row>
    <row r="8" spans="1:6" x14ac:dyDescent="0.25">
      <c r="A8" s="140"/>
      <c r="B8" s="680" t="s">
        <v>881</v>
      </c>
      <c r="C8" s="742" t="s">
        <v>681</v>
      </c>
      <c r="D8" s="140"/>
      <c r="E8" s="140"/>
      <c r="F8" s="140"/>
    </row>
    <row r="9" spans="1:6" x14ac:dyDescent="0.25">
      <c r="A9" s="140"/>
      <c r="B9" s="680" t="s">
        <v>885</v>
      </c>
      <c r="C9" s="742">
        <f>'MDA Worksheet'!$K$10</f>
        <v>0</v>
      </c>
      <c r="D9" s="140"/>
      <c r="E9" s="140"/>
      <c r="F9" s="140"/>
    </row>
    <row r="10" spans="1:6" x14ac:dyDescent="0.25">
      <c r="A10" s="140"/>
      <c r="B10" s="680" t="s">
        <v>801</v>
      </c>
      <c r="C10" s="743">
        <f>'Required Info to Submit'!$F$14</f>
        <v>44332</v>
      </c>
      <c r="D10" s="140"/>
      <c r="E10" s="140"/>
      <c r="F10" s="140"/>
    </row>
    <row r="11" spans="1:6" x14ac:dyDescent="0.25">
      <c r="A11" s="140"/>
      <c r="B11" s="680" t="s">
        <v>802</v>
      </c>
      <c r="C11" s="743">
        <f>IF(C20="NO",C10+370,'MDA Worksheet'!$AV$24)</f>
        <v>44338</v>
      </c>
      <c r="D11" s="140"/>
      <c r="E11" s="140"/>
      <c r="F11" s="140"/>
    </row>
    <row r="12" spans="1:6" x14ac:dyDescent="0.25">
      <c r="A12" s="140"/>
      <c r="B12" s="680" t="s">
        <v>886</v>
      </c>
      <c r="C12" s="742" t="s">
        <v>707</v>
      </c>
      <c r="D12" s="140"/>
      <c r="E12" s="140"/>
      <c r="F12" s="140"/>
    </row>
    <row r="13" spans="1:6" x14ac:dyDescent="0.25">
      <c r="A13" s="140"/>
      <c r="B13" s="1340" t="s">
        <v>888</v>
      </c>
      <c r="C13" s="1341"/>
      <c r="D13" s="140"/>
      <c r="E13" s="140"/>
      <c r="F13" s="140"/>
    </row>
    <row r="14" spans="1:6" x14ac:dyDescent="0.25">
      <c r="A14" s="140"/>
      <c r="B14" s="744" t="s">
        <v>889</v>
      </c>
      <c r="C14" s="742">
        <v>1.75</v>
      </c>
      <c r="D14" s="140"/>
      <c r="E14" s="140"/>
      <c r="F14" s="140"/>
    </row>
    <row r="15" spans="1:6" x14ac:dyDescent="0.25">
      <c r="A15" s="140"/>
      <c r="B15" s="744" t="s">
        <v>890</v>
      </c>
      <c r="C15" s="742" t="s">
        <v>891</v>
      </c>
      <c r="D15" s="140"/>
      <c r="E15" s="140"/>
      <c r="F15" s="140"/>
    </row>
    <row r="16" spans="1:6" x14ac:dyDescent="0.25">
      <c r="A16" s="140"/>
      <c r="B16" s="744" t="s">
        <v>892</v>
      </c>
      <c r="C16" s="742" t="s">
        <v>692</v>
      </c>
      <c r="D16" s="140"/>
      <c r="E16" s="140"/>
      <c r="F16" s="140"/>
    </row>
    <row r="17" spans="1:6" x14ac:dyDescent="0.25">
      <c r="A17" s="140"/>
      <c r="B17" s="744" t="s">
        <v>893</v>
      </c>
      <c r="C17" s="742" t="s">
        <v>894</v>
      </c>
      <c r="D17" s="140"/>
      <c r="E17" s="140"/>
      <c r="F17" s="140"/>
    </row>
    <row r="18" spans="1:6" x14ac:dyDescent="0.25">
      <c r="A18" s="140"/>
      <c r="B18" s="744" t="s">
        <v>895</v>
      </c>
      <c r="C18" s="742">
        <v>25</v>
      </c>
      <c r="D18" s="140"/>
      <c r="E18" s="140"/>
      <c r="F18" s="140"/>
    </row>
    <row r="19" spans="1:6" x14ac:dyDescent="0.25">
      <c r="A19" s="140"/>
      <c r="B19" s="744" t="s">
        <v>896</v>
      </c>
      <c r="C19" s="742" t="s">
        <v>496</v>
      </c>
      <c r="D19" s="140"/>
      <c r="E19" s="140"/>
      <c r="F19" s="140"/>
    </row>
    <row r="20" spans="1:6" x14ac:dyDescent="0.25">
      <c r="A20" s="140"/>
      <c r="B20" s="744" t="s">
        <v>897</v>
      </c>
      <c r="C20" s="742" t="str">
        <f>IF(OR(Welcome!$D$8="PON Only",Welcome!$D$8="PON w/ Incentive"),"NO","YES")</f>
        <v>YES</v>
      </c>
      <c r="D20" s="140"/>
      <c r="E20" s="140"/>
      <c r="F20" s="140"/>
    </row>
    <row r="21" spans="1:6" x14ac:dyDescent="0.25">
      <c r="A21" s="140"/>
      <c r="B21" s="744" t="s">
        <v>898</v>
      </c>
      <c r="C21" s="742" t="str">
        <f>IF($C$20="No","","Semi-Annually")</f>
        <v>Semi-Annually</v>
      </c>
      <c r="D21" s="140"/>
      <c r="E21" s="140"/>
      <c r="F21" s="140"/>
    </row>
    <row r="22" spans="1:6" x14ac:dyDescent="0.25">
      <c r="A22" s="140"/>
      <c r="B22" s="744" t="s">
        <v>899</v>
      </c>
      <c r="C22" s="745" t="str">
        <f>'MDA Worksheet'!$T$38</f>
        <v>Error on A La Carte</v>
      </c>
      <c r="D22" s="140"/>
      <c r="E22" s="140"/>
      <c r="F22" s="140"/>
    </row>
    <row r="23" spans="1:6" x14ac:dyDescent="0.25">
      <c r="A23" s="140"/>
      <c r="B23" s="744" t="s">
        <v>900</v>
      </c>
      <c r="C23" s="746" t="str">
        <f>'MDA Worksheet'!$T$36</f>
        <v>Error on A La Carte</v>
      </c>
      <c r="D23" s="140"/>
      <c r="E23" s="140"/>
      <c r="F23" s="140"/>
    </row>
    <row r="24" spans="1:6" ht="15.75" thickBot="1" x14ac:dyDescent="0.3">
      <c r="A24" s="140"/>
      <c r="B24" s="747" t="s">
        <v>901</v>
      </c>
      <c r="C24" s="748">
        <v>2</v>
      </c>
      <c r="D24" s="140"/>
      <c r="E24" s="140"/>
      <c r="F24" s="140"/>
    </row>
    <row r="25" spans="1:6" x14ac:dyDescent="0.25">
      <c r="A25" s="140"/>
      <c r="B25" s="140"/>
      <c r="C25" s="741"/>
      <c r="D25" s="140"/>
      <c r="E25" s="140"/>
      <c r="F25" s="140"/>
    </row>
    <row r="26" spans="1:6" x14ac:dyDescent="0.25">
      <c r="A26" s="140"/>
      <c r="B26" s="140"/>
      <c r="C26" s="741"/>
      <c r="D26" s="140"/>
      <c r="E26" s="140"/>
      <c r="F26" s="140"/>
    </row>
    <row r="27" spans="1:6" x14ac:dyDescent="0.25">
      <c r="A27" s="140"/>
      <c r="B27" s="140"/>
      <c r="C27" s="741"/>
      <c r="D27" s="140"/>
      <c r="E27" s="140"/>
      <c r="F27" s="140"/>
    </row>
  </sheetData>
  <sheetProtection algorithmName="SHA-512" hashValue="+Kvkem5Xkuhx6tMixyvJWAc4K4WbvrLqL/1bLT4A7wA1k7YRv+LD8G/Nfrq73Bdd8tyQstfN78FtpyeW+xl/Fg==" saltValue="EGpqOt/PQUrVU/9WhjjwjQ=="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scaleWithDoc="0">
    <oddHeader>&amp;C&amp;F&amp;R&amp;D</oddHeader>
    <oddFooter>&amp;L&amp;P&amp;CWelcome | US Foods Confidential</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topLeftCell="A21" workbookViewId="0">
      <selection activeCell="D28" sqref="D28"/>
    </sheetView>
  </sheetViews>
  <sheetFormatPr defaultRowHeight="15" x14ac:dyDescent="0.25"/>
  <cols>
    <col min="1" max="1" width="4.7109375" bestFit="1" customWidth="1"/>
    <col min="2" max="2" width="16.5703125" style="865" bestFit="1" customWidth="1"/>
    <col min="3" max="3" width="28" style="865" bestFit="1" customWidth="1"/>
    <col min="4" max="4" width="10.85546875" bestFit="1" customWidth="1"/>
    <col min="5" max="5" width="15.85546875" bestFit="1" customWidth="1"/>
  </cols>
  <sheetData>
    <row r="1" spans="1:5" x14ac:dyDescent="0.25">
      <c r="A1" s="865" t="s">
        <v>1230</v>
      </c>
      <c r="B1" s="865" t="s">
        <v>1233</v>
      </c>
      <c r="C1" s="865" t="s">
        <v>1234</v>
      </c>
      <c r="D1" s="22" t="s">
        <v>1231</v>
      </c>
      <c r="E1" s="22" t="s">
        <v>1232</v>
      </c>
    </row>
    <row r="2" spans="1:5" x14ac:dyDescent="0.25">
      <c r="A2" s="865" t="s">
        <v>193</v>
      </c>
      <c r="B2" s="865">
        <v>2020</v>
      </c>
      <c r="C2" s="865" t="s">
        <v>927</v>
      </c>
      <c r="D2" s="22">
        <v>2.7739631938930701E-2</v>
      </c>
      <c r="E2" s="22">
        <v>2.7125016276518699E-2</v>
      </c>
    </row>
    <row r="3" spans="1:5" x14ac:dyDescent="0.25">
      <c r="A3" s="865" t="s">
        <v>192</v>
      </c>
      <c r="B3" s="865">
        <v>2180</v>
      </c>
      <c r="C3" s="865" t="s">
        <v>79</v>
      </c>
      <c r="D3" s="22">
        <v>2.8536064274713099E-2</v>
      </c>
      <c r="E3" s="22">
        <v>2.7125016276518699E-2</v>
      </c>
    </row>
    <row r="4" spans="1:5" x14ac:dyDescent="0.25">
      <c r="A4" s="865" t="s">
        <v>191</v>
      </c>
      <c r="B4" s="865">
        <v>2160</v>
      </c>
      <c r="C4" s="865" t="s">
        <v>28</v>
      </c>
      <c r="D4" s="22">
        <v>3.1885529773458002E-2</v>
      </c>
      <c r="E4" s="22">
        <v>2.7125016276518699E-2</v>
      </c>
    </row>
    <row r="5" spans="1:5" x14ac:dyDescent="0.25">
      <c r="A5" s="865" t="s">
        <v>190</v>
      </c>
      <c r="B5" s="865">
        <v>2110</v>
      </c>
      <c r="C5" s="865" t="s">
        <v>33</v>
      </c>
      <c r="D5" s="22">
        <v>2.82674148233787E-2</v>
      </c>
      <c r="E5" s="22">
        <v>2.7125016276518699E-2</v>
      </c>
    </row>
    <row r="6" spans="1:5" x14ac:dyDescent="0.25">
      <c r="A6" s="865" t="s">
        <v>189</v>
      </c>
      <c r="B6" s="865">
        <v>2165</v>
      </c>
      <c r="C6" s="865" t="s">
        <v>81</v>
      </c>
      <c r="D6" s="22">
        <v>2.7125016276518699E-2</v>
      </c>
      <c r="E6" s="22">
        <v>2.7125016276518699E-2</v>
      </c>
    </row>
    <row r="7" spans="1:5" x14ac:dyDescent="0.25">
      <c r="A7" s="865" t="s">
        <v>188</v>
      </c>
      <c r="B7" s="865">
        <v>2170</v>
      </c>
      <c r="C7" s="865" t="s">
        <v>122</v>
      </c>
      <c r="D7" s="22">
        <v>2.59925926894349E-2</v>
      </c>
      <c r="E7" s="22">
        <v>2.7125016276518699E-2</v>
      </c>
    </row>
    <row r="8" spans="1:5" x14ac:dyDescent="0.25">
      <c r="A8" s="865" t="s">
        <v>187</v>
      </c>
      <c r="B8" s="865">
        <v>2148</v>
      </c>
      <c r="C8" s="865" t="s">
        <v>64</v>
      </c>
      <c r="D8" s="22">
        <v>2.6095112304206601E-2</v>
      </c>
      <c r="E8" s="22">
        <v>2.7125016276518699E-2</v>
      </c>
    </row>
    <row r="9" spans="1:5" x14ac:dyDescent="0.25">
      <c r="A9" s="865" t="s">
        <v>186</v>
      </c>
      <c r="B9" s="865">
        <v>2190</v>
      </c>
      <c r="C9" s="865" t="s">
        <v>19</v>
      </c>
      <c r="D9" s="22">
        <v>2.81140048372523E-2</v>
      </c>
      <c r="E9" s="22">
        <v>2.7125016276518699E-2</v>
      </c>
    </row>
    <row r="10" spans="1:5" x14ac:dyDescent="0.25">
      <c r="A10" s="865" t="s">
        <v>185</v>
      </c>
      <c r="B10" s="865">
        <v>2116</v>
      </c>
      <c r="C10" s="865" t="s">
        <v>59</v>
      </c>
      <c r="D10" s="22">
        <v>2.9944763320575302E-2</v>
      </c>
      <c r="E10" s="22">
        <v>2.7125016276518699E-2</v>
      </c>
    </row>
    <row r="11" spans="1:5" x14ac:dyDescent="0.25">
      <c r="A11" s="865" t="s">
        <v>184</v>
      </c>
      <c r="B11" s="865">
        <v>248</v>
      </c>
      <c r="C11" s="865" t="s">
        <v>1111</v>
      </c>
      <c r="D11" s="22">
        <v>2.6464657930859201E-2</v>
      </c>
      <c r="E11" s="22">
        <v>2.7125016276518699E-2</v>
      </c>
    </row>
    <row r="12" spans="1:5" x14ac:dyDescent="0.25">
      <c r="A12" s="865" t="s">
        <v>182</v>
      </c>
      <c r="B12" s="865">
        <v>2350</v>
      </c>
      <c r="C12" s="865" t="s">
        <v>39</v>
      </c>
      <c r="D12" s="22">
        <v>2.9415639585766401E-2</v>
      </c>
      <c r="E12" s="22">
        <v>2.7125016276518699E-2</v>
      </c>
    </row>
    <row r="13" spans="1:5" x14ac:dyDescent="0.25">
      <c r="A13" s="865" t="s">
        <v>181</v>
      </c>
      <c r="B13" s="865">
        <v>2345</v>
      </c>
      <c r="C13" s="865" t="s">
        <v>928</v>
      </c>
      <c r="D13" s="22">
        <v>2.6962706679612598E-2</v>
      </c>
      <c r="E13" s="22">
        <v>2.7125016276518699E-2</v>
      </c>
    </row>
    <row r="14" spans="1:5" x14ac:dyDescent="0.25">
      <c r="A14" s="865" t="s">
        <v>180</v>
      </c>
      <c r="B14" s="865">
        <v>2330</v>
      </c>
      <c r="C14" s="865" t="s">
        <v>31</v>
      </c>
      <c r="D14" s="22">
        <v>2.6792509343913602E-2</v>
      </c>
      <c r="E14" s="22">
        <v>2.7125016276518699E-2</v>
      </c>
    </row>
    <row r="15" spans="1:5" x14ac:dyDescent="0.25">
      <c r="A15" s="865" t="s">
        <v>179</v>
      </c>
      <c r="B15" s="865">
        <v>2340</v>
      </c>
      <c r="C15" s="865" t="s">
        <v>929</v>
      </c>
      <c r="D15" s="22">
        <v>2.53908115053765E-2</v>
      </c>
      <c r="E15" s="22">
        <v>2.7125016276518699E-2</v>
      </c>
    </row>
    <row r="16" spans="1:5" x14ac:dyDescent="0.25">
      <c r="A16" s="865" t="s">
        <v>178</v>
      </c>
      <c r="B16" s="865">
        <v>4100</v>
      </c>
      <c r="C16" s="865" t="s">
        <v>52</v>
      </c>
      <c r="D16" s="22">
        <v>2.9901342297929501E-2</v>
      </c>
      <c r="E16" s="22">
        <v>2.7125016276518699E-2</v>
      </c>
    </row>
    <row r="17" spans="1:5" x14ac:dyDescent="0.25">
      <c r="A17" s="865" t="s">
        <v>1126</v>
      </c>
      <c r="B17" s="865">
        <v>2355</v>
      </c>
      <c r="C17" s="865" t="s">
        <v>1127</v>
      </c>
      <c r="D17" s="22">
        <v>3.4605844000615303E-2</v>
      </c>
      <c r="E17" s="22">
        <v>2.7125016276518699E-2</v>
      </c>
    </row>
    <row r="18" spans="1:5" x14ac:dyDescent="0.25">
      <c r="A18" s="865" t="s">
        <v>177</v>
      </c>
      <c r="B18" s="865">
        <v>1054</v>
      </c>
      <c r="C18" s="865" t="s">
        <v>46</v>
      </c>
      <c r="D18" s="22">
        <v>2.8511953382644999E-2</v>
      </c>
      <c r="E18" s="22">
        <v>2.7125016276518699E-2</v>
      </c>
    </row>
    <row r="19" spans="1:5" x14ac:dyDescent="0.25">
      <c r="A19" s="865" t="s">
        <v>176</v>
      </c>
      <c r="B19" s="865">
        <v>1103</v>
      </c>
      <c r="C19" s="865" t="s">
        <v>22</v>
      </c>
      <c r="D19" s="22">
        <v>3.0860519002866901E-2</v>
      </c>
      <c r="E19" s="22">
        <v>2.7125016276518699E-2</v>
      </c>
    </row>
    <row r="20" spans="1:5" x14ac:dyDescent="0.25">
      <c r="A20" s="865" t="s">
        <v>175</v>
      </c>
      <c r="B20" s="865">
        <v>2099</v>
      </c>
      <c r="C20" s="865" t="s">
        <v>58</v>
      </c>
      <c r="D20" s="22">
        <v>2.5143112075853E-2</v>
      </c>
      <c r="E20" s="22">
        <v>2.7125016276518699E-2</v>
      </c>
    </row>
    <row r="21" spans="1:5" x14ac:dyDescent="0.25">
      <c r="A21" s="865" t="s">
        <v>174</v>
      </c>
      <c r="B21" s="865">
        <v>1104</v>
      </c>
      <c r="C21" s="865" t="s">
        <v>43</v>
      </c>
      <c r="D21" s="22">
        <v>2.9510551954597099E-2</v>
      </c>
      <c r="E21" s="22">
        <v>2.7125016276518699E-2</v>
      </c>
    </row>
    <row r="22" spans="1:5" x14ac:dyDescent="0.25">
      <c r="A22" s="865" t="s">
        <v>173</v>
      </c>
      <c r="B22" s="865">
        <v>4120</v>
      </c>
      <c r="C22" s="865" t="s">
        <v>63</v>
      </c>
      <c r="D22" s="22">
        <v>2.78821251138664E-2</v>
      </c>
      <c r="E22" s="22">
        <v>2.7125016276518699E-2</v>
      </c>
    </row>
    <row r="23" spans="1:5" x14ac:dyDescent="0.25">
      <c r="A23" s="865" t="s">
        <v>172</v>
      </c>
      <c r="B23" s="865">
        <v>4118</v>
      </c>
      <c r="C23" s="865" t="s">
        <v>30</v>
      </c>
      <c r="D23" s="22">
        <v>2.7490429003036599E-2</v>
      </c>
      <c r="E23" s="22">
        <v>2.7125016276518699E-2</v>
      </c>
    </row>
    <row r="24" spans="1:5" x14ac:dyDescent="0.25">
      <c r="A24" s="865" t="s">
        <v>171</v>
      </c>
      <c r="B24" s="865">
        <v>4146</v>
      </c>
      <c r="C24" s="865" t="s">
        <v>54</v>
      </c>
      <c r="D24" s="22">
        <v>2.6943630265373199E-2</v>
      </c>
      <c r="E24" s="22">
        <v>2.7125016276518699E-2</v>
      </c>
    </row>
    <row r="25" spans="1:5" x14ac:dyDescent="0.25">
      <c r="A25" s="865" t="s">
        <v>170</v>
      </c>
      <c r="B25" s="865">
        <v>4140</v>
      </c>
      <c r="C25" s="865" t="s">
        <v>40</v>
      </c>
      <c r="D25" s="22">
        <v>2.67651154233217E-2</v>
      </c>
      <c r="E25" s="22">
        <v>2.7125016276518699E-2</v>
      </c>
    </row>
    <row r="26" spans="1:5" x14ac:dyDescent="0.25">
      <c r="A26" s="865" t="s">
        <v>169</v>
      </c>
      <c r="B26" s="865">
        <v>4117</v>
      </c>
      <c r="C26" s="865" t="s">
        <v>17</v>
      </c>
      <c r="D26" s="22">
        <v>2.6616857866198201E-2</v>
      </c>
      <c r="E26" s="22">
        <v>2.7125016276518699E-2</v>
      </c>
    </row>
    <row r="27" spans="1:5" x14ac:dyDescent="0.25">
      <c r="A27" s="865" t="s">
        <v>168</v>
      </c>
      <c r="B27" s="865">
        <v>4147</v>
      </c>
      <c r="C27" s="865" t="s">
        <v>1272</v>
      </c>
      <c r="D27" s="22">
        <v>2.9100000000000001E-2</v>
      </c>
      <c r="E27" s="22">
        <v>2.7125016276518699E-2</v>
      </c>
    </row>
    <row r="28" spans="1:5" x14ac:dyDescent="0.25">
      <c r="A28" s="865" t="s">
        <v>167</v>
      </c>
      <c r="B28" s="865">
        <v>4110</v>
      </c>
      <c r="C28" s="865" t="s">
        <v>73</v>
      </c>
      <c r="D28" s="22">
        <v>2.65128206477999E-2</v>
      </c>
      <c r="E28" s="22">
        <v>2.7125016276518699E-2</v>
      </c>
    </row>
    <row r="29" spans="1:5" x14ac:dyDescent="0.25">
      <c r="A29" s="865" t="s">
        <v>166</v>
      </c>
      <c r="B29" s="865">
        <v>4150</v>
      </c>
      <c r="C29" s="865" t="s">
        <v>55</v>
      </c>
      <c r="D29" s="22">
        <v>2.3355361617324301E-2</v>
      </c>
      <c r="E29" s="22">
        <v>2.7125016276518699E-2</v>
      </c>
    </row>
    <row r="30" spans="1:5" x14ac:dyDescent="0.25">
      <c r="A30" s="865" t="s">
        <v>165</v>
      </c>
      <c r="B30" s="865">
        <v>3190</v>
      </c>
      <c r="C30" s="865" t="s">
        <v>27</v>
      </c>
      <c r="D30" s="22">
        <v>2.8324561503501499E-2</v>
      </c>
      <c r="E30" s="22">
        <v>2.7125016276518699E-2</v>
      </c>
    </row>
    <row r="31" spans="1:5" x14ac:dyDescent="0.25">
      <c r="A31" s="865" t="s">
        <v>164</v>
      </c>
      <c r="B31" s="865">
        <v>2260</v>
      </c>
      <c r="C31" s="865" t="s">
        <v>10</v>
      </c>
      <c r="D31" s="22">
        <v>2.59598075038967E-2</v>
      </c>
      <c r="E31" s="22">
        <v>2.7125016276518699E-2</v>
      </c>
    </row>
    <row r="32" spans="1:5" x14ac:dyDescent="0.25">
      <c r="A32" s="865" t="s">
        <v>163</v>
      </c>
      <c r="B32" s="865">
        <v>2210</v>
      </c>
      <c r="C32" s="865" t="s">
        <v>121</v>
      </c>
      <c r="D32" s="22">
        <v>2.3893251208070801E-2</v>
      </c>
      <c r="E32" s="22">
        <v>2.7125016276518699E-2</v>
      </c>
    </row>
    <row r="33" spans="1:5" x14ac:dyDescent="0.25">
      <c r="A33" s="865" t="s">
        <v>162</v>
      </c>
      <c r="B33" s="865">
        <v>2240</v>
      </c>
      <c r="C33" s="865" t="s">
        <v>16</v>
      </c>
      <c r="D33" s="22">
        <v>2.74803575467139E-2</v>
      </c>
      <c r="E33" s="22">
        <v>2.7125016276518699E-2</v>
      </c>
    </row>
    <row r="34" spans="1:5" x14ac:dyDescent="0.25">
      <c r="A34" s="865" t="s">
        <v>161</v>
      </c>
      <c r="B34" s="865">
        <v>2220</v>
      </c>
      <c r="C34" s="865" t="s">
        <v>5</v>
      </c>
      <c r="D34" s="22">
        <v>2.5343147655549899E-2</v>
      </c>
      <c r="E34" s="22">
        <v>2.7125016276518699E-2</v>
      </c>
    </row>
    <row r="35" spans="1:5" x14ac:dyDescent="0.25">
      <c r="A35" s="865" t="s">
        <v>160</v>
      </c>
      <c r="B35" s="865">
        <v>2125</v>
      </c>
      <c r="C35" s="865" t="s">
        <v>21</v>
      </c>
      <c r="D35" s="22">
        <v>2.6682633749483799E-2</v>
      </c>
      <c r="E35" s="22">
        <v>2.7125016276518699E-2</v>
      </c>
    </row>
    <row r="36" spans="1:5" x14ac:dyDescent="0.25">
      <c r="A36" s="865" t="s">
        <v>159</v>
      </c>
      <c r="B36" s="865">
        <v>2230</v>
      </c>
      <c r="C36" s="865" t="s">
        <v>49</v>
      </c>
      <c r="D36" s="22">
        <v>2.67508594907159E-2</v>
      </c>
      <c r="E36" s="22">
        <v>2.7125016276518699E-2</v>
      </c>
    </row>
    <row r="37" spans="1:5" x14ac:dyDescent="0.25">
      <c r="A37" s="865" t="s">
        <v>158</v>
      </c>
      <c r="B37" s="865">
        <v>3055</v>
      </c>
      <c r="C37" s="865" t="s">
        <v>7</v>
      </c>
      <c r="D37" s="22">
        <v>2.2915815988E-2</v>
      </c>
      <c r="E37" s="22">
        <v>2.7125016276518699E-2</v>
      </c>
    </row>
    <row r="38" spans="1:5" x14ac:dyDescent="0.25">
      <c r="A38" s="865" t="s">
        <v>1128</v>
      </c>
      <c r="B38" s="865">
        <v>2365</v>
      </c>
      <c r="C38" s="865" t="s">
        <v>1129</v>
      </c>
      <c r="D38" s="22">
        <v>2.87892046246566E-2</v>
      </c>
      <c r="E38" s="22">
        <v>2.7125016276518699E-2</v>
      </c>
    </row>
    <row r="39" spans="1:5" x14ac:dyDescent="0.25">
      <c r="A39" s="865" t="s">
        <v>157</v>
      </c>
      <c r="B39" s="865">
        <v>2250</v>
      </c>
      <c r="C39" s="865" t="s">
        <v>32</v>
      </c>
      <c r="D39" s="22">
        <v>2.5661957357599401E-2</v>
      </c>
      <c r="E39" s="22">
        <v>2.7125016276518699E-2</v>
      </c>
    </row>
    <row r="40" spans="1:5" x14ac:dyDescent="0.25">
      <c r="A40" s="865" t="s">
        <v>156</v>
      </c>
      <c r="B40" s="865">
        <v>3051</v>
      </c>
      <c r="C40" s="865" t="s">
        <v>76</v>
      </c>
      <c r="D40" s="22">
        <v>2.9814972600597098E-2</v>
      </c>
      <c r="E40" s="22">
        <v>2.7125016276518699E-2</v>
      </c>
    </row>
    <row r="41" spans="1:5" x14ac:dyDescent="0.25">
      <c r="A41" s="865" t="s">
        <v>155</v>
      </c>
      <c r="B41" s="865">
        <v>2370</v>
      </c>
      <c r="C41" s="865" t="s">
        <v>77</v>
      </c>
      <c r="D41" s="22">
        <v>2.35030648067363E-2</v>
      </c>
      <c r="E41" s="22">
        <v>2.7125016276518699E-2</v>
      </c>
    </row>
    <row r="42" spans="1:5" x14ac:dyDescent="0.25">
      <c r="A42" s="865" t="s">
        <v>154</v>
      </c>
      <c r="B42" s="865">
        <v>2135</v>
      </c>
      <c r="C42" s="865" t="s">
        <v>25</v>
      </c>
      <c r="D42" s="22">
        <v>2.6421829910205499E-2</v>
      </c>
      <c r="E42" s="22">
        <v>2.7125016276518699E-2</v>
      </c>
    </row>
    <row r="43" spans="1:5" x14ac:dyDescent="0.25">
      <c r="A43" s="865" t="s">
        <v>153</v>
      </c>
      <c r="B43" s="865">
        <v>2270</v>
      </c>
      <c r="C43" s="865" t="s">
        <v>2</v>
      </c>
      <c r="D43" s="22">
        <v>2.3666354884089899E-2</v>
      </c>
      <c r="E43" s="22">
        <v>2.7125016276518699E-2</v>
      </c>
    </row>
    <row r="44" spans="1:5" x14ac:dyDescent="0.25">
      <c r="A44" s="865" t="s">
        <v>152</v>
      </c>
      <c r="B44" s="865">
        <v>3230</v>
      </c>
      <c r="C44" s="865" t="s">
        <v>37</v>
      </c>
      <c r="D44" s="22">
        <v>2.6730080332460899E-2</v>
      </c>
      <c r="E44" s="22">
        <v>2.7125016276518699E-2</v>
      </c>
    </row>
    <row r="45" spans="1:5" x14ac:dyDescent="0.25">
      <c r="A45" s="865" t="s">
        <v>151</v>
      </c>
      <c r="B45" s="865">
        <v>3170</v>
      </c>
      <c r="C45" s="865" t="s">
        <v>24</v>
      </c>
      <c r="D45" s="22">
        <v>2.7054357310372E-2</v>
      </c>
      <c r="E45" s="22">
        <v>2.7125016276518699E-2</v>
      </c>
    </row>
    <row r="46" spans="1:5" x14ac:dyDescent="0.25">
      <c r="A46" s="865" t="s">
        <v>150</v>
      </c>
      <c r="B46" s="865">
        <v>3120</v>
      </c>
      <c r="C46" s="865" t="s">
        <v>68</v>
      </c>
      <c r="D46" s="22">
        <v>2.6123399008142499E-2</v>
      </c>
      <c r="E46" s="22">
        <v>2.7125016276518699E-2</v>
      </c>
    </row>
    <row r="47" spans="1:5" x14ac:dyDescent="0.25">
      <c r="A47" s="865" t="s">
        <v>149</v>
      </c>
      <c r="B47" s="865">
        <v>3186</v>
      </c>
      <c r="C47" s="865" t="s">
        <v>65</v>
      </c>
      <c r="D47" s="22">
        <v>2.8135776475119102E-2</v>
      </c>
      <c r="E47" s="22">
        <v>2.7125016276518699E-2</v>
      </c>
    </row>
    <row r="48" spans="1:5" x14ac:dyDescent="0.25">
      <c r="A48" s="865" t="s">
        <v>148</v>
      </c>
      <c r="B48" s="865">
        <v>3160</v>
      </c>
      <c r="C48" s="865" t="s">
        <v>50</v>
      </c>
      <c r="D48" s="22">
        <v>2.8067018330258899E-2</v>
      </c>
      <c r="E48" s="22">
        <v>2.7125016276518699E-2</v>
      </c>
    </row>
    <row r="49" spans="1:5" x14ac:dyDescent="0.25">
      <c r="A49" s="865" t="s">
        <v>147</v>
      </c>
      <c r="B49" s="865">
        <v>3150</v>
      </c>
      <c r="C49" s="865" t="s">
        <v>26</v>
      </c>
      <c r="D49" s="22">
        <v>2.6046662387047999E-2</v>
      </c>
      <c r="E49" s="22">
        <v>2.7125016276518699E-2</v>
      </c>
    </row>
    <row r="50" spans="1:5" x14ac:dyDescent="0.25">
      <c r="A50" s="865" t="s">
        <v>146</v>
      </c>
      <c r="B50" s="865">
        <v>3126</v>
      </c>
      <c r="C50" s="865" t="s">
        <v>80</v>
      </c>
      <c r="D50" s="22">
        <v>2.4500408399063801E-2</v>
      </c>
      <c r="E50" s="22">
        <v>2.7125016276518699E-2</v>
      </c>
    </row>
    <row r="51" spans="1:5" x14ac:dyDescent="0.25">
      <c r="A51" s="865" t="s">
        <v>145</v>
      </c>
      <c r="B51" s="865">
        <v>3023</v>
      </c>
      <c r="C51" s="865" t="s">
        <v>42</v>
      </c>
      <c r="D51" s="22">
        <v>2.72264414110285E-2</v>
      </c>
      <c r="E51" s="22">
        <v>2.7125016276518699E-2</v>
      </c>
    </row>
    <row r="52" spans="1:5" x14ac:dyDescent="0.25">
      <c r="A52" s="865" t="s">
        <v>144</v>
      </c>
      <c r="B52" s="865">
        <v>2185</v>
      </c>
      <c r="C52" s="865" t="s">
        <v>53</v>
      </c>
      <c r="D52" s="22">
        <v>2.59344882196802E-2</v>
      </c>
      <c r="E52" s="22">
        <v>2.7125016276518699E-2</v>
      </c>
    </row>
    <row r="53" spans="1:5" x14ac:dyDescent="0.25">
      <c r="A53" s="865" t="s">
        <v>143</v>
      </c>
      <c r="B53" s="865">
        <v>1106</v>
      </c>
      <c r="C53" s="865" t="s">
        <v>67</v>
      </c>
      <c r="D53" s="22">
        <v>2.8050323067163201E-2</v>
      </c>
      <c r="E53" s="22">
        <v>2.7125016276518699E-2</v>
      </c>
    </row>
    <row r="54" spans="1:5" x14ac:dyDescent="0.25">
      <c r="A54" s="865" t="s">
        <v>142</v>
      </c>
      <c r="B54" s="865">
        <v>3135</v>
      </c>
      <c r="C54" s="865" t="s">
        <v>29</v>
      </c>
      <c r="D54" s="22">
        <v>2.16945751008298E-2</v>
      </c>
      <c r="E54" s="22">
        <v>2.7125016276518699E-2</v>
      </c>
    </row>
    <row r="55" spans="1:5" x14ac:dyDescent="0.25">
      <c r="A55" s="865" t="s">
        <v>385</v>
      </c>
      <c r="B55" s="865">
        <v>3139</v>
      </c>
      <c r="C55" s="865" t="s">
        <v>250</v>
      </c>
      <c r="D55" s="22">
        <v>2.8207940601015499E-2</v>
      </c>
      <c r="E55" s="22">
        <v>2.7125016276518699E-2</v>
      </c>
    </row>
    <row r="56" spans="1:5" x14ac:dyDescent="0.25">
      <c r="A56" s="865" t="s">
        <v>141</v>
      </c>
      <c r="B56" s="865">
        <v>3147</v>
      </c>
      <c r="C56" s="865" t="s">
        <v>51</v>
      </c>
      <c r="D56" s="22">
        <v>2.5867145176892099E-2</v>
      </c>
      <c r="E56" s="22">
        <v>2.7125016276518699E-2</v>
      </c>
    </row>
    <row r="57" spans="1:5" x14ac:dyDescent="0.25">
      <c r="A57" s="865" t="s">
        <v>140</v>
      </c>
      <c r="B57" s="865">
        <v>3210</v>
      </c>
      <c r="C57" s="865" t="s">
        <v>47</v>
      </c>
      <c r="D57" s="22">
        <v>2.74445239361195E-2</v>
      </c>
      <c r="E57" s="22">
        <v>2.7125016276518699E-2</v>
      </c>
    </row>
    <row r="58" spans="1:5" x14ac:dyDescent="0.25">
      <c r="A58" s="865" t="s">
        <v>139</v>
      </c>
      <c r="B58" s="865">
        <v>1933</v>
      </c>
      <c r="C58" s="865" t="s">
        <v>56</v>
      </c>
      <c r="D58" s="22">
        <v>2.4213377365114599E-2</v>
      </c>
      <c r="E58" s="22">
        <v>2.7125016276518699E-2</v>
      </c>
    </row>
    <row r="59" spans="1:5" x14ac:dyDescent="0.25">
      <c r="A59" s="865" t="s">
        <v>138</v>
      </c>
      <c r="B59" s="865">
        <v>2140</v>
      </c>
      <c r="C59" s="865" t="s">
        <v>12</v>
      </c>
      <c r="D59" s="22">
        <v>2.7858540698883199E-2</v>
      </c>
      <c r="E59" s="22">
        <v>2.7125016276518699E-2</v>
      </c>
    </row>
    <row r="60" spans="1:5" x14ac:dyDescent="0.25">
      <c r="A60" s="865" t="s">
        <v>137</v>
      </c>
      <c r="B60" s="865">
        <v>3103</v>
      </c>
      <c r="C60" s="865" t="s">
        <v>57</v>
      </c>
      <c r="D60" s="22">
        <v>2.4165289961531701E-2</v>
      </c>
      <c r="E60" s="22">
        <v>2.7125016276518699E-2</v>
      </c>
    </row>
    <row r="61" spans="1:5" x14ac:dyDescent="0.25">
      <c r="A61" s="865" t="s">
        <v>136</v>
      </c>
      <c r="B61" s="865">
        <v>2360</v>
      </c>
      <c r="C61" s="865" t="s">
        <v>72</v>
      </c>
      <c r="D61" s="22">
        <v>2.4943884894722299E-2</v>
      </c>
      <c r="E61" s="22">
        <v>2.7125016276518699E-2</v>
      </c>
    </row>
    <row r="62" spans="1:5" s="946" customFormat="1" x14ac:dyDescent="0.25">
      <c r="A62" s="946" t="s">
        <v>1270</v>
      </c>
      <c r="B62" s="946">
        <v>4170</v>
      </c>
      <c r="C62" s="946" t="s">
        <v>1271</v>
      </c>
      <c r="D62" s="22">
        <v>2.8799999999999999E-2</v>
      </c>
      <c r="E62" s="22">
        <v>2.7125016276518699E-2</v>
      </c>
    </row>
    <row r="63" spans="1:5" x14ac:dyDescent="0.25">
      <c r="A63" s="865" t="s">
        <v>134</v>
      </c>
      <c r="B63" s="865">
        <v>3220</v>
      </c>
      <c r="C63" s="865" t="s">
        <v>44</v>
      </c>
      <c r="D63" s="22">
        <v>2.5893581162679601E-2</v>
      </c>
      <c r="E63" s="22">
        <v>2.7125016276518699E-2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workbookViewId="0">
      <selection activeCell="F11" sqref="F11"/>
    </sheetView>
  </sheetViews>
  <sheetFormatPr defaultColWidth="9.140625" defaultRowHeight="15" x14ac:dyDescent="0.25"/>
  <cols>
    <col min="1" max="1" width="10.28515625" style="800" bestFit="1" customWidth="1"/>
    <col min="2" max="2" width="31.42578125" style="800" bestFit="1" customWidth="1"/>
    <col min="3" max="16384" width="9.140625" style="800"/>
  </cols>
  <sheetData>
    <row r="1" spans="1:2" x14ac:dyDescent="0.25">
      <c r="A1" s="802" t="s">
        <v>1118</v>
      </c>
      <c r="B1" s="802" t="s">
        <v>1117</v>
      </c>
    </row>
  </sheetData>
  <pageMargins left="0.7" right="0.7" top="0.75" bottom="0.75" header="0.3" footer="0.3"/>
  <pageSetup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806" bestFit="1" customWidth="1"/>
    <col min="2" max="2" width="31.42578125" style="806" bestFit="1" customWidth="1"/>
    <col min="3" max="16384" width="9.140625" style="806"/>
  </cols>
  <sheetData>
    <row r="1" spans="1:4" x14ac:dyDescent="0.25">
      <c r="A1" s="802" t="s">
        <v>1118</v>
      </c>
      <c r="B1" s="802" t="s">
        <v>1117</v>
      </c>
      <c r="C1" s="806" t="s">
        <v>1113</v>
      </c>
      <c r="D1" s="806" t="s">
        <v>1114</v>
      </c>
    </row>
  </sheetData>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B1"/>
  <sheetViews>
    <sheetView topLeftCell="Z1" workbookViewId="0">
      <selection activeCell="AD1" sqref="AD1"/>
    </sheetView>
  </sheetViews>
  <sheetFormatPr defaultColWidth="9.140625" defaultRowHeight="15" x14ac:dyDescent="0.25"/>
  <cols>
    <col min="1" max="1" width="10.28515625" style="800" bestFit="1" customWidth="1"/>
    <col min="2" max="2" width="31.42578125" style="800" bestFit="1" customWidth="1"/>
    <col min="3" max="3" width="20.42578125" style="800" bestFit="1" customWidth="1"/>
    <col min="4" max="4" width="29.140625" style="800" bestFit="1" customWidth="1"/>
    <col min="5" max="5" width="16" style="800" bestFit="1" customWidth="1"/>
    <col min="6" max="7" width="53.28515625" style="800" bestFit="1" customWidth="1"/>
    <col min="8" max="8" width="42.42578125" style="800" bestFit="1" customWidth="1"/>
    <col min="9" max="9" width="10" style="800" bestFit="1" customWidth="1"/>
    <col min="10" max="10" width="6.7109375" style="800" bestFit="1" customWidth="1"/>
    <col min="11" max="11" width="14.7109375" style="800" bestFit="1" customWidth="1"/>
    <col min="12" max="12" width="15.85546875" style="800" bestFit="1" customWidth="1"/>
    <col min="13" max="13" width="15.140625" style="800" bestFit="1" customWidth="1"/>
    <col min="14" max="14" width="24.42578125" style="800" bestFit="1" customWidth="1"/>
    <col min="15" max="15" width="10" style="800" bestFit="1" customWidth="1"/>
    <col min="16" max="16" width="27" style="800" bestFit="1" customWidth="1"/>
    <col min="17" max="17" width="29.140625" style="800" bestFit="1" customWidth="1"/>
    <col min="18" max="18" width="17" style="800" bestFit="1" customWidth="1"/>
    <col min="19" max="19" width="24.5703125" style="800" bestFit="1" customWidth="1"/>
    <col min="20" max="20" width="36.28515625" style="800" bestFit="1" customWidth="1"/>
    <col min="21" max="21" width="37.42578125" style="800" bestFit="1" customWidth="1"/>
    <col min="22" max="22" width="9.7109375" style="800" bestFit="1" customWidth="1"/>
    <col min="23" max="23" width="19.5703125" style="800" bestFit="1" customWidth="1"/>
    <col min="24" max="24" width="6.28515625" style="800" bestFit="1" customWidth="1"/>
    <col min="25" max="25" width="28.85546875" style="800" bestFit="1" customWidth="1"/>
    <col min="26" max="26" width="26.5703125" style="800" bestFit="1" customWidth="1"/>
    <col min="27" max="27" width="16.42578125" style="800" bestFit="1" customWidth="1"/>
    <col min="28" max="28" width="10.5703125" style="800" bestFit="1" customWidth="1"/>
    <col min="29" max="16384" width="9.140625" style="800"/>
  </cols>
  <sheetData>
    <row r="1" spans="1:28" x14ac:dyDescent="0.25">
      <c r="A1" s="802" t="s">
        <v>1118</v>
      </c>
      <c r="B1" s="802" t="s">
        <v>1117</v>
      </c>
      <c r="C1" s="802" t="s">
        <v>1142</v>
      </c>
      <c r="D1" s="802" t="s">
        <v>1143</v>
      </c>
      <c r="E1" s="802" t="s">
        <v>1144</v>
      </c>
      <c r="F1" s="802" t="s">
        <v>1145</v>
      </c>
      <c r="G1" s="802" t="s">
        <v>1146</v>
      </c>
      <c r="H1" s="802" t="s">
        <v>1147</v>
      </c>
      <c r="I1" s="802" t="s">
        <v>1141</v>
      </c>
      <c r="J1" s="802" t="s">
        <v>1148</v>
      </c>
      <c r="K1" s="802" t="s">
        <v>1149</v>
      </c>
      <c r="L1" s="802" t="s">
        <v>1150</v>
      </c>
      <c r="M1" s="802" t="s">
        <v>1151</v>
      </c>
      <c r="N1" s="802" t="s">
        <v>1152</v>
      </c>
      <c r="O1" s="802" t="s">
        <v>1153</v>
      </c>
      <c r="P1" s="802" t="s">
        <v>1154</v>
      </c>
      <c r="Q1" s="802" t="s">
        <v>1155</v>
      </c>
      <c r="R1" s="802" t="s">
        <v>1156</v>
      </c>
      <c r="S1" s="802" t="s">
        <v>1157</v>
      </c>
      <c r="T1" s="802" t="s">
        <v>1158</v>
      </c>
      <c r="U1" s="802" t="s">
        <v>1159</v>
      </c>
      <c r="V1" s="802" t="s">
        <v>412</v>
      </c>
      <c r="W1" s="802" t="s">
        <v>1139</v>
      </c>
      <c r="X1" s="802" t="s">
        <v>1160</v>
      </c>
      <c r="Y1" s="802" t="s">
        <v>1161</v>
      </c>
      <c r="Z1" s="802" t="s">
        <v>1162</v>
      </c>
      <c r="AA1" s="802" t="s">
        <v>1163</v>
      </c>
      <c r="AB1" s="802" t="s">
        <v>1112</v>
      </c>
    </row>
  </sheetData>
  <sheetProtection selectLockedCells="1" selectUnlockedCells="1"/>
  <pageMargins left="0.7" right="0.7" top="0.75" bottom="0.75" header="0.3" footer="0.3"/>
  <pageSetup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F1"/>
  <sheetViews>
    <sheetView topLeftCell="E1" workbookViewId="0">
      <selection activeCell="H1" sqref="H1"/>
    </sheetView>
  </sheetViews>
  <sheetFormatPr defaultColWidth="9.140625" defaultRowHeight="15" x14ac:dyDescent="0.25"/>
  <cols>
    <col min="1" max="1" width="31.42578125" style="800" bestFit="1" customWidth="1"/>
    <col min="2" max="2" width="10.28515625" style="800" bestFit="1" customWidth="1"/>
    <col min="3" max="3" width="33.42578125" style="800" bestFit="1" customWidth="1"/>
    <col min="4" max="4" width="32.28515625" style="800" bestFit="1" customWidth="1"/>
    <col min="5" max="5" width="36.85546875" style="800" bestFit="1" customWidth="1"/>
    <col min="6" max="6" width="14.5703125" style="800" bestFit="1" customWidth="1"/>
    <col min="7" max="16384" width="9.140625" style="800"/>
  </cols>
  <sheetData>
    <row r="1" spans="1:6" x14ac:dyDescent="0.25">
      <c r="A1" s="802" t="s">
        <v>1117</v>
      </c>
      <c r="B1" s="802" t="s">
        <v>1118</v>
      </c>
      <c r="C1" s="802" t="s">
        <v>1182</v>
      </c>
      <c r="D1" s="802" t="s">
        <v>1183</v>
      </c>
      <c r="E1" s="802" t="s">
        <v>1184</v>
      </c>
      <c r="F1" s="802" t="s">
        <v>1185</v>
      </c>
    </row>
  </sheetData>
  <sheetProtection selectLockedCells="1" selectUnlockedCells="1"/>
  <pageMargins left="0.7" right="0.7" top="0.75" bottom="0.75" header="0.3" footer="0.3"/>
  <pageSetup orientation="landscape"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election activeCell="A2" sqref="A2:XFD6606"/>
    </sheetView>
  </sheetViews>
  <sheetFormatPr defaultColWidth="9.140625" defaultRowHeight="15" x14ac:dyDescent="0.25"/>
  <cols>
    <col min="1" max="1" width="10.28515625" style="800" bestFit="1" customWidth="1"/>
    <col min="2" max="2" width="31.85546875" style="800" bestFit="1" customWidth="1"/>
    <col min="3" max="3" width="30" style="800" bestFit="1" customWidth="1"/>
    <col min="4" max="4" width="19.85546875" style="800" bestFit="1" customWidth="1"/>
    <col min="5" max="5" width="4.140625" style="800" bestFit="1" customWidth="1"/>
    <col min="6" max="6" width="9.5703125" style="800" bestFit="1" customWidth="1"/>
    <col min="7" max="16384" width="9.140625" style="800"/>
  </cols>
  <sheetData>
    <row r="1" spans="1:6" x14ac:dyDescent="0.25">
      <c r="A1" s="802" t="s">
        <v>1118</v>
      </c>
      <c r="B1" s="802" t="s">
        <v>1117</v>
      </c>
      <c r="C1" s="802" t="s">
        <v>1138</v>
      </c>
      <c r="D1" s="802" t="s">
        <v>1139</v>
      </c>
      <c r="E1" s="802" t="s">
        <v>1140</v>
      </c>
      <c r="F1" s="802" t="s">
        <v>1141</v>
      </c>
    </row>
  </sheetData>
  <sheetProtection selectLockedCells="1" selectUn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1"/>
  <sheetViews>
    <sheetView workbookViewId="0">
      <selection activeCell="A2" sqref="A2:XFD32"/>
    </sheetView>
  </sheetViews>
  <sheetFormatPr defaultColWidth="9.140625" defaultRowHeight="15" x14ac:dyDescent="0.25"/>
  <cols>
    <col min="1" max="1" width="10.5703125" style="800" bestFit="1" customWidth="1"/>
    <col min="2" max="2" width="40.28515625" style="800" bestFit="1" customWidth="1"/>
    <col min="3" max="3" width="15.140625" style="800" bestFit="1" customWidth="1"/>
    <col min="4" max="4" width="8.85546875" style="800" bestFit="1" customWidth="1"/>
    <col min="5" max="5" width="29.140625" style="800" bestFit="1" customWidth="1"/>
    <col min="6" max="6" width="18.85546875" style="800" bestFit="1" customWidth="1"/>
    <col min="7" max="7" width="18" style="800" bestFit="1" customWidth="1"/>
    <col min="8" max="8" width="31" style="800" bestFit="1" customWidth="1"/>
    <col min="9" max="9" width="32.5703125" style="800" bestFit="1" customWidth="1"/>
    <col min="10" max="10" width="27.140625" style="800" bestFit="1" customWidth="1"/>
    <col min="11" max="11" width="29.7109375" style="800" bestFit="1" customWidth="1"/>
    <col min="12" max="12" width="20.140625" style="800" bestFit="1" customWidth="1"/>
    <col min="13" max="13" width="20.5703125" style="800" bestFit="1" customWidth="1"/>
    <col min="14" max="15" width="22.140625" style="800" bestFit="1" customWidth="1"/>
    <col min="16" max="16384" width="9.140625" style="800"/>
  </cols>
  <sheetData>
    <row r="1" spans="1:15" x14ac:dyDescent="0.25">
      <c r="A1" s="802" t="s">
        <v>1112</v>
      </c>
      <c r="B1" s="802" t="s">
        <v>251</v>
      </c>
      <c r="C1" s="802" t="s">
        <v>1164</v>
      </c>
      <c r="D1" s="802" t="s">
        <v>1113</v>
      </c>
      <c r="E1" s="802" t="s">
        <v>1114</v>
      </c>
      <c r="F1" s="802" t="s">
        <v>1115</v>
      </c>
      <c r="G1" s="802" t="s">
        <v>1116</v>
      </c>
      <c r="H1" s="802" t="s">
        <v>1165</v>
      </c>
      <c r="I1" s="802" t="s">
        <v>1166</v>
      </c>
      <c r="J1" s="802" t="s">
        <v>1167</v>
      </c>
      <c r="K1" s="802" t="s">
        <v>1168</v>
      </c>
      <c r="L1" s="802" t="s">
        <v>1169</v>
      </c>
      <c r="M1" s="802" t="s">
        <v>1170</v>
      </c>
      <c r="N1" s="802" t="s">
        <v>1171</v>
      </c>
      <c r="O1" s="802" t="s">
        <v>1171</v>
      </c>
    </row>
  </sheetData>
  <sheetProtection selectLockedCells="1" selectUn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XFD2"/>
    </sheetView>
  </sheetViews>
  <sheetFormatPr defaultColWidth="9.140625" defaultRowHeight="15" x14ac:dyDescent="0.25"/>
  <cols>
    <col min="1" max="1" width="18.85546875" style="800" bestFit="1" customWidth="1"/>
    <col min="2" max="2" width="10.5703125" style="800" bestFit="1" customWidth="1"/>
    <col min="3" max="3" width="8.85546875" style="800" bestFit="1" customWidth="1"/>
    <col min="4" max="4" width="9.140625" style="800"/>
    <col min="5" max="5" width="29.7109375" style="800" bestFit="1" customWidth="1"/>
    <col min="6" max="6" width="16.42578125" style="800" bestFit="1" customWidth="1"/>
    <col min="7" max="7" width="27.140625" style="800" bestFit="1" customWidth="1"/>
    <col min="8" max="8" width="35" style="800" bestFit="1" customWidth="1"/>
    <col min="9" max="9" width="38.42578125" style="800" bestFit="1" customWidth="1"/>
    <col min="10" max="10" width="33.85546875" style="800" bestFit="1" customWidth="1"/>
    <col min="11" max="11" width="26.140625" style="800" bestFit="1" customWidth="1"/>
    <col min="12" max="12" width="17.42578125" style="800" bestFit="1" customWidth="1"/>
    <col min="13" max="13" width="12" style="800" bestFit="1" customWidth="1"/>
    <col min="14" max="16384" width="9.140625" style="800"/>
  </cols>
  <sheetData>
    <row r="1" spans="1:13" x14ac:dyDescent="0.25">
      <c r="A1" s="802" t="s">
        <v>1115</v>
      </c>
      <c r="B1" s="802" t="s">
        <v>1112</v>
      </c>
      <c r="C1" s="802" t="s">
        <v>1113</v>
      </c>
      <c r="D1" s="802" t="s">
        <v>1119</v>
      </c>
      <c r="E1" s="802" t="s">
        <v>1168</v>
      </c>
      <c r="F1" s="802" t="s">
        <v>1172</v>
      </c>
      <c r="G1" s="802" t="s">
        <v>1167</v>
      </c>
      <c r="H1" s="802" t="s">
        <v>1186</v>
      </c>
      <c r="I1" s="802" t="s">
        <v>1187</v>
      </c>
      <c r="J1" s="802" t="s">
        <v>1188</v>
      </c>
      <c r="K1" s="802" t="s">
        <v>1120</v>
      </c>
      <c r="L1" s="802" t="s">
        <v>1121</v>
      </c>
      <c r="M1" s="802" t="s">
        <v>1122</v>
      </c>
    </row>
  </sheetData>
  <sheetProtection selectLockedCells="1" selectUn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A2" sqref="A2:F30"/>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1178</v>
      </c>
      <c r="C1" s="802" t="s">
        <v>1112</v>
      </c>
      <c r="D1" s="802" t="s">
        <v>1174</v>
      </c>
      <c r="E1" s="802" t="s">
        <v>1175</v>
      </c>
      <c r="F1" s="802" t="s">
        <v>1176</v>
      </c>
    </row>
  </sheetData>
  <sheetProtection selectLockedCells="1" selectUn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1177</v>
      </c>
      <c r="C1" s="802" t="s">
        <v>1112</v>
      </c>
      <c r="D1" s="802" t="s">
        <v>1174</v>
      </c>
      <c r="E1" s="802" t="s">
        <v>1175</v>
      </c>
      <c r="F1" s="802" t="s">
        <v>1176</v>
      </c>
    </row>
  </sheetData>
  <sheetProtection selectLockedCells="1" selectUn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F6" sqref="F6"/>
    </sheetView>
  </sheetViews>
  <sheetFormatPr defaultColWidth="9.140625" defaultRowHeight="15" x14ac:dyDescent="0.25"/>
  <cols>
    <col min="1" max="1" width="8.42578125" style="800" bestFit="1" customWidth="1"/>
    <col min="2" max="2" width="12.85546875" style="800" bestFit="1" customWidth="1"/>
    <col min="3" max="3" width="10.5703125" style="800" bestFit="1" customWidth="1"/>
    <col min="4" max="4" width="21.5703125" style="800" bestFit="1" customWidth="1"/>
    <col min="5" max="5" width="12.7109375" style="800" bestFit="1" customWidth="1"/>
    <col min="6" max="6" width="25.7109375" style="800" bestFit="1" customWidth="1"/>
    <col min="7" max="16384" width="9.140625" style="800"/>
  </cols>
  <sheetData>
    <row r="1" spans="1:6" x14ac:dyDescent="0.25">
      <c r="A1" s="802" t="s">
        <v>251</v>
      </c>
      <c r="B1" s="802" t="s">
        <v>1173</v>
      </c>
      <c r="C1" s="802" t="s">
        <v>1112</v>
      </c>
      <c r="D1" s="802" t="s">
        <v>1174</v>
      </c>
      <c r="E1" s="802" t="s">
        <v>1175</v>
      </c>
      <c r="F1" s="802" t="s">
        <v>1176</v>
      </c>
    </row>
  </sheetData>
  <sheetProtection selectLockedCells="1" selectUnlockedCells="1"/>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261</v>
      </c>
      <c r="C1" s="2" t="s">
        <v>1010</v>
      </c>
      <c r="D1" s="2" t="s">
        <v>222</v>
      </c>
      <c r="E1" s="2"/>
      <c r="F1" s="2" t="s">
        <v>221</v>
      </c>
      <c r="G1" s="2"/>
      <c r="H1" s="2" t="s">
        <v>207</v>
      </c>
    </row>
    <row r="2" spans="1:14" x14ac:dyDescent="0.25">
      <c r="A2" t="s">
        <v>276</v>
      </c>
      <c r="B2" t="s">
        <v>99</v>
      </c>
      <c r="C2" s="2" t="s">
        <v>218</v>
      </c>
      <c r="D2" s="24">
        <v>0.03</v>
      </c>
      <c r="E2" s="24">
        <v>0.08</v>
      </c>
      <c r="F2" s="24">
        <v>0.09</v>
      </c>
      <c r="G2" s="24">
        <v>0.11</v>
      </c>
      <c r="H2" s="24">
        <v>0.16</v>
      </c>
      <c r="J2" s="24"/>
      <c r="K2" s="24"/>
      <c r="L2" s="24"/>
      <c r="M2" s="24"/>
      <c r="N2" s="24"/>
    </row>
    <row r="3" spans="1:14" x14ac:dyDescent="0.25">
      <c r="A3" t="s">
        <v>277</v>
      </c>
      <c r="B3" t="s">
        <v>99</v>
      </c>
      <c r="C3" s="2" t="s">
        <v>219</v>
      </c>
      <c r="D3" s="24">
        <v>0.04</v>
      </c>
      <c r="E3" s="24">
        <v>0.08</v>
      </c>
      <c r="F3" s="24">
        <v>0.09</v>
      </c>
      <c r="G3" s="24">
        <v>0.11</v>
      </c>
      <c r="H3" s="24">
        <v>0.16</v>
      </c>
      <c r="J3" s="24"/>
      <c r="K3" s="24"/>
      <c r="L3" s="24"/>
      <c r="M3" s="24"/>
      <c r="N3" s="24"/>
    </row>
    <row r="4" spans="1:14" x14ac:dyDescent="0.25">
      <c r="A4" t="s">
        <v>278</v>
      </c>
      <c r="B4" t="s">
        <v>99</v>
      </c>
      <c r="C4" s="2" t="s">
        <v>220</v>
      </c>
      <c r="D4" s="24">
        <v>0.03</v>
      </c>
      <c r="E4" s="24">
        <v>7.0000000000000007E-2</v>
      </c>
      <c r="F4" s="24">
        <v>0.09</v>
      </c>
      <c r="G4" s="24">
        <v>0.1</v>
      </c>
      <c r="H4" s="24">
        <v>0.16</v>
      </c>
      <c r="J4" s="24"/>
      <c r="K4" s="24"/>
      <c r="L4" s="24"/>
      <c r="M4" s="24"/>
      <c r="N4" s="24"/>
    </row>
    <row r="5" spans="1:14" x14ac:dyDescent="0.25">
      <c r="A5" t="s">
        <v>279</v>
      </c>
      <c r="B5" t="s">
        <v>99</v>
      </c>
      <c r="C5" s="2" t="s">
        <v>274</v>
      </c>
      <c r="D5" s="24">
        <v>0.01</v>
      </c>
      <c r="E5" s="24">
        <v>7.0000000000000007E-2</v>
      </c>
      <c r="F5" s="24">
        <v>0.08</v>
      </c>
      <c r="G5" s="24">
        <v>0.11</v>
      </c>
      <c r="H5" s="24">
        <v>0.15</v>
      </c>
      <c r="J5" s="24"/>
      <c r="K5" s="24"/>
      <c r="L5" s="24"/>
      <c r="M5" s="24"/>
      <c r="N5" s="24"/>
    </row>
    <row r="6" spans="1:14" x14ac:dyDescent="0.25">
      <c r="A6" t="s">
        <v>280</v>
      </c>
      <c r="B6" t="s">
        <v>99</v>
      </c>
      <c r="C6" s="2" t="s">
        <v>275</v>
      </c>
      <c r="D6" s="24">
        <v>0.02</v>
      </c>
      <c r="E6" s="24">
        <v>0.06</v>
      </c>
      <c r="F6" s="24">
        <v>0.08</v>
      </c>
      <c r="G6" s="24">
        <v>0.09</v>
      </c>
      <c r="H6" s="24">
        <v>0.14000000000000001</v>
      </c>
      <c r="J6" s="24"/>
      <c r="K6" s="24"/>
      <c r="L6" s="24"/>
      <c r="M6" s="24"/>
      <c r="N6" s="24"/>
    </row>
    <row r="7" spans="1:14" x14ac:dyDescent="0.25">
      <c r="A7" t="s">
        <v>531</v>
      </c>
      <c r="B7" t="s">
        <v>529</v>
      </c>
      <c r="C7" s="2" t="s">
        <v>218</v>
      </c>
      <c r="D7" s="24">
        <v>0</v>
      </c>
      <c r="E7" s="24">
        <v>0.04</v>
      </c>
      <c r="F7" s="24">
        <v>7.0000000000000007E-2</v>
      </c>
      <c r="G7" s="24">
        <v>0.09</v>
      </c>
      <c r="H7" s="24">
        <v>0.16</v>
      </c>
      <c r="J7" s="24"/>
      <c r="K7" s="24"/>
      <c r="L7" s="24"/>
      <c r="M7" s="24"/>
      <c r="N7" s="24"/>
    </row>
    <row r="8" spans="1:14" x14ac:dyDescent="0.25">
      <c r="A8" t="s">
        <v>532</v>
      </c>
      <c r="B8" t="s">
        <v>529</v>
      </c>
      <c r="C8" s="2" t="s">
        <v>219</v>
      </c>
      <c r="D8" s="24">
        <v>0</v>
      </c>
      <c r="E8" s="24">
        <v>0.04</v>
      </c>
      <c r="F8" s="24">
        <v>0.06</v>
      </c>
      <c r="G8" s="24">
        <v>0.08</v>
      </c>
      <c r="H8" s="24">
        <v>0.15</v>
      </c>
      <c r="J8" s="24"/>
      <c r="K8" s="24"/>
      <c r="L8" s="24"/>
      <c r="M8" s="24"/>
      <c r="N8" s="24"/>
    </row>
    <row r="9" spans="1:14" x14ac:dyDescent="0.25">
      <c r="A9" t="s">
        <v>533</v>
      </c>
      <c r="B9" t="s">
        <v>529</v>
      </c>
      <c r="C9" s="2" t="s">
        <v>220</v>
      </c>
      <c r="D9" s="24">
        <v>0</v>
      </c>
      <c r="E9" s="24">
        <v>0.04</v>
      </c>
      <c r="F9" s="24">
        <v>0.06</v>
      </c>
      <c r="G9" s="24">
        <v>0.08</v>
      </c>
      <c r="H9" s="24">
        <v>0.14000000000000001</v>
      </c>
      <c r="J9" s="24"/>
      <c r="K9" s="24"/>
      <c r="L9" s="24"/>
      <c r="M9" s="24"/>
      <c r="N9" s="24"/>
    </row>
    <row r="10" spans="1:14" x14ac:dyDescent="0.25">
      <c r="A10" t="s">
        <v>534</v>
      </c>
      <c r="B10" t="s">
        <v>529</v>
      </c>
      <c r="C10" s="2" t="s">
        <v>274</v>
      </c>
      <c r="D10" s="24">
        <v>0</v>
      </c>
      <c r="E10" s="24">
        <v>0.04</v>
      </c>
      <c r="F10" s="24">
        <v>0.05</v>
      </c>
      <c r="G10" s="24">
        <v>7.0000000000000007E-2</v>
      </c>
      <c r="H10" s="24">
        <v>0.12</v>
      </c>
      <c r="J10" s="24"/>
      <c r="K10" s="24"/>
      <c r="L10" s="24"/>
      <c r="M10" s="24"/>
      <c r="N10" s="24"/>
    </row>
    <row r="11" spans="1:14" x14ac:dyDescent="0.25">
      <c r="A11" t="s">
        <v>535</v>
      </c>
      <c r="B11" t="s">
        <v>529</v>
      </c>
      <c r="C11" s="2" t="s">
        <v>275</v>
      </c>
      <c r="D11" s="24">
        <v>0</v>
      </c>
      <c r="E11" s="24">
        <v>0.03</v>
      </c>
      <c r="F11" s="24">
        <v>0.04</v>
      </c>
      <c r="G11" s="24">
        <v>0.06</v>
      </c>
      <c r="H11" s="24">
        <v>0.1</v>
      </c>
      <c r="J11" s="24"/>
      <c r="K11" s="24"/>
      <c r="L11" s="24"/>
      <c r="M11" s="24"/>
      <c r="N11" s="24"/>
    </row>
    <row r="12" spans="1:14" x14ac:dyDescent="0.25">
      <c r="A12" t="s">
        <v>536</v>
      </c>
      <c r="B12" t="s">
        <v>530</v>
      </c>
      <c r="C12" s="2" t="s">
        <v>218</v>
      </c>
      <c r="D12" s="24">
        <v>0</v>
      </c>
      <c r="E12" s="24">
        <v>0.05</v>
      </c>
      <c r="F12" s="24">
        <v>0.08</v>
      </c>
      <c r="G12" s="24">
        <v>0.09</v>
      </c>
      <c r="H12" s="24">
        <v>0.14000000000000001</v>
      </c>
      <c r="J12" s="24"/>
      <c r="K12" s="24"/>
      <c r="L12" s="24"/>
      <c r="M12" s="24"/>
      <c r="N12" s="24"/>
    </row>
    <row r="13" spans="1:14" x14ac:dyDescent="0.25">
      <c r="A13" t="s">
        <v>537</v>
      </c>
      <c r="B13" t="s">
        <v>530</v>
      </c>
      <c r="C13" s="2" t="s">
        <v>219</v>
      </c>
      <c r="D13" s="24">
        <v>0</v>
      </c>
      <c r="E13" s="24">
        <v>0.05</v>
      </c>
      <c r="F13" s="24">
        <v>7.0000000000000007E-2</v>
      </c>
      <c r="G13" s="24">
        <v>0.09</v>
      </c>
      <c r="H13" s="24">
        <v>0.14000000000000001</v>
      </c>
      <c r="J13" s="24"/>
      <c r="K13" s="24"/>
      <c r="L13" s="24"/>
      <c r="M13" s="24"/>
      <c r="N13" s="24"/>
    </row>
    <row r="14" spans="1:14" x14ac:dyDescent="0.25">
      <c r="A14" t="s">
        <v>538</v>
      </c>
      <c r="B14" t="s">
        <v>530</v>
      </c>
      <c r="C14" s="2" t="s">
        <v>220</v>
      </c>
      <c r="D14" s="24">
        <v>0</v>
      </c>
      <c r="E14" s="24">
        <v>0.05</v>
      </c>
      <c r="F14" s="24">
        <v>0.06</v>
      </c>
      <c r="G14" s="24">
        <v>0.08</v>
      </c>
      <c r="H14" s="24">
        <v>0.13</v>
      </c>
      <c r="J14" s="24"/>
      <c r="K14" s="24"/>
      <c r="L14" s="24"/>
      <c r="M14" s="24"/>
      <c r="N14" s="24"/>
    </row>
    <row r="15" spans="1:14" x14ac:dyDescent="0.25">
      <c r="A15" t="s">
        <v>539</v>
      </c>
      <c r="B15" t="s">
        <v>530</v>
      </c>
      <c r="C15" s="2" t="s">
        <v>274</v>
      </c>
      <c r="D15" s="59">
        <v>0</v>
      </c>
      <c r="E15" s="59">
        <v>0.04</v>
      </c>
      <c r="F15" s="59">
        <v>0.05</v>
      </c>
      <c r="G15" s="59">
        <v>7.0000000000000007E-2</v>
      </c>
      <c r="H15" s="59">
        <v>0.11</v>
      </c>
      <c r="J15" s="59"/>
      <c r="K15" s="59"/>
      <c r="L15" s="59"/>
      <c r="M15" s="59"/>
      <c r="N15" s="59"/>
    </row>
    <row r="16" spans="1:14" x14ac:dyDescent="0.25">
      <c r="A16" t="s">
        <v>540</v>
      </c>
      <c r="B16" t="s">
        <v>530</v>
      </c>
      <c r="C16" s="2" t="s">
        <v>275</v>
      </c>
      <c r="D16" s="59">
        <v>0</v>
      </c>
      <c r="E16" s="59">
        <v>0.04</v>
      </c>
      <c r="F16" s="59">
        <v>0.05</v>
      </c>
      <c r="G16" s="59">
        <v>7.0000000000000007E-2</v>
      </c>
      <c r="H16" s="59">
        <v>0.09</v>
      </c>
      <c r="J16" s="59"/>
      <c r="K16" s="59"/>
      <c r="L16" s="59"/>
      <c r="M16" s="59"/>
      <c r="N16" s="59"/>
    </row>
    <row r="17" spans="1:14" x14ac:dyDescent="0.25">
      <c r="A17" t="s">
        <v>281</v>
      </c>
      <c r="B17" t="s">
        <v>102</v>
      </c>
      <c r="C17" s="2" t="s">
        <v>218</v>
      </c>
      <c r="D17" s="24">
        <v>0.03</v>
      </c>
      <c r="E17" s="24">
        <v>0.09</v>
      </c>
      <c r="F17" s="24">
        <v>0.11</v>
      </c>
      <c r="G17" s="24">
        <v>0.13</v>
      </c>
      <c r="H17" s="24">
        <v>0.2</v>
      </c>
      <c r="J17" s="24"/>
      <c r="K17" s="24"/>
      <c r="L17" s="24"/>
      <c r="M17" s="24"/>
      <c r="N17" s="24"/>
    </row>
    <row r="18" spans="1:14" x14ac:dyDescent="0.25">
      <c r="A18" t="s">
        <v>282</v>
      </c>
      <c r="B18" t="s">
        <v>102</v>
      </c>
      <c r="C18" s="2" t="s">
        <v>219</v>
      </c>
      <c r="D18" s="24">
        <v>0.03</v>
      </c>
      <c r="E18" s="24">
        <v>0.08</v>
      </c>
      <c r="F18" s="24">
        <v>0.1</v>
      </c>
      <c r="G18" s="24">
        <v>0.12</v>
      </c>
      <c r="H18" s="24">
        <v>0.19</v>
      </c>
      <c r="J18" s="24"/>
      <c r="K18" s="24"/>
      <c r="L18" s="24"/>
      <c r="M18" s="24"/>
      <c r="N18" s="24"/>
    </row>
    <row r="19" spans="1:14" x14ac:dyDescent="0.25">
      <c r="A19" t="s">
        <v>283</v>
      </c>
      <c r="B19" t="s">
        <v>102</v>
      </c>
      <c r="C19" s="2" t="s">
        <v>220</v>
      </c>
      <c r="D19" s="24">
        <v>0.02</v>
      </c>
      <c r="E19" s="24">
        <v>7.0000000000000007E-2</v>
      </c>
      <c r="F19" s="24">
        <v>0.09</v>
      </c>
      <c r="G19" s="24">
        <v>0.11</v>
      </c>
      <c r="H19" s="24">
        <v>0.18</v>
      </c>
      <c r="J19" s="24"/>
      <c r="K19" s="24"/>
      <c r="L19" s="24"/>
      <c r="M19" s="24"/>
      <c r="N19" s="24"/>
    </row>
    <row r="20" spans="1:14" x14ac:dyDescent="0.25">
      <c r="A20" t="s">
        <v>284</v>
      </c>
      <c r="B20" t="s">
        <v>102</v>
      </c>
      <c r="C20" s="2" t="s">
        <v>274</v>
      </c>
      <c r="D20" s="24">
        <v>0.02</v>
      </c>
      <c r="E20" s="24">
        <v>0.06</v>
      </c>
      <c r="F20" s="24">
        <v>0.08</v>
      </c>
      <c r="G20" s="24">
        <v>0.1</v>
      </c>
      <c r="H20" s="24">
        <v>0.16</v>
      </c>
      <c r="J20" s="24"/>
      <c r="K20" s="24"/>
      <c r="L20" s="24"/>
      <c r="M20" s="24"/>
      <c r="N20" s="24"/>
    </row>
    <row r="21" spans="1:14" x14ac:dyDescent="0.25">
      <c r="A21" t="s">
        <v>285</v>
      </c>
      <c r="B21" t="s">
        <v>102</v>
      </c>
      <c r="C21" s="2" t="s">
        <v>275</v>
      </c>
      <c r="D21" s="24">
        <v>0.02</v>
      </c>
      <c r="E21" s="24">
        <v>0.05</v>
      </c>
      <c r="F21" s="24">
        <v>0.06</v>
      </c>
      <c r="G21" s="24">
        <v>0.09</v>
      </c>
      <c r="H21" s="24">
        <v>0.13</v>
      </c>
      <c r="J21" s="24"/>
      <c r="K21" s="24"/>
      <c r="L21" s="24"/>
      <c r="M21" s="24"/>
      <c r="N21" s="24"/>
    </row>
    <row r="22" spans="1:14" x14ac:dyDescent="0.25">
      <c r="A22" t="s">
        <v>286</v>
      </c>
      <c r="B22" t="s">
        <v>100</v>
      </c>
      <c r="C22" s="2" t="s">
        <v>218</v>
      </c>
      <c r="D22" s="24">
        <v>0.03</v>
      </c>
      <c r="E22" s="24">
        <v>0.09</v>
      </c>
      <c r="F22" s="24">
        <v>0.11</v>
      </c>
      <c r="G22" s="24">
        <v>0.14000000000000001</v>
      </c>
      <c r="H22" s="24">
        <v>0.21</v>
      </c>
      <c r="J22" s="24"/>
      <c r="K22" s="24"/>
      <c r="L22" s="24"/>
      <c r="M22" s="24"/>
      <c r="N22" s="24"/>
    </row>
    <row r="23" spans="1:14" x14ac:dyDescent="0.25">
      <c r="A23" t="s">
        <v>287</v>
      </c>
      <c r="B23" t="s">
        <v>100</v>
      </c>
      <c r="C23" s="2" t="s">
        <v>219</v>
      </c>
      <c r="D23" s="24">
        <v>0.03</v>
      </c>
      <c r="E23" s="24">
        <v>0.08</v>
      </c>
      <c r="F23" s="24">
        <v>0.1</v>
      </c>
      <c r="G23" s="24">
        <v>0.12</v>
      </c>
      <c r="H23" s="24">
        <v>0.17</v>
      </c>
      <c r="J23" s="24"/>
      <c r="K23" s="24"/>
      <c r="L23" s="24"/>
      <c r="M23" s="24"/>
      <c r="N23" s="24"/>
    </row>
    <row r="24" spans="1:14" x14ac:dyDescent="0.25">
      <c r="A24" t="s">
        <v>288</v>
      </c>
      <c r="B24" t="s">
        <v>100</v>
      </c>
      <c r="C24" s="2" t="s">
        <v>220</v>
      </c>
      <c r="D24" s="24">
        <v>0.03</v>
      </c>
      <c r="E24" s="24">
        <v>7.0000000000000007E-2</v>
      </c>
      <c r="F24" s="24">
        <v>0.09</v>
      </c>
      <c r="G24" s="24">
        <v>0.11</v>
      </c>
      <c r="H24" s="24">
        <v>0.16</v>
      </c>
      <c r="J24" s="24"/>
      <c r="K24" s="24"/>
      <c r="L24" s="24"/>
      <c r="M24" s="24"/>
      <c r="N24" s="24"/>
    </row>
    <row r="25" spans="1:14" x14ac:dyDescent="0.25">
      <c r="A25" t="s">
        <v>289</v>
      </c>
      <c r="B25" t="s">
        <v>100</v>
      </c>
      <c r="C25" s="2" t="s">
        <v>274</v>
      </c>
      <c r="D25" s="24">
        <v>0.02</v>
      </c>
      <c r="E25" s="24">
        <v>7.0000000000000007E-2</v>
      </c>
      <c r="F25" s="24">
        <v>0.08</v>
      </c>
      <c r="G25" s="24">
        <v>0.1</v>
      </c>
      <c r="H25" s="24">
        <v>0.15</v>
      </c>
      <c r="J25" s="24"/>
      <c r="K25" s="24"/>
      <c r="L25" s="24"/>
      <c r="M25" s="24"/>
      <c r="N25" s="24"/>
    </row>
    <row r="26" spans="1:14" x14ac:dyDescent="0.25">
      <c r="A26" t="s">
        <v>290</v>
      </c>
      <c r="B26" t="s">
        <v>100</v>
      </c>
      <c r="C26" s="2" t="s">
        <v>275</v>
      </c>
      <c r="D26" s="24">
        <v>0</v>
      </c>
      <c r="E26" s="24">
        <v>0.05</v>
      </c>
      <c r="F26" s="24">
        <v>7.0000000000000007E-2</v>
      </c>
      <c r="G26" s="24">
        <v>0.1</v>
      </c>
      <c r="H26" s="24">
        <v>0.16</v>
      </c>
      <c r="J26" s="24"/>
      <c r="K26" s="24"/>
      <c r="L26" s="24"/>
      <c r="M26" s="24"/>
      <c r="N26" s="24"/>
    </row>
    <row r="27" spans="1:14" x14ac:dyDescent="0.25">
      <c r="A27" t="s">
        <v>291</v>
      </c>
      <c r="B27" t="s">
        <v>104</v>
      </c>
      <c r="C27" s="2" t="s">
        <v>218</v>
      </c>
      <c r="D27" s="24">
        <v>0.04</v>
      </c>
      <c r="E27" s="24">
        <v>0.1</v>
      </c>
      <c r="F27" s="24">
        <v>0.12</v>
      </c>
      <c r="G27" s="24">
        <v>0.14000000000000001</v>
      </c>
      <c r="H27" s="24">
        <v>0.19</v>
      </c>
      <c r="J27" s="24"/>
      <c r="K27" s="24"/>
      <c r="L27" s="24"/>
      <c r="M27" s="24"/>
      <c r="N27" s="24"/>
    </row>
    <row r="28" spans="1:14" x14ac:dyDescent="0.25">
      <c r="A28" t="s">
        <v>292</v>
      </c>
      <c r="B28" t="s">
        <v>104</v>
      </c>
      <c r="C28" s="2" t="s">
        <v>219</v>
      </c>
      <c r="D28" s="24">
        <v>0.04</v>
      </c>
      <c r="E28" s="24">
        <v>0.1</v>
      </c>
      <c r="F28" s="24">
        <v>0.11</v>
      </c>
      <c r="G28" s="24">
        <v>0.14000000000000001</v>
      </c>
      <c r="H28" s="24">
        <v>0.2</v>
      </c>
      <c r="J28" s="24"/>
      <c r="K28" s="24"/>
      <c r="L28" s="24"/>
      <c r="M28" s="24"/>
      <c r="N28" s="24"/>
    </row>
    <row r="29" spans="1:14" x14ac:dyDescent="0.25">
      <c r="A29" t="s">
        <v>293</v>
      </c>
      <c r="B29" t="s">
        <v>104</v>
      </c>
      <c r="C29" s="2" t="s">
        <v>220</v>
      </c>
      <c r="D29" s="24">
        <v>0.05</v>
      </c>
      <c r="E29" s="24">
        <v>0.1</v>
      </c>
      <c r="F29" s="24">
        <v>0.11</v>
      </c>
      <c r="G29" s="24">
        <v>0.13</v>
      </c>
      <c r="H29" s="24">
        <v>0.17</v>
      </c>
      <c r="J29" s="24"/>
      <c r="K29" s="24"/>
      <c r="L29" s="24"/>
      <c r="M29" s="24"/>
      <c r="N29" s="24"/>
    </row>
    <row r="30" spans="1:14" x14ac:dyDescent="0.25">
      <c r="A30" t="s">
        <v>294</v>
      </c>
      <c r="B30" t="s">
        <v>104</v>
      </c>
      <c r="C30" s="2" t="s">
        <v>274</v>
      </c>
      <c r="D30" s="24">
        <v>0.06</v>
      </c>
      <c r="E30" s="24">
        <v>0.09</v>
      </c>
      <c r="F30" s="24">
        <v>0.11</v>
      </c>
      <c r="G30" s="24">
        <v>0.12</v>
      </c>
      <c r="H30" s="24">
        <v>0.16</v>
      </c>
      <c r="J30" s="24"/>
      <c r="K30" s="24"/>
      <c r="L30" s="24"/>
      <c r="M30" s="24"/>
      <c r="N30" s="24"/>
    </row>
    <row r="31" spans="1:14" x14ac:dyDescent="0.25">
      <c r="A31" t="s">
        <v>295</v>
      </c>
      <c r="B31" t="s">
        <v>104</v>
      </c>
      <c r="C31" s="2" t="s">
        <v>275</v>
      </c>
      <c r="D31" s="24">
        <v>7.0000000000000007E-2</v>
      </c>
      <c r="E31" s="24">
        <v>0.1</v>
      </c>
      <c r="F31" s="24">
        <v>0.11</v>
      </c>
      <c r="G31" s="24">
        <v>0.11</v>
      </c>
      <c r="H31" s="24">
        <v>0.14000000000000001</v>
      </c>
      <c r="J31" s="24"/>
      <c r="K31" s="24"/>
      <c r="L31" s="24"/>
      <c r="M31" s="24"/>
      <c r="N31" s="24"/>
    </row>
    <row r="32" spans="1:14" x14ac:dyDescent="0.25">
      <c r="A32" t="s">
        <v>296</v>
      </c>
      <c r="B32" t="s">
        <v>98</v>
      </c>
      <c r="C32" s="2" t="s">
        <v>218</v>
      </c>
      <c r="D32" s="24">
        <v>0.05</v>
      </c>
      <c r="E32" s="24">
        <v>0.08</v>
      </c>
      <c r="F32" s="24">
        <v>0.1</v>
      </c>
      <c r="G32" s="24">
        <v>0.12</v>
      </c>
      <c r="H32" s="24">
        <v>0.18</v>
      </c>
      <c r="J32" s="24"/>
      <c r="K32" s="24"/>
      <c r="L32" s="24"/>
      <c r="M32" s="24"/>
      <c r="N32" s="24"/>
    </row>
    <row r="33" spans="1:14" x14ac:dyDescent="0.25">
      <c r="A33" t="s">
        <v>297</v>
      </c>
      <c r="B33" t="s">
        <v>98</v>
      </c>
      <c r="C33" s="2" t="s">
        <v>219</v>
      </c>
      <c r="D33" s="24">
        <v>0.04</v>
      </c>
      <c r="E33" s="24">
        <v>0.08</v>
      </c>
      <c r="F33" s="24">
        <v>0.1</v>
      </c>
      <c r="G33" s="24">
        <v>0.11</v>
      </c>
      <c r="H33" s="24">
        <v>0.16</v>
      </c>
      <c r="J33" s="24"/>
      <c r="K33" s="24"/>
      <c r="L33" s="24"/>
      <c r="M33" s="24"/>
      <c r="N33" s="24"/>
    </row>
    <row r="34" spans="1:14" x14ac:dyDescent="0.25">
      <c r="A34" t="s">
        <v>298</v>
      </c>
      <c r="B34" t="s">
        <v>98</v>
      </c>
      <c r="C34" s="2" t="s">
        <v>220</v>
      </c>
      <c r="D34" s="24">
        <v>0.04</v>
      </c>
      <c r="E34" s="24">
        <v>0.08</v>
      </c>
      <c r="F34" s="24">
        <v>0.09</v>
      </c>
      <c r="G34" s="24">
        <v>0.11</v>
      </c>
      <c r="H34" s="24">
        <v>0.15</v>
      </c>
      <c r="J34" s="24"/>
      <c r="K34" s="24"/>
      <c r="L34" s="24"/>
      <c r="M34" s="24"/>
      <c r="N34" s="24"/>
    </row>
    <row r="35" spans="1:14" x14ac:dyDescent="0.25">
      <c r="A35" t="s">
        <v>299</v>
      </c>
      <c r="B35" t="s">
        <v>98</v>
      </c>
      <c r="C35" s="2" t="s">
        <v>274</v>
      </c>
      <c r="D35" s="24">
        <v>0.04</v>
      </c>
      <c r="E35" s="24">
        <v>0.08</v>
      </c>
      <c r="F35" s="24">
        <v>0.09</v>
      </c>
      <c r="G35" s="24">
        <v>0.11</v>
      </c>
      <c r="H35" s="24">
        <v>0.16</v>
      </c>
      <c r="J35" s="24"/>
      <c r="K35" s="24"/>
      <c r="L35" s="24"/>
      <c r="M35" s="24"/>
      <c r="N35" s="24"/>
    </row>
    <row r="36" spans="1:14" x14ac:dyDescent="0.25">
      <c r="A36" t="s">
        <v>300</v>
      </c>
      <c r="B36" t="s">
        <v>98</v>
      </c>
      <c r="C36" s="2" t="s">
        <v>275</v>
      </c>
      <c r="D36" s="24">
        <v>0.02</v>
      </c>
      <c r="E36" s="24">
        <v>0.06</v>
      </c>
      <c r="F36" s="24">
        <v>0.08</v>
      </c>
      <c r="G36" s="24">
        <v>0.1</v>
      </c>
      <c r="H36" s="24">
        <v>0.15</v>
      </c>
      <c r="J36" s="24"/>
      <c r="K36" s="24"/>
      <c r="L36" s="24"/>
      <c r="M36" s="24"/>
      <c r="N36" s="24"/>
    </row>
    <row r="37" spans="1:14" x14ac:dyDescent="0.25">
      <c r="A37" t="s">
        <v>301</v>
      </c>
      <c r="B37" t="s">
        <v>95</v>
      </c>
      <c r="C37" s="2" t="s">
        <v>218</v>
      </c>
      <c r="D37" s="24">
        <v>0.02</v>
      </c>
      <c r="E37" s="24">
        <v>0.08</v>
      </c>
      <c r="F37" s="24">
        <v>0.1</v>
      </c>
      <c r="G37" s="24">
        <v>0.13</v>
      </c>
      <c r="H37" s="24">
        <v>0.18</v>
      </c>
      <c r="J37" s="24"/>
      <c r="K37" s="24"/>
      <c r="L37" s="24"/>
      <c r="M37" s="24"/>
      <c r="N37" s="24"/>
    </row>
    <row r="38" spans="1:14" x14ac:dyDescent="0.25">
      <c r="A38" t="s">
        <v>302</v>
      </c>
      <c r="B38" t="s">
        <v>95</v>
      </c>
      <c r="C38" s="2" t="s">
        <v>219</v>
      </c>
      <c r="D38" s="24">
        <v>0.04</v>
      </c>
      <c r="E38" s="24">
        <v>0.08</v>
      </c>
      <c r="F38" s="24">
        <v>0.1</v>
      </c>
      <c r="G38" s="24">
        <v>0.12</v>
      </c>
      <c r="H38" s="24">
        <v>0.18</v>
      </c>
      <c r="J38" s="24"/>
      <c r="K38" s="24"/>
      <c r="L38" s="24"/>
      <c r="M38" s="24"/>
      <c r="N38" s="24"/>
    </row>
    <row r="39" spans="1:14" x14ac:dyDescent="0.25">
      <c r="A39" t="s">
        <v>303</v>
      </c>
      <c r="B39" t="s">
        <v>95</v>
      </c>
      <c r="C39" s="2" t="s">
        <v>220</v>
      </c>
      <c r="D39" s="24">
        <v>0.02</v>
      </c>
      <c r="E39" s="24">
        <v>0.08</v>
      </c>
      <c r="F39" s="24">
        <v>0.09</v>
      </c>
      <c r="G39" s="24">
        <v>0.12</v>
      </c>
      <c r="H39" s="24">
        <v>0.18</v>
      </c>
      <c r="J39" s="24"/>
      <c r="K39" s="24"/>
      <c r="L39" s="24"/>
      <c r="M39" s="24"/>
      <c r="N39" s="24"/>
    </row>
    <row r="40" spans="1:14" x14ac:dyDescent="0.25">
      <c r="A40" t="s">
        <v>304</v>
      </c>
      <c r="B40" t="s">
        <v>95</v>
      </c>
      <c r="C40" s="2" t="s">
        <v>274</v>
      </c>
      <c r="D40" s="24">
        <v>0.01</v>
      </c>
      <c r="E40" s="24">
        <v>7.0000000000000007E-2</v>
      </c>
      <c r="F40" s="24">
        <v>0.09</v>
      </c>
      <c r="G40" s="24">
        <v>0.11</v>
      </c>
      <c r="H40" s="24">
        <v>0.17</v>
      </c>
      <c r="J40" s="24"/>
      <c r="K40" s="24"/>
      <c r="L40" s="24"/>
      <c r="M40" s="24"/>
      <c r="N40" s="24"/>
    </row>
    <row r="41" spans="1:14" x14ac:dyDescent="0.25">
      <c r="A41" t="s">
        <v>305</v>
      </c>
      <c r="B41" t="s">
        <v>95</v>
      </c>
      <c r="C41" s="2" t="s">
        <v>275</v>
      </c>
      <c r="D41" s="24">
        <v>0.03</v>
      </c>
      <c r="E41" s="24">
        <v>7.0000000000000007E-2</v>
      </c>
      <c r="F41" s="24">
        <v>0.09</v>
      </c>
      <c r="G41" s="24">
        <v>0.11</v>
      </c>
      <c r="H41" s="24">
        <v>0.16</v>
      </c>
      <c r="J41" s="24"/>
      <c r="K41" s="24"/>
      <c r="L41" s="24"/>
      <c r="M41" s="24"/>
      <c r="N41" s="24"/>
    </row>
    <row r="42" spans="1:14" x14ac:dyDescent="0.25">
      <c r="A42" t="s">
        <v>306</v>
      </c>
      <c r="B42" t="s">
        <v>96</v>
      </c>
      <c r="C42" s="2" t="s">
        <v>218</v>
      </c>
      <c r="D42" s="24">
        <v>0.04</v>
      </c>
      <c r="E42" s="24">
        <v>0.1</v>
      </c>
      <c r="F42" s="24">
        <v>0.13</v>
      </c>
      <c r="G42" s="24">
        <v>0.16</v>
      </c>
      <c r="H42" s="24">
        <v>0.25</v>
      </c>
      <c r="J42" s="24"/>
      <c r="K42" s="24"/>
      <c r="L42" s="24"/>
      <c r="M42" s="24"/>
      <c r="N42" s="24"/>
    </row>
    <row r="43" spans="1:14" x14ac:dyDescent="0.25">
      <c r="A43" t="s">
        <v>307</v>
      </c>
      <c r="B43" t="s">
        <v>96</v>
      </c>
      <c r="C43" s="2" t="s">
        <v>219</v>
      </c>
      <c r="D43" s="24">
        <v>0.03</v>
      </c>
      <c r="E43" s="24">
        <v>0.11</v>
      </c>
      <c r="F43" s="24">
        <v>0.13</v>
      </c>
      <c r="G43" s="24">
        <v>0.16</v>
      </c>
      <c r="H43" s="24">
        <v>0.23</v>
      </c>
      <c r="J43" s="24"/>
      <c r="K43" s="24"/>
      <c r="L43" s="24"/>
      <c r="M43" s="24"/>
      <c r="N43" s="24"/>
    </row>
    <row r="44" spans="1:14" x14ac:dyDescent="0.25">
      <c r="A44" t="s">
        <v>308</v>
      </c>
      <c r="B44" t="s">
        <v>96</v>
      </c>
      <c r="C44" s="2" t="s">
        <v>220</v>
      </c>
      <c r="D44" s="24">
        <v>0.02</v>
      </c>
      <c r="E44" s="24">
        <v>0.09</v>
      </c>
      <c r="F44" s="24">
        <v>0.11</v>
      </c>
      <c r="G44" s="24">
        <v>0.14000000000000001</v>
      </c>
      <c r="H44" s="24">
        <v>0.2</v>
      </c>
      <c r="J44" s="24"/>
      <c r="K44" s="24"/>
      <c r="L44" s="24"/>
      <c r="M44" s="24"/>
      <c r="N44" s="24"/>
    </row>
    <row r="45" spans="1:14" x14ac:dyDescent="0.25">
      <c r="A45" t="s">
        <v>309</v>
      </c>
      <c r="B45" t="s">
        <v>96</v>
      </c>
      <c r="C45" s="2" t="s">
        <v>274</v>
      </c>
      <c r="D45" s="24">
        <v>0.03</v>
      </c>
      <c r="E45" s="24">
        <v>0.08</v>
      </c>
      <c r="F45" s="24">
        <v>0.11</v>
      </c>
      <c r="G45" s="24">
        <v>0.13</v>
      </c>
      <c r="H45" s="24">
        <v>0.2</v>
      </c>
      <c r="J45" s="24"/>
      <c r="K45" s="24"/>
      <c r="L45" s="24"/>
      <c r="M45" s="24"/>
      <c r="N45" s="24"/>
    </row>
    <row r="46" spans="1:14" x14ac:dyDescent="0.25">
      <c r="A46" t="s">
        <v>310</v>
      </c>
      <c r="B46" t="s">
        <v>96</v>
      </c>
      <c r="C46" s="2" t="s">
        <v>275</v>
      </c>
      <c r="D46" s="24">
        <v>0.03</v>
      </c>
      <c r="E46" s="24">
        <v>0.08</v>
      </c>
      <c r="F46" s="24">
        <v>0.11</v>
      </c>
      <c r="G46" s="24">
        <v>0.12</v>
      </c>
      <c r="H46" s="24">
        <v>0.19</v>
      </c>
      <c r="J46" s="24"/>
      <c r="K46" s="24"/>
      <c r="L46" s="24"/>
      <c r="M46" s="24"/>
      <c r="N46" s="24"/>
    </row>
    <row r="47" spans="1:14" x14ac:dyDescent="0.25">
      <c r="A47" t="s">
        <v>311</v>
      </c>
      <c r="B47" t="s">
        <v>101</v>
      </c>
      <c r="C47" s="2" t="s">
        <v>218</v>
      </c>
      <c r="D47" s="24">
        <v>0.04</v>
      </c>
      <c r="E47" s="24">
        <v>0.09</v>
      </c>
      <c r="F47" s="24">
        <v>0.1</v>
      </c>
      <c r="G47" s="24">
        <v>0.13</v>
      </c>
      <c r="H47" s="24">
        <v>0.18</v>
      </c>
      <c r="J47" s="24"/>
      <c r="K47" s="24"/>
      <c r="L47" s="24"/>
      <c r="M47" s="24"/>
      <c r="N47" s="24"/>
    </row>
    <row r="48" spans="1:14" x14ac:dyDescent="0.25">
      <c r="A48" t="s">
        <v>312</v>
      </c>
      <c r="B48" t="s">
        <v>101</v>
      </c>
      <c r="C48" s="2" t="s">
        <v>219</v>
      </c>
      <c r="D48" s="24">
        <v>0.04</v>
      </c>
      <c r="E48" s="24">
        <v>0.08</v>
      </c>
      <c r="F48" s="24">
        <v>0.1</v>
      </c>
      <c r="G48" s="24">
        <v>0.12</v>
      </c>
      <c r="H48" s="24">
        <v>0.18</v>
      </c>
      <c r="J48" s="24"/>
      <c r="K48" s="24"/>
      <c r="L48" s="24"/>
      <c r="M48" s="24"/>
      <c r="N48" s="24"/>
    </row>
    <row r="49" spans="1:14" x14ac:dyDescent="0.25">
      <c r="A49" t="s">
        <v>313</v>
      </c>
      <c r="B49" t="s">
        <v>101</v>
      </c>
      <c r="C49" s="2" t="s">
        <v>220</v>
      </c>
      <c r="D49" s="24">
        <v>0.04</v>
      </c>
      <c r="E49" s="24">
        <v>0.08</v>
      </c>
      <c r="F49" s="24">
        <v>0.09</v>
      </c>
      <c r="G49" s="24">
        <v>0.11</v>
      </c>
      <c r="H49" s="24">
        <v>0.15</v>
      </c>
      <c r="J49" s="24"/>
      <c r="K49" s="24"/>
      <c r="L49" s="24"/>
      <c r="M49" s="24"/>
      <c r="N49" s="24"/>
    </row>
    <row r="50" spans="1:14" x14ac:dyDescent="0.25">
      <c r="A50" t="s">
        <v>314</v>
      </c>
      <c r="B50" t="s">
        <v>101</v>
      </c>
      <c r="C50" s="2" t="s">
        <v>274</v>
      </c>
      <c r="D50" s="24">
        <v>0.04</v>
      </c>
      <c r="E50" s="24">
        <v>0.08</v>
      </c>
      <c r="F50" s="24">
        <v>0.09</v>
      </c>
      <c r="G50" s="24">
        <v>0.1</v>
      </c>
      <c r="H50" s="24">
        <v>0.15</v>
      </c>
      <c r="J50" s="24"/>
      <c r="K50" s="24"/>
      <c r="L50" s="24"/>
      <c r="M50" s="24"/>
      <c r="N50" s="24"/>
    </row>
    <row r="51" spans="1:14" x14ac:dyDescent="0.25">
      <c r="A51" t="s">
        <v>315</v>
      </c>
      <c r="B51" t="s">
        <v>101</v>
      </c>
      <c r="C51" s="2" t="s">
        <v>275</v>
      </c>
      <c r="D51" s="24">
        <v>0.03</v>
      </c>
      <c r="E51" s="24">
        <v>7.0000000000000007E-2</v>
      </c>
      <c r="F51" s="24">
        <v>0.08</v>
      </c>
      <c r="G51" s="24">
        <v>0.09</v>
      </c>
      <c r="H51" s="24">
        <v>0.13</v>
      </c>
      <c r="J51" s="24"/>
      <c r="K51" s="24"/>
      <c r="L51" s="24"/>
      <c r="M51" s="24"/>
      <c r="N51" s="24"/>
    </row>
    <row r="52" spans="1:14" x14ac:dyDescent="0.25">
      <c r="A52" t="s">
        <v>316</v>
      </c>
      <c r="B52" t="s">
        <v>97</v>
      </c>
      <c r="C52" s="2" t="s">
        <v>218</v>
      </c>
      <c r="D52" s="24">
        <v>0.04</v>
      </c>
      <c r="E52" s="24">
        <v>0.09</v>
      </c>
      <c r="F52" s="24">
        <v>0.1</v>
      </c>
      <c r="G52" s="24">
        <v>0.13</v>
      </c>
      <c r="H52" s="24">
        <v>0.17</v>
      </c>
      <c r="J52" s="24"/>
      <c r="K52" s="24"/>
      <c r="L52" s="24"/>
      <c r="M52" s="24"/>
      <c r="N52" s="24"/>
    </row>
    <row r="53" spans="1:14" x14ac:dyDescent="0.25">
      <c r="A53" t="s">
        <v>317</v>
      </c>
      <c r="B53" t="s">
        <v>97</v>
      </c>
      <c r="C53" s="2" t="s">
        <v>219</v>
      </c>
      <c r="D53" s="24">
        <v>0.05</v>
      </c>
      <c r="E53" s="24">
        <v>0.09</v>
      </c>
      <c r="F53" s="24">
        <v>0.1</v>
      </c>
      <c r="G53" s="24">
        <v>0.12</v>
      </c>
      <c r="H53" s="24">
        <v>0.16</v>
      </c>
      <c r="J53" s="24"/>
      <c r="K53" s="24"/>
      <c r="L53" s="24"/>
      <c r="M53" s="24"/>
      <c r="N53" s="24"/>
    </row>
    <row r="54" spans="1:14" x14ac:dyDescent="0.25">
      <c r="A54" t="s">
        <v>318</v>
      </c>
      <c r="B54" t="s">
        <v>97</v>
      </c>
      <c r="C54" s="2" t="s">
        <v>220</v>
      </c>
      <c r="D54" s="24">
        <v>0.04</v>
      </c>
      <c r="E54" s="24">
        <v>0.08</v>
      </c>
      <c r="F54" s="24">
        <v>0.1</v>
      </c>
      <c r="G54" s="24">
        <v>0.11</v>
      </c>
      <c r="H54" s="24">
        <v>0.16</v>
      </c>
      <c r="J54" s="24"/>
      <c r="K54" s="24"/>
      <c r="L54" s="24"/>
      <c r="M54" s="24"/>
      <c r="N54" s="24"/>
    </row>
    <row r="55" spans="1:14" x14ac:dyDescent="0.25">
      <c r="A55" t="s">
        <v>319</v>
      </c>
      <c r="B55" t="s">
        <v>97</v>
      </c>
      <c r="C55" s="2" t="s">
        <v>274</v>
      </c>
      <c r="D55" s="24">
        <v>0.02</v>
      </c>
      <c r="E55" s="24">
        <v>7.0000000000000007E-2</v>
      </c>
      <c r="F55" s="24">
        <v>0.09</v>
      </c>
      <c r="G55" s="24">
        <v>0.11</v>
      </c>
      <c r="H55" s="24">
        <v>0.16</v>
      </c>
      <c r="J55" s="24"/>
      <c r="K55" s="24"/>
      <c r="L55" s="24"/>
      <c r="M55" s="24"/>
      <c r="N55" s="24"/>
    </row>
    <row r="56" spans="1:14" x14ac:dyDescent="0.25">
      <c r="A56" t="s">
        <v>320</v>
      </c>
      <c r="B56" t="s">
        <v>97</v>
      </c>
      <c r="C56" s="2" t="s">
        <v>275</v>
      </c>
      <c r="D56" s="24">
        <v>0.03</v>
      </c>
      <c r="E56" s="24">
        <v>7.0000000000000007E-2</v>
      </c>
      <c r="F56" s="24">
        <v>0.08</v>
      </c>
      <c r="G56" s="24">
        <v>0.1</v>
      </c>
      <c r="H56" s="24">
        <v>0.15</v>
      </c>
      <c r="J56" s="24"/>
      <c r="K56" s="24"/>
      <c r="L56" s="24"/>
      <c r="M56" s="24"/>
      <c r="N56" s="24"/>
    </row>
    <row r="57" spans="1:14" x14ac:dyDescent="0.25">
      <c r="A57" t="s">
        <v>321</v>
      </c>
      <c r="B57" t="s">
        <v>93</v>
      </c>
      <c r="C57" s="2" t="s">
        <v>218</v>
      </c>
      <c r="D57" s="24">
        <v>0.04</v>
      </c>
      <c r="E57" s="24">
        <v>0.08</v>
      </c>
      <c r="F57" s="24">
        <v>0.1</v>
      </c>
      <c r="G57" s="24">
        <v>0.12</v>
      </c>
      <c r="H57" s="24">
        <v>0.17</v>
      </c>
      <c r="J57" s="24"/>
      <c r="K57" s="24"/>
      <c r="L57" s="24"/>
      <c r="M57" s="24"/>
      <c r="N57" s="24"/>
    </row>
    <row r="58" spans="1:14" x14ac:dyDescent="0.25">
      <c r="A58" t="s">
        <v>322</v>
      </c>
      <c r="B58" t="s">
        <v>93</v>
      </c>
      <c r="C58" s="2" t="s">
        <v>219</v>
      </c>
      <c r="D58" s="24">
        <v>0.04</v>
      </c>
      <c r="E58" s="24">
        <v>0.08</v>
      </c>
      <c r="F58" s="24">
        <v>0.1</v>
      </c>
      <c r="G58" s="24">
        <v>0.11</v>
      </c>
      <c r="H58" s="24">
        <v>0.15</v>
      </c>
      <c r="J58" s="24"/>
      <c r="K58" s="24"/>
      <c r="L58" s="24"/>
      <c r="M58" s="24"/>
      <c r="N58" s="24"/>
    </row>
    <row r="59" spans="1:14" x14ac:dyDescent="0.25">
      <c r="A59" t="s">
        <v>323</v>
      </c>
      <c r="B59" t="s">
        <v>93</v>
      </c>
      <c r="C59" s="2" t="s">
        <v>220</v>
      </c>
      <c r="D59" s="24">
        <v>0.05</v>
      </c>
      <c r="E59" s="24">
        <v>0.08</v>
      </c>
      <c r="F59" s="24">
        <v>0.09</v>
      </c>
      <c r="G59" s="24">
        <v>0.1</v>
      </c>
      <c r="H59" s="24">
        <v>0.14000000000000001</v>
      </c>
      <c r="J59" s="24"/>
      <c r="K59" s="24"/>
      <c r="L59" s="24"/>
      <c r="M59" s="24"/>
      <c r="N59" s="24"/>
    </row>
    <row r="60" spans="1:14" x14ac:dyDescent="0.25">
      <c r="A60" t="s">
        <v>324</v>
      </c>
      <c r="B60" t="s">
        <v>93</v>
      </c>
      <c r="C60" s="2" t="s">
        <v>274</v>
      </c>
      <c r="D60" s="24">
        <v>0.03</v>
      </c>
      <c r="E60" s="24">
        <v>7.0000000000000007E-2</v>
      </c>
      <c r="F60" s="24">
        <v>0.08</v>
      </c>
      <c r="G60" s="24">
        <v>0.1</v>
      </c>
      <c r="H60" s="24">
        <v>0.14000000000000001</v>
      </c>
      <c r="J60" s="24"/>
      <c r="K60" s="24"/>
      <c r="L60" s="24"/>
      <c r="M60" s="24"/>
      <c r="N60" s="24"/>
    </row>
    <row r="61" spans="1:14" x14ac:dyDescent="0.25">
      <c r="A61" t="s">
        <v>325</v>
      </c>
      <c r="B61" t="s">
        <v>93</v>
      </c>
      <c r="C61" s="2" t="s">
        <v>275</v>
      </c>
      <c r="D61" s="24">
        <v>0.02</v>
      </c>
      <c r="E61" s="24">
        <v>0.06</v>
      </c>
      <c r="F61" s="24">
        <v>0.08</v>
      </c>
      <c r="G61" s="24">
        <v>0.09</v>
      </c>
      <c r="H61" s="24">
        <v>0.14000000000000001</v>
      </c>
      <c r="J61" s="24"/>
      <c r="K61" s="24"/>
      <c r="L61" s="24"/>
      <c r="M61" s="24"/>
      <c r="N61" s="24"/>
    </row>
    <row r="62" spans="1:14" x14ac:dyDescent="0.25">
      <c r="A62" t="s">
        <v>326</v>
      </c>
      <c r="B62" t="s">
        <v>105</v>
      </c>
      <c r="C62" s="2" t="s">
        <v>218</v>
      </c>
      <c r="D62" s="24">
        <v>0.03</v>
      </c>
      <c r="E62" s="24">
        <v>7.0000000000000007E-2</v>
      </c>
      <c r="F62" s="24">
        <v>0.08</v>
      </c>
      <c r="G62" s="24">
        <v>0.11</v>
      </c>
      <c r="H62" s="24">
        <v>0.17</v>
      </c>
      <c r="J62" s="24"/>
      <c r="K62" s="24"/>
      <c r="L62" s="24"/>
      <c r="M62" s="24"/>
      <c r="N62" s="24"/>
    </row>
    <row r="63" spans="1:14" x14ac:dyDescent="0.25">
      <c r="A63" t="s">
        <v>327</v>
      </c>
      <c r="B63" t="s">
        <v>105</v>
      </c>
      <c r="C63" s="2" t="s">
        <v>219</v>
      </c>
      <c r="D63" s="24">
        <v>0.03</v>
      </c>
      <c r="E63" s="24">
        <v>0.06</v>
      </c>
      <c r="F63" s="24">
        <v>0.08</v>
      </c>
      <c r="G63" s="24">
        <v>0.1</v>
      </c>
      <c r="H63" s="24">
        <v>0.15</v>
      </c>
      <c r="J63" s="24"/>
      <c r="K63" s="24"/>
      <c r="L63" s="24"/>
      <c r="M63" s="24"/>
      <c r="N63" s="24"/>
    </row>
    <row r="64" spans="1:14" x14ac:dyDescent="0.25">
      <c r="A64" t="s">
        <v>328</v>
      </c>
      <c r="B64" t="s">
        <v>105</v>
      </c>
      <c r="C64" s="2" t="s">
        <v>220</v>
      </c>
      <c r="D64" s="24">
        <v>0.02</v>
      </c>
      <c r="E64" s="24">
        <v>0.06</v>
      </c>
      <c r="F64" s="24">
        <v>0.08</v>
      </c>
      <c r="G64" s="24">
        <v>0.1</v>
      </c>
      <c r="H64" s="24">
        <v>0.16</v>
      </c>
      <c r="J64" s="24"/>
      <c r="K64" s="24"/>
      <c r="L64" s="24"/>
      <c r="M64" s="24"/>
      <c r="N64" s="24"/>
    </row>
    <row r="65" spans="1:14" x14ac:dyDescent="0.25">
      <c r="A65" t="s">
        <v>329</v>
      </c>
      <c r="B65" t="s">
        <v>105</v>
      </c>
      <c r="C65" s="2" t="s">
        <v>274</v>
      </c>
      <c r="D65" s="24">
        <v>0.02</v>
      </c>
      <c r="E65" s="24">
        <v>0.05</v>
      </c>
      <c r="F65" s="24">
        <v>0.09</v>
      </c>
      <c r="G65" s="24">
        <v>0.1</v>
      </c>
      <c r="H65" s="24">
        <v>0.17</v>
      </c>
      <c r="J65" s="24"/>
      <c r="K65" s="24"/>
      <c r="L65" s="24"/>
      <c r="M65" s="24"/>
      <c r="N65" s="24"/>
    </row>
    <row r="66" spans="1:14" x14ac:dyDescent="0.25">
      <c r="A66" t="s">
        <v>330</v>
      </c>
      <c r="B66" t="s">
        <v>105</v>
      </c>
      <c r="C66" s="2" t="s">
        <v>275</v>
      </c>
      <c r="D66" s="24">
        <v>0.01</v>
      </c>
      <c r="E66" s="24">
        <v>0.06</v>
      </c>
      <c r="F66" s="24">
        <v>0.08</v>
      </c>
      <c r="G66" s="24">
        <v>0.1</v>
      </c>
      <c r="H66" s="24">
        <v>0.15</v>
      </c>
      <c r="J66" s="24"/>
      <c r="K66" s="24"/>
      <c r="L66" s="24"/>
      <c r="M66" s="24"/>
      <c r="N66" s="24"/>
    </row>
    <row r="67" spans="1:14" x14ac:dyDescent="0.25">
      <c r="A67" t="s">
        <v>331</v>
      </c>
      <c r="B67" t="s">
        <v>92</v>
      </c>
      <c r="C67" s="2" t="s">
        <v>218</v>
      </c>
      <c r="D67" s="24">
        <v>0.04</v>
      </c>
      <c r="E67" s="24">
        <v>0.08</v>
      </c>
      <c r="F67" s="24">
        <v>0.1</v>
      </c>
      <c r="G67" s="24">
        <v>0.12</v>
      </c>
      <c r="H67" s="24">
        <v>0.17</v>
      </c>
      <c r="J67" s="24"/>
      <c r="K67" s="24"/>
      <c r="L67" s="24"/>
      <c r="M67" s="24"/>
      <c r="N67" s="24"/>
    </row>
    <row r="68" spans="1:14" x14ac:dyDescent="0.25">
      <c r="A68" t="s">
        <v>332</v>
      </c>
      <c r="B68" t="s">
        <v>92</v>
      </c>
      <c r="C68" s="2" t="s">
        <v>219</v>
      </c>
      <c r="D68" s="24">
        <v>0.04</v>
      </c>
      <c r="E68" s="24">
        <v>0.08</v>
      </c>
      <c r="F68" s="24">
        <v>0.09</v>
      </c>
      <c r="G68" s="24">
        <v>0.11</v>
      </c>
      <c r="H68" s="24">
        <v>0.15</v>
      </c>
      <c r="J68" s="24"/>
      <c r="K68" s="24"/>
      <c r="L68" s="24"/>
      <c r="M68" s="24"/>
      <c r="N68" s="24"/>
    </row>
    <row r="69" spans="1:14" x14ac:dyDescent="0.25">
      <c r="A69" t="s">
        <v>333</v>
      </c>
      <c r="B69" t="s">
        <v>92</v>
      </c>
      <c r="C69" s="2" t="s">
        <v>220</v>
      </c>
      <c r="D69" s="24">
        <v>0.03</v>
      </c>
      <c r="E69" s="24">
        <v>7.0000000000000007E-2</v>
      </c>
      <c r="F69" s="24">
        <v>0.09</v>
      </c>
      <c r="G69" s="24">
        <v>0.1</v>
      </c>
      <c r="H69" s="24">
        <v>0.15</v>
      </c>
      <c r="J69" s="24"/>
      <c r="K69" s="24"/>
      <c r="L69" s="24"/>
      <c r="M69" s="24"/>
      <c r="N69" s="24"/>
    </row>
    <row r="70" spans="1:14" x14ac:dyDescent="0.25">
      <c r="A70" t="s">
        <v>334</v>
      </c>
      <c r="B70" t="s">
        <v>92</v>
      </c>
      <c r="C70" s="2" t="s">
        <v>274</v>
      </c>
      <c r="D70" s="24">
        <v>0.03</v>
      </c>
      <c r="E70" s="24">
        <v>0.08</v>
      </c>
      <c r="F70" s="24">
        <v>0.09</v>
      </c>
      <c r="G70" s="24">
        <v>0.1</v>
      </c>
      <c r="H70" s="24">
        <v>0.15</v>
      </c>
      <c r="J70" s="24"/>
      <c r="K70" s="24"/>
      <c r="L70" s="24"/>
      <c r="M70" s="24"/>
      <c r="N70" s="24"/>
    </row>
    <row r="71" spans="1:14" x14ac:dyDescent="0.25">
      <c r="A71" t="s">
        <v>335</v>
      </c>
      <c r="B71" t="s">
        <v>92</v>
      </c>
      <c r="C71" s="2" t="s">
        <v>275</v>
      </c>
      <c r="D71" s="24">
        <v>0.02</v>
      </c>
      <c r="E71" s="24">
        <v>0.06</v>
      </c>
      <c r="F71" s="24">
        <v>0.08</v>
      </c>
      <c r="G71" s="24">
        <v>0.09</v>
      </c>
      <c r="H71" s="24">
        <v>0.14000000000000001</v>
      </c>
      <c r="J71" s="24"/>
      <c r="K71" s="24"/>
      <c r="L71" s="24"/>
      <c r="M71" s="24"/>
      <c r="N71" s="24"/>
    </row>
    <row r="72" spans="1:14" x14ac:dyDescent="0.25">
      <c r="A72" t="s">
        <v>336</v>
      </c>
      <c r="B72" t="s">
        <v>91</v>
      </c>
      <c r="C72" s="2" t="s">
        <v>218</v>
      </c>
      <c r="D72" s="24">
        <v>0.01</v>
      </c>
      <c r="E72" s="24">
        <v>7.0000000000000007E-2</v>
      </c>
      <c r="F72" s="24">
        <v>0.08</v>
      </c>
      <c r="G72" s="24">
        <v>0.11</v>
      </c>
      <c r="H72" s="24">
        <v>0.17</v>
      </c>
      <c r="J72" s="24"/>
      <c r="K72" s="24"/>
      <c r="L72" s="24"/>
      <c r="M72" s="24"/>
      <c r="N72" s="24"/>
    </row>
    <row r="73" spans="1:14" x14ac:dyDescent="0.25">
      <c r="A73" t="s">
        <v>337</v>
      </c>
      <c r="B73" t="s">
        <v>91</v>
      </c>
      <c r="C73" s="2" t="s">
        <v>219</v>
      </c>
      <c r="D73" s="24">
        <v>0.03</v>
      </c>
      <c r="E73" s="24">
        <v>7.0000000000000007E-2</v>
      </c>
      <c r="F73" s="24">
        <v>0.09</v>
      </c>
      <c r="G73" s="24">
        <v>0.11</v>
      </c>
      <c r="H73" s="24">
        <v>0.15</v>
      </c>
      <c r="J73" s="24"/>
      <c r="K73" s="24"/>
      <c r="L73" s="24"/>
      <c r="M73" s="24"/>
      <c r="N73" s="24"/>
    </row>
    <row r="74" spans="1:14" x14ac:dyDescent="0.25">
      <c r="A74" t="s">
        <v>338</v>
      </c>
      <c r="B74" t="s">
        <v>91</v>
      </c>
      <c r="C74" s="2" t="s">
        <v>220</v>
      </c>
      <c r="D74" s="24">
        <v>0.03</v>
      </c>
      <c r="E74" s="24">
        <v>0.06</v>
      </c>
      <c r="F74" s="24">
        <v>0.08</v>
      </c>
      <c r="G74" s="24">
        <v>0.1</v>
      </c>
      <c r="H74" s="24">
        <v>0.15</v>
      </c>
      <c r="J74" s="24"/>
      <c r="K74" s="24"/>
      <c r="L74" s="24"/>
      <c r="M74" s="24"/>
      <c r="N74" s="24"/>
    </row>
    <row r="75" spans="1:14" x14ac:dyDescent="0.25">
      <c r="A75" t="s">
        <v>339</v>
      </c>
      <c r="B75" t="s">
        <v>91</v>
      </c>
      <c r="C75" s="2" t="s">
        <v>274</v>
      </c>
      <c r="D75" s="24">
        <v>0.02</v>
      </c>
      <c r="E75" s="24">
        <v>0.06</v>
      </c>
      <c r="F75" s="24">
        <v>7.0000000000000007E-2</v>
      </c>
      <c r="G75" s="24">
        <v>0.09</v>
      </c>
      <c r="H75" s="24">
        <v>0.14000000000000001</v>
      </c>
      <c r="J75" s="24"/>
      <c r="K75" s="24"/>
      <c r="L75" s="24"/>
      <c r="M75" s="24"/>
      <c r="N75" s="24"/>
    </row>
    <row r="76" spans="1:14" x14ac:dyDescent="0.25">
      <c r="A76" t="s">
        <v>340</v>
      </c>
      <c r="B76" t="s">
        <v>91</v>
      </c>
      <c r="C76" s="2" t="s">
        <v>275</v>
      </c>
      <c r="D76" s="24">
        <v>0.01</v>
      </c>
      <c r="E76" s="24">
        <v>0.04</v>
      </c>
      <c r="F76" s="24">
        <v>0.06</v>
      </c>
      <c r="G76" s="24">
        <v>0.08</v>
      </c>
      <c r="H76" s="24">
        <v>0.13</v>
      </c>
      <c r="J76" s="24"/>
      <c r="K76" s="24"/>
      <c r="L76" s="24"/>
      <c r="M76" s="24"/>
      <c r="N76" s="24"/>
    </row>
    <row r="77" spans="1:14" x14ac:dyDescent="0.25">
      <c r="A77" t="s">
        <v>341</v>
      </c>
      <c r="B77" t="s">
        <v>90</v>
      </c>
      <c r="C77" s="2" t="s">
        <v>218</v>
      </c>
      <c r="D77" s="24">
        <v>0.02</v>
      </c>
      <c r="E77" s="24">
        <v>0.06</v>
      </c>
      <c r="F77" s="24">
        <v>7.0000000000000007E-2</v>
      </c>
      <c r="G77" s="24">
        <v>0.09</v>
      </c>
      <c r="H77" s="24">
        <v>0.13</v>
      </c>
      <c r="J77" s="24"/>
      <c r="K77" s="24"/>
      <c r="L77" s="24"/>
      <c r="M77" s="24"/>
      <c r="N77" s="24"/>
    </row>
    <row r="78" spans="1:14" x14ac:dyDescent="0.25">
      <c r="A78" t="s">
        <v>342</v>
      </c>
      <c r="B78" t="s">
        <v>90</v>
      </c>
      <c r="C78" s="2" t="s">
        <v>219</v>
      </c>
      <c r="D78" s="24">
        <v>0.01</v>
      </c>
      <c r="E78" s="24">
        <v>0.05</v>
      </c>
      <c r="F78" s="24">
        <v>7.0000000000000007E-2</v>
      </c>
      <c r="G78" s="24">
        <v>0.08</v>
      </c>
      <c r="H78" s="24">
        <v>0.13</v>
      </c>
      <c r="J78" s="24"/>
      <c r="K78" s="24"/>
      <c r="L78" s="24"/>
      <c r="M78" s="24"/>
      <c r="N78" s="24"/>
    </row>
    <row r="79" spans="1:14" x14ac:dyDescent="0.25">
      <c r="A79" t="s">
        <v>343</v>
      </c>
      <c r="B79" t="s">
        <v>90</v>
      </c>
      <c r="C79" s="2" t="s">
        <v>220</v>
      </c>
      <c r="D79" s="24">
        <v>0.01</v>
      </c>
      <c r="E79" s="24">
        <v>0.05</v>
      </c>
      <c r="F79" s="24">
        <v>7.0000000000000007E-2</v>
      </c>
      <c r="G79" s="24">
        <v>0.08</v>
      </c>
      <c r="H79" s="24">
        <v>0.12</v>
      </c>
      <c r="J79" s="24"/>
      <c r="K79" s="24"/>
      <c r="L79" s="24"/>
      <c r="M79" s="24"/>
      <c r="N79" s="24"/>
    </row>
    <row r="80" spans="1:14" x14ac:dyDescent="0.25">
      <c r="A80" t="s">
        <v>344</v>
      </c>
      <c r="B80" t="s">
        <v>90</v>
      </c>
      <c r="C80" s="2" t="s">
        <v>274</v>
      </c>
      <c r="D80" s="24">
        <v>0.01</v>
      </c>
      <c r="E80" s="24">
        <v>0.04</v>
      </c>
      <c r="F80" s="24">
        <v>0.06</v>
      </c>
      <c r="G80" s="24">
        <v>7.0000000000000007E-2</v>
      </c>
      <c r="H80" s="24">
        <v>0.11</v>
      </c>
      <c r="J80" s="24"/>
      <c r="K80" s="24"/>
      <c r="L80" s="24"/>
      <c r="M80" s="24"/>
      <c r="N80" s="24"/>
    </row>
    <row r="81" spans="1:14" x14ac:dyDescent="0.25">
      <c r="A81" t="s">
        <v>345</v>
      </c>
      <c r="B81" t="s">
        <v>90</v>
      </c>
      <c r="C81" s="2" t="s">
        <v>275</v>
      </c>
      <c r="D81" s="24">
        <v>0</v>
      </c>
      <c r="E81" s="24">
        <v>0.04</v>
      </c>
      <c r="F81" s="24">
        <v>0.05</v>
      </c>
      <c r="G81" s="24">
        <v>7.0000000000000007E-2</v>
      </c>
      <c r="H81" s="24">
        <v>0.1</v>
      </c>
      <c r="J81" s="24"/>
      <c r="K81" s="24"/>
      <c r="L81" s="24"/>
      <c r="M81" s="24"/>
      <c r="N81" s="24"/>
    </row>
    <row r="82" spans="1:14" x14ac:dyDescent="0.25">
      <c r="A82" t="s">
        <v>346</v>
      </c>
      <c r="B82" t="s">
        <v>89</v>
      </c>
      <c r="C82" s="2" t="s">
        <v>218</v>
      </c>
      <c r="D82" s="24">
        <v>0.02</v>
      </c>
      <c r="E82" s="24">
        <v>7.0000000000000007E-2</v>
      </c>
      <c r="F82" s="24">
        <v>0.09</v>
      </c>
      <c r="G82" s="24">
        <v>0.11</v>
      </c>
      <c r="H82" s="24">
        <v>0.17</v>
      </c>
      <c r="J82" s="24"/>
      <c r="K82" s="24"/>
      <c r="L82" s="24"/>
      <c r="M82" s="24"/>
      <c r="N82" s="24"/>
    </row>
    <row r="83" spans="1:14" x14ac:dyDescent="0.25">
      <c r="A83" t="s">
        <v>347</v>
      </c>
      <c r="B83" t="s">
        <v>89</v>
      </c>
      <c r="C83" s="2" t="s">
        <v>219</v>
      </c>
      <c r="D83" s="24">
        <v>0.03</v>
      </c>
      <c r="E83" s="24">
        <v>7.0000000000000007E-2</v>
      </c>
      <c r="F83" s="24">
        <v>0.09</v>
      </c>
      <c r="G83" s="24">
        <v>0.1</v>
      </c>
      <c r="H83" s="24">
        <v>0.15</v>
      </c>
      <c r="J83" s="24"/>
      <c r="K83" s="24"/>
      <c r="L83" s="24"/>
      <c r="M83" s="24"/>
      <c r="N83" s="24"/>
    </row>
    <row r="84" spans="1:14" x14ac:dyDescent="0.25">
      <c r="A84" t="s">
        <v>348</v>
      </c>
      <c r="B84" t="s">
        <v>89</v>
      </c>
      <c r="C84" s="2" t="s">
        <v>220</v>
      </c>
      <c r="D84" s="24">
        <v>0.03</v>
      </c>
      <c r="E84" s="24">
        <v>0.06</v>
      </c>
      <c r="F84" s="24">
        <v>0.08</v>
      </c>
      <c r="G84" s="24">
        <v>0.1</v>
      </c>
      <c r="H84" s="24">
        <v>0.16</v>
      </c>
      <c r="J84" s="24"/>
      <c r="K84" s="24"/>
      <c r="L84" s="24"/>
      <c r="M84" s="24"/>
      <c r="N84" s="24"/>
    </row>
    <row r="85" spans="1:14" x14ac:dyDescent="0.25">
      <c r="A85" t="s">
        <v>349</v>
      </c>
      <c r="B85" t="s">
        <v>89</v>
      </c>
      <c r="C85" s="2" t="s">
        <v>274</v>
      </c>
      <c r="D85" s="24">
        <v>0.01</v>
      </c>
      <c r="E85" s="24">
        <v>0.06</v>
      </c>
      <c r="F85" s="24">
        <v>0.08</v>
      </c>
      <c r="G85" s="24">
        <v>0.09</v>
      </c>
      <c r="H85" s="24">
        <v>0.14000000000000001</v>
      </c>
      <c r="J85" s="24"/>
      <c r="K85" s="24"/>
      <c r="L85" s="24"/>
      <c r="M85" s="24"/>
      <c r="N85" s="24"/>
    </row>
    <row r="86" spans="1:14" x14ac:dyDescent="0.25">
      <c r="A86" t="s">
        <v>350</v>
      </c>
      <c r="B86" t="s">
        <v>89</v>
      </c>
      <c r="C86" s="2" t="s">
        <v>275</v>
      </c>
      <c r="D86" s="24">
        <v>0.01</v>
      </c>
      <c r="E86" s="24">
        <v>0.05</v>
      </c>
      <c r="F86" s="24">
        <v>7.0000000000000007E-2</v>
      </c>
      <c r="G86" s="24">
        <v>0.09</v>
      </c>
      <c r="H86" s="24">
        <v>0.14000000000000001</v>
      </c>
      <c r="J86" s="24"/>
      <c r="K86" s="24"/>
      <c r="L86" s="24"/>
      <c r="M86" s="24"/>
      <c r="N86" s="24"/>
    </row>
    <row r="87" spans="1:14" x14ac:dyDescent="0.25">
      <c r="A87" t="s">
        <v>351</v>
      </c>
      <c r="B87" t="s">
        <v>94</v>
      </c>
      <c r="C87" s="2" t="s">
        <v>218</v>
      </c>
      <c r="D87" s="24">
        <v>0.01</v>
      </c>
      <c r="E87" s="24">
        <v>0.09</v>
      </c>
      <c r="F87" s="24">
        <v>0.12</v>
      </c>
      <c r="G87" s="24">
        <v>0.15</v>
      </c>
      <c r="H87" s="24">
        <v>0.24</v>
      </c>
      <c r="J87" s="24"/>
      <c r="K87" s="24"/>
      <c r="L87" s="24"/>
      <c r="M87" s="24"/>
      <c r="N87" s="24"/>
    </row>
    <row r="88" spans="1:14" x14ac:dyDescent="0.25">
      <c r="A88" t="s">
        <v>352</v>
      </c>
      <c r="B88" t="s">
        <v>94</v>
      </c>
      <c r="C88" s="2" t="s">
        <v>219</v>
      </c>
      <c r="D88" s="24">
        <v>0.05</v>
      </c>
      <c r="E88" s="24">
        <v>0.11</v>
      </c>
      <c r="F88" s="24">
        <v>0.13</v>
      </c>
      <c r="G88" s="24">
        <v>0.15</v>
      </c>
      <c r="H88" s="24">
        <v>0.21</v>
      </c>
      <c r="J88" s="24"/>
      <c r="K88" s="24"/>
      <c r="L88" s="24"/>
      <c r="M88" s="24"/>
      <c r="N88" s="24"/>
    </row>
    <row r="89" spans="1:14" x14ac:dyDescent="0.25">
      <c r="A89" t="s">
        <v>353</v>
      </c>
      <c r="B89" t="s">
        <v>94</v>
      </c>
      <c r="C89" s="2" t="s">
        <v>220</v>
      </c>
      <c r="D89" s="24">
        <v>0.04</v>
      </c>
      <c r="E89" s="24">
        <v>0.1</v>
      </c>
      <c r="F89" s="24">
        <v>0.12</v>
      </c>
      <c r="G89" s="24">
        <v>0.15</v>
      </c>
      <c r="H89" s="24">
        <v>0.21</v>
      </c>
      <c r="J89" s="24"/>
      <c r="K89" s="24"/>
      <c r="L89" s="24"/>
      <c r="M89" s="24"/>
      <c r="N89" s="24"/>
    </row>
    <row r="90" spans="1:14" x14ac:dyDescent="0.25">
      <c r="A90" t="s">
        <v>354</v>
      </c>
      <c r="B90" t="s">
        <v>94</v>
      </c>
      <c r="C90" s="2" t="s">
        <v>274</v>
      </c>
      <c r="D90" s="24">
        <v>0.05</v>
      </c>
      <c r="E90" s="24">
        <v>0.1</v>
      </c>
      <c r="F90" s="24">
        <v>0.12</v>
      </c>
      <c r="G90" s="24">
        <v>0.14000000000000001</v>
      </c>
      <c r="H90" s="24">
        <v>0.2</v>
      </c>
      <c r="J90" s="24"/>
      <c r="K90" s="24"/>
      <c r="L90" s="24"/>
      <c r="M90" s="24"/>
      <c r="N90" s="24"/>
    </row>
    <row r="91" spans="1:14" x14ac:dyDescent="0.25">
      <c r="A91" t="s">
        <v>355</v>
      </c>
      <c r="B91" t="s">
        <v>94</v>
      </c>
      <c r="C91" s="2" t="s">
        <v>275</v>
      </c>
      <c r="D91" s="24">
        <v>0.02</v>
      </c>
      <c r="E91" s="24">
        <v>7.0000000000000007E-2</v>
      </c>
      <c r="F91" s="24">
        <v>0.08</v>
      </c>
      <c r="G91" s="24">
        <v>0.1</v>
      </c>
      <c r="H91" s="24">
        <v>0.13</v>
      </c>
      <c r="J91" s="24"/>
      <c r="K91" s="24"/>
      <c r="L91" s="24"/>
      <c r="M91" s="24"/>
      <c r="N91" s="24"/>
    </row>
    <row r="92" spans="1:14" x14ac:dyDescent="0.25">
      <c r="A92" t="s">
        <v>356</v>
      </c>
      <c r="B92" t="s">
        <v>86</v>
      </c>
      <c r="C92" s="2" t="s">
        <v>218</v>
      </c>
      <c r="D92" s="24">
        <v>0.05</v>
      </c>
      <c r="E92" s="24">
        <v>0.08</v>
      </c>
      <c r="F92" s="24">
        <v>0.1</v>
      </c>
      <c r="G92" s="24">
        <v>0.12</v>
      </c>
      <c r="H92" s="24">
        <v>0.17</v>
      </c>
      <c r="J92" s="24"/>
      <c r="K92" s="24"/>
      <c r="L92" s="24"/>
      <c r="M92" s="24"/>
      <c r="N92" s="24"/>
    </row>
    <row r="93" spans="1:14" x14ac:dyDescent="0.25">
      <c r="A93" t="s">
        <v>357</v>
      </c>
      <c r="B93" t="s">
        <v>86</v>
      </c>
      <c r="C93" s="2" t="s">
        <v>219</v>
      </c>
      <c r="D93" s="24">
        <v>0.03</v>
      </c>
      <c r="E93" s="24">
        <v>0.08</v>
      </c>
      <c r="F93" s="24">
        <v>0.1</v>
      </c>
      <c r="G93" s="24">
        <v>0.12</v>
      </c>
      <c r="H93" s="24">
        <v>0.17</v>
      </c>
      <c r="J93" s="24"/>
      <c r="K93" s="24"/>
      <c r="L93" s="24"/>
      <c r="M93" s="24"/>
      <c r="N93" s="24"/>
    </row>
    <row r="94" spans="1:14" x14ac:dyDescent="0.25">
      <c r="A94" t="s">
        <v>358</v>
      </c>
      <c r="B94" t="s">
        <v>86</v>
      </c>
      <c r="C94" s="2" t="s">
        <v>220</v>
      </c>
      <c r="D94" s="24">
        <v>0.03</v>
      </c>
      <c r="E94" s="24">
        <v>0.08</v>
      </c>
      <c r="F94" s="24">
        <v>0.1</v>
      </c>
      <c r="G94" s="24">
        <v>0.11</v>
      </c>
      <c r="H94" s="24">
        <v>0.16</v>
      </c>
      <c r="J94" s="24"/>
      <c r="K94" s="24"/>
      <c r="L94" s="24"/>
      <c r="M94" s="24"/>
      <c r="N94" s="24"/>
    </row>
    <row r="95" spans="1:14" x14ac:dyDescent="0.25">
      <c r="A95" t="s">
        <v>359</v>
      </c>
      <c r="B95" t="s">
        <v>86</v>
      </c>
      <c r="C95" s="2" t="s">
        <v>274</v>
      </c>
      <c r="D95" s="24">
        <v>0.02</v>
      </c>
      <c r="E95" s="24">
        <v>0.06</v>
      </c>
      <c r="F95" s="24">
        <v>0.08</v>
      </c>
      <c r="G95" s="24">
        <v>0.11</v>
      </c>
      <c r="H95" s="24">
        <v>0.18</v>
      </c>
      <c r="J95" s="24"/>
      <c r="K95" s="24"/>
      <c r="L95" s="24"/>
      <c r="M95" s="24"/>
      <c r="N95" s="24"/>
    </row>
    <row r="96" spans="1:14" x14ac:dyDescent="0.25">
      <c r="A96" t="s">
        <v>360</v>
      </c>
      <c r="B96" t="s">
        <v>86</v>
      </c>
      <c r="C96" s="2" t="s">
        <v>275</v>
      </c>
      <c r="D96" s="24">
        <v>0.02</v>
      </c>
      <c r="E96" s="24">
        <v>7.0000000000000007E-2</v>
      </c>
      <c r="F96" s="24">
        <v>0.08</v>
      </c>
      <c r="G96" s="24">
        <v>0.1</v>
      </c>
      <c r="H96" s="24">
        <v>0.13</v>
      </c>
      <c r="J96" s="24"/>
      <c r="K96" s="24"/>
      <c r="L96" s="24"/>
      <c r="M96" s="24"/>
      <c r="N96" s="24"/>
    </row>
    <row r="97" spans="1:14" x14ac:dyDescent="0.25">
      <c r="A97" t="s">
        <v>361</v>
      </c>
      <c r="B97" t="s">
        <v>88</v>
      </c>
      <c r="C97" s="2" t="s">
        <v>218</v>
      </c>
      <c r="D97" s="24">
        <v>0.01</v>
      </c>
      <c r="E97" s="24">
        <v>0.06</v>
      </c>
      <c r="F97" s="24">
        <v>0.08</v>
      </c>
      <c r="G97" s="24">
        <v>0.1</v>
      </c>
      <c r="H97" s="24">
        <v>0.15</v>
      </c>
      <c r="J97" s="24"/>
      <c r="K97" s="24"/>
      <c r="L97" s="24"/>
      <c r="M97" s="24"/>
      <c r="N97" s="24"/>
    </row>
    <row r="98" spans="1:14" x14ac:dyDescent="0.25">
      <c r="A98" t="s">
        <v>362</v>
      </c>
      <c r="B98" t="s">
        <v>88</v>
      </c>
      <c r="C98" s="2" t="s">
        <v>219</v>
      </c>
      <c r="D98" s="24">
        <v>0.01</v>
      </c>
      <c r="E98" s="24">
        <v>0.05</v>
      </c>
      <c r="F98" s="24">
        <v>7.0000000000000007E-2</v>
      </c>
      <c r="G98" s="24">
        <v>0.09</v>
      </c>
      <c r="H98" s="24">
        <v>0.14000000000000001</v>
      </c>
      <c r="J98" s="24"/>
      <c r="K98" s="24"/>
      <c r="L98" s="24"/>
      <c r="M98" s="24"/>
      <c r="N98" s="24"/>
    </row>
    <row r="99" spans="1:14" x14ac:dyDescent="0.25">
      <c r="A99" t="s">
        <v>363</v>
      </c>
      <c r="B99" t="s">
        <v>88</v>
      </c>
      <c r="C99" s="2" t="s">
        <v>220</v>
      </c>
      <c r="D99" s="24">
        <v>0.01</v>
      </c>
      <c r="E99" s="24">
        <v>0.05</v>
      </c>
      <c r="F99" s="24">
        <v>7.0000000000000007E-2</v>
      </c>
      <c r="G99" s="24">
        <v>0.08</v>
      </c>
      <c r="H99" s="24">
        <v>0.12</v>
      </c>
      <c r="J99" s="24"/>
      <c r="K99" s="24"/>
      <c r="L99" s="24"/>
      <c r="M99" s="24"/>
      <c r="N99" s="24"/>
    </row>
    <row r="100" spans="1:14" x14ac:dyDescent="0.25">
      <c r="A100" t="s">
        <v>364</v>
      </c>
      <c r="B100" t="s">
        <v>88</v>
      </c>
      <c r="C100" s="2" t="s">
        <v>274</v>
      </c>
      <c r="D100" s="24">
        <v>0.01</v>
      </c>
      <c r="E100" s="24">
        <v>0.05</v>
      </c>
      <c r="F100" s="24">
        <v>0.06</v>
      </c>
      <c r="G100" s="24">
        <v>0.08</v>
      </c>
      <c r="H100" s="24">
        <v>0.13</v>
      </c>
      <c r="J100" s="24"/>
      <c r="K100" s="24"/>
      <c r="L100" s="24"/>
      <c r="M100" s="24"/>
      <c r="N100" s="24"/>
    </row>
    <row r="101" spans="1:14" x14ac:dyDescent="0.25">
      <c r="A101" t="s">
        <v>365</v>
      </c>
      <c r="B101" t="s">
        <v>88</v>
      </c>
      <c r="C101" s="2" t="s">
        <v>275</v>
      </c>
      <c r="D101" s="24">
        <v>0</v>
      </c>
      <c r="E101" s="24">
        <v>0.03</v>
      </c>
      <c r="F101" s="24">
        <v>0.05</v>
      </c>
      <c r="G101" s="24">
        <v>7.0000000000000007E-2</v>
      </c>
      <c r="H101" s="24">
        <v>0.12</v>
      </c>
      <c r="J101" s="24"/>
      <c r="K101" s="24"/>
      <c r="L101" s="24"/>
      <c r="M101" s="24"/>
      <c r="N101" s="24"/>
    </row>
    <row r="102" spans="1:14" x14ac:dyDescent="0.25">
      <c r="A102" t="s">
        <v>366</v>
      </c>
      <c r="B102" t="s">
        <v>87</v>
      </c>
      <c r="C102" s="2" t="s">
        <v>218</v>
      </c>
      <c r="D102" s="24">
        <v>0</v>
      </c>
      <c r="E102" s="24">
        <v>0.06</v>
      </c>
      <c r="F102" s="24">
        <v>0.09</v>
      </c>
      <c r="G102" s="24">
        <v>0.1</v>
      </c>
      <c r="H102" s="24">
        <v>0.16</v>
      </c>
      <c r="J102" s="24"/>
      <c r="K102" s="24"/>
      <c r="L102" s="24"/>
      <c r="M102" s="24"/>
      <c r="N102" s="24"/>
    </row>
    <row r="103" spans="1:14" x14ac:dyDescent="0.25">
      <c r="A103" t="s">
        <v>367</v>
      </c>
      <c r="B103" t="s">
        <v>87</v>
      </c>
      <c r="C103" s="2" t="s">
        <v>219</v>
      </c>
      <c r="D103" s="24">
        <v>0.01</v>
      </c>
      <c r="E103" s="24">
        <v>0.06</v>
      </c>
      <c r="F103" s="24">
        <v>0.08</v>
      </c>
      <c r="G103" s="24">
        <v>0.1</v>
      </c>
      <c r="H103" s="24">
        <v>0.16</v>
      </c>
      <c r="J103" s="24"/>
      <c r="K103" s="24"/>
      <c r="L103" s="24"/>
      <c r="M103" s="24"/>
      <c r="N103" s="24"/>
    </row>
    <row r="104" spans="1:14" x14ac:dyDescent="0.25">
      <c r="A104" t="s">
        <v>368</v>
      </c>
      <c r="B104" t="s">
        <v>87</v>
      </c>
      <c r="C104" s="2" t="s">
        <v>220</v>
      </c>
      <c r="D104" s="24">
        <v>0.01</v>
      </c>
      <c r="E104" s="24">
        <v>0.05</v>
      </c>
      <c r="F104" s="24">
        <v>0.08</v>
      </c>
      <c r="G104" s="24">
        <v>0.1</v>
      </c>
      <c r="H104" s="24">
        <v>0.14000000000000001</v>
      </c>
      <c r="J104" s="24"/>
      <c r="K104" s="24"/>
      <c r="L104" s="24"/>
      <c r="M104" s="24"/>
      <c r="N104" s="24"/>
    </row>
    <row r="105" spans="1:14" x14ac:dyDescent="0.25">
      <c r="A105" t="s">
        <v>369</v>
      </c>
      <c r="B105" t="s">
        <v>87</v>
      </c>
      <c r="C105" s="2" t="s">
        <v>274</v>
      </c>
      <c r="D105" s="24">
        <v>0.01</v>
      </c>
      <c r="E105" s="24">
        <v>0.05</v>
      </c>
      <c r="F105" s="24">
        <v>7.0000000000000007E-2</v>
      </c>
      <c r="G105" s="24">
        <v>0.1</v>
      </c>
      <c r="H105" s="24">
        <v>0.15</v>
      </c>
      <c r="J105" s="24"/>
      <c r="K105" s="24"/>
      <c r="L105" s="24"/>
      <c r="M105" s="24"/>
      <c r="N105" s="24"/>
    </row>
    <row r="106" spans="1:14" x14ac:dyDescent="0.25">
      <c r="A106" t="s">
        <v>370</v>
      </c>
      <c r="B106" t="s">
        <v>87</v>
      </c>
      <c r="C106" s="2" t="s">
        <v>275</v>
      </c>
      <c r="D106" s="24">
        <v>0.01</v>
      </c>
      <c r="E106" s="24">
        <v>0.03</v>
      </c>
      <c r="F106" s="24">
        <v>7.0000000000000007E-2</v>
      </c>
      <c r="G106" s="24">
        <v>0.09</v>
      </c>
      <c r="H106" s="24">
        <v>0.17</v>
      </c>
      <c r="J106" s="24"/>
      <c r="K106" s="24"/>
      <c r="L106" s="24"/>
      <c r="M106" s="24"/>
      <c r="N106" s="24"/>
    </row>
    <row r="107" spans="1:14" x14ac:dyDescent="0.25">
      <c r="A107" t="s">
        <v>371</v>
      </c>
      <c r="B107" t="s">
        <v>262</v>
      </c>
      <c r="C107" s="2" t="s">
        <v>218</v>
      </c>
      <c r="D107" s="24"/>
      <c r="E107" s="24"/>
      <c r="F107" s="24"/>
      <c r="G107" s="24"/>
      <c r="H107" s="24"/>
    </row>
    <row r="108" spans="1:14" x14ac:dyDescent="0.25">
      <c r="A108" t="s">
        <v>372</v>
      </c>
      <c r="B108" t="s">
        <v>262</v>
      </c>
      <c r="C108" s="2" t="s">
        <v>219</v>
      </c>
      <c r="D108" s="24"/>
      <c r="E108" s="24"/>
      <c r="F108" s="24"/>
      <c r="G108" s="24"/>
      <c r="H108" s="24"/>
    </row>
    <row r="109" spans="1:14" x14ac:dyDescent="0.25">
      <c r="A109" t="s">
        <v>373</v>
      </c>
      <c r="B109" t="s">
        <v>262</v>
      </c>
      <c r="C109" s="2" t="s">
        <v>220</v>
      </c>
      <c r="D109" s="24"/>
      <c r="E109" s="24"/>
      <c r="F109" s="24"/>
      <c r="G109" s="24"/>
      <c r="H109" s="24"/>
    </row>
    <row r="110" spans="1:14" x14ac:dyDescent="0.25">
      <c r="A110" t="s">
        <v>374</v>
      </c>
      <c r="B110" t="s">
        <v>262</v>
      </c>
      <c r="C110" s="2" t="s">
        <v>274</v>
      </c>
      <c r="D110" s="24"/>
      <c r="E110" s="24"/>
      <c r="F110" s="24"/>
      <c r="G110" s="24"/>
      <c r="H110" s="24"/>
    </row>
    <row r="111" spans="1:14" x14ac:dyDescent="0.25">
      <c r="A111" t="s">
        <v>375</v>
      </c>
      <c r="B111" t="s">
        <v>262</v>
      </c>
      <c r="C111" s="2" t="s">
        <v>275</v>
      </c>
      <c r="D111" s="24"/>
      <c r="E111" s="24"/>
      <c r="F111" s="24"/>
      <c r="G111" s="24"/>
      <c r="H111" s="24"/>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E4" sqref="E4"/>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251</v>
      </c>
      <c r="B1" t="s">
        <v>261</v>
      </c>
      <c r="C1" s="2" t="s">
        <v>1010</v>
      </c>
      <c r="D1" s="2" t="s">
        <v>222</v>
      </c>
      <c r="E1" s="2"/>
      <c r="F1" s="2" t="s">
        <v>221</v>
      </c>
    </row>
    <row r="2" spans="1:14" x14ac:dyDescent="0.25">
      <c r="A2" t="s">
        <v>276</v>
      </c>
      <c r="B2" t="s">
        <v>99</v>
      </c>
      <c r="C2" s="2" t="s">
        <v>218</v>
      </c>
      <c r="D2" s="24">
        <v>0</v>
      </c>
      <c r="E2" s="24">
        <v>0.1</v>
      </c>
      <c r="F2" s="24">
        <v>0.14000000000000001</v>
      </c>
      <c r="G2" s="24"/>
      <c r="H2" s="24"/>
      <c r="I2" s="24"/>
      <c r="J2" s="24"/>
      <c r="L2" s="24"/>
      <c r="M2" s="24"/>
      <c r="N2" s="24"/>
    </row>
    <row r="3" spans="1:14" x14ac:dyDescent="0.25">
      <c r="A3" t="s">
        <v>277</v>
      </c>
      <c r="B3" t="s">
        <v>99</v>
      </c>
      <c r="C3" s="2" t="s">
        <v>219</v>
      </c>
      <c r="D3" s="24">
        <v>0</v>
      </c>
      <c r="E3" s="24">
        <v>0.08</v>
      </c>
      <c r="F3" s="24">
        <v>0.13</v>
      </c>
      <c r="G3" s="24"/>
      <c r="H3" s="24"/>
      <c r="I3" s="24"/>
      <c r="J3" s="24"/>
      <c r="L3" s="24"/>
      <c r="M3" s="24"/>
      <c r="N3" s="24"/>
    </row>
    <row r="4" spans="1:14" x14ac:dyDescent="0.25">
      <c r="A4" t="s">
        <v>278</v>
      </c>
      <c r="B4" t="s">
        <v>99</v>
      </c>
      <c r="C4" s="2" t="s">
        <v>220</v>
      </c>
      <c r="D4" s="24">
        <v>0</v>
      </c>
      <c r="E4" s="24">
        <v>0.08</v>
      </c>
      <c r="F4" s="24">
        <v>0.11</v>
      </c>
      <c r="G4" s="24"/>
      <c r="H4" s="24"/>
      <c r="I4" s="24"/>
      <c r="J4" s="24"/>
      <c r="L4" s="24"/>
      <c r="M4" s="24"/>
      <c r="N4" s="24"/>
    </row>
    <row r="5" spans="1:14" x14ac:dyDescent="0.25">
      <c r="A5" t="s">
        <v>279</v>
      </c>
      <c r="B5" t="s">
        <v>99</v>
      </c>
      <c r="C5" s="2" t="s">
        <v>274</v>
      </c>
      <c r="D5" s="24">
        <v>0</v>
      </c>
      <c r="E5" s="24">
        <v>7.0000000000000007E-2</v>
      </c>
      <c r="F5" s="24">
        <v>0.1</v>
      </c>
      <c r="G5" s="24"/>
      <c r="H5" s="24"/>
      <c r="I5" s="24"/>
      <c r="J5" s="24"/>
      <c r="L5" s="24"/>
      <c r="M5" s="24"/>
      <c r="N5" s="24"/>
    </row>
    <row r="6" spans="1:14" x14ac:dyDescent="0.25">
      <c r="A6" t="s">
        <v>280</v>
      </c>
      <c r="B6" t="s">
        <v>99</v>
      </c>
      <c r="C6" s="2" t="s">
        <v>275</v>
      </c>
      <c r="D6" s="24">
        <v>0</v>
      </c>
      <c r="E6" s="24">
        <v>0.06</v>
      </c>
      <c r="F6" s="24">
        <v>0.09</v>
      </c>
      <c r="G6" s="24"/>
      <c r="H6" s="24"/>
      <c r="I6" s="24"/>
      <c r="J6" s="24"/>
      <c r="L6" s="24"/>
      <c r="M6" s="24"/>
      <c r="N6" s="24"/>
    </row>
    <row r="7" spans="1:14" x14ac:dyDescent="0.25">
      <c r="A7" t="s">
        <v>531</v>
      </c>
      <c r="B7" t="s">
        <v>529</v>
      </c>
      <c r="C7" s="2" t="s">
        <v>218</v>
      </c>
      <c r="D7" s="24">
        <v>0</v>
      </c>
      <c r="E7" s="24">
        <v>7.0000000000000007E-2</v>
      </c>
      <c r="F7" s="24">
        <v>0.1</v>
      </c>
      <c r="G7" s="24"/>
      <c r="H7" s="24"/>
      <c r="I7" s="24"/>
      <c r="J7" s="24"/>
      <c r="L7" s="24"/>
      <c r="M7" s="24"/>
      <c r="N7" s="24"/>
    </row>
    <row r="8" spans="1:14" x14ac:dyDescent="0.25">
      <c r="A8" t="s">
        <v>532</v>
      </c>
      <c r="B8" t="s">
        <v>529</v>
      </c>
      <c r="C8" s="2" t="s">
        <v>219</v>
      </c>
      <c r="D8" s="24">
        <v>0</v>
      </c>
      <c r="E8" s="24">
        <v>7.0000000000000007E-2</v>
      </c>
      <c r="F8" s="24">
        <v>0.09</v>
      </c>
      <c r="G8" s="24"/>
      <c r="H8" s="24"/>
      <c r="I8" s="24"/>
      <c r="J8" s="24"/>
      <c r="L8" s="24"/>
      <c r="M8" s="24"/>
      <c r="N8" s="24"/>
    </row>
    <row r="9" spans="1:14" x14ac:dyDescent="0.25">
      <c r="A9" t="s">
        <v>533</v>
      </c>
      <c r="B9" t="s">
        <v>529</v>
      </c>
      <c r="C9" s="2" t="s">
        <v>220</v>
      </c>
      <c r="D9" s="24">
        <v>0</v>
      </c>
      <c r="E9" s="24">
        <v>0.06</v>
      </c>
      <c r="F9" s="24">
        <v>0.08</v>
      </c>
      <c r="G9" s="24"/>
      <c r="H9" s="24"/>
      <c r="I9" s="24"/>
      <c r="J9" s="24"/>
      <c r="L9" s="24"/>
      <c r="M9" s="24"/>
      <c r="N9" s="24"/>
    </row>
    <row r="10" spans="1:14" x14ac:dyDescent="0.25">
      <c r="A10" t="s">
        <v>534</v>
      </c>
      <c r="B10" t="s">
        <v>529</v>
      </c>
      <c r="C10" s="2" t="s">
        <v>274</v>
      </c>
      <c r="D10" s="24">
        <v>0</v>
      </c>
      <c r="E10" s="24">
        <v>0.05</v>
      </c>
      <c r="F10" s="24">
        <v>7.0000000000000007E-2</v>
      </c>
      <c r="G10" s="24"/>
      <c r="H10" s="24"/>
      <c r="I10" s="24"/>
      <c r="J10" s="24"/>
      <c r="L10" s="24"/>
      <c r="M10" s="24"/>
      <c r="N10" s="24"/>
    </row>
    <row r="11" spans="1:14" x14ac:dyDescent="0.25">
      <c r="A11" t="s">
        <v>535</v>
      </c>
      <c r="B11" t="s">
        <v>529</v>
      </c>
      <c r="C11" s="2" t="s">
        <v>275</v>
      </c>
      <c r="D11" s="24">
        <v>0</v>
      </c>
      <c r="E11" s="24">
        <v>0.04</v>
      </c>
      <c r="F11" s="24">
        <v>0.06</v>
      </c>
      <c r="G11" s="24"/>
      <c r="H11" s="24"/>
      <c r="I11" s="24"/>
      <c r="J11" s="24"/>
      <c r="L11" s="24"/>
      <c r="M11" s="24"/>
      <c r="N11" s="24"/>
    </row>
    <row r="12" spans="1:14" x14ac:dyDescent="0.25">
      <c r="A12" t="s">
        <v>536</v>
      </c>
      <c r="B12" t="s">
        <v>530</v>
      </c>
      <c r="C12" s="2" t="s">
        <v>218</v>
      </c>
      <c r="D12" s="24">
        <v>0</v>
      </c>
      <c r="E12" s="24">
        <v>7.0000000000000007E-2</v>
      </c>
      <c r="F12" s="24">
        <v>0.09</v>
      </c>
      <c r="G12" s="24"/>
      <c r="H12" s="24"/>
      <c r="I12" s="24"/>
      <c r="J12" s="24"/>
      <c r="L12" s="24"/>
      <c r="M12" s="24"/>
      <c r="N12" s="24"/>
    </row>
    <row r="13" spans="1:14" x14ac:dyDescent="0.25">
      <c r="A13" t="s">
        <v>537</v>
      </c>
      <c r="B13" t="s">
        <v>530</v>
      </c>
      <c r="C13" s="2" t="s">
        <v>219</v>
      </c>
      <c r="D13" s="24">
        <v>0</v>
      </c>
      <c r="E13" s="24">
        <v>7.0000000000000007E-2</v>
      </c>
      <c r="F13" s="24">
        <v>0.08</v>
      </c>
      <c r="G13" s="24"/>
      <c r="H13" s="24"/>
      <c r="I13" s="24"/>
      <c r="J13" s="24"/>
      <c r="L13" s="24"/>
      <c r="M13" s="24"/>
      <c r="N13" s="24"/>
    </row>
    <row r="14" spans="1:14" x14ac:dyDescent="0.25">
      <c r="A14" t="s">
        <v>538</v>
      </c>
      <c r="B14" t="s">
        <v>530</v>
      </c>
      <c r="C14" s="2" t="s">
        <v>220</v>
      </c>
      <c r="D14" s="24">
        <v>0</v>
      </c>
      <c r="E14" s="24">
        <v>0.06</v>
      </c>
      <c r="F14" s="24">
        <v>7.0000000000000007E-2</v>
      </c>
      <c r="G14" s="24"/>
      <c r="H14" s="24"/>
      <c r="I14" s="24"/>
      <c r="J14" s="24"/>
      <c r="L14" s="24"/>
      <c r="M14" s="24"/>
      <c r="N14" s="24"/>
    </row>
    <row r="15" spans="1:14" x14ac:dyDescent="0.25">
      <c r="A15" t="s">
        <v>539</v>
      </c>
      <c r="B15" t="s">
        <v>530</v>
      </c>
      <c r="C15" s="2" t="s">
        <v>274</v>
      </c>
      <c r="D15" s="24">
        <v>0</v>
      </c>
      <c r="E15" s="24">
        <v>0.05</v>
      </c>
      <c r="F15" s="24">
        <v>0.06</v>
      </c>
      <c r="G15" s="24"/>
      <c r="H15" s="24"/>
      <c r="I15" s="24"/>
      <c r="J15" s="24"/>
      <c r="L15" s="24"/>
      <c r="M15" s="24"/>
      <c r="N15" s="24"/>
    </row>
    <row r="16" spans="1:14" x14ac:dyDescent="0.25">
      <c r="A16" t="s">
        <v>540</v>
      </c>
      <c r="B16" t="s">
        <v>530</v>
      </c>
      <c r="C16" s="2" t="s">
        <v>275</v>
      </c>
      <c r="D16" s="24">
        <v>0</v>
      </c>
      <c r="E16" s="24">
        <v>0.05</v>
      </c>
      <c r="F16" s="24">
        <v>0.05</v>
      </c>
      <c r="G16" s="24"/>
      <c r="H16" s="24"/>
      <c r="I16" s="24"/>
      <c r="J16" s="24"/>
      <c r="L16" s="24"/>
      <c r="M16" s="24"/>
      <c r="N16" s="24"/>
    </row>
    <row r="17" spans="1:14" x14ac:dyDescent="0.25">
      <c r="A17" t="s">
        <v>281</v>
      </c>
      <c r="B17" t="s">
        <v>102</v>
      </c>
      <c r="C17" s="2" t="s">
        <v>218</v>
      </c>
      <c r="D17" s="24">
        <v>0</v>
      </c>
      <c r="E17" s="24">
        <v>0.13</v>
      </c>
      <c r="F17" s="24">
        <v>0.18</v>
      </c>
      <c r="G17" s="24"/>
      <c r="H17" s="24"/>
      <c r="I17" s="24"/>
      <c r="J17" s="24"/>
      <c r="L17" s="24"/>
      <c r="M17" s="24"/>
      <c r="N17" s="24"/>
    </row>
    <row r="18" spans="1:14" x14ac:dyDescent="0.25">
      <c r="A18" t="s">
        <v>282</v>
      </c>
      <c r="B18" t="s">
        <v>102</v>
      </c>
      <c r="C18" s="2" t="s">
        <v>219</v>
      </c>
      <c r="D18" s="24">
        <v>0</v>
      </c>
      <c r="E18" s="24">
        <v>0.12</v>
      </c>
      <c r="F18" s="24">
        <v>0.17</v>
      </c>
      <c r="G18" s="24"/>
      <c r="H18" s="24"/>
      <c r="I18" s="24"/>
      <c r="J18" s="24"/>
      <c r="L18" s="24"/>
      <c r="M18" s="24"/>
      <c r="N18" s="24"/>
    </row>
    <row r="19" spans="1:14" x14ac:dyDescent="0.25">
      <c r="A19" t="s">
        <v>283</v>
      </c>
      <c r="B19" t="s">
        <v>102</v>
      </c>
      <c r="C19" s="2" t="s">
        <v>220</v>
      </c>
      <c r="D19" s="24">
        <v>0</v>
      </c>
      <c r="E19" s="24">
        <v>0.09</v>
      </c>
      <c r="F19" s="24">
        <v>0.13</v>
      </c>
      <c r="G19" s="24"/>
      <c r="H19" s="24"/>
      <c r="I19" s="24"/>
      <c r="J19" s="24"/>
      <c r="L19" s="24"/>
      <c r="M19" s="24"/>
      <c r="N19" s="24"/>
    </row>
    <row r="20" spans="1:14" x14ac:dyDescent="0.25">
      <c r="A20" t="s">
        <v>284</v>
      </c>
      <c r="B20" t="s">
        <v>102</v>
      </c>
      <c r="C20" s="2" t="s">
        <v>274</v>
      </c>
      <c r="D20" s="24">
        <v>0</v>
      </c>
      <c r="E20" s="24">
        <v>7.0000000000000007E-2</v>
      </c>
      <c r="F20" s="24">
        <v>0.11</v>
      </c>
      <c r="G20" s="24"/>
      <c r="H20" s="24"/>
      <c r="I20" s="24"/>
      <c r="J20" s="24"/>
      <c r="L20" s="24"/>
      <c r="M20" s="24"/>
      <c r="N20" s="24"/>
    </row>
    <row r="21" spans="1:14" x14ac:dyDescent="0.25">
      <c r="A21" t="s">
        <v>285</v>
      </c>
      <c r="B21" t="s">
        <v>102</v>
      </c>
      <c r="C21" s="2" t="s">
        <v>275</v>
      </c>
      <c r="D21" s="24">
        <v>0</v>
      </c>
      <c r="E21" s="24">
        <v>0.06</v>
      </c>
      <c r="F21" s="24">
        <v>0.09</v>
      </c>
      <c r="G21" s="24"/>
      <c r="H21" s="24"/>
      <c r="I21" s="24"/>
      <c r="J21" s="24"/>
      <c r="L21" s="24"/>
      <c r="M21" s="24"/>
      <c r="N21" s="24"/>
    </row>
    <row r="22" spans="1:14" x14ac:dyDescent="0.25">
      <c r="A22" t="s">
        <v>286</v>
      </c>
      <c r="B22" t="s">
        <v>100</v>
      </c>
      <c r="C22" s="2" t="s">
        <v>218</v>
      </c>
      <c r="D22" s="24">
        <v>0</v>
      </c>
      <c r="E22" s="24">
        <v>0.13</v>
      </c>
      <c r="F22" s="24">
        <v>0.18</v>
      </c>
      <c r="G22" s="24"/>
      <c r="H22" s="24"/>
      <c r="I22" s="24"/>
      <c r="J22" s="24"/>
      <c r="L22" s="24"/>
      <c r="M22" s="24"/>
      <c r="N22" s="24"/>
    </row>
    <row r="23" spans="1:14" x14ac:dyDescent="0.25">
      <c r="A23" t="s">
        <v>287</v>
      </c>
      <c r="B23" t="s">
        <v>100</v>
      </c>
      <c r="C23" s="2" t="s">
        <v>219</v>
      </c>
      <c r="D23" s="24">
        <v>0</v>
      </c>
      <c r="E23" s="24">
        <v>0.12</v>
      </c>
      <c r="F23" s="24">
        <v>0.17</v>
      </c>
      <c r="G23" s="24"/>
      <c r="H23" s="24"/>
      <c r="I23" s="24"/>
      <c r="J23" s="24"/>
      <c r="L23" s="24"/>
      <c r="M23" s="24"/>
      <c r="N23" s="24"/>
    </row>
    <row r="24" spans="1:14" x14ac:dyDescent="0.25">
      <c r="A24" t="s">
        <v>288</v>
      </c>
      <c r="B24" t="s">
        <v>100</v>
      </c>
      <c r="C24" s="2" t="s">
        <v>220</v>
      </c>
      <c r="D24" s="24">
        <v>0</v>
      </c>
      <c r="E24" s="24">
        <v>0.1</v>
      </c>
      <c r="F24" s="24">
        <v>0.16</v>
      </c>
      <c r="G24" s="24"/>
      <c r="H24" s="24"/>
      <c r="I24" s="24"/>
      <c r="J24" s="24"/>
      <c r="L24" s="24"/>
      <c r="M24" s="24"/>
      <c r="N24" s="24"/>
    </row>
    <row r="25" spans="1:14" x14ac:dyDescent="0.25">
      <c r="A25" t="s">
        <v>289</v>
      </c>
      <c r="B25" t="s">
        <v>100</v>
      </c>
      <c r="C25" s="2" t="s">
        <v>274</v>
      </c>
      <c r="D25" s="24">
        <v>0</v>
      </c>
      <c r="E25" s="24">
        <v>7.0000000000000007E-2</v>
      </c>
      <c r="F25" s="24">
        <v>0.11</v>
      </c>
      <c r="G25" s="24"/>
      <c r="H25" s="24"/>
      <c r="I25" s="24"/>
      <c r="J25" s="24"/>
      <c r="L25" s="24"/>
      <c r="M25" s="24"/>
      <c r="N25" s="24"/>
    </row>
    <row r="26" spans="1:14" x14ac:dyDescent="0.25">
      <c r="A26" t="s">
        <v>290</v>
      </c>
      <c r="B26" t="s">
        <v>100</v>
      </c>
      <c r="C26" s="2" t="s">
        <v>275</v>
      </c>
      <c r="D26" s="24">
        <v>0</v>
      </c>
      <c r="E26" s="24">
        <v>0.06</v>
      </c>
      <c r="F26" s="24">
        <v>0.08</v>
      </c>
      <c r="G26" s="24"/>
      <c r="H26" s="24"/>
      <c r="I26" s="24"/>
      <c r="J26" s="24"/>
      <c r="L26" s="24"/>
      <c r="M26" s="24"/>
      <c r="N26" s="24"/>
    </row>
    <row r="27" spans="1:14" x14ac:dyDescent="0.25">
      <c r="A27" t="s">
        <v>291</v>
      </c>
      <c r="B27" t="s">
        <v>104</v>
      </c>
      <c r="C27" s="2" t="s">
        <v>218</v>
      </c>
      <c r="D27" s="24">
        <v>0</v>
      </c>
      <c r="E27" s="24">
        <v>0.15</v>
      </c>
      <c r="F27" s="24">
        <v>0.18</v>
      </c>
      <c r="G27" s="24"/>
      <c r="H27" s="24"/>
      <c r="I27" s="24"/>
      <c r="J27" s="24"/>
      <c r="L27" s="24"/>
      <c r="M27" s="24"/>
      <c r="N27" s="24"/>
    </row>
    <row r="28" spans="1:14" x14ac:dyDescent="0.25">
      <c r="A28" t="s">
        <v>292</v>
      </c>
      <c r="B28" t="s">
        <v>104</v>
      </c>
      <c r="C28" s="2" t="s">
        <v>219</v>
      </c>
      <c r="D28" s="24">
        <v>0</v>
      </c>
      <c r="E28" s="24">
        <v>0.13</v>
      </c>
      <c r="F28" s="24">
        <v>0.18</v>
      </c>
      <c r="G28" s="24"/>
      <c r="H28" s="24"/>
      <c r="I28" s="24"/>
      <c r="J28" s="24"/>
      <c r="L28" s="24"/>
      <c r="M28" s="24"/>
      <c r="N28" s="24"/>
    </row>
    <row r="29" spans="1:14" x14ac:dyDescent="0.25">
      <c r="A29" t="s">
        <v>293</v>
      </c>
      <c r="B29" t="s">
        <v>104</v>
      </c>
      <c r="C29" s="2" t="s">
        <v>220</v>
      </c>
      <c r="D29" s="24">
        <v>0</v>
      </c>
      <c r="E29" s="24">
        <v>0.12</v>
      </c>
      <c r="F29" s="24">
        <v>0.16</v>
      </c>
      <c r="G29" s="24"/>
      <c r="H29" s="24"/>
      <c r="I29" s="24"/>
      <c r="J29" s="24"/>
      <c r="L29" s="24"/>
      <c r="M29" s="24"/>
      <c r="N29" s="24"/>
    </row>
    <row r="30" spans="1:14" x14ac:dyDescent="0.25">
      <c r="A30" t="s">
        <v>294</v>
      </c>
      <c r="B30" t="s">
        <v>104</v>
      </c>
      <c r="C30" s="2" t="s">
        <v>274</v>
      </c>
      <c r="D30" s="24">
        <v>0</v>
      </c>
      <c r="E30" s="24">
        <v>0.12</v>
      </c>
      <c r="F30" s="24">
        <v>0.15</v>
      </c>
      <c r="G30" s="24"/>
      <c r="H30" s="24"/>
      <c r="I30" s="24"/>
      <c r="J30" s="24"/>
      <c r="L30" s="24"/>
      <c r="M30" s="24"/>
      <c r="N30" s="24"/>
    </row>
    <row r="31" spans="1:14" x14ac:dyDescent="0.25">
      <c r="A31" t="s">
        <v>295</v>
      </c>
      <c r="B31" t="s">
        <v>104</v>
      </c>
      <c r="C31" s="2" t="s">
        <v>275</v>
      </c>
      <c r="D31" s="24">
        <v>0</v>
      </c>
      <c r="E31" s="24">
        <v>0.11</v>
      </c>
      <c r="F31" s="24">
        <v>0.12</v>
      </c>
      <c r="G31" s="24"/>
      <c r="H31" s="24"/>
      <c r="I31" s="24"/>
      <c r="J31" s="24"/>
      <c r="L31" s="24"/>
      <c r="M31" s="24"/>
      <c r="N31" s="24"/>
    </row>
    <row r="32" spans="1:14" x14ac:dyDescent="0.25">
      <c r="A32" t="s">
        <v>296</v>
      </c>
      <c r="B32" t="s">
        <v>98</v>
      </c>
      <c r="C32" s="2" t="s">
        <v>218</v>
      </c>
      <c r="D32" s="24">
        <v>0</v>
      </c>
      <c r="E32" s="24">
        <v>0.11</v>
      </c>
      <c r="F32" s="24">
        <v>0.17</v>
      </c>
      <c r="G32" s="24"/>
      <c r="H32" s="24"/>
      <c r="I32" s="24"/>
      <c r="J32" s="24"/>
      <c r="L32" s="24"/>
      <c r="M32" s="24"/>
      <c r="N32" s="24"/>
    </row>
    <row r="33" spans="1:14" x14ac:dyDescent="0.25">
      <c r="A33" t="s">
        <v>297</v>
      </c>
      <c r="B33" t="s">
        <v>98</v>
      </c>
      <c r="C33" s="2" t="s">
        <v>219</v>
      </c>
      <c r="D33" s="24">
        <v>0</v>
      </c>
      <c r="E33" s="24">
        <v>0.09</v>
      </c>
      <c r="F33" s="24">
        <v>0.14000000000000001</v>
      </c>
      <c r="G33" s="24"/>
      <c r="H33" s="24"/>
      <c r="I33" s="24"/>
      <c r="J33" s="24"/>
      <c r="L33" s="24"/>
      <c r="M33" s="24"/>
      <c r="N33" s="24"/>
    </row>
    <row r="34" spans="1:14" x14ac:dyDescent="0.25">
      <c r="A34" t="s">
        <v>298</v>
      </c>
      <c r="B34" t="s">
        <v>98</v>
      </c>
      <c r="C34" s="2" t="s">
        <v>220</v>
      </c>
      <c r="D34" s="24">
        <v>0</v>
      </c>
      <c r="E34" s="24">
        <v>0.09</v>
      </c>
      <c r="F34" s="24">
        <v>0.13</v>
      </c>
      <c r="G34" s="24"/>
      <c r="H34" s="24"/>
      <c r="I34" s="24"/>
      <c r="J34" s="24"/>
      <c r="L34" s="24"/>
      <c r="M34" s="24"/>
      <c r="N34" s="24"/>
    </row>
    <row r="35" spans="1:14" x14ac:dyDescent="0.25">
      <c r="A35" t="s">
        <v>299</v>
      </c>
      <c r="B35" t="s">
        <v>98</v>
      </c>
      <c r="C35" s="2" t="s">
        <v>274</v>
      </c>
      <c r="D35" s="24">
        <v>0</v>
      </c>
      <c r="E35" s="24">
        <v>0.08</v>
      </c>
      <c r="F35" s="24">
        <v>0.12</v>
      </c>
      <c r="G35" s="24"/>
      <c r="H35" s="24"/>
      <c r="I35" s="24"/>
      <c r="J35" s="24"/>
      <c r="L35" s="24"/>
      <c r="M35" s="24"/>
      <c r="N35" s="24"/>
    </row>
    <row r="36" spans="1:14" x14ac:dyDescent="0.25">
      <c r="A36" t="s">
        <v>300</v>
      </c>
      <c r="B36" t="s">
        <v>98</v>
      </c>
      <c r="C36" s="2" t="s">
        <v>275</v>
      </c>
      <c r="D36" s="24">
        <v>0</v>
      </c>
      <c r="E36" s="24">
        <v>0.08</v>
      </c>
      <c r="F36" s="24">
        <v>0.11</v>
      </c>
      <c r="G36" s="24"/>
      <c r="H36" s="24"/>
      <c r="I36" s="24"/>
      <c r="J36" s="24"/>
      <c r="L36" s="24"/>
      <c r="M36" s="24"/>
      <c r="N36" s="24"/>
    </row>
    <row r="37" spans="1:14" x14ac:dyDescent="0.25">
      <c r="A37" t="s">
        <v>301</v>
      </c>
      <c r="B37" t="s">
        <v>95</v>
      </c>
      <c r="C37" s="2" t="s">
        <v>218</v>
      </c>
      <c r="D37" s="24">
        <v>0</v>
      </c>
      <c r="E37" s="24">
        <v>7.0000000000000007E-2</v>
      </c>
      <c r="F37" s="24">
        <v>0.12</v>
      </c>
      <c r="G37" s="24"/>
      <c r="H37" s="24"/>
      <c r="I37" s="24"/>
      <c r="J37" s="24"/>
      <c r="L37" s="24"/>
      <c r="M37" s="24"/>
      <c r="N37" s="24"/>
    </row>
    <row r="38" spans="1:14" x14ac:dyDescent="0.25">
      <c r="A38" t="s">
        <v>302</v>
      </c>
      <c r="B38" t="s">
        <v>95</v>
      </c>
      <c r="C38" s="2" t="s">
        <v>219</v>
      </c>
      <c r="D38" s="24">
        <v>0</v>
      </c>
      <c r="E38" s="24">
        <v>0.06</v>
      </c>
      <c r="F38" s="24">
        <v>0.12</v>
      </c>
      <c r="G38" s="24"/>
      <c r="H38" s="24"/>
      <c r="I38" s="24"/>
      <c r="J38" s="24"/>
      <c r="L38" s="24"/>
      <c r="M38" s="24"/>
      <c r="N38" s="24"/>
    </row>
    <row r="39" spans="1:14" x14ac:dyDescent="0.25">
      <c r="A39" t="s">
        <v>303</v>
      </c>
      <c r="B39" t="s">
        <v>95</v>
      </c>
      <c r="C39" s="2" t="s">
        <v>220</v>
      </c>
      <c r="D39" s="24">
        <v>0</v>
      </c>
      <c r="E39" s="24">
        <v>0.06</v>
      </c>
      <c r="F39" s="24">
        <v>0.11</v>
      </c>
      <c r="G39" s="24"/>
      <c r="H39" s="24"/>
      <c r="I39" s="24"/>
      <c r="J39" s="24"/>
      <c r="L39" s="24"/>
      <c r="M39" s="24"/>
      <c r="N39" s="24"/>
    </row>
    <row r="40" spans="1:14" x14ac:dyDescent="0.25">
      <c r="A40" t="s">
        <v>304</v>
      </c>
      <c r="B40" t="s">
        <v>95</v>
      </c>
      <c r="C40" s="2" t="s">
        <v>274</v>
      </c>
      <c r="D40" s="24">
        <v>0</v>
      </c>
      <c r="E40" s="24">
        <v>0.06</v>
      </c>
      <c r="F40" s="24">
        <v>0.11</v>
      </c>
      <c r="G40" s="24"/>
      <c r="H40" s="24"/>
      <c r="I40" s="24"/>
      <c r="J40" s="24"/>
      <c r="L40" s="24"/>
      <c r="M40" s="24"/>
      <c r="N40" s="24"/>
    </row>
    <row r="41" spans="1:14" x14ac:dyDescent="0.25">
      <c r="A41" t="s">
        <v>305</v>
      </c>
      <c r="B41" t="s">
        <v>95</v>
      </c>
      <c r="C41" s="2" t="s">
        <v>275</v>
      </c>
      <c r="D41" s="24">
        <v>0</v>
      </c>
      <c r="E41" s="24">
        <v>0.06</v>
      </c>
      <c r="F41" s="24">
        <v>0.1</v>
      </c>
      <c r="G41" s="24"/>
      <c r="H41" s="24"/>
      <c r="I41" s="24"/>
      <c r="J41" s="24"/>
      <c r="L41" s="24"/>
      <c r="M41" s="24"/>
      <c r="N41" s="24"/>
    </row>
    <row r="42" spans="1:14" x14ac:dyDescent="0.25">
      <c r="A42" t="s">
        <v>306</v>
      </c>
      <c r="B42" t="s">
        <v>96</v>
      </c>
      <c r="C42" s="2" t="s">
        <v>218</v>
      </c>
      <c r="D42" s="24">
        <v>0</v>
      </c>
      <c r="E42" s="24">
        <v>0.13</v>
      </c>
      <c r="F42" s="24">
        <v>0.18</v>
      </c>
      <c r="G42" s="24"/>
      <c r="H42" s="24"/>
      <c r="I42" s="24"/>
      <c r="J42" s="24"/>
      <c r="L42" s="24"/>
      <c r="M42" s="24"/>
      <c r="N42" s="24"/>
    </row>
    <row r="43" spans="1:14" x14ac:dyDescent="0.25">
      <c r="A43" t="s">
        <v>307</v>
      </c>
      <c r="B43" t="s">
        <v>96</v>
      </c>
      <c r="C43" s="2" t="s">
        <v>219</v>
      </c>
      <c r="D43" s="24">
        <v>0</v>
      </c>
      <c r="E43" s="24">
        <v>0.12</v>
      </c>
      <c r="F43" s="24">
        <v>0.17</v>
      </c>
      <c r="G43" s="24"/>
      <c r="H43" s="24"/>
      <c r="I43" s="24"/>
      <c r="J43" s="24"/>
      <c r="L43" s="24"/>
      <c r="M43" s="24"/>
      <c r="N43" s="24"/>
    </row>
    <row r="44" spans="1:14" x14ac:dyDescent="0.25">
      <c r="A44" t="s">
        <v>308</v>
      </c>
      <c r="B44" t="s">
        <v>96</v>
      </c>
      <c r="C44" s="2" t="s">
        <v>220</v>
      </c>
      <c r="D44" s="24">
        <v>0</v>
      </c>
      <c r="E44" s="24">
        <v>0.12</v>
      </c>
      <c r="F44" s="24">
        <v>0.16</v>
      </c>
      <c r="G44" s="24"/>
      <c r="H44" s="24"/>
      <c r="I44" s="24"/>
      <c r="J44" s="24"/>
      <c r="L44" s="24"/>
      <c r="M44" s="24"/>
      <c r="N44" s="24"/>
    </row>
    <row r="45" spans="1:14" x14ac:dyDescent="0.25">
      <c r="A45" t="s">
        <v>309</v>
      </c>
      <c r="B45" t="s">
        <v>96</v>
      </c>
      <c r="C45" s="2" t="s">
        <v>274</v>
      </c>
      <c r="D45" s="24">
        <v>0</v>
      </c>
      <c r="E45" s="24">
        <v>0.11</v>
      </c>
      <c r="F45" s="24">
        <v>0.14000000000000001</v>
      </c>
      <c r="G45" s="24"/>
      <c r="H45" s="24"/>
      <c r="I45" s="24"/>
      <c r="J45" s="24"/>
      <c r="L45" s="24"/>
      <c r="M45" s="24"/>
      <c r="N45" s="24"/>
    </row>
    <row r="46" spans="1:14" x14ac:dyDescent="0.25">
      <c r="A46" t="s">
        <v>310</v>
      </c>
      <c r="B46" t="s">
        <v>96</v>
      </c>
      <c r="C46" s="2" t="s">
        <v>275</v>
      </c>
      <c r="D46" s="24">
        <v>0</v>
      </c>
      <c r="E46" s="24">
        <v>0.09</v>
      </c>
      <c r="F46" s="24">
        <v>0.13</v>
      </c>
      <c r="G46" s="24"/>
      <c r="H46" s="24"/>
      <c r="I46" s="24"/>
      <c r="J46" s="24"/>
      <c r="L46" s="24"/>
      <c r="M46" s="24"/>
      <c r="N46" s="24"/>
    </row>
    <row r="47" spans="1:14" x14ac:dyDescent="0.25">
      <c r="A47" t="s">
        <v>311</v>
      </c>
      <c r="B47" t="s">
        <v>101</v>
      </c>
      <c r="C47" s="2" t="s">
        <v>218</v>
      </c>
      <c r="D47" s="24">
        <v>0</v>
      </c>
      <c r="E47" s="24">
        <v>0.12</v>
      </c>
      <c r="F47" s="24">
        <v>0.18</v>
      </c>
      <c r="G47" s="24"/>
      <c r="H47" s="24"/>
      <c r="I47" s="24"/>
      <c r="J47" s="24"/>
      <c r="L47" s="24"/>
      <c r="M47" s="24"/>
      <c r="N47" s="24"/>
    </row>
    <row r="48" spans="1:14" x14ac:dyDescent="0.25">
      <c r="A48" t="s">
        <v>312</v>
      </c>
      <c r="B48" t="s">
        <v>101</v>
      </c>
      <c r="C48" s="2" t="s">
        <v>219</v>
      </c>
      <c r="D48" s="24">
        <v>0</v>
      </c>
      <c r="E48" s="24">
        <v>0.12</v>
      </c>
      <c r="F48" s="24">
        <v>0.17</v>
      </c>
      <c r="G48" s="24"/>
      <c r="H48" s="24"/>
      <c r="I48" s="24"/>
      <c r="J48" s="24"/>
      <c r="L48" s="24"/>
      <c r="M48" s="24"/>
      <c r="N48" s="24"/>
    </row>
    <row r="49" spans="1:14" x14ac:dyDescent="0.25">
      <c r="A49" t="s">
        <v>313</v>
      </c>
      <c r="B49" t="s">
        <v>101</v>
      </c>
      <c r="C49" s="2" t="s">
        <v>220</v>
      </c>
      <c r="D49" s="24">
        <v>0</v>
      </c>
      <c r="E49" s="24">
        <v>0.1</v>
      </c>
      <c r="F49" s="24">
        <v>0.15</v>
      </c>
      <c r="G49" s="24"/>
      <c r="H49" s="24"/>
      <c r="I49" s="24"/>
      <c r="J49" s="24"/>
      <c r="L49" s="24"/>
      <c r="M49" s="24"/>
      <c r="N49" s="24"/>
    </row>
    <row r="50" spans="1:14" x14ac:dyDescent="0.25">
      <c r="A50" t="s">
        <v>314</v>
      </c>
      <c r="B50" t="s">
        <v>101</v>
      </c>
      <c r="C50" s="2" t="s">
        <v>274</v>
      </c>
      <c r="D50" s="24">
        <v>0</v>
      </c>
      <c r="E50" s="24">
        <v>0.08</v>
      </c>
      <c r="F50" s="24">
        <v>0.12</v>
      </c>
      <c r="G50" s="24"/>
      <c r="H50" s="24"/>
      <c r="I50" s="24"/>
      <c r="J50" s="24"/>
      <c r="L50" s="24"/>
      <c r="M50" s="24"/>
      <c r="N50" s="24"/>
    </row>
    <row r="51" spans="1:14" x14ac:dyDescent="0.25">
      <c r="A51" t="s">
        <v>315</v>
      </c>
      <c r="B51" t="s">
        <v>101</v>
      </c>
      <c r="C51" s="2" t="s">
        <v>275</v>
      </c>
      <c r="D51" s="24">
        <v>0</v>
      </c>
      <c r="E51" s="24">
        <v>0.06</v>
      </c>
      <c r="F51" s="24">
        <v>0.09</v>
      </c>
      <c r="G51" s="24"/>
      <c r="H51" s="24"/>
      <c r="I51" s="24"/>
      <c r="J51" s="24"/>
      <c r="L51" s="24"/>
      <c r="M51" s="24"/>
      <c r="N51" s="24"/>
    </row>
    <row r="52" spans="1:14" x14ac:dyDescent="0.25">
      <c r="A52" t="s">
        <v>316</v>
      </c>
      <c r="B52" t="s">
        <v>97</v>
      </c>
      <c r="C52" s="2" t="s">
        <v>218</v>
      </c>
      <c r="D52" s="24">
        <v>0</v>
      </c>
      <c r="E52" s="24">
        <v>0.13</v>
      </c>
      <c r="F52" s="24">
        <v>0.17</v>
      </c>
      <c r="G52" s="24"/>
      <c r="H52" s="24"/>
      <c r="I52" s="24"/>
      <c r="J52" s="24"/>
      <c r="L52" s="24"/>
      <c r="M52" s="24"/>
      <c r="N52" s="24"/>
    </row>
    <row r="53" spans="1:14" x14ac:dyDescent="0.25">
      <c r="A53" t="s">
        <v>317</v>
      </c>
      <c r="B53" t="s">
        <v>97</v>
      </c>
      <c r="C53" s="2" t="s">
        <v>219</v>
      </c>
      <c r="D53" s="24">
        <v>0</v>
      </c>
      <c r="E53" s="24">
        <v>0.13</v>
      </c>
      <c r="F53" s="24">
        <v>0.17</v>
      </c>
      <c r="G53" s="24"/>
      <c r="H53" s="24"/>
      <c r="I53" s="24"/>
      <c r="J53" s="24"/>
      <c r="L53" s="24"/>
      <c r="M53" s="24"/>
      <c r="N53" s="24"/>
    </row>
    <row r="54" spans="1:14" x14ac:dyDescent="0.25">
      <c r="A54" t="s">
        <v>318</v>
      </c>
      <c r="B54" t="s">
        <v>97</v>
      </c>
      <c r="C54" s="2" t="s">
        <v>220</v>
      </c>
      <c r="D54" s="24">
        <v>0</v>
      </c>
      <c r="E54" s="24">
        <v>0.12</v>
      </c>
      <c r="F54" s="24">
        <v>0.16</v>
      </c>
      <c r="G54" s="24"/>
      <c r="H54" s="24"/>
      <c r="I54" s="24"/>
      <c r="J54" s="24"/>
      <c r="L54" s="24"/>
      <c r="M54" s="24"/>
      <c r="N54" s="24"/>
    </row>
    <row r="55" spans="1:14" x14ac:dyDescent="0.25">
      <c r="A55" t="s">
        <v>319</v>
      </c>
      <c r="B55" t="s">
        <v>97</v>
      </c>
      <c r="C55" s="2" t="s">
        <v>274</v>
      </c>
      <c r="D55" s="24">
        <v>0</v>
      </c>
      <c r="E55" s="24">
        <v>0.11</v>
      </c>
      <c r="F55" s="24">
        <v>0.15</v>
      </c>
      <c r="G55" s="24"/>
      <c r="H55" s="24"/>
      <c r="I55" s="24"/>
      <c r="J55" s="24"/>
      <c r="L55" s="24"/>
      <c r="M55" s="24"/>
      <c r="N55" s="24"/>
    </row>
    <row r="56" spans="1:14" x14ac:dyDescent="0.25">
      <c r="A56" t="s">
        <v>320</v>
      </c>
      <c r="B56" t="s">
        <v>97</v>
      </c>
      <c r="C56" s="2" t="s">
        <v>275</v>
      </c>
      <c r="D56" s="24">
        <v>0</v>
      </c>
      <c r="E56" s="24">
        <v>0.1</v>
      </c>
      <c r="F56" s="24">
        <v>0.13</v>
      </c>
      <c r="G56" s="24"/>
      <c r="H56" s="24"/>
      <c r="I56" s="24"/>
      <c r="J56" s="24"/>
      <c r="L56" s="24"/>
      <c r="M56" s="24"/>
      <c r="N56" s="24"/>
    </row>
    <row r="57" spans="1:14" x14ac:dyDescent="0.25">
      <c r="A57" t="s">
        <v>321</v>
      </c>
      <c r="B57" t="s">
        <v>93</v>
      </c>
      <c r="C57" s="2" t="s">
        <v>218</v>
      </c>
      <c r="D57" s="24">
        <v>0</v>
      </c>
      <c r="E57" s="24">
        <v>0.14000000000000001</v>
      </c>
      <c r="F57" s="24">
        <v>0.18</v>
      </c>
      <c r="G57" s="24"/>
      <c r="H57" s="24"/>
      <c r="I57" s="24"/>
      <c r="J57" s="24"/>
      <c r="L57" s="24"/>
      <c r="M57" s="24"/>
      <c r="N57" s="24"/>
    </row>
    <row r="58" spans="1:14" x14ac:dyDescent="0.25">
      <c r="A58" t="s">
        <v>322</v>
      </c>
      <c r="B58" t="s">
        <v>93</v>
      </c>
      <c r="C58" s="2" t="s">
        <v>219</v>
      </c>
      <c r="D58" s="24">
        <v>0</v>
      </c>
      <c r="E58" s="24">
        <v>0.13</v>
      </c>
      <c r="F58" s="24">
        <v>0.16</v>
      </c>
      <c r="G58" s="24"/>
      <c r="H58" s="24"/>
      <c r="I58" s="24"/>
      <c r="J58" s="24"/>
      <c r="L58" s="24"/>
      <c r="M58" s="24"/>
      <c r="N58" s="24"/>
    </row>
    <row r="59" spans="1:14" x14ac:dyDescent="0.25">
      <c r="A59" t="s">
        <v>323</v>
      </c>
      <c r="B59" t="s">
        <v>93</v>
      </c>
      <c r="C59" s="2" t="s">
        <v>220</v>
      </c>
      <c r="D59" s="24">
        <v>0</v>
      </c>
      <c r="E59" s="24">
        <v>0.12</v>
      </c>
      <c r="F59" s="24">
        <v>0.16</v>
      </c>
      <c r="G59" s="24"/>
      <c r="H59" s="24"/>
      <c r="I59" s="24"/>
      <c r="J59" s="24"/>
      <c r="L59" s="24"/>
      <c r="M59" s="24"/>
      <c r="N59" s="24"/>
    </row>
    <row r="60" spans="1:14" x14ac:dyDescent="0.25">
      <c r="A60" t="s">
        <v>324</v>
      </c>
      <c r="B60" t="s">
        <v>93</v>
      </c>
      <c r="C60" s="2" t="s">
        <v>274</v>
      </c>
      <c r="D60" s="24">
        <v>0</v>
      </c>
      <c r="E60" s="24">
        <v>0.11</v>
      </c>
      <c r="F60" s="24">
        <v>0.15</v>
      </c>
      <c r="G60" s="24"/>
      <c r="H60" s="24"/>
      <c r="I60" s="24"/>
      <c r="J60" s="24"/>
      <c r="L60" s="24"/>
      <c r="M60" s="24"/>
      <c r="N60" s="24"/>
    </row>
    <row r="61" spans="1:14" x14ac:dyDescent="0.25">
      <c r="A61" t="s">
        <v>325</v>
      </c>
      <c r="B61" t="s">
        <v>93</v>
      </c>
      <c r="C61" s="2" t="s">
        <v>275</v>
      </c>
      <c r="D61" s="24">
        <v>0</v>
      </c>
      <c r="E61" s="24">
        <v>0.09</v>
      </c>
      <c r="F61" s="24">
        <v>0.13</v>
      </c>
      <c r="G61" s="24"/>
      <c r="H61" s="24"/>
      <c r="I61" s="24"/>
      <c r="J61" s="24"/>
      <c r="L61" s="24"/>
      <c r="M61" s="24"/>
      <c r="N61" s="24"/>
    </row>
    <row r="62" spans="1:14" x14ac:dyDescent="0.25">
      <c r="A62" t="s">
        <v>326</v>
      </c>
      <c r="B62" t="s">
        <v>105</v>
      </c>
      <c r="C62" s="2" t="s">
        <v>218</v>
      </c>
      <c r="D62" s="24">
        <v>0</v>
      </c>
      <c r="E62" s="24">
        <v>0.13</v>
      </c>
      <c r="F62" s="24">
        <v>0.18</v>
      </c>
      <c r="G62" s="24"/>
      <c r="H62" s="24"/>
      <c r="I62" s="24"/>
      <c r="J62" s="24"/>
      <c r="L62" s="24"/>
      <c r="M62" s="24"/>
      <c r="N62" s="24"/>
    </row>
    <row r="63" spans="1:14" x14ac:dyDescent="0.25">
      <c r="A63" t="s">
        <v>327</v>
      </c>
      <c r="B63" t="s">
        <v>105</v>
      </c>
      <c r="C63" s="2" t="s">
        <v>219</v>
      </c>
      <c r="D63" s="24">
        <v>0</v>
      </c>
      <c r="E63" s="24">
        <v>0.12</v>
      </c>
      <c r="F63" s="24">
        <v>0.17</v>
      </c>
      <c r="G63" s="24"/>
      <c r="H63" s="24"/>
      <c r="I63" s="24"/>
      <c r="J63" s="24"/>
      <c r="L63" s="24"/>
      <c r="M63" s="24"/>
      <c r="N63" s="24"/>
    </row>
    <row r="64" spans="1:14" x14ac:dyDescent="0.25">
      <c r="A64" t="s">
        <v>328</v>
      </c>
      <c r="B64" t="s">
        <v>105</v>
      </c>
      <c r="C64" s="2" t="s">
        <v>220</v>
      </c>
      <c r="D64" s="24">
        <v>0</v>
      </c>
      <c r="E64" s="24">
        <v>0.11</v>
      </c>
      <c r="F64" s="24">
        <v>0.16</v>
      </c>
      <c r="G64" s="24"/>
      <c r="H64" s="24"/>
      <c r="I64" s="24"/>
      <c r="J64" s="24"/>
      <c r="L64" s="24"/>
      <c r="M64" s="24"/>
      <c r="N64" s="24"/>
    </row>
    <row r="65" spans="1:14" x14ac:dyDescent="0.25">
      <c r="A65" t="s">
        <v>329</v>
      </c>
      <c r="B65" t="s">
        <v>105</v>
      </c>
      <c r="C65" s="2" t="s">
        <v>274</v>
      </c>
      <c r="D65" s="24">
        <v>0</v>
      </c>
      <c r="E65" s="24">
        <v>0.1</v>
      </c>
      <c r="F65" s="24">
        <v>0.16</v>
      </c>
      <c r="G65" s="24"/>
      <c r="H65" s="24"/>
      <c r="I65" s="24"/>
      <c r="J65" s="24"/>
      <c r="L65" s="24"/>
      <c r="M65" s="24"/>
      <c r="N65" s="24"/>
    </row>
    <row r="66" spans="1:14" x14ac:dyDescent="0.25">
      <c r="A66" t="s">
        <v>330</v>
      </c>
      <c r="B66" t="s">
        <v>105</v>
      </c>
      <c r="C66" s="2" t="s">
        <v>275</v>
      </c>
      <c r="D66" s="24">
        <v>0</v>
      </c>
      <c r="E66" s="24">
        <v>0.09</v>
      </c>
      <c r="F66" s="24">
        <v>0.14000000000000001</v>
      </c>
      <c r="G66" s="24"/>
      <c r="H66" s="24"/>
      <c r="I66" s="24"/>
      <c r="J66" s="24"/>
      <c r="L66" s="24"/>
      <c r="M66" s="24"/>
      <c r="N66" s="24"/>
    </row>
    <row r="67" spans="1:14" x14ac:dyDescent="0.25">
      <c r="A67" t="s">
        <v>331</v>
      </c>
      <c r="B67" t="s">
        <v>92</v>
      </c>
      <c r="C67" s="2" t="s">
        <v>218</v>
      </c>
      <c r="D67" s="24">
        <v>0</v>
      </c>
      <c r="E67" s="24">
        <v>0.09</v>
      </c>
      <c r="F67" s="24">
        <v>0.13</v>
      </c>
      <c r="G67" s="24"/>
      <c r="H67" s="24"/>
      <c r="I67" s="24"/>
      <c r="J67" s="24"/>
      <c r="L67" s="24"/>
      <c r="M67" s="24"/>
      <c r="N67" s="24"/>
    </row>
    <row r="68" spans="1:14" x14ac:dyDescent="0.25">
      <c r="A68" t="s">
        <v>332</v>
      </c>
      <c r="B68" t="s">
        <v>92</v>
      </c>
      <c r="C68" s="2" t="s">
        <v>219</v>
      </c>
      <c r="D68" s="24">
        <v>0</v>
      </c>
      <c r="E68" s="24">
        <v>7.0000000000000007E-2</v>
      </c>
      <c r="F68" s="24">
        <v>0.12</v>
      </c>
      <c r="G68" s="24"/>
      <c r="H68" s="24"/>
      <c r="I68" s="24"/>
      <c r="J68" s="24"/>
      <c r="L68" s="24"/>
      <c r="M68" s="24"/>
      <c r="N68" s="24"/>
    </row>
    <row r="69" spans="1:14" x14ac:dyDescent="0.25">
      <c r="A69" t="s">
        <v>333</v>
      </c>
      <c r="B69" t="s">
        <v>92</v>
      </c>
      <c r="C69" s="2" t="s">
        <v>220</v>
      </c>
      <c r="D69" s="24">
        <v>0</v>
      </c>
      <c r="E69" s="24">
        <v>7.0000000000000007E-2</v>
      </c>
      <c r="F69" s="24">
        <v>0.11</v>
      </c>
      <c r="G69" s="24"/>
      <c r="H69" s="24"/>
      <c r="I69" s="24"/>
      <c r="J69" s="24"/>
      <c r="L69" s="24"/>
      <c r="M69" s="24"/>
      <c r="N69" s="24"/>
    </row>
    <row r="70" spans="1:14" x14ac:dyDescent="0.25">
      <c r="A70" t="s">
        <v>334</v>
      </c>
      <c r="B70" t="s">
        <v>92</v>
      </c>
      <c r="C70" s="2" t="s">
        <v>274</v>
      </c>
      <c r="D70" s="24">
        <v>0</v>
      </c>
      <c r="E70" s="24">
        <v>0.06</v>
      </c>
      <c r="F70" s="24">
        <v>0.11</v>
      </c>
      <c r="G70" s="24"/>
      <c r="H70" s="24"/>
      <c r="I70" s="24"/>
      <c r="J70" s="24"/>
      <c r="L70" s="24"/>
      <c r="M70" s="24"/>
      <c r="N70" s="24"/>
    </row>
    <row r="71" spans="1:14" x14ac:dyDescent="0.25">
      <c r="A71" t="s">
        <v>335</v>
      </c>
      <c r="B71" t="s">
        <v>92</v>
      </c>
      <c r="C71" s="2" t="s">
        <v>275</v>
      </c>
      <c r="D71" s="24">
        <v>0</v>
      </c>
      <c r="E71" s="24">
        <v>0.06</v>
      </c>
      <c r="F71" s="24">
        <v>0.1</v>
      </c>
      <c r="G71" s="24"/>
      <c r="H71" s="24"/>
      <c r="I71" s="24"/>
      <c r="J71" s="24"/>
      <c r="L71" s="24"/>
      <c r="M71" s="24"/>
      <c r="N71" s="24"/>
    </row>
    <row r="72" spans="1:14" x14ac:dyDescent="0.25">
      <c r="A72" t="s">
        <v>336</v>
      </c>
      <c r="B72" t="s">
        <v>91</v>
      </c>
      <c r="C72" s="2" t="s">
        <v>218</v>
      </c>
      <c r="D72" s="24">
        <v>0</v>
      </c>
      <c r="E72" s="24">
        <v>0.11</v>
      </c>
      <c r="F72" s="24">
        <v>0.16</v>
      </c>
      <c r="G72" s="24"/>
      <c r="H72" s="24"/>
      <c r="I72" s="24"/>
      <c r="J72" s="24"/>
      <c r="L72" s="24"/>
      <c r="M72" s="24"/>
      <c r="N72" s="24"/>
    </row>
    <row r="73" spans="1:14" x14ac:dyDescent="0.25">
      <c r="A73" t="s">
        <v>337</v>
      </c>
      <c r="B73" t="s">
        <v>91</v>
      </c>
      <c r="C73" s="2" t="s">
        <v>219</v>
      </c>
      <c r="D73" s="24">
        <v>0</v>
      </c>
      <c r="E73" s="24">
        <v>0.1</v>
      </c>
      <c r="F73" s="24">
        <v>0.15</v>
      </c>
      <c r="G73" s="24"/>
      <c r="H73" s="24"/>
      <c r="I73" s="24"/>
      <c r="J73" s="24"/>
      <c r="L73" s="24"/>
      <c r="M73" s="24"/>
      <c r="N73" s="24"/>
    </row>
    <row r="74" spans="1:14" x14ac:dyDescent="0.25">
      <c r="A74" t="s">
        <v>338</v>
      </c>
      <c r="B74" t="s">
        <v>91</v>
      </c>
      <c r="C74" s="2" t="s">
        <v>220</v>
      </c>
      <c r="D74" s="24">
        <v>0</v>
      </c>
      <c r="E74" s="24">
        <v>0.09</v>
      </c>
      <c r="F74" s="24">
        <v>0.14000000000000001</v>
      </c>
      <c r="G74" s="24"/>
      <c r="H74" s="24"/>
      <c r="I74" s="24"/>
      <c r="J74" s="24"/>
      <c r="L74" s="24"/>
      <c r="M74" s="24"/>
      <c r="N74" s="24"/>
    </row>
    <row r="75" spans="1:14" x14ac:dyDescent="0.25">
      <c r="A75" t="s">
        <v>339</v>
      </c>
      <c r="B75" t="s">
        <v>91</v>
      </c>
      <c r="C75" s="2" t="s">
        <v>274</v>
      </c>
      <c r="D75" s="24">
        <v>0</v>
      </c>
      <c r="E75" s="24">
        <v>0.09</v>
      </c>
      <c r="F75" s="24">
        <v>0.13</v>
      </c>
      <c r="G75" s="24"/>
      <c r="H75" s="24"/>
      <c r="I75" s="24"/>
      <c r="J75" s="24"/>
      <c r="L75" s="24"/>
      <c r="M75" s="24"/>
      <c r="N75" s="24"/>
    </row>
    <row r="76" spans="1:14" x14ac:dyDescent="0.25">
      <c r="A76" t="s">
        <v>340</v>
      </c>
      <c r="B76" t="s">
        <v>91</v>
      </c>
      <c r="C76" s="2" t="s">
        <v>275</v>
      </c>
      <c r="D76" s="24">
        <v>0</v>
      </c>
      <c r="E76" s="24">
        <v>7.0000000000000007E-2</v>
      </c>
      <c r="F76" s="24">
        <v>0.09</v>
      </c>
      <c r="G76" s="24"/>
      <c r="H76" s="24"/>
      <c r="I76" s="24"/>
      <c r="J76" s="24"/>
      <c r="L76" s="24"/>
      <c r="M76" s="24"/>
      <c r="N76" s="24"/>
    </row>
    <row r="77" spans="1:14" x14ac:dyDescent="0.25">
      <c r="A77" t="s">
        <v>341</v>
      </c>
      <c r="B77" t="s">
        <v>90</v>
      </c>
      <c r="C77" s="2" t="s">
        <v>218</v>
      </c>
      <c r="D77" s="24">
        <v>0</v>
      </c>
      <c r="E77" s="24">
        <v>0.08</v>
      </c>
      <c r="F77" s="24">
        <v>0.11</v>
      </c>
      <c r="G77" s="24"/>
      <c r="H77" s="24"/>
      <c r="I77" s="24"/>
      <c r="J77" s="24"/>
      <c r="L77" s="24"/>
      <c r="M77" s="24"/>
      <c r="N77" s="24"/>
    </row>
    <row r="78" spans="1:14" x14ac:dyDescent="0.25">
      <c r="A78" t="s">
        <v>342</v>
      </c>
      <c r="B78" t="s">
        <v>90</v>
      </c>
      <c r="C78" s="2" t="s">
        <v>219</v>
      </c>
      <c r="D78" s="24">
        <v>0</v>
      </c>
      <c r="E78" s="24">
        <v>7.0000000000000007E-2</v>
      </c>
      <c r="F78" s="24">
        <v>0.11</v>
      </c>
      <c r="G78" s="24"/>
      <c r="H78" s="24"/>
      <c r="I78" s="24"/>
      <c r="J78" s="24"/>
      <c r="L78" s="24"/>
      <c r="M78" s="24"/>
      <c r="N78" s="24"/>
    </row>
    <row r="79" spans="1:14" x14ac:dyDescent="0.25">
      <c r="A79" t="s">
        <v>343</v>
      </c>
      <c r="B79" t="s">
        <v>90</v>
      </c>
      <c r="C79" s="2" t="s">
        <v>220</v>
      </c>
      <c r="D79" s="24">
        <v>0</v>
      </c>
      <c r="E79" s="24">
        <v>7.0000000000000007E-2</v>
      </c>
      <c r="F79" s="24">
        <v>0.09</v>
      </c>
      <c r="G79" s="24"/>
      <c r="H79" s="24"/>
      <c r="I79" s="24"/>
      <c r="J79" s="24"/>
      <c r="L79" s="24"/>
      <c r="M79" s="24"/>
      <c r="N79" s="24"/>
    </row>
    <row r="80" spans="1:14" x14ac:dyDescent="0.25">
      <c r="A80" t="s">
        <v>344</v>
      </c>
      <c r="B80" t="s">
        <v>90</v>
      </c>
      <c r="C80" s="2" t="s">
        <v>274</v>
      </c>
      <c r="D80" s="24">
        <v>0</v>
      </c>
      <c r="E80" s="24">
        <v>0.06</v>
      </c>
      <c r="F80" s="24">
        <v>0.08</v>
      </c>
      <c r="G80" s="24"/>
      <c r="H80" s="24"/>
      <c r="I80" s="24"/>
      <c r="J80" s="24"/>
      <c r="L80" s="24"/>
      <c r="M80" s="24"/>
      <c r="N80" s="24"/>
    </row>
    <row r="81" spans="1:14" x14ac:dyDescent="0.25">
      <c r="A81" t="s">
        <v>345</v>
      </c>
      <c r="B81" t="s">
        <v>90</v>
      </c>
      <c r="C81" s="2" t="s">
        <v>275</v>
      </c>
      <c r="D81" s="24">
        <v>0</v>
      </c>
      <c r="E81" s="24">
        <v>0.04</v>
      </c>
      <c r="F81" s="24">
        <v>0.06</v>
      </c>
      <c r="G81" s="24"/>
      <c r="H81" s="24"/>
      <c r="I81" s="24"/>
      <c r="J81" s="24"/>
      <c r="L81" s="24"/>
      <c r="M81" s="24"/>
      <c r="N81" s="24"/>
    </row>
    <row r="82" spans="1:14" x14ac:dyDescent="0.25">
      <c r="A82" t="s">
        <v>346</v>
      </c>
      <c r="B82" t="s">
        <v>89</v>
      </c>
      <c r="C82" s="2" t="s">
        <v>218</v>
      </c>
      <c r="D82" s="24">
        <v>0</v>
      </c>
      <c r="E82" s="24">
        <v>0.12</v>
      </c>
      <c r="F82" s="24">
        <v>0.17</v>
      </c>
      <c r="G82" s="24"/>
      <c r="H82" s="24"/>
      <c r="I82" s="24"/>
      <c r="J82" s="24"/>
      <c r="L82" s="24"/>
      <c r="M82" s="24"/>
      <c r="N82" s="24"/>
    </row>
    <row r="83" spans="1:14" x14ac:dyDescent="0.25">
      <c r="A83" t="s">
        <v>347</v>
      </c>
      <c r="B83" t="s">
        <v>89</v>
      </c>
      <c r="C83" s="2" t="s">
        <v>219</v>
      </c>
      <c r="D83" s="24">
        <v>0</v>
      </c>
      <c r="E83" s="24">
        <v>0.12</v>
      </c>
      <c r="F83" s="24">
        <v>0.16</v>
      </c>
      <c r="G83" s="24"/>
      <c r="H83" s="24"/>
      <c r="I83" s="24"/>
      <c r="J83" s="24"/>
      <c r="L83" s="24"/>
      <c r="M83" s="24"/>
      <c r="N83" s="24"/>
    </row>
    <row r="84" spans="1:14" x14ac:dyDescent="0.25">
      <c r="A84" t="s">
        <v>348</v>
      </c>
      <c r="B84" t="s">
        <v>89</v>
      </c>
      <c r="C84" s="2" t="s">
        <v>220</v>
      </c>
      <c r="D84" s="24">
        <v>0</v>
      </c>
      <c r="E84" s="24">
        <v>0.11</v>
      </c>
      <c r="F84" s="24">
        <v>0.16</v>
      </c>
      <c r="G84" s="24"/>
      <c r="H84" s="24"/>
      <c r="I84" s="24"/>
      <c r="J84" s="24"/>
      <c r="L84" s="24"/>
      <c r="M84" s="24"/>
      <c r="N84" s="24"/>
    </row>
    <row r="85" spans="1:14" x14ac:dyDescent="0.25">
      <c r="A85" t="s">
        <v>349</v>
      </c>
      <c r="B85" t="s">
        <v>89</v>
      </c>
      <c r="C85" s="2" t="s">
        <v>274</v>
      </c>
      <c r="D85" s="24">
        <v>0</v>
      </c>
      <c r="E85" s="24">
        <v>0.11</v>
      </c>
      <c r="F85" s="24">
        <v>0.15</v>
      </c>
      <c r="G85" s="24"/>
      <c r="H85" s="24"/>
      <c r="I85" s="24"/>
      <c r="J85" s="24"/>
      <c r="L85" s="24"/>
      <c r="M85" s="24"/>
      <c r="N85" s="24"/>
    </row>
    <row r="86" spans="1:14" x14ac:dyDescent="0.25">
      <c r="A86" t="s">
        <v>350</v>
      </c>
      <c r="B86" t="s">
        <v>89</v>
      </c>
      <c r="C86" s="2" t="s">
        <v>275</v>
      </c>
      <c r="D86" s="24">
        <v>0</v>
      </c>
      <c r="E86" s="24">
        <v>0.1</v>
      </c>
      <c r="F86" s="24">
        <v>0.14000000000000001</v>
      </c>
      <c r="G86" s="24"/>
      <c r="H86" s="24"/>
      <c r="I86" s="24"/>
      <c r="J86" s="24"/>
      <c r="L86" s="24"/>
      <c r="M86" s="24"/>
      <c r="N86" s="24"/>
    </row>
    <row r="87" spans="1:14" x14ac:dyDescent="0.25">
      <c r="A87" t="s">
        <v>351</v>
      </c>
      <c r="B87" t="s">
        <v>94</v>
      </c>
      <c r="C87" s="2" t="s">
        <v>218</v>
      </c>
      <c r="D87" s="24">
        <v>0</v>
      </c>
      <c r="E87" s="24">
        <v>0.13</v>
      </c>
      <c r="F87" s="24">
        <v>0.16</v>
      </c>
      <c r="G87" s="24"/>
      <c r="H87" s="24"/>
      <c r="I87" s="24"/>
      <c r="J87" s="24"/>
      <c r="L87" s="24"/>
      <c r="M87" s="24"/>
      <c r="N87" s="24"/>
    </row>
    <row r="88" spans="1:14" x14ac:dyDescent="0.25">
      <c r="A88" t="s">
        <v>352</v>
      </c>
      <c r="B88" t="s">
        <v>94</v>
      </c>
      <c r="C88" s="2" t="s">
        <v>219</v>
      </c>
      <c r="D88" s="24">
        <v>0</v>
      </c>
      <c r="E88" s="24">
        <v>0.12</v>
      </c>
      <c r="F88" s="24">
        <v>0.15</v>
      </c>
      <c r="G88" s="24"/>
      <c r="H88" s="24"/>
      <c r="I88" s="24"/>
      <c r="J88" s="24"/>
      <c r="L88" s="24"/>
      <c r="M88" s="24"/>
      <c r="N88" s="24"/>
    </row>
    <row r="89" spans="1:14" x14ac:dyDescent="0.25">
      <c r="A89" t="s">
        <v>353</v>
      </c>
      <c r="B89" t="s">
        <v>94</v>
      </c>
      <c r="C89" s="2" t="s">
        <v>220</v>
      </c>
      <c r="D89" s="24">
        <v>0</v>
      </c>
      <c r="E89" s="24">
        <v>0.11</v>
      </c>
      <c r="F89" s="24">
        <v>0.13</v>
      </c>
      <c r="G89" s="24"/>
      <c r="H89" s="24"/>
      <c r="I89" s="24"/>
      <c r="J89" s="24"/>
      <c r="L89" s="24"/>
      <c r="M89" s="24"/>
      <c r="N89" s="24"/>
    </row>
    <row r="90" spans="1:14" x14ac:dyDescent="0.25">
      <c r="A90" t="s">
        <v>354</v>
      </c>
      <c r="B90" t="s">
        <v>94</v>
      </c>
      <c r="C90" s="2" t="s">
        <v>274</v>
      </c>
      <c r="D90" s="24">
        <v>0</v>
      </c>
      <c r="E90" s="24">
        <v>0.11</v>
      </c>
      <c r="F90" s="24">
        <v>0.13</v>
      </c>
      <c r="G90" s="24"/>
      <c r="H90" s="24"/>
      <c r="I90" s="24"/>
      <c r="J90" s="24"/>
      <c r="L90" s="24"/>
      <c r="M90" s="24"/>
      <c r="N90" s="24"/>
    </row>
    <row r="91" spans="1:14" x14ac:dyDescent="0.25">
      <c r="A91" t="s">
        <v>355</v>
      </c>
      <c r="B91" t="s">
        <v>94</v>
      </c>
      <c r="C91" s="2" t="s">
        <v>275</v>
      </c>
      <c r="D91" s="24">
        <v>0</v>
      </c>
      <c r="E91" s="24">
        <v>0.09</v>
      </c>
      <c r="F91" s="24">
        <v>0.12</v>
      </c>
      <c r="G91" s="24"/>
      <c r="H91" s="24"/>
      <c r="I91" s="24"/>
      <c r="J91" s="24"/>
      <c r="L91" s="24"/>
      <c r="M91" s="24"/>
      <c r="N91" s="24"/>
    </row>
    <row r="92" spans="1:14" x14ac:dyDescent="0.25">
      <c r="A92" t="s">
        <v>356</v>
      </c>
      <c r="B92" t="s">
        <v>86</v>
      </c>
      <c r="C92" s="2" t="s">
        <v>218</v>
      </c>
      <c r="D92" s="24">
        <v>0</v>
      </c>
      <c r="E92" s="24">
        <v>0.12</v>
      </c>
      <c r="F92" s="24">
        <v>0.17</v>
      </c>
      <c r="G92" s="24"/>
      <c r="H92" s="24"/>
      <c r="I92" s="24"/>
      <c r="J92" s="24"/>
      <c r="L92" s="24"/>
      <c r="M92" s="24"/>
      <c r="N92" s="24"/>
    </row>
    <row r="93" spans="1:14" x14ac:dyDescent="0.25">
      <c r="A93" t="s">
        <v>357</v>
      </c>
      <c r="B93" t="s">
        <v>86</v>
      </c>
      <c r="C93" s="2" t="s">
        <v>219</v>
      </c>
      <c r="D93" s="24">
        <v>0</v>
      </c>
      <c r="E93" s="24">
        <v>0.12</v>
      </c>
      <c r="F93" s="24">
        <v>0.16</v>
      </c>
      <c r="G93" s="24"/>
      <c r="H93" s="24"/>
      <c r="I93" s="24"/>
      <c r="J93" s="24"/>
      <c r="L93" s="24"/>
      <c r="M93" s="24"/>
      <c r="N93" s="24"/>
    </row>
    <row r="94" spans="1:14" x14ac:dyDescent="0.25">
      <c r="A94" t="s">
        <v>358</v>
      </c>
      <c r="B94" t="s">
        <v>86</v>
      </c>
      <c r="C94" s="2" t="s">
        <v>220</v>
      </c>
      <c r="D94" s="24">
        <v>0</v>
      </c>
      <c r="E94" s="24">
        <v>0.11</v>
      </c>
      <c r="F94" s="24">
        <v>0.16</v>
      </c>
      <c r="G94" s="24"/>
      <c r="H94" s="24"/>
      <c r="I94" s="24"/>
      <c r="J94" s="24"/>
      <c r="L94" s="24"/>
      <c r="M94" s="24"/>
      <c r="N94" s="24"/>
    </row>
    <row r="95" spans="1:14" x14ac:dyDescent="0.25">
      <c r="A95" t="s">
        <v>359</v>
      </c>
      <c r="B95" t="s">
        <v>86</v>
      </c>
      <c r="C95" s="2" t="s">
        <v>274</v>
      </c>
      <c r="D95" s="24">
        <v>0</v>
      </c>
      <c r="E95" s="24">
        <v>0.1</v>
      </c>
      <c r="F95" s="24">
        <v>0.15</v>
      </c>
      <c r="G95" s="24"/>
      <c r="H95" s="24"/>
      <c r="I95" s="24"/>
      <c r="J95" s="24"/>
      <c r="L95" s="24"/>
      <c r="M95" s="24"/>
      <c r="N95" s="24"/>
    </row>
    <row r="96" spans="1:14" x14ac:dyDescent="0.25">
      <c r="A96" t="s">
        <v>360</v>
      </c>
      <c r="B96" t="s">
        <v>86</v>
      </c>
      <c r="C96" s="2" t="s">
        <v>275</v>
      </c>
      <c r="D96" s="24">
        <v>0</v>
      </c>
      <c r="E96" s="24">
        <v>0.08</v>
      </c>
      <c r="F96" s="24">
        <v>0.13</v>
      </c>
      <c r="G96" s="24"/>
      <c r="H96" s="24"/>
      <c r="I96" s="24"/>
      <c r="J96" s="24"/>
      <c r="L96" s="24"/>
      <c r="M96" s="24"/>
      <c r="N96" s="24"/>
    </row>
    <row r="97" spans="1:14" x14ac:dyDescent="0.25">
      <c r="A97" t="s">
        <v>361</v>
      </c>
      <c r="B97" t="s">
        <v>88</v>
      </c>
      <c r="C97" s="2" t="s">
        <v>218</v>
      </c>
      <c r="D97" s="24">
        <v>0</v>
      </c>
      <c r="E97" s="24">
        <v>0.09</v>
      </c>
      <c r="F97" s="24">
        <v>0.13</v>
      </c>
      <c r="G97" s="24"/>
      <c r="H97" s="24"/>
      <c r="I97" s="24"/>
      <c r="J97" s="24"/>
      <c r="L97" s="24"/>
      <c r="M97" s="24"/>
      <c r="N97" s="24"/>
    </row>
    <row r="98" spans="1:14" x14ac:dyDescent="0.25">
      <c r="A98" t="s">
        <v>362</v>
      </c>
      <c r="B98" t="s">
        <v>88</v>
      </c>
      <c r="C98" s="2" t="s">
        <v>219</v>
      </c>
      <c r="D98" s="24">
        <v>0</v>
      </c>
      <c r="E98" s="24">
        <v>0.08</v>
      </c>
      <c r="F98" s="24">
        <v>0.11</v>
      </c>
      <c r="G98" s="24"/>
      <c r="H98" s="24"/>
      <c r="I98" s="24"/>
      <c r="J98" s="24"/>
      <c r="L98" s="24"/>
      <c r="M98" s="24"/>
      <c r="N98" s="24"/>
    </row>
    <row r="99" spans="1:14" x14ac:dyDescent="0.25">
      <c r="A99" t="s">
        <v>363</v>
      </c>
      <c r="B99" t="s">
        <v>88</v>
      </c>
      <c r="C99" s="2" t="s">
        <v>220</v>
      </c>
      <c r="D99" s="24">
        <v>0</v>
      </c>
      <c r="E99" s="24">
        <v>0.08</v>
      </c>
      <c r="F99" s="24">
        <v>0.11</v>
      </c>
      <c r="G99" s="24"/>
      <c r="H99" s="24"/>
      <c r="I99" s="24"/>
      <c r="J99" s="24"/>
      <c r="L99" s="24"/>
      <c r="M99" s="24"/>
      <c r="N99" s="24"/>
    </row>
    <row r="100" spans="1:14" x14ac:dyDescent="0.25">
      <c r="A100" t="s">
        <v>364</v>
      </c>
      <c r="B100" t="s">
        <v>88</v>
      </c>
      <c r="C100" s="2" t="s">
        <v>274</v>
      </c>
      <c r="D100" s="24">
        <v>0</v>
      </c>
      <c r="E100" s="24">
        <v>7.0000000000000007E-2</v>
      </c>
      <c r="F100" s="24">
        <v>0.09</v>
      </c>
      <c r="G100" s="24"/>
      <c r="H100" s="24"/>
      <c r="I100" s="24"/>
      <c r="J100" s="24"/>
      <c r="L100" s="24"/>
      <c r="M100" s="24"/>
      <c r="N100" s="24"/>
    </row>
    <row r="101" spans="1:14" x14ac:dyDescent="0.25">
      <c r="A101" t="s">
        <v>365</v>
      </c>
      <c r="B101" t="s">
        <v>88</v>
      </c>
      <c r="C101" s="2" t="s">
        <v>275</v>
      </c>
      <c r="D101" s="24">
        <v>0</v>
      </c>
      <c r="E101" s="24">
        <v>0.05</v>
      </c>
      <c r="F101" s="24">
        <v>7.0000000000000007E-2</v>
      </c>
      <c r="G101" s="24"/>
      <c r="H101" s="24"/>
      <c r="I101" s="24"/>
      <c r="J101" s="24"/>
      <c r="L101" s="24"/>
      <c r="M101" s="24"/>
      <c r="N101" s="24"/>
    </row>
    <row r="102" spans="1:14" x14ac:dyDescent="0.25">
      <c r="A102" t="s">
        <v>366</v>
      </c>
      <c r="B102" t="s">
        <v>87</v>
      </c>
      <c r="C102" s="2" t="s">
        <v>218</v>
      </c>
      <c r="D102" s="24">
        <v>0</v>
      </c>
      <c r="E102" s="24">
        <v>0.1</v>
      </c>
      <c r="F102" s="24">
        <v>0.11</v>
      </c>
      <c r="G102" s="24"/>
      <c r="H102" s="24"/>
      <c r="I102" s="24"/>
      <c r="J102" s="24"/>
      <c r="L102" s="24"/>
      <c r="M102" s="24"/>
      <c r="N102" s="24"/>
    </row>
    <row r="103" spans="1:14" x14ac:dyDescent="0.25">
      <c r="A103" t="s">
        <v>367</v>
      </c>
      <c r="B103" t="s">
        <v>87</v>
      </c>
      <c r="C103" s="2" t="s">
        <v>219</v>
      </c>
      <c r="D103" s="24">
        <v>0</v>
      </c>
      <c r="E103" s="24">
        <v>0.09</v>
      </c>
      <c r="F103" s="24">
        <v>0.11</v>
      </c>
      <c r="G103" s="24"/>
      <c r="H103" s="24"/>
      <c r="I103" s="24"/>
      <c r="J103" s="24"/>
      <c r="L103" s="24"/>
      <c r="M103" s="24"/>
      <c r="N103" s="24"/>
    </row>
    <row r="104" spans="1:14" x14ac:dyDescent="0.25">
      <c r="A104" t="s">
        <v>368</v>
      </c>
      <c r="B104" t="s">
        <v>87</v>
      </c>
      <c r="C104" s="2" t="s">
        <v>220</v>
      </c>
      <c r="D104" s="24">
        <v>0</v>
      </c>
      <c r="E104" s="24">
        <v>0.08</v>
      </c>
      <c r="F104" s="24">
        <v>0.1</v>
      </c>
      <c r="G104" s="24"/>
      <c r="H104" s="24"/>
      <c r="I104" s="24"/>
      <c r="J104" s="24"/>
      <c r="L104" s="24"/>
      <c r="M104" s="24"/>
      <c r="N104" s="24"/>
    </row>
    <row r="105" spans="1:14" x14ac:dyDescent="0.25">
      <c r="A105" t="s">
        <v>369</v>
      </c>
      <c r="B105" t="s">
        <v>87</v>
      </c>
      <c r="C105" s="2" t="s">
        <v>274</v>
      </c>
      <c r="D105" s="24">
        <v>0</v>
      </c>
      <c r="E105" s="24">
        <v>7.0000000000000007E-2</v>
      </c>
      <c r="F105" s="24">
        <v>0.09</v>
      </c>
      <c r="G105" s="24"/>
      <c r="H105" s="24"/>
      <c r="I105" s="24"/>
      <c r="J105" s="24"/>
      <c r="L105" s="24"/>
      <c r="M105" s="24"/>
      <c r="N105" s="24"/>
    </row>
    <row r="106" spans="1:14" x14ac:dyDescent="0.25">
      <c r="A106" t="s">
        <v>370</v>
      </c>
      <c r="B106" t="s">
        <v>87</v>
      </c>
      <c r="C106" s="2" t="s">
        <v>275</v>
      </c>
      <c r="D106" s="24">
        <v>0</v>
      </c>
      <c r="E106" s="24">
        <v>7.0000000000000007E-2</v>
      </c>
      <c r="F106" s="24">
        <v>0.08</v>
      </c>
      <c r="G106" s="24"/>
      <c r="H106" s="24"/>
      <c r="I106" s="24"/>
      <c r="J106" s="24"/>
      <c r="L106" s="24"/>
      <c r="M106" s="24"/>
      <c r="N106" s="24"/>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J1758"/>
  <sheetViews>
    <sheetView topLeftCell="M1" workbookViewId="0">
      <selection activeCell="AB3" sqref="AB3"/>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6.7109375" bestFit="1" customWidth="1"/>
    <col min="29" max="29" width="11.7109375" bestFit="1" customWidth="1"/>
    <col min="32" max="32" width="12.42578125" bestFit="1" customWidth="1"/>
    <col min="35" max="35" width="20.5703125" bestFit="1" customWidth="1"/>
  </cols>
  <sheetData>
    <row r="1" spans="1:36" x14ac:dyDescent="0.25">
      <c r="A1" t="s">
        <v>466</v>
      </c>
      <c r="B1" t="s">
        <v>123</v>
      </c>
      <c r="C1" t="s">
        <v>124</v>
      </c>
      <c r="D1" t="s">
        <v>471</v>
      </c>
      <c r="E1" s="3" t="s">
        <v>468</v>
      </c>
      <c r="F1" s="3" t="e">
        <f>IF(#REF!="NEW CUSTOMER","Select Drops/Wk","")</f>
        <v>#REF!</v>
      </c>
      <c r="G1" s="14" t="s">
        <v>208</v>
      </c>
      <c r="H1" s="14" t="str">
        <f>""</f>
        <v/>
      </c>
      <c r="I1" s="14" t="s">
        <v>208</v>
      </c>
      <c r="J1" s="14" t="str">
        <f>""</f>
        <v/>
      </c>
      <c r="K1" s="14" t="str">
        <f>""</f>
        <v/>
      </c>
      <c r="L1" t="s">
        <v>206</v>
      </c>
      <c r="M1" s="14" t="s">
        <v>217</v>
      </c>
      <c r="N1" s="14" t="s">
        <v>1011</v>
      </c>
      <c r="O1" s="14" t="s">
        <v>554</v>
      </c>
      <c r="P1" t="s">
        <v>247</v>
      </c>
      <c r="Q1" t="s">
        <v>239</v>
      </c>
      <c r="R1" t="s">
        <v>472</v>
      </c>
      <c r="S1" t="s">
        <v>257</v>
      </c>
      <c r="T1" t="s">
        <v>258</v>
      </c>
      <c r="U1" t="s">
        <v>259</v>
      </c>
      <c r="V1" t="s">
        <v>260</v>
      </c>
      <c r="W1" t="s">
        <v>258</v>
      </c>
      <c r="X1" t="s">
        <v>259</v>
      </c>
      <c r="Z1" t="s">
        <v>467</v>
      </c>
      <c r="AA1" t="s">
        <v>470</v>
      </c>
      <c r="AB1" t="s">
        <v>469</v>
      </c>
      <c r="AD1" t="s">
        <v>516</v>
      </c>
      <c r="AE1" t="s">
        <v>517</v>
      </c>
      <c r="AF1" t="s">
        <v>541</v>
      </c>
      <c r="AH1" s="2"/>
      <c r="AI1" t="s">
        <v>1094</v>
      </c>
      <c r="AJ1" t="s">
        <v>1193</v>
      </c>
    </row>
    <row r="2" spans="1:36" x14ac:dyDescent="0.25">
      <c r="A2" t="s">
        <v>445</v>
      </c>
      <c r="B2" t="s">
        <v>106</v>
      </c>
      <c r="C2" t="s">
        <v>1</v>
      </c>
      <c r="E2" t="s">
        <v>58</v>
      </c>
      <c r="F2" s="3">
        <v>1</v>
      </c>
      <c r="G2" s="14" t="s">
        <v>131</v>
      </c>
      <c r="H2" s="14" t="s">
        <v>226</v>
      </c>
      <c r="I2" s="14" t="s">
        <v>528</v>
      </c>
      <c r="J2" s="14">
        <v>0.01</v>
      </c>
      <c r="K2" s="14">
        <v>1.4999999999999999E-2</v>
      </c>
      <c r="L2" t="s">
        <v>211</v>
      </c>
      <c r="M2">
        <v>2</v>
      </c>
      <c r="N2" t="s">
        <v>1046</v>
      </c>
      <c r="O2" s="2" t="s">
        <v>556</v>
      </c>
      <c r="P2" t="s">
        <v>240</v>
      </c>
      <c r="Q2">
        <v>0</v>
      </c>
      <c r="R2" t="s">
        <v>253</v>
      </c>
      <c r="S2" s="18">
        <v>4.3999999999999997E-2</v>
      </c>
      <c r="T2" s="18">
        <v>6.6000000000000003E-2</v>
      </c>
      <c r="U2" s="18">
        <v>0.14799999999999999</v>
      </c>
      <c r="V2" s="19">
        <v>0</v>
      </c>
      <c r="W2" s="19">
        <v>6.2E-4</v>
      </c>
      <c r="X2" s="19">
        <v>1.4030000000000001E-2</v>
      </c>
      <c r="Z2" t="s">
        <v>377</v>
      </c>
      <c r="AA2" s="26">
        <v>1</v>
      </c>
      <c r="AB2" t="s">
        <v>382</v>
      </c>
      <c r="AC2" t="s">
        <v>478</v>
      </c>
      <c r="AD2" t="s">
        <v>496</v>
      </c>
      <c r="AE2" t="s">
        <v>496</v>
      </c>
      <c r="AF2" s="42">
        <v>0.08</v>
      </c>
      <c r="AG2" t="s">
        <v>248</v>
      </c>
      <c r="AH2" s="2" t="s">
        <v>1039</v>
      </c>
      <c r="AI2" t="s">
        <v>499</v>
      </c>
      <c r="AJ2" t="s">
        <v>681</v>
      </c>
    </row>
    <row r="3" spans="1:36" x14ac:dyDescent="0.25">
      <c r="A3" t="s">
        <v>434</v>
      </c>
      <c r="B3" t="s">
        <v>23</v>
      </c>
      <c r="C3" t="s">
        <v>112</v>
      </c>
      <c r="D3" t="s">
        <v>14</v>
      </c>
      <c r="E3" t="s">
        <v>22</v>
      </c>
      <c r="F3" s="3">
        <v>2</v>
      </c>
      <c r="G3" s="14" t="s">
        <v>483</v>
      </c>
      <c r="H3" s="14" t="s">
        <v>483</v>
      </c>
      <c r="I3" s="14" t="s">
        <v>487</v>
      </c>
      <c r="J3" s="14">
        <v>0.01</v>
      </c>
      <c r="K3" s="14">
        <v>1.4999999999999999E-2</v>
      </c>
      <c r="L3" t="s">
        <v>212</v>
      </c>
      <c r="M3">
        <v>3</v>
      </c>
      <c r="P3" t="s">
        <v>241</v>
      </c>
      <c r="Q3">
        <v>4</v>
      </c>
      <c r="R3" t="s">
        <v>254</v>
      </c>
      <c r="S3" s="18">
        <v>7.9000000000000001E-2</v>
      </c>
      <c r="T3" s="18">
        <v>9.6000000000000002E-2</v>
      </c>
      <c r="U3" s="18">
        <v>0.161</v>
      </c>
      <c r="V3" s="19">
        <v>0</v>
      </c>
      <c r="W3" s="19">
        <v>2.3000000000000001E-4</v>
      </c>
      <c r="X3" s="19">
        <v>1.2120000000000001E-2</v>
      </c>
      <c r="Z3" t="s">
        <v>378</v>
      </c>
      <c r="AA3" s="26">
        <v>2</v>
      </c>
      <c r="AB3" s="877" t="s">
        <v>383</v>
      </c>
      <c r="AC3" t="s">
        <v>475</v>
      </c>
      <c r="AD3" t="s">
        <v>514</v>
      </c>
      <c r="AE3" t="s">
        <v>515</v>
      </c>
      <c r="AF3" s="62">
        <v>0.09</v>
      </c>
      <c r="AI3" t="s">
        <v>498</v>
      </c>
      <c r="AJ3" t="s">
        <v>679</v>
      </c>
    </row>
    <row r="4" spans="1:36" x14ac:dyDescent="0.25">
      <c r="A4" t="s">
        <v>459</v>
      </c>
      <c r="B4" t="s">
        <v>13</v>
      </c>
      <c r="C4" t="s">
        <v>113</v>
      </c>
      <c r="D4" t="s">
        <v>62</v>
      </c>
      <c r="E4" t="s">
        <v>32</v>
      </c>
      <c r="F4" s="3">
        <v>3</v>
      </c>
      <c r="G4" s="14" t="s">
        <v>485</v>
      </c>
      <c r="H4" s="14" t="s">
        <v>483</v>
      </c>
      <c r="I4" s="14"/>
      <c r="J4" s="14"/>
      <c r="K4" s="14"/>
      <c r="M4">
        <v>4</v>
      </c>
      <c r="P4" t="s">
        <v>242</v>
      </c>
      <c r="Q4">
        <v>5</v>
      </c>
      <c r="R4" t="s">
        <v>255</v>
      </c>
      <c r="S4" s="18">
        <v>8.8999999999999996E-2</v>
      </c>
      <c r="T4" s="18">
        <v>0.106</v>
      </c>
      <c r="U4" s="18">
        <v>0.17299999999999999</v>
      </c>
      <c r="V4" s="19">
        <v>0</v>
      </c>
      <c r="W4" s="19">
        <v>0</v>
      </c>
      <c r="X4" s="19">
        <v>1.15E-2</v>
      </c>
      <c r="Z4" t="s">
        <v>379</v>
      </c>
      <c r="AA4" s="26">
        <v>3</v>
      </c>
      <c r="AB4" s="877" t="s">
        <v>1238</v>
      </c>
      <c r="AF4" s="62">
        <v>0.1</v>
      </c>
    </row>
    <row r="5" spans="1:36" x14ac:dyDescent="0.25">
      <c r="A5" t="s">
        <v>414</v>
      </c>
      <c r="B5" t="s">
        <v>3</v>
      </c>
      <c r="C5" t="s">
        <v>111</v>
      </c>
      <c r="D5" t="s">
        <v>74</v>
      </c>
      <c r="E5" t="s">
        <v>65</v>
      </c>
      <c r="F5" s="3">
        <v>4</v>
      </c>
      <c r="G5" s="14" t="s">
        <v>484</v>
      </c>
      <c r="H5" s="14" t="s">
        <v>483</v>
      </c>
      <c r="J5" s="14"/>
      <c r="K5" s="14"/>
      <c r="M5">
        <v>5</v>
      </c>
      <c r="P5" t="s">
        <v>243</v>
      </c>
      <c r="Q5">
        <v>6</v>
      </c>
      <c r="R5" t="s">
        <v>256</v>
      </c>
      <c r="S5" s="18">
        <v>9.2999999999999999E-2</v>
      </c>
      <c r="T5" s="18">
        <v>0.115</v>
      </c>
      <c r="U5" s="18">
        <v>0.191</v>
      </c>
      <c r="V5" s="19">
        <v>0</v>
      </c>
      <c r="W5" s="19">
        <v>0</v>
      </c>
      <c r="X5" s="19">
        <v>4.8500000000000001E-3</v>
      </c>
      <c r="Z5" t="s">
        <v>380</v>
      </c>
      <c r="AA5" s="26">
        <v>4</v>
      </c>
      <c r="AB5" s="877" t="s">
        <v>1239</v>
      </c>
      <c r="AF5" s="62">
        <v>0.11</v>
      </c>
    </row>
    <row r="6" spans="1:36" x14ac:dyDescent="0.25">
      <c r="A6" t="s">
        <v>438</v>
      </c>
      <c r="B6" t="s">
        <v>8</v>
      </c>
      <c r="C6" t="s">
        <v>115</v>
      </c>
      <c r="D6" t="s">
        <v>34</v>
      </c>
      <c r="E6" t="s">
        <v>37</v>
      </c>
      <c r="F6" s="3">
        <v>5</v>
      </c>
      <c r="G6" s="14" t="s">
        <v>486</v>
      </c>
      <c r="H6" s="14" t="s">
        <v>483</v>
      </c>
      <c r="I6" s="14">
        <v>5</v>
      </c>
      <c r="J6" s="14"/>
      <c r="K6" s="14"/>
      <c r="P6" t="s">
        <v>244</v>
      </c>
      <c r="Q6">
        <v>7</v>
      </c>
      <c r="AA6" s="26">
        <v>5</v>
      </c>
      <c r="AF6" s="62">
        <v>0.12</v>
      </c>
    </row>
    <row r="7" spans="1:36" x14ac:dyDescent="0.25">
      <c r="A7" t="s">
        <v>429</v>
      </c>
      <c r="B7" t="s">
        <v>18</v>
      </c>
      <c r="D7" t="s">
        <v>0</v>
      </c>
      <c r="E7"/>
      <c r="G7" s="14" t="s">
        <v>133</v>
      </c>
      <c r="H7" s="14"/>
      <c r="I7" s="14">
        <v>6</v>
      </c>
      <c r="J7" s="14"/>
      <c r="K7" s="14"/>
      <c r="P7" t="s">
        <v>245</v>
      </c>
      <c r="Q7">
        <v>8</v>
      </c>
      <c r="AA7" s="26">
        <v>6</v>
      </c>
    </row>
    <row r="8" spans="1:36" x14ac:dyDescent="0.25">
      <c r="A8" t="s">
        <v>432</v>
      </c>
      <c r="D8" t="s">
        <v>69</v>
      </c>
      <c r="E8"/>
      <c r="G8" s="14"/>
      <c r="H8" s="14"/>
      <c r="I8" s="14">
        <v>7</v>
      </c>
      <c r="J8" s="14"/>
      <c r="K8" s="14"/>
      <c r="P8" t="s">
        <v>246</v>
      </c>
      <c r="Q8">
        <v>9</v>
      </c>
      <c r="AA8" s="26">
        <v>7</v>
      </c>
    </row>
    <row r="9" spans="1:36" x14ac:dyDescent="0.25">
      <c r="A9" t="s">
        <v>425</v>
      </c>
      <c r="D9" t="s">
        <v>4</v>
      </c>
      <c r="E9"/>
      <c r="I9" s="14">
        <v>8</v>
      </c>
      <c r="J9" s="14"/>
      <c r="K9" s="14"/>
      <c r="AA9" s="26">
        <v>8</v>
      </c>
    </row>
    <row r="10" spans="1:36" x14ac:dyDescent="0.25">
      <c r="A10" t="s">
        <v>464</v>
      </c>
      <c r="D10" t="s">
        <v>35</v>
      </c>
      <c r="E10"/>
      <c r="I10" s="14">
        <v>8</v>
      </c>
      <c r="J10" s="14"/>
      <c r="K10" s="14"/>
      <c r="AA10" s="26">
        <v>9</v>
      </c>
    </row>
    <row r="11" spans="1:36" x14ac:dyDescent="0.25">
      <c r="A11" t="s">
        <v>436</v>
      </c>
      <c r="D11" t="s">
        <v>6</v>
      </c>
      <c r="E11"/>
      <c r="I11" s="14">
        <v>9</v>
      </c>
      <c r="J11" s="46" t="s">
        <v>490</v>
      </c>
      <c r="K11" s="48">
        <f>'EB_CM (Back)'!$B$7</f>
        <v>0</v>
      </c>
      <c r="L11" s="46" t="s">
        <v>488</v>
      </c>
      <c r="M11" s="1" t="s">
        <v>489</v>
      </c>
      <c r="AA11" s="26">
        <v>10</v>
      </c>
    </row>
    <row r="12" spans="1:36" x14ac:dyDescent="0.25">
      <c r="A12" t="s">
        <v>449</v>
      </c>
      <c r="D12" t="s">
        <v>15</v>
      </c>
      <c r="E12"/>
      <c r="G12" s="14"/>
      <c r="H12" s="14"/>
      <c r="I12" s="14">
        <v>10</v>
      </c>
      <c r="J12" s="46"/>
      <c r="K12" s="50">
        <f>IF($K$11&lt;$L$17,$M$17,IF($K$11&lt;$L$16,$M$16,IF($K$11&lt;$L$15,$M$15,IF($K$11&lt;$L$14,$M$14,IF($K$11&lt;$L$13,$M$13,$M$12)))))</f>
        <v>2.5000000000000001E-3</v>
      </c>
      <c r="L12" s="46">
        <v>0.69099999999999995</v>
      </c>
      <c r="M12" s="49">
        <v>0.02</v>
      </c>
      <c r="AA12" s="26">
        <v>11</v>
      </c>
    </row>
    <row r="13" spans="1:36" x14ac:dyDescent="0.25">
      <c r="A13" t="s">
        <v>463</v>
      </c>
      <c r="C13" t="s">
        <v>114</v>
      </c>
      <c r="D13" t="s">
        <v>45</v>
      </c>
      <c r="E13"/>
      <c r="G13" s="14"/>
      <c r="H13" s="14"/>
      <c r="I13" s="14"/>
      <c r="J13" s="14"/>
      <c r="L13" s="46">
        <v>0.55000000000000004</v>
      </c>
      <c r="M13" s="49">
        <v>1.4999999999999999E-2</v>
      </c>
    </row>
    <row r="14" spans="1:36" x14ac:dyDescent="0.25">
      <c r="A14" t="s">
        <v>418</v>
      </c>
      <c r="C14" t="s">
        <v>116</v>
      </c>
      <c r="D14" t="s">
        <v>48</v>
      </c>
      <c r="E14" t="s">
        <v>42</v>
      </c>
      <c r="G14" s="14"/>
      <c r="H14" s="14"/>
      <c r="I14" s="14"/>
      <c r="J14" s="14" t="s">
        <v>500</v>
      </c>
      <c r="L14" s="46">
        <v>0.5</v>
      </c>
      <c r="M14" s="49">
        <v>1.2500000000000001E-2</v>
      </c>
    </row>
    <row r="15" spans="1:36" x14ac:dyDescent="0.25">
      <c r="A15" t="s">
        <v>460</v>
      </c>
      <c r="C15" t="s">
        <v>118</v>
      </c>
      <c r="D15" t="s">
        <v>60</v>
      </c>
      <c r="E15" t="s">
        <v>29</v>
      </c>
      <c r="G15" s="9"/>
      <c r="H15" s="9"/>
      <c r="I15" s="9"/>
      <c r="J15" s="9"/>
      <c r="L15" s="47">
        <v>0.43009999999999998</v>
      </c>
      <c r="M15" s="49">
        <v>0.01</v>
      </c>
    </row>
    <row r="16" spans="1:36" x14ac:dyDescent="0.25">
      <c r="A16" t="s">
        <v>424</v>
      </c>
      <c r="C16" t="s">
        <v>117</v>
      </c>
      <c r="D16" t="s">
        <v>20</v>
      </c>
      <c r="E16" t="s">
        <v>64</v>
      </c>
      <c r="G16" s="9"/>
      <c r="H16" s="9"/>
      <c r="I16" s="9"/>
      <c r="J16" s="9"/>
      <c r="L16" s="47">
        <v>0.30010000000000003</v>
      </c>
      <c r="M16" s="49">
        <v>5.0000000000000001E-3</v>
      </c>
    </row>
    <row r="17" spans="1:13" x14ac:dyDescent="0.25">
      <c r="A17" t="s">
        <v>427</v>
      </c>
      <c r="D17" t="s">
        <v>36</v>
      </c>
      <c r="E17" t="s">
        <v>19</v>
      </c>
      <c r="G17" s="9"/>
      <c r="H17" s="9"/>
      <c r="I17" s="9"/>
      <c r="J17" s="9"/>
      <c r="L17" s="47">
        <v>0.1</v>
      </c>
      <c r="M17" s="49">
        <v>2.5000000000000001E-3</v>
      </c>
    </row>
    <row r="18" spans="1:13" x14ac:dyDescent="0.25">
      <c r="A18" t="s">
        <v>417</v>
      </c>
      <c r="D18" t="s">
        <v>71</v>
      </c>
      <c r="E18" t="s">
        <v>121</v>
      </c>
      <c r="G18" s="9"/>
      <c r="H18" s="9"/>
      <c r="I18" s="9"/>
      <c r="J18" s="9"/>
      <c r="K18" s="9"/>
    </row>
    <row r="19" spans="1:13" x14ac:dyDescent="0.25">
      <c r="A19" t="s">
        <v>456</v>
      </c>
      <c r="D19" t="s">
        <v>11</v>
      </c>
      <c r="E19" t="s">
        <v>58</v>
      </c>
      <c r="G19" s="9"/>
      <c r="H19" s="9"/>
      <c r="I19" s="9"/>
      <c r="J19" s="47" t="s">
        <v>223</v>
      </c>
      <c r="K19" s="47" t="e">
        <f>#REF!/(#REF!*52)</f>
        <v>#REF!</v>
      </c>
      <c r="L19" s="1" t="s">
        <v>491</v>
      </c>
      <c r="M19" s="1" t="s">
        <v>492</v>
      </c>
    </row>
    <row r="20" spans="1:13" x14ac:dyDescent="0.25">
      <c r="A20" t="s">
        <v>440</v>
      </c>
      <c r="D20" t="s">
        <v>9</v>
      </c>
      <c r="E20" t="s">
        <v>22</v>
      </c>
      <c r="G20" s="9"/>
      <c r="H20" s="9"/>
      <c r="I20" s="9"/>
      <c r="J20" s="47"/>
      <c r="K20" s="47" t="e">
        <f>IF($K$19&lt;$L$24,$M$24,IF($K$19&lt;$L$23,$M$23,IF($K$19&lt;$L$22,$M$22,IF($K$19&lt;$L$21,$M$21,$M$20))))</f>
        <v>#REF!</v>
      </c>
      <c r="L20" s="1"/>
      <c r="M20" s="49">
        <v>1.4999999999999999E-2</v>
      </c>
    </row>
    <row r="21" spans="1:13" x14ac:dyDescent="0.25">
      <c r="A21" t="s">
        <v>452</v>
      </c>
      <c r="D21" t="s">
        <v>38</v>
      </c>
      <c r="E21" t="s">
        <v>43</v>
      </c>
      <c r="G21" s="9"/>
      <c r="H21" s="9"/>
      <c r="I21" s="9"/>
      <c r="J21" s="9"/>
      <c r="K21" s="9"/>
      <c r="L21" s="1">
        <v>3133.9311044776123</v>
      </c>
      <c r="M21" s="49">
        <v>0.01</v>
      </c>
    </row>
    <row r="22" spans="1:13" x14ac:dyDescent="0.25">
      <c r="A22" t="s">
        <v>422</v>
      </c>
      <c r="D22" t="s">
        <v>268</v>
      </c>
      <c r="E22" t="s">
        <v>10</v>
      </c>
      <c r="L22" s="1">
        <v>2118.2275862069</v>
      </c>
      <c r="M22" s="49">
        <v>7.4999999999999997E-3</v>
      </c>
    </row>
    <row r="23" spans="1:13" x14ac:dyDescent="0.25">
      <c r="A23" t="s">
        <v>442</v>
      </c>
      <c r="D23" t="s">
        <v>264</v>
      </c>
      <c r="E23" t="s">
        <v>55</v>
      </c>
      <c r="L23" s="1">
        <v>1484.5700242718401</v>
      </c>
      <c r="M23" s="49">
        <v>5.0000000000000001E-3</v>
      </c>
    </row>
    <row r="24" spans="1:13" x14ac:dyDescent="0.25">
      <c r="A24" t="s">
        <v>433</v>
      </c>
      <c r="D24" t="s">
        <v>265</v>
      </c>
      <c r="E24" t="s">
        <v>26</v>
      </c>
      <c r="L24" s="1">
        <v>968.90328358209001</v>
      </c>
      <c r="M24" s="49">
        <v>0</v>
      </c>
    </row>
    <row r="25" spans="1:13" ht="18.75" x14ac:dyDescent="0.3">
      <c r="A25" t="s">
        <v>458</v>
      </c>
      <c r="D25" t="s">
        <v>266</v>
      </c>
      <c r="E25" t="s">
        <v>50</v>
      </c>
      <c r="G25" s="11"/>
      <c r="H25" s="11"/>
      <c r="I25" s="11"/>
      <c r="J25" s="11"/>
      <c r="K25" s="11"/>
    </row>
    <row r="26" spans="1:13" x14ac:dyDescent="0.25">
      <c r="A26" t="s">
        <v>447</v>
      </c>
      <c r="D26" t="s">
        <v>267</v>
      </c>
      <c r="E26" t="s">
        <v>67</v>
      </c>
    </row>
    <row r="27" spans="1:13" x14ac:dyDescent="0.25">
      <c r="A27" t="s">
        <v>413</v>
      </c>
      <c r="D27" t="s">
        <v>269</v>
      </c>
      <c r="E27" t="s">
        <v>32</v>
      </c>
    </row>
    <row r="28" spans="1:13" x14ac:dyDescent="0.25">
      <c r="A28" t="s">
        <v>416</v>
      </c>
      <c r="D28" t="s">
        <v>270</v>
      </c>
      <c r="E28" t="s">
        <v>80</v>
      </c>
    </row>
    <row r="29" spans="1:13" x14ac:dyDescent="0.25">
      <c r="A29" t="s">
        <v>461</v>
      </c>
      <c r="D29" t="s">
        <v>271</v>
      </c>
      <c r="E29" t="s">
        <v>46</v>
      </c>
    </row>
    <row r="30" spans="1:13" x14ac:dyDescent="0.25">
      <c r="A30" t="s">
        <v>446</v>
      </c>
      <c r="D30" t="s">
        <v>272</v>
      </c>
      <c r="E30" t="s">
        <v>77</v>
      </c>
    </row>
    <row r="31" spans="1:13" x14ac:dyDescent="0.25">
      <c r="A31" t="s">
        <v>451</v>
      </c>
      <c r="E31" t="s">
        <v>65</v>
      </c>
    </row>
    <row r="32" spans="1:13" x14ac:dyDescent="0.25">
      <c r="A32" t="s">
        <v>441</v>
      </c>
      <c r="E32" t="s">
        <v>37</v>
      </c>
    </row>
    <row r="33" spans="1:5" x14ac:dyDescent="0.25">
      <c r="A33" t="s">
        <v>435</v>
      </c>
      <c r="D33" t="s">
        <v>268</v>
      </c>
      <c r="E33" t="s">
        <v>2</v>
      </c>
    </row>
    <row r="34" spans="1:5" x14ac:dyDescent="0.25">
      <c r="A34" t="s">
        <v>454</v>
      </c>
      <c r="D34" t="s">
        <v>264</v>
      </c>
      <c r="E34" t="s">
        <v>52</v>
      </c>
    </row>
    <row r="35" spans="1:5" x14ac:dyDescent="0.25">
      <c r="A35" t="s">
        <v>421</v>
      </c>
      <c r="D35" t="s">
        <v>265</v>
      </c>
      <c r="E35" t="s">
        <v>76</v>
      </c>
    </row>
    <row r="36" spans="1:5" x14ac:dyDescent="0.25">
      <c r="A36" t="s">
        <v>443</v>
      </c>
      <c r="D36" t="s">
        <v>266</v>
      </c>
      <c r="E36" t="s">
        <v>63</v>
      </c>
    </row>
    <row r="37" spans="1:5" x14ac:dyDescent="0.25">
      <c r="A37" t="s">
        <v>439</v>
      </c>
      <c r="D37" t="s">
        <v>267</v>
      </c>
      <c r="E37" t="s">
        <v>68</v>
      </c>
    </row>
    <row r="38" spans="1:5" x14ac:dyDescent="0.25">
      <c r="A38" t="s">
        <v>455</v>
      </c>
      <c r="D38" t="s">
        <v>269</v>
      </c>
      <c r="E38" t="s">
        <v>21</v>
      </c>
    </row>
    <row r="39" spans="1:5" x14ac:dyDescent="0.25">
      <c r="A39" t="s">
        <v>444</v>
      </c>
      <c r="D39" t="s">
        <v>270</v>
      </c>
      <c r="E39" t="s">
        <v>51</v>
      </c>
    </row>
    <row r="40" spans="1:5" x14ac:dyDescent="0.25">
      <c r="A40" t="s">
        <v>419</v>
      </c>
      <c r="D40" t="s">
        <v>271</v>
      </c>
      <c r="E40" t="s">
        <v>41</v>
      </c>
    </row>
    <row r="41" spans="1:5" x14ac:dyDescent="0.25">
      <c r="A41" t="s">
        <v>420</v>
      </c>
      <c r="D41" t="s">
        <v>272</v>
      </c>
      <c r="E41" t="s">
        <v>28</v>
      </c>
    </row>
    <row r="42" spans="1:5" x14ac:dyDescent="0.25">
      <c r="A42" t="s">
        <v>431</v>
      </c>
      <c r="E42" t="s">
        <v>39</v>
      </c>
    </row>
    <row r="43" spans="1:5" x14ac:dyDescent="0.25">
      <c r="A43" t="s">
        <v>450</v>
      </c>
      <c r="E43" t="s">
        <v>49</v>
      </c>
    </row>
    <row r="44" spans="1:5" x14ac:dyDescent="0.25">
      <c r="A44" t="s">
        <v>430</v>
      </c>
      <c r="E44" t="s">
        <v>250</v>
      </c>
    </row>
    <row r="45" spans="1:5" x14ac:dyDescent="0.25">
      <c r="A45" t="s">
        <v>426</v>
      </c>
      <c r="E45" t="s">
        <v>66</v>
      </c>
    </row>
    <row r="46" spans="1:5" x14ac:dyDescent="0.25">
      <c r="A46" t="s">
        <v>415</v>
      </c>
      <c r="E46" t="s">
        <v>70</v>
      </c>
    </row>
    <row r="47" spans="1:5" x14ac:dyDescent="0.25">
      <c r="A47" t="s">
        <v>465</v>
      </c>
      <c r="E47" t="s">
        <v>24</v>
      </c>
    </row>
    <row r="48" spans="1:5" x14ac:dyDescent="0.25">
      <c r="A48" t="s">
        <v>453</v>
      </c>
      <c r="E48" t="s">
        <v>72</v>
      </c>
    </row>
    <row r="49" spans="1:5" x14ac:dyDescent="0.25">
      <c r="A49" t="s">
        <v>457</v>
      </c>
      <c r="E49" t="s">
        <v>27</v>
      </c>
    </row>
    <row r="50" spans="1:5" x14ac:dyDescent="0.25">
      <c r="A50" t="s">
        <v>437</v>
      </c>
      <c r="E50" t="s">
        <v>59</v>
      </c>
    </row>
    <row r="51" spans="1:5" x14ac:dyDescent="0.25">
      <c r="A51" t="s">
        <v>428</v>
      </c>
      <c r="E51" t="s">
        <v>54</v>
      </c>
    </row>
    <row r="52" spans="1:5" x14ac:dyDescent="0.25">
      <c r="A52" t="s">
        <v>423</v>
      </c>
      <c r="E52" t="s">
        <v>122</v>
      </c>
    </row>
    <row r="53" spans="1:5" x14ac:dyDescent="0.25">
      <c r="A53" t="s">
        <v>448</v>
      </c>
      <c r="E53" t="s">
        <v>7</v>
      </c>
    </row>
    <row r="54" spans="1:5" x14ac:dyDescent="0.25">
      <c r="A54" t="s">
        <v>462</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topLeftCell="A46" workbookViewId="0">
      <selection activeCell="D79" sqref="D79"/>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386</v>
      </c>
      <c r="B1" s="29" t="s">
        <v>85</v>
      </c>
      <c r="C1" s="28" t="s">
        <v>194</v>
      </c>
      <c r="D1" s="28" t="s">
        <v>84</v>
      </c>
      <c r="E1" s="28" t="s">
        <v>387</v>
      </c>
      <c r="F1" s="28" t="s">
        <v>386</v>
      </c>
      <c r="G1" s="29" t="s">
        <v>85</v>
      </c>
    </row>
    <row r="2" spans="1:7" x14ac:dyDescent="0.25">
      <c r="A2" s="30" t="s">
        <v>181</v>
      </c>
      <c r="B2" s="31" t="s">
        <v>23</v>
      </c>
      <c r="C2" s="32" t="s">
        <v>1123</v>
      </c>
      <c r="D2" s="32" t="s">
        <v>928</v>
      </c>
      <c r="E2" s="30">
        <v>2345</v>
      </c>
      <c r="F2" s="30" t="s">
        <v>181</v>
      </c>
      <c r="G2" s="31" t="s">
        <v>23</v>
      </c>
    </row>
    <row r="3" spans="1:7" x14ac:dyDescent="0.25">
      <c r="A3" s="15" t="s">
        <v>175</v>
      </c>
      <c r="B3" s="33" t="s">
        <v>23</v>
      </c>
      <c r="C3" s="1" t="s">
        <v>195</v>
      </c>
      <c r="D3" s="1" t="s">
        <v>58</v>
      </c>
      <c r="E3" s="15">
        <v>2099</v>
      </c>
      <c r="F3" s="15" t="s">
        <v>175</v>
      </c>
      <c r="G3" s="33" t="s">
        <v>23</v>
      </c>
    </row>
    <row r="4" spans="1:7" x14ac:dyDescent="0.25">
      <c r="A4" s="15" t="s">
        <v>176</v>
      </c>
      <c r="B4" s="33" t="s">
        <v>23</v>
      </c>
      <c r="C4" s="1" t="s">
        <v>196</v>
      </c>
      <c r="D4" s="1" t="s">
        <v>22</v>
      </c>
      <c r="E4" s="15">
        <v>1103</v>
      </c>
      <c r="F4" s="15" t="s">
        <v>176</v>
      </c>
      <c r="G4" s="33" t="s">
        <v>23</v>
      </c>
    </row>
    <row r="5" spans="1:7" x14ac:dyDescent="0.25">
      <c r="A5" s="15" t="s">
        <v>179</v>
      </c>
      <c r="B5" s="33" t="s">
        <v>23</v>
      </c>
      <c r="C5" s="1" t="s">
        <v>1123</v>
      </c>
      <c r="D5" s="1" t="s">
        <v>929</v>
      </c>
      <c r="E5" s="15">
        <v>2340</v>
      </c>
      <c r="F5" s="15" t="s">
        <v>179</v>
      </c>
      <c r="G5" s="33" t="s">
        <v>23</v>
      </c>
    </row>
    <row r="6" spans="1:7" x14ac:dyDescent="0.25">
      <c r="A6" s="15" t="s">
        <v>1128</v>
      </c>
      <c r="B6" s="33" t="s">
        <v>23</v>
      </c>
      <c r="C6" s="1" t="s">
        <v>199</v>
      </c>
      <c r="D6" s="1" t="s">
        <v>1129</v>
      </c>
      <c r="E6" s="15">
        <v>2365</v>
      </c>
      <c r="F6" s="15" t="s">
        <v>1128</v>
      </c>
      <c r="G6" s="33" t="s">
        <v>23</v>
      </c>
    </row>
    <row r="7" spans="1:7" x14ac:dyDescent="0.25">
      <c r="A7" s="15" t="s">
        <v>177</v>
      </c>
      <c r="B7" s="33" t="s">
        <v>23</v>
      </c>
      <c r="C7" s="1" t="s">
        <v>196</v>
      </c>
      <c r="D7" s="1" t="s">
        <v>46</v>
      </c>
      <c r="E7" s="15">
        <v>1054</v>
      </c>
      <c r="F7" s="15" t="s">
        <v>177</v>
      </c>
      <c r="G7" s="33" t="s">
        <v>23</v>
      </c>
    </row>
    <row r="8" spans="1:7" x14ac:dyDescent="0.25">
      <c r="A8" s="15" t="s">
        <v>155</v>
      </c>
      <c r="B8" s="33" t="s">
        <v>23</v>
      </c>
      <c r="C8" s="1" t="s">
        <v>200</v>
      </c>
      <c r="D8" s="1" t="s">
        <v>77</v>
      </c>
      <c r="E8" s="15">
        <v>2370</v>
      </c>
      <c r="F8" s="15" t="s">
        <v>155</v>
      </c>
      <c r="G8" s="33" t="s">
        <v>23</v>
      </c>
    </row>
    <row r="9" spans="1:7" x14ac:dyDescent="0.25">
      <c r="A9" s="15" t="s">
        <v>152</v>
      </c>
      <c r="B9" s="33" t="s">
        <v>23</v>
      </c>
      <c r="C9" s="1" t="s">
        <v>199</v>
      </c>
      <c r="D9" s="1" t="s">
        <v>37</v>
      </c>
      <c r="E9" s="15">
        <v>3230</v>
      </c>
      <c r="F9" s="15" t="s">
        <v>152</v>
      </c>
      <c r="G9" s="33" t="s">
        <v>23</v>
      </c>
    </row>
    <row r="10" spans="1:7" x14ac:dyDescent="0.25">
      <c r="A10" s="15" t="s">
        <v>182</v>
      </c>
      <c r="B10" s="33" t="s">
        <v>23</v>
      </c>
      <c r="C10" s="1" t="s">
        <v>200</v>
      </c>
      <c r="D10" s="1" t="s">
        <v>39</v>
      </c>
      <c r="E10" s="15">
        <v>2350</v>
      </c>
      <c r="F10" s="15" t="s">
        <v>182</v>
      </c>
      <c r="G10" s="33" t="s">
        <v>23</v>
      </c>
    </row>
    <row r="11" spans="1:7" x14ac:dyDescent="0.25">
      <c r="A11" s="15" t="s">
        <v>136</v>
      </c>
      <c r="B11" s="33" t="s">
        <v>23</v>
      </c>
      <c r="C11" s="1" t="s">
        <v>199</v>
      </c>
      <c r="D11" s="1" t="s">
        <v>72</v>
      </c>
      <c r="E11" s="15">
        <v>2360</v>
      </c>
      <c r="F11" s="15" t="s">
        <v>136</v>
      </c>
      <c r="G11" s="33" t="s">
        <v>23</v>
      </c>
    </row>
    <row r="12" spans="1:7" x14ac:dyDescent="0.25">
      <c r="A12" s="15" t="s">
        <v>140</v>
      </c>
      <c r="B12" s="33" t="s">
        <v>23</v>
      </c>
      <c r="C12" s="1" t="s">
        <v>198</v>
      </c>
      <c r="D12" s="1" t="s">
        <v>47</v>
      </c>
      <c r="E12" s="15">
        <v>3210</v>
      </c>
      <c r="F12" s="15" t="s">
        <v>140</v>
      </c>
      <c r="G12" s="33" t="s">
        <v>23</v>
      </c>
    </row>
    <row r="13" spans="1:7" x14ac:dyDescent="0.25">
      <c r="A13" s="15" t="s">
        <v>1124</v>
      </c>
      <c r="B13" s="33" t="s">
        <v>23</v>
      </c>
      <c r="C13" s="1" t="s">
        <v>1123</v>
      </c>
      <c r="D13" s="1" t="s">
        <v>1125</v>
      </c>
      <c r="E13" s="15">
        <v>2375</v>
      </c>
      <c r="F13" s="15" t="s">
        <v>1124</v>
      </c>
      <c r="G13" s="33" t="s">
        <v>23</v>
      </c>
    </row>
    <row r="14" spans="1:7" x14ac:dyDescent="0.25">
      <c r="A14" s="15" t="s">
        <v>1126</v>
      </c>
      <c r="B14" s="33" t="s">
        <v>23</v>
      </c>
      <c r="C14" s="1" t="s">
        <v>1123</v>
      </c>
      <c r="D14" s="1" t="s">
        <v>1127</v>
      </c>
      <c r="E14" s="15">
        <v>2355</v>
      </c>
      <c r="F14" s="15" t="s">
        <v>1126</v>
      </c>
      <c r="G14" s="33" t="s">
        <v>23</v>
      </c>
    </row>
    <row r="15" spans="1:7" x14ac:dyDescent="0.25">
      <c r="A15" s="15" t="s">
        <v>134</v>
      </c>
      <c r="B15" s="33" t="s">
        <v>23</v>
      </c>
      <c r="C15" s="1" t="s">
        <v>198</v>
      </c>
      <c r="D15" s="1" t="s">
        <v>44</v>
      </c>
      <c r="E15" s="15">
        <v>3220</v>
      </c>
      <c r="F15" s="15" t="s">
        <v>134</v>
      </c>
      <c r="G15" s="33" t="s">
        <v>23</v>
      </c>
    </row>
    <row r="16" spans="1:7" x14ac:dyDescent="0.25">
      <c r="A16" s="15" t="s">
        <v>180</v>
      </c>
      <c r="B16" s="33" t="s">
        <v>23</v>
      </c>
      <c r="C16" s="1" t="s">
        <v>195</v>
      </c>
      <c r="D16" s="1" t="s">
        <v>31</v>
      </c>
      <c r="E16" s="15">
        <v>2330</v>
      </c>
      <c r="F16" s="15" t="s">
        <v>180</v>
      </c>
      <c r="G16" s="33" t="s">
        <v>23</v>
      </c>
    </row>
    <row r="17" spans="1:7" x14ac:dyDescent="0.25">
      <c r="A17" s="15" t="s">
        <v>183</v>
      </c>
      <c r="B17" s="33" t="s">
        <v>23</v>
      </c>
      <c r="C17" s="1" t="s">
        <v>195</v>
      </c>
      <c r="D17" s="1" t="s">
        <v>78</v>
      </c>
      <c r="E17" s="15">
        <v>2310</v>
      </c>
      <c r="F17" s="15" t="s">
        <v>183</v>
      </c>
      <c r="G17" s="33" t="s">
        <v>23</v>
      </c>
    </row>
    <row r="18" spans="1:7" x14ac:dyDescent="0.25">
      <c r="A18" s="15" t="s">
        <v>184</v>
      </c>
      <c r="B18" s="33" t="s">
        <v>23</v>
      </c>
      <c r="C18" s="1" t="s">
        <v>195</v>
      </c>
      <c r="D18" s="1" t="s">
        <v>1111</v>
      </c>
      <c r="E18" s="15">
        <v>248</v>
      </c>
      <c r="F18" s="15" t="s">
        <v>184</v>
      </c>
      <c r="G18" s="33" t="s">
        <v>23</v>
      </c>
    </row>
    <row r="19" spans="1:7" x14ac:dyDescent="0.25">
      <c r="A19" s="15" t="s">
        <v>138</v>
      </c>
      <c r="B19" s="33" t="s">
        <v>13</v>
      </c>
      <c r="C19" s="1" t="s">
        <v>392</v>
      </c>
      <c r="D19" s="1" t="s">
        <v>12</v>
      </c>
      <c r="E19" s="15">
        <v>2140</v>
      </c>
      <c r="F19" s="15" t="s">
        <v>138</v>
      </c>
      <c r="G19" s="33" t="s">
        <v>13</v>
      </c>
    </row>
    <row r="20" spans="1:7" x14ac:dyDescent="0.25">
      <c r="A20" s="15" t="s">
        <v>190</v>
      </c>
      <c r="B20" s="33" t="s">
        <v>13</v>
      </c>
      <c r="C20" s="1" t="s">
        <v>388</v>
      </c>
      <c r="D20" s="1" t="s">
        <v>33</v>
      </c>
      <c r="E20" s="15">
        <v>2110</v>
      </c>
      <c r="F20" s="15" t="s">
        <v>190</v>
      </c>
      <c r="G20" s="33" t="s">
        <v>13</v>
      </c>
    </row>
    <row r="21" spans="1:7" x14ac:dyDescent="0.25">
      <c r="A21" s="15" t="s">
        <v>187</v>
      </c>
      <c r="B21" s="33" t="s">
        <v>13</v>
      </c>
      <c r="C21" s="1" t="s">
        <v>1130</v>
      </c>
      <c r="D21" s="1" t="s">
        <v>64</v>
      </c>
      <c r="E21" s="15">
        <v>2148</v>
      </c>
      <c r="F21" s="15" t="s">
        <v>187</v>
      </c>
      <c r="G21" s="33" t="s">
        <v>13</v>
      </c>
    </row>
    <row r="22" spans="1:7" x14ac:dyDescent="0.25">
      <c r="A22" s="15" t="s">
        <v>186</v>
      </c>
      <c r="B22" s="33" t="s">
        <v>13</v>
      </c>
      <c r="C22" s="1" t="s">
        <v>392</v>
      </c>
      <c r="D22" s="1" t="s">
        <v>19</v>
      </c>
      <c r="E22" s="15">
        <v>2190</v>
      </c>
      <c r="F22" s="15" t="s">
        <v>186</v>
      </c>
      <c r="G22" s="33" t="s">
        <v>13</v>
      </c>
    </row>
    <row r="23" spans="1:7" x14ac:dyDescent="0.25">
      <c r="A23" s="15" t="s">
        <v>174</v>
      </c>
      <c r="B23" s="33" t="s">
        <v>13</v>
      </c>
      <c r="C23" s="1" t="s">
        <v>197</v>
      </c>
      <c r="D23" s="1" t="s">
        <v>43</v>
      </c>
      <c r="E23" s="15">
        <v>1104</v>
      </c>
      <c r="F23" s="15" t="s">
        <v>174</v>
      </c>
      <c r="G23" s="33" t="s">
        <v>13</v>
      </c>
    </row>
    <row r="24" spans="1:7" x14ac:dyDescent="0.25">
      <c r="A24" s="15" t="s">
        <v>193</v>
      </c>
      <c r="B24" s="33" t="s">
        <v>13</v>
      </c>
      <c r="C24" s="1" t="s">
        <v>61</v>
      </c>
      <c r="D24" s="1" t="s">
        <v>927</v>
      </c>
      <c r="E24" s="15">
        <v>2020</v>
      </c>
      <c r="F24" s="15" t="s">
        <v>193</v>
      </c>
      <c r="G24" s="33" t="s">
        <v>13</v>
      </c>
    </row>
    <row r="25" spans="1:7" x14ac:dyDescent="0.25">
      <c r="A25" s="15" t="s">
        <v>143</v>
      </c>
      <c r="B25" s="33" t="s">
        <v>13</v>
      </c>
      <c r="C25" s="1" t="s">
        <v>197</v>
      </c>
      <c r="D25" s="1" t="s">
        <v>67</v>
      </c>
      <c r="E25" s="15">
        <v>1106</v>
      </c>
      <c r="F25" s="15" t="s">
        <v>143</v>
      </c>
      <c r="G25" s="33" t="s">
        <v>13</v>
      </c>
    </row>
    <row r="26" spans="1:7" x14ac:dyDescent="0.25">
      <c r="A26" s="15" t="s">
        <v>191</v>
      </c>
      <c r="B26" s="33" t="s">
        <v>13</v>
      </c>
      <c r="C26" s="1" t="s">
        <v>389</v>
      </c>
      <c r="D26" s="1" t="s">
        <v>28</v>
      </c>
      <c r="E26" s="15">
        <v>2160</v>
      </c>
      <c r="F26" s="15" t="s">
        <v>191</v>
      </c>
      <c r="G26" s="33" t="s">
        <v>13</v>
      </c>
    </row>
    <row r="27" spans="1:7" x14ac:dyDescent="0.25">
      <c r="A27" s="15" t="s">
        <v>165</v>
      </c>
      <c r="B27" s="33" t="s">
        <v>13</v>
      </c>
      <c r="C27" s="1" t="s">
        <v>388</v>
      </c>
      <c r="D27" s="1" t="s">
        <v>27</v>
      </c>
      <c r="E27" s="15">
        <v>3190</v>
      </c>
      <c r="F27" s="15" t="s">
        <v>165</v>
      </c>
      <c r="G27" s="33" t="s">
        <v>13</v>
      </c>
    </row>
    <row r="28" spans="1:7" x14ac:dyDescent="0.25">
      <c r="A28" s="15" t="s">
        <v>185</v>
      </c>
      <c r="B28" s="33" t="s">
        <v>13</v>
      </c>
      <c r="C28" s="1" t="s">
        <v>388</v>
      </c>
      <c r="D28" s="1" t="s">
        <v>59</v>
      </c>
      <c r="E28" s="15">
        <v>2116</v>
      </c>
      <c r="F28" s="15" t="s">
        <v>185</v>
      </c>
      <c r="G28" s="33" t="s">
        <v>13</v>
      </c>
    </row>
    <row r="29" spans="1:7" x14ac:dyDescent="0.25">
      <c r="A29" s="15" t="s">
        <v>188</v>
      </c>
      <c r="B29" s="33" t="s">
        <v>13</v>
      </c>
      <c r="C29" s="1" t="s">
        <v>389</v>
      </c>
      <c r="D29" s="1" t="s">
        <v>122</v>
      </c>
      <c r="E29" s="15">
        <v>2170</v>
      </c>
      <c r="F29" s="15" t="s">
        <v>188</v>
      </c>
      <c r="G29" s="33" t="s">
        <v>13</v>
      </c>
    </row>
    <row r="30" spans="1:7" x14ac:dyDescent="0.25">
      <c r="A30" s="15" t="s">
        <v>390</v>
      </c>
      <c r="B30" s="33" t="s">
        <v>13</v>
      </c>
      <c r="C30" s="1" t="s">
        <v>61</v>
      </c>
      <c r="D30" s="1" t="s">
        <v>391</v>
      </c>
      <c r="E30" s="15">
        <v>2030</v>
      </c>
      <c r="F30" s="15" t="s">
        <v>390</v>
      </c>
      <c r="G30" s="33" t="s">
        <v>13</v>
      </c>
    </row>
    <row r="31" spans="1:7" x14ac:dyDescent="0.25">
      <c r="A31" s="15" t="s">
        <v>192</v>
      </c>
      <c r="B31" s="33" t="s">
        <v>13</v>
      </c>
      <c r="C31" s="1" t="s">
        <v>1131</v>
      </c>
      <c r="D31" s="1" t="s">
        <v>79</v>
      </c>
      <c r="E31" s="15">
        <v>2180</v>
      </c>
      <c r="F31" s="15" t="s">
        <v>192</v>
      </c>
      <c r="G31" s="33" t="s">
        <v>13</v>
      </c>
    </row>
    <row r="32" spans="1:7" x14ac:dyDescent="0.25">
      <c r="A32" s="15" t="s">
        <v>144</v>
      </c>
      <c r="B32" s="33" t="s">
        <v>13</v>
      </c>
      <c r="C32" s="1" t="s">
        <v>1131</v>
      </c>
      <c r="D32" s="1" t="s">
        <v>53</v>
      </c>
      <c r="E32" s="15">
        <v>2185</v>
      </c>
      <c r="F32" s="15" t="s">
        <v>144</v>
      </c>
      <c r="G32" s="33" t="s">
        <v>13</v>
      </c>
    </row>
    <row r="33" spans="1:7" x14ac:dyDescent="0.25">
      <c r="A33" s="15" t="s">
        <v>1259</v>
      </c>
      <c r="B33" s="33" t="s">
        <v>1260</v>
      </c>
      <c r="C33" s="1" t="s">
        <v>1261</v>
      </c>
      <c r="D33" s="1" t="s">
        <v>1261</v>
      </c>
      <c r="E33" s="15">
        <v>4190</v>
      </c>
      <c r="F33" s="15" t="s">
        <v>1259</v>
      </c>
      <c r="G33" s="33" t="s">
        <v>1260</v>
      </c>
    </row>
    <row r="34" spans="1:7" x14ac:dyDescent="0.25">
      <c r="A34" s="15" t="s">
        <v>1262</v>
      </c>
      <c r="B34" s="33" t="s">
        <v>1260</v>
      </c>
      <c r="C34" s="1" t="s">
        <v>403</v>
      </c>
      <c r="D34" s="1" t="s">
        <v>1263</v>
      </c>
      <c r="E34" s="15">
        <v>3310</v>
      </c>
      <c r="F34" s="15" t="s">
        <v>1262</v>
      </c>
      <c r="G34" s="33" t="s">
        <v>1260</v>
      </c>
    </row>
    <row r="35" spans="1:7" x14ac:dyDescent="0.25">
      <c r="A35" s="15" t="s">
        <v>1264</v>
      </c>
      <c r="B35" s="33" t="s">
        <v>1260</v>
      </c>
      <c r="C35" s="1" t="s">
        <v>405</v>
      </c>
      <c r="D35" s="1" t="s">
        <v>1265</v>
      </c>
      <c r="E35" s="15">
        <v>3340</v>
      </c>
      <c r="F35" s="15" t="s">
        <v>1264</v>
      </c>
      <c r="G35" s="33" t="s">
        <v>1260</v>
      </c>
    </row>
    <row r="36" spans="1:7" x14ac:dyDescent="0.25">
      <c r="A36" s="15" t="s">
        <v>148</v>
      </c>
      <c r="B36" s="33" t="s">
        <v>1260</v>
      </c>
      <c r="C36" s="1" t="s">
        <v>405</v>
      </c>
      <c r="D36" s="1" t="s">
        <v>1266</v>
      </c>
      <c r="E36" s="15">
        <v>3160</v>
      </c>
      <c r="F36" s="15" t="s">
        <v>148</v>
      </c>
      <c r="G36" s="33" t="s">
        <v>1260</v>
      </c>
    </row>
    <row r="37" spans="1:7" x14ac:dyDescent="0.25">
      <c r="A37" s="15" t="s">
        <v>1267</v>
      </c>
      <c r="B37" s="33" t="s">
        <v>1260</v>
      </c>
      <c r="C37" s="1" t="s">
        <v>1268</v>
      </c>
      <c r="D37" s="1" t="s">
        <v>1269</v>
      </c>
      <c r="E37" s="15">
        <v>4210</v>
      </c>
      <c r="F37" s="15" t="s">
        <v>1267</v>
      </c>
      <c r="G37" s="33" t="s">
        <v>1260</v>
      </c>
    </row>
    <row r="38" spans="1:7" x14ac:dyDescent="0.25">
      <c r="A38" s="15" t="s">
        <v>172</v>
      </c>
      <c r="B38" s="33" t="s">
        <v>1260</v>
      </c>
      <c r="C38" s="1" t="s">
        <v>403</v>
      </c>
      <c r="D38" s="1" t="s">
        <v>30</v>
      </c>
      <c r="E38" s="15">
        <v>4118</v>
      </c>
      <c r="F38" s="15" t="s">
        <v>172</v>
      </c>
      <c r="G38" s="33" t="s">
        <v>1260</v>
      </c>
    </row>
    <row r="39" spans="1:7" x14ac:dyDescent="0.25">
      <c r="A39" s="15" t="s">
        <v>1270</v>
      </c>
      <c r="B39" s="33" t="s">
        <v>1260</v>
      </c>
      <c r="C39" s="1" t="s">
        <v>75</v>
      </c>
      <c r="D39" s="1" t="s">
        <v>1271</v>
      </c>
      <c r="E39" s="15">
        <v>4170</v>
      </c>
      <c r="F39" s="15" t="s">
        <v>1270</v>
      </c>
      <c r="G39" s="33" t="s">
        <v>1260</v>
      </c>
    </row>
    <row r="40" spans="1:7" x14ac:dyDescent="0.25">
      <c r="A40" s="15" t="s">
        <v>168</v>
      </c>
      <c r="B40" s="33" t="s">
        <v>1260</v>
      </c>
      <c r="C40" s="1" t="s">
        <v>75</v>
      </c>
      <c r="D40" s="1" t="s">
        <v>1272</v>
      </c>
      <c r="E40" s="15">
        <v>4147</v>
      </c>
      <c r="F40" s="15" t="s">
        <v>168</v>
      </c>
      <c r="G40" s="33" t="s">
        <v>1260</v>
      </c>
    </row>
    <row r="41" spans="1:7" x14ac:dyDescent="0.25">
      <c r="A41" s="15" t="s">
        <v>1273</v>
      </c>
      <c r="B41" s="33" t="s">
        <v>1260</v>
      </c>
      <c r="C41" s="1" t="s">
        <v>1268</v>
      </c>
      <c r="D41" s="1" t="s">
        <v>1274</v>
      </c>
      <c r="E41" s="15">
        <v>4220</v>
      </c>
      <c r="F41" s="15" t="s">
        <v>1273</v>
      </c>
      <c r="G41" s="33" t="s">
        <v>1260</v>
      </c>
    </row>
    <row r="42" spans="1:7" x14ac:dyDescent="0.25">
      <c r="A42" s="15" t="s">
        <v>161</v>
      </c>
      <c r="B42" s="33" t="s">
        <v>3</v>
      </c>
      <c r="C42" s="1" t="s">
        <v>394</v>
      </c>
      <c r="D42" s="1" t="s">
        <v>5</v>
      </c>
      <c r="E42" s="15">
        <v>2220</v>
      </c>
      <c r="F42" s="15" t="s">
        <v>161</v>
      </c>
      <c r="G42" s="33" t="s">
        <v>3</v>
      </c>
    </row>
    <row r="43" spans="1:7" x14ac:dyDescent="0.25">
      <c r="A43" s="15" t="s">
        <v>145</v>
      </c>
      <c r="B43" s="33" t="s">
        <v>3</v>
      </c>
      <c r="C43" s="1" t="s">
        <v>395</v>
      </c>
      <c r="D43" s="1" t="s">
        <v>42</v>
      </c>
      <c r="E43" s="15">
        <v>3023</v>
      </c>
      <c r="F43" s="15" t="s">
        <v>145</v>
      </c>
      <c r="G43" s="33" t="s">
        <v>3</v>
      </c>
    </row>
    <row r="44" spans="1:7" x14ac:dyDescent="0.25">
      <c r="A44" s="15" t="s">
        <v>147</v>
      </c>
      <c r="B44" s="33" t="s">
        <v>3</v>
      </c>
      <c r="C44" s="1" t="s">
        <v>396</v>
      </c>
      <c r="D44" s="1" t="s">
        <v>26</v>
      </c>
      <c r="E44" s="15">
        <v>3150</v>
      </c>
      <c r="F44" s="15" t="s">
        <v>147</v>
      </c>
      <c r="G44" s="33" t="s">
        <v>3</v>
      </c>
    </row>
    <row r="45" spans="1:7" x14ac:dyDescent="0.25">
      <c r="A45" s="15" t="s">
        <v>1133</v>
      </c>
      <c r="B45" s="33" t="s">
        <v>3</v>
      </c>
      <c r="C45" s="1" t="s">
        <v>1134</v>
      </c>
      <c r="D45" s="1" t="s">
        <v>1135</v>
      </c>
      <c r="E45" s="15">
        <v>3040</v>
      </c>
      <c r="F45" s="15" t="s">
        <v>1133</v>
      </c>
      <c r="G45" s="33" t="s">
        <v>3</v>
      </c>
    </row>
    <row r="46" spans="1:7" x14ac:dyDescent="0.25">
      <c r="A46" s="15" t="s">
        <v>146</v>
      </c>
      <c r="B46" s="33" t="s">
        <v>3</v>
      </c>
      <c r="C46" s="1" t="s">
        <v>395</v>
      </c>
      <c r="D46" s="1" t="s">
        <v>80</v>
      </c>
      <c r="E46" s="15">
        <v>3126</v>
      </c>
      <c r="F46" s="15" t="s">
        <v>146</v>
      </c>
      <c r="G46" s="33" t="s">
        <v>3</v>
      </c>
    </row>
    <row r="47" spans="1:7" x14ac:dyDescent="0.25">
      <c r="A47" s="15" t="s">
        <v>149</v>
      </c>
      <c r="B47" s="33" t="s">
        <v>3</v>
      </c>
      <c r="C47" s="1" t="s">
        <v>393</v>
      </c>
      <c r="D47" s="1" t="s">
        <v>65</v>
      </c>
      <c r="E47" s="15">
        <v>3186</v>
      </c>
      <c r="F47" s="15" t="s">
        <v>149</v>
      </c>
      <c r="G47" s="33" t="s">
        <v>3</v>
      </c>
    </row>
    <row r="48" spans="1:7" x14ac:dyDescent="0.25">
      <c r="A48" s="15" t="s">
        <v>153</v>
      </c>
      <c r="B48" s="33" t="s">
        <v>3</v>
      </c>
      <c r="C48" s="1" t="s">
        <v>394</v>
      </c>
      <c r="D48" s="1" t="s">
        <v>2</v>
      </c>
      <c r="E48" s="15">
        <v>2270</v>
      </c>
      <c r="F48" s="15" t="s">
        <v>153</v>
      </c>
      <c r="G48" s="33" t="s">
        <v>3</v>
      </c>
    </row>
    <row r="49" spans="1:7" x14ac:dyDescent="0.25">
      <c r="A49" s="15" t="s">
        <v>156</v>
      </c>
      <c r="B49" s="33" t="s">
        <v>3</v>
      </c>
      <c r="C49" s="1" t="s">
        <v>1132</v>
      </c>
      <c r="D49" s="1" t="s">
        <v>76</v>
      </c>
      <c r="E49" s="15">
        <v>3051</v>
      </c>
      <c r="F49" s="15" t="s">
        <v>156</v>
      </c>
      <c r="G49" s="33" t="s">
        <v>3</v>
      </c>
    </row>
    <row r="50" spans="1:7" x14ac:dyDescent="0.25">
      <c r="A50" s="15" t="s">
        <v>141</v>
      </c>
      <c r="B50" s="33" t="s">
        <v>3</v>
      </c>
      <c r="C50" s="1" t="s">
        <v>1132</v>
      </c>
      <c r="D50" s="1" t="s">
        <v>51</v>
      </c>
      <c r="E50" s="15">
        <v>3147</v>
      </c>
      <c r="F50" s="15" t="s">
        <v>141</v>
      </c>
      <c r="G50" s="33" t="s">
        <v>3</v>
      </c>
    </row>
    <row r="51" spans="1:7" x14ac:dyDescent="0.25">
      <c r="A51" s="15" t="s">
        <v>159</v>
      </c>
      <c r="B51" s="33" t="s">
        <v>3</v>
      </c>
      <c r="C51" s="1" t="s">
        <v>393</v>
      </c>
      <c r="D51" s="1" t="s">
        <v>49</v>
      </c>
      <c r="E51" s="15">
        <v>2230</v>
      </c>
      <c r="F51" s="15" t="s">
        <v>159</v>
      </c>
      <c r="G51" s="33" t="s">
        <v>3</v>
      </c>
    </row>
    <row r="52" spans="1:7" x14ac:dyDescent="0.25">
      <c r="A52" s="15" t="s">
        <v>385</v>
      </c>
      <c r="B52" s="33" t="s">
        <v>3</v>
      </c>
      <c r="C52" s="1" t="s">
        <v>394</v>
      </c>
      <c r="D52" s="1" t="s">
        <v>250</v>
      </c>
      <c r="E52" s="15">
        <v>3139</v>
      </c>
      <c r="F52" s="15" t="s">
        <v>385</v>
      </c>
      <c r="G52" s="33" t="s">
        <v>3</v>
      </c>
    </row>
    <row r="53" spans="1:7" x14ac:dyDescent="0.25">
      <c r="A53" s="15" t="s">
        <v>151</v>
      </c>
      <c r="B53" s="33" t="s">
        <v>3</v>
      </c>
      <c r="C53" s="1" t="s">
        <v>396</v>
      </c>
      <c r="D53" s="1" t="s">
        <v>24</v>
      </c>
      <c r="E53" s="15">
        <v>3170</v>
      </c>
      <c r="F53" s="15" t="s">
        <v>151</v>
      </c>
      <c r="G53" s="33" t="s">
        <v>3</v>
      </c>
    </row>
    <row r="54" spans="1:7" x14ac:dyDescent="0.25">
      <c r="A54" s="15" t="s">
        <v>1136</v>
      </c>
      <c r="B54" s="33" t="s">
        <v>8</v>
      </c>
      <c r="C54" s="1" t="s">
        <v>398</v>
      </c>
      <c r="D54" s="1" t="s">
        <v>1137</v>
      </c>
      <c r="E54" s="15">
        <v>2010</v>
      </c>
      <c r="F54" s="15" t="s">
        <v>1136</v>
      </c>
      <c r="G54" s="33" t="s">
        <v>8</v>
      </c>
    </row>
    <row r="55" spans="1:7" x14ac:dyDescent="0.25">
      <c r="A55" s="15" t="s">
        <v>142</v>
      </c>
      <c r="B55" s="33" t="s">
        <v>8</v>
      </c>
      <c r="C55" s="1" t="s">
        <v>401</v>
      </c>
      <c r="D55" s="1" t="s">
        <v>29</v>
      </c>
      <c r="E55" s="15">
        <v>3135</v>
      </c>
      <c r="F55" s="15" t="s">
        <v>142</v>
      </c>
      <c r="G55" s="33" t="s">
        <v>8</v>
      </c>
    </row>
    <row r="56" spans="1:7" x14ac:dyDescent="0.25">
      <c r="A56" s="15" t="s">
        <v>163</v>
      </c>
      <c r="B56" s="33" t="s">
        <v>8</v>
      </c>
      <c r="C56" s="1" t="s">
        <v>402</v>
      </c>
      <c r="D56" s="1" t="s">
        <v>121</v>
      </c>
      <c r="E56" s="15">
        <v>2210</v>
      </c>
      <c r="F56" s="15" t="s">
        <v>163</v>
      </c>
      <c r="G56" s="33" t="s">
        <v>8</v>
      </c>
    </row>
    <row r="57" spans="1:7" x14ac:dyDescent="0.25">
      <c r="A57" s="15" t="s">
        <v>164</v>
      </c>
      <c r="B57" s="33" t="s">
        <v>8</v>
      </c>
      <c r="C57" s="1" t="s">
        <v>400</v>
      </c>
      <c r="D57" s="1" t="s">
        <v>10</v>
      </c>
      <c r="E57" s="15">
        <v>2260</v>
      </c>
      <c r="F57" s="15" t="s">
        <v>164</v>
      </c>
      <c r="G57" s="33" t="s">
        <v>8</v>
      </c>
    </row>
    <row r="58" spans="1:7" x14ac:dyDescent="0.25">
      <c r="A58" s="15" t="s">
        <v>157</v>
      </c>
      <c r="B58" s="33" t="s">
        <v>8</v>
      </c>
      <c r="C58" s="1" t="s">
        <v>402</v>
      </c>
      <c r="D58" s="1" t="s">
        <v>32</v>
      </c>
      <c r="E58" s="15">
        <v>2250</v>
      </c>
      <c r="F58" s="15" t="s">
        <v>157</v>
      </c>
      <c r="G58" s="33" t="s">
        <v>8</v>
      </c>
    </row>
    <row r="59" spans="1:7" x14ac:dyDescent="0.25">
      <c r="A59" s="15" t="s">
        <v>160</v>
      </c>
      <c r="B59" s="33" t="s">
        <v>8</v>
      </c>
      <c r="C59" s="1" t="s">
        <v>398</v>
      </c>
      <c r="D59" s="1" t="s">
        <v>21</v>
      </c>
      <c r="E59" s="15">
        <v>2125</v>
      </c>
      <c r="F59" s="15" t="s">
        <v>160</v>
      </c>
      <c r="G59" s="33" t="s">
        <v>8</v>
      </c>
    </row>
    <row r="60" spans="1:7" x14ac:dyDescent="0.25">
      <c r="A60" s="15" t="s">
        <v>158</v>
      </c>
      <c r="B60" s="33" t="s">
        <v>8</v>
      </c>
      <c r="C60" s="1" t="s">
        <v>399</v>
      </c>
      <c r="D60" s="1" t="s">
        <v>7</v>
      </c>
      <c r="E60" s="15">
        <v>3055</v>
      </c>
      <c r="F60" s="15" t="s">
        <v>158</v>
      </c>
      <c r="G60" s="33" t="s">
        <v>8</v>
      </c>
    </row>
    <row r="61" spans="1:7" x14ac:dyDescent="0.25">
      <c r="A61" s="15" t="s">
        <v>162</v>
      </c>
      <c r="B61" s="33" t="s">
        <v>8</v>
      </c>
      <c r="C61" s="1" t="s">
        <v>397</v>
      </c>
      <c r="D61" s="1" t="s">
        <v>16</v>
      </c>
      <c r="E61" s="15">
        <v>2240</v>
      </c>
      <c r="F61" s="15" t="s">
        <v>162</v>
      </c>
      <c r="G61" s="33" t="s">
        <v>8</v>
      </c>
    </row>
    <row r="62" spans="1:7" x14ac:dyDescent="0.25">
      <c r="A62" s="15" t="s">
        <v>154</v>
      </c>
      <c r="B62" s="33" t="s">
        <v>8</v>
      </c>
      <c r="C62" s="1" t="s">
        <v>398</v>
      </c>
      <c r="D62" s="1" t="s">
        <v>25</v>
      </c>
      <c r="E62" s="15">
        <v>2135</v>
      </c>
      <c r="F62" s="15" t="s">
        <v>154</v>
      </c>
      <c r="G62" s="33" t="s">
        <v>8</v>
      </c>
    </row>
    <row r="63" spans="1:7" ht="15.75" thickBot="1" x14ac:dyDescent="0.3">
      <c r="A63" s="34" t="s">
        <v>137</v>
      </c>
      <c r="B63" s="35" t="s">
        <v>8</v>
      </c>
      <c r="C63" s="36" t="s">
        <v>401</v>
      </c>
      <c r="D63" s="36" t="s">
        <v>57</v>
      </c>
      <c r="E63" s="34">
        <v>3103</v>
      </c>
      <c r="F63" s="34" t="s">
        <v>137</v>
      </c>
      <c r="G63" s="35" t="s">
        <v>8</v>
      </c>
    </row>
    <row r="64" spans="1:7" x14ac:dyDescent="0.25">
      <c r="A64" t="s">
        <v>189</v>
      </c>
      <c r="B64" t="s">
        <v>8</v>
      </c>
      <c r="C64" t="s">
        <v>398</v>
      </c>
      <c r="D64" t="s">
        <v>81</v>
      </c>
      <c r="E64">
        <v>2165</v>
      </c>
      <c r="F64" t="s">
        <v>189</v>
      </c>
      <c r="G64" t="s">
        <v>8</v>
      </c>
    </row>
    <row r="65" spans="1:7" x14ac:dyDescent="0.25">
      <c r="A65" t="s">
        <v>139</v>
      </c>
      <c r="B65" t="s">
        <v>18</v>
      </c>
      <c r="C65" t="s">
        <v>1275</v>
      </c>
      <c r="D65" t="s">
        <v>56</v>
      </c>
      <c r="E65">
        <v>1933</v>
      </c>
      <c r="F65" t="s">
        <v>139</v>
      </c>
      <c r="G65" t="s">
        <v>18</v>
      </c>
    </row>
    <row r="66" spans="1:7" x14ac:dyDescent="0.25">
      <c r="A66" t="s">
        <v>166</v>
      </c>
      <c r="B66" t="s">
        <v>18</v>
      </c>
      <c r="C66" t="s">
        <v>406</v>
      </c>
      <c r="D66" t="s">
        <v>55</v>
      </c>
      <c r="E66">
        <v>4150</v>
      </c>
      <c r="F66" t="s">
        <v>166</v>
      </c>
      <c r="G66" t="s">
        <v>18</v>
      </c>
    </row>
    <row r="67" spans="1:7" x14ac:dyDescent="0.25">
      <c r="A67" t="s">
        <v>1276</v>
      </c>
      <c r="B67" t="s">
        <v>18</v>
      </c>
      <c r="C67" t="s">
        <v>1277</v>
      </c>
      <c r="D67" t="s">
        <v>1278</v>
      </c>
      <c r="E67">
        <v>4175</v>
      </c>
      <c r="F67" t="s">
        <v>1276</v>
      </c>
      <c r="G67" t="s">
        <v>18</v>
      </c>
    </row>
    <row r="68" spans="1:7" x14ac:dyDescent="0.25">
      <c r="A68" t="s">
        <v>178</v>
      </c>
      <c r="B68" t="s">
        <v>18</v>
      </c>
      <c r="C68" t="s">
        <v>407</v>
      </c>
      <c r="D68" t="s">
        <v>52</v>
      </c>
      <c r="E68">
        <v>4100</v>
      </c>
      <c r="F68" t="s">
        <v>178</v>
      </c>
      <c r="G68" t="s">
        <v>18</v>
      </c>
    </row>
    <row r="69" spans="1:7" x14ac:dyDescent="0.25">
      <c r="A69" t="s">
        <v>173</v>
      </c>
      <c r="B69" t="s">
        <v>18</v>
      </c>
      <c r="C69" t="s">
        <v>406</v>
      </c>
      <c r="D69" t="s">
        <v>63</v>
      </c>
      <c r="E69">
        <v>4120</v>
      </c>
      <c r="F69" t="s">
        <v>173</v>
      </c>
      <c r="G69" t="s">
        <v>18</v>
      </c>
    </row>
    <row r="70" spans="1:7" x14ac:dyDescent="0.25">
      <c r="A70" t="s">
        <v>150</v>
      </c>
      <c r="B70" t="s">
        <v>18</v>
      </c>
      <c r="C70" t="s">
        <v>1275</v>
      </c>
      <c r="D70" t="s">
        <v>68</v>
      </c>
      <c r="E70">
        <v>3120</v>
      </c>
      <c r="F70" t="s">
        <v>150</v>
      </c>
      <c r="G70" t="s">
        <v>18</v>
      </c>
    </row>
    <row r="71" spans="1:7" x14ac:dyDescent="0.25">
      <c r="A71" t="s">
        <v>171</v>
      </c>
      <c r="B71" t="s">
        <v>18</v>
      </c>
      <c r="C71" t="s">
        <v>407</v>
      </c>
      <c r="D71" t="s">
        <v>54</v>
      </c>
      <c r="E71">
        <v>4146</v>
      </c>
      <c r="F71" t="s">
        <v>171</v>
      </c>
      <c r="G71" t="s">
        <v>18</v>
      </c>
    </row>
    <row r="72" spans="1:7" x14ac:dyDescent="0.25">
      <c r="A72" t="s">
        <v>1279</v>
      </c>
      <c r="B72" t="s">
        <v>18</v>
      </c>
      <c r="C72" t="s">
        <v>1277</v>
      </c>
      <c r="D72" t="s">
        <v>1280</v>
      </c>
      <c r="E72">
        <v>4135</v>
      </c>
      <c r="F72" t="s">
        <v>1279</v>
      </c>
      <c r="G72" t="s">
        <v>18</v>
      </c>
    </row>
    <row r="73" spans="1:7" x14ac:dyDescent="0.25">
      <c r="A73" t="s">
        <v>167</v>
      </c>
      <c r="B73" t="s">
        <v>18</v>
      </c>
      <c r="C73" t="s">
        <v>404</v>
      </c>
      <c r="D73" t="s">
        <v>73</v>
      </c>
      <c r="E73">
        <v>4110</v>
      </c>
      <c r="F73" t="s">
        <v>167</v>
      </c>
      <c r="G73" t="s">
        <v>18</v>
      </c>
    </row>
    <row r="74" spans="1:7" x14ac:dyDescent="0.25">
      <c r="A74" t="s">
        <v>170</v>
      </c>
      <c r="B74" t="s">
        <v>18</v>
      </c>
      <c r="C74" t="s">
        <v>406</v>
      </c>
      <c r="D74" t="s">
        <v>40</v>
      </c>
      <c r="E74">
        <v>4140</v>
      </c>
      <c r="F74" t="s">
        <v>170</v>
      </c>
      <c r="G74" t="s">
        <v>18</v>
      </c>
    </row>
    <row r="75" spans="1:7" x14ac:dyDescent="0.25">
      <c r="A75" t="s">
        <v>169</v>
      </c>
      <c r="B75" t="s">
        <v>18</v>
      </c>
      <c r="C75" t="s">
        <v>404</v>
      </c>
      <c r="D75" t="s">
        <v>17</v>
      </c>
      <c r="E75">
        <v>4117</v>
      </c>
      <c r="F75" t="s">
        <v>169</v>
      </c>
      <c r="G75" t="s">
        <v>18</v>
      </c>
    </row>
    <row r="76" spans="1:7" x14ac:dyDescent="0.25">
      <c r="A76" t="s">
        <v>1281</v>
      </c>
      <c r="B76" t="s">
        <v>18</v>
      </c>
      <c r="C76" t="s">
        <v>1277</v>
      </c>
      <c r="D76" t="s">
        <v>1282</v>
      </c>
      <c r="E76">
        <v>4125</v>
      </c>
      <c r="F76" t="s">
        <v>1281</v>
      </c>
      <c r="G76" t="s">
        <v>18</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46EC3AB8-1CB3-48B3-9854-EC0BA663952A}"/>
</file>

<file path=customXml/itemProps3.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26</vt:i4>
      </vt:variant>
    </vt:vector>
  </HeadingPairs>
  <TitlesOfParts>
    <vt:vector size="51" baseType="lpstr">
      <vt:lpstr>EOA Form</vt:lpstr>
      <vt:lpstr>Welcome</vt:lpstr>
      <vt:lpstr>Customer Inputs</vt:lpstr>
      <vt:lpstr>PIM Model</vt:lpstr>
      <vt:lpstr>Incentives</vt:lpstr>
      <vt:lpstr>Variable Costs &amp; Income</vt:lpstr>
      <vt:lpstr>Tracking &amp; Profitability</vt:lpstr>
      <vt:lpstr>Required Info to Submit</vt:lpstr>
      <vt:lpstr>Incentive Setup</vt:lpstr>
      <vt:lpstr>MDA Worksheet</vt:lpstr>
      <vt:lpstr>PRIME Upload</vt:lpstr>
      <vt:lpstr>PRIME Headers</vt:lpstr>
      <vt:lpstr>CC MARKET EXPENSE</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Market Geography</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'Existing Customers'!ExternalData_2</vt:lpstr>
      <vt:lpstr>'Variable Div Avgs'!ExternalData_2</vt:lpstr>
      <vt:lpstr>'Variable Selling'!ExternalData_2</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Lim, Alex A</cp:lastModifiedBy>
  <cp:lastPrinted>2019-08-09T13:48:53Z</cp:lastPrinted>
  <dcterms:created xsi:type="dcterms:W3CDTF">2017-05-14T21:09:52Z</dcterms:created>
  <dcterms:modified xsi:type="dcterms:W3CDTF">2021-07-02T17:44:37Z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ies>
</file>