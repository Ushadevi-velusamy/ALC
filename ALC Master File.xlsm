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E1CAA62-2CC3-48FF-9B4A-5C74F197BA3D}"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18"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A5" i="72"/>
  <c r="EK5" i="72"/>
  <c r="HU5" i="72"/>
  <c r="BW5" i="72"/>
  <c r="BW48" i="72" s="1"/>
  <c r="FG5" i="72"/>
  <c r="IQ5" i="72"/>
  <c r="CS5" i="72"/>
  <c r="GC5" i="72"/>
  <c r="DO5" i="72"/>
  <c r="GY5"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18" i="76"/>
  <c r="R15" i="76"/>
  <c r="R31" i="76"/>
  <c r="R28" i="76"/>
  <c r="R25" i="76"/>
  <c r="R26"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R35" i="72"/>
  <c r="C10" i="69"/>
  <c r="C4" i="69"/>
  <c r="R23" i="76" l="1"/>
  <c r="T23" i="76" s="1"/>
  <c r="O12" i="76"/>
  <c r="S12" i="76" s="1"/>
  <c r="R17" i="76"/>
  <c r="T17" i="76" s="1"/>
  <c r="R20" i="76"/>
  <c r="T20" i="76" s="1"/>
  <c r="R14" i="76"/>
  <c r="T14" i="76" s="1"/>
  <c r="S24" i="76"/>
  <c r="T24" i="76"/>
  <c r="S20" i="76"/>
  <c r="T31" i="76"/>
  <c r="S31" i="76"/>
  <c r="T21" i="76"/>
  <c r="S21" i="76"/>
  <c r="T18" i="76"/>
  <c r="S18" i="76"/>
  <c r="S23" i="76"/>
  <c r="T30" i="76"/>
  <c r="S30" i="76"/>
  <c r="S27" i="76"/>
  <c r="T27" i="76"/>
  <c r="T29" i="76"/>
  <c r="S29" i="76"/>
  <c r="T12" i="76"/>
  <c r="S32" i="76"/>
  <c r="T32" i="76"/>
  <c r="S15" i="76"/>
  <c r="T15" i="76"/>
  <c r="T13" i="76"/>
  <c r="S13" i="76"/>
  <c r="AO13" i="76" s="1"/>
  <c r="T19" i="76"/>
  <c r="S19" i="76"/>
  <c r="S17" i="76"/>
  <c r="S14" i="76"/>
  <c r="T25" i="76"/>
  <c r="S25" i="76"/>
  <c r="S28" i="76"/>
  <c r="T28" i="76"/>
  <c r="S16" i="76"/>
  <c r="T16" i="76"/>
  <c r="S22" i="76"/>
  <c r="T22" i="76"/>
  <c r="T26" i="76"/>
  <c r="S26" i="76"/>
  <c r="H33" i="12"/>
  <c r="J47" i="43"/>
  <c r="E17" i="12" s="1"/>
  <c r="B26" i="65" s="1"/>
  <c r="I47" i="43"/>
  <c r="E29" i="11" s="1"/>
  <c r="Y31" i="76"/>
  <c r="AA31" i="76" s="1"/>
  <c r="Y23" i="76"/>
  <c r="AA23" i="76" s="1"/>
  <c r="R33" i="76"/>
  <c r="Q33" i="76"/>
  <c r="O33" i="76"/>
  <c r="P33" i="76"/>
  <c r="C35" i="72"/>
  <c r="D35" i="72"/>
  <c r="N35" i="72" l="1"/>
  <c r="K35" i="72"/>
  <c r="J35" i="72"/>
  <c r="I35" i="72"/>
  <c r="E23" i="1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<sst xmlns="http://schemas.openxmlformats.org/spreadsheetml/2006/main" count="5011" uniqueCount="1505">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</sst>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8" t="s">
        <v>779</v>
      </c>
      <c r="B1" s="1178"/>
      <c r="C1" s="1178"/>
      <c r="D1" s="1178"/>
      <c r="E1" s="1178"/>
    </row>
    <row r="2" spans="1:5" x14ac:dyDescent="0.25">
      <c r="A2" s="1178" t="s">
        <v>780</v>
      </c>
      <c r="B2" s="1178"/>
      <c r="C2" s="1178"/>
      <c r="D2" s="1178"/>
      <c r="E2" s="1178"/>
    </row>
    <row r="3" spans="1:5" x14ac:dyDescent="0.25">
      <c r="A3" s="74"/>
    </row>
    <row r="4" spans="1:5" ht="78" customHeight="1" x14ac:dyDescent="0.25">
      <c r="A4" s="1196" t="s">
        <v>781</v>
      </c>
      <c r="B4" s="1196"/>
      <c r="C4" s="1196"/>
      <c r="D4" s="1196"/>
      <c r="E4" s="1196"/>
    </row>
    <row r="5" spans="1:5" x14ac:dyDescent="0.25">
      <c r="A5" s="74"/>
    </row>
    <row r="6" spans="1:5" ht="31.5" customHeight="1" x14ac:dyDescent="0.25">
      <c r="A6" s="1195" t="s">
        <v>782</v>
      </c>
      <c r="B6" s="1195"/>
      <c r="C6" s="1195"/>
      <c r="D6" s="1195"/>
      <c r="E6" s="1195"/>
    </row>
    <row r="7" spans="1:5" ht="15.75" thickBot="1" x14ac:dyDescent="0.3">
      <c r="A7" s="75"/>
    </row>
    <row r="8" spans="1:5" ht="15" customHeight="1" x14ac:dyDescent="0.25">
      <c r="A8" s="1189" t="s">
        <v>783</v>
      </c>
      <c r="B8" s="1190"/>
      <c r="C8" s="1190"/>
      <c r="D8" s="1190"/>
      <c r="E8" s="1191"/>
    </row>
    <row r="9" spans="1:5" ht="15" customHeight="1" thickBot="1" x14ac:dyDescent="0.3">
      <c r="A9" s="1192" t="s">
        <v>784</v>
      </c>
      <c r="B9" s="1193"/>
      <c r="C9" s="1193"/>
      <c r="D9" s="1193"/>
      <c r="E9" s="1194"/>
    </row>
    <row r="10" spans="1:5" x14ac:dyDescent="0.25">
      <c r="A10" s="76"/>
      <c r="B10" s="1186"/>
      <c r="C10" s="1186"/>
      <c r="D10" s="80"/>
    </row>
    <row r="11" spans="1:5" ht="31.5" customHeight="1" thickBot="1" x14ac:dyDescent="0.3">
      <c r="A11" s="78" t="s">
        <v>785</v>
      </c>
      <c r="B11" s="1187" t="s">
        <v>786</v>
      </c>
      <c r="C11" s="1187"/>
      <c r="D11" s="80">
        <f>Welcome!$D$4</f>
        <v>0</v>
      </c>
    </row>
    <row r="12" spans="1:5" ht="15.75" thickBot="1" x14ac:dyDescent="0.3">
      <c r="A12" s="78" t="s">
        <v>787</v>
      </c>
      <c r="B12" s="1188">
        <f>'MDA Worksheet'!$R$18</f>
        <v>0</v>
      </c>
      <c r="C12" s="1188"/>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85"/>
      <c r="C17" s="1185"/>
      <c r="D17" s="1185"/>
      <c r="E17" s="1185"/>
    </row>
    <row r="18" spans="1:5" x14ac:dyDescent="0.25">
      <c r="A18" s="76"/>
      <c r="B18" s="119"/>
      <c r="C18" s="76"/>
      <c r="D18" s="119"/>
    </row>
    <row r="19" spans="1:5" ht="15.75" thickBot="1" x14ac:dyDescent="0.3">
      <c r="A19" s="78" t="s">
        <v>863</v>
      </c>
      <c r="B19" s="1185">
        <f>Welcome!$D$8</f>
        <v>0</v>
      </c>
      <c r="C19" s="1185"/>
      <c r="D19" s="1185"/>
      <c r="E19" s="1185"/>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97" t="s">
        <v>1284</v>
      </c>
      <c r="B42" s="1198"/>
      <c r="C42" s="1198"/>
      <c r="D42" s="1198"/>
      <c r="E42" s="1199"/>
    </row>
    <row r="43" spans="1:5" s="900" customFormat="1" x14ac:dyDescent="0.25">
      <c r="A43" s="1206"/>
      <c r="B43" s="1207"/>
      <c r="C43" s="1207"/>
      <c r="D43" s="1207"/>
      <c r="E43" s="1208"/>
    </row>
    <row r="44" spans="1:5" s="900" customFormat="1" ht="15.75" thickBot="1" x14ac:dyDescent="0.3">
      <c r="A44" s="1209"/>
      <c r="B44" s="1210"/>
      <c r="C44" s="1210"/>
      <c r="D44" s="1210"/>
      <c r="E44" s="1211"/>
    </row>
    <row r="45" spans="1:5" s="900" customFormat="1" ht="15.75" thickBot="1" x14ac:dyDescent="0.3">
      <c r="A45" s="958"/>
    </row>
    <row r="46" spans="1:5" s="900" customFormat="1" ht="15.75" thickBot="1" x14ac:dyDescent="0.3">
      <c r="A46" s="1197" t="s">
        <v>1273</v>
      </c>
      <c r="B46" s="1198"/>
      <c r="C46" s="1198"/>
      <c r="D46" s="1198"/>
      <c r="E46" s="1199"/>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0"/>
      <c r="B53" s="1201"/>
      <c r="C53" s="1201"/>
      <c r="D53" s="1201"/>
      <c r="E53" s="1202"/>
    </row>
    <row r="54" spans="1:5" s="900" customFormat="1" ht="15.75" thickBot="1" x14ac:dyDescent="0.3">
      <c r="A54" s="1203"/>
      <c r="B54" s="1204"/>
      <c r="C54" s="1204"/>
      <c r="D54" s="1204"/>
      <c r="E54" s="1205"/>
    </row>
    <row r="55" spans="1:5" ht="15.75" thickBot="1" x14ac:dyDescent="0.3">
      <c r="A55" s="958"/>
      <c r="B55" s="900"/>
      <c r="C55" s="900"/>
      <c r="D55" s="900"/>
      <c r="E55" s="900"/>
    </row>
    <row r="56" spans="1:5" ht="30.75" customHeight="1" thickBot="1" x14ac:dyDescent="0.3">
      <c r="A56" s="1179" t="s">
        <v>795</v>
      </c>
      <c r="B56" s="1180"/>
      <c r="C56" s="1180"/>
      <c r="D56" s="1180"/>
      <c r="E56" s="1181"/>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82" t="s">
        <v>807</v>
      </c>
      <c r="B67" s="1183"/>
      <c r="C67" s="1183"/>
      <c r="D67" s="1183"/>
      <c r="E67" s="1184"/>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12" t="s">
        <v>1285</v>
      </c>
      <c r="B74" s="1213"/>
      <c r="C74" s="1213"/>
      <c r="D74" s="1213"/>
      <c r="E74" s="1214"/>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75" t="s">
        <v>810</v>
      </c>
      <c r="B78" s="1176"/>
      <c r="C78" s="1176"/>
      <c r="D78" s="1176"/>
      <c r="E78" s="1177"/>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75" t="s">
        <v>812</v>
      </c>
      <c r="B83" s="1176"/>
      <c r="C83" s="1176"/>
      <c r="D83" s="1176"/>
      <c r="E83" s="1177"/>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T7" sqref="T7"/>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lKmOk1ago3UfOyFpHgFwJw512qVdj3nNTu9g4dB2X0SAT46lRwCPfF3rgqb7fMdVT3TL5M8VFku0kWx7Rda4lA==" saltValue="CZmzP7qFonnaOAFOaXaWl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8" priority="11">
      <formula>$U6="Existing"</formula>
    </cfRule>
    <cfRule type="expression" dxfId="0" priority="35">
      <formula>AND($K6&lt;&gt;"Enter Spend&gt;&gt;&gt;",$U6&lt;&gt;"Prospect")</formula>
    </cfRule>
  </conditionalFormatting>
  <conditionalFormatting sqref="O6:O15 L6:L15">
    <cfRule type="expression" dxfId="27" priority="31">
      <formula>Q6&lt;&gt;""</formula>
    </cfRule>
  </conditionalFormatting>
  <conditionalFormatting sqref="S6:S15">
    <cfRule type="expression" dxfId="26" priority="29">
      <formula>$W6="Zip Code Not Serviced"</formula>
    </cfRule>
  </conditionalFormatting>
  <conditionalFormatting sqref="L3:N3">
    <cfRule type="expression" dxfId="25" priority="25">
      <formula>$AN$4&gt;0</formula>
    </cfRule>
  </conditionalFormatting>
  <conditionalFormatting sqref="T6:V15">
    <cfRule type="expression" dxfId="24" priority="20">
      <formula>$K6&lt;&gt;"Enter Spend&gt;&gt;&gt;"</formula>
    </cfRule>
  </conditionalFormatting>
  <conditionalFormatting sqref="T6:V15">
    <cfRule type="expression" dxfId="23" priority="21">
      <formula>$F6=""</formula>
    </cfRule>
    <cfRule type="notContainsBlanks" dxfId="22" priority="22">
      <formula>LEN(TRIM(T6))&gt;0</formula>
    </cfRule>
  </conditionalFormatting>
  <conditionalFormatting sqref="T6:V15">
    <cfRule type="expression" dxfId="21" priority="19">
      <formula>$AN6="FLAG"</formula>
    </cfRule>
  </conditionalFormatting>
  <conditionalFormatting sqref="T6:T15">
    <cfRule type="expression" dxfId="20" priority="18">
      <formula>$W6="Zip Code Not Serviced"</formula>
    </cfRule>
  </conditionalFormatting>
  <conditionalFormatting sqref="T6:T15">
    <cfRule type="expression" dxfId="19" priority="17">
      <formula>$W6="Zip Code Not Serviced"</formula>
    </cfRule>
  </conditionalFormatting>
  <conditionalFormatting sqref="U6:U15">
    <cfRule type="expression" dxfId="18" priority="16">
      <formula>$W6="Zip Code Not Serviced"</formula>
    </cfRule>
  </conditionalFormatting>
  <conditionalFormatting sqref="G6:G15">
    <cfRule type="expression" dxfId="17" priority="33">
      <formula>$F6&lt;&gt;""</formula>
    </cfRule>
    <cfRule type="notContainsBlanks" dxfId="16" priority="43">
      <formula>LEN(TRIM(G6))&gt;0</formula>
    </cfRule>
  </conditionalFormatting>
  <conditionalFormatting sqref="P6:S15">
    <cfRule type="expression" dxfId="15" priority="36">
      <formula>$F6=""</formula>
    </cfRule>
    <cfRule type="notContainsBlanks" dxfId="14" priority="37">
      <formula>LEN(TRIM(P6))&gt;0</formula>
    </cfRule>
  </conditionalFormatting>
  <conditionalFormatting sqref="H6:H15">
    <cfRule type="notContainsBlanks" dxfId="13" priority="12">
      <formula>LEN(TRIM(H6))&gt;0</formula>
    </cfRule>
    <cfRule type="expression" dxfId="12" priority="13">
      <formula>$F6&lt;&gt;""</formula>
    </cfRule>
  </conditionalFormatting>
  <conditionalFormatting sqref="K6:S15">
    <cfRule type="expression" dxfId="11" priority="23">
      <formula>$AN6="FLAG"</formula>
    </cfRule>
  </conditionalFormatting>
  <conditionalFormatting sqref="U14">
    <cfRule type="expression" dxfId="10" priority="10">
      <formula>$AP14="Prospect"</formula>
    </cfRule>
  </conditionalFormatting>
  <conditionalFormatting sqref="U13">
    <cfRule type="expression" dxfId="9" priority="9">
      <formula>$AP13="Prospect"</formula>
    </cfRule>
  </conditionalFormatting>
  <conditionalFormatting sqref="U15">
    <cfRule type="expression" dxfId="8" priority="8">
      <formula>$AP15="Prospect"</formula>
    </cfRule>
  </conditionalFormatting>
  <conditionalFormatting sqref="U12">
    <cfRule type="expression" dxfId="7" priority="7">
      <formula>$AP12="Prospect"</formula>
    </cfRule>
  </conditionalFormatting>
  <conditionalFormatting sqref="U11">
    <cfRule type="expression" dxfId="6" priority="6">
      <formula>$AP11="Prospect"</formula>
    </cfRule>
  </conditionalFormatting>
  <conditionalFormatting sqref="U10">
    <cfRule type="expression" dxfId="5" priority="5">
      <formula>$AP10="Prospect"</formula>
    </cfRule>
  </conditionalFormatting>
  <conditionalFormatting sqref="U9">
    <cfRule type="expression" dxfId="4" priority="4">
      <formula>$AP9="Prospect"</formula>
    </cfRule>
  </conditionalFormatting>
  <conditionalFormatting sqref="U8">
    <cfRule type="expression" dxfId="3" priority="3">
      <formula>$AP8="Prospect"</formula>
    </cfRule>
  </conditionalFormatting>
  <conditionalFormatting sqref="U7">
    <cfRule type="expression" dxfId="2" priority="2">
      <formula>$AP7="Prospect"</formula>
    </cfRule>
  </conditionalFormatting>
  <conditionalFormatting sqref="U6">
    <cfRule type="expression" dxfId="1"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e">
        <f>'Multi-Customer'!$AH$40</f>
        <v>#N/A</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31" priority="20">
      <formula>$E10="EXCLUDE"</formula>
    </cfRule>
  </conditionalFormatting>
  <conditionalFormatting sqref="O8:O9">
    <cfRule type="expression" dxfId="230" priority="22">
      <formula>$E$3="CIA"</formula>
    </cfRule>
  </conditionalFormatting>
  <conditionalFormatting sqref="Q8:Q9">
    <cfRule type="expression" dxfId="229" priority="21">
      <formula>$E$3="CIA"</formula>
    </cfRule>
  </conditionalFormatting>
  <conditionalFormatting sqref="K9:K30">
    <cfRule type="expression" dxfId="228" priority="11">
      <formula>$E$3="CIA"</formula>
    </cfRule>
  </conditionalFormatting>
  <conditionalFormatting sqref="L10:L30">
    <cfRule type="expression" dxfId="227" priority="12">
      <formula>$AF10="ABOVE"</formula>
    </cfRule>
  </conditionalFormatting>
  <conditionalFormatting sqref="I35">
    <cfRule type="expression" dxfId="226" priority="82">
      <formula>$K$36&gt;0</formula>
    </cfRule>
    <cfRule type="expression" dxfId="225" priority="83">
      <formula>$I$35&lt;$I$33</formula>
    </cfRule>
    <cfRule type="expression" dxfId="224" priority="84">
      <formula>$I$35&gt;$I$33</formula>
    </cfRule>
  </conditionalFormatting>
  <conditionalFormatting sqref="D10:D30">
    <cfRule type="expression" dxfId="223" priority="23">
      <formula>$E$3="CIA"</formula>
    </cfRule>
  </conditionalFormatting>
  <conditionalFormatting sqref="K10:K30">
    <cfRule type="expression" dxfId="222" priority="10">
      <formula>$D10&lt;&gt;"%"</formula>
    </cfRule>
  </conditionalFormatting>
  <conditionalFormatting sqref="K27">
    <cfRule type="expression" dxfId="221" priority="8">
      <formula>$K$27&lt;0</formula>
    </cfRule>
  </conditionalFormatting>
  <conditionalFormatting sqref="O10:Q30">
    <cfRule type="expression" dxfId="220" priority="6">
      <formula>$D10&lt;&gt;"%"</formula>
    </cfRule>
  </conditionalFormatting>
  <conditionalFormatting sqref="O10:O30">
    <cfRule type="expression" dxfId="219" priority="5">
      <formula>$E$3="CIA"</formula>
    </cfRule>
  </conditionalFormatting>
  <conditionalFormatting sqref="Q10:Q30">
    <cfRule type="expression" dxfId="218" priority="4">
      <formula>$E$3="CIA"</formula>
    </cfRule>
  </conditionalFormatting>
  <conditionalFormatting sqref="S10:U30">
    <cfRule type="expression" dxfId="217" priority="3">
      <formula>$D10&lt;&gt;"%"</formula>
    </cfRule>
  </conditionalFormatting>
  <conditionalFormatting sqref="S10:S30">
    <cfRule type="expression" dxfId="216" priority="2">
      <formula>$E$3="CIA"</formula>
    </cfRule>
  </conditionalFormatting>
  <conditionalFormatting sqref="U10:U30">
    <cfRule type="expression" dxfId="215"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e">
        <f>'Multi-Customer'!$AH$40</f>
        <v>#N/A</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213" priority="43">
      <formula>$M$97&gt;0</formula>
    </cfRule>
    <cfRule type="cellIs" dxfId="212" priority="65" operator="lessThan">
      <formula>$N$96</formula>
    </cfRule>
    <cfRule type="cellIs" dxfId="211" priority="66" operator="greaterThan">
      <formula>$N$96</formula>
    </cfRule>
  </conditionalFormatting>
  <conditionalFormatting sqref="G18:G20 I18:I20 I14">
    <cfRule type="expression" dxfId="210" priority="56">
      <formula>$E$15="YES"</formula>
    </cfRule>
  </conditionalFormatting>
  <conditionalFormatting sqref="I29:I31 I25 G29:G31">
    <cfRule type="expression" dxfId="209" priority="55">
      <formula>$E$26="YES"</formula>
    </cfRule>
  </conditionalFormatting>
  <conditionalFormatting sqref="K83 I80">
    <cfRule type="expression" dxfId="208" priority="53">
      <formula>$E$81="YES"</formula>
    </cfRule>
  </conditionalFormatting>
  <conditionalFormatting sqref="K58 I55">
    <cfRule type="expression" dxfId="207" priority="51">
      <formula>$E$56="YES"</formula>
    </cfRule>
  </conditionalFormatting>
  <conditionalFormatting sqref="I36 G40:G42 I39:I42">
    <cfRule type="expression" dxfId="206" priority="47">
      <formula>$E$37="YES"</formula>
    </cfRule>
  </conditionalFormatting>
  <conditionalFormatting sqref="G58">
    <cfRule type="expression" dxfId="205" priority="49">
      <formula>$E$56="YES"</formula>
    </cfRule>
  </conditionalFormatting>
  <conditionalFormatting sqref="I88">
    <cfRule type="expression" dxfId="204" priority="40">
      <formula>$E$89="YES"</formula>
    </cfRule>
  </conditionalFormatting>
  <conditionalFormatting sqref="G80">
    <cfRule type="expression" dxfId="203" priority="31">
      <formula>$E$81="YES"</formula>
    </cfRule>
  </conditionalFormatting>
  <conditionalFormatting sqref="G14">
    <cfRule type="expression" dxfId="202" priority="27">
      <formula>$E$15="YES"</formula>
    </cfRule>
  </conditionalFormatting>
  <conditionalFormatting sqref="G47 I47 G50 I50">
    <cfRule type="expression" dxfId="201" priority="24">
      <formula>$E$48="YES"</formula>
    </cfRule>
  </conditionalFormatting>
  <conditionalFormatting sqref="K66 I63">
    <cfRule type="expression" dxfId="200" priority="22">
      <formula>$E$64="YES"</formula>
    </cfRule>
  </conditionalFormatting>
  <conditionalFormatting sqref="G63">
    <cfRule type="expression" dxfId="199" priority="21">
      <formula>$E$64="YES"</formula>
    </cfRule>
  </conditionalFormatting>
  <conditionalFormatting sqref="G25">
    <cfRule type="expression" dxfId="198" priority="18">
      <formula>$E$26="YES"</formula>
    </cfRule>
  </conditionalFormatting>
  <conditionalFormatting sqref="G36">
    <cfRule type="expression" dxfId="197" priority="17">
      <formula>$E$37="YES"</formula>
    </cfRule>
  </conditionalFormatting>
  <conditionalFormatting sqref="G55">
    <cfRule type="expression" dxfId="196" priority="16">
      <formula>$E$56="YES"</formula>
    </cfRule>
  </conditionalFormatting>
  <conditionalFormatting sqref="G91">
    <cfRule type="expression" dxfId="195" priority="11">
      <formula>$E$89="YES"</formula>
    </cfRule>
  </conditionalFormatting>
  <conditionalFormatting sqref="K71 I71 G75 K75 I75">
    <cfRule type="expression" dxfId="194" priority="119">
      <formula>$E$72="YES"</formula>
    </cfRule>
  </conditionalFormatting>
  <conditionalFormatting sqref="G71">
    <cfRule type="expression" dxfId="193" priority="6">
      <formula>$E$72="YES"</formula>
    </cfRule>
  </conditionalFormatting>
  <conditionalFormatting sqref="I64">
    <cfRule type="expression" dxfId="192" priority="120">
      <formula>$K$66+$K$71&gt;=10000</formula>
    </cfRule>
  </conditionalFormatting>
  <conditionalFormatting sqref="M72">
    <cfRule type="expression" dxfId="19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e">
        <f>IF('Multi-Customer'!$AH$40 = "MULTIPLE MENU TYPES","MULTIPLE TYPES",'Multi-Customer'!$AH$40)</f>
        <v>#N/A</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e">
        <f>'Multi-Customer'!$AH$40</f>
        <v>#N/A</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v1eqMxxYJseh30IhiMQPhFqbClk+V/22gxjUKKjuvxzm+gEyN+ltC3q0pDEdNLrdt8BEsnYbpCzpvxp7vrYOpQ==" saltValue="Fj7u5yHO0sOE3tMlgiyt1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H34 H36 H38">
    <cfRule type="expression" dxfId="181" priority="130">
      <formula>#REF!="Approve"</formula>
    </cfRule>
  </conditionalFormatting>
  <conditionalFormatting sqref="E16">
    <cfRule type="cellIs" dxfId="180" priority="61" operator="notEqual">
      <formula>0</formula>
    </cfRule>
  </conditionalFormatting>
  <conditionalFormatting sqref="Q37:R38">
    <cfRule type="expression" dxfId="179" priority="55">
      <formula>H40&lt;0</formula>
    </cfRule>
  </conditionalFormatting>
  <conditionalFormatting sqref="N13">
    <cfRule type="expression" dxfId="178" priority="46">
      <formula>$Q$13="Yes"</formula>
    </cfRule>
  </conditionalFormatting>
  <conditionalFormatting sqref="Q11:R11">
    <cfRule type="expression" dxfId="177" priority="40">
      <formula>OR($N$13="Reject",$N$13="")</formula>
    </cfRule>
    <cfRule type="expression" dxfId="176" priority="43">
      <formula>$N$12="Spend"</formula>
    </cfRule>
  </conditionalFormatting>
  <conditionalFormatting sqref="Q12:R12">
    <cfRule type="expression" dxfId="175" priority="42">
      <formula>$N$12="spend"</formula>
    </cfRule>
  </conditionalFormatting>
  <conditionalFormatting sqref="Q13:R13">
    <cfRule type="expression" dxfId="174" priority="41">
      <formula>OR($N$13="Reject",$N$13="")</formula>
    </cfRule>
  </conditionalFormatting>
  <conditionalFormatting sqref="R22">
    <cfRule type="containsText" dxfId="173" priority="35" operator="containsText" text="Caution">
      <formula>NOT(ISERROR(SEARCH("Caution",R22)))</formula>
    </cfRule>
  </conditionalFormatting>
  <conditionalFormatting sqref="N22">
    <cfRule type="expression" dxfId="172" priority="24" stopIfTrue="1">
      <formula>$Q$22="Yes"</formula>
    </cfRule>
    <cfRule type="expression" dxfId="171" priority="26">
      <formula>$I$22="**Missing Incentive Payment Method**"</formula>
    </cfRule>
    <cfRule type="containsText" dxfId="170" priority="27" operator="containsText" text="Reject">
      <formula>NOT(ISERROR(SEARCH("Reject",N22)))</formula>
    </cfRule>
    <cfRule type="containsText" dxfId="169" priority="28" operator="containsText" text="Caution">
      <formula>NOT(ISERROR(SEARCH("Caution",N22)))</formula>
    </cfRule>
    <cfRule type="expression" dxfId="168" priority="29">
      <formula>$N$22="Approve"</formula>
    </cfRule>
  </conditionalFormatting>
  <conditionalFormatting sqref="Q21:R21">
    <cfRule type="expression" dxfId="167" priority="10">
      <formula>$U$1=""</formula>
    </cfRule>
    <cfRule type="expression" dxfId="166" priority="11">
      <formula>$U$1="Caution"</formula>
    </cfRule>
    <cfRule type="expression" dxfId="165" priority="12">
      <formula>$U$1="Reject"</formula>
    </cfRule>
    <cfRule type="expression" dxfId="164" priority="13">
      <formula>AND($Q$22&lt;&gt;"Yes",$U$1="Approve")</formula>
    </cfRule>
    <cfRule type="expression" dxfId="163" priority="14">
      <formula>AND($Q$22="Yes",$U$1="Approve")</formula>
    </cfRule>
  </conditionalFormatting>
  <conditionalFormatting sqref="Q22:R22">
    <cfRule type="expression" dxfId="162" priority="5">
      <formula>$U$1=""</formula>
    </cfRule>
    <cfRule type="expression" dxfId="161" priority="6">
      <formula>$U$1="Caution"</formula>
    </cfRule>
    <cfRule type="expression" dxfId="160" priority="7">
      <formula>$U$1="Reject"</formula>
    </cfRule>
    <cfRule type="expression" dxfId="159" priority="8">
      <formula>AND($Q$22&lt;&gt;"Yes",$U$1="Approve")</formula>
    </cfRule>
    <cfRule type="expression" dxfId="158" priority="9">
      <formula>AND($Q$22="Yes",$U$1="Approve")</formula>
    </cfRule>
  </conditionalFormatting>
  <conditionalFormatting sqref="N38">
    <cfRule type="expression" dxfId="157" priority="1">
      <formula>$H$38&gt;0</formula>
    </cfRule>
    <cfRule type="containsText" dxfId="156" priority="2" operator="containsText" text="Reject">
      <formula>NOT(ISERROR(SEARCH("Reject",N38)))</formula>
    </cfRule>
    <cfRule type="expression" dxfId="155" priority="3">
      <formula>$Q$38="Yes"</formula>
    </cfRule>
    <cfRule type="expression" dxfId="154"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e">
        <f>'Multi-Customer'!$AH$39</f>
        <v>#N/A</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e">
        <f>'Multi-Customer'!$AH$39</f>
        <v>#N/A</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e">
        <f>IF($B$4="Multiple Menu Types",B6&amp;B5,B6&amp;B4)</f>
        <v>#N/A</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zoomScale="90" zoomScaleNormal="90" workbookViewId="0">
      <selection activeCell="AA40" sqref="AA40"/>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Customers'!$A:$F,6,FALSE),BA6)</f>
        <v>0</v>
      </c>
      <c r="BV5" s="85" t="s">
        <v>958</v>
      </c>
      <c r="BW5">
        <f>IFERROR(VLOOKUP(BW$1,'Existing Customers'!$A:$F,6,FALSE),BW6)</f>
        <v>0</v>
      </c>
      <c r="CR5" s="85" t="s">
        <v>958</v>
      </c>
      <c r="CS5">
        <f>IFERROR(VLOOKUP(CS$1,'Existing Customers'!$A:$F,6,FALSE),CS6)</f>
        <v>0</v>
      </c>
      <c r="DN5" s="85" t="s">
        <v>958</v>
      </c>
      <c r="DO5">
        <f>IFERROR(VLOOKUP(DO$1,'Existing Customers'!$A:$F,6,FALSE),DO6)</f>
        <v>0</v>
      </c>
      <c r="EJ5" s="85" t="s">
        <v>958</v>
      </c>
      <c r="EK5">
        <f>IFERROR(VLOOKUP(EK$1,'Existing Customers'!$A:$F,6,FALSE),EK6)</f>
        <v>0</v>
      </c>
      <c r="FF5" s="85" t="s">
        <v>958</v>
      </c>
      <c r="FG5">
        <f>IFERROR(VLOOKUP(FG$1,'Existing Customers'!$A:$F,6,FALSE),FG6)</f>
        <v>0</v>
      </c>
      <c r="GB5" s="85" t="s">
        <v>958</v>
      </c>
      <c r="GC5">
        <f>IFERROR(VLOOKUP(GC$1,'Existing Customers'!$A:$F,6,FALSE),GC6)</f>
        <v>0</v>
      </c>
      <c r="GX5" s="85" t="s">
        <v>958</v>
      </c>
      <c r="GY5">
        <f>IFERROR(VLOOKUP(GY$1,'Existing Customers'!$A:$F,6,FALSE),GY6)</f>
        <v>0</v>
      </c>
      <c r="HT5" s="85" t="s">
        <v>958</v>
      </c>
      <c r="HU5">
        <f>IFERROR(VLOOKUP(HU$1,'Existing Customers'!$A:$F,6,FALSE),HU6)</f>
        <v>0</v>
      </c>
      <c r="IP5" s="85" t="s">
        <v>958</v>
      </c>
      <c r="IQ5">
        <f>IFERROR(VLOOKUP(IQ$1,'Existing Customers'!$A:$F,6,FALSE),IQ6)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c r="AA37" s="461" t="s">
        <v>1470</v>
      </c>
      <c r="AB37" s="468"/>
      <c r="AG37" s="358">
        <v>1</v>
      </c>
      <c r="AH37" s="1147" t="e">
        <f>IF($AH$38&gt;1,"MULTIPLE TYPES",VLOOKUP(AG37,$Z$38:$AA$65,2,FALSE))</f>
        <v>#N/A</v>
      </c>
      <c r="AI37" s="361"/>
    </row>
    <row r="38" spans="2:286" x14ac:dyDescent="0.25">
      <c r="R38" s="462">
        <f>RANK(T38,$T$39:$T$43)</f>
        <v>1</v>
      </c>
      <c r="S38" s="460" t="s">
        <v>951</v>
      </c>
      <c r="T38" s="463">
        <f t="shared" ref="T38" si="56">COUNTIF($BA$47:$IQ$47,S38)</f>
        <v>0</v>
      </c>
      <c r="Z38" s="462"/>
      <c r="AA38" s="460" t="s">
        <v>951</v>
      </c>
      <c r="AB38" s="463"/>
      <c r="AG38" s="469" t="s">
        <v>861</v>
      </c>
      <c r="AH38" s="470">
        <f>COUNTIF($Z$38:$Z$65,1)</f>
        <v>0</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e">
        <f>VLOOKUP(AG37,$Z$38:$AA$65,2,FALSE)</f>
        <v>#N/A</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e">
        <f>IF(COUNTIF($AB$39:$AB$65,"&gt;0")&gt;1,"MULTIPLE TYPES",$AH$37)</f>
        <v>#N/A</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e">
        <f>IF('Multi-Customer'!$AH$37="MULTIPLE MENU TYPES","INDEPENDENT RESTAURATEURS (PYR)",'Multi-Customer'!$AH$37)</f>
        <v>#N/A</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114" priority="99">
      <formula>$B$60="YES - Annual"</formula>
    </cfRule>
  </conditionalFormatting>
  <conditionalFormatting sqref="B60">
    <cfRule type="cellIs" dxfId="113" priority="126" operator="equal">
      <formula>"YES"</formula>
    </cfRule>
  </conditionalFormatting>
  <conditionalFormatting sqref="N23:Q23">
    <cfRule type="expression" dxfId="112" priority="97">
      <formula>$B$60="Yes"</formula>
    </cfRule>
  </conditionalFormatting>
  <conditionalFormatting sqref="B15 J15">
    <cfRule type="expression" dxfId="111" priority="130">
      <formula>$B$15="Annually"</formula>
    </cfRule>
  </conditionalFormatting>
  <conditionalFormatting sqref="B47">
    <cfRule type="expression" dxfId="110" priority="58">
      <formula>$B$47="Annually"</formula>
    </cfRule>
  </conditionalFormatting>
  <conditionalFormatting sqref="S36:V36">
    <cfRule type="expression" dxfId="109" priority="59">
      <formula>$T$36="Check"</formula>
    </cfRule>
  </conditionalFormatting>
  <conditionalFormatting sqref="B27">
    <cfRule type="cellIs" dxfId="108" priority="46" operator="equal">
      <formula>"Annually"</formula>
    </cfRule>
  </conditionalFormatting>
  <conditionalFormatting sqref="B37">
    <cfRule type="cellIs" dxfId="107" priority="128" operator="equal">
      <formula>"Annually"</formula>
    </cfRule>
  </conditionalFormatting>
  <conditionalFormatting sqref="B54">
    <cfRule type="cellIs" dxfId="106" priority="127" operator="equal">
      <formula>"Annually"</formula>
    </cfRule>
  </conditionalFormatting>
  <conditionalFormatting sqref="O16">
    <cfRule type="cellIs" dxfId="105" priority="39" operator="equal">
      <formula>"Annually"</formula>
    </cfRule>
  </conditionalFormatting>
  <conditionalFormatting sqref="T16">
    <cfRule type="cellIs" dxfId="104" priority="36" operator="equal">
      <formula>"Annually"</formula>
    </cfRule>
  </conditionalFormatting>
  <conditionalFormatting sqref="J37">
    <cfRule type="cellIs" dxfId="103" priority="116" operator="equal">
      <formula>"Annually"</formula>
    </cfRule>
  </conditionalFormatting>
  <conditionalFormatting sqref="T37">
    <cfRule type="expression" dxfId="102" priority="31">
      <formula>$B$47="Annually"</formula>
    </cfRule>
  </conditionalFormatting>
  <conditionalFormatting sqref="I30">
    <cfRule type="expression" dxfId="101" priority="24">
      <formula>$I$30=3</formula>
    </cfRule>
  </conditionalFormatting>
  <conditionalFormatting sqref="I31">
    <cfRule type="expression" dxfId="100" priority="23">
      <formula>$I$31=3</formula>
    </cfRule>
  </conditionalFormatting>
  <conditionalFormatting sqref="B62:B64">
    <cfRule type="expression" dxfId="99" priority="22">
      <formula>$B$60="YES - Annual"</formula>
    </cfRule>
    <cfRule type="expression" dxfId="98" priority="100">
      <formula>$B$60="No"</formula>
    </cfRule>
  </conditionalFormatting>
  <conditionalFormatting sqref="N32:Q32">
    <cfRule type="expression" dxfId="97" priority="67">
      <formula>$B$62=4</formula>
    </cfRule>
  </conditionalFormatting>
  <conditionalFormatting sqref="N31:Q32">
    <cfRule type="expression" dxfId="96" priority="142">
      <formula>$B$62=3</formula>
    </cfRule>
  </conditionalFormatting>
  <conditionalFormatting sqref="N30:Q32">
    <cfRule type="expression" dxfId="95" priority="143">
      <formula>$B$62=2</formula>
    </cfRule>
  </conditionalFormatting>
  <conditionalFormatting sqref="B61:B62">
    <cfRule type="expression" dxfId="94" priority="21">
      <formula>$B$60="NO"</formula>
    </cfRule>
  </conditionalFormatting>
  <conditionalFormatting sqref="B61">
    <cfRule type="expression" dxfId="93" priority="19">
      <formula>$B$60="YES - Annual"</formula>
    </cfRule>
  </conditionalFormatting>
  <conditionalFormatting sqref="D63:D64">
    <cfRule type="expression" dxfId="92" priority="18">
      <formula>$B$60&lt;&gt;"Yes - Purchase Commitment"</formula>
    </cfRule>
  </conditionalFormatting>
  <conditionalFormatting sqref="O45">
    <cfRule type="expression" dxfId="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1" priority="6">
      <formula>LEN(TRIM(U110))&gt;0</formula>
    </cfRule>
  </conditionalFormatting>
  <conditionalFormatting sqref="Z110:AE130">
    <cfRule type="containsText" dxfId="30" priority="4" operator="containsText" text="BELOW">
      <formula>NOT(ISERROR(SEARCH("BELOW",Z110)))</formula>
    </cfRule>
    <cfRule type="containsText" dxfId="2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2021-12-16T11:41:08Z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feac4483-5da5-4c3a-be5a-7d0ac49562f6</vt:lpwstr>
  </property>
  <property fmtid="{D5CDD505-2E9C-101B-9397-08002B2CF9AE}" pid="4" name="Classification">
    <vt:lpwstr>LV_R3STR1CT3D</vt:lpwstr>
  </property>
  <property fmtid="{D5CDD505-2E9C-101B-9397-08002B2CF9AE}" pid="5" name="ContainsPII">
    <vt:lpwstr>No</vt:lpwstr>
  </property>
</Properties>
</file>